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endar Matrix" sheetId="1" state="visible" r:id="rId3"/>
    <sheet name="Entries (Long Form)" sheetId="2" state="visible" r:id="rId4"/>
    <sheet name="Summary" sheetId="3" state="visible" r:id="rId5"/>
    <sheet name="Legend &amp; Notes" sheetId="4" state="visible" r:id="rId6"/>
  </sheets>
  <definedNames>
    <definedName function="false" hidden="true" localSheetId="1" name="_xlnm._FilterDatabase" vbProcedure="false">'Entries (Long Form)'!$A$1:$F$653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<sst xmlns="http://schemas.openxmlformats.org/spreadsheetml/2006/main" count="3639" uniqueCount="937">
  <si>
    <t xml:space="preserve">#</t>
  </si>
  <si>
    <t xml:space="preserve">Microseason</t>
  </si>
  <si>
    <t xml:space="preserve">Date Range</t>
  </si>
  <si>
    <t xml:space="preserve">Season</t>
  </si>
  <si>
    <t xml:space="preserve">Sky &amp; Light</t>
  </si>
  <si>
    <t xml:space="preserve">Weather &amp; Ground</t>
  </si>
  <si>
    <t xml:space="preserve">Flora &amp; Phenology</t>
  </si>
  <si>
    <t xml:space="preserve">Birds</t>
  </si>
  <si>
    <t xml:space="preserve">Animals</t>
  </si>
  <si>
    <t xml:space="preserve">Insects &amp; Fungi</t>
  </si>
  <si>
    <t xml:space="preserve">Garden</t>
  </si>
  <si>
    <t xml:space="preserve">Foodways</t>
  </si>
  <si>
    <t xml:space="preserve">Ghost</t>
  </si>
  <si>
    <t xml:space="preserve">Health Watch</t>
  </si>
  <si>
    <t xml:space="preserve">Sun Dogs Over the Hills</t>
  </si>
  <si>
    <t xml:space="preserve">January 1–15</t>
  </si>
  <si>
    <t xml:space="preserve">Winter</t>
  </si>
  <si>
    <t xml:space="preserve">• The deepest cold of the year settles in; on the most brutal mornings, ice crystals suspended in the air refract the low sun into parhelia — sun dogs — twin bright smudges flanking the sunrise over the eastern valley.
• For the Haudenosaunee, this is the threshold of Midwinter Ceremony — the turning of the ceremonial year, timed to when the Pleiades stand at their highest point at dusk; around 9 p.m. they sit directly overhead, a calendar in the sky that needs no reprinting.</t>
  </si>
  <si>
    <t xml:space="preserve">• The bitterest nights can produce a cryoseism (frost quake): the sharp crack of saturated ground freezing and splitting, easily mistaken for a falling limb.
• Eastern red cedar turns colour in the cold, and this is the month it shows. The foliage bronzes to a dull purple-brown in hard frost — a genuine seasonal pigment change, not damage — and greens again in spring. On a bare winter hillside the bronzed columns are unmistakable.</t>
  </si>
  <si>
    <t xml:space="preserve">• On the coldest still nights, light pillars rise from the valley lights below — vertical columns painted on falling plate crystals drifting in calm air.
• The chick-a-dee call is a compositional signal, not a name. The number of terminal dee notes encodes predator threat, and the relationship is inverse to size: small, agile, maneuverable hunters that can chase a chickadee through branches — a sharp-shinned hawk, a screech-owl — draw the most dees, while a large hawk or a great horned owl draws fewer. This was demonstrated by Templeton, Greene, and Davis in Science in 2005, presenting fifteen live predator species and confirming with playback that other chickadees act on the information. Counting dees is genuinely reading a report on what is in the tree.
• Only the female trees carry them: red cedar is dioecious, separate male and female individuals, so half the cedars on a hillside will never fruit at all.</t>
  </si>
  <si>
    <t xml:space="preserve">• Black-capped chickadee (Poecile atricapillus) flocks work the gray dogwood thickets in mixed company with tufted titmice, white-breasted nuthatches, and downy woodpeckers — a winter foraging guild that travels together for shared vigilance against hawks.
• Chickadee. The winter flock is a stable hierarchy of roughly six to ten birds — a dominant pair, subordinates, and floaters — holding a territory of about twenty acres, which means the flock working these thickets is likely the flock, the same individuals seen day after day. Rank determines feeder order and, in a hard winter, who survives.
• A chickadee weighs about the same as two nickels and must eat something on the order of its own body weight daily in deep cold. It survives the fifteen-hour night by regulated nocturnal hypothermia, deliberately dropping its body temperature by roughly 10–12°C in a sheltered cavity — a controlled, reversible chill that cuts the overnight fuel bill by a quarter or more — then shivering itself back up before dawn.
• Titmouse. The tufted titmouse is a recent arrival, not an old resident. It was a southern bird through the nineteenth century and expanded steadily north across the twentieth, reaching and then saturating upstate New York on the back of winter feeding stations and moderating winters. Anyone born early enough in these hills remembers when there were none.
• Titmice hold territory in family groups, and unusually among northern songbirds, some young stay with their parents through the winter rather than dispersing — so a titmouse pair with two extra birds in tow is often literally a family.
• The blue berries are the winter larder. They are not berries at all but fleshy cones, dusted with a pale waxy bloom, and they hold on the female trees through the whole winter. Cedar waxwings take their name from this tree, and a flock stripping a cedar in January is one of the reliable set-pieces of the season — birds passing fruit to one another along a branch before eating.
• White spruce cones hang small, papery and pendant at the branch tips, and the winter finches work them — red crossbills and pine siskins in irruption years, prying seeds out with bills evolved for exactly this. Red squirrels cut the cones down wholesale and pile them in middens at the base of the tree, and a spruce with a deep litter of stripped cone cores beneath it has a resident squirrel.</t>
  </si>
  <si>
    <t xml:space="preserve">• Beneath the snow, the subnivean zone — the hidden lattice of tunnels between snowpack and soil — holds a steady ~32°F while air temperatures plunge below zero, keeping meadow voles and short-tailed shrews alive and active all winter.
• The subnivean cast is worth separating, because "mouse" covers four very different animals. Meadow voles (Microtus pennsylvanicus) are blunt-nosed, short-tailed, tiny-eared grass specialists that live in the open field and cut the surface runways revealed at snowmelt; they are the single most important prey animal on this landscape and drive owl, fox, coyote, and weasel numbers. White-footed mice and deer mice (Peromyscus leucopus and P. maniculatus) are big-eyed, long-tailed, and semi-arboreal, the ones that get into buildings. Southern red-backed voles hold the mossy woods. Short-tailed shrews (Blarina brevicauda) are not rodents at all but insectivores — and they are venomous, one of very few venomous mammals on earth, with toxic saliva that paralyzes invertebrates and small prey so it can be cached alive.
• Shrews run a metabolism so extreme they must eat every few hours or die, and they cannot hibernate; some shrew species shrink their own skulls and brains by up to 20% over winter to reduce energy demand, then regrow them in spring — a phenomenon known as Dehnel's effect.
• White-footed mice are the principal reservoir for the Lyme bacterium in this region, and their abundance tracks the previous autumn's acorn crop. A heavy mast year produces a mouse boom the following summer, and a heavier tick-infection year the summer after — an oak-to-mouse-to-tick chain that runs on roughly a two-year lag.
• Red fox and coyote hunt the subnivean layer by ear — the head-cocked pause, then the high arcing pounce through the crust.
• Nine bat species occur in New York, and they split into two groups that experience winter completely differently. Six hibernate here — little brown, big brown, northern long-eared, Indiana, tricolored and eastern small-footed — gathering in caves and mines, which is precisely where white-nose syndrome finds them. Three migrate south instead — hoary, silver-haired and eastern red — roosting alone in foliage rather than in colonies, and they have been largely spared the disease for that reason.
• The big brown bat is the exception among the hibernators, and it is the one most likely to be in a house. It tolerates colder and drier roosts than the Myotis species, is large enough to carry more fat, and routinely overwinters in buildings, attics and wall cavities rather than in caves. A bat found in a house in January is almost always this species.
• Red squirrels are the only squirrel fully active in the hardest weather. They do not hibernate and do not put on much fat; they live on the midden — a single defended pile of cached cones, often built up over years at the base of the same tree — and will tunnel under snow to reach it.</t>
  </si>
  <si>
    <t xml:space="preserve">• The hive is not asleep. Honeybees do not hibernate — they form a winter cluster, shivering flight muscles to hold the core near 92°F while the outer mantle sits near 48°F, and the whole cluster rotates so no bee stays on the cold edge. They are burning stored honey to do it, and starvation in February and March kills more colonies here than cold does. Heft the back of the hive: a light box is a warning.
• Never open a hive in this month. Breaking the cluster in deep cold can kill it outright. Everything needed is legible from outside — weight, a cleared entrance, and on a still day, an ear against the box.</t>
  </si>
  <si>
    <t xml:space="preserve">• applejack. Cider left out in the cold separates: water freezes first and the alcohol concentrates in what stays liquid. Freeze-distilling ("jacking") needs exactly the run of nights this microseason supplies, and it was standard practice on Northeastern farms wherever there were apples and no still. The cider went up outdoors in a barrel, the ice was skimmed off repeatedly, and what remained was strong. It is one of the few preserving techniques that requires a specific climate rather than specific equipment, and these hills have the climate.
• This is the deep root-cellar month. Potatoes, turnips, rutabaga, carrots in damp sand, cabbages hung by the root, salt pork, dried apples, and crocks of sauerkraut still working slowly in the cold. Nothing on a hill farm's winter table was harvested in winter — every bit of it was decided in October.</t>
  </si>
  <si>
    <t xml:space="preserve">• This fortnight is the closest the year comes to the hills' default condition. For the great majority of the last hundred thousand years, this was simply what the landscape was — cold, treeless or nearly so, wind-scoured. The interglacial forest is the anomaly; January is the baseline briefly reasserting itself.</t>
  </si>
  <si>
    <t xml:space="preserve">• Bare crowns are readable crowns. Dieback shows plainest against a winter sky: a stag-headed tree — dead, antler-like limbs protruding above a shrunken living crown — is in advanced decline, and the pattern of death tells the cause. Dieback beginning at the top and working down and inward points to a root or vascular problem. Scattered dead branches through an otherwise full crown points to borers or canker. Dead branches only in the lower and inner crown is usually just shading, and normal.
• Wild grape (Vitis riparia, riverbank grape, and V. aestivalis, summer grape) is most visible now — thick shaggy-barked ropes running up into bare crowns, sometimes wrist-thick. Grape is native and valuable, but it is also one of the very few native plants that genuinely kills trees, by loading a crown until ice or wind takes the whole top out. A tree wearing a grape hat is a tree at structural risk.</t>
  </si>
  <si>
    <t xml:space="preserve">Coyotes Court in the Blue Snow</t>
  </si>
  <si>
    <t xml:space="preserve">January 16–31</t>
  </si>
  <si>
    <t xml:space="preserve">• Black locust pods rattle on the branch; gray dogwood stems glow oxblood-red against snow.</t>
  </si>
  <si>
    <t xml:space="preserve">• Marcescence — the stubborn holding of dead leaves through winter — marks young beech and oak at the woodland edges, their pale leaves hissing in the wind.
• The bunchgrasses are the standing architecture of the winter field. Little bluestem holds its colour through the cold — a coppery orange-russet that reads warm against snow and is the most distinctive thing on an open hillside in January — while big bluestem and Indiangrass stand tan and Canada wild rye keeps its nodding seed heads. On thin soil over ledge, where nothing is tall, the grasses are the only vertical relief for months.
• Little bluestem's seed is what makes it glow. Each seed carries a tuft of white hair, and backlit by low winter sun the whole stand silvers.
• Warm-season bunchgrasses grow in discrete clumps with bare ground between them, unlike the continuous sod of cool-season turf. That structure is why they hold snow in drifts rather than mats, and why sparrows and juncos work between the clumps all winter picking fallen seed off open ground.
• Their track is the clean field mark: round, roughly two inches, no claw marks — cats walk with claws retracted, canines do not — and the trail runs in a near-straight line rather than the loose wander of a dog.
• Witch hazel is still in flower, and it is the only thing that is. Ragged yellow strap-like petals on bare twigs, blooming from October through the hardest part of winter — pollinated by winter moths that generate heat by shivering. The seed capsules from last year's flowers are firing at the same time, ejecting seed up to thirty feet with an audible crack.
• Trees are at their most legible now, and bark is the whole field mark. Shagbark hickory needs no comment. Sugar maple bark lifts in long vertical plates attached along one edge, curling outward, while red maple stays tighter and greyer with a shaggier upper trunk. American elm carries alternating light and dark layers visible in a cut twig or bark chip — a reliable confirmation even on a dying tree.
• Quaking aspen is unmistakable in winter light: smooth, chalky greenish-white bark with dark diamond-shaped scars, standing in clonal groves that all lean the same way.</t>
  </si>
  <si>
    <t xml:space="preserve">• Crow. American crows are in winter roosting mode, and the scale is easy to underestimate: birds forage in family groups by day across many miles, then converge at dusk on communal roosts that in the Capital Region can hold many thousands. Roosts favor urban and suburban sites — warmer, better lit, and safer from great horned owls, which are the main reason crows roost together at all. Watching the evening flight lines stream toward Albany is a reliable January–February spectacle.
• Crows recognize individual human faces, hold grudges for years, and transmit hostility toward specific people to birds that never had the original encounter — established by John Marzluff's masked-researcher experiments at the University of Washington. The corollary is that they also recognize kindness, and that a crow's opinion of a person is durable and socially contagious.
• Crow numbers crashed with the arrival of West Nile virus around 1999; corvids are exceptionally susceptible, and regional declines approached half the population before a partial recovery. The abundance visible today is a rebound, not a baseline.
• Raven vs. crow, which the bare season makes easy: the raven is a third larger with a heavy Bowie-knife bill, shows a wedge-shaped or diamond tail in flight against the crow's squared fan, soars and tumbles on flat wings where a crow rows steadily, wears shaggy throat hackles that stand out when it calls, and delivers a deep resonant kronk rather than a caw. Ravens also play — sliding down snowbanks, dropping and catching sticks in midair — which crows essentially do not.
• Great horned owls — the year's earliest nesters — court in the black locust stands: the male's deep four-to-five-note hoots answered by the female's higher, raspier reply.
• Daylight lengthens visibly; by month's end the hill gains nearly two minutes of light per day, and chickadees respond first, testing the two-note fee-bee spring song on any sunny morning above 20°F.</t>
  </si>
  <si>
    <t xml:space="preserve">• Eastern coyote breeding season peaks; nights fill with paired, conversational duets between mates rather than the yipping group choruses of autumn.
• Coyote tracks stitch the landscape in purposeful straight lines, often following packed human trails — they appreciate an easy path as much as anyone.
• Fisher. Neither a cat nor a fisher of fish — a very large arboreal weasel (Pekania pennanti) that was trapped out of most of New York by the early 1900s and has recolonized on its own. The track is the giveaway: five toes (unlike canines' four), often paired in a bounding 2–2 lope, with a habit of running up one tree and down another that no fox or coyote can imitate.
• Fishers are among the very few animals that routinely kill porcupines, and the technique is specific: repeated frontal attacks to the face, circling the quills rather than defeating them, sometimes over half an hour, then feeding through the unquilled belly. Where fisher numbers rose across the Northeast, porcupine numbers fell measurably — a predator-prey relationship visible at landscape scale.
• Ermine and long-tailed weasel turn white in winter here, molting on day length rather than snowfall, which increasingly leaves them mismatched — conspicuous white animals on brown ground in a low-snow year. This is one of the most direct and visible ways a warming climate is killing individual animals in these hills.
• Fisher, ermine, long-tailed weasel, mink, and river otter are all mustelids present in this watershed; the family also includes the extirpated wolverine, gone from the Northeast for well over a century.
• Snow records everything now: the paired bounding gait of fisher, the delicate stitchery of deer mice, wing-swept craters where an owl connected with prey.
• The subnivean zone is where most of the hills' mammal activity happens now. Under about six inches of settled snow, ground heat and the snowpack's insulation hold a layer at roughly 32°F regardless of the air above it, and meadow voles live in it all winter — running tunnels at the grass line, invisible and largely safe from hawks.
• Owls hunt it by ear. A great horned or barred owl locates a vole under snow by sound alone and punches through, and the hole left behind — a neat cavity with wing prints fanned out either side.
• Bobcats breed in this window, and the yowling is startling if you have not heard it — a low caterwaul that carries a long way on cold air and sounds nothing like a housecat. They have come back on their own. Cleared land and unregulated hunting pushed them to the margins by the early twentieth century; returning forest brought them back without anyone reintroducing them, and they now live within a few miles of every Hilltowns village.
• Deer yard up now. They gather in dense conifer stands where the canopy holds snow off the ground and the wind is broken, trampling networks of trails and staying in them. A hemlock or spruce grove with a beaten floor and browse lines cut at exactly nose height is a deer yard, and the browse line is a readable record of how deep the snow got.</t>
  </si>
  <si>
    <t xml:space="preserve">• Turkey tail is the winter fungus, and it is on every hardwood log on the hill right now — thin overlapping fans banded in brown, grey, buff and blue-green, flexible rather than brittle. The test that separates it from its lookalikes is underneath: true turkey tail has a pore surface, fine white holes visible with a hand lens. False turkey tail is smooth beneath.</t>
  </si>
  <si>
    <t xml:space="preserve">• Order seed now, and order for the hill rather than the catalogue. At 1,200 feet with roughly 110 to 120 frost-free days, days-to-maturity is the number that matters — a 90-day tomato is a gamble here and a 65-day one is not. Short-season northern breeders are the right source, and the good varieties sell out by March.
• Prune grapes in the hardest cold, while fully dormant and before any sap movement. Grapes fruit only on current-season wood grown from last year's canes, so the pruning is severe by garden standards — most of the previous year's growth comes off, leaving a few canes with a counted number of buds. An unpruned vine makes wood and shade rather than fruit.
• Willow for basketry is cut now too, while dormant and leafless. One-year rods are the useful ones — straight, unbranched, flexible — and cutting hard each winter is what produces them; a willow left alone makes a tree, a willow cut annually makes a coppice stool that throws a new crop of rods every season for decades.</t>
  </si>
  <si>
    <t xml:space="preserve">• The eastern wolf was gone from New York by the 1890s, hunted and bountied out. But the coyotes calling now are not the small western coyote — they are a larger animal carrying meaningful eastern-wolf ancestry, picked up as coyotes expanded through Ontario and hybridized with the remnant wolves they found there. The wolf is not entirely absent from these nights. It is simply speaking through a different throat.</t>
  </si>
  <si>
    <t xml:space="preserve">• late winter is when voles girdle trees. With other food gone, they strip bark at the base of trunks under the snow, and complete girdling kills the tree. The damage is not discovered until melt. Quarter-inch hardware cloth, set two to three inches into the soil and standing above expected snow depth, prevents it entirely — and the vulnerable trees are young ones, thin-barked ones, and any tree already in decline.</t>
  </si>
  <si>
    <t xml:space="preserve">Owl Eggs in the Bitter Bright</t>
  </si>
  <si>
    <t xml:space="preserve">February 1–15</t>
  </si>
  <si>
    <t xml:space="preserve">• Sunrise now visibly migrates north along the eastern horizon; a fixed landmark (a particular tree, a far ridge notch) turns the hill itself into a solar observatory.</t>
  </si>
  <si>
    <t xml:space="preserve">• This is often the coldest stretch of the year, when the Hills's wind shadow matters most; drifts sculpt differently on the sheltered east slope than on exposed ridgelines.
• Red cedar releases the first pollen of the year, often while snow is still on the ground. On a mild bright afternoon the male trees smoke — puffs of gold lifting off the foliage at a touch or in a gust — weeks before anything else on the hill flowers. For anyone who reacts to it, cedar is the opening of the allergy year, and it opens it in February.</t>
  </si>
  <si>
    <t xml:space="preserve">• Cedar-apple rust galls are visible now as hard brown knobs on the cedar twigs, walnut-sized and warty, entirely inert-looking. They spend the whole winter like this and will not do anything until the warm rains of spring, when they swell and extrude the orange gelatinous horns already described in May. February is when to find and remove them, while they are dry, obvious and harmless.
• Skunk cabbage is the first flower of the year, and it makes its own heat to do it. The hooded spathe — mottled maroon and green, shaped like a fist — pushes up through frozen seep ground now, and it is thermogenic: metabolising stored starch to hold its interior as much as 20°C above the surrounding air, for two weeks or more. It melts its own opening through snow and ice. In a February seep, a ring of bare wet ground around a purple hood is the plant heating the world immediately around it.
• Sensitive fern's fertile fronds are standing black and rigid through all of this. The plant is dimorphic: the green sterile fronds died at the first frost, but the separate fertile stalks — stiff, upright, hung with hard bead-like segments — persist all winter and release their spores next spring. They are one of the few things still standing upright in a February wetland, and they mark exactly where the wet ground is under the snow.</t>
  </si>
  <si>
    <t xml:space="preserve">• Great horned owls are now incubating; the female sits through snowstorms with eggs beneath her, sometimes wearing a white cap of accumulated snow.
• Woodpecker drumming begins in earnest — pileated, hairy, downy — each species with its own cadence, territories declared in percussion on standing dead locust; drumming functions as song.
• Great horned owl. The earliest nester in the Northeast by a wide margin, and the reason is prey timing: incubating in February means the young fledge in late spring into a landscape stuffed with naive juvenile rabbits, squirrels, and songbirds. The owl builds nothing — it appropriates old red-tailed hawk, crow, or heron nests, or settles into a broken-topped snag or rock ledge. Any conspicuous stick nest still occupied in February is an owl's, not a hawk's.
• Female great horned owls are noticeably larger than males but have the higher-pitched voice — a reliable way to sex a duetting pair by ear, and backwards from what most people assume.
• Raven. Ravens nest even earlier than the owls and favor exactly this terrain: cliff ledges and quarry faces, which the Helderberg escarpment supplies abundantly. Nest-building and courtship flight — paired soaring, synchronized rolls, and the spectacular half-roll where a bird flies briefly upside down — run through February.
• Screech-owl. The eastern screech-owl comes in two genetically fixed color morphs, rufous and gray, which are not age or sex differences. Gray predominates toward the north, and the leading explanation is thermal: gray-morph birds survive severe winters at higher rates, so cold hills select for gray. Its voice is not a screech but a descending whinny or a long even trill — a small sound easy to mistake for a mammal.</t>
  </si>
  <si>
    <t xml:space="preserve">• Black bear cubs are born now, in the den, to a mother who is dormant — blind, nearly hairless, and weighing under a pound, roughly 1/300th of the mother's weight, the smallest newborn relative to parent of any placental mammal. She nurses them through the rest of winter without eating, drinking, urinating, or defecating, recycling her own urea into protein. Bears also do not lose meaningful bone or muscle mass during months of immobility, a physiological trick medicine has been trying to reverse-engineer for decades.
• Bear denning here is casual by Adirondack standards — a brush pile, a rock overhang, an uprooted stump, sometimes a shallow depression under a fallen top. Southern-zone bears also den later and emerge earlier than northern ones.
• Southern flying squirrels (Glaucomys volans) are active every night of the winter and are almost certainly the most abundant squirrel on wooded land here, and the least seen. They are strictly nocturnal, glide up to 150 feet on the patagium (the skin membrane between wrist and ankle), steering with the tail as a rudder, and they huddle communally in winter cavities — sometimes a dozen or more birds' worth of body heat stacked in one hollow. A flashlight on a feeder at 10 p.m. in February is the way to confirm them.
• The northern flying squirrel (G. sabrinus), the boreal species, has been retreating northward and upslope as the southern species expands — partly climate, partly a parasitic nematode the southern squirrel tolerates and the northern one does not.
• The species is functionally the apex nocturnal predator here and takes skunk routinely — owls have almost no sense of smell, and a great horned nest often reeks of it. It also kills other raptors and owls, which is precisely why crows mob it with such fury and why crows roost communally in winter.
• Bears are giving birth in the den right now, in the deepest cold of the year. Cubs arrive weighing under a pound, blind and nearly hairless, and nurse while the mother is still in hibernation — living on fat reserves, not on food, for another two months. Black bear hibernation is a state no other large mammal manages this way: the female does not eat, drink, urinate or defecate through the whole term, and gives birth in the middle of it.
• Otters are breeding, and they use winter water. They stay active all season, working open leads and spring holes, and their sign is unmistakable — slides on snowbanks, where an otter pushes off and toboggans on its chest, often repeatedly down the same run. It is the only animal here that leaves a groove instead of a trail.
• Raccoons are not hibernating but are in torpor, holed up in hollow trees and drowsing through the worst of it, dropping their activity rather than their body temperature. A mild spell brings them straight back out, so raccoon tracks appear and disappear across the winter in step with the thermometer.</t>
  </si>
  <si>
    <t xml:space="preserve">• On thaw days above freezing, snow surfaces near tree bases show what looks like spilled pepper: snow fleas (springtails), surfacing by the thousands to feed on algae and fungal spores, powered by a natural antifreeze protein — the year's first visible invertebrate stirring.
• The heat is advertising. It volatilises a carrion smell that draws out the earliest flies and small beetles, and offers them warmth as payment — a genuine reward in February, when nothing else on the hill is above freezing. It is the only pollination system on these hills that runs on heat rather than sugar.</t>
  </si>
  <si>
    <t xml:space="preserve">• onion seeds started indoors now through early March get the long head start bulbing onions need at this latitude; seed catalogs and germination tests belong to this season.</t>
  </si>
  <si>
    <t xml:space="preserve">• Common ravens were effectively driven out of this part of New York by the nineteenth century, surviving only in the Adirondack and Catskill wilds. They have returned within living memory, spreading back down the escarpment, and their croaking now carries over Helderberg farmland that had not heard it in over a century. A rare ghost walking back into the room.</t>
  </si>
  <si>
    <t xml:space="preserve">• Hemlock woolly adelgid is checkable now — roughly November through May is when the woolly stage is most visible. Turn a hemlock twig over and look where each needle joins the stem: the insect appears as tiny white masses like specks of wool or the ends of cotton swabs. Sap-clean twigs are good news. New York is releasing predator beetles against the adelgid, but detection on individual properties still happens one twig at a time.
• white-nose syndrome is at its most lethal right now. The fungus Pseudogymnoascus destructans grows on the muzzle and wing membranes of hibernating bats, rousing them repeatedly from torpor, and each arousal burns fat that cannot be replaced — they starve before spring on a winter landscape with no insects.
• The numbers are severe and they are local. White-nose was discovered in New York in the winter of 2006–07, in a cave about twenty-five miles from here. Northern long-eared, little brown and tricolored bats have each declined by more than 90 percent in under a decade. New York's tricolored bats have lost roughly 98 percent since 2006. Northern long-eared bat declines run 97 to 100 percent across 79 percent of its range, and it was reclassified from threatened to endangered in March 2023.
• There is a fragment of better news. Little brown bat populations in New York fell about 84 percent between 2007 and 2015 — a 2010 study predicted a 99 percent chance of extinction by 2026 — but current hibernaculum surveys and acoustic monitoring suggest state-wide numbers are now rising. Survivors appear to be passing on something.
• Gray squirrels breed now, in the coldest part of the year, and the mating chases through bare branches are one of the few obvious mammal displays of February.</t>
  </si>
  <si>
    <t xml:space="preserve">Sap Stirs Under Bark</t>
  </si>
  <si>
    <t xml:space="preserve">February 16–28</t>
  </si>
  <si>
    <t xml:space="preserve">• The first freeze-thaw cycles arrive — nights in the teens, days nudging 40°F — and sugar maples begin moving sap; runs on the hill start a week or more behind the valley sugarbushes and last correspondingly later into March, the hills' cold for once an asset.
• Hop hornbeam still holds its fruit — clusters of papery, inflated sacs like small green hops, bleached to tan by now and rattling in wind. The tree is also called ironwood,: the wood is among the hardest in North America and was used for tool handles, sled runners and mallets when nothing else would serve.</t>
  </si>
  <si>
    <t xml:space="preserve">• Maple saplings in old-field openings are too young to tap, but on a warm afternoon their bark carries the faint wet smell of a tree waking.
• For the Haudenosaunee this is the season of the maple's gift, honored with ceremony — the maple as leader of the trees, first to stir and first to give.
• Hazel catkins — formed the previous fall and hanging rigid all winter — begin to soften almost imperceptibly.
• Oaks are legible in winter, and the bark tells the species. Chestnut oak carries the deepest, most massively ridged bark of any oak here — long vertical mountain ranges with V-shaped valleys, unmistakable at a glance on a rocky ridge. White oak is pale ashy grey in flat plates. Red oak carries the distinctive shiny grey "ski trails" running down between the furrows, as if someone had drawn straight lines on the trunk.
• Shagbark hickory needs no explanation in February. Long plates of bark curl away from the trunk at top and bottom, giving the tree a permanently dishevelled look — and those loose plates are roosting habitat. Several bat species, including the northern long-eared, spend summer days pressed between shaggy bark and trunk, so a shagbark is bat infrastructure as surely as punky dead wood is chickadee infrastructure.
• Marcescence is the winter oak habit worth naming: young oaks and beeches hold dead brown leaves all winter rather than shedding them, releasing them only as the new buds push in spring. On a hillside in February the brown patches of held leaves map exactly where the young oaks are.</t>
  </si>
  <si>
    <t xml:space="preserve">• Crow nesting begins in late February and March, and crows are cooperative breeders: offspring from previous years frequently remain on the natal territory as helpers, defending it and feeding their younger siblings. A crow family group of five or six birds moving through a field together is usually parents plus grown children who have not left, and some helpers stay for several years.
• Barred owl courtship peaks now, and it is the least dignified sound in the winter woods — pairs escalate from the standard who-cooks-for-you, who-cooks-for-you-all into cackling, gurgling, monkey-like caterwauling that startles anyone hearing it for the first time. Barred owls have expanded and largely hold the wetter, lower woods, while great horned owls hold the open edges; where they overlap, the great horned kills the barred, and territories sort accordingly.
• The first turkey vultures may tilt over the valley on a warm southerly day, though the hilltop still reads as full winter.</t>
  </si>
  <si>
    <t xml:space="preserve">• Striped skunks emerge from winter dormancy (not true hibernation but torpor), leaving meandering tracks and occasional musk on thaw nights; raccoons resume travel the same nights.
• Gray squirrel mating chases peak — the spiraling, chattering pursuits of three or four males after one female through the bare canopy. Gray squirrels have two breeding seasons, this one and a summer one, and the winter litters are born into the coldest weeks of the year in leaf nests (dreys) or, preferably, tree cavities.
• Opossum. North America's only marsupial, and these hills are very near the northern edge of what it can survive. Opossums do not hibernate, do not truly den up, and forage through winter on a metabolism too low to generate much heat — which is why nearly every northern opossum has frostbitten ear margins and a stubbed tail. Their range has crept north with warming winters and human food subsidies within the last century; they were not here in colonial times.</t>
  </si>
  <si>
    <t xml:space="preserve">• The tick claim is worth correcting because it is everywhere: a widely repeated figure of ~5,500 ticks eaten per week came from a 2009 lab study of caged animals. In 2021, Hennessy and Hild examined the stomach contents of 32 wild opossums and, in a review of 23 further diet studies, found not a single tick or tick fragment. Opossums are excellent animals for many reasons — near-immunity to rabies owing to low body temperature, resistance to pit viper venom, prodigious scavenging — but tick control is not among them.</t>
  </si>
  <si>
    <t xml:space="preserve">• onion starts continue indoors; leek and celery seeds join them late in the window.
• Start onions, shallots and leeks indoors now — the longest lead time of anything in the seed box, ten to twelve weeks before the ground is workable. Breadseed poppies can be sown outdoors on the last snow, scattered on the surface where the freeze-thaw works them in; they need cold and light to germinate and resent transplanting entirely.
• Prune apples and peaches in late winter, and prune them differently. Apples take an open centre or modified leader with the aim of light into the middle of the tree. Peaches fruit only on one-year wood and need much harder annual cutting to keep producing it — an unpruned peach moves its crop higher and further out each year until it is fruiting where nothing can be reached.
• On these hills peaches are a marginal crop and worth treating as one. Flower buds are hardy to roughly −10°F and the tree itself to around −15°F, so the fruit is lost in most winters and made in perhaps one year in three or four. Planting on a slope where cold air drains away, rather than in a hollow, is the single thing that most improves those odds.</t>
  </si>
  <si>
    <t xml:space="preserve">• the sugar season, and whose it was first. Maple sugaring is an Indigenous technology that Europeans learned rather than invented. Haudenosaunee and Algonquian peoples across the northern woodlands were tapping maples and reducing sap long before contact, using heated stones and clay or bark vessels, and freeze-concentration on cold nights — the same principle as applejack, working in reverse. The Haudenosaunee Maple Ceremony marks this moment as the year's first thanksgiving, before anything else has stirred.
• Sugar was the point, not syrup. Before cheap cane, maple was reduced all the way to hard cakes and grained sugar, which kept indefinitely and travelled. Syrup as the primary product is a modern preference built on tin cans and refrigeration.
• And these hills run late. Sap moves when nights fall below freezing and days rise above it, and at 1,200 feet that alternation starts and ends behind the valley — the season here opens later and can run later, sometimes into the last days of March.</t>
  </si>
  <si>
    <t xml:space="preserve">• Sugaring here is older than metal. Before kettles, sap was concentrated by dropping fire-heated stones into wooden or bark troughs, and by letting the cold do the work — freezing sap overnight and discarding the ice, which is nearly pure water. The technology changed; the fortnight did not.
• Apple &amp; peach: dormant pruning season, and it runs from now until buds swell. Pruning in hard cold is fine and pruning in wet weather is not — fire blight and canker fungi both travel in moisture, so dry days are the rule, ideally cold and dry. Any dormant oil or copper for peach leaf curl goes on before bud swell; once the buds move, the window has closed for the year.</t>
  </si>
  <si>
    <t xml:space="preserve">Hazel Catkins Loosen</t>
  </si>
  <si>
    <t xml:space="preserve">March 1–15</t>
  </si>
  <si>
    <t xml:space="preserve">Spring</t>
  </si>
  <si>
    <t xml:space="preserve">• Mud season begins; frost leaves the ground unevenly — south-facing patches first, the Hills shadow line last — and drainage patterns write themselves plainly in any dirt lane.</t>
  </si>
  <si>
    <t xml:space="preserve">• Hazelnuts stage the hills' first bloom, weeks before anything else dares: male catkins elongate from stiff gray fingers into loose golden tassels shedding pollen on dry breezy days, while female flowers open as nearly invisible crimson tufts at the bud tips.
• Male red-wings arrive two to four weeks ahead of the females — an entirely separate migration — and spend that gap fighting over territory boundaries, so the earliest songs of the year are being sung to an audience of rivals rather than mates.
• Maples are among their preferred trees. On a healthy maple the damage is cosmetic, but on a stressed or declining one the wells are both an additional drain and a set of entry points for fungal pathogens.
• Red maple flowers first, weeks ahead of sugar maple, and it is the earliest red on the hill — dense clusters of tiny crimson flowers on bare grey twigs, visible as a haze across a whole slope before anything leafs out.
• Sugar and red maple are easiest to separate right now, by twig and bud rather than leaf: sugar maple buds are sharply pointed and brown; red maple buds are blunt, rounded and red. The leaves later settle it — sugar maple has smooth-sided sinuses between the lobes, red maple has jagged teeth throughout.
• Eastern hemlock holds the ravines and is the tree that makes them cold. Tiny flat needles with two white stripes underneath and a single small needle pressed flat against the twig underside — the field mark nothing else here shares. Hemlock casts the deepest shade of any tree in this forest, which is why a hemlock ravine has almost no understorey and holds snow weeks longer than the slope above it.</t>
  </si>
  <si>
    <t xml:space="preserve">• Red-winged blackbirds (Agelaius phoeniceus) return to the valley wetlands and Basic Creek margins, their konk-la-ree audible from below before any have claimed the hilltop itself.
• The red epaulet is a switchable badge, not fixed plumage. A territorial male flares it to blazing scarlet while song-spreading; the same bird crossing another male's territory can cover it almost completely with the surrounding feathers and pass as a subordinate. Experiments blackening the patch cause males to lose their territories outright — the badge does the work the fighting would otherwise require.
• Yellow-bellied sapsuckers return to drill in this window, and the work is unmistakable: neat horizontal rows of shallow, evenly spaced holes, drilled in lines and columns rather than scattered. The bird maintains the wells and returns to lick sap and trapped insects.</t>
  </si>
  <si>
    <t xml:space="preserve">• Hazel is wind-pollinated and frost-hardy, blooming in what is still functionally winter — a botanical act of faith from a shrub tough enough to resprout after repeated deer defoliation.
• Eastern chipmunks emerge from their winter torpor now on mild days — not true hibernation but a series of deep torpor bouts, waking every few days to eat from a larder stored in the burrow rather than living off fat. A chipmunk sleeps on top of its food supply, in a chamber where the seed pile is periodically excavated from beneath the animal.
• Bears begin leaving dens in March, males first, females with cubs last — and they emerge at the leanest, hungriest moment of the year into a landscape with almost no natural food. This is the peak window for bird feeder and garbage conflict, and the DEC guidance to pull feeders by late March is not a formality.
• Woodchucks are the region's only true hibernator among the large rodents — body temperature falling to near 40°F, heart rate to a handful of beats per minute — and males emerge weeks before females to locate burrows and begin the breeding season, which is the actual origin of the Groundhog Day observation.</t>
  </si>
  <si>
    <t xml:space="preserve">• Mourning cloak butterflies — which overwinter as adults tucked into bark crevices — flap raggedly through the woods on the first 50°F afternoon, the year's first butterfly, drinking sap runs rather than nectar.</t>
  </si>
  <si>
    <t xml:space="preserve">• Rhubarb is the first thing to move, red-pink crowns pushing through half-frozen ground. It needs the cold — a proper dormancy is what makes it crop — which is why it does well here and sulks in the south. Never eat the leaves; the blades carry oxalic acid at genuinely toxic levels, though the stalks are fine.
• Asparagus crowns go in this month, and the planting is a twenty-year decision — a well-sited bed produces for two decades or more, so the trench is worth digging properly. The discipline is in the waiting: cut nothing the first year, lightly the second, fully from the third.
• Sow onions, leeks and the brassicas indoors — cabbage, kale, bok choy, broccoli. Bok choy and the Asian brassicas are genuinely well suited to this climate, fast in cool weather and prone to bolting the moment it turns hot, which makes them a spring and autumn crop rather than a summer one.
• Cut raspberry and blackberry canes now. Summer-bearing raspberries fruit on second-year canes: remove the ones that fruited last year — grey, peeling, obviously dead — and keep the green ones. Fall-bearing types can simply be mown to the ground.</t>
  </si>
  <si>
    <t xml:space="preserve">• Frost-heave is an excellent archaeologist. Mud season pushes stone to the surface, and on this escarpment some of what surfaces is chert — the flint that gave the Kanien'kehá:ka their name, and the reason Paleoindian hunters climbed hills like this one thirteen thousand years ago carrying nothing but the intention to knap. A flake with a conchoidal fracture and a feathered edge is not a natural shape.
• Bare-stem season is the honest season for telling Virginia creeper from poison ivy, since both climb the same trunks and both are leafless now. Virginia creeper climbs with branched tendrils tipped in small adhesive pads, so its stem lies flat and tidy against the bark. Poison ivy climbs with dense reddish-brown aerial rootlets that make the vine look furry or hairy — the classic hairy rope. When the leaves return, the count settles it: creeper carries five leaflets, poison ivy three.
• tomato seeds start indoors mid-March (6–8 weeks before the ~May 20–25 transplant gate); peppers, if grown, start even earlier in this window. Breadseed poppies surface-sow now directly onto late snow or bare frozen ground — they require cold stratification and light to germinate, and freeze-thaw honeycombing pulls the seed into perfect contact.</t>
  </si>
  <si>
    <t xml:space="preserve">• learn to tell sapsucker from borer. Sapsucker damage is orderly — rows and columns, all holes the same size. Borer damage is disorderly — scattered round or oval exit holes at irregular spacing, often with frass or fine sawdust at the base of the trunk. Wood-boring beetles colonise trees already in decline, so their presence confirms a tree is failing for other reasons rather than explaining the failure.
• The sap wells feed others. Hummingbirds arriving before the first flowers open rely on sapsucker wells for sugar, and follow the birds around; kinglets, warblers and red squirrels use them too.</t>
  </si>
  <si>
    <t xml:space="preserve">Redwings Climb the Hill</t>
  </si>
  <si>
    <t xml:space="preserve">March 16–31</t>
  </si>
  <si>
    <t xml:space="preserve">• The vernal equinox passes (March 19–21), bringing the fastest daylight gain of the whole year — nearly three minutes per day.</t>
  </si>
  <si>
    <t xml:space="preserve">• Spring peepers begin in the valley's low wet spots; the hills' cold hollows stay silent a while longer — a perfect annual demonstration of the microclimate lag.
• Strategic invasive window: Morrow's honeysuckle breaks bud earlier than any native shrub, and for these two weeks it stands out in the gray woods as if highlighted — the easiest time of year to mark, cut, or pull it.
• Speckled alder flowers before anything leafs out, long purple-brown male catkins loosening and lengthening in the wet margins on the first warm days. The name comes from the pale horizontal lenticels speckling its bark — breathing pores, visible year-round and the easiest winter identification.
• It fixes its own nitrogen, and not the way legumes do. Alder partners with Frankia, a filamentous bacterium, in an actinorhizal symbiosis — the same arrangement as bayberry. This is why alder colonises raw wet mineral ground where nothing else will start, and why it improves the soil for everything that follows it.</t>
  </si>
  <si>
    <t xml:space="preserve">• Blackbirds and grackles finally claim the hilltop, a week or more after their valley kin.
• Late March opens the hills' finest crepuscular theater: American woodcock begin the sky dance on mild evenings — the nasal, insistent peent from field edges, then the twittering spiral flight three hundred feet up on whistling wing feathers, and the silent zigzag fall.
• Eastern phoebes return to check previous years' nest sites; turkey vultures become daily.
• Female red-winged blackbirds arrive now and look like an entirely different species — heavily streaked dark brown, sparrow-like, with no red anywhere. Half of all reports of "a strange large streaky sparrow in the wet field" are female red-wings.
• Red-wings are among the most polygynous birds in North America: a single male may hold five to fifteen nesting females on a good territory. Yet genetic studies find that roughly a quarter to a half of nestlings are sired by other males, so the territory holder is often provisioning a substantial number of another bird's young. The showiest male on the cattails is running a considerably less exclusive operation than he appears to be.
• Turkey. Gobbling begins as daylight lengthens — the sound carries a mile or more on a still morning, and gobbles are delivered from the roost before fly-down. Toms strut in full display with tail fanned, wings dragging, feathers erect, and the bare head flushing between red, white, and vivid blue as blood flow shifts with excitement. The snood — the fleshy appendage over the bill — elongates dramatically during display, and hens have been shown to prefer long-snooded males.
• Wild turkeys here are the eastern subspecies, Meleagris gallopavo silvestris, and their presence is the most complete wildlife restoration in New York's history. Unregulated hunting and the clearing of about 75% of the state left the last wild birds recorded in the 1840s. A century later, around 1948, turkeys from a remnant Pennsylvania population walked north across the border into western New York on their own as abandoned hill farms returned to woods. Game-farm releases in the 1950s failed — pen-raised birds could not evade predators — and it was live trap-and-transfer of genuinely wild birds, begun in 1959, that repopulated the state. Every turkey in these hills descends from birds that walked back.
• Screech owls are calling and nesting now. The voice is not a screech at all but a descending whinny, like a small horse, or a low even trill on one pitch. Both red and grey colour morphs occur here, in the same broods.</t>
  </si>
  <si>
    <t xml:space="preserve">• Porcupine. Slow, nearsighted, and entirely committed to a defense that works: roughly 30,000 quills, each a modified hair tipped with microscopic backward-facing barbs that make extraction agonizing and drive the quill deeper with muscle movement. Porcupines cannot throw quills — the tail slaps, and quills detach on contact.
• Porcupine winter feeding sign is unmistakable and worth learning: irregular pale patches of stripped bark high in hemlocks and sugar maples, coarse nipped twigs on the snow beneath, and a conical pile of sawdust-like scat at the base of a den tree or rock crevice, sometimes years deep. They den communally in cold snaps and can girdle and kill a favored tree over successive winters.
• Porcupines crave sodium to a degree that shapes their behavior — gnawing plywood, axe handles, outhouses, road-salted surfaces, and anything human hands have sweated on.
• The Big Night belongs to this microseason. On the first rainy evening when air temperature holds above about 40°F, spotted salamanders and wood frogs move en masse to the vernal pools, often over snow and frozen ground, sometimes in a single night. The salamanders return to the pool they hatched in, and the whole migration can be over before midnight.
• Wood frogs spend the winter frozen solid, heart stopped, up to two-thirds of their body water turned to ice, protected by glucose flooded into their cells as cryoprotectant. They thaw and are calling within days. The sound is a low clacking, more like ducks than frogs, and it is one of the first animal voices of the year.
• Fishless seasonal water is the whole point. A pool that dries by late summer cannot hold fish or bullfrogs, which is precisely why wood frogs and spotted salamanders require it — and why a shallow spring pool is worth more than a permanent pond.
• They are cavity nesters and take boxes readily, which makes them the most attainable owl to add to a property. They hunt small mammals nocturnally, and a resident pair works the same ground a kestrel works by day.
• Woodchucks come out now, and the males come out first. They are true hibernators — body temperature down near ambient, heart rate to a few beats a minute — and males emerge weeks ahead of females to find burrows and establish position before breeding. That head start is the actual origin of the Groundhog Day story: something is genuinely out and moving in February, and it is a male checking the neighbourhood.
• Their burrows are infrastructure for everyone else. A woodchuck digs a system with multiple entrances, a nesting chamber and a separate latrine, and when it moves on, foxes, skunks, opossums, rabbits and weasels all take over the hole. On a hill with little natural cover, abandoned woodchuck burrows are the main below-ground housing supply.
• Beavers become visible again as ice breaks, and their work is the oldest landscape engineering here. Trapped out of this region entirely by the early nineteenth century — the fur trade reached the Hudson Valley before almost anything else did — they returned through the twentieth and now shape every low-gradient stream they can reach. Where a seasonal channel widens into wet meadow, a beaver dam is often the reason, even if the dam itself failed decades ago.</t>
  </si>
  <si>
    <t xml:space="preserve">• onion starts harden off late in the window on mild days; brassica and lettuce seeds can start indoors for the earliest transplants.
• Sow the cold crops as soon as the ground can be worked — radishes, lettuce, spinach, peas, turnips, and the first carrots. Radishes are ready in three to four weeks and are the honest test of whether the season has actually started.
• Start tomatoes indoors now, six to eight weeks ahead of a transplant date that cannot safely come before the very end of May. Basil goes in later: it sulks below 50°F and will not be hurried, so starting it early produces a leggy plant rather than an early crop.
• Chamomile, St. John's wort and pansies all want cold to germinate. Sow chamomile and pansies on the surface and press in without covering — both need light — and St. John's wort benefits from a period of cold stratification, which a March sowing outdoors supplies for free.
• Plant bare-root trees and vines while dormant, before bud break: apples, hazelnuts, chestnuts, walnuts, oaks, willows and grapes. This is also the window for cedar and balsam, and the reason spring beats autumn for conifers on shallow soil is winter desiccation — an evergreen transpires all winter while the ground is frozen and there is no reservoir to draw from.</t>
  </si>
  <si>
    <t xml:space="preserve">• The passenger pigeon. This is the fortnight they came. Flocks a mile wide and hours long, moving up the Hudson corridor and over these hills — an estimated three to five billion birds, possibly the most abundant bird that ever lived, and the loudest thing in the eastern sky. They were gone from New York by about 1900 and gone entirely on September 1, 1914. Every March here is a March missing its central event, and nothing has grown into the space they left. There is a local relic of them, and it is a strange one: passenger pigeon bones have been recovered from clay deposits in Diddly Cave near Clarksville, alongside those of varying hare, in a karst system carved by meltwater beneath the retreating ice. The bird that vanished a century ago is preserved in a cave that records the end of the last glaciation — two of this calendar's ghosts in the same handful of sediment.
• spilanthes / toothache plant (Acmella oleracea) starts indoors now, roughly eight weeks ahead of the late-May transplant gate. It is a frost-tender tropical annual from Brazil with no winter hardiness whatsoever at this elevation, so it is a container-or-transplant crop every single year.</t>
  </si>
  <si>
    <t xml:space="preserve">Woodcock Sky Dance</t>
  </si>
  <si>
    <t xml:space="preserve">April 1–15</t>
  </si>
  <si>
    <t xml:space="preserve">• Coltsfoot — dandelion's earlier, scalier cousin — blooms along lane edges and disturbed ground; bloodroot unfurls in richer woods-edge soil, each white flower wrapped in its own leaf like a hand around a candle.
• Spicebush flowers before its leaves, a haze of tiny yellow-green clusters along bare grey twigs in the wet understory — one of the earliest woody plants to bloom here, and easy to mistake for a yellow mist at a distance. Every part of it is aromatic: crush a twig and the smell is somewhere between allspice and citrus. The leaves and twigs made a widely used tea, and the dried red fruit was used as a substitute for allspice.
• Marsh marigold opens in the seeps — deep glossy yellow, five to nine petal-like sepals, in the wettest ground it can find. It is a buttercup relative and toxic raw; traditional preparation involved boiling through several changes of water, and it is not worth attempting casually.
• Skunk cabbage now sends up its leaves, after the flower rather than with it — huge, bright, cabbage-like, expanding fast enough to watch. They will be gone entirely by August, collapsing into slime and leaving almost nothing behind, so the plant's whole above-ground year runs February to July.
• Elm flowers now too, small reddish clusters before the leaves, followed quickly by papery round samaras. American elm survives here as young trees rather than old ones — Dutch elm disease kills them at roughly fifteen to twenty years and a few inches of diameter, so the species persists in the understorey but has effectively vanished from the canopy.
• Butternut is worth searching for while the canopy is still open. A native walnut relative, now uncommon: butternut canker has killed the large majority across its range, and surviving trees are of real conservation interest. Bark is pale grey with flat-topped ridges in a diamond pattern, and the twig pith is chambered and dark chocolate brown — cut one lengthwise to confirm.</t>
  </si>
  <si>
    <t xml:space="preserve">• Peak woodcock display — the hills' signature spring ritual — runs roughly 45 minutes after sunset on evenings above 40°F with light wind.
• Peak turkey display. Toms gather harems and fight in earnest — spurs and wing-beating, sometimes for many minutes — while hens begin slipping away to nest. Dominant toms do most of the breeding, and satellite males often hang at the edges of a display without ever mating; brothers sometimes strut cooperatively, one displaying while the other never breeds, which pays off genetically through shared ancestry.
• Northern saw-whet owls move north through in April — a bird the size of a soda can that is far more common than almost anyone realizes. Their spring advertising call is a monotonous, mechanical toot-toot-toot at roughly two notes per second, easily mistaken for a truck backing up or a distant beeping electronic. Migration banding across the Northeast has repeatedly caught more saw-whets in a single autumn night than most birders see in a lifetime of looking.
• Blue jays turn quiet and inconspicuous now, which is the reverse of their reputation. Nesting jays are secretive — they stop screaming, slip in and out of the nest tree silently, and a pair can raise a brood in a dooryard without being noticed at all.
• The chorus of returning birds builds daily: field sparrows trilling like a dropped ping-pong ball in the old field, brown thrashers in the multiflora tangles (the one grudging service that invasive provides), yellow-bellied sapsuckers testing every resonant surface.
• Cinnamon fern fiddleheads come up wrapped in wool. The dense cinnamon-coloured fuzz is hummingbirds strip it for nest lining — arriving in exactly these weeks and building with material this plant is producing at the same moment. Two species keeping the same schedule for entirely different reasons.</t>
  </si>
  <si>
    <t xml:space="preserve">• Wood frogs, explosive breeders, gather in ephemeral pools for a brief clacking-duck chorus, often with ice still rimming the water; spring peepers reach the hills' cold hollows by mid-month, a full week behind the valley.
• White-tailed deer, gaunt and shedding, hit young woody plantings hardest now — the hungriest gap of their year; this is the season tree-tube protection on young hazels matters most, and the window to check tubes for frost heave.
• The reason late-winter deer starve with full stomachs is microbial: a deer's rumen flora is seasonally specialized, and an animal adapted over months to woody browse cannot immediately digest rich spring growth or supplemental corn. Emergency feeding in March routinely kills deer outright — rumen acidosis — which is why the practice is discouraged and, in New York, illegal.
• Bucks have cast their antlers by now, and the sheds are on the ground for a very short window — mice, squirrels, and porcupines gnaw them for calcium and phosphorus and can consume a shed entirely within a season. A shed with tooth-grooves along its edges has already been in the rodent economy.
• Yearling bears — last year's cubs, newly evicted by their mothers ahead of the breeding season — disperse now, and these naive young animals account for most unexpected bear appearances in odd places.
• Its roots pull it downward. Skunk cabbage has contractile roots that shorten each year and drag the crown deeper, which is why an old plant sits so far down that digging one out is close to impossible.
• Quaking aspen flowers before leafing, long grey catkins hanging in numbers, and the whole grove does it simultaneously because the whole grove is one organism — aspen spreads by root suckers, and a hillside stand is typically a single clone sharing one root system. Clones leaf out, flower and turn colour on their own schedule, which is why adjacent aspen groves change colour at visibly different times in autumn.</t>
  </si>
  <si>
    <t xml:space="preserve">• The first hive inspection of the year goes on the first calm afternoon above 55°F, and it should be brief. What matters is whether the queen is laying — eggs and capped brood — and whether there is food. Nothing else is worth the heat loss.
• This is the hungry gap for bees as well as people. Colonies are expanding fast while very little is in bloom, and the willow, maple and dandelion flowering now are the critical early forage — which is the strongest practical argument against mowing dandelions in April.
• Plant strawberries now, and pinch the first year's flowers off to build crowns rather than fruit. June-bearers give one large crop; everbearers spread a smaller yield across the season — for preserving, June-bearers win.
• Plant bare-root berries while dormant — blueberries, currants, gooseberries, aronia, elderberry, honeyberry. Blueberries want pH 4.5 to 5.5, which the naturally acid soil here supplies without amendment. Plant at least two varieties; most berry crops set far better fruit with a cross-pollinator.</t>
  </si>
  <si>
    <t xml:space="preserve">• the hungry gap, and the spring tonic. This is the leanest fortnight of the agricultural year: the root cellar is nearly empty, nothing is ripe, and the stored food has been eaten or has spoiled. Every culture that farmed these hills answered it the same way — with the first green things, eaten as much for the change as for the nutrition.
• Ramps (wild leeks) come up in rich shaded ground now, and were dug by Indigenous peoples across this region long before anyone else arrived; the Irish and Germans who came later slotted them straight into the same role as wild garlic and wild onion at home. Dig sparingly — a ramp takes five to seven years to reach harvestable size, and whole patches have been eliminated by commercial digging. Cutting a single leaf and leaving the bulb is the low-impact method.
• Dandelion greens, nettle, watercress, dock and violet leaves were all spring-tonic foods here. Nettle in particular carried the same reputation in Irish, German and Indigenous practice independently — a bitter green taken deliberately after a winter of salt meat and starch.
• Fiddleheads of ostrich fern uncoil in damp bottomland shortly after this, and remain the one genuinely commercial wild vegetable of the Northeast.</t>
  </si>
  <si>
    <t xml:space="preserve">• Coltsfoot is itself a ghost of arrival — a European medicinal plant carried over deliberately for cough remedies (its genus, Tussilago, means "cough dispeller") and long since escaped into every disturbed roadside in the Northeast. Half the earliest blooms of a hill's spring are immigrants with paperwork.
• as soon as soil is workable and ~40°F, the cold-soil crew direct-sows — radishes, spinach, and the first lettuce mid-to-late month; onion sets and hardened starts go out late in the window. Catnip and cilantro seeds can start indoors.</t>
  </si>
  <si>
    <t xml:space="preserve">Peepers in the Cold Hollows</t>
  </si>
  <si>
    <t xml:space="preserve">April 16–30</t>
  </si>
  <si>
    <t xml:space="preserve">• The last snow of the year remains entirely possible; the hill has seen accumulating snow in the first days of May, so nothing tender goes in the ground yet, whatever the valley garden centers are selling.</t>
  </si>
  <si>
    <t xml:space="preserve">• Full amphibian chorus at last, and the hill greens from the bottom up — literally, since invasive honeysuckle leafs out first, then multiflora rose, well before the natives.
• The invaders' head start is precisely why they are invasive — the technical term is extended leaf phenology, stealing light in both shoulder seasons — and it keeps them easy to map for another two weeks.
• Serviceberry (shadbush) blooms white at valley woodland edges now; the hills' own follows at the very end of the month.
• Pennsylvania sedge greens up before almost anything else and is easy to mistake for grass. It forms soft, fine-textured patches in dry shade under oaks — one of the few plants that thrives on thin, acid, root-filled ground beneath a closing canopy. Its flower spikes come and go in April, small and easily overlooked, and it is functionally the native answer to lawn on this kind of soil: no mowing, no water, no fertility.
• Wild columbine hangs its red-and-yellow lanterns on rock. It grows out of ledges, crevices and thin stony ground — exactly the shallow-soil-over-bedrock condition that limits everything else here — and it is one of the first hummingbird flowers of the year, opening in step with their arrival. The spurs hold nectar only a long bill or tongue can reach.
• They are in decline across the Northeast, and they need exactly this configuration: open grassy hunting ground with perches at its edge. A box mounted ten to twenty feet up and facing open field is one of the few interventions that is simultaneously a conservation contribution and a practical rodent measure.</t>
  </si>
  <si>
    <t xml:space="preserve">• Ruby-crowned kinglets and the first warbler scouts — pine, palm, yellow-rumped — move through the dogwood thickets.
• Chickadees excavate their own nest cavities rather than only occupying found ones, chiseling into soft punky wood — dead birch, rotting stubs of gray dogwood and locust — and carrying the chips a distance away before dropping them, so as not to advertise the site. Standing dead wood of small diameter is therefore chickadee infrastructure, not clutter.
• Hen turkeys are on the ground incubating now, in a shallow scrape against a log or in dense brush, and they sit exceptionally tight — relying entirely on camouflage and often not flushing until nearly stepped on. Nests are highly vulnerable to raccoon, fox, skunk, and coyote at this stage.
• Hermit thrush song begins in the damper woods: the spiraling flute-phrase that is arguably the finest sound the Northeast produces.</t>
  </si>
  <si>
    <t xml:space="preserve">• A cornered nesting chickadee performs the snake display: a sudden explosive hiss and lunge inside the dark cavity, evolved to convince a probing predator that something worse lives there.
• Titmice line their nests with mammal hair, and they do not wait for it to be shed — they pluck it directly from live animals, documented on woodchucks, dogs, raccoons, and sleeping people. A titmouse nest can be a shed-fur inventory of every mammal on these hills.
• Bats emerge from hibernation and reappear over the fields at dusk — and the count is a fraction of what it was. White-nose syndrome began about twenty-five miles from these hills: first photographed in a bat at Howe Cave in Schoharie County in February 2006, confirmed in surrounding caves the following winter, and now spread across most of the continent. The fungus Pseudogymnoascus destructans rouses hibernating bats repeatedly, burning the fat reserves that must last until spring. Little brown bat declines in New York hibernacula approached 90–100%.
• The species most likely overhead now are big brown bats (the most WNS-resilient, and the ones that use buildings) and the increasingly scarce little brown; northern long-eared and tri-colored bats are federally or state listed and functionally rare. A single bat can take thousands of insects nightly, so this is also a story about mosquito and moth populations.
• Beaver kits are born in May in the lodge; yearlings from the previous litter are still present, making a beaver colony a three-generation household.
• American kestrels are nesting in this window, and they are the daytime half of the vole answer. North America's smallest falcon, and a cavity nester that will not excavate its own — so in a landscape short of old snags it is limited by holes rather than by food.
• They hover, which no other small falcon here does — holding position on rapid wingbeats over grassland, then dropping. They can see ultraviolet, and vole urine trails fluoresce in UV, so a kestrel reads the field as a map of marked runways invisible to everything else.
• Eastern cottontails begin breeding, and the pace is the point. A female can produce three to five litters a season, each after a month's gestation, and can conceive again within hours of giving birth. The young are weaned at about three weeks. That reproductive rate is what allows a prey species to persist under pressure from every predator on the hill at once.
• Their nests are in plain sight and are constantly mistaken for abandoned. A shallow scrape in grass, lined with fur and dried vegetation, with the doe returning only at dawn and dusk to nurse — she stays away deliberately, because her scent at the nest is what would draw a predator to it. A nest of apparently unattended young rabbits is almost never abandoned.
• Chipmunks are out in force after the winter in torpor. They do not truly hibernate: they wake every few days through the cold months to eat from the cached seed in the burrow, which is why the autumn hoarding matters so much. The cheek pouches hold a startling volume — a chipmunk can carry dozens of seeds at once, and the bulging face in April is a burrow being restocked.
• The hibernating bats emerge now and are at their thinnest of the year, having burned nearly all their fat. Big brown bats come out earliest and can be seen hunting on mild evenings well before the Myotis species appear.
• Females form maternity colonies in this window — warm, enclosed spaces where they raise young communally: attics, barns, bat houses, and under the loose plates of shagbark hickory bark, which is the natural roost northern long-eared and Indiana bats prefer. A shagbark hickory is bat infrastructure, and it is the single best argument for leaving them standing.
• Migratory bats return at the same time. Eastern red, hoary and silver-haired bats roost singly in foliage, hanging wrapped in their own furred tail membranes and looking convincingly like dead leaves. The hoary bat is the largest in New York and the most strikingly marked — frosted silver-tipped fur, a wingspan approaching sixteen inches.
• Flying squirrels are raising their first litter now. Southern flying squirrel is probably the most abundant squirrel in these woods and is almost never seen, being strictly nocturnal. Northern flying squirrel also occurs at this elevation and is the larger, more boreal of the two.</t>
  </si>
  <si>
    <t xml:space="preserve">• Sugar maple flowers open — easily missed, but visible as chartreuse tassels dangling before the leaves, feeding the earliest native bees.
• Morels come now, and the timing follows soil temperature rather than the calendar — roughly when soil at four inches reaches the low 50s, which here means late April into May. Look near dying or recently dead elms, around old apple trees, and on south-facing slopes first.
• The hollow test is the one that matters. A true morel is completely hollow from tip to stem base when sliced lengthwise, with the cap fused to the stem. False morels are cottony or chambered inside and the cap hangs free — and they are genuinely toxic. Never eat any morel raw.
• Dryad's saddle fruits at the same moment, a large fan-shaped bracket on dead hardwood with hexagonal pores beneath and a distinct smell of watermelon rind. It is edible only while very young and tender, and its main use is as a morel indicator — the two appear together.</t>
  </si>
  <si>
    <t xml:space="preserve">• beets, carrots, and more lettuce and spinach direct-sow now (2–4 weeks before last frost); cilantro direct-sows late in the window; basil starts indoors — it goes outside only when nights hold above 50°F.
• Plant potatoes now, cut into pieces with at least two eyes and left a day to callus before going in. Potatoes want acid soil — pH 4.8 to 5.5 suppresses scab — which makes them one of the few crops the natural soil chemistry here actively favours rather than fights.
• Sunchokes and groundnut go in this window, and both deserve a caution before planting. Sunchokes are effectively permanent: any tuber fragment left in the ground regrows, so they belong in a bed you are content to give them for good. Groundnut (Apios americana) is a native perennial vine that fixes nitrogen and produces a string of edible tubers — a staple food across Indigenous eastern North America, and it wants exactly the damp ground the wet edge of this country provides.
• Set out pansies, and sow cilantro directly — cilantro bolts the moment heat arrives and cannot be transplanted well, so successive small sowings every two weeks beat one large one.
• Transplant perennial herbs now — thyme, oregano, mint, catnip. Thyme and oregano are Mediterranean and want the thin dry stony ground that defeats everything else here, so the worst soil on these hills are the right place for them. Mint and catnip need containing, by pot or by buried barrier, or they take the bed.</t>
  </si>
  <si>
    <t xml:space="preserve">• The American elm. Dutch elm disease arrived in the 1930s and by the 1970s had taken the tree that arched over nearly every village street and stood alone and vase-shaped in nearly every pasture in the Northeast. Elms still sprout and grow to fifteen or twenty feet in hedgerows before the beetles find them — the species persists as a permanent adolescent, never again reaching the canopy.
• Peach blooms now, and this is the entire problem with peaches in these hills: pink flowers opening in late April, weeks before the last-frost gate closes around May 20–25. Peach flower buds are also killed outright at roughly −10°F to −15°F, temperatures a 1,200-foot Helderberg hilltop reaches in most winters. A peach here is a legitimate gamble rather than a crop — fruit perhaps one year in three or four, in the hardiest cultivars (Reliance is the hardiest widely available, with Contender, Madison, and Veteran behind it), and best sited mid-slope where cold air drains past rather than in a hollow where it pools.
• The bats. Within living memory, a summer dusk on an open hilltop like this one meant dozens of bats working the field, and the loss is recent enough that many people remember it happening. What makes it unbearably local is the origin: white-nose syndrome entered North America at Howe Cave in Schoharie County, roughly twenty-five miles from these hills, first photographed in February 2006 — most likely carried in on the clothing of a caver returning from Europe, into a commercial cave visited by hundreds of thousands of people a year. Millions of bats have died across the continent since. This particular extinction event has a documented ground zero, and it is within an easy drive.</t>
  </si>
  <si>
    <t xml:space="preserve">Green Fire in the Honeysuckle</t>
  </si>
  <si>
    <t xml:space="preserve">May 1–15</t>
  </si>
  <si>
    <t xml:space="preserve">• Frost remains a live threat through the end of this microseason and into the next; the growing season is real but probationary.</t>
  </si>
  <si>
    <t xml:space="preserve">• The green wave finally crests the hill, a week to ten days behind the Hudson Valley — and once started it moves with astonishing speed, leaf-out compressing into days: chokecherry, gray dogwood, maple saplings, black locust last of all (locust is famously late; a bare locust in mid-May is healthy, not dead).
• Males precede females by roughly a week to ten days, and the arrival date in these hills are strikingly consistent year over year despite the ten-day lag behind the valley.
• The Haudenosaunee ceremonial calendar honors the planting season now, and the traditional wisdom of waiting for the proper signs before planting reads in these hills as straightforward practical advice.</t>
  </si>
  <si>
    <t xml:space="preserve">• Warbler migration peaks in these two weeks: ovenbirds shouting teacher-teacher-teacher from the woods floor, black-throated greens in the conifers, chestnut-sided warblers claiming exactly the shrubby second-growth this landscape specializes in.
• Ruby-throated hummingbirds return — reliably within a few days of May 10 at this elevation — and Baltimore orioles pass through the flowering treetops.
• Hummingbird. The ruby-throated (Archilochus colubris) is the only hummingbird that breeds east of the Mississippi — a single species carrying the entire eastern hummingbird niche, unlike the western states with a dozen. Anything unusual at an eastern feeder is therefore genuinely unusual.
• Many arrive by crossing the Gulf of Mexico nonstop — roughly 500 miles over open water, up to twenty hours of continuous flight, on a bird weighing about three grams that nearly doubles its body weight in fat beforehand. Others take the longer coastal land route. Both strategies exist in the same population.
• The sapsucker connection is the key to their timing here: hummingbirds arrive well before most nectar flowers open at 1,200 feet, and they survive the gap by feeding at the sap wells drilled by yellow-bellied sapsuckers — the neat horizontal rows of holes on birches, maples, and hemlocks. The sap runs about the same sugar concentration as flower nectar, and the wells trap insects besides. Hummingbird northward migration tracks sapsucker distribution closely enough that the woodpecker is effectively the hummingbird's advance infrastructure crew.</t>
  </si>
  <si>
    <t xml:space="preserve">• Overnight, a hummingbird enters deep torpor — body temperature falling toward the ambient air, heart rate dropping from over a thousand beats per minute to a few dozen, the bird cold and unresponsive on its perch until it shivers itself back to operating temperature at dawn. On a cold May night in these hills, a hummingbird is effectively switched off.
• Porcupines give birth to a single enormous porcupette — relative to the mother, one of the largest single offspring of any rodent — born with soft quills that harden within hours, and able to climb within days.
• The first chipmunk litter appears above ground; chipmunks produce two litters a year here, this one and a late-summer one.
• Bear breeding season opens in late May and runs through June. Bears practice delayed implantation — the fertilized egg floats unattached for months and only implants in late autumn, and only if the female has put on enough fat. A poor mast year therefore erases a pregnancy that already happened, months after the fact.</t>
  </si>
  <si>
    <t xml:space="preserve">• Morel season, such as it is on acidic soil, peaks near old apple trees and dying elms.</t>
  </si>
  <si>
    <t xml:space="preserve">• succession sowings of lettuce, radishes, beets, and carrots continue; potatoes go in; tomato starts harden off on mild days but stay under cover at night.
• Swarm season opens. A colony that has outgrown its box will throw a swarm — the old queen leaving with half the bees — and the signal is queen cells along the bottom edge of the frames. Checking weekly through May and giving space early is the whole of swarm prevention.
• Sow buckwheat as a first cover crop on any bare ground. It germinates in days, flowers in about a month, and is one of the best short-season bee plants available — then it is cut before it seeds, and the ground is ready for something else.
• Set out the brassicas — cabbage, kale, bok choy — and collar the stems against cutworms. Plant pumpkins, squash and zucchini at the end of this window once soil is genuinely warm, and plant them where they can run; a single zucchini plant will cover a surprising amount of ground, and three is a mistake most gardeners make once.
• Sow beets and more carrots, and thin beets ruthlessly — each "seed" is a cluster of several, so an unthinned row produces greens and nothing else.</t>
  </si>
  <si>
    <t xml:space="preserve">• American ginseng, which grows in exactly this region's rich shaded slopes, has been dug for export to China continuously since the 1700s — one of colonial New York's earliest cash exports and one of its longest-running extractions. Wild populations across the Northeast are a fraction of what they were, and the plant's rarity is not natural scarcity but three centuries of steady removal. The chestnut-sided warbler is the mirror image: rare in Audubon's day, abundant now, because clear-cutting and farm abandonment manufactured exactly the scrubby habitat it needs. Some ghosts are made by taking; some are made by leaving.
• Apple bloom opens in the last days of this window — pink bud, then white — running about a week behind valley orchards. Old orchard remnants and wild seedling apples bloom alongside the chokecherries.</t>
  </si>
  <si>
    <t xml:space="preserve">• Cedar-apple rust announces itself now if it is present. It requires eastern red cedar within roughly a mile as its alternate host, and on the cedars the galls swell in wet spring weather into bizarre orange gelatinous horns; on the apples, bright orange spots follow on the leaves a few weeks later. Removing nearby cedars is the old prescription and rarely practical; resistant cultivars are the modern one.</t>
  </si>
  <si>
    <t xml:space="preserve">Chokecherry Snow</t>
  </si>
  <si>
    <t xml:space="preserve">May 16–31</t>
  </si>
  <si>
    <t xml:space="preserve">• The Eta Aquariid meteors (peaking early May) yield to the quiet sky of early summer; Vega climbs the northeast after dusk, herald of the Summer Triangle.</t>
  </si>
  <si>
    <t xml:space="preserve">• The last-frost gate finally closes, roughly May 20–25 — a week or more after Albany's average — opening the tender planting season.</t>
  </si>
  <si>
    <t xml:space="preserve">• Chokecherries bloom — dense white bottlebrush racemes humming with native bees, small flies, and the first butterflies of substance — and when the petals drop at month's end they fall like a second, kinder snow; apple and wild cherry join.
• This is the hills' floral crescendo; its scent on a warm evening is the year's best argument for the place.
• Oak flowering passes almost unnoticed and is worth catching. Long yellow-green catkins hang in curtains from every oak as the leaves expand, and the pollen is wind-carried in quantity — the yellow film on standing water in late May is largely oak.
• The two oak groups keep different clocks, and the difference is visible on the twig. White oak group — white, chestnut and swamp white — ripens acorns in a single season, from flower in May to acorn in September. Red oak group — red, black and scarlet — takes two full years, so a red oak in May carries two crops at once: the tiny first-year acorns just set, and the previous year's now swelling toward autumn. Learning to see both on one twig is the fastest way to tell the groups apart.
• Shagbark hickory leafs out among the very last, later even than black locust, and unfolds enormous compound leaves in a rush once it starts. The buds are equally distinctive when they break — large, and the outer scales peel back like a flower before the leaf emerges.
• Swamp white oak carries its acorns on long stalks, unlike its relatives, which sit theirs tight against the twig. It is the easiest field mark on the species, and the peeling, papery bark on its young branches is the other.
• Black gum leafs out late and glossy, the leaves so polished they look wet. It is one of the longest-lived hardwoods in eastern North America — individuals over six hundred years old are documented —
• This is the fortnight to hunt for American chestnut remnants, because the leaves are out and the understorey has not closed in. An estimated 430 million wild American chestnuts survive in the native range, nearly all as root-collar sprouts under an inch in diameter — the roots were never killed, and they have been sending up shoots for over a century.
• The cycle is fixed and relentless: sprouts grow for roughly ten to twenty years, the blight finds them, they die back to the root collar, and the root sends up more. They almost never reach reproductive size before it happens.
• The identification test is the leaf underside. American chestnut leaves are canoe-shaped, five to nine inches, coarsely toothed with large hooked teeth, and completely smooth on both sides — no fuzz underneath. Chinese chestnut leaves are fuzzy below, and most reported American chestnuts turn out to be Chinese. Look for clustered live stems around a dead central one, which is the classic remnant form.
• A sprout over twenty feet tall with a trunk over six inches is genuinely rare and worth reporting to the New York chapter of The American Chestnut Foundation.</t>
  </si>
  <si>
    <t xml:space="preserve">• Hummingbird nesting is done entirely by the female — males contribute nothing beyond mating and are actively driven off. The nest is a walnut-sized cup of plant down bound with spider silk and shingled in lichen, and the silk is what makes it work: the cup stretches as the two jellybean-sized nestlings grow. It is almost perfectly camouflaged as a bump on a downsloping branch, and finding one is a genuine achievement.
• Turkey poults hatch in late May and early June. They leave the nest within a day and follow the hen immediately, unable to fly for about ten days — the most dangerous stretch of a turkey's life, and the reason cold wet Junes produce weak year-classes. Poults feed almost entirely on insects for their first weeks, not seeds, so an unmown insect-rich field is turkey nursery habitat.
• Whip-poor-wills, once common on exactly this kind of brushy upland edge, have declined steeply across the region — their absence, or a single calling bird, is worth recording on a warm still night now.
• The dawn chorus peaks in these two weeks, beginning a bewildering ~4:30 a.m.: field sparrow, indigo bunting, common yellowthroat, chestnut-sided warbler — the old-field ensemble, all breeding, all loud.</t>
  </si>
  <si>
    <t xml:space="preserve">• Fawns begin dropping in the last days of May, curled motionless in tall grass; tall grass deserves a walk-through before any mowing.
• Snapping turtles haul out of valley wetlands to lay eggs in any workable gravel, including road shoulders and lane edges.
• A newborn fawn is nearly scentless, and its instinct is to lie flat and motionless rather than flee — so the doe deliberately leaves it alone for hours at a time, feeding at a distance to avoid drawing predators to the spot. A fawn found alone is virtually never abandoned, and picking one up is the single most common well-intentioned wildlife mistake made in this region.
• Does drive off their yearlings just before giving birth, which is why late May and early June produce so many confused young deer wandering into unlikely places.
• Fawns are spotted for camouflage in dappled light and lose the spots at three to four months, on their first molt.</t>
  </si>
  <si>
    <t xml:space="preserve">• tomatoes transplant out once the frost gate closes; corn and beans direct-sow when soil reaches ~60°F, typically the last days of May into early June; catnip transplants out. The Three Sisters — corn, beans, squash interplanted — is the Haudenosaunee polyculture built for exactly this moment: corn first, beans a week or two later to climb it, squash last to shade the soil.
• This is the frost gate. Last frost falls around May 20–25 here, a week or more behind the valley, and nothing tender should go out before it — tomatoes, basil, corn, squash, beans. Amaranth, sunflowers and marigolds go in now too.
• Corn wants soil at 60°F, not air at 60°F, and seed sown into cold ground rots rather than waits. Plant in blocks rather than rows — corn is wind-pollinated, and a single long row pollinates badly no matter how many plants are in it.
• Marigolds earn their bed space beyond the flowers. French marigold roots release compounds that suppress root-knot nematodes, which is why they are planted as a break crop rather than only as an edging.
• Amaranth is worth knowing as both grain and green, heat-loving, drought-tolerant once established, and domesticated in the Americas — a crop with a long Indigenous agricultural history that later became a garden ornamental in Europe and came back as a grain.</t>
  </si>
  <si>
    <t xml:space="preserve">• the Three Sisters go in now, and the timing is the teaching. Corn, beans and squash are planted together: corn as the pole, beans climbing it and fixing nitrogen, squash spreading below to shade out weeds and deter animals with prickly vines. The Haudenosaunee call them the Three Sisters and treat them as a single agricultural and nutritional unit — corn and beans together supply complete protein, which neither does alone. It is intercropping worked out centuries before the word existed.
• Planting waits on signs rather than dates, and at this elevation that matters — oak leaves the size of a squirrel's ear is the widely cited marker, and it lands here in the last days of May, when the frost gate finally closes.
• The Palatine Germans arrived on the Hudson for pine tar, not for farming. Roughly 2,100 refugees from the Rhineland were shipped over in 1710 and settled at East and West Camp on the river, under contract to produce naval stores — pitch, tar and turpentine — from the pines. The scheme failed within a few years, and the Palatines dispersed west into the Schoharie Valley, immediately over the hills from here, and later into the Mohawk. Their descendants are all through the Hilltowns, and the surnames on the 1866 atlas carry them.</t>
  </si>
  <si>
    <t xml:space="preserve">• The land itself was rented, not owned. Westerlo lay inside Rensselaerswyck, the Van Rensselaer patroonship, and the numbered farm lots that still structure property boundaries here were laid out by William Cockburn, hired to survey the West Manor across Rensselaerville, Berne, Knox, and Westerlo. Tenants held perpetual leases paying rent in wheat or labor, plus a "quarter-sale" fine of up to a quarter of the price if they ever sold. When the "Good Patroon" Stephen Van Rensselaer III died in 1839 and his estate demanded roughly $400,000 in uncollected back rent, the hilltowns revolted — the first mass meeting was held in Berne on July 4, 1839, and the Anti-Rent War that followed ran until the 1846 constitutional convention outlawed agricultural leases longer than twelve years. Every stone wall in these hills was built by someone who did not own the ground it stood on.
• The hill was sold twice over, a century apart, and both times to someone from away. In 1866 it was leasehold ground under the Van Rensselaer manor. In 1983 it was bought as a two-hundred-acre-plus tract by Patten Realty, a Vermont-born land-sale company whose stated business was purchasing large tracts "from farmers unable to market it themselves," subdividing them, and reselling five- to twenty-acre pieces to city dwellers as recreational property. The lots here were surveyed in November 1983 and sold through 1984 to buyers from Flushing and the boroughs. Patten went public in 1985, was briefly the biggest gainer on the New York Stock Exchange, settled deceptive-marketing claims with five states in 1989, was profiled on 60 Minutes in 1991, and is now — renamed Bluegreen — a timeshare subsidiary of Hilton Grand Vacations. The stone walls were built by a tenant; the lot lines were drawn by a company that now sells vacation points.
• Bloom season is when abandoned homesteads announce themselves. Apple trees in improbable rows far from any road, lilacs blooming out of a woodlot, daylilies and myrtle in a rectangle of nothing, a depression in the ground lined with cut stone — these are cellar holes, and the Helderberg uplands are full of them. Farms here were marginal from the start, and after the Erie Canal opened in 1825 and cheap western grain flooded east, hill farms across upstate New York were walked away from by the thousands. The flowers kept the appointment anyway.
• Peak apple bloom, roughly May 15–25 at this elevation — and the pollination window that decides the whole autumn crop. Cold, wet, or windy bloom weather means few bee flights and a thin harvest regardless of how heavy the flowering looked.</t>
  </si>
  <si>
    <t xml:space="preserve">• The single most important thing that kills old field apples here is not a disease at all — it is shade. Apples are intolerant of being overtopped, and a tree that once stood open in a pasture is now being closed over by locust, maple, and dogwood. A declining old apple with a thin, one-sided crown and heavy dead wood is usually asking for light, not medicine. Bloom season is the easiest time to find them, because they announce themselves in white from a distance.
• Verticillium wilt shows itself as the canopy fills. A soil-borne fungus affecting maples in particular, it blocks the vascular system, and the signature is asymmetry — leaves on one branch or one side of a tree wilt and die while the rest looks normal.
• The diagnostic is free. Cut into a wilting branch and look for olive-green streaking in the sapwood, appearing as arcs or rings in cross-section. Three things determine whether the test works: take a larger branch rather than a twig, because streaking is unreliable in small wood; look well below the wilting, since the stain can occur several feet lower; and remember that absence of streaking does not rule the disease out.
• The discriminator is response to correction. Drought, compaction and root damage all mimic early Verticillium — but they improve when water and soil conditions improve. Verticillium does not respond to anything. It only progresses.
• Conifers cannot get it, and neither can oaks. That single fact separates a maple problem from a conifer problem on the same hillside.</t>
  </si>
  <si>
    <t xml:space="preserve">Locust Perfume</t>
  </si>
  <si>
    <t xml:space="preserve">June 1–15</t>
  </si>
  <si>
    <t xml:space="preserve">Summer</t>
  </si>
  <si>
    <t xml:space="preserve">• Evenings stretch gloriously — usable light past 9 p.m. by mid-month; the sun now sets as far north along the Hills ridgeline as it ever will, a markable solstice waypoint.</t>
  </si>
  <si>
    <t xml:space="preserve">• Locust honey is prized for a reason; standing under a flowering tree at midday settles the question.
• Locust, a nitrogen-fixing legume, quietly fertilizes acidic soil while it perfumes the air — the rare tree that pays rent twice.
• Gray dogwood sets buds; lavender fattens toward bloom.
• Pitch pine puts up its candles — pale upright new shoots at the branch tips, soft and rubbery before the needles spread. The needles come in bundles of three, which separates it cleanly from white pine's five and red pine's two, and the whole tree looks slightly unkempt compared with either.
• Tussock sedge builds the architecture of a wet meadow, slowly. Each plant raises its own pedestal of accumulated root and old leaf bases, and over decades the tussocks stand a foot or more above the water between them. The result is microtopography: dry tops and wet hollows within inches of each other, which is why a tussock sedge meadow holds far more species than flat ground of the same size. Old tussocks are decades of growth, and cannot be replaced quickly once destroyed.
• Wild lupine comes into flower on dry sandy or gravelly ground — blue-violet spikes, palmately compound leaves that hold water droplets at their centre like mercury. It fixes nitrogen through rhizobial nodules, and is one of the plants that improves poor open ground rather than merely tolerating it.
• Do not substitute garden lupine. The big multicoloured Russell hybrids are Lupinus polyphyllus, a Western species, and they hybridise with and displace the native. Only Lupinus perennis is the real thing here.</t>
  </si>
  <si>
    <t xml:space="preserve">• First fledglings appear — spot-breasted robins, stub-tailed chickadees begging with quivering wings — and the woods fill with the anxious chip notes of parenting.
• Turkey broods appear in the fields — a hen with a wake of poults, often two or three hens combining broods into a crèche, which improves collective vigilance. A brood that dwindles from twelve to four over a few weeks is a normal outcome, not a catastrophe.
• Crow families are feeding young with helpers in attendance, and the begging call of a fledgling crow is a strange nasal rattle wholly unlike an adult caw.
• Chickadee broods fledge in a single morning — six to eight young leaving the cavity in a rush — and the family stays tightly together for two to three weeks before the young disperse, often joining unrelated flocks by late summer. The flock in the thickets next January will not be this year's family.</t>
  </si>
  <si>
    <t xml:space="preserve">• White-tailed does are nursing; bucks, in velvet, band into summer bachelor groups.
• Antlers in velvet are the fastest-growing tissue in the mammal kingdom — up to half an inch a day on a mature buck — built from a blood-rich, nerve-laden skin that makes them genuinely sensitive, and drawing so heavily on calcium and phosphorus that the buck temporarily pulls minerals from his own skeleton to build them.
• Gray squirrel and red squirrel litters are out of the nest. Red squirrels (Tamiasciurus hudsonicus) deserve separating from grays: smaller, louder, fiercely territorial, conifer-associated, and larder hoarders — they defend a single central cache (a midden, often a years-deep pile of cone scales) rather than scattering. They are also significant nest predators on songbirds.
• Bear breeding peaks; males range enormously now, and a bear crossing these hills in June is likely traveling rather than resident.
• It also sprouts needles straight out of its trunk bark, which no other pine here does. Those epicormic tufts are the visible sign of a fire-adapted tree: pitch pine can resprout after being burned, broken or cut, which is why it persists on rock and sand barrens where every competitor eventually fails.
• White spruce identifies itself by smell. Crush the needles and they are frankly unpleasant — the old name is skunk spruce — and the needles are four-sided, rolling easily between finger and thumb, where a fir's flat needles will not roll. This is near the southern edge of its range; a white spruce here is a boreal species holding on at elevation.</t>
  </si>
  <si>
    <t xml:space="preserve">• Black locust blooms, and for roughly ten days the hill smells like a perfume counter: heavy white wisteria-like racemes dripping nectar, mobbed by bumblebees whose collective hum is audible from thirty feet.
• Luna moths, pale green and improbable, come to lit windows on warm nights.
• Blue flag iris opens in the wet ground — violet-blue with the yellow-and-white signal patch on the falls that guides bumblebees in. It is the native iris of Northeastern wetlands, and the rhizome is toxic, which distinguishes it sharply from the sweet flag it is sometimes confused with.
• It is also the sole larval host of the Karner blue butterfly, a federally endangered species whose entire life depends on this one plant. The Karner blue is not present here, but the relationship is the reason wild lupine is planted deliberately across the Northeast, and the Albany Pine Bush — the nearest remaining stronghold — is under thirty miles from these hills.</t>
  </si>
  <si>
    <t xml:space="preserve">• Strawberries come in, and the crop lasts about three weeks. Everything has to be dealt with as it arrives. Straw mulch under the fruit is the entire reason for the name — it keeps berries off soil, which is where the rot starts.
• Honeyberries ripen before strawberries, the earliest fruit of the year here, and are worth knowing for exactly that reason: hardy to −40°F, essentially pest-free, and cropping weeks ahead of anything else.
• Plant dahlias now, after all frost risk. The tubers must be lifted every autumn here — they will not survive the winter in the ground at this elevation — so plant them where digging is easy.
• Hollyhocks are biennial and worth planting on that understanding: leaves the first year, the tall flowering spike the second, then they seed themselves and carry on indefinitely. Rust is the standing problem — remove affected lower leaves rather than treating.</t>
  </si>
  <si>
    <t xml:space="preserve">• Black locust is not originally from here. Its native range is the southern Appalachians and the Ozarks; it reached New York because people planted it — for fence posts that refuse to rot, for erosion control, for ship timbers and railroad ties — and then it spread on its own. Every locust stand in these hills are the descendant of a decision. Whether that makes it a native, a naturalized citizen, or a well-behaved invasive is a question the ecologists have not settled either.
• Petal fall on the apples, and the start of the fire blight window — the bacterium enters through open blossoms and succulent new shoots, and warm humid weather right after bloom is what sets it off.</t>
  </si>
  <si>
    <t xml:space="preserve">• Fire blight is unmistakable once known. Shoot tips blacken as if scorched by a blowtorch and then bend over into a tight hook — the shepherd's crook — and leaves stay attached rather than dropping. Cut well below the visible margin, at least eight to twelve inches into clean wood, on a dry day, sterilizing the blade between every cut. Do not fertilize an infected tree; soft fast growth is exactly what it feeds on.</t>
  </si>
  <si>
    <t xml:space="preserve">Dogwood Lace &amp; Fireflies</t>
  </si>
  <si>
    <t xml:space="preserve">June 16–30</t>
  </si>
  <si>
    <t xml:space="preserve">• The summer solstice arrives (June 20–21): the year's longest days, the sun rising and setting at its northern extremes — and the Hills's afternoon shadow at its annual minimum, the one season it taxes the hill least.</t>
  </si>
  <si>
    <t xml:space="preserve">• Gray dogwood blooms — flat cream-colored cymes (branched, flat-topped flower clusters) spread across the thickets like doilies — the most democratic bloom on the landscape, feeding an astonishing breadth of small native bees, wasps, beetles, and flies.
• Dogwood thickets are the hills' biodiversity engine; twenty minutes of watching one cyme reveals a dozen insect species.
• The first fireflies rise from unmown grass in the last week of June, later than the valley's, and build nightly; different species flash different codes at different heights and hours — the low, slow J-stroke of Photinus pyralis earliest, others higher and later.
• For the Haudenosaunee this season belongs to the strawberry — the first fruit, honored with its own thanksgiving — and wild strawberries ripen in old-field grass now.
• New Jersey tea flowers in dense white clusters on dry rocky ground. It is a small woody shrub with a taproot so deep and tough that it defeated the plough — the root is the origin of the prairie-breaking name "grubhoe plant," and it is the reason the species survives disturbance that removes everything around it.
• It fixes nitrogen actinorhizally, like the bayberry and the alder, which is why it builds soil on ground too poor and too dry for clover.
• The leaves made the tea of the name — dried and steeped, widely used during the Revolutionary boycotts of imported tea. It contains no caffeine, and the flavour is closer to a mild green tea than to anything herbal.
• Wild carrot begins flowering now `[NON-NATIVE]` — a naturalised Eurasian biennial, and the ancestor of the cultivated carrot. The flat white umbel usually carries a single dark purple floret at its centre, a detail with no settled explanation, though the leading hypothesis is that it mimics an insect and draws others in.
• Its taproot genuinely opens compacted ground, which is real value on thin hard soil. Against that, it seeds heavily and competes with the native grasses. Cutting the umbels before the seed sets stops the spread without removing the cover, the taproots or the swallowtails.</t>
  </si>
  <si>
    <t xml:space="preserve">• Bat pups are born in June in maternity colonies — females aggregate in hot attics, barns, and tree cavities while males roost separately. A single pup per year is typical, which is precisely why bat populations cannot rebound quickly from white-nose losses: a species with the reproductive rate of a small elephant does not recover on a rodent's timeline.
• Chipmunks are conspicuous now, and their loud repetitive chip and lower chuck calls are alarm signals, not chatter — the high chip generally for aerial threats, the chuck for ground predators, and a whole hillside can take up the relay for many minutes after a hawk passes.
• Fawns are dropped in late May and June, and they do not run. For the first weeks a fawn's strategy is to lie flat and still in cover, nearly scentless, while the doe feeds at a distance and returns only to nurse. A fawn alone in tall grass is not abandoned, and moving it is the commonest well-intentioned mistake made on rural land in June.
• Porcupines give birth to a single large porcupette, quills soft at birth and hardening within an hour. They are among the slowest-reproducing rodents anywhere — one young a year, after a seven-month gestation, which is extraordinary for a rodent — and that pace is only survivable because an adult porcupine has very few predators.
• The fisher is the exception, and the reason it matters here. Fishers are among the only predators that routinely kill porcupines, attacking the face repeatedly until the animal can be flipped. Fishers were trapped out of this region by the early 1900s and returned through the mid-twentieth century, and porcupine numbers fell as they came back — a predator-prey relationship that played out across the Northeast within living memory.
• Bat pups are born in the maternity colonies now — a single pup per female per year for most species here. The mother leaves it roosting while she hunts and finds it again among hundreds by voice and scent alone.
• That reproductive rate is why white-nose losses are so hard to reverse. A bat has the breeding rate of a small elephant, not a rodent — one young a year, first breeding often deferred — so a population reduced by 90 percent recovers over decades rather than seasons.
• This is the wrong month to exclude bats from a building, and in New York it is restricted for that reason: flightless pups sealed inside will die. Exclusion work belongs before May or after mid-August.
• A single little brown bat eats a very large number of insects nightly, and a maternity colony of a few hundred represents real insect control over a property.</t>
  </si>
  <si>
    <t xml:space="preserve">• An unmown field is a firefly nursery — the strongest ecological argument for lazy mowing ever devised.
• It is the larval host of the black swallowtail, which lays on it here as readily as on garden parsley and dill, so a stand of wild carrot is a swallowtail nursery. The caterpillars are green, black and yellow-banded, and rear an orange forked osmeterium when threatened — a fleshy Y-shaped organ that everts from behind the head and smells strongly of rancid citrus.</t>
  </si>
  <si>
    <t xml:space="preserve">• garlic scapes curl and get snapped off to push energy into bulbs; succession lettuce moves to part shade as heat builds; cilantro bolts fast now — resowing every 2–3 weeks keeps a leaf supply.
• Garlic scapes come now on hardneck varieties — the curling flower stalk, cut while still coiled. Removing them sends the plant's energy into the bulb instead of the flower, and the scapes themselves are among the best things the garden produces all year.
• Strip grape leaves around developing clusters, not for tidiness but for air movement — the fungal pressure on grapes in a humid summer comes down to how long the fruit stays wet.
• Thin apples and peaches hard, and do it now. A peach wants four to six inches between fruit and an apple one fruit per cluster; unthinned trees produce small fruit, break limbs, and fall into biennial bearing — a heavy year followed by nothing. This is the least intuitive and most consequential fruit job of the year.
• Sow dill, cilantro and lettuce again in succession, and keep lettuce in afternoon shade as the heat arrives.</t>
  </si>
  <si>
    <t xml:space="preserve">• the strawberry, and the ceremony that goes with it. Wild strawberries ripen small and intensely flavoured now in field edges and old pasture, weeks ahead of anything cultivated. The Haudenosaunee Strawberry Ceremony marks them as the first fruit of the year and the leader of the berries, and the strawberry drink made for it is one of the year's fixed observances — a thanksgiving tied to a ripening rather than to a calendar date.
• This is also the start of the year's real work for preservers. Everything from here to October arrives in a rush and must be dealt with the week it comes: strawberries now, then raspberries, then the currants and gooseberries the Germans and Irish both planted heavily, then everything at once in August.</t>
  </si>
  <si>
    <t xml:space="preserve">• The old field itself is the ghost. Gray dogwood, maple saplings, and locust colonizing open ground is succession, and what it is succeeding from is pasture. In the 1830s and '40s upstate New York went mad for Merino sheep, and these hills were shaved nearly bare and walled into paddocks to hold them. The wool market collapsed, the western railroads arrived, the farms emptied, and the forest began its long walk back uphill. Every thicket in these hills are one frame of a two-century time-lapse still running.
• Wild grape blooms now, and almost nobody notices it — the flower clusters are small, green, and hidden under leaves, but the scent on a warm still evening is startling: sweet, faintly spicy, and carrying a surprising distance. It is one of the great unnoticed smells of a Northeast June.
• Apples shed their June drop — a self-thinning of surplus fruitlets that looks alarming and is entirely normal, the tree balancing crop load against its own reserves.</t>
  </si>
  <si>
    <t xml:space="preserve">• Beech leaf disease is diagnosable in these two weeks and essentially invisible the rest of the year. Stand under a beech and look up at the leaves with the sky behind them: infected leaves show dark, thickened bands striping the tissue between the veins, an unmistakable corduroy shadow. Backlighting is required; the same leaf viewed from above often looks fine.</t>
  </si>
  <si>
    <t xml:space="preserve">Lavender &amp; Clearwing</t>
  </si>
  <si>
    <t xml:space="preserve">July 1–15</t>
  </si>
  <si>
    <t xml:space="preserve">• The Summer Triangle — Vega, Deneb, Altair — rules the evening sky directly overhead, the Milky Way running through it on moonless nights; the hills' elevation and dark eastern horizon make this the season for it.</t>
  </si>
  <si>
    <t xml:space="preserve">• The male's gorget is not pigment but structural color — microscopic layered platelets in the feather barbules — so the throat reads flat black from most angles and detonates into scarlet only when the bird turns into the light at the correct angle. He aims it deliberately during display.
• Common milkweed blooms in the field margins, its scent carrying for yards; the first monarch eggs appear on leaf undersides. Milkweed is another biodiversity engine — one umbel at hot noon hosts a countable crowd of species.
• Hay-scent rises from the fields; black raspberries ripen in the multiflora tangles.
• Buttonbush flowers as perfect white spheres, an inch across, bristling with protruding styles like a pincushion. Bees, wasps, butterflies and hummingbirds all use it, and it blooms in the gap after the spring shrubs and before the goldenrod. It grows with its feet in standing water and is one of the few woody plants that positively wants to be flooded.
• Round-headed bush clover is in bud now — an upright native legume of dry poor soil, nitrogen-fixing, with tight globular heads of cream flowers that follow later in the summer. Its seed is high-value winter bird food, and the dried stems stand well into the cold months.</t>
  </si>
  <si>
    <t xml:space="preserve">• Snowberry clearwings join; actual ruby-throated hummingbirds work the same patch, and the three-way confusion is a July institution.
• Hummingbird aggression peaks now. A single male will claim an entire flowering patch or feeder as territory and spend the day in high-speed chases, dive displays, and audible bill-clacking collisions — body mass around three grams and behavior scaled for a much larger animal. Two feeders placed out of sight of each other defeat a monopolist far more effectively than one large feeder.
• Young birds are everywhere and everything is molting, hungry, and slightly disheveled.</t>
  </si>
  <si>
    <t xml:space="preserve">• Lavender blooms — a Mediterranean guest thriving improbably in the thin, sharp drainage of the hilltop — and summons the hills' most delightful insect: the hummingbird clearwing moth, a day-flying sphinx that hovers, sips, and darts so convincingly that first-time observers swear it is a baby hummingbird.
• Butterfly weed opens the most saturated orange on these hills. A milkweed with no milky sap — the one exception in the genus — it grows on dry, poor, gravelly ground and sends down a taproot deep enough that established plants resent being moved at all.
• It is a monarch host plant like its relatives, but it is worked far more broadly than that: fritillaries, swallowtails, hairstreaks, bees and hummingbirds all take nectar from it. It blooms in the July gap between the spring flowers and the goldenrod, when open-ground nectar is scarce.
• Chanterelles begin in the oak woods after a good soaking — egg-yolk to apricot orange, with false gills that are blunt, forking, shallow ridges running down the stem, not blades. They smell faintly of apricot. The dangerous lookalike is the jack-o'-lantern, which has true knife-edged gills, grows in dense clusters on wood rather than singly from soil, and is orange throughout.
• Black trumpets fruit in the same weeks and are nearly invisible — thin grey-black funnels in moss and leaf litter under oak and beech. The usual experience is finding none, then finding hundreds in the same square yard, because once the eye adjusts they resolve out of the shadows.
• Boletes come up across the oak slopes. The practical rule for the group: avoid any bolete with red or orange pore surfaces, and any whose flesh bruises rapidly blue. The good ones have white to yellow pores and are mild.</t>
  </si>
  <si>
    <t xml:space="preserve">• This is the main honey flow, and supers need to be on ahead of it, not during. Clover, basswood and the summer wildflowers are doing the work, and a colony can fill a super in a week when conditions are right.
• Raspberries come in now, summer-bearers first. Pick every day or two — overripe fruit left on the cane draws sap beetles and spoils the picking for everything after.
• Blueberries begin ripening, and the birds know it a day before anyone else does. Netting is the only real answer, and it has to go on before the first fruit turns blue rather than after.
• Sow the autumn crops now, counterintuitive as it feels in July — beets, carrots, turnips, kale and bok choy for an autumn harvest, counting backward from a first frost in mid-to-late September.</t>
  </si>
  <si>
    <t xml:space="preserve">• The American chestnut, and this is its fortnight. Chestnut bloomed late — creamy catkins in early July, weeks after every frost risk had passed — which is exactly why it was the most reliable mast tree in the eastern forest, never once failing to the late freezes that regularly wiped out the oaks. It was one in four trees in much of the Appalachian and Hudson Valley forest, and the blight introduced around 1904 killed an estimated four billion of them within forty years. The root systems did not die. Chestnut still sprouts from thousand-year-old stumps in these woods, grows ten or twenty feet, gets found by the fungus, and dies back — over and over, for a century, in a landscape that has forgotten what its summers used to smell like. Learn the leaf: long, canoe-shaped, with big forward-hooked teeth. There are more of them out there than anyone expects.
• Virginia creeper (Parthenocissus quinquefolia) is at full leaf and feeding a hidden crowd: it is the larval host for several of the largest and most spectacular sphinx moths in the region — the Pandorus sphinx, the Achemon sphinx, and the Virginia creeper sphinx, all of them heavy-bodied, beautifully marbled, and the same family as the clearwings working the lavender by day. Big green hornworms on a creeper vine are not a problem to solve; they are next year's sphinx moths.</t>
  </si>
  <si>
    <t xml:space="preserve">• Mid-July is the standard forest-health crown assessment window — the canopy is fully out, and nothing has begun to senesce yet, so what looks thin now genuinely is thin. Judged from a distance, a healthy hardwood crown is dense enough to hide its own branches. Count roughly how much of the crown is missing, dead, or see-through, note it, and repeat in the same week next year. A single reading means little; a three-year trend means everything.</t>
  </si>
  <si>
    <t xml:space="preserve">Cicada Noon</t>
  </si>
  <si>
    <t xml:space="preserve">July 16–31</t>
  </si>
  <si>
    <t xml:space="preserve">• Chokecherries ripen through their traffic-light sequence — green to red to glossy black-purple — with thicket birds tracking every stage; cedar waxwings, catbirds, and robins strip the reddest clusters, and what survives to full ripeness is astringent enough to pucker a stone but makes legendary syrup and jelly.
• This is typically the hottest stretch, though elevation shaves the worst edge off valley heat waves, and nights — draining cold air east down the slope — stay sleepable when Albany swelters.
• Thunderstorms build over the Helderberg edge on humid afternoons; the escarpment's orographic lift makes these hills country measurably stormier than the valley floor, and the light before a big cell crosses the Hills rewards stepping outside.
• The warm-season grasses put on their real growth now. Big bluestem, Indiangrass and switchgrass do most of their annual work in the heat of mid-summer, when the cool-season grasses have gone dormant and brown. On a dry hill this is the entire argument for them: they are green and growing in the fortnight when everything else has stopped.
• Big bluestem's flower heads are the origin of its other name — three-parted, splayed, and called turkeyfoot for the obvious reason. It can stand six to eight feet on good ground and three to four on thin soil like this.
• The root systems are the point, and they are mostly invisible. Big bluestem and switchgrass send roots six to ten feet down where depth allows; on fifteen inches over ledge they cannot, but they compensate with extraordinary root density in the layer they have. That root turnover is the fastest available way to build organic matter on shallow ground, and it happens below the surface where none of it can be seen.</t>
  </si>
  <si>
    <t xml:space="preserve">• Owls fall silent through midsummer — the woods can seem owl-less in July and are not. Calling resumes in earnest with autumn territorial disputes.
• Young hummingbirds are on the wing now, and immature males are confusing: they resemble females — white-throated, plain — but often show a few scattered dark flecks or a single scarlet feather on the throat, the first hint of the gorget to come.</t>
  </si>
  <si>
    <t xml:space="preserve">• Bears shift into pre-hyperphagia feeding, working blackberries, raspberries, and any early mast; a bear will eat 20,000 or more berries in a day when a patch is good.
• Bucks' antlers reach full size and begin to mineralize under the velvet; the summer bachelor groups will break up within weeks.
• Weasels are hunting hard now with young in tow. Both long-tailed weasel and ermine live here, and both turn white in winter and brown in summer — the moult triggered by daylight rather than by temperature, which increasingly leaves them white against bare brown ground in low-snow winters. A mismatched weasel in December is a climate signal you can see from a window.
• Mink work the stream corridors, dark brown and semi-aquatic, hunting frogs, crayfish, fish and muskrat along the water edge. They were never extirpated here — small pelts and inconspicuous habits let mink and weasel persist through four centuries of trapping that removed almost every larger mustelid.
• Flying squirrels are active and almost never seen. Southern flying squirrels are probably the most abundant squirrel in these woods and are strictly nocturnal, gliding between trees on a membrane stretched from wrist to ankle. They are also the squirrel most likely to be in an attic. A red flashlight at a snag after dark is the way to see one.
• Gray and red squirrels behave differently enough to be worth separating. Gray squirrels scatter-hoard — thousands of nuts buried singly, relocated by smell and spatial memory — and the ones they fail to recover become trees. Gray squirrels are among the most effective oak and hickory planters in this forest.
• Red squirrels larder-hoard instead, defending a single midden, and they are aggressive well beyond their size — they will drive grays off a feeding tree and are known to raid bird nests. The chatter is territorial advertisement, not alarm.
• Chipmunks are a third strategy again: scatter-hoarding into an underground burrow, waking every few days through winter to eat from the store rather than living off fat.
• Watch for bats over the field at dusk and learn the two silhouettes. Big brown bats fly higher, straighter and slower; little brown bats flutter lower and more erratically, often working the same circuit over water or field edge all evening.</t>
  </si>
  <si>
    <t xml:space="preserve">• Dog-day cicadas begin — the rising power-line whine from the treetops that is the true anthem of high summer — joined at night by the first katydids scratching katy-did, katy-didn't from the canopy.
• The year pivots here, audibly: bird song collapses as breeding ends and molt begins, and insects take over the soundscape entirely.</t>
  </si>
  <si>
    <t xml:space="preserve">• fall lettuce and spinach seeds start in cool indoor conditions or deep shade (both germinate poorly in hot soil); last succession beets go in by month's end to beat the September frost.
• Harvest garlic when the lower third of the leaves have browned and the rest are still green. Each leaf corresponds to a wrapper layer on the bulb, and waiting for the whole plant to die back costs the wrappers that make it store. Cure in shade with air movement for two to three weeks before trimming.
• Shallots come out in the same window and cure the same way. Save the largest for replanting in autumn — shallots multiply rather than seed, and a good line kept going year after year outperforms anything bought.
• Collect breadseed poppy pods once they rattle, dry and grey-brown with the little vents opening under the crown. Chamomile is harvested through this whole period, flower heads picked when the white petals begin to reflex backward.
• Harvest St. John's wort at full bloom — traditionally at midsummer, which is where the name comes from. The red pigment in the flowers is the usable part, and it appears when a bud is crushed between finger and thumb.</t>
  </si>
  <si>
    <t xml:space="preserve">• What stood here before. A survey of this region in 1787 found only sixty-seven settlers, and a contemporary description recalled "the terrific forests [of] overshadowing hemlock [that] had not then (1793) been felled" and "mountain sides... covered with dense thickets of somber-looking hemlocks." That is the pre-clearance forest of these hills in the words of someone who saw it: not the mixed northern hardwoods of today but hemlock, dense and dark, on the slopes. Through the late 1700s the land was rapidly cleared for farming, and sawmills and tanneries proliferated — the tanneries running on hemlock bark. The forest was cut for its timber and stripped for its skin within a single generation, and what grew back was something else entirely.
• Eastern hemlock is the tree that makes a summer ravine cold, and it has been hunted twice. In the nineteenth century it was felled across the Catskills and Helderbergs for its tannin-rich bark, stripped for the leather industry and the trunks frequently left where they fell to rot — an entire forest killed for its skin. It is being hunted again now by the hemlock woolly adelgid, working north as winters warm. And it was hunted once before that: pollen cores across eastern North America record a sudden hemlock collapse about 5,500 years ago, likely an insect or pathogen outbreak, from which the species needed a thousand years to recover. This is the third round of a very old fight.
• Peach harvest, in the years there is one, runs from late July into August depending on cultivar.</t>
  </si>
  <si>
    <t xml:space="preserve">• The early-color diagnostic opens now, and it is the most valuable free measurement available on this country. A maple showing red or orange in late July or early August is not being poetic — it is a stressed tree shutting down early, and it is the classic early symptom of maple decline. Healthy maples here color from about the third week of September. Anything coloring more than three weeks ahead of its neighbors is flagging itself. Note which individuals do it, and where they stand on the slope.
• this is when drought stress becomes visible, and shallow soil shows it first. On ten to twenty inches of soil over bedrock there is no deep reserve to draw on, so trees here express drought weeks before the same species on deep ground. Early leaf scorch, browning along leaf margins, and premature colour in July or early August are the signals to record.
• Map which individuals colour early, and repeat it annually. The same trees will do it each year, and that list is the failing-first list — the most useful single record a landowner can keep on shallow ground.
• Verticillium symptoms peak in the same weeks, because a compromised vascular system fails soonest when demand is highest. Wilting that intensifies on hot days and eases on cool overcast ones, over and over through the summer, is characteristic — a branch may partly recover in August and collapse permanently in the next heat.</t>
  </si>
  <si>
    <t xml:space="preserve">Chokecherries Darken</t>
  </si>
  <si>
    <t xml:space="preserve">August 1–15</t>
  </si>
  <si>
    <t xml:space="preserve">• The Perseid meteor shower peaks August 11–13 — the year's most watchable, fixed and reliable, radiating from the northeast after midnight into the hills' ideally aimed dark eastern horizon.
• The light itself changes — sun angle lowering, shadows lengthening, the unmistakable amber cast that means the year has crested.</t>
  </si>
  <si>
    <t xml:space="preserve">• Goldenrod opens its first sprays, the opening note of the hills' longest bloom season.
• Monarchs of the migratory generation begin emerging; unlike their parents these will live eight months and fly to Mexico, and every milkweed left standing is a contribution to that absurd, magnificent journey.
• Nights turn noticeably: the first genuinely cool overnight lows arrive, often startlingly so — the hilltop can touch the 40s in mid-August while the valley holds 60 — and the katydid tempo slows with the temperature (katydids are a functioning thermometer; their pulse rate tracks the degrees).</t>
  </si>
  <si>
    <t xml:space="preserve">• The chokecherry crop hits full ripeness and the harvest race is on — waxwing flocks can strip a laden shrub in an afternoon.
• Barn swallow and tree swallow flocks begin staging on wires in the valley.
• Hummingbirds enter hyperphagia — feeding compulsively to lay down fat for migration, often putting on 25–40% of body weight in a couple of weeks and becoming visibly rotund. Feeders should be kept full and clean through this window and well past it; there is no truth to the notion that a feeder delays departure, since migration is triggered by day length, not food supply.
• Adult males depart first, often by mid-to-late August, followed by females and then by juveniles — meaning the last hummingbirds at a feeder in September are usually young birds making the journey to Central America alone, with no adult to follow and no learned route. The navigation is entirely innate.</t>
  </si>
  <si>
    <t xml:space="preserve">• Bear hyperphagia begins in earnest — the annual feeding frenzy in which a bear may consume 15,000–20,000 calories a day and gain several pounds daily, foraging up to twenty hours out of twenty-four. Every bear conflict of late summer and autumn traces to this single physiological imperative, and this is when unsecured garbage, beehives, corn, and fruit trees become genuinely magnetic.
• Chipmunks begin filling the winter larder, working with cheek pouches that can hold a startling volume — a chipmunk carrying a full load looks visibly deformed and can transport dozens of seeds per trip.</t>
  </si>
  <si>
    <t xml:space="preserve">• Chicken of the woods fruits on oak, and it is the easiest edible bracket to recognise — overlapping shelves of bright sulphur-orange with a yellow underside, no gills, pores instead. Take only the tender outer margins; the inner parts turn woody. Only from hardwoods — specimens from conifers cause stomach upset in some people.
• Lobster mushroom appears now, and it is not a mushroom at all: a parasitic fungus that engulfs a host russula or lactarius, coating it bright orange-red and transforming both texture and flavour. The result is dense, firm and genuinely good.
• Giant puffballs come in old pasture and field edges. The only test needed is to cut one in half: the interior must be pure, uniform white with no trace of gills, structure or yellowing. Any shadow of internal form means it is either past edibility or an immature amanita.</t>
  </si>
  <si>
    <t xml:space="preserve">• fall radishes, lettuce, and spinach direct-sow mid-month; oats-and-peas sow as a winterkill cover crop on any bed finishing early, building biomass that frost will lay down as mulch.
• Blackberries ripen after the raspberries, and the test is not colour but release — a ripe blackberry falls into the hand; a black one that needs pulling is not ready.
• Elderberries come in now in heavy flat cymes, and they must be cooked: raw berries, and all green parts of the plant, contain cyanogenic compounds. Strip the fruit from the stems with a fork, or freeze the whole head and shake it.
• Aronia and huckleberries ripen in the same window. Aronia is astringent raw and transforms entirely with cooking; both are native, both are unfussy, and both crop on ground too poor and acid for most fruit.
• This is peak preserving, and zucchini has become a problem by now. A fruit left two extra days becomes a marrow, which is why the crop is best picked daily at six to eight inches rather than admired.</t>
  </si>
  <si>
    <t xml:space="preserve">• green corn, and the year's second thanksgiving. The first roasting ears are ready now, and the Haudenosaunee Green Corn Ceremony falls in this window — a multi-day observance marking the corn becoming edible, and one of the major ceremonies of the year. It is the moment the hungry gap of April is finally and completely over.
• Chokecherries are ripening as the name of this microseason says, and they were a staple across Indigenous North America — pounded whole, stones and all, and dried into cakes, or mixed with fat and dried meat. Astringent raw and transformed by cooking, they became jelly and syrup in every later kitchen in these hills. The stones contain cyanogenic compounds and traditional preparation accounts for this; cooked and strained products are the safe form.
• Staghorn sumac drupes are red and ready — steeped in cold water they make the tart pink drink often called Indian lemonade, used by Indigenous peoples here and adopted by settlers. Cold water only; hot water draws out the tannins and ruins it.</t>
  </si>
  <si>
    <t xml:space="preserve">• American beech is currently mid-erasure — hit first by beech bark disease (a scale insect opening the way for a fungus, spreading since the early 1900s) and now by beech leaf disease, a nematode-associated affliction that arrived in Ohio in 2012 and reached New York within a few years. Beech was the other great mast tree beside the chestnut and oak, and beechnuts fed passenger pigeons, bears, and turkeys alike. Watching it go is the closest thing available to seeing the chestnut blight happen in real time.</t>
  </si>
  <si>
    <t xml:space="preserve">• Peak window for mapping premature fall color. Walking the same route in the first half of August each year and marking every early-coloring tree builds, over a few seasons, a decline map of these hills — and the pattern usually clusters by site rather than by species, pointing at thin soil, ledge, exposure, or a drainage problem underneath.</t>
  </si>
  <si>
    <t xml:space="preserve">Goldenrod Tide</t>
  </si>
  <si>
    <t xml:space="preserve">August 16–31</t>
  </si>
  <si>
    <t xml:space="preserve">• Goldenrod floods the old field — multiple species in sequence — joined by the first asters, together running the hills' last great nectar economy: bumblebees, migrating monarchs, locust borers in yellow-and-black goldenrod camouflage, and the ambush bugs and crab spiders that hunt them all.
• Goldenrod, insect-pollinated with heavy sticky pollen, does not cause hay fever; that slander belongs to ragweed, blooming invisibly nearby on the wind.
• Common nighthawks migrate through in loose, buoyant flocks on late-August evenings — one of the region's most underrated spectacles, best watched from an open hilltop.
• Black gum turns first, and it turns scarlet. While every other hardwood is still fully green, individual black gums begin flaring red in the last days of August — the earliest reliable colour on the hill, weeks ahead of the maples,. A single early-scarlet crown in August is almost always tupelo.
• Jewelweed fills the shaded wet ground with hanging orange spotted lanterns, also hummingbird flowers, also nectar-rich, also blooming at the moment of maximum demand. Its seed pods explode at a touch — the "touch-me-not" name — coiling open and flinging seed several feet. The green seeds inside taste distinctly of walnut.
• It is an annual, which is unusual for something so dominant, and it reseeds itself into the same ground every year from those explosions.</t>
  </si>
  <si>
    <t xml:space="preserve">• Zugunruhe — the ornithological term for migratory restlessness — is now visible everywhere: birds flocking, feeding urgently, oriented south.
• Blue jay. The hazelnut raids are the opening of the most ecologically consequential behavior any bird on such land performs. A jay carries nuts in an expandable gular pouch in the throat plus one in the bill and one at the bill tip — typically five to seven acorns per trip — and caches them singly, pushed into soil or leaf litter, often far from the parent tree. Blue jays will carry seed as far as 2.5 miles, the longest documented seed-transport distance of any bird.
• What they forget is a forest. Johnson and Webb's 1989 work in the Journal of Biogeography argued that jay caching explains how oaks, beeches, and chestnuts — heavy-seeded trees that cannot travel on wind — migrated north after the ice at rates matching light wind-dispersed species. In the deep-time terms of this calendar: the oaks followed the retreating Laurentide ice back up this valley in the throats of blue jays.
• Its fruit ripens with the colour: small blue-black drupes, very high in fat, dropping exactly as thrushes, catbirds and the first warblers move south. Fat-rich autumn fruit is migration fuel, and black gum is among the best providers of it here.</t>
  </si>
  <si>
    <t xml:space="preserve">• Hazelnuts ripen in their leafy husks (involucres), and the raids begin — blue jays and squirrels can empty a shrub days before the nuts read as ready; the traditional test is that when a husk twists off easily, the harvest is already late. Early picking and curing, or conscious surrender to the wildlife, are the two honorable options.
• The two hoarding strategies now run side by side, and the ecological consequences differ completely. Gray squirrels and blue jays are scatter hoarders — thousands of single-item caches, many forgotten, which is how forests get planted. Chipmunks and red squirrels are larder hoarders, concentrating everything in one defended store, from which nothing germinates. A landscape's tree regeneration depends heavily on which strategy dominates.
• Gray squirrels also practice deceptive caching: when they believe they are being watched, they perform elaborate fake burials — digging, miming a deposit, covering an empty hole — while keeping the nut in the mouth for later. This is documented behavior, not folklore.</t>
  </si>
  <si>
    <t xml:space="preserve">• Cardinal flower comes into the wet ground now, and it is unmistakable — a spike of intense scarlet, the strongest red on these hills. It is built specifically for hummingbirds: bees see red poorly and cannot reach into the tube, so the flower is effectively reserved for birds, and it opens exactly when hummingbirds are packing on fat for migration.</t>
  </si>
  <si>
    <t xml:space="preserve">• The scale is extraordinary: an individual adult jay harvests and caches several thousand nuts in a single autumn, and one study recorded fifty jays moving 150,000 acorns in twenty-eight days. Jays also select viable nuts preferentially — the great majority of what they bury is sound seed, because they are choosing food, not planting trees.
• last call for fall spinach sown outdoors; a late-August spinach sowing can also overwinter under mulch for the earliest spring greens.
• This is the preserving fortnight, and everything arrives at once: tomatoes, corn, beans, the first apples. Basil should be cut hard before any cold night — it blackens at temperatures well above freezing, around 40°F, and a single early cold snap can take the whole planting.
• Sunflower heads are ready when the back of the disc turns yellow-brown and the bracts dry. Cut and hang under cover, or lose the crop to birds within days.
• Amaranth seed heads are harvested by rubbing between the hands over a sheet, then winnowing. The whole head is heavy with seed long before it looks ready, so the test is whether seed falls freely when a head is shaken.</t>
  </si>
  <si>
    <t xml:space="preserve">• The idea that this landscape was unbroken forest before contact is a colonial invention. Haudenosaunee peoples and their predecessors kept openings deliberately and at scale — burning to maintain berry ground, nut orchards, browse for deer, and clear sightlines, and managing chestnut and hickory stands as something much closer to agriculture than to wilderness. An old field full of goldenrod and hazel is not a departure from the historical landscape. It is a crude, accidental echo of it.
• Virginia creeper turns first — well before anything else, sometimes in the third week of August, and it turns a pure hot scarlet that stands out against a wholly green woods. This is one early color change that means nothing bad: creeper is simply an early-senescing vine, and its precocity is normal, not stress. Knowing that keeps it from contaminating the early-color survey.</t>
  </si>
  <si>
    <t xml:space="preserve">• Spotted lanternfly adults are on the wing from late August through October, and this is the season to know the animal. At rest it is a drab gray-tan; when it jumps or flies it flashes scarlet underwings with black spots, unlike anything else here. It feeds on over seventy plants, with grape, maple, walnut, hops, and fruit trees among its favorites, and its preferred host is invasive tree-of-heaven. It is established in the Hudson Valley and around Buffalo, Binghamton, and Ithaca, with hitchhiker detections in Albany County going back to 2018. Sightings outside the established zones are worth reporting to iMapInvasives or NY Ag &amp; Markets.</t>
  </si>
  <si>
    <t xml:space="preserve">Hazel Harvest Moonrise</t>
  </si>
  <si>
    <t xml:space="preserve">September 1–15</t>
  </si>
  <si>
    <t xml:space="preserve">Autumn</t>
  </si>
  <si>
    <t xml:space="preserve">• First cold nights arrive in earnest — the hilltop can flirt with frost in early September while the valley stays comfortably clear, and the cold hollows whiten first.</t>
  </si>
  <si>
    <t xml:space="preserve">• Gray dogwood foliage begins its turn toward wine-purple as its berries whiten; wood asters carry the shade edges; the goldenrod tide begins to brown at the crest.
• Crickets replace katydids as the night's tempo section, slowing audibly with each cooler evening.
• Acorns begin to fall, and the white oak group falls first. Chestnut, white and swamp white oak acorns drop from early September, are comparatively low in tannin, and germinate immediately where they land — a chestnut oak acorn on the ground in October will already have pushed a root into the leaf litter before winter. The red oak group holds later and does not germinate until spring.
• Mast years are synchronous and consequential. Oaks across a whole region produce heavily in the same year, every two to five years, then produce almost nothing — a strategy that starves seed predators in lean years and overwhelms them in heavy ones. A heavy mast year is followed by a bear-heavy autumn, a mouse-heavy winter, and, two years later, a tick-heavy summer, because white-footed mouse populations track acorns and blacklegged ticks track mice.
• Shagbark hickory nuts drop through September, husks splitting cleanly into four sections and releasing a nut that is genuinely excellent eating — sweeter than pecan, and the reason the tree was left standing in so many old pastures.
• Indiangrass flowers in bronze and gold, the plumes catching low sun and carrying bright yellow anthers that dangle and shake in wind — the showiest of the native grasses in flower, and the one that makes an old field look deliberate.
• Switchgrass goes to airy open panicles, so fine they read as a purple-bronze haze over the stand rather than as individual seed heads. It tolerates both the saturated ground at the bottom of these hills and the dry thin soil at the top, which almost nothing else does.
• Canada wild rye is finished and nodding, its bristly seed heads bent over. It is the one native grass here that establishes fast, behaving almost like a cover crop — which is why it belongs in any new seeding as the species that holds ground while the bluestems take their three years to arrive.</t>
  </si>
  <si>
    <t xml:space="preserve">• Whatever hazelnuts the jays spared drop now; the full moon nearest this window rises huge and amber over the eastern valley — an east-facing aspect makes moonrise the hills' signature astronomical event, and the September full moon over the Basic Creek lowlands is the year's best.
• Broad-winged hawks begin streaming south, sometimes in kettles of dozens riding the escarpment's ridge lift; the Helderberg edge is a genuine, if minor, hawk-migration flyway.
• The last hummingbirds pass through, and the departure is worth marking: a specific date, written down each year, is one of the cleanest phenological measurements these hills offers, because the bird is unmistakable and the event is sharp.
• Leaving a feeder up through October and even November is worth doing, because western vagrants — rufous hummingbird most often, an orange bird from the Pacific Northwest that increasingly winters along the Gulf coast — turn up in the Northeast in late fall with real regularity. A hummingbird at a New York feeder in November is very likely not a ruby-throat.
• Jay caching begins in earnest, and the flight lines become obvious: birds crossing open ground repeatedly in the same direction with full throats, all day, for weeks.
• Blue jays are the oak's dispersal system. A single jay can cache thousands of acorns in an autumn, carrying several at a time in throat and bill and burying them singly at the right depth in open ground. The ones it forgets become trees. Oak migration northward after the glaciers moved faster than gravity alone can explain, and jays are the leading explanation.</t>
  </si>
  <si>
    <t xml:space="preserve">• Monarchs depart in singles and small strings, all bearing southwest; ruby-throated hummingbirds vanish by mid-month, feeders suddenly, definitively still.
• Bear activity peaks with the mast drop. Southern Black Bear Range has been expanding northward into southern Albany and Schoharie Counties in recent decades, and these hills sit squarely in that advancing front — bears here are a comparatively recent and still-increasing presence, not a fixed background condition. Cornell density work in southern New York estimated roughly one bear per three square miles.
• Bucks strip their velvet in the first half of September — a process of a day or less, leaving bloody shreds hanging and the antler stained dark by sap and bark before polishing to ivory tips.
• Bear sign to learn now: claw-marked and bark-scarred beech and cherry, whole limbs broken and pulled inward on wild apple and cherry, and the distinctive tangled mass of broken branches high in a tree that trackers call a bear nest — the wreckage left where a bear sat and fed.
• That difference sets the whole autumn table. Low-tannin white-group acorns are eaten first and preferentially by deer, turkey, bear, jay and squirrel; the bitter red-group acorns keep better and become the late-winter reserve. A hill with both groups feeds animals across a longer season than a hill with either alone.</t>
  </si>
  <si>
    <t xml:space="preserve">• Hen of the woods fruits at the base of old oaks, and it returns to the same tree year after year — a rosette of overlapping grey-brown fronds, sometimes weighing several pounds. The same trees are worth remembering and checking annually, since the fungus lives in the root system and fruits for decades.
• Oyster mushrooms flush after cool rain on dead and dying hardwood, especially aspen and elm. The gills run down the stem and the cap is offset rather than central. They are also, remarkably, nematode-predatory — the mycelium produces toxin-tipped structures that paralyse soil nematodes, making the species partly carnivorous.
• Honey fungus fruits in dense clusters at the base of hardwoods, and it is worth identifying as a pathogen as much as an edible: Armillaria kills stressed trees, and its white mycelial fans under the bark and black shoestring rhizomorphs in the soil are a genuine health-watch sign on any tree already in decline.</t>
  </si>
  <si>
    <t xml:space="preserve">• winter rye sows from now into early October as the workhorse overwintering cover crop — it germinates in cold soil, holds ground against erosion all winter, and springs back green in March.
• Pull the honey supers and leave the bees enough. A colony at this elevation needs substantial stores to reach spring, and taking too much in September is the commonest cause of a dead hive in March.
• Treat for varroa mite now, not later. The mites that matter are the ones on the winter bees being raised this month — a colony that looks strong in September and is dead in January was usually lost to varroa now, and mite load is the single largest cause of colony death in the Northeast.
• Sow winter rye as a cover crop, which can go in later than anything else and still establish. Rye germinates in cold soil, holds the ground through winter, and puts down a root mass that does more for shallow soil than any amendment applied on top of it.
• Cure winter squash and pumpkins in the sun before storing, leaving a few inches of stem. A squash cut without its stem will not keep, and the cure is what hardens the skin for months in a cellar.</t>
  </si>
  <si>
    <t xml:space="preserve">• The mast economy this fortnight once ran is nearly unimaginable now. Chestnut, beech, oak, hickory, and hazel dropping in concert fed passenger pigeons in the billions, black bears, turkeys, and the people who timed their year to it — a pulse of fat and starch arriving on schedule across an entire continent. Chestnut is gone, beech is going, and the oaks that carry the load now boom and bust with the late frosts the chestnut used to sidestep. The mast still falls. It falls thinner, and less reliably, and to a much smaller audience.
• Wild grapes ripen small, dark, and intensely sour-sweet, and the whole thicket community works them — catbirds, robins, foxes, raccoons, and black bears. Riverbank grape stays tart enough to make excellent jelly and indifferent eating.
• Virginia creeper berries ripen deep blue-black on coral-red stems, the same red-advertisement strategy the gray dogwood uses, and for the same reason: high-fat fruit sold to migrating birds. The berries are toxic to people — they contain oxalate crystals — and should be admired rather than sampled.
• Early apple varieties come in; old seedling trees are wildly variable and worth tasting individually, since roughly one wild apple in a hundred is genuinely good and the rest are cider.</t>
  </si>
  <si>
    <t xml:space="preserve">Dogwood Berries White</t>
  </si>
  <si>
    <t xml:space="preserve">September 16–30</t>
  </si>
  <si>
    <t xml:space="preserve">• The autumnal equinox passes (September 21–23).</t>
  </si>
  <si>
    <t xml:space="preserve">• First frost typically strikes the hill in this window — a week or more ahead of the valley — often as a patchwork revealing the microclimate in white: cold hollows and the Hills shadow line first, the warm east brow last; the pattern is a hillside's honest thermal portrait.</t>
  </si>
  <si>
    <t xml:space="preserve">• Sugar maples begin turning from the top down and the outside in.</t>
  </si>
  <si>
    <t xml:space="preserve">• Gray dogwood berries ripen — porcelain-white drupes on branching pedicels of shocking coral-red, one of the most striking color pairings in the native flora — and migrant birds arrive to strip them precisely on schedule.
• The timing is no accident: dogwood fruit is unusually lipid-rich, premium migration fuel advertised by those red stems; thrushes, catbirds, vireos, and warblers working the thickets now will winter in Central America.
• Blue jay migration runs now along ridgelines and lake shores, and it is one of the genuine open questions in North American ornithology. Some jays migrate and some do not; the same individual may go south one year, stay the next, and go again the year after. No one has worked out what governs it. Loose flocks of dozens moving purposefully south are migrants; the jays at the feeder may be residents, or may be replacements from farther north.
• White-throated sparrows return from the north, the Old Sam Peabody whistle suddenly back in the thickets after a five-month absence — the true sound of fall arriving in these hills.</t>
  </si>
  <si>
    <t xml:space="preserve">• Turkeys shift to autumn flocking and sex-segregate: hens with this year's poults in large mixed groups, toms in separate bachelor bands. Scratched-over patches in the leaf litter — fresh soil turned in irregular arcs — are the most reliable turkey sign of the season.
• Chipmunks are in maximum larder mode and will abruptly vanish from view in October — not migrated and not dead, simply underground with the door plugged.
• Flying squirrels cache nuts in cavities and bark crevices, and their autumn activity is the best chance of the year to detect them: a soft, birdlike chuck from the dark canopy, and the faint scrabbling of something landing on bark after a glide.
• Black bears enter hyperphagia, the autumn binge, and the numbers are extreme: up to 20,000 calories a day, packing on the fat that has to carry them through denning and, for females, through birth and lactation. This is the fortnight when bears become a problem at bird feeders and compost, and it is metabolic rather than behavioural.
• Chipmunks and red squirrels are caching at maximum rate. Chipmunks scatter-hoard into the burrow; red squirrels build middens, single large piles of cone scales and stored cones that the same animal defends year after year. A midden under a spruce is a squirrel's whole winter economy in one place.
• Raccoons are fattening too, and the autumn sign is everywhere — scat on stone walls and logs, latrine sites reused for years. Worth avoiding rather than investigating: raccoon latrines carry Baylisascaris procyonis, a roundworm whose eggs are genuinely hazardous and remarkably persistent in soil.
• This is bat swarming season, and it is the most important and least visible event in their year. Hibernating species gather at cave and mine entrances at night, flying in large numbers around the openings, mating and assessing the site before going in. Swarming is when most breeding happens — and females then store the sperm through the entire winter, delaying fertilisation until spring.
• The migratory tree bats are moving south now, and this is when they are killed by wind turbines. Hoary, silver-haired and eastern red bats — the three species white-nose largely spared — account for the large majority of turbine fatalities in North America, concentrated in exactly these weeks. The disease and the turbines have divided the bat fauna between them almost exactly.
• Flying squirrels begin caching hard, and this is the season they most often move into attics — a warm cavity is a warm cavity, and a flying squirrel weighs a couple of ounces and needs a gap the width of a finger.</t>
  </si>
  <si>
    <t xml:space="preserve">• Hazelnuts ripen now, and the race is against squirrels and jays rather than against frost — husks browning at the edges is the cue, and a week's hesitation is usually a week too long. American hazelnut is native here and resistant to eastern filbert blight, which European hazel is not.
• Black walnuts drop in this window, and they bring the caveat that belongs in every garden plan. Walnut roots release juglone, which is toxic to tomatoes, potatoes, apples, peppers and many other plants — the effect reaches well past the drip line, and a garden bed placed downhill of a mature black walnut will underperform for reasons that look like anything but the tree.
• Chestnuts drop in burrs that have to be gathered daily once they begin. Chinese and hybrid chestnuts are what can actually be planted — the American chestnut is still functionally absent, and the transgenic Darling 58 line that was expected to change that was discontinued by The American Chestnut Foundation in December 2023, after field trials showed variable blight tolerance, slower growth and higher mortality, compounded by a propagation-material identity error. Backcross breeding and newer transgenic lines continue; the restoration tree is not yet in hand.</t>
  </si>
  <si>
    <t xml:space="preserve">• apples, and everything made from them. The old orchard trees come in now, and almost none of it was eaten fresh. Cider was the default drink of the rural Northeast, safer than water and made by everyone; cider vinegar followed as the year's preserving acid. Schnitz — apples quartered, cored and dried on racks or strung on strings above the stove — is the Palatine German answer to a glut, and schnitz went into pies, into soups, and into winter with pork.
• Apple butter is a day-long communal operation, a copper kettle over a fire and constant stirring from morning to night, the whole point being to reduce a bushel of fruit to something that keeps without sugar. It is a social event as much as a preserving one, and it belongs to this fortnight.
• Nuts come down in the same weeks. Hickory, butternut and walnut were gathered heavily by Indigenous peoples here — hickory milk, made by pounding nuts shell and all, boiling, and skimming the rich emulsion, was a significant food rather than a curiosity. Butternut also yielded a dye that gave "butternut" its second meaning as a colour.</t>
  </si>
  <si>
    <t xml:space="preserve">• White ash turns first and turns a color nothing else makes — a smoky purple-bronze that shows up in the third week of September. It is also the tree currently being deleted. The emerald ash borer reached New York in 2009 and has since worked through Albany County and beyond, and ash mortality approaches total wherever it establishes. That purple is worth stopping for, because within a generation it will be a color this landscape no longer produces in autumn.</t>
  </si>
  <si>
    <t xml:space="preserve">• Ash decline is legible now on three signs at once. Crown thinning starts at the top and works down. Blonding appears on the trunk — pale patches where woodpeckers have flaked away the outer bark hunting larvae, visible from a distance and often the very first symptom anyone notices. And epicormic sprouts, tufts of desperate new growth erupting straight from the trunk and larger limbs, mean the tree is trying to rebuild a canopy it can no longer support. Under the bark, the borer's galleries are flat S-shaped tunnels packed with frass, and the adult exit holes are a distinctive D-shape about an eighth of an inch across.
• tender crops finish at first frost — squash and pumpkins harvest before any hard freeze, cured warm for storage; green tomatoes ripen indoors; winter rye sowing continues on cleared beds.</t>
  </si>
  <si>
    <t xml:space="preserve">Maple Blaze on the East Slope</t>
  </si>
  <si>
    <t xml:space="preserve">October 1–15</t>
  </si>
  <si>
    <t xml:space="preserve">• The east-facing slope catches sunrise light through the peak canopy; the first hour after dawn is the hills' absolute annual best.
• The Orionid meteors (dust of Halley's Comet) peak around October 21–22, radiating from Orion as he returns to the late-evening sky — winter's advance scout.</t>
  </si>
  <si>
    <t xml:space="preserve">• Hard frost becomes routine.</t>
  </si>
  <si>
    <t xml:space="preserve">• Peak foliage — reliably about a week ahead of the Hudson Valley, typically landing in the first ten days of October: old-field maples burn orange-scarlet, chokecherries go yellow-bronze, and black locust skips autumn entirely, dropping its leaflets yellow-green, done.
• Shagbark hickory is the gold in the October woods. Where maple supplies scarlet and orange, hickory turns a clear deep yellow that holds for a week or more, and on a grey day it reads as the brightest thing on the hillside.
• The oaks come last and hold longest, running to russet, bronze, deep wine and leathery brown after the maples have dropped. Chestnut oak turns a dull yellow-brown; red oak and black oak go to a dark red-brown. An oak-dominated slope stays coloured a full two to three weeks after a maple slope has gone bare — which is the practical argument for planting oaks as maple succession.
• Hop hornbeam turns a soft clear yellow in the understory, easy to miss beneath the canopy show above it.
• The maples are the reason this fortnight has a reputation, and the two sort clearly by colour. Sugar maple runs orange through scarlet, often several colours on one tree; red maple goes to a purer, deeper red and turns earlier. Striped maple in the understorey turns a clear pale yellow — its green-and-white striped bark makes it unmistakable year-round, and it is a preferred deer browse.
• Quaking aspen turns pure gold, and whole clones turn together while the clone beside them is still green — the most visible demonstration anywhere that an aspen grove is a single organism.
• Hemlock does nothing, and that is the point: in a hillside of colour, the dark green ravines map exactly where the cold air and permanent shade sit.
• Witch hazel flowers as its leaves fall — the last native shrub to bloom, opening its yellow straps in October just as everything else is shutting down.</t>
  </si>
  <si>
    <t xml:space="preserve">• Sparrow migration peaks — song, swamp, white-throated, white-crowned, with dark-eyed juncos arriving to stay — and the thickets seethe with them; ruby-crowned and golden-crowned kinglets pass through.
• Peak jay caching, and peak jay noise. The screaming jay-jay is only part of the repertoire: blue jays are accomplished mimics of red-shouldered and red-tailed hawks, and a convincing hawk scream from a feeder area often clears it of every other bird for a few useful seconds. Whether this is deliberate deception or an alarm honestly given remains debated; the effect is the same.
• Northern saw-whet owl migration peaks in October, moving at night, and the banding network that revealed it — nets and audiolures run across the Northeast — turned a bird once considered rare into one now known to be common and simply invisible. They pass over these hills in numbers on cold clear October nights.
• Chickadees are caching hard now, storing thousands of seeds one item per site, and their brains change to handle it: the hippocampus enlarges seasonally, with new neurons added in autumn, then shrinks again — an animal growing extra memory hardware for the season in which it needs it, and one of the founding examples of adult neurogenesis in vertebrates.</t>
  </si>
  <si>
    <t xml:space="preserve">• Peak gray squirrel caching, and peak road mortality — dispersal, mast-chasing, and pre-winter frenzy combine. In heavy mast failure years, gray squirrels historically undertook mass emigrations, and nineteenth-century accounts from New York describe squirrels crossing rivers and roads in numbers that stopped traffic.
• Deer enter the pre-rut: bucks make rubs (shredding sapling bark with the antler base, depositing forehead-gland scent) and scrapes (pawed bare earth beneath an overhanging licking branch, which is the actual communication device — the ground is almost incidental).
• Buck sign appears: rubs on saplings and tree tubes, and the first scrapes scraped bare beneath licking branches.</t>
  </si>
  <si>
    <t xml:space="preserve">• The last woolly bear caterpillars cross lanes toward hibernation (their bands predict nothing, but counting them is tradition).</t>
  </si>
  <si>
    <t xml:space="preserve">• Plant daffodils, crocus and the other spring bulbs now, when soil has cooled to around 55°F — roughly four to six weeks before hard freeze. Daffodils suit such ground particularly well: Mediterranean in origin, growing through the wet season and dormant through summer drought, which is exactly the regime here. They are also the one bulb deer and voles will not touch, being toxic to both. Crocus is the opposite on every count and needs protection.
• Lift dahlia tubers after the first frost blackens the tops. Cut back, lift, dry for a few days, and store in barely-damp material somewhere cool and frost-free.
• Cut asparagus ferns down only after they yellow completely — the fern is feeding next year's crowns, and cutting it green costs next year's spears.
• Harvest beets, turnips and the last carrots, which sweeten with frost. Cabbage is cut now for kraut — the frosts improve it, and the crocks started this month ferment slowly in a cold cellar all winter.</t>
  </si>
  <si>
    <t xml:space="preserve">• The foliage is genuinely diminished, and not subtly. A pre-1900 October on this escarpment included the chestnut's clear gold and the elm's yellow arching over every lane, on trees several times the size of anything standing now, in a forest whose canopy dominants have been swapped out twice over. What remains is spectacular. It is also a partial cast performing a play written for a much larger company.
• Main apple harvest — later here than in the valley, and the late-hanging seedling apples improve markedly after the first frosts, which convert starch to sugar and take the hard edge off.</t>
  </si>
  <si>
    <t xml:space="preserve">• Fallen fruit and leaves are inoculum. Apple scab and black rot both overwinter in litter beneath the tree, so raking out and removing dropped leaves and mummified fruit from any apple worth keeping breaks the cycle more effectively than anything applied from a sprayer.
• garlic planting month — cloves go in mid-to-late October, 2–4 weeks before the ground freezes, rooting in the cold and mulched heavily before winter; the hills' early freeze argues for the early side of the window.
• early autumn colour is a stress signal, not a seasonal one. A maple that turns in the last days of August or the first of September, ahead of its neighbours, is reporting root stress, drought damage or vascular disease — not an early autumn. This is the single most valuable free diagnostic available in these hills, and it costs nothing but a note and a date.
• The record only works as a series. One year of early colour means little; the same individuals colouring early three years running identifies precisely which trees are in decline and in what order.
• Conifer drought mortality shows up on a delay. A spruce or pine that browns entirely in one season commonly died from the previous year's drought — it ran its reserves out over winter and could not refill. The cause is twelve months behind the symptom, which is why conifer losses follow dry autumns rather than dry summers.</t>
  </si>
  <si>
    <t xml:space="preserve">Frost Flowers at First Hard Freeze</t>
  </si>
  <si>
    <t xml:space="preserve">October 16–31</t>
  </si>
  <si>
    <t xml:space="preserve">• The hills' rarest and most fragile spectacle becomes possible: on the first hard freezes — clear, calm nights in the low-to-mid 20s while soil is still unfrozen and wet — sap drawn up certain dead herbaceous stems extrudes through split stems as ribbons of ice, curling into white rosettes: frost flowers. They form in darkness and die at first sun; the search window is dawn along the field edges, and finding even one is a good year.
• Sensitive fern earns its name in a single night. It is among the first plants on the hill to react to a hard freeze, going black and collapsing within hours while ferns around it are still green. It is a usable first-frost marker — more precise than a thermometer reading taken at the house, because it records what happened at ground level in the low wet ground where frost settles first.</t>
  </si>
  <si>
    <t xml:space="preserve">• Last hard invasive-cutting window of the year: honeysuckle holds green leaves weeks after the natives drop — highlighted again, now in reverse.
• Northern bayberry holds its leaves while everything else drops them. Semi-evergreen, aromatic when crushed, it keeps a dull olive foliage into winter and is one of the few shrubs that reads as green on the hill in November.
• The berries are grey-blue and coated in true wax. Boiled, they release it — roughly a pound of berries to an ounce of wax — and bayberry candles were a real colonial industry, valued because they burn cleanly and smell of the plant rather than of tallow. Gathering is a late-autumn job, after frost and before the birds finish them.
• Bayberry fixes its own nitrogen, but not in the way legumes do: it partners with Frankia, a filamentous bacterium, in an actinorhizal symbiosis. It is therefore a soil-builder on ground too poor for clover, which is precisely why it belongs on a thin windswept edge.
• Like red cedar it is dioecious — berries only on female plants, and only if a male is within reach.
• Spicebush fruit is scarlet and extremely high in fat, ripening exactly as thrushes and catbirds move south. Fat-rich autumn fruit is migration fuel, and spicebush is among the best sources of it here. Only the female plants carry it — the species is dioecious, so a fruitless spicebush is not failing, it is male.</t>
  </si>
  <si>
    <t xml:space="preserve">• Great horned owls resume vocal territorial dueling now, three months ahead of nesting — October and November evenings are the best hooting of the year.
• Turkeys concentrate on mast, and the flocks grow. In a poor acorn year they range widely and turn up in unexpected places; in a heavy mast year they can stay within a few hundred acres all winter.</t>
  </si>
  <si>
    <t xml:space="preserve">• Leaf-fall completes; the woods reopen and the land's true architecture shows again — stone rows, the slope's grain, the deer highways.
• Bears den progressively from late October through December, pregnant females first and large males last — and in a heavy mast year some southern-zone bears delay denning well into winter or barely den at all.
• Porcupines return to winter dens in rock crevices and hollow trees, often the same den across generations, and the scat pile at the entrance is the marker.
• The rut builds toward its November peak; bucks move at all hours.
• The rut begins, and the woods change. Bucks scrape lines of bare earth under overhanging branches and rub their antlers on saplings, leaving polished wood and shredded bark at about waist height. A rub line read in sequence maps a buck's travel route, and the same routes get used across years.
• Deer are also the animal that most shapes what grows here. At the densities the Northeast now carries, browsing determines which seedlings survive — and the browse-resistant species (beech, striped maple, hay-scented fern, invasive shrubs) win by default. Any seedling planted on open ground needs protection, or it is feeding deer rather than replacing canopy.
• Coyotes are the apex predator in these hills, and they are not quite coyotes. The Northeastern animal carries measurable wolf and dog ancestry, arriving in New York in the mid-twentieth century after wolves were gone. It is larger than a western coyote, hunts deer in winter in a way western coyotes generally do not, and occupies a niche that had been empty for fifty years.</t>
  </si>
  <si>
    <t xml:space="preserve">• The same damp-cold conditions on rotting hardwood — dead locust and maple limbs, fungal-ridden — can produce hair ice: silken white filaments curled like combed wool, grown overnight by the fungus Exidiopsis effusa.
• Foxfire becomes findable: on damp, mild, moonless nights, honey-mushroom mycelium in rotting wood glows faint green — full dark-adaptation (twenty minutes, no phone) required.</t>
  </si>
  <si>
    <t xml:space="preserve">• garlic planting concludes; a final rye sowing can still catch on mild years; poppy seed can alternatively be broadcast now for natural winter stratification.
• Plant garlic and shallots now, four to six weeks before the ground freezes hard — enough time to root, not enough to send up top growth. Mulch heavily after planting, which on this thin soil matters more than the planting depth does.
• Dig sunchokes after the first hard frost, which converts inulin and sweetens them, and leave them in the ground rather than storing — they keep far better in soil than in a cellar, and can be dug through winter whenever the ground is workable.
• Dig groundnut tubers in the same window, taking the larger ones from the string and replanting the small ones in place.
• Sow poppy seed now for next year, broadcast on bare ground and left to the winter. Turnips and carrots sweeten in the ground after frost and can be left, heavily mulched, for digging into the cold months.
• Wrap young fruit tree trunks against voles before snow. Quarter-inch hardware cloth, pushed two to three inches into the soil and standing taller than expected snow depth — girdling happens under the snow in late winter and is not discovered until melt.</t>
  </si>
  <si>
    <t xml:space="preserve">• kraut, and the cabbage that carried the Germans through winter. Cabbage is cut after the first frosts, which sweeten it, then shredded, salted and packed in crocks to ferment. Sauerkraut is the central Palatine German winter vegetable, and it survives because lactic fermentation needs no fuel, no sugar and no sealing — only salt, and a cool place. A crock started now works slowly all winter in a cold cellar.
• Potatoes are dug in this window too, and the Irish shadow falls across them. The Famine of 1845–52 pushed enormous numbers of Irish into New York, and the ones who reached the Hilltowns arrived as farm labour and quarry hands. Potatoes had been a New World crop taken to Ireland and brought back again, and on a thin acid upland like this they grow better than wheat ever did.
• Samhain falls at the end of this microseason — the Gaelic quarter-day marking summer's end and the boundary of the dark half of the year, and the origin of Hallowe'en. It is a harvest deadline as much as a festival: everything still in the field was considered finished after it, and what remained belonged to the spirits or the birds.</t>
  </si>
  <si>
    <t xml:space="preserve">• Timber rattlesnakes return to their ancestral dens in October, and the limestone ledges and talus of the Helderberg escarpment are classic denning country — dens used continuously for centuries, sometimes millennia, by snakes that return to the exact crevice where they were born. New York paid bounties on them into the 1970s, and organized den-raiding wiped out most colonies. The species is now threatened in the state and gone from most of its former range here. The dens are still in the rock. Many of them are simply empty.</t>
  </si>
  <si>
    <t xml:space="preserve">• Spotted lanternfly egg masses go on from now through winter and are findable until May — inch-long grayish smears that look like dried mud or a swipe of putty, laid on trunks, rocks, fence posts, equipment, and vehicles indiscriminately. Anything that has traveled from downstate is worth a look before it is parked for the winter.</t>
  </si>
  <si>
    <t xml:space="preserve">Hair Ice on the Fallen Locust</t>
  </si>
  <si>
    <t xml:space="preserve">November 1–15</t>
  </si>
  <si>
    <t xml:space="preserve">• The Leonid meteors peak November 16–18 — modest most years, but the shower with a history of legendary storms.
• Orion clears the eastern horizon by mid-evening; the winter sky assembles in order — Aldebaran, then Orion, then Sirius — like stagehands setting the next act.</t>
  </si>
  <si>
    <t xml:space="preserve">• Peak conditions for hair ice as the freeze-thaw pendulum swings daily.</t>
  </si>
  <si>
    <t xml:space="preserve">• Tamaracks in the valley wetlands — the region's one deciduous conifer — turn smoky gold, the season's final blaze, visible from eastern viewpoints.
• Stick season's austere palette settles in: oxblood dogwood stems, bleached goldenrod, gray locust bark, and the year's longest sightlines.
• The oaks begin marcescence now, young trees keeping their dead russet leaves while older ones let go. The held leaves rattle all winter and will not fall until the buds push them off in April.
• The grasses take on their winter colour now and hold it until spring. Little bluestem russets to copper, big bluestem and Indiangrass to warm tan, switchgrass to pale straw. This is the field's most saturated colour of the entire year, and it arrives after the trees have finished.
• Standing seed heads are the winter bird economy. Juncos, tree sparrows, goldfinches and song sparrows work such ground all winter, and every stem left uncut in autumn is food in February. Cutting the field now removes that supply at the moment it becomes irreplaceable.
• The white pines drop their interior needles now, and every autumn someone mistakes it for disease. Conifers shed too — they simply do it selectively, keeping the outer current-year needles and dropping the older inner ones, which yellow and fall in a rush. White pine holds needles in bundles of five; red pine two; pitch pine three — the count is the fastest conifer identification here.
• Hemlock carpets the ravine floor in tiny needles, and the litter is acidic enough to shape what can grow beneath it.</t>
  </si>
  <si>
    <t xml:space="preserve">• Dark-eyed juncos are fully settled, flashing white outer tail feathers along every edge, and the winter feeder guild assembles.
• The last robin and blackbird flocks pass through, stripping what fruit remains.
• Crow roosts reassemble to full winter size, and the pre-roost staging behavior is worth watching at dusk: birds gather in intermediate assembly trees, mill and call for twenty or thirty minutes, then move to the roost proper in a single mass departure.
• Red-winged blackbirds have gone entirely, joining enormous mixed winter roosts with grackles, cowbirds, and starlings far to the south — aggregations that can number in the millions and represent one of the largest concentrations of birds anywhere on the continent.
• Blue jays are still caching acorns into November, and the sound of the hill in this microseason is largely jays arguing over the last of the mast.</t>
  </si>
  <si>
    <t xml:space="preserve">• Peak white-tailed deer rut — the hills' largest common mammals at their most heedless, chasing through dogwood thickets at midday; rutting bucks spar with unstaked tree tubes, making this the season for a pre-winter staking check.
• The rut is run on chemistry as much as antlers. Bucks rub-urinate over the tarsal glands on the inside of the hocks, where bacteria convert the compounds into the dark, pungent staining visible on any rutting buck, broadcasting individual identity and status. Interdigital, preorbital, and forehead glands add layers to the same signal system.
• Peak breeding here falls in a tight window in mid-November, timed so that fawns drop in late May and early June — which means the rut date is really a fawn-drop date working backward through a 200-day gestation, set by the northern climate rather than the deer.
• Deer are in full winter coat now: hollow guard hairs that trap air so effectively that snow accumulates on a bedded deer's back without melting. A deer wearing unmelted snow is a well-insulated deer, not a cold one.
• Tamarack is the last colour of the year, and it is the only conifer that does this. A deciduous larch, it turns pure gold in late October and holds into November after every hardwood has finished, then drops its needles entirely and stands bare and grey all winter — a conifer that looks dead for five months every year and is not. In wet ground it is one of the few trees that thrives on saturated acid soil.
• The hibernating bats have gone underground by now, and the winter's outcome is already largely determined by the fat laid down in September and October.
• Big brown bats are the last still flying, hunting on mild evenings into November long after the Myotis species have settled.
• This is the right window to clean and repair bat houses — empty now, and any work done before spring is work not done during the maternity season. A bat house wants full sun, ten to twelve feet up, and no obstruction below the entrance, and poorly sited boxes stay empty for years.
• Gray squirrels are at peak caching, and the leaf nests — dreys — are visible now in bare branches. A drey is a summer and autumn structure; in hard winter grays prefer a tree cavity, which is one more reason standing dead wood matters.</t>
  </si>
  <si>
    <t xml:space="preserve">• Bunchgrass clumps are also winter shelter — insects overwinter at the crowns and in the hollow stems, and the clumps hold snow in a way that leaves usable space at ground level beneath.
• This is the honest moment to check the hemlocks for woolly adelgid. Look on the underside of the twigs at the needle bases for small white woolly masses, like specks of cotton. The insect is spreading north with warmer winters, and a hemlock ravine is one of the things most at risk on any Northeastern property.</t>
  </si>
  <si>
    <t xml:space="preserve">• Beavers are cutting and caching now, and every one of them descends from a near-miss. The North American fur trade ran on this animal, and the Dutch and English traded for beaver pelts out of Albany for two centuries; by 1900 New York State held perhaps a few dozen wild beavers total. They were restocked, they took, and they are now everywhere — one of conservation's genuine, unqualified successes. The wetlands they build along Basic Creek are not a restoration of something old. They are the old thing itself, switched back on.
• Fruit tree winter prep, and the deadline is the first lasting snow. Voles girdle young apple and peach trunks under the snowpack, chewing a complete ring of bark at or just below the snow line where nothing can see them, and a girdled tree is dead in spring with no warning at all — quarter-inch hardware cloth cylinders, sunk an inch into the soil and standing well above expected snow depth, are the only reliable answer. Light-colored trunk wrap or white latex on the southwest side of young trunks prevents sunscald, the winter injury caused when low February sun warms bark on a cold day and the tissue is killed by the refreeze after sundown.</t>
  </si>
  <si>
    <t xml:space="preserve">The Gray Time</t>
  </si>
  <si>
    <t xml:space="preserve">November 16–30</t>
  </si>
  <si>
    <t xml:space="preserve">• By month's end the hill is down to about nine hours of daylight, and the Hills's lengthening afternoon shadow arrives noticeably earlier each week — the local mountain taxing the sun at its steepest seasonal rate.</t>
  </si>
  <si>
    <t xml:space="preserve">• First sticking snows typically arrive on the hilltop in this window, whitening the heights while the valley stays brown — the microclimate's winter debut.
• Flocks of snow buntings may swirl over open fields — arctic visitors that treat a Helderberg hilltop as a reasonable substitute for tundra.</t>
  </si>
  <si>
    <t xml:space="preserve">• The evergreens become the only structure left. With the oaks finally bare and the tamarack needles down, red cedar, white spruce and pitch pine are the entire vertical green of the hill, and their value as shelter is suddenly obvious — for birds roosting out of wind, for deer bedding, and for anyone standing on the north side of them.</t>
  </si>
  <si>
    <t xml:space="preserve">• Turkeys are at their most visible against snow, and their winter strategy is conservative: they roost in trees at night, feed in short bouts, and in deep powder may sit in the roost for several days at a stretch rather than burn energy floundering. Crusted snow is far worse for them than deep soft snow, because they cannot scratch through it to reach mast.
• The yellow-rumped warbler is the reason bayberry matters here: it is the only warbler that can digest the wax coating on bayberry and wax myrtle fruit, having gut enzymes and bile salts the others lack. That single ability lets it winter hundreds of miles further north than any other warbler in North America. A warbler in these hills in late November is almost certainly this one, and it is eating something no other warbler can.</t>
  </si>
  <si>
    <t xml:space="preserve">• The most subdued fortnight, and quietly among the most useful: the land is fully legible — every contour, drainage, deer trail, and stone row exposed — making this the natural season for an annual walking audit: mapping honeysuckle and multiflora for the next campaign, noting which hazels have outgrown their tubes, reading the summer's erosion in bare soil.
• Regular firearms deer season opens in the Southern Zone around November 21 — blaze orange for every walk; expect deer to shift nocturnal and secretive within days of opening morning, as they know the calendar as well as anyone.
• Ravens follow the deer season, scavenging gut piles alongside crows and coyotes — one of the more reliable ways to hear ravens in these hills in a given year, and a good demonstration of how quickly they locate carrion.
• A full mammal roster for a property of this size and structure, worth working through deliberately: white-tailed deer, black bear, coyote, red fox, gray fox (more arboreal and far less often seen — the only American canid that routinely climbs trees), bobcat, fisher, ermine, long-tailed weasel, mink, river otter and beaver and muskrat along Basic Creek, raccoon, striped skunk, Virginia opossum, woodchuck, porcupine, eastern cottontail, snowshoe hare at higher elevations, gray squirrel, red squirrel, southern flying squirrel, eastern chipmunk, meadow vole, southern red-backed vole, white-footed and deer mice, meadow jumping mouse, star-nosed and hairy-tailed moles, and several shrews. Absent and once present: wolf, cougar, elk, lynx, marten, wolverine.
• Gray fox is the most consistently overlooked: smaller-footed than a red fox, grizzled with a black-tipped tail (a red fox's tail tip is white), and largely nocturnal. Its numbers have fallen in recent decades where coyotes are dense, since coyotes kill foxes on sight.</t>
  </si>
  <si>
    <t xml:space="preserve">• The last hardy fungi — late oysters on dead locust — persist through the freezes.</t>
  </si>
  <si>
    <t xml:space="preserve">• Winterise the hives. Entrance reducers and mouse guards on, ventilation at the top so condensation does not rain back down on the cluster — wet bees die where dry cold ones survive. Wind protection matters more than insulation at this elevation.
• Mulch the strawberry bed after the ground freezes, not before — the purpose is to keep it frozen rather than to prevent freezing, since the damage comes from freeze-thaw heaving rather than from cold.
• Mulch rhubarb, asparagus and the garlic bed heavily now, and leave the raspberry canes standing until spring pruning.</t>
  </si>
  <si>
    <t xml:space="preserve">• hog killing, and why it happens exactly now. This is the most weather-dependent food event of the rural year. Butchering waits for cold reliable enough to chill a carcass overnight but before the ground freezes hard, which in these hills means the back half of November into early December. Every culture that farmed here did it in the same window, because the thermometer decided, not the calendar.
• Nothing was discarded. Hams and shoulders to the smokehouse or the salt barrel; sides to bacon; sausage made the same day because it cannot wait; lard rendered and stored in crocks; the scraps and offal cooked with cornmeal or buckwheat into scrapple, which is the Palatine German panhas under an English name; the head to headcheese; the feet pickled. Scrapple exists because a hog killed in November has to be eaten before it spoils and there is no refrigeration.
• It was communal and reciprocal. Neighbours came, worked, and were paid in meat — and the obligation ran the other way when their turn came. A hill farm's winter protein depended on the timing of a cold snap and on who owed whom.</t>
  </si>
  <si>
    <t xml:space="preserve">• This is the fortnight for reading stone. A stone wall running through mature woods is a boundary from when those woods were a field, and its stones were dragged from that field by hand and by ox after frost pushed them up each spring. The wall is a fossil of labor. The stones themselves are fossils of something far older: Helderberg limestone is crowded with brachiopod shells, crinoid stem segments like tiny stacked poker chips, and horn corals — the accumulated skeletons of a shallow tropical sea from four hundred million years ago, hauled uphill by a farmer who wanted a straight line. Low winter sun raking across a wall face is the best light of the year for finding them. Look also for barbed wire swallowed into tree trunks — the tree grew around the fence, and the fence dates the abandonment.
• the predators that are not here. Four large mammals ranged over such ground and are gone. The last New York elk was shot in 1834. Wolverine were last reported in 1840. The last native Adirondack wolf was killed near Brandreth Lake in November 1893. Cougar and lynx disappeared around the turn of the twentieth century. All four were removed by bounty, trapping and habitat clearance within roughly seventy years — the same seventy years that cleared this hillside for pasture.
• They are not entirely theoretical. A cougar killed in Connecticut in 2011 had walked 2,000 miles from South Dakota, passing through this state on the way. A wolf was shot by a hunter in Cherry Valley in December 2021, about 25 miles south of the Adirondack Park — taken for a large coyote. Eighty lynx released in the Adirondacks from 1989 dispersed up to 400 miles and failed to establish.
• The absence is structural, not incidental. The coyote expanded into a vacancy that wolves left; deer reached densities no predator now checks; porcupine and beaver numbers swung with the return of fishers and the end of trapping. The mammal community in these hills are not a remnant of a wild baseline — it is a reassembly, still in progress, around the shapes of what was removed.</t>
  </si>
  <si>
    <t xml:space="preserve">• The annual crown audit belongs here, when every canopy is bare and legible at once. Grapevine release also belongs here — cutting a heavy vine at the base with a second cut a foot higher (removing a section so the ends cannot rejoin) frees a loaded crown before winter ice arrives, and the severed top simply dies in place rather than needing to be pulled down. Look, too, for conks: shelf fungi emerging from a trunk or root flare are fruiting bodies of internal decay, which means the rot is years advanced and structurally significant by the time anything shows on the outside.</t>
  </si>
  <si>
    <t xml:space="preserve">Snow Rollers on the Open Field</t>
  </si>
  <si>
    <t xml:space="preserve">December 1–15</t>
  </si>
  <si>
    <t xml:space="preserve">• The Geminid meteors peak December 13–14 — the year's most reliable shower, rich and slow, and unusually sourced from an asteroid (3200 Phaethon) rather than a comet; cold and moonlight permitting, it outperforms the Perseids.</t>
  </si>
  <si>
    <t xml:space="preserve">• Early snowpack season opens the window for the strangest rare phenomenon: snow rollers — natural snowballs the wind rolls across open ground, hollow-cored like jelly rolls, requiring a near-impossible recipe (a slick base layer, an inch of wet loose snow, temperatures near freezing, and wind strong enough to roll but not destroy). An open, breezy hilltop field is exactly the habitat; most people never see one, so every marginal-temperature snowfall with wind deserves a look.
• Track reading rewards learning the gaits rather than just the prints, since gait survives poor snow conditions that erase toe detail. Canines and felines walk in a nearly straight direct-register line, hind foot landing in the fore print — and the fox's line is straighter and neater than the coyote's. Weasels and fishers bound in paired 2–2 tracks. Rabbits and squirrels land in a 4-print cluster with the large hind feet ahead of the front, so the tracks appear to point backward. Bobcat shows no claw marks and a distinctly asymmetrical, leading-toe pad; a dog or coyote shows claws.
• Snow is the hills' daily newspaper; morning is the edition worth reading.
• Golden-crowned kinglets — improbable quarter-ounce survivors — work the conifers through weather that should kill them; how they manage (shivering, huddling, constant feeding) is a season's meditation in itself.
• A windbreak is doing its work now, and the snow shows exactly how well. Wind carrying snow slows as it meets a belt of trees and drops its load on the lee side; the drift that builds there is a direct readout of where the shelter falls. Protection extends roughly ten times the height of the trees downwind, strongest between two and five times — so a thirty-foot belt quiets about three hundred feet behind it.</t>
  </si>
  <si>
    <t xml:space="preserve">• A porous windbreak outperforms a solid one: air forced entirely over a dense wall tumbles down behind it in turbulent eddies, while a belt of roughly half-open structure lets enough through to keep the flow smooth and the calm deeper. Mixed, layered, slightly ragged plantings work better than tight hedges.
• Red cedar earns its place in this month. It holds branches to the ground for decades where spruce eventually shades its own lower limbs off, and dense low foliage is the entire point of a winter windbreak — wind cuts underneath a belt that has lifted its skirts.
• Winterberry is the reason this month has colour. A deciduous holly, it drops every leaf and stands as bare grey stems hung with dense scarlet fruit, the most vivid thing on the hill from November into February. Like spicebush and red cedar it is dioecious — berries only on females, and only with a male in range.</t>
  </si>
  <si>
    <t xml:space="preserve">• The chickadee's role in the winter flock guild is informational: nuthatches, titmice, kinglets, creepers, and downy woodpeckers all eavesdrop on chickadee alarm calls, and several respond appropriately to the dee-note threat grading despite not producing it themselves. The chickadee is the flock's alarm system, and the other species are subscribers.
• The birds leave it until late, and that is deliberate on both sides. The fruit is low in fat and high in tannin, unpalatable while better food exists, and it needs repeated freeze-and-thaw cycles to soften and sweeten. It is a late-winter reserve — robins, bluebirds and waxwings strip it in February and March, when almost nothing else is left, and the plant gets its seeds dispersed at the season when there is least competition for the service.</t>
  </si>
  <si>
    <t xml:space="preserve">• Tracking season opens in earnest with each fresh snow: fisher looping through the woodlot, red fox trotting the field edge in a dead-straight registered line, the sudden wing-swept crater where an owl connected.
• The cleanest fox-versus-coyote discriminator in soft snow is not size but the fox's hair-covered foot pads, which blur the print into an indistinct oval where a coyote's registers crisply.
• Irruption years bring northern owls south when the boreal vole and lemming cycle crashes — snowy owls on open hilltops and airfields, more rarely northern shrikes hunting from exposed perches. An open Helderberg hilltop is exactly the habitat a snowy owl mistakes for tundra, and mid-December through February is the window.</t>
  </si>
  <si>
    <t xml:space="preserve">• Balsam fir is the Christmas tree of this region for a reason — it holds needles longer than spruce and carries the strongest scent of any northern conifer. It wants cool moist ground, which makes it a poor fit for the dry shallow soil of an upland field and a good one for the wet lower edges.
• Eastern red cedar is what the winter hillside actually offers, and it does double duty: windbreak, wildlife cover, and greenery for the house. Keep cedars well away from apple trees — the cedar-apple rust fungus needs both hosts to complete its cycle, and separation is the only real control.
• Cut willow rods for basketry now, dormant and leafless, and bundle them upright in a few inches of water to keep them alive until working — or dry them fully and re-soak before use. This is also the moment to take hardwood cuttings: willow strikes root from a bare stick pushed into wet ground, which is why it is the cheapest possible way to stabilise a stream edge.</t>
  </si>
  <si>
    <t xml:space="preserve">• Thirteen thousand years ago this fortnight's conditions were simply the climate, and the tracks in the snow would have been caribou. Paleoindian hunters worked exactly this kind of high open ground — the West Athens Hill site, a few ridges south along the same escarpment, was a hilltop chert quarry and workshop where people came to make tools and, from the elevation, to watch. The impulse to climb a hill in December and read what has crossed the snow is not a hobby. It is the oldest continuous human activity this landscape has hosted.</t>
  </si>
  <si>
    <t xml:space="preserve">Long Night on the Hills</t>
  </si>
  <si>
    <t xml:space="preserve">December 16–31</t>
  </si>
  <si>
    <t xml:space="preserve">• The winter solstice (December 21–22): the year's shortest day — roughly nine hours of light, minus whatever the Hills's shadow claims from the afternoon — and its longest night, over fifteen hours of dark.
• The sun rises and sets at its southern extremes; the solstice sunrise point on the eastern horizon closes the calendar's loop.
• The Ursid meteors peak quietly on solstice night itself — a low-rate shower for purists, radiating from the Little Dipper.
• The Pleiades climb again toward their midwinter height, carrying the Haudenosaunee ceremonial year toward its Midwinter renewal.</t>
  </si>
  <si>
    <t xml:space="preserve">• Hazels stand with catkins already formed and waiting; dogwood stems burn red against the snow; the sap is eight weeks from stirring. The hill completes its twenty-fourth season and begins, without pausing, its first.</t>
  </si>
  <si>
    <t xml:space="preserve">• Barred owls call through the long dark — who-cooks-for-you volleys echoing between woodlots — and on the stillest, coldest nights the whole sequence of deep-winter optics returns: light pillars over the valley, moon halos, moondogs, the occasional cryoseism cracking the frozen ground like a starting pistol for the new year.
• Great horned owl courtship duets peak in the last two weeks of December, running toward the February eggs — the year's first breeding behavior begins before the year's calendar has ended.
• Christmas Bird Count season runs mid-December into early January, the longest-running community science dataset in existence, begun in 1900. Local counts are always short of participants, and a single hilltop property at 1,200 feet contributes exactly the kind of upland coverage most counts lack.</t>
  </si>
  <si>
    <t xml:space="preserve">• Bucks begin casting antlers from late December onward as testosterone falls, and the timing is individual — a stressed or heavily rutted buck drops earliest. A buck seen in January with one antler is a normal buck mid-shed, not an injured one.
• Bear cubs are being born in dens right now, somewhere within a few miles, to mothers who will not wake for the event.</t>
  </si>
  <si>
    <t xml:space="preserve">• The final and largest one. Twenty thousand years ago there was no hill here to stand on — or rather there was, buried under something on the order of a mile of ice, its summit a thousand feet below the surface of a glacier that stretched unbroken to Labrador. The rock underfoot was pressed down hundreds of feet by the weight and is still, measurably, rebounding. On the longest night of the year, in the coldest quarter of the calendar, it is worth holding both facts at once: that this landscape is an interglacial parenthesis, and that the ice is not a thing that happened to it but the ordinary condition it is currently, temporarily, on vacation from.</t>
  </si>
  <si>
    <t xml:space="preserve">Season #</t>
  </si>
  <si>
    <t xml:space="preserve">Category</t>
  </si>
  <si>
    <t xml:space="preserve">Entry</t>
  </si>
  <si>
    <t xml:space="preserve">The deepest cold of the year settles in; on the most brutal mornings, ice crystals suspended in the air refract the low sun into parhelia — sun dogs — twin bright smudges flanking the sunrise over the eastern valley.</t>
  </si>
  <si>
    <t xml:space="preserve">For the Haudenosaunee, this is the threshold of Midwinter Ceremony — the turning of the ceremonial year, timed to when the Pleiades stand at their highest point at dusk; around 9 p.m. they sit directly overhead, a calendar in the sky that needs no reprinting.</t>
  </si>
  <si>
    <t xml:space="preserve">The bitterest nights can produce a cryoseism (frost quake): the sharp crack of saturated ground freezing and splitting, easily mistaken for a falling limb.</t>
  </si>
  <si>
    <t xml:space="preserve">Eastern red cedar turns colour in the cold, and this is the month it shows. The foliage bronzes to a dull purple-brown in hard frost — a genuine seasonal pigment change, not damage — and greens again in spring. On a bare winter hillside the bronzed columns are unmistakable.</t>
  </si>
  <si>
    <t xml:space="preserve">On the coldest still nights, light pillars rise from the valley lights below — vertical columns painted on falling plate crystals drifting in calm air.</t>
  </si>
  <si>
    <t xml:space="preserve">The chick-a-dee call is a compositional signal, not a name. The number of terminal dee notes encodes predator threat, and the relationship is inverse to size: small, agile, maneuverable hunters that can chase a chickadee through branches — a sharp-shinned hawk, a screech-owl — draw the most dees, while a large hawk or a great horned owl draws fewer. This was demonstrated by Templeton, Greene, and Davis in Science in 2005, presenting fifteen live predator species and confirming with playback that other chickadees act on the information. Counting dees is genuinely reading a report on what is in the tree.</t>
  </si>
  <si>
    <t xml:space="preserve">Only the female trees carry them: red cedar is dioecious, separate male and female individuals, so half the cedars on a hillside will never fruit at all.</t>
  </si>
  <si>
    <t xml:space="preserve">Black-capped chickadee (Poecile atricapillus) flocks work the gray dogwood thickets in mixed company with tufted titmice, white-breasted nuthatches, and downy woodpeckers — a winter foraging guild that travels together for shared vigilance against hawks.</t>
  </si>
  <si>
    <t xml:space="preserve">Chickadee. The winter flock is a stable hierarchy of roughly six to ten birds — a dominant pair, subordinates, and floaters — holding a territory of about twenty acres, which means the flock working these thickets is likely the flock, the same individuals seen day after day. Rank determines feeder order and, in a hard winter, who survives.</t>
  </si>
  <si>
    <t xml:space="preserve">A chickadee weighs about the same as two nickels and must eat something on the order of its own body weight daily in deep cold. It survives the fifteen-hour night by regulated nocturnal hypothermia, deliberately dropping its body temperature by roughly 10–12°C in a sheltered cavity — a controlled, reversible chill that cuts the overnight fuel bill by a quarter or more — then shivering itself back up before dawn.</t>
  </si>
  <si>
    <t xml:space="preserve">Titmouse. The tufted titmouse is a recent arrival, not an old resident. It was a southern bird through the nineteenth century and expanded steadily north across the twentieth, reaching and then saturating upstate New York on the back of winter feeding stations and moderating winters. Anyone born early enough in these hills remembers when there were none.</t>
  </si>
  <si>
    <t xml:space="preserve">Titmice hold territory in family groups, and unusually among northern songbirds, some young stay with their parents through the winter rather than dispersing — so a titmouse pair with two extra birds in tow is often literally a family.</t>
  </si>
  <si>
    <t xml:space="preserve">The blue berries are the winter larder. They are not berries at all but fleshy cones, dusted with a pale waxy bloom, and they hold on the female trees through the whole winter. Cedar waxwings take their name from this tree, and a flock stripping a cedar in January is one of the reliable set-pieces of the season — birds passing fruit to one another along a branch before eating.</t>
  </si>
  <si>
    <t xml:space="preserve">White spruce cones hang small, papery and pendant at the branch tips, and the winter finches work them — red crossbills and pine siskins in irruption years, prying seeds out with bills evolved for exactly this. Red squirrels cut the cones down wholesale and pile them in middens at the base of the tree, and a spruce with a deep litter of stripped cone cores beneath it has a resident squirrel.</t>
  </si>
  <si>
    <t xml:space="preserve">Beneath the snow, the subnivean zone — the hidden lattice of tunnels between snowpack and soil — holds a steady ~32°F while air temperatures plunge below zero, keeping meadow voles and short-tailed shrews alive and active all winter.</t>
  </si>
  <si>
    <t xml:space="preserve">The subnivean cast is worth separating, because "mouse" covers four very different animals. Meadow voles (Microtus pennsylvanicus) are blunt-nosed, short-tailed, tiny-eared grass specialists that live in the open field and cut the surface runways revealed at snowmelt; they are the single most important prey animal on this landscape and drive owl, fox, coyote, and weasel numbers. White-footed mice and deer mice (Peromyscus leucopus and P. maniculatus) are big-eyed, long-tailed, and semi-arboreal, the ones that get into buildings. Southern red-backed voles hold the mossy woods. Short-tailed shrews (Blarina brevicauda) are not rodents at all but insectivores — and they are venomous, one of very few venomous mammals on earth, with toxic saliva that paralyzes invertebrates and small prey so it can be cached alive.</t>
  </si>
  <si>
    <t xml:space="preserve">Shrews run a metabolism so extreme they must eat every few hours or die, and they cannot hibernate; some shrew species shrink their own skulls and brains by up to 20% over winter to reduce energy demand, then regrow them in spring — a phenomenon known as Dehnel's effect.</t>
  </si>
  <si>
    <t xml:space="preserve">White-footed mice are the principal reservoir for the Lyme bacterium in this region, and their abundance tracks the previous autumn's acorn crop. A heavy mast year produces a mouse boom the following summer, and a heavier tick-infection year the summer after — an oak-to-mouse-to-tick chain that runs on roughly a two-year lag.</t>
  </si>
  <si>
    <t xml:space="preserve">Red fox and coyote hunt the subnivean layer by ear — the head-cocked pause, then the high arcing pounce through the crust.</t>
  </si>
  <si>
    <t xml:space="preserve">Nine bat species occur in New York, and they split into two groups that experience winter completely differently. Six hibernate here — little brown, big brown, northern long-eared, Indiana, tricolored and eastern small-footed — gathering in caves and mines, which is precisely where white-nose syndrome finds them. Three migrate south instead — hoary, silver-haired and eastern red — roosting alone in foliage rather than in colonies, and they have been largely spared the disease for that reason.</t>
  </si>
  <si>
    <t xml:space="preserve">The big brown bat is the exception among the hibernators, and it is the one most likely to be in a house. It tolerates colder and drier roosts than the Myotis species, is large enough to carry more fat, and routinely overwinters in buildings, attics and wall cavities rather than in caves. A bat found in a house in January is almost always this species.</t>
  </si>
  <si>
    <t xml:space="preserve">Red squirrels are the only squirrel fully active in the hardest weather. They do not hibernate and do not put on much fat; they live on the midden — a single defended pile of cached cones, often built up over years at the base of the same tree — and will tunnel under snow to reach it.</t>
  </si>
  <si>
    <t xml:space="preserve">The hive is not asleep. Honeybees do not hibernate — they form a winter cluster, shivering flight muscles to hold the core near 92°F while the outer mantle sits near 48°F, and the whole cluster rotates so no bee stays on the cold edge. They are burning stored honey to do it, and starvation in February and March kills more colonies here than cold does. Heft the back of the hive: a light box is a warning.</t>
  </si>
  <si>
    <t xml:space="preserve">Never open a hive in this month. Breaking the cluster in deep cold can kill it outright. Everything needed is legible from outside — weight, a cleared entrance, and on a still day, an ear against the box.</t>
  </si>
  <si>
    <t xml:space="preserve">applejack. Cider left out in the cold separates: water freezes first and the alcohol concentrates in what stays liquid. Freeze-distilling ("jacking") needs exactly the run of nights this microseason supplies, and it was standard practice on Northeastern farms wherever there were apples and no still. The cider went up outdoors in a barrel, the ice was skimmed off repeatedly, and what remained was strong. It is one of the few preserving techniques that requires a specific climate rather than specific equipment, and this hill has the climate.</t>
  </si>
  <si>
    <t xml:space="preserve">This is the deep root-cellar month. Potatoes, turnips, rutabaga, carrots in damp sand, cabbages hung by the root, salt pork, dried apples, and crocks of sauerkraut still working slowly in the cold. Nothing on a hill farm's winter table was harvested in winter — every bit of it was decided in October.</t>
  </si>
  <si>
    <t xml:space="preserve">This fortnight is the closest the year comes to the hill's default condition. For the great majority of the last hundred thousand years, this was simply what the landscape was — cold, treeless or nearly so, wind-scoured. The interglacial forest is the anomaly; January is the baseline briefly reasserting itself.</t>
  </si>
  <si>
    <t xml:space="preserve">Bare crowns are readable crowns. Dieback shows plainest against a winter sky: a stag-headed tree — dead, antler-like limbs protruding above a shrunken living crown — is in advanced decline, and the pattern of death tells the cause. Dieback beginning at the top and working down and inward points to a root or vascular problem. Scattered dead branches through an otherwise full crown points to borers or canker. Dead branches only in the lower and inner crown is usually just shading, and normal.</t>
  </si>
  <si>
    <t xml:space="preserve">Wild grape (Vitis riparia, riverbank grape, and V. aestivalis, summer grape) is most visible now — thick shaggy-barked ropes running up into bare crowns, sometimes wrist-thick. Grape is native and valuable, but it is also one of the very few native plants that genuinely kills trees, by loading a crown until ice or wind takes the whole top out. A tree wearing a grape hat is a tree at structural risk.</t>
  </si>
  <si>
    <t xml:space="preserve">Black locust pods rattle on the branch; gray dogwood stems glow oxblood-red against snow.</t>
  </si>
  <si>
    <t xml:space="preserve">Marcescence — the stubborn holding of dead leaves through winter — marks young beech and oak at the woodland edges, their pale leaves hissing in the wind.</t>
  </si>
  <si>
    <t xml:space="preserve">The bunchgrasses are the standing architecture of the winter field. Little bluestem holds its colour through the cold — a coppery orange-russet that reads warm against snow and is the most distinctive thing on an open hillside in January — while big bluestem and Indiangrass stand tan and Canada wild rye keeps its nodding seed heads. On thin soil over ledge, where nothing is tall, the grasses are the only vertical relief for months.</t>
  </si>
  <si>
    <t xml:space="preserve">Little bluestem's seed is what makes it glow. Each seed carries a tuft of white hair, and backlit by low winter sun the whole stand silvers.</t>
  </si>
  <si>
    <t xml:space="preserve">Warm-season bunchgrasses grow in discrete clumps with bare ground between them, unlike the continuous sod of cool-season turf. That structure is why they hold snow in drifts rather than mats, and why sparrows and juncos work between the clumps all winter picking fallen seed off open ground.</t>
  </si>
  <si>
    <t xml:space="preserve">Their track is the clean field mark: round, roughly two inches, no claw marks — cats walk with claws retracted, canines do not — and the trail runs in a near-straight line rather than the loose wander of a dog.</t>
  </si>
  <si>
    <t xml:space="preserve">Witch hazel is still in flower, and it is the only thing that is. Ragged yellow strap-like petals on bare twigs, blooming from October through the hardest part of winter — pollinated by winter moths that generate heat by shivering. The seed capsules from last year's flowers are firing at the same time, ejecting seed up to thirty feet with an audible crack.</t>
  </si>
  <si>
    <t xml:space="preserve">Trees are at their most legible now, and bark is the whole field mark. Shagbark hickory needs no comment. Sugar maple bark lifts in long vertical plates attached along one edge, curling outward, while red maple stays tighter and greyer with a shaggier upper trunk. American elm carries alternating light and dark layers visible in a cut twig or bark chip — a reliable confirmation even on a dying tree.</t>
  </si>
  <si>
    <t xml:space="preserve">Quaking aspen is unmistakable in winter light: smooth, chalky greenish-white bark with dark diamond-shaped scars, standing in clonal groves that all lean the same way.</t>
  </si>
  <si>
    <t xml:space="preserve">Crow. American crows are in winter roosting mode, and the scale is easy to underestimate: birds forage in family groups by day across many miles, then converge at dusk on communal roosts that in the Capital Region can hold many thousands. Roosts favor urban and suburban sites — warmer, better lit, and safer from great horned owls, which are the main reason crows roost together at all. Watching the evening flight lines stream toward Albany is a reliable January–February spectacle.</t>
  </si>
  <si>
    <t xml:space="preserve">Crows recognize individual human faces, hold grudges for years, and transmit hostility toward specific people to birds that never had the original encounter — established by John Marzluff's masked-researcher experiments at the University of Washington. The corollary is that they also recognize kindness, and that a crow's opinion of a person is durable and socially contagious.</t>
  </si>
  <si>
    <t xml:space="preserve">Crow numbers crashed with the arrival of West Nile virus around 1999; corvids are exceptionally susceptible, and regional declines approached half the population before a partial recovery. The abundance visible today is a rebound, not a baseline.</t>
  </si>
  <si>
    <t xml:space="preserve">Raven vs. crow, which the bare season makes easy: the raven is a third larger with a heavy Bowie-knife bill, shows a wedge-shaped or diamond tail in flight against the crow's squared fan, soars and tumbles on flat wings where a crow rows steadily, wears shaggy throat hackles that stand out when it calls, and delivers a deep resonant kronk rather than a caw. Ravens also play — sliding down snowbanks, dropping and catching sticks in midair — which crows essentially do not.</t>
  </si>
  <si>
    <t xml:space="preserve">Great horned owls — the year's earliest nesters — court in the black locust stands: the male's deep four-to-five-note hoots answered by the female's higher, raspier reply.</t>
  </si>
  <si>
    <t xml:space="preserve">Daylight lengthens visibly; by month's end the hill gains nearly two minutes of light per day, and chickadees respond first, testing the two-note fee-bee spring song on any sunny morning above 20°F.</t>
  </si>
  <si>
    <t xml:space="preserve">Eastern coyote breeding season peaks; nights fill with paired, conversational duets between mates rather than the yipping group choruses of autumn.</t>
  </si>
  <si>
    <t xml:space="preserve">Coyote tracks stitch the landscape in purposeful straight lines, often following packed human trails — they appreciate an easy path as much as anyone.</t>
  </si>
  <si>
    <t xml:space="preserve">Fisher. Neither a cat nor a fisher of fish — a very large arboreal weasel (Pekania pennanti) that was trapped out of most of New York by the early 1900s and has recolonized on its own. The track is the giveaway: five toes (unlike canines' four), often paired in a bounding 2–2 lope, with a habit of running up one tree and down another that no fox or coyote can imitate.</t>
  </si>
  <si>
    <t xml:space="preserve">Fishers are among the very few animals that routinely kill porcupines, and the technique is specific: repeated frontal attacks to the face, circling the quills rather than defeating them, sometimes over half an hour, then feeding through the unquilled belly. Where fisher numbers rose across the Northeast, porcupine numbers fell measurably — a predator-prey relationship visible at landscape scale.</t>
  </si>
  <si>
    <t xml:space="preserve">Ermine and long-tailed weasel turn white in winter here, molting on day length rather than snowfall, which increasingly leaves them mismatched — conspicuous white animals on brown ground in a low-snow year. This is one of the most direct and visible ways a warming climate is killing individual animals on this hill.</t>
  </si>
  <si>
    <t xml:space="preserve">Fisher, ermine, long-tailed weasel, mink, and river otter are all mustelids present in this watershed; the family also includes the extirpated wolverine, gone from the Northeast for well over a century.</t>
  </si>
  <si>
    <t xml:space="preserve">Snow records everything now: the paired bounding gait of fisher, the delicate stitchery of deer mice, wing-swept craters where an owl connected with prey.</t>
  </si>
  <si>
    <t xml:space="preserve">The subnivean zone is where most of the hill's mammal activity happens now. Under about six inches of settled snow, ground heat and the snowpack's insulation hold a layer at roughly 32°F regardless of the air above it, and meadow voles live in it all winter — running tunnels at the grass line, invisible and largely safe from hawks.</t>
  </si>
  <si>
    <t xml:space="preserve">Owls hunt it by ear. A great horned or barred owl locates a vole under snow by sound alone and punches through, and the hole left behind — a neat cavity with wing prints fanned out either side.</t>
  </si>
  <si>
    <t xml:space="preserve">Bobcats breed in this window, and the yowling is startling if you have not heard it — a low caterwaul that carries a long way on cold air and sounds nothing like a housecat. They have come back on their own. Cleared land and unregulated hunting pushed them to the margins by the early twentieth century; returning forest brought them back without anyone reintroducing them, and they now live within a few miles of every Hilltowns village.</t>
  </si>
  <si>
    <t xml:space="preserve">Deer yard up now. They gather in dense conifer stands where the canopy holds snow off the ground and the wind is broken, trampling networks of trails and staying in them. A hemlock or spruce grove with a beaten floor and browse lines cut at exactly nose height is a deer yard, and the browse line is a readable record of how deep the snow got.</t>
  </si>
  <si>
    <t xml:space="preserve">Turkey tail is the winter fungus, and it is on every hardwood log on the hill right now — thin overlapping fans banded in brown, grey, buff and blue-green, flexible rather than brittle. The test that separates it from its lookalikes is underneath: true turkey tail has a pore surface, fine white holes visible with a hand lens. False turkey tail is smooth beneath.</t>
  </si>
  <si>
    <t xml:space="preserve">Order seed now, and order for the hill rather than the catalogue. At 1,200 feet with roughly 110 to 120 frost-free days, days-to-maturity is the number that matters — a 90-day tomato is a gamble here and a 65-day one is not. Short-season northern breeders are the right source, and the good varieties sell out by March.</t>
  </si>
  <si>
    <t xml:space="preserve">Prune grapes in the hardest cold, while fully dormant and before any sap movement. Grapes fruit only on current-season wood grown from last year's canes, so the pruning is severe by garden standards — most of the previous year's growth comes off, leaving a few canes with a counted number of buds. An unpruned vine makes wood and shade rather than fruit.</t>
  </si>
  <si>
    <t xml:space="preserve">Willow for basketry is cut now too, while dormant and leafless. One-year rods are the useful ones — straight, unbranched, flexible — and cutting hard each winter is what produces them; a willow left alone makes a tree, a willow cut annually makes a coppice stool that throws a new crop of rods every season for decades.</t>
  </si>
  <si>
    <t xml:space="preserve">The eastern wolf was gone from New York by the 1890s, hunted and bountied out. But the coyotes calling now are not the small western coyote — they are a larger animal carrying meaningful eastern-wolf ancestry, picked up as coyotes expanded through Ontario and hybridized with the remnant wolves they found there. The wolf is not entirely absent from these nights. It is simply speaking through a different throat.</t>
  </si>
  <si>
    <t xml:space="preserve">late winter is when voles girdle trees. With other food gone, they strip bark at the base of trunks under the snow, and complete girdling kills the tree. The damage is not discovered until melt. Quarter-inch hardware cloth, set two to three inches into the soil and standing above expected snow depth, prevents it entirely — and the vulnerable trees are young ones, thin-barked ones, and any tree already in decline.</t>
  </si>
  <si>
    <t xml:space="preserve">Sunrise now visibly migrates north along the eastern horizon; a fixed landmark (a particular tree, a far ridge notch) turns the hill itself into a solar observatory.</t>
  </si>
  <si>
    <t xml:space="preserve">This is often the coldest stretch of the year, when the Hills's wind shadow matters most; drifts sculpt differently on the sheltered east slope than on exposed ridgelines.</t>
  </si>
  <si>
    <t xml:space="preserve">Red cedar releases the first pollen of the year, often while snow is still on the ground. On a mild bright afternoon the male trees smoke — puffs of gold lifting off the foliage at a touch or in a gust — weeks before anything else on the hill flowers. For anyone who reacts to it, cedar is the opening of the allergy year, and it opens it in February.</t>
  </si>
  <si>
    <t xml:space="preserve">Cedar-apple rust galls are visible now as hard brown knobs on the cedar twigs, walnut-sized and warty, entirely inert-looking. They spend the whole winter like this and will not do anything until the warm rains of spring, when they swell and extrude the orange gelatinous horns already described in May. February is when to find and remove them, while they are dry, obvious and harmless.</t>
  </si>
  <si>
    <t xml:space="preserve">Skunk cabbage is the first flower of the year, and it makes its own heat to do it. The hooded spathe — mottled maroon and green, shaped like a fist — pushes up through frozen seep ground now, and it is thermogenic: metabolising stored starch to hold its interior as much as 20°C above the surrounding air, for two weeks or more. It melts its own opening through snow and ice. In a February seep, a ring of bare wet ground around a purple hood is the plant heating the world immediately around it.</t>
  </si>
  <si>
    <t xml:space="preserve">Sensitive fern's fertile fronds are standing black and rigid through all of this. The plant is dimorphic: the green sterile fronds died at the first frost, but the separate fertile stalks — stiff, upright, hung with hard bead-like segments — persist all winter and release their spores next spring. They are one of the few things still standing upright in a February wetland, and they mark exactly where the wet ground is under the snow.</t>
  </si>
  <si>
    <t xml:space="preserve">Great horned owls are now incubating; the female sits through snowstorms with eggs beneath her, sometimes wearing a white cap of accumulated snow.</t>
  </si>
  <si>
    <t xml:space="preserve">Woodpecker drumming begins in earnest — pileated, hairy, downy — each species with its own cadence, territories declared in percussion on standing dead locust; drumming functions as song.</t>
  </si>
  <si>
    <t xml:space="preserve">Great horned owl. The earliest nester in the Northeast by a wide margin, and the reason is prey timing: incubating in February means the young fledge in late spring into a landscape stuffed with naive juvenile rabbits, squirrels, and songbirds. The owl builds nothing — it appropriates old red-tailed hawk, crow, or heron nests, or settles into a broken-topped snag or rock ledge. Any conspicuous stick nest still occupied in February is an owl's, not a hawk's.</t>
  </si>
  <si>
    <t xml:space="preserve">Female great horned owls are noticeably larger than males but have the higher-pitched voice — a reliable way to sex a duetting pair by ear, and backwards from what most people assume.</t>
  </si>
  <si>
    <t xml:space="preserve">Raven. Ravens nest even earlier than the owls and favor exactly this terrain: cliff ledges and quarry faces, which the Helderberg escarpment supplies abundantly. Nest-building and courtship flight — paired soaring, synchronized rolls, and the spectacular half-roll where a bird flies briefly upside down — run through February.</t>
  </si>
  <si>
    <t xml:space="preserve">Screech-owl. The eastern screech-owl comes in two genetically fixed color morphs, rufous and gray, which are not age or sex differences. Gray predominates toward the north, and the leading explanation is thermal: gray-morph birds survive severe winters at higher rates, so cold hills select for gray. Its voice is not a screech but a descending whinny or a long even trill — a small sound easy to mistake for a mammal.</t>
  </si>
  <si>
    <t xml:space="preserve">Black bear cubs are born now, in the den, to a mother who is dormant — blind, nearly hairless, and weighing under a pound, roughly 1/300th of the mother's weight, the smallest newborn relative to parent of any placental mammal. She nurses them through the rest of winter without eating, drinking, urinating, or defecating, recycling her own urea into protein. Bears also do not lose meaningful bone or muscle mass during months of immobility, a physiological trick medicine has been trying to reverse-engineer for decades.</t>
  </si>
  <si>
    <t xml:space="preserve">Bear denning here is casual by Adirondack standards — a brush pile, a rock overhang, an uprooted stump, sometimes a shallow depression under a fallen top. Southern-zone bears also den later and emerge earlier than northern ones.</t>
  </si>
  <si>
    <t xml:space="preserve">Southern flying squirrels (Glaucomys volans) are active every night of the winter and are almost certainly the most abundant squirrel on wooded land here, and the least seen. They are strictly nocturnal, glide up to 150 feet on the patagium (the skin membrane between wrist and ankle), steering with the tail as a rudder, and they huddle communally in winter cavities — sometimes a dozen or more birds' worth of body heat stacked in one hollow. A flashlight on a feeder at 10 p.m. in February is the way to confirm them.</t>
  </si>
  <si>
    <t xml:space="preserve">The northern flying squirrel (G. sabrinus), the boreal species, has been retreating northward and upslope as the southern species expands — partly climate, partly a parasitic nematode the southern squirrel tolerates and the northern one does not.</t>
  </si>
  <si>
    <t xml:space="preserve">The species is functionally the apex nocturnal predator here and takes skunk routinely — owls have almost no sense of smell, and a great horned nest often reeks of it. It also kills other raptors and owls, which is precisely why crows mob it with such fury and why crows roost communally in winter.</t>
  </si>
  <si>
    <t xml:space="preserve">Bears are giving birth in the den right now, in the deepest cold of the year. Cubs arrive weighing under a pound, blind and nearly hairless, and nurse while the mother is still in hibernation — living on fat reserves, not on food, for another two months. Black bear hibernation is a state no other large mammal manages this way: the female does not eat, drink, urinate or defecate through the whole term, and gives birth in the middle of it.</t>
  </si>
  <si>
    <t xml:space="preserve">Otters are breeding, and they use winter water. They stay active all season, working open leads and spring holes, and their sign is unmistakable — slides on snowbanks, where an otter pushes off and toboggans on its chest, often repeatedly down the same run. It is the only animal here that leaves a groove instead of a trail.</t>
  </si>
  <si>
    <t xml:space="preserve">Raccoons are not hibernating but are in torpor, holed up in hollow trees and drowsing through the worst of it, dropping their activity rather than their body temperature. A mild spell brings them straight back out, so raccoon tracks appear and disappear across the winter in step with the thermometer.</t>
  </si>
  <si>
    <t xml:space="preserve">On thaw days above freezing, snow surfaces near tree bases show what looks like spilled pepper: snow fleas (springtails), surfacing by the thousands to feed on algae and fungal spores, powered by a natural antifreeze protein — the year's first visible invertebrate stirring.</t>
  </si>
  <si>
    <t xml:space="preserve">The heat is advertising. It volatilises a carrion smell that draws out the earliest flies and small beetles, and offers them warmth as payment — a genuine reward in February, when nothing else on the hill is above freezing. It is the only pollination system on the property that runs on heat rather than sugar.</t>
  </si>
  <si>
    <t xml:space="preserve">onion seeds started indoors now through early March get the long head start bulbing onions need at this latitude; seed catalogs and germination tests belong to this season.</t>
  </si>
  <si>
    <t xml:space="preserve">Common ravens were effectively driven out of this part of New York by the nineteenth century, surviving only in the Adirondack and Catskill wilds. They have returned within living memory, spreading back down the escarpment, and their croaking now carries over Helderberg farmland that had not heard it in over a century. A rare ghost walking back into the room.</t>
  </si>
  <si>
    <t xml:space="preserve">Hemlock woolly adelgid is checkable now — roughly November through May is when the woolly stage is most visible. Turn a hemlock twig over and look where each needle joins the stem: the insect appears as tiny white masses like specks of wool or the ends of cotton swabs. Sap-clean twigs are good news. New York is releasing predator beetles against the adelgid, but detection on individual properties still happens one twig at a time.</t>
  </si>
  <si>
    <t xml:space="preserve">white-nose syndrome is at its most lethal right now. The fungus Pseudogymnoascus destructans grows on the muzzle and wing membranes of hibernating bats, rousing them repeatedly from torpor, and each arousal burns fat that cannot be replaced — they starve before spring on a winter landscape with no insects.</t>
  </si>
  <si>
    <t xml:space="preserve">The numbers are severe and they are local. White-nose was discovered in New York in the winter of 2006–07, in a cave about twenty-five miles from here. Northern long-eared, little brown and tricolored bats have each declined by more than 90 percent in under a decade. New York's tricolored bats have lost roughly 98 percent since 2006. Northern long-eared bat declines run 97 to 100 percent across 79 percent of its range, and it was reclassified from threatened to endangered in March 2023.</t>
  </si>
  <si>
    <t xml:space="preserve">There is a fragment of better news. Little brown bat populations in New York fell about 84 percent between 2007 and 2015 — a 2010 study predicted a 99 percent chance of extinction by 2026 — but current hibernaculum surveys and acoustic monitoring suggest state-wide numbers are now rising. Survivors appear to be passing on something.</t>
  </si>
  <si>
    <t xml:space="preserve">Gray squirrels breed now, in the coldest part of the year, and the mating chases through bare branches are one of the few obvious mammal displays of February.</t>
  </si>
  <si>
    <t xml:space="preserve">The first freeze-thaw cycles arrive — nights in the teens, days nudging 40°F — and sugar maples begin moving sap; runs on the hill start a week or more behind the valley sugarbushes and last correspondingly later into March, the hill's cold for once an asset.</t>
  </si>
  <si>
    <t xml:space="preserve">Hop hornbeam still holds its fruit — clusters of papery, inflated sacs like small green hops, bleached to tan by now and rattling in wind. The tree is also called ironwood,: the wood is among the hardest in North America and was used for tool handles, sled runners and mallets when nothing else would serve.</t>
  </si>
  <si>
    <t xml:space="preserve">Maple saplings in old-field openings are too young to tap, but on a warm afternoon their bark carries the faint wet smell of a tree waking.</t>
  </si>
  <si>
    <t xml:space="preserve">For the Haudenosaunee this is the season of the maple's gift, honored with ceremony — the maple as leader of the trees, first to stir and first to give.</t>
  </si>
  <si>
    <t xml:space="preserve">Hazel catkins — formed the previous fall and hanging rigid all winter — begin to soften almost imperceptibly.</t>
  </si>
  <si>
    <t xml:space="preserve">Oaks are legible in winter, and the bark tells the species. Chestnut oak carries the deepest, most massively ridged bark of any oak here — long vertical mountain ranges with V-shaped valleys, unmistakable at a glance on a rocky ridge. White oak is pale ashy grey in flat plates. Red oak carries the distinctive shiny grey "ski trails" running down between the furrows, as if someone had drawn straight lines on the trunk.</t>
  </si>
  <si>
    <t xml:space="preserve">Shagbark hickory needs no explanation in February. Long plates of bark curl away from the trunk at top and bottom, giving the tree a permanently dishevelled look — and those loose plates are roosting habitat. Several bat species, including the northern long-eared, spend summer days pressed between shaggy bark and trunk, so a shagbark is bat infrastructure as surely as punky dead wood is chickadee infrastructure.</t>
  </si>
  <si>
    <t xml:space="preserve">Marcescence is the winter oak habit worth naming: young oaks and beeches hold dead brown leaves all winter rather than shedding them, releasing them only as the new buds push in spring. On a hillside in February the brown patches of held leaves map exactly where the young oaks are.</t>
  </si>
  <si>
    <t xml:space="preserve">Crow nesting begins in late February and March, and crows are cooperative breeders: offspring from previous years frequently remain on the natal territory as helpers, defending it and feeding their younger siblings. A crow family group of five or six birds moving through a field together is usually parents plus grown children who have not left, and some helpers stay for several years.</t>
  </si>
  <si>
    <t xml:space="preserve">Barred owl courtship peaks now, and it is the least dignified sound in the winter woods — pairs escalate from the standard who-cooks-for-you, who-cooks-for-you-all into cackling, gurgling, monkey-like caterwauling that startles anyone hearing it for the first time. Barred owls have expanded and largely hold the wetter, lower woods, while great horned owls hold the open edges; where they overlap, the great horned kills the barred, and territories sort accordingly.</t>
  </si>
  <si>
    <t xml:space="preserve">The first turkey vultures may tilt over the valley on a warm southerly day, though the hilltop still reads as full winter.</t>
  </si>
  <si>
    <t xml:space="preserve">Striped skunks emerge from winter dormancy (not true hibernation but torpor), leaving meandering tracks and occasional musk on thaw nights; raccoons resume travel the same nights.</t>
  </si>
  <si>
    <t xml:space="preserve">Gray squirrel mating chases peak — the spiraling, chattering pursuits of three or four males after one female through the bare canopy. Gray squirrels have two breeding seasons, this one and a summer one, and the winter litters are born into the coldest weeks of the year in leaf nests (dreys) or, preferably, tree cavities.</t>
  </si>
  <si>
    <t xml:space="preserve">Opossum. North America's only marsupial, and this hill is very near the northern edge of what it can survive. Opossums do not hibernate, do not truly den up, and forage through winter on a metabolism too low to generate much heat — which is why nearly every northern opossum has frostbitten ear margins and a stubbed tail. Their range has crept north with warming winters and human food subsidies within the last century; they were not here in colonial times.</t>
  </si>
  <si>
    <t xml:space="preserve">The tick claim is worth correcting because it is everywhere: a widely repeated figure of ~5,500 ticks eaten per week came from a 2009 lab study of caged animals. In 2021, Hennessy and Hild examined the stomach contents of 32 wild opossums and, in a review of 23 further diet studies, found not a single tick or tick fragment. Opossums are excellent animals for many reasons — near-immunity to rabies owing to low body temperature, resistance to pit viper venom, prodigious scavenging — but tick control is not among them.</t>
  </si>
  <si>
    <t xml:space="preserve">onion starts continue indoors; leek and celery seeds join them late in the window.</t>
  </si>
  <si>
    <t xml:space="preserve">Start onions, shallots and leeks indoors now — the longest lead time of anything in the seed box, ten to twelve weeks before the ground is workable. Breadseed poppies can be sown outdoors on the last snow, scattered on the surface where the freeze-thaw works them in; they need cold and light to germinate and resent transplanting entirely.</t>
  </si>
  <si>
    <t xml:space="preserve">Prune apples and peaches in late winter, and prune them differently. Apples take an open centre or modified leader with the aim of light into the middle of the tree. Peaches fruit only on one-year wood and need much harder annual cutting to keep producing it — an unpruned peach moves its crop higher and further out each year until it is fruiting where nothing can be reached.</t>
  </si>
  <si>
    <t xml:space="preserve">On this hill peaches are a marginal crop and worth treating as one. Flower buds are hardy to roughly −10°F and the tree itself to around −15°F, so the fruit is lost in most winters and made in perhaps one year in three or four. Planting on a slope where cold air drains away, rather than in a hollow, is the single thing that most improves those odds.</t>
  </si>
  <si>
    <t xml:space="preserve">the sugar season, and whose it was first. Maple sugaring is an Indigenous technology that Europeans learned rather than invented. Haudenosaunee and Algonquian peoples across the northern woodlands were tapping maples and reducing sap long before contact, using heated stones and clay or bark vessels, and freeze-concentration on cold nights — the same principle as applejack, working in reverse. The Haudenosaunee Maple Ceremony marks this moment as the year's first thanksgiving, before anything else has stirred.</t>
  </si>
  <si>
    <t xml:space="preserve">Sugar was the point, not syrup. Before cheap cane, maple was reduced all the way to hard cakes and grained sugar, which kept indefinitely and travelled. Syrup as the primary product is a modern preference built on tin cans and refrigeration.</t>
  </si>
  <si>
    <t xml:space="preserve">And this hill runs late. Sap moves when nights fall below freezing and days rise above it, and at 1,200 feet that alternation starts and ends behind the valley — the season here opens later and can run later, sometimes into the last days of March.</t>
  </si>
  <si>
    <t xml:space="preserve">Sugaring here is older than metal. Before kettles, sap was concentrated by dropping fire-heated stones into wooden or bark troughs, and by letting the cold do the work — freezing sap overnight and discarding the ice, which is nearly pure water. The technology changed; the fortnight did not.</t>
  </si>
  <si>
    <t xml:space="preserve">Apple &amp; peach: dormant pruning season, and it runs from now until buds swell. Pruning in hard cold is fine and pruning in wet weather is not — fire blight and canker fungi both travel in moisture, so dry days are the rule, ideally cold and dry. Any dormant oil or copper for peach leaf curl goes on before bud swell; once the buds move, the window has closed for the year.</t>
  </si>
  <si>
    <t xml:space="preserve">Mud season begins; frost leaves the ground unevenly — south-facing patches first, the Hills shadow line last — and drainage patterns write themselves plainly in any dirt lane.</t>
  </si>
  <si>
    <t xml:space="preserve">Hazelnuts stage the hill's first bloom, weeks before anything else dares: male catkins elongate from stiff gray fingers into loose golden tassels shedding pollen on dry breezy days, while female flowers open as nearly invisible crimson tufts at the bud tips.</t>
  </si>
  <si>
    <t xml:space="preserve">Male red-wings arrive two to four weeks ahead of the females — an entirely separate migration — and spend that gap fighting over territory boundaries, so the earliest songs of the year are being sung to an audience of rivals rather than mates.</t>
  </si>
  <si>
    <t xml:space="preserve">Maples are among their preferred trees. On a healthy maple the damage is cosmetic, but on a stressed or declining one the wells are both an additional drain and a set of entry points for fungal pathogens.</t>
  </si>
  <si>
    <t xml:space="preserve">Red maple flowers first, weeks ahead of sugar maple, and it is the earliest red on the hill — dense clusters of tiny crimson flowers on bare grey twigs, visible as a haze across a whole slope before anything leafs out.</t>
  </si>
  <si>
    <t xml:space="preserve">Sugar and red maple are easiest to separate right now, by twig and bud rather than leaf: sugar maple buds are sharply pointed and brown; red maple buds are blunt, rounded and red. The leaves later settle it — sugar maple has smooth-sided sinuses between the lobes, red maple has jagged teeth throughout.</t>
  </si>
  <si>
    <t xml:space="preserve">Eastern hemlock holds the ravines and is the tree that makes them cold. Tiny flat needles with two white stripes underneath and a single small needle pressed flat against the twig underside — the field mark nothing else here shares. Hemlock casts the deepest shade of any tree in this forest, which is why a hemlock ravine has almost no understorey and holds snow weeks longer than the slope above it.</t>
  </si>
  <si>
    <t xml:space="preserve">Red-winged blackbirds (Agelaius phoeniceus) return to the valley wetlands and Basic Creek margins, their konk-la-ree audible from below before any have claimed the hilltop itself.</t>
  </si>
  <si>
    <t xml:space="preserve">The red epaulet is a switchable badge, not fixed plumage. A territorial male flares it to blazing scarlet while song-spreading; the same bird crossing another male's territory can cover it almost completely with the surrounding feathers and pass as a subordinate. Experiments blackening the patch cause males to lose their territories outright — the badge does the work the fighting would otherwise require.</t>
  </si>
  <si>
    <t xml:space="preserve">Yellow-bellied sapsuckers return to drill in this window, and the work is unmistakable: neat horizontal rows of shallow, evenly spaced holes, drilled in lines and columns rather than scattered. The bird maintains the wells and returns to lick sap and trapped insects.</t>
  </si>
  <si>
    <t xml:space="preserve">Hazel is wind-pollinated and frost-hardy, blooming in what is still functionally winter — a botanical act of faith from a shrub tough enough to resprout after repeated deer defoliation.</t>
  </si>
  <si>
    <t xml:space="preserve">Eastern chipmunks emerge from their winter torpor now on mild days — not true hibernation but a series of deep torpor bouts, waking every few days to eat from a larder stored in the burrow rather than living off fat. A chipmunk sleeps on top of its food supply, in a chamber where the seed pile is periodically excavated from beneath the animal.</t>
  </si>
  <si>
    <t xml:space="preserve">Bears begin leaving dens in March, males first, females with cubs last — and they emerge at the leanest, hungriest moment of the year into a landscape with almost no natural food. This is the peak window for bird feeder and garbage conflict, and the DEC guidance to pull feeders by late March is not a formality.</t>
  </si>
  <si>
    <t xml:space="preserve">Woodchucks are the region's only true hibernator among the large rodents — body temperature falling to near 40°F, heart rate to a handful of beats per minute — and males emerge weeks before females to locate burrows and begin the breeding season, which is the actual origin of the Groundhog Day observation.</t>
  </si>
  <si>
    <t xml:space="preserve">Mourning cloak butterflies — which overwinter as adults tucked into bark crevices — flap raggedly through the woods on the first 50°F afternoon, the year's first butterfly, drinking sap runs rather than nectar.</t>
  </si>
  <si>
    <t xml:space="preserve">Rhubarb is the first thing to move, red-pink crowns pushing through half-frozen ground. It needs the cold — a proper dormancy is what makes it crop — which is why it does well here and sulks in the south. Never eat the leaves; the blades carry oxalic acid at genuinely toxic levels, though the stalks are fine.</t>
  </si>
  <si>
    <t xml:space="preserve">Asparagus crowns go in this month, and the planting is a twenty-year decision — a well-sited bed produces for two decades or more, so the trench is worth digging properly. The discipline is in the waiting: cut nothing the first year, lightly the second, fully from the third.</t>
  </si>
  <si>
    <t xml:space="preserve">Sow onions, leeks and the brassicas indoors — cabbage, kale, bok choy, broccoli. Bok choy and the Asian brassicas are genuinely well suited to this climate, fast in cool weather and prone to bolting the moment it turns hot, which makes them a spring and autumn crop rather than a summer one.</t>
  </si>
  <si>
    <t xml:space="preserve">Cut raspberry and blackberry canes now. Summer-bearing raspberries fruit on second-year canes: remove the ones that fruited last year — grey, peeling, obviously dead — and keep the green ones. Fall-bearing types can simply be mown to the ground.</t>
  </si>
  <si>
    <t xml:space="preserve">Frost-heave is an excellent archaeologist. Mud season pushes stone to the surface, and on this escarpment some of what surfaces is chert — the flint that gave the Kanien'kehá:ka their name, and the reason Paleoindian hunters climbed hills like this one thirteen thousand years ago carrying nothing but the intention to knap. A flake with a conchoidal fracture and a feathered edge is not a natural shape.</t>
  </si>
  <si>
    <t xml:space="preserve">Bare-stem season is the honest season for telling Virginia creeper from poison ivy, since both climb the same trunks and both are leafless now. Virginia creeper climbs with branched tendrils tipped in small adhesive pads, so its stem lies flat and tidy against the bark. Poison ivy climbs with dense reddish-brown aerial rootlets that make the vine look furry or hairy — the classic hairy rope. When the leaves return, the count settles it: creeper carries five leaflets, poison ivy three.</t>
  </si>
  <si>
    <t xml:space="preserve">tomato seeds start indoors mid-March (6–8 weeks before the ~May 20–25 transplant gate); peppers, if grown, start even earlier in this window. Breadseed poppies surface-sow now directly onto late snow or bare frozen ground — they require cold stratification and light to germinate, and freeze-thaw honeycombing pulls the seed into perfect contact.</t>
  </si>
  <si>
    <t xml:space="preserve">learn to tell sapsucker from borer. Sapsucker damage is orderly — rows and columns, all holes the same size. Borer damage is disorderly — scattered round or oval exit holes at irregular spacing, often with frass or fine sawdust at the base of the trunk. Wood-boring beetles colonise trees already in decline, so their presence confirms a tree is failing for other reasons rather than explaining the failure.</t>
  </si>
  <si>
    <t xml:space="preserve">The sap wells feed others. Hummingbirds arriving before the first flowers open rely on sapsucker wells for sugar, and follow the birds around; kinglets, warblers and red squirrels use them too.</t>
  </si>
  <si>
    <t xml:space="preserve">The vernal equinox passes (March 19–21), bringing the fastest daylight gain of the whole year — nearly three minutes per day.</t>
  </si>
  <si>
    <t xml:space="preserve">Spring peepers begin in the valley's low wet spots; the hill's cold hollows stay silent a while longer — a perfect annual demonstration of the microclimate lag.</t>
  </si>
  <si>
    <t xml:space="preserve">Strategic invasive window: Morrow's honeysuckle breaks bud earlier than any native shrub, and for these two weeks it stands out in the gray woods as if highlighted — the easiest time of year to mark, cut, or pull it.</t>
  </si>
  <si>
    <t xml:space="preserve">Speckled alder flowers before anything leafs out, long purple-brown male catkins loosening and lengthening in the wet margins on the first warm days. The name comes from the pale horizontal lenticels speckling its bark — breathing pores, visible year-round and the easiest winter identification.</t>
  </si>
  <si>
    <t xml:space="preserve">It fixes its own nitrogen, and not the way legumes do. Alder partners with Frankia, a filamentous bacterium, in an actinorhizal symbiosis — the same arrangement as bayberry. This is why alder colonises raw wet mineral ground where nothing else will start, and why it improves the soil for everything that follows it.</t>
  </si>
  <si>
    <t xml:space="preserve">Blackbirds and grackles finally claim the hilltop, a week or more after their valley kin.</t>
  </si>
  <si>
    <t xml:space="preserve">Late March opens the hill's finest crepuscular theater: American woodcock begin the sky dance on mild evenings — the nasal, insistent peent from field edges, then the twittering spiral flight three hundred feet up on whistling wing feathers, and the silent zigzag fall.</t>
  </si>
  <si>
    <t xml:space="preserve">Eastern phoebes return to check previous years' nest sites; turkey vultures become daily.</t>
  </si>
  <si>
    <t xml:space="preserve">Female red-winged blackbirds arrive now and look like an entirely different species — heavily streaked dark brown, sparrow-like, with no red anywhere. Half of all reports of "a strange large streaky sparrow in the wet field" are female red-wings.</t>
  </si>
  <si>
    <t xml:space="preserve">Red-wings are among the most polygynous birds in North America: a single male may hold five to fifteen nesting females on a good territory. Yet genetic studies find that roughly a quarter to a half of nestlings are sired by other males, so the territory holder is often provisioning a substantial number of another bird's young. The showiest male on the cattails is running a considerably less exclusive operation than he appears to be.</t>
  </si>
  <si>
    <t xml:space="preserve">Turkey. Gobbling begins as daylight lengthens — the sound carries a mile or more on a still morning, and gobbles are delivered from the roost before fly-down. Toms strut in full display with tail fanned, wings dragging, feathers erect, and the bare head flushing between red, white, and vivid blue as blood flow shifts with excitement. The snood — the fleshy appendage over the bill — elongates dramatically during display, and hens have been shown to prefer long-snooded males.</t>
  </si>
  <si>
    <t xml:space="preserve">Wild turkeys here are the eastern subspecies, Meleagris gallopavo silvestris, and their presence is the most complete wildlife restoration in New York's history. Unregulated hunting and the clearing of about 75% of the state left the last wild birds recorded in the 1840s. A century later, around 1948, turkeys from a remnant Pennsylvania population walked north across the border into western New York on their own as abandoned hill farms returned to woods. Game-farm releases in the 1950s failed — pen-raised birds could not evade predators — and it was live trap-and-transfer of genuinely wild birds, begun in 1959, that repopulated the state. Every turkey on this hill descends from birds that walked back.</t>
  </si>
  <si>
    <t xml:space="preserve">Screech owls are calling and nesting now. The voice is not a screech at all but a descending whinny, like a small horse, or a low even trill on one pitch. Both red and grey colour morphs occur here, in the same broods.</t>
  </si>
  <si>
    <t xml:space="preserve">Porcupine. Slow, nearsighted, and entirely committed to a defense that works: roughly 30,000 quills, each a modified hair tipped with microscopic backward-facing barbs that make extraction agonizing and drive the quill deeper with muscle movement. Porcupines cannot throw quills — the tail slaps, and quills detach on contact.</t>
  </si>
  <si>
    <t xml:space="preserve">Porcupine winter feeding sign is unmistakable and worth learning: irregular pale patches of stripped bark high in hemlocks and sugar maples, coarse nipped twigs on the snow beneath, and a conical pile of sawdust-like scat at the base of a den tree or rock crevice, sometimes years deep. They den communally in cold snaps and can girdle and kill a favored tree over successive winters.</t>
  </si>
  <si>
    <t xml:space="preserve">Porcupines crave sodium to a degree that shapes their behavior — gnawing plywood, axe handles, outhouses, road-salted surfaces, and anything human hands have sweated on.</t>
  </si>
  <si>
    <t xml:space="preserve">The Big Night belongs to this microseason. On the first rainy evening when air temperature holds above about 40°F, spotted salamanders and wood frogs move en masse to the vernal pools, often over snow and frozen ground, sometimes in a single night. The salamanders return to the pool they hatched in, and the whole migration can be over before midnight.</t>
  </si>
  <si>
    <t xml:space="preserve">Wood frogs spend the winter frozen solid, heart stopped, up to two-thirds of their body water turned to ice, protected by glucose flooded into their cells as cryoprotectant. They thaw and are calling within days. The sound is a low clacking, more like ducks than frogs, and it is one of the first animal voices of the year.</t>
  </si>
  <si>
    <t xml:space="preserve">Fishless seasonal water is the whole point. A pool that dries by late summer cannot hold fish or bullfrogs, which is precisely why wood frogs and spotted salamanders require it — and why a shallow spring pool is worth more than a permanent pond.</t>
  </si>
  <si>
    <t xml:space="preserve">They are cavity nesters and take boxes readily, which makes them the most attainable owl to add to a property. They hunt small mammals nocturnally, and a resident pair works the same ground a kestrel works by day.</t>
  </si>
  <si>
    <t xml:space="preserve">Woodchucks come out now, and the males come out first. They are true hibernators — body temperature down near ambient, heart rate to a few beats a minute — and males emerge weeks ahead of females to find burrows and establish position before breeding. That head start is the actual origin of the Groundhog Day story: something is genuinely out and moving in February, and it is a male checking the neighbourhood.</t>
  </si>
  <si>
    <t xml:space="preserve">Their burrows are infrastructure for everyone else. A woodchuck digs a system with multiple entrances, a nesting chamber and a separate latrine, and when it moves on, foxes, skunks, opossums, rabbits and weasels all take over the hole. On a hill with little natural cover, abandoned woodchuck burrows are the main below-ground housing supply.</t>
  </si>
  <si>
    <t xml:space="preserve">Beavers become visible again as ice breaks, and their work is the oldest landscape engineering here. Trapped out of this region entirely by the early nineteenth century — the fur trade reached the Hudson Valley before almost anything else did — they returned through the twentieth and now shape every low-gradient stream they can reach. Where a seasonal channel widens into wet meadow, a beaver dam is often the reason, even if the dam itself failed decades ago.</t>
  </si>
  <si>
    <t xml:space="preserve">onion starts harden off late in the window on mild days; brassica and lettuce seeds can start indoors for the earliest transplants.</t>
  </si>
  <si>
    <t xml:space="preserve">Sow the cold crops as soon as the ground can be worked — radishes, lettuce, spinach, peas, turnips, and the first carrots. Radishes are ready in three to four weeks and are the honest test of whether the season has actually started.</t>
  </si>
  <si>
    <t xml:space="preserve">Start tomatoes indoors now, six to eight weeks ahead of a transplant date that cannot safely come before the very end of May. Basil goes in later: it sulks below 50°F and will not be hurried, so starting it early produces a leggy plant rather than an early crop.</t>
  </si>
  <si>
    <t xml:space="preserve">Chamomile, St. John's wort and pansies all want cold to germinate. Sow chamomile and pansies on the surface and press in without covering — both need light — and St. John's wort benefits from a period of cold stratification, which a March sowing outdoors supplies for free.</t>
  </si>
  <si>
    <t xml:space="preserve">Plant bare-root trees and vines while dormant, before bud break: apples, hazelnuts, chestnuts, walnuts, oaks, willows and grapes. This is also the window for cedar and balsam, and the reason spring beats autumn for conifers on shallow soil is winter desiccation — an evergreen transpires all winter while the ground is frozen and there is no reservoir to draw from.</t>
  </si>
  <si>
    <t xml:space="preserve">The passenger pigeon. This is the fortnight they came. Flocks a mile wide and hours long, moving up the Hudson corridor and over these hills — an estimated three to five billion birds, possibly the most abundant bird that ever lived, and the loudest thing in the eastern sky. They were gone from New York by about 1900 and gone entirely on September 1, 1914. Every March here is a March missing its central event, and nothing has grown into the space they left. There is a local relic of them, and it is a strange one: passenger pigeon bones have been recovered from clay deposits in Diddly Cave near Clarksville, alongside those of varying hare, in a karst system carved by meltwater beneath the retreating ice. The bird that vanished a century ago is preserved in a cave that records the end of the last glaciation — two of this calendar's ghosts in the same handful of sediment.</t>
  </si>
  <si>
    <t xml:space="preserve">spilanthes / toothache plant (Acmella oleracea) starts indoors now, roughly eight weeks ahead of the late-May transplant gate. It is a frost-tender tropical annual from Brazil with no winter hardiness whatsoever at this elevation, so it is a container-or-transplant crop every single year.</t>
  </si>
  <si>
    <t xml:space="preserve">Coltsfoot — dandelion's earlier, scalier cousin — blooms along lane edges and disturbed ground; bloodroot unfurls in richer woods-edge soil, each white flower wrapped in its own leaf like a hand around a candle.</t>
  </si>
  <si>
    <t xml:space="preserve">Spicebush flowers before its leaves, a haze of tiny yellow-green clusters along bare grey twigs in the wet understory — one of the earliest woody plants to bloom here, and easy to mistake for a yellow mist at a distance. Every part of it is aromatic: crush a twig and the smell is somewhere between allspice and citrus. The leaves and twigs made a widely used tea, and the dried red fruit was used as a substitute for allspice.</t>
  </si>
  <si>
    <t xml:space="preserve">Marsh marigold opens in the seeps — deep glossy yellow, five to nine petal-like sepals, in the wettest ground it can find. It is a buttercup relative and toxic raw; traditional preparation involved boiling through several changes of water, and it is not worth attempting casually.</t>
  </si>
  <si>
    <t xml:space="preserve">Skunk cabbage now sends up its leaves, after the flower rather than with it — huge, bright, cabbage-like, expanding fast enough to watch. They will be gone entirely by August, collapsing into slime and leaving almost nothing behind, so the plant's whole above-ground year runs February to July.</t>
  </si>
  <si>
    <t xml:space="preserve">Elm flowers now too, small reddish clusters before the leaves, followed quickly by papery round samaras. American elm survives here as young trees rather than old ones — Dutch elm disease kills them at roughly fifteen to twenty years and a few inches of diameter, so the species persists in the understorey but has effectively vanished from the canopy.</t>
  </si>
  <si>
    <t xml:space="preserve">Butternut is worth searching for while the canopy is still open. A native walnut relative, now uncommon: butternut canker has killed the large majority across its range, and surviving trees are of real conservation interest. Bark is pale grey with flat-topped ridges in a diamond pattern, and the twig pith is chambered and dark chocolate brown — cut one lengthwise to confirm.</t>
  </si>
  <si>
    <t xml:space="preserve">Peak woodcock display — the hill's signature spring ritual — runs roughly 45 minutes after sunset on evenings above 40°F with light wind.</t>
  </si>
  <si>
    <t xml:space="preserve">Peak turkey display. Toms gather harems and fight in earnest — spurs and wing-beating, sometimes for many minutes — while hens begin slipping away to nest. Dominant toms do most of the breeding, and satellite males often hang at the edges of a display without ever mating; brothers sometimes strut cooperatively, one displaying while the other never breeds, which pays off genetically through shared ancestry.</t>
  </si>
  <si>
    <t xml:space="preserve">Northern saw-whet owls move north through in April — a bird the size of a soda can that is far more common than almost anyone realizes. Their spring advertising call is a monotonous, mechanical toot-toot-toot at roughly two notes per second, easily mistaken for a truck backing up or a distant beeping electronic. Migration banding across the Northeast has repeatedly caught more saw-whets in a single autumn night than most birders see in a lifetime of looking.</t>
  </si>
  <si>
    <t xml:space="preserve">Blue jays turn quiet and inconspicuous now, which is the reverse of their reputation. Nesting jays are secretive — they stop screaming, slip in and out of the nest tree silently, and a pair can raise a brood in a dooryard without being noticed at all.</t>
  </si>
  <si>
    <t xml:space="preserve">The chorus of returning birds builds daily: field sparrows trilling like a dropped ping-pong ball in the old field, brown thrashers in the multiflora tangles (the one grudging service that invasive provides), yellow-bellied sapsuckers testing every resonant surface.</t>
  </si>
  <si>
    <t xml:space="preserve">Cinnamon fern fiddleheads come up wrapped in wool. The dense cinnamon-coloured fuzz is hummingbirds strip it for nest lining — arriving in exactly these weeks and building with material this plant is producing at the same moment. Two species keeping the same schedule for entirely different reasons.</t>
  </si>
  <si>
    <t xml:space="preserve">Wood frogs, explosive breeders, gather in ephemeral pools for a brief clacking-duck chorus, often with ice still rimming the water; spring peepers reach the hill's cold hollows by mid-month, a full week behind the valley.</t>
  </si>
  <si>
    <t xml:space="preserve">White-tailed deer, gaunt and shedding, hit young woody plantings hardest now — the hungriest gap of their year; this is the season tree-tube protection on young hazels matters most, and the window to check tubes for frost heave.</t>
  </si>
  <si>
    <t xml:space="preserve">The reason late-winter deer starve with full stomachs is microbial: a deer's rumen flora is seasonally specialized, and an animal adapted over months to woody browse cannot immediately digest rich spring growth or supplemental corn. Emergency feeding in March routinely kills deer outright — rumen acidosis — which is why the practice is discouraged and, in New York, illegal.</t>
  </si>
  <si>
    <t xml:space="preserve">Bucks have cast their antlers by now, and the sheds are on the ground for a very short window — mice, squirrels, and porcupines gnaw them for calcium and phosphorus and can consume a shed entirely within a season. A shed with tooth-grooves along its edges has already been in the rodent economy.</t>
  </si>
  <si>
    <t xml:space="preserve">Yearling bears — last year's cubs, newly evicted by their mothers ahead of the breeding season — disperse now, and these naive young animals account for most unexpected bear appearances in odd places.</t>
  </si>
  <si>
    <t xml:space="preserve">Its roots pull it downward. Skunk cabbage has contractile roots that shorten each year and drag the crown deeper, which is why an old plant sits so far down that digging one out is close to impossible.</t>
  </si>
  <si>
    <t xml:space="preserve">Quaking aspen flowers before leafing, long grey catkins hanging in numbers, and the whole grove does it simultaneously because the whole grove is one organism — aspen spreads by root suckers, and a hillside stand is typically a single clone sharing one root system. Clones leaf out, flower and turn colour on their own schedule, which is why adjacent aspen groves change colour at visibly different times in autumn.</t>
  </si>
  <si>
    <t xml:space="preserve">The first hive inspection of the year goes on the first calm afternoon above 55°F, and it should be brief. What matters is whether the queen is laying — eggs and capped brood — and whether there is food. Nothing else is worth the heat loss.</t>
  </si>
  <si>
    <t xml:space="preserve">This is the hungry gap for bees as well as people. Colonies are expanding fast while very little is in bloom, and the willow, maple and dandelion flowering now are the critical early forage — which is the strongest practical argument against mowing dandelions in April.</t>
  </si>
  <si>
    <t xml:space="preserve">Plant strawberries now, and pinch the first year's flowers off to build crowns rather than fruit. June-bearers give one large crop; everbearers spread a smaller yield across the season — for preserving, June-bearers win.</t>
  </si>
  <si>
    <t xml:space="preserve">Plant bare-root berries while dormant — blueberries, currants, gooseberries, aronia, elderberry, honeyberry. Blueberries want pH 4.5 to 5.5, which the naturally acid soil here supplies without amendment. Plant at least two varieties; most berry crops set far better fruit with a cross-pollinator.</t>
  </si>
  <si>
    <t xml:space="preserve">the hungry gap, and the spring tonic. This is the leanest fortnight of the agricultural year: the root cellar is nearly empty, nothing is ripe, and the stored food has been eaten or has spoiled. Every culture that farmed this hill answered it the same way — with the first green things, eaten as much for the change as for the nutrition.</t>
  </si>
  <si>
    <t xml:space="preserve">Ramps (wild leeks) come up in rich shaded ground now, and were dug by Indigenous peoples across this region long before anyone else arrived; the Irish and Germans who came later slotted them straight into the same role as wild garlic and wild onion at home. Dig sparingly — a ramp takes five to seven years to reach harvestable size, and whole patches have been eliminated by commercial digging. Cutting a single leaf and leaving the bulb is the low-impact method.</t>
  </si>
  <si>
    <t xml:space="preserve">Dandelion greens, nettle, watercress, dock and violet leaves were all spring-tonic foods here. Nettle in particular carried the same reputation in Irish, German and Indigenous practice independently — a bitter green taken deliberately after a winter of salt meat and starch.</t>
  </si>
  <si>
    <t xml:space="preserve">Fiddleheads of ostrich fern uncoil in damp bottomland shortly after this, and remain the one genuinely commercial wild vegetable of the Northeast.</t>
  </si>
  <si>
    <t xml:space="preserve">Coltsfoot is itself a ghost of arrival — a European medicinal plant carried over deliberately for cough remedies (its genus, Tussilago, means "cough dispeller") and long since escaped into every disturbed roadside in the Northeast. Half the earliest blooms of this hill's spring are immigrants with paperwork.</t>
  </si>
  <si>
    <t xml:space="preserve">as soon as soil is workable and ~40°F, the cold-soil crew direct-sows — radishes, spinach, and the first lettuce mid-to-late month; onion sets and hardened starts go out late in the window. Catnip and cilantro seeds can start indoors.</t>
  </si>
  <si>
    <t xml:space="preserve">The last snow of the year remains entirely possible; the hill has seen accumulating snow in the first days of May, so nothing tender goes in the ground yet, whatever the valley garden centers are selling.</t>
  </si>
  <si>
    <t xml:space="preserve">Full amphibian chorus at last, and the hill greens from the bottom up — literally, since invasive honeysuckle leafs out first, then multiflora rose, well before the natives.</t>
  </si>
  <si>
    <t xml:space="preserve">The invaders' head start is precisely why they are invasive — the technical term is extended leaf phenology, stealing light in both shoulder seasons — and it keeps them easy to map for another two weeks.</t>
  </si>
  <si>
    <t xml:space="preserve">Serviceberry (shadbush) blooms white at valley woodland edges now; the hill's own follows at the very end of the month.</t>
  </si>
  <si>
    <t xml:space="preserve">Pennsylvania sedge greens up before almost anything else and is easy to mistake for grass. It forms soft, fine-textured patches in dry shade under oaks — one of the few plants that thrives on thin, acid, root-filled ground beneath a closing canopy. Its flower spikes come and go in April, small and easily overlooked, and it is functionally the native answer to lawn on this kind of soil: no mowing, no water, no fertility.</t>
  </si>
  <si>
    <t xml:space="preserve">Wild columbine hangs its red-and-yellow lanterns on rock. It grows out of ledges, crevices and thin stony ground — exactly the shallow-soil-over-bedrock condition that limits everything else here — and it is one of the first hummingbird flowers of the year, opening in step with their arrival. The spurs hold nectar only a long bill or tongue can reach.</t>
  </si>
  <si>
    <t xml:space="preserve">They are in decline across the Northeast, and they need exactly this configuration: open grassy hunting ground with perches at its edge. A box mounted ten to twenty feet up and facing open field is one of the few interventions that is simultaneously a conservation contribution and a practical rodent measure.</t>
  </si>
  <si>
    <t xml:space="preserve">Ruby-crowned kinglets and the first warbler scouts — pine, palm, yellow-rumped — move through the dogwood thickets.</t>
  </si>
  <si>
    <t xml:space="preserve">Chickadees excavate their own nest cavities rather than only occupying found ones, chiseling into soft punky wood — dead birch, rotting stubs of gray dogwood and locust — and carrying the chips a distance away before dropping them, so as not to advertise the site. Standing dead wood of small diameter is therefore chickadee infrastructure, not clutter.</t>
  </si>
  <si>
    <t xml:space="preserve">Hen turkeys are on the ground incubating now, in a shallow scrape against a log or in dense brush, and they sit exceptionally tight — relying entirely on camouflage and often not flushing until nearly stepped on. Nests are highly vulnerable to raccoon, fox, skunk, and coyote at this stage.</t>
  </si>
  <si>
    <t xml:space="preserve">Hermit thrush song begins in the damper woods: the spiraling flute-phrase that is arguably the finest sound the Northeast produces.</t>
  </si>
  <si>
    <t xml:space="preserve">A cornered nesting chickadee performs the snake display: a sudden explosive hiss and lunge inside the dark cavity, evolved to convince a probing predator that something worse lives there.</t>
  </si>
  <si>
    <t xml:space="preserve">Titmice line their nests with mammal hair, and they do not wait for it to be shed — they pluck it directly from live animals, documented on woodchucks, dogs, raccoons, and sleeping people. A titmouse nest can be a shed-fur inventory of every mammal on the property.</t>
  </si>
  <si>
    <t xml:space="preserve">Bats emerge from hibernation and reappear over the fields at dusk — and the count is a fraction of what it was. White-nose syndrome began about twenty-five miles from this hill: first photographed in a bat at Howe Cave in Schoharie County in February 2006, confirmed in surrounding caves the following winter, and now spread across most of the continent. The fungus Pseudogymnoascus destructans rouses hibernating bats repeatedly, burning the fat reserves that must last until spring. Little brown bat declines in New York hibernacula approached 90–100%.</t>
  </si>
  <si>
    <t xml:space="preserve">The species most likely overhead now are big brown bats (the most WNS-resilient, and the ones that use buildings) and the increasingly scarce little brown; northern long-eared and tri-colored bats are federally or state listed and functionally rare. A single bat can take thousands of insects nightly, so this is also a story about mosquito and moth populations.</t>
  </si>
  <si>
    <t xml:space="preserve">Beaver kits are born in May in the lodge; yearlings from the previous litter are still present, making a beaver colony a three-generation household.</t>
  </si>
  <si>
    <t xml:space="preserve">American kestrels are nesting in this window, and they are the daytime half of the vole answer. North America's smallest falcon, and a cavity nester that will not excavate its own — so in a landscape short of old snags it is limited by holes rather than by food.</t>
  </si>
  <si>
    <t xml:space="preserve">They hover, which no other small falcon here does — holding position on rapid wingbeats over grassland, then dropping. They can see ultraviolet, and vole urine trails fluoresce in UV, so a kestrel reads the field as a map of marked runways invisible to everything else.</t>
  </si>
  <si>
    <t xml:space="preserve">Eastern cottontails begin breeding, and the pace is the point. A female can produce three to five litters a season, each after a month's gestation, and can conceive again within hours of giving birth. The young are weaned at about three weeks. That reproductive rate is what allows a prey species to persist under pressure from every predator on the hill at once.</t>
  </si>
  <si>
    <t xml:space="preserve">Their nests are in plain sight and are constantly mistaken for abandoned. A shallow scrape in grass, lined with fur and dried vegetation, with the doe returning only at dawn and dusk to nurse — she stays away deliberately, because her scent at the nest is what would draw a predator to it. A nest of apparently unattended young rabbits is almost never abandoned.</t>
  </si>
  <si>
    <t xml:space="preserve">Chipmunks are out in force after the winter in torpor. They do not truly hibernate: they wake every few days through the cold months to eat from the cached seed in the burrow, which is why the autumn hoarding matters so much. The cheek pouches hold a startling volume — a chipmunk can carry dozens of seeds at once, and the bulging face in April is a burrow being restocked.</t>
  </si>
  <si>
    <t xml:space="preserve">The hibernating bats emerge now and are at their thinnest of the year, having burned nearly all their fat. Big brown bats come out earliest and can be seen hunting on mild evenings well before the Myotis species appear.</t>
  </si>
  <si>
    <t xml:space="preserve">Females form maternity colonies in this window — warm, enclosed spaces where they raise young communally: attics, barns, bat houses, and under the loose plates of shagbark hickory bark, which is the natural roost northern long-eared and Indiana bats prefer. A shagbark hickory is bat infrastructure, and it is the single best argument for leaving them standing.</t>
  </si>
  <si>
    <t xml:space="preserve">Migratory bats return at the same time. Eastern red, hoary and silver-haired bats roost singly in foliage, hanging wrapped in their own furred tail membranes and looking convincingly like dead leaves. The hoary bat is the largest in New York and the most strikingly marked — frosted silver-tipped fur, a wingspan approaching sixteen inches.</t>
  </si>
  <si>
    <t xml:space="preserve">Flying squirrels are raising their first litter now. Southern flying squirrel is probably the most abundant squirrel in these woods and is almost never seen, being strictly nocturnal. Northern flying squirrel also occurs at this elevation and is the larger, more boreal of the two.</t>
  </si>
  <si>
    <t xml:space="preserve">Sugar maple flowers open — easily missed, but visible as chartreuse tassels dangling before the leaves, feeding the earliest native bees.</t>
  </si>
  <si>
    <t xml:space="preserve">Morels come now, and the timing follows soil temperature rather than the calendar — roughly when soil at four inches reaches the low 50s, which here means late April into May. Look near dying or recently dead elms, around old apple trees, and on south-facing slopes first.</t>
  </si>
  <si>
    <t xml:space="preserve">The hollow test is the one that matters. A true morel is completely hollow from tip to stem base when sliced lengthwise, with the cap fused to the stem. False morels are cottony or chambered inside and the cap hangs free — and they are genuinely toxic. Never eat any morel raw.</t>
  </si>
  <si>
    <t xml:space="preserve">Dryad's saddle fruits at the same moment, a large fan-shaped bracket on dead hardwood with hexagonal pores beneath and a distinct smell of watermelon rind. It is edible only while very young and tender, and its main use is as a morel indicator — the two appear together.</t>
  </si>
  <si>
    <t xml:space="preserve">beets, carrots, and more lettuce and spinach direct-sow now (2–4 weeks before last frost); cilantro direct-sows late in the window; basil starts indoors — it goes outside only when nights hold above 50°F.</t>
  </si>
  <si>
    <t xml:space="preserve">Plant potatoes now, cut into pieces with at least two eyes and left a day to callus before going in. Potatoes want acid soil — pH 4.8 to 5.5 suppresses scab — which makes them one of the few crops the natural soil chemistry here actively favours rather than fights.</t>
  </si>
  <si>
    <t xml:space="preserve">Sunchokes and groundnut go in this window, and both deserve a caution before planting. Sunchokes are effectively permanent: any tuber fragment left in the ground regrows, so they belong in a bed you are content to give them for good. Groundnut (Apios americana) is a native perennial vine that fixes nitrogen and produces a string of edible tubers — a staple food across Indigenous eastern North America, and it wants exactly the damp ground the wet edge of this land provides.</t>
  </si>
  <si>
    <t xml:space="preserve">Set out pansies, and sow cilantro directly — cilantro bolts the moment heat arrives and cannot be transplanted well, so successive small sowings every two weeks beat one large one.</t>
  </si>
  <si>
    <t xml:space="preserve">Transplant perennial herbs now — thyme, oregano, mint, catnip. Thyme and oregano are Mediterranean and want the thin dry stony ground that defeats everything else here, so the worst soil on the property is the right place for them. Mint and catnip need containing, by pot or by buried barrier, or they take the bed.</t>
  </si>
  <si>
    <t xml:space="preserve">The American elm. Dutch elm disease arrived in the 1930s and by the 1970s had taken the tree that arched over nearly every village street and stood alone and vase-shaped in nearly every pasture in the Northeast. Elms still sprout and grow to fifteen or twenty feet in hedgerows before the beetles find them — the species persists as a permanent adolescent, never again reaching the canopy.</t>
  </si>
  <si>
    <t xml:space="preserve">Peach blooms now, and this is the entire problem with peaches on this hill: pink flowers opening in late April, weeks before the last-frost gate closes around May 20–25. Peach flower buds are also killed outright at roughly −10°F to −15°F, temperatures a 1,200-foot Helderberg hilltop reaches in most winters. A peach here is a legitimate gamble rather than a crop — fruit perhaps one year in three or four, in the hardiest cultivars (Reliance is the hardiest widely available, with Contender, Madison, and Veteran behind it), and best sited mid-slope where cold air drains past rather than in a hollow where it pools.</t>
  </si>
  <si>
    <t xml:space="preserve">The bats. Within living memory, a summer dusk on an open hilltop like this one meant dozens of bats working the field, and the loss is recent enough that many people remember it happening. What makes it unbearably local is the origin: white-nose syndrome entered North America at Howe Cave in Schoharie County, roughly twenty-five miles from this hill, first photographed in February 2006 — most likely carried in on the clothing of a caver returning from Europe, into a commercial cave visited by hundreds of thousands of people a year. Millions of bats have died across the continent since. This particular extinction event has a documented ground zero, and it is within an easy drive.</t>
  </si>
  <si>
    <t xml:space="preserve">Frost remains a live threat through the end of this microseason and into the next; the growing season is real but probationary.</t>
  </si>
  <si>
    <t xml:space="preserve">The green wave finally crests the hill, a week to ten days behind the Hudson Valley — and once started it moves with astonishing speed, leaf-out compressing into days: chokecherry, gray dogwood, maple saplings, black locust last of all (locust is famously late; a bare locust in mid-May is healthy, not dead).</t>
  </si>
  <si>
    <t xml:space="preserve">Males precede females by roughly a week to ten days, and the arrival date on this hill is strikingly consistent year over year despite the ten-day lag behind the valley.</t>
  </si>
  <si>
    <t xml:space="preserve">The Haudenosaunee ceremonial calendar honors the planting season now, and the traditional wisdom of waiting for the proper signs before planting reads on this hill as straightforward practical advice.</t>
  </si>
  <si>
    <t xml:space="preserve">Warbler migration peaks in these two weeks: ovenbirds shouting teacher-teacher-teacher from the woods floor, black-throated greens in the conifers, chestnut-sided warblers claiming exactly the shrubby second-growth this landscape specializes in.</t>
  </si>
  <si>
    <t xml:space="preserve">Ruby-throated hummingbirds return — reliably within a few days of May 10 at this elevation — and Baltimore orioles pass through the flowering treetops.</t>
  </si>
  <si>
    <t xml:space="preserve">Hummingbird. The ruby-throated (Archilochus colubris) is the only hummingbird that breeds east of the Mississippi — a single species carrying the entire eastern hummingbird niche, unlike the western states with a dozen. Anything unusual at an eastern feeder is therefore genuinely unusual.</t>
  </si>
  <si>
    <t xml:space="preserve">Many arrive by crossing the Gulf of Mexico nonstop — roughly 500 miles over open water, up to twenty hours of continuous flight, on a bird weighing about three grams that nearly doubles its body weight in fat beforehand. Others take the longer coastal land route. Both strategies exist in the same population.</t>
  </si>
  <si>
    <t xml:space="preserve">The sapsucker connection is the key to their timing here: hummingbirds arrive well before most nectar flowers open at 1,200 feet, and they survive the gap by feeding at the sap wells drilled by yellow-bellied sapsuckers — the neat horizontal rows of holes on birches, maples, and hemlocks. The sap runs about the same sugar concentration as flower nectar, and the wells trap insects besides. Hummingbird northward migration tracks sapsucker distribution closely enough that the woodpecker is effectively the hummingbird's advance infrastructure crew.</t>
  </si>
  <si>
    <t xml:space="preserve">Overnight, a hummingbird enters deep torpor — body temperature falling toward the ambient air, heart rate dropping from over a thousand beats per minute to a few dozen, the bird cold and unresponsive on its perch until it shivers itself back to operating temperature at dawn. On a cold May night on this hill, a hummingbird is effectively switched off.</t>
  </si>
  <si>
    <t xml:space="preserve">Porcupines give birth to a single enormous porcupette — relative to the mother, one of the largest single offspring of any rodent — born with soft quills that harden within hours, and able to climb within days.</t>
  </si>
  <si>
    <t xml:space="preserve">The first chipmunk litter appears above ground; chipmunks produce two litters a year here, this one and a late-summer one.</t>
  </si>
  <si>
    <t xml:space="preserve">Bear breeding season opens in late May and runs through June. Bears practice delayed implantation — the fertilized egg floats unattached for months and only implants in late autumn, and only if the female has put on enough fat. A poor mast year therefore erases a pregnancy that already happened, months after the fact.</t>
  </si>
  <si>
    <t xml:space="preserve">Morel season, such as it is on acidic soil, peaks near old apple trees and dying elms.</t>
  </si>
  <si>
    <t xml:space="preserve">succession sowings of lettuce, radishes, beets, and carrots continue; potatoes go in; tomato starts harden off on mild days but stay under cover at night.</t>
  </si>
  <si>
    <t xml:space="preserve">Swarm season opens. A colony that has outgrown its box will throw a swarm — the old queen leaving with half the bees — and the signal is queen cells along the bottom edge of the frames. Checking weekly through May and giving space early is the whole of swarm prevention.</t>
  </si>
  <si>
    <t xml:space="preserve">Sow buckwheat as a first cover crop on any bare ground. It germinates in days, flowers in about a month, and is one of the best short-season bee plants available — then it is cut before it seeds, and the ground is ready for something else.</t>
  </si>
  <si>
    <t xml:space="preserve">Set out the brassicas — cabbage, kale, bok choy — and collar the stems against cutworms. Plant pumpkins, squash and zucchini at the end of this window once soil is genuinely warm, and plant them where they can run; a single zucchini plant will cover a surprising amount of ground, and three is a mistake most gardeners make once.</t>
  </si>
  <si>
    <t xml:space="preserve">Sow beets and more carrots, and thin beets ruthlessly — each "seed" is a cluster of several, so an unthinned row produces greens and nothing else.</t>
  </si>
  <si>
    <t xml:space="preserve">American ginseng, which grows in exactly this region's rich shaded slopes, has been dug for export to China continuously since the 1700s — one of colonial New York's earliest cash exports and one of its longest-running extractions. Wild populations across the Northeast are a fraction of what they were, and the plant's rarity is not natural scarcity but three centuries of steady removal. The chestnut-sided warbler is the mirror image: rare in Audubon's day, abundant now, because clear-cutting and farm abandonment manufactured exactly the scrubby habitat it needs. Some ghosts are made by taking; some are made by leaving.</t>
  </si>
  <si>
    <t xml:space="preserve">Apple bloom opens in the last days of this window — pink bud, then white — running about a week behind valley orchards. Old orchard remnants and wild seedling apples bloom alongside the chokecherries.</t>
  </si>
  <si>
    <t xml:space="preserve">Cedar-apple rust announces itself now if it is present. It requires eastern red cedar within roughly a mile as its alternate host, and on the cedars the galls swell in wet spring weather into bizarre orange gelatinous horns; on the apples, bright orange spots follow on the leaves a few weeks later. Removing nearby cedars is the old prescription and rarely practical; resistant cultivars are the modern one.</t>
  </si>
  <si>
    <t xml:space="preserve">The Eta Aquariid meteors (peaking early May) yield to the quiet sky of early summer; Vega climbs the northeast after dusk, herald of the Summer Triangle.</t>
  </si>
  <si>
    <t xml:space="preserve">The last-frost gate finally closes, roughly May 20–25 — a week or more after Albany's average — opening the tender planting season.</t>
  </si>
  <si>
    <t xml:space="preserve">Chokecherries bloom — dense white bottlebrush racemes humming with native bees, small flies, and the first butterflies of substance — and when the petals drop at month's end they fall like a second, kinder snow; apple and wild cherry join.</t>
  </si>
  <si>
    <t xml:space="preserve">This is the hill's floral crescendo; its scent on a warm evening is the year's best argument for the place.</t>
  </si>
  <si>
    <t xml:space="preserve">Oak flowering passes almost unnoticed and is worth catching. Long yellow-green catkins hang in curtains from every oak as the leaves expand, and the pollen is wind-carried in quantity — the yellow film on standing water in late May is largely oak.</t>
  </si>
  <si>
    <t xml:space="preserve">The two oak groups keep different clocks, and the difference is visible on the twig. White oak group — white, chestnut and swamp white — ripens acorns in a single season, from flower in May to acorn in September. Red oak group — red, black and scarlet — takes two full years, so a red oak in May carries two crops at once: the tiny first-year acorns just set, and the previous year's now swelling toward autumn. Learning to see both on one twig is the fastest way to tell the groups apart.</t>
  </si>
  <si>
    <t xml:space="preserve">Shagbark hickory leafs out among the very last, later even than black locust, and unfolds enormous compound leaves in a rush once it starts. The buds are equally distinctive when they break — large, and the outer scales peel back like a flower before the leaf emerges.</t>
  </si>
  <si>
    <t xml:space="preserve">Swamp white oak carries its acorns on long stalks, unlike its relatives, which sit theirs tight against the twig. It is the easiest field mark on the species, and the peeling, papery bark on its young branches is the other.</t>
  </si>
  <si>
    <t xml:space="preserve">Black gum leafs out late and glossy, the leaves so polished they look wet. It is one of the longest-lived hardwoods in eastern North America — individuals over six hundred years old are documented —</t>
  </si>
  <si>
    <t xml:space="preserve">This is the fortnight to hunt for American chestnut remnants, because the leaves are out and the understorey has not closed in. An estimated 430 million wild American chestnuts survive in the native range, nearly all as root-collar sprouts under an inch in diameter — the roots were never killed, and they have been sending up shoots for over a century.</t>
  </si>
  <si>
    <t xml:space="preserve">The cycle is fixed and relentless: sprouts grow for roughly ten to twenty years, the blight finds them, they die back to the root collar, and the root sends up more. They almost never reach reproductive size before it happens.</t>
  </si>
  <si>
    <t xml:space="preserve">The identification test is the leaf underside. American chestnut leaves are canoe-shaped, five to nine inches, coarsely toothed with large hooked teeth, and completely smooth on both sides — no fuzz underneath. Chinese chestnut leaves are fuzzy below, and most reported American chestnuts turn out to be Chinese. Look for clustered live stems around a dead central one, which is the classic remnant form.</t>
  </si>
  <si>
    <t xml:space="preserve">A sprout over twenty feet tall with a trunk over six inches is genuinely rare and worth reporting to the New York chapter of The American Chestnut Foundation.</t>
  </si>
  <si>
    <t xml:space="preserve">Hummingbird nesting is done entirely by the female — males contribute nothing beyond mating and are actively driven off. The nest is a walnut-sized cup of plant down bound with spider silk and shingled in lichen, and the silk is what makes it work: the cup stretches as the two jellybean-sized nestlings grow. It is almost perfectly camouflaged as a bump on a downsloping branch, and finding one is a genuine achievement.</t>
  </si>
  <si>
    <t xml:space="preserve">Turkey poults hatch in late May and early June. They leave the nest within a day and follow the hen immediately, unable to fly for about ten days — the most dangerous stretch of a turkey's life, and the reason cold wet Junes produce weak year-classes. Poults feed almost entirely on insects for their first weeks, not seeds, so an unmown insect-rich field is turkey nursery habitat.</t>
  </si>
  <si>
    <t xml:space="preserve">Whip-poor-wills, once common on exactly this kind of brushy upland edge, have declined steeply across the region — their absence, or a single calling bird, is worth recording on a warm still night now.</t>
  </si>
  <si>
    <t xml:space="preserve">The dawn chorus peaks in these two weeks, beginning a bewildering ~4:30 a.m.: field sparrow, indigo bunting, common yellowthroat, chestnut-sided warbler — the old-field ensemble, all breeding, all loud.</t>
  </si>
  <si>
    <t xml:space="preserve">Fawns begin dropping in the last days of May, curled motionless in tall grass; tall grass deserves a walk-through before any mowing.</t>
  </si>
  <si>
    <t xml:space="preserve">Snapping turtles haul out of valley wetlands to lay eggs in any workable gravel, including road shoulders and lane edges.</t>
  </si>
  <si>
    <t xml:space="preserve">A newborn fawn is nearly scentless, and its instinct is to lie flat and motionless rather than flee — so the doe deliberately leaves it alone for hours at a time, feeding at a distance to avoid drawing predators to the spot. A fawn found alone is virtually never abandoned, and picking one up is the single most common well-intentioned wildlife mistake made in this region.</t>
  </si>
  <si>
    <t xml:space="preserve">Does drive off their yearlings just before giving birth, which is why late May and early June produce so many confused young deer wandering into unlikely places.</t>
  </si>
  <si>
    <t xml:space="preserve">Fawns are spotted for camouflage in dappled light and lose the spots at three to four months, on their first molt.</t>
  </si>
  <si>
    <t xml:space="preserve">tomatoes transplant out once the frost gate closes; corn and beans direct-sow when soil reaches ~60°F, typically the last days of May into early June; catnip transplants out. The Three Sisters — corn, beans, squash interplanted — is the Haudenosaunee polyculture built for exactly this moment: corn first, beans a week or two later to climb it, squash last to shade the soil.</t>
  </si>
  <si>
    <t xml:space="preserve">This is the frost gate. Last frost falls around May 20–25 here, a week or more behind the valley, and nothing tender should go out before it — tomatoes, basil, corn, squash, beans. Amaranth, sunflowers and marigolds go in now too.</t>
  </si>
  <si>
    <t xml:space="preserve">Corn wants soil at 60°F, not air at 60°F, and seed sown into cold ground rots rather than waits. Plant in blocks rather than rows — corn is wind-pollinated, and a single long row pollinates badly no matter how many plants are in it.</t>
  </si>
  <si>
    <t xml:space="preserve">Marigolds earn their bed space beyond the flowers. French marigold roots release compounds that suppress root-knot nematodes, which is why they are planted as a break crop rather than only as an edging.</t>
  </si>
  <si>
    <t xml:space="preserve">Amaranth is worth knowing as both grain and green, heat-loving, drought-tolerant once established, and domesticated in the Americas — a crop with a long Indigenous agricultural history that later became a garden ornamental in Europe and came back as a grain.</t>
  </si>
  <si>
    <t xml:space="preserve">the Three Sisters go in now, and the timing is the teaching. Corn, beans and squash are planted together: corn as the pole, beans climbing it and fixing nitrogen, squash spreading below to shade out weeds and deter animals with prickly vines. The Haudenosaunee call them the Three Sisters and treat them as a single agricultural and nutritional unit — corn and beans together supply complete protein, which neither does alone. It is intercropping worked out centuries before the word existed.</t>
  </si>
  <si>
    <t xml:space="preserve">Planting waits on signs rather than dates, and at this elevation that matters — oak leaves the size of a squirrel's ear is the widely cited marker, and it lands here in the last days of May, when the frost gate finally closes.</t>
  </si>
  <si>
    <t xml:space="preserve">The Palatine Germans arrived on the Hudson for pine tar, not for farming. Roughly 2,100 refugees from the Rhineland were shipped over in 1710 and settled at East and West Camp on the river, under contract to produce naval stores — pitch, tar and turpentine — from the pines. The scheme failed within a few years, and the Palatines dispersed west into the Schoharie Valley, immediately over the hills from here, and later into the Mohawk. Their descendants are all through the Hilltowns, and the surnames on the 1866 atlas carry them.</t>
  </si>
  <si>
    <t xml:space="preserve">The land itself was rented, not owned. Westerlo lay inside Rensselaerswyck, the Van Rensselaer patroonship, and the numbered farm lots that still structure property boundaries here were laid out by William Cockburn, hired to survey the West Manor across Rensselaerville, Berne, Knox, and Westerlo. Tenants held perpetual leases paying rent in wheat or labor, plus a "quarter-sale" fine of up to a quarter of the price if they ever sold. When the "Good Patroon" Stephen Van Rensselaer III died in 1839 and his estate demanded roughly $400,000 in uncollected back rent, the hilltowns revolted — the first mass meeting was held in Berne on July 4, 1839, and the Anti-Rent War that followed ran until the 1846 constitutional convention outlawed agricultural leases longer than twelve years. Every stone wall on this hill was built by someone who did not own the ground it stood on.</t>
  </si>
  <si>
    <t xml:space="preserve">The hill was sold twice over, a century apart, and both times to someone from away. In 1866 it was leasehold ground under the Van Rensselaer manor. In 1983 it was bought as a two-hundred-acre-plus tract by Patten Realty, a Vermont-born land-sale company whose stated business was purchasing large tracts "from farmers unable to market it themselves," subdividing them, and reselling five- to twenty-acre pieces to city dwellers as recreational property. The lots here were surveyed in November 1983 and sold through 1984 to buyers from Flushing and the boroughs. Patten went public in 1985, was briefly the biggest gainer on the New York Stock Exchange, settled deceptive-marketing claims with five states in 1989, was profiled on 60 Minutes in 1991, and is now — renamed Bluegreen — a timeshare subsidiary of Hilton Grand Vacations. The stone walls were built by a tenant; the lot lines were drawn by a company that now sells vacation points.</t>
  </si>
  <si>
    <t xml:space="preserve">Bloom season is when abandoned homesteads announce themselves. Apple trees in improbable rows far from any road, lilacs blooming out of a woodlot, daylilies and myrtle in a rectangle of nothing, a depression in the ground lined with cut stone — these are cellar holes, and the Helderberg uplands are full of them. Farms here were marginal from the start, and after the Erie Canal opened in 1825 and cheap western grain flooded east, hill farms across upstate New York were walked away from by the thousands. The flowers kept the appointment anyway.</t>
  </si>
  <si>
    <t xml:space="preserve">Peak apple bloom, roughly May 15–25 at this elevation — and the pollination window that decides the whole autumn crop. Cold, wet, or windy bloom weather means few bee flights and a thin harvest regardless of how heavy the flowering looked.</t>
  </si>
  <si>
    <t xml:space="preserve">The single most important thing that kills old field apples here is not a disease at all — it is shade. Apples are intolerant of being overtopped, and a tree that once stood open in a pasture is now being closed over by locust, maple, and dogwood. A declining old apple with a thin, one-sided crown and heavy dead wood is usually asking for light, not medicine. Bloom season is the easiest time to find them, because they announce themselves in white from a distance.</t>
  </si>
  <si>
    <t xml:space="preserve">Verticillium wilt shows itself as the canopy fills. A soil-borne fungus affecting maples in particular, it blocks the vascular system, and the signature is asymmetry — leaves on one branch or one side of a tree wilt and die while the rest looks normal.</t>
  </si>
  <si>
    <t xml:space="preserve">The diagnostic is free. Cut into a wilting branch and look for olive-green streaking in the sapwood, appearing as arcs or rings in cross-section. Three things determine whether the test works: take a larger branch rather than a twig, because streaking is unreliable in small wood; look well below the wilting, since the stain can occur several feet lower; and remember that absence of streaking does not rule the disease out.</t>
  </si>
  <si>
    <t xml:space="preserve">The discriminator is response to correction. Drought, compaction and root damage all mimic early Verticillium — but they improve when water and soil conditions improve. Verticillium does not respond to anything. It only progresses.</t>
  </si>
  <si>
    <t xml:space="preserve">Conifers cannot get it, and neither can oaks. That single fact separates a maple problem from a conifer problem on the same hillside.</t>
  </si>
  <si>
    <t xml:space="preserve">Evenings stretch gloriously — usable light past 9 p.m. by mid-month; the sun now sets as far north along the Hills ridgeline as it ever will, a markable solstice waypoint.</t>
  </si>
  <si>
    <t xml:space="preserve">Locust honey is prized for a reason; standing under a flowering tree at midday settles the question.</t>
  </si>
  <si>
    <t xml:space="preserve">Locust, a nitrogen-fixing legume, quietly fertilizes acidic soil while it perfumes the air — the rare tree that pays rent twice.</t>
  </si>
  <si>
    <t xml:space="preserve">Gray dogwood sets buds; lavender fattens toward bloom.</t>
  </si>
  <si>
    <t xml:space="preserve">Pitch pine puts up its candles — pale upright new shoots at the branch tips, soft and rubbery before the needles spread. The needles come in bundles of three, which separates it cleanly from white pine's five and red pine's two, and the whole tree looks slightly unkempt compared with either.</t>
  </si>
  <si>
    <t xml:space="preserve">Tussock sedge builds the architecture of a wet meadow, slowly. Each plant raises its own pedestal of accumulated root and old leaf bases, and over decades the tussocks stand a foot or more above the water between them. The result is microtopography: dry tops and wet hollows within inches of each other, which is why a tussock sedge meadow holds far more species than flat ground of the same size. Old tussocks are decades of growth, and cannot be replaced quickly once destroyed.</t>
  </si>
  <si>
    <t xml:space="preserve">Wild lupine comes into flower on dry sandy or gravelly ground — blue-violet spikes, palmately compound leaves that hold water droplets at their centre like mercury. It fixes nitrogen through rhizobial nodules, and is one of the plants that improves poor open ground rather than merely tolerating it.</t>
  </si>
  <si>
    <t xml:space="preserve">Do not substitute garden lupine. The big multicoloured Russell hybrids are Lupinus polyphyllus, a Western species, and they hybridise with and displace the native. Only Lupinus perennis is the real thing here.</t>
  </si>
  <si>
    <t xml:space="preserve">First fledglings appear — spot-breasted robins, stub-tailed chickadees begging with quivering wings — and the woods fill with the anxious chip notes of parenting.</t>
  </si>
  <si>
    <t xml:space="preserve">Turkey broods appear in the fields — a hen with a wake of poults, often two or three hens combining broods into a crèche, which improves collective vigilance. A brood that dwindles from twelve to four over a few weeks is a normal outcome, not a catastrophe.</t>
  </si>
  <si>
    <t xml:space="preserve">Crow families are feeding young with helpers in attendance, and the begging call of a fledgling crow is a strange nasal rattle wholly unlike an adult caw.</t>
  </si>
  <si>
    <t xml:space="preserve">Chickadee broods fledge in a single morning — six to eight young leaving the cavity in a rush — and the family stays tightly together for two to three weeks before the young disperse, often joining unrelated flocks by late summer. The flock in the thickets next January will not be this year's family.</t>
  </si>
  <si>
    <t xml:space="preserve">White-tailed does are nursing; bucks, in velvet, band into summer bachelor groups.</t>
  </si>
  <si>
    <t xml:space="preserve">Antlers in velvet are the fastest-growing tissue in the mammal kingdom — up to half an inch a day on a mature buck — built from a blood-rich, nerve-laden skin that makes them genuinely sensitive, and drawing so heavily on calcium and phosphorus that the buck temporarily pulls minerals from his own skeleton to build them.</t>
  </si>
  <si>
    <t xml:space="preserve">Gray squirrel and red squirrel litters are out of the nest. Red squirrels (Tamiasciurus hudsonicus) deserve separating from grays: smaller, louder, fiercely territorial, conifer-associated, and larder hoarders — they defend a single central cache (a midden, often a years-deep pile of cone scales) rather than scattering. They are also significant nest predators on songbirds.</t>
  </si>
  <si>
    <t xml:space="preserve">Bear breeding peaks; males range enormously now, and a bear crossing this hill in June is likely traveling rather than resident.</t>
  </si>
  <si>
    <t xml:space="preserve">It also sprouts needles straight out of its trunk bark, which no other pine here does. Those epicormic tufts are the visible sign of a fire-adapted tree: pitch pine can resprout after being burned, broken or cut, which is why it persists on rock and sand barrens where every competitor eventually fails.</t>
  </si>
  <si>
    <t xml:space="preserve">White spruce identifies itself by smell. Crush the needles and they are frankly unpleasant — the old name is skunk spruce — and the needles are four-sided, rolling easily between finger and thumb, where a fir's flat needles will not roll. This is near the southern edge of its range; a white spruce here is a boreal species holding on at elevation.</t>
  </si>
  <si>
    <t xml:space="preserve">Black locust blooms, and for roughly ten days the hill smells like a perfume counter: heavy white wisteria-like racemes dripping nectar, mobbed by bumblebees whose collective hum is audible from thirty feet.</t>
  </si>
  <si>
    <t xml:space="preserve">Luna moths, pale green and improbable, come to lit windows on warm nights.</t>
  </si>
  <si>
    <t xml:space="preserve">Blue flag iris opens in the wet ground — violet-blue with the yellow-and-white signal patch on the falls that guides bumblebees in. It is the native iris of Northeastern wetlands, and the rhizome is toxic, which distinguishes it sharply from the sweet flag it is sometimes confused with.</t>
  </si>
  <si>
    <t xml:space="preserve">It is also the sole larval host of the Karner blue butterfly, a federally endangered species whose entire life depends on this one plant. The Karner blue is not present here, but the relationship is the reason wild lupine is planted deliberately across the Northeast, and the Albany Pine Bush — the nearest remaining stronghold — is under thirty miles from this hill.</t>
  </si>
  <si>
    <t xml:space="preserve">Strawberries come in, and the crop lasts about three weeks. Everything has to be dealt with as it arrives. Straw mulch under the fruit is the entire reason for the name — it keeps berries off soil, which is where the rot starts.</t>
  </si>
  <si>
    <t xml:space="preserve">Honeyberries ripen before strawberries, the earliest fruit of the year here, and are worth knowing for exactly that reason: hardy to −40°F, essentially pest-free, and cropping weeks ahead of anything else.</t>
  </si>
  <si>
    <t xml:space="preserve">Plant dahlias now, after all frost risk. The tubers must be lifted every autumn here — they will not survive the winter in the ground at this elevation — so plant them where digging is easy.</t>
  </si>
  <si>
    <t xml:space="preserve">Hollyhocks are biennial and worth planting on that understanding: leaves the first year, the tall flowering spike the second, then they seed themselves and carry on indefinitely. Rust is the standing problem — remove affected lower leaves rather than treating.</t>
  </si>
  <si>
    <t xml:space="preserve">Black locust is not originally from here. Its native range is the southern Appalachians and the Ozarks; it reached New York because people planted it — for fence posts that refuse to rot, for erosion control, for ship timbers and railroad ties — and then it spread on its own. Every locust stand on this hill is the descendant of a decision. Whether that makes it a native, a naturalized citizen, or a well-behaved invasive is a question the ecologists have not settled either.</t>
  </si>
  <si>
    <t xml:space="preserve">Petal fall on the apples, and the start of the fire blight window — the bacterium enters through open blossoms and succulent new shoots, and warm humid weather right after bloom is what sets it off.</t>
  </si>
  <si>
    <t xml:space="preserve">Fire blight is unmistakable once known. Shoot tips blacken as if scorched by a blowtorch and then bend over into a tight hook — the shepherd's crook — and leaves stay attached rather than dropping. Cut well below the visible margin, at least eight to twelve inches into clean wood, on a dry day, sterilizing the blade between every cut. Do not fertilize an infected tree; soft fast growth is exactly what it feeds on.</t>
  </si>
  <si>
    <t xml:space="preserve">The summer solstice arrives (June 20–21): the year's longest days, the sun rising and setting at its northern extremes — and the Hills's afternoon shadow at its annual minimum, the one season it taxes the hill least.</t>
  </si>
  <si>
    <t xml:space="preserve">Gray dogwood blooms — flat cream-colored cymes (branched, flat-topped flower clusters) spread across the thickets like doilies — the most democratic bloom on the landscape, feeding an astonishing breadth of small native bees, wasps, beetles, and flies.</t>
  </si>
  <si>
    <t xml:space="preserve">Dogwood thickets are the hill's biodiversity engine; twenty minutes of watching one cyme reveals a dozen insect species.</t>
  </si>
  <si>
    <t xml:space="preserve">The first fireflies rise from unmown grass in the last week of June, later than the valley's, and build nightly; different species flash different codes at different heights and hours — the low, slow J-stroke of Photinus pyralis earliest, others higher and later.</t>
  </si>
  <si>
    <t xml:space="preserve">For the Haudenosaunee this season belongs to the strawberry — the first fruit, honored with its own thanksgiving — and wild strawberries ripen in old-field grass now.</t>
  </si>
  <si>
    <t xml:space="preserve">New Jersey tea flowers in dense white clusters on dry rocky ground. It is a small woody shrub with a taproot so deep and tough that it defeated the plough — the root is the origin of the prairie-breaking name "grubhoe plant," and it is the reason the species survives disturbance that removes everything around it.</t>
  </si>
  <si>
    <t xml:space="preserve">It fixes nitrogen actinorhizally, like the bayberry and the alder, which is why it builds soil on ground too poor and too dry for clover.</t>
  </si>
  <si>
    <t xml:space="preserve">The leaves made the tea of the name — dried and steeped, widely used during the Revolutionary boycotts of imported tea. It contains no caffeine, and the flavour is closer to a mild green tea than to anything herbal.</t>
  </si>
  <si>
    <t xml:space="preserve">Wild carrot begins flowering now `[NON-NATIVE]` — a naturalised Eurasian biennial, and the ancestor of the cultivated carrot. The flat white umbel usually carries a single dark purple floret at its centre, a detail with no settled explanation, though the leading hypothesis is that it mimics an insect and draws others in.</t>
  </si>
  <si>
    <t xml:space="preserve">Its taproot genuinely opens compacted ground, which is real value on thin hard soil. Against that, it seeds heavily and competes with the native grasses. Cutting the umbels before the seed sets stops the spread without removing the cover, the taproots or the swallowtails.</t>
  </si>
  <si>
    <t xml:space="preserve">Bat pups are born in June in maternity colonies — females aggregate in hot attics, barns, and tree cavities while males roost separately. A single pup per year is typical, which is precisely why bat populations cannot rebound quickly from white-nose losses: a species with the reproductive rate of a small elephant does not recover on a rodent's timeline.</t>
  </si>
  <si>
    <t xml:space="preserve">Chipmunks are conspicuous now, and their loud repetitive chip and lower chuck calls are alarm signals, not chatter — the high chip generally for aerial threats, the chuck for ground predators, and a whole hillside can take up the relay for many minutes after a hawk passes.</t>
  </si>
  <si>
    <t xml:space="preserve">Fawns are dropped in late May and June, and they do not run. For the first weeks a fawn's strategy is to lie flat and still in cover, nearly scentless, while the doe feeds at a distance and returns only to nurse. A fawn alone in tall grass is not abandoned, and moving it is the commonest well-intentioned mistake made on rural land in June.</t>
  </si>
  <si>
    <t xml:space="preserve">Porcupines give birth to a single large porcupette, quills soft at birth and hardening within an hour. They are among the slowest-reproducing rodents anywhere — one young a year, after a seven-month gestation, which is extraordinary for a rodent — and that pace is only survivable because an adult porcupine has very few predators.</t>
  </si>
  <si>
    <t xml:space="preserve">The fisher is the exception, and the reason it matters here. Fishers are among the only predators that routinely kill porcupines, attacking the face repeatedly until the animal can be flipped. Fishers were trapped out of this region by the early 1900s and returned through the mid-twentieth century, and porcupine numbers fell as they came back — a predator-prey relationship that played out across the Northeast within living memory.</t>
  </si>
  <si>
    <t xml:space="preserve">Bat pups are born in the maternity colonies now — a single pup per female per year for most species here. The mother leaves it roosting while she hunts and finds it again among hundreds by voice and scent alone.</t>
  </si>
  <si>
    <t xml:space="preserve">That reproductive rate is why white-nose losses are so hard to reverse. A bat has the breeding rate of a small elephant, not a rodent — one young a year, first breeding often deferred — so a population reduced by 90 percent recovers over decades rather than seasons.</t>
  </si>
  <si>
    <t xml:space="preserve">This is the wrong month to exclude bats from a building, and in New York it is restricted for that reason: flightless pups sealed inside will die. Exclusion work belongs before May or after mid-August.</t>
  </si>
  <si>
    <t xml:space="preserve">A single little brown bat eats a very large number of insects nightly, and a maternity colony of a few hundred represents real insect control over a property.</t>
  </si>
  <si>
    <t xml:space="preserve">An unmown field is a firefly nursery — the strongest ecological argument for lazy mowing ever devised.</t>
  </si>
  <si>
    <t xml:space="preserve">It is the larval host of the black swallowtail, which lays on it here as readily as on garden parsley and dill, so a stand of wild carrot is a swallowtail nursery. The caterpillars are green, black and yellow-banded, and rear an orange forked osmeterium when threatened — a fleshy Y-shaped organ that everts from behind the head and smells strongly of rancid citrus.</t>
  </si>
  <si>
    <t xml:space="preserve">garlic scapes curl and get snapped off to push energy into bulbs; succession lettuce moves to part shade as heat builds; cilantro bolts fast now — resowing every 2–3 weeks keeps a leaf supply.</t>
  </si>
  <si>
    <t xml:space="preserve">Garlic scapes come now on hardneck varieties — the curling flower stalk, cut while still coiled. Removing them sends the plant's energy into the bulb instead of the flower, and the scapes themselves are among the best things the garden produces all year.</t>
  </si>
  <si>
    <t xml:space="preserve">Strip grape leaves around developing clusters, not for tidiness but for air movement — the fungal pressure on grapes in a humid summer comes down to how long the fruit stays wet.</t>
  </si>
  <si>
    <t xml:space="preserve">Thin apples and peaches hard, and do it now. A peach wants four to six inches between fruit and an apple one fruit per cluster; unthinned trees produce small fruit, break limbs, and fall into biennial bearing — a heavy year followed by nothing. This is the least intuitive and most consequential fruit job of the year.</t>
  </si>
  <si>
    <t xml:space="preserve">Sow dill, cilantro and lettuce again in succession, and keep lettuce in afternoon shade as the heat arrives.</t>
  </si>
  <si>
    <t xml:space="preserve">the strawberry, and the ceremony that goes with it. Wild strawberries ripen small and intensely flavoured now in field edges and old pasture, weeks ahead of anything cultivated. The Haudenosaunee Strawberry Ceremony marks them as the first fruit of the year and the leader of the berries, and the strawberry drink made for it is one of the year's fixed observances — a thanksgiving tied to a ripening rather than to a calendar date.</t>
  </si>
  <si>
    <t xml:space="preserve">This is also the start of the year's real work for preservers. Everything from here to October arrives in a rush and must be dealt with the week it comes: strawberries now, then raspberries, then the currants and gooseberries the Germans and Irish both planted heavily, then everything at once in August.</t>
  </si>
  <si>
    <t xml:space="preserve">The old field itself is the ghost. Gray dogwood, maple saplings, and locust colonizing open ground is succession, and what it is succeeding from is pasture. In the 1830s and '40s upstate New York went mad for Merino sheep, and these hills were shaved nearly bare and walled into paddocks to hold them. The wool market collapsed, the western railroads arrived, the farms emptied, and the forest began its long walk back uphill. Every thicket on this hill is one frame of a two-century time-lapse still running.</t>
  </si>
  <si>
    <t xml:space="preserve">Wild grape blooms now, and almost nobody notices it — the flower clusters are small, green, and hidden under leaves, but the scent on a warm still evening is startling: sweet, faintly spicy, and carrying a surprising distance. It is one of the great unnoticed smells of a Northeast June.</t>
  </si>
  <si>
    <t xml:space="preserve">Apples shed their June drop — a self-thinning of surplus fruitlets that looks alarming and is entirely normal, the tree balancing crop load against its own reserves.</t>
  </si>
  <si>
    <t xml:space="preserve">Beech leaf disease is diagnosable in these two weeks and essentially invisible the rest of the year. Stand under a beech and look up at the leaves with the sky behind them: infected leaves show dark, thickened bands striping the tissue between the veins, an unmistakable corduroy shadow. Backlighting is required; the same leaf viewed from above often looks fine.</t>
  </si>
  <si>
    <t xml:space="preserve">The Summer Triangle — Vega, Deneb, Altair — rules the evening sky directly overhead, the Milky Way running through it on moonless nights; the hill's elevation and dark eastern horizon make this the season for it.</t>
  </si>
  <si>
    <t xml:space="preserve">The male's gorget is not pigment but structural color — microscopic layered platelets in the feather barbules — so the throat reads flat black from most angles and detonates into scarlet only when the bird turns into the light at the correct angle. He aims it deliberately during display.</t>
  </si>
  <si>
    <t xml:space="preserve">Common milkweed blooms in the field margins, its scent carrying for yards; the first monarch eggs appear on leaf undersides. Milkweed is another biodiversity engine — one umbel at hot noon hosts a countable crowd of species.</t>
  </si>
  <si>
    <t xml:space="preserve">Hay-scent rises from the fields; black raspberries ripen in the multiflora tangles.</t>
  </si>
  <si>
    <t xml:space="preserve">Buttonbush flowers as perfect white spheres, an inch across, bristling with protruding styles like a pincushion. Bees, wasps, butterflies and hummingbirds all use it, and it blooms in the gap after the spring shrubs and before the goldenrod. It grows with its feet in standing water and is one of the few woody plants that positively wants to be flooded.</t>
  </si>
  <si>
    <t xml:space="preserve">Round-headed bush clover is in bud now — an upright native legume of dry poor soil, nitrogen-fixing, with tight globular heads of cream flowers that follow later in the summer. Its seed is high-value winter bird food, and the dried stems stand well into the cold months.</t>
  </si>
  <si>
    <t xml:space="preserve">Snowberry clearwings join; actual ruby-throated hummingbirds work the same patch, and the three-way confusion is a July institution.</t>
  </si>
  <si>
    <t xml:space="preserve">Hummingbird aggression peaks now. A single male will claim an entire flowering patch or feeder as territory and spend the day in high-speed chases, dive displays, and audible bill-clacking collisions — body mass around three grams and behavior scaled for a much larger animal. Two feeders placed out of sight of each other defeat a monopolist far more effectively than one large feeder.</t>
  </si>
  <si>
    <t xml:space="preserve">Young birds are everywhere and everything is molting, hungry, and slightly disheveled.</t>
  </si>
  <si>
    <t xml:space="preserve">Lavender blooms — a Mediterranean guest thriving improbably in the thin, sharp drainage of the hilltop — and summons the hill's most delightful insect: the hummingbird clearwing moth, a day-flying sphinx that hovers, sips, and darts so convincingly that first-time observers swear it is a baby hummingbird.</t>
  </si>
  <si>
    <t xml:space="preserve">Butterfly weed opens the most saturated orange on the property. A milkweed with no milky sap — the one exception in the genus — it grows on dry, poor, gravelly ground and sends down a taproot deep enough that established plants resent being moved at all.</t>
  </si>
  <si>
    <t xml:space="preserve">It is a monarch host plant like its relatives, but it is worked far more broadly than that: fritillaries, swallowtails, hairstreaks, bees and hummingbirds all take nectar from it. It blooms in the July gap between the spring flowers and the goldenrod, when open-ground nectar is scarce.</t>
  </si>
  <si>
    <t xml:space="preserve">Chanterelles begin in the oak woods after a good soaking — egg-yolk to apricot orange, with false gills that are blunt, forking, shallow ridges running down the stem, not blades. They smell faintly of apricot. The dangerous lookalike is the jack-o'-lantern, which has true knife-edged gills, grows in dense clusters on wood rather than singly from soil, and is orange throughout.</t>
  </si>
  <si>
    <t xml:space="preserve">Black trumpets fruit in the same weeks and are nearly invisible — thin grey-black funnels in moss and leaf litter under oak and beech. The usual experience is finding none, then finding hundreds in the same square yard, because once the eye adjusts they resolve out of the shadows.</t>
  </si>
  <si>
    <t xml:space="preserve">Boletes come up across the oak slopes. The practical rule for the group: avoid any bolete with red or orange pore surfaces, and any whose flesh bruises rapidly blue. The good ones have white to yellow pores and are mild.</t>
  </si>
  <si>
    <t xml:space="preserve">This is the main honey flow, and supers need to be on ahead of it, not during. Clover, basswood and the summer wildflowers are doing the work, and a colony can fill a super in a week when conditions are right.</t>
  </si>
  <si>
    <t xml:space="preserve">Raspberries come in now, summer-bearers first. Pick every day or two — overripe fruit left on the cane draws sap beetles and spoils the picking for everything after.</t>
  </si>
  <si>
    <t xml:space="preserve">Blueberries begin ripening, and the birds know it a day before anyone else does. Netting is the only real answer, and it has to go on before the first fruit turns blue rather than after.</t>
  </si>
  <si>
    <t xml:space="preserve">Sow the autumn crops now, counterintuitive as it feels in July — beets, carrots, turnips, kale and bok choy for an autumn harvest, counting backward from a first frost in mid-to-late September.</t>
  </si>
  <si>
    <t xml:space="preserve">The American chestnut, and this is its fortnight. Chestnut bloomed late — creamy catkins in early July, weeks after every frost risk had passed — which is exactly why it was the most reliable mast tree in the eastern forest, never once failing to the late freezes that regularly wiped out the oaks. It was one in four trees in much of the Appalachian and Hudson Valley forest, and the blight introduced around 1904 killed an estimated four billion of them within forty years. The root systems did not die. Chestnut still sprouts from thousand-year-old stumps in these woods, grows ten or twenty feet, gets found by the fungus, and dies back — over and over, for a century, in a landscape that has forgotten what its summers used to smell like. Learn the leaf: long, canoe-shaped, with big forward-hooked teeth. There are more of them out there than anyone expects.</t>
  </si>
  <si>
    <t xml:space="preserve">Virginia creeper (Parthenocissus quinquefolia) is at full leaf and feeding a hidden crowd: it is the larval host for several of the largest and most spectacular sphinx moths in the region — the Pandorus sphinx, the Achemon sphinx, and the Virginia creeper sphinx, all of them heavy-bodied, beautifully marbled, and the same family as the clearwings working the lavender by day. Big green hornworms on a creeper vine are not a problem to solve; they are next year's sphinx moths.</t>
  </si>
  <si>
    <t xml:space="preserve">Mid-July is the standard forest-health crown assessment window — the canopy is fully out, and nothing has begun to senesce yet, so what looks thin now genuinely is thin. Judged from a distance, a healthy hardwood crown is dense enough to hide its own branches. Count roughly how much of the crown is missing, dead, or see-through, note it, and repeat in the same week next year. A single reading means little; a three-year trend means everything.</t>
  </si>
  <si>
    <t xml:space="preserve">Chokecherries ripen through their traffic-light sequence — green to red to glossy black-purple — with thicket birds tracking every stage; cedar waxwings, catbirds, and robins strip the reddest clusters, and what survives to full ripeness is astringent enough to pucker a stone but makes legendary syrup and jelly.</t>
  </si>
  <si>
    <t xml:space="preserve">This is typically the hottest stretch, though elevation shaves the worst edge off valley heat waves, and nights — draining cold air east down the slope — stay sleepable when Albany swelters.</t>
  </si>
  <si>
    <t xml:space="preserve">Thunderstorms build over the Helderberg edge on humid afternoons; the escarpment's orographic lift makes this hill country measurably stormier than the valley floor, and the light before a big cell crosses the Hills rewards stepping outside.</t>
  </si>
  <si>
    <t xml:space="preserve">The warm-season grasses put on their real growth now. Big bluestem, Indiangrass and switchgrass do most of their annual work in the heat of mid-summer, when the cool-season grasses have gone dormant and brown. On a dry hill this is the entire argument for them: they are green and growing in the fortnight when everything else has stopped.</t>
  </si>
  <si>
    <t xml:space="preserve">Big bluestem's flower heads are the origin of its other name — three-parted, splayed, and called turkeyfoot for the obvious reason. It can stand six to eight feet on good ground and three to four on thin soil like this.</t>
  </si>
  <si>
    <t xml:space="preserve">The root systems are the point, and they are mostly invisible. Big bluestem and switchgrass send roots six to ten feet down where depth allows; on fifteen inches over ledge they cannot, but they compensate with extraordinary root density in the layer they have. That root turnover is the fastest available way to build organic matter on shallow ground, and it happens below the surface where none of it can be seen.</t>
  </si>
  <si>
    <t xml:space="preserve">Owls fall silent through midsummer — the woods can seem owl-less in July and are not. Calling resumes in earnest with autumn territorial disputes.</t>
  </si>
  <si>
    <t xml:space="preserve">Young hummingbirds are on the wing now, and immature males are confusing: they resemble females — white-throated, plain — but often show a few scattered dark flecks or a single scarlet feather on the throat, the first hint of the gorget to come.</t>
  </si>
  <si>
    <t xml:space="preserve">Bears shift into pre-hyperphagia feeding, working blackberries, raspberries, and any early mast; a bear will eat 20,000 or more berries in a day when a patch is good.</t>
  </si>
  <si>
    <t xml:space="preserve">Bucks' antlers reach full size and begin to mineralize under the velvet; the summer bachelor groups will break up within weeks.</t>
  </si>
  <si>
    <t xml:space="preserve">Weasels are hunting hard now with young in tow. Both long-tailed weasel and ermine live here, and both turn white in winter and brown in summer — the moult triggered by daylight rather than by temperature, which increasingly leaves them white against bare brown ground in low-snow winters. A mismatched weasel in December is a climate signal you can see from a window.</t>
  </si>
  <si>
    <t xml:space="preserve">Mink work the stream corridors, dark brown and semi-aquatic, hunting frogs, crayfish, fish and muskrat along the water edge. They were never extirpated here — small pelts and inconspicuous habits let mink and weasel persist through four centuries of trapping that removed almost every larger mustelid.</t>
  </si>
  <si>
    <t xml:space="preserve">Flying squirrels are active and almost never seen. Southern flying squirrels are probably the most abundant squirrel in these woods and are strictly nocturnal, gliding between trees on a membrane stretched from wrist to ankle. They are also the squirrel most likely to be in an attic. A red flashlight at a snag after dark is the way to see one.</t>
  </si>
  <si>
    <t xml:space="preserve">Gray and red squirrels behave differently enough to be worth separating. Gray squirrels scatter-hoard — thousands of nuts buried singly, relocated by smell and spatial memory — and the ones they fail to recover become trees. Gray squirrels are among the most effective oak and hickory planters in this forest.</t>
  </si>
  <si>
    <t xml:space="preserve">Red squirrels larder-hoard instead, defending a single midden, and they are aggressive well beyond their size — they will drive grays off a feeding tree and are known to raid bird nests. The chatter is territorial advertisement, not alarm.</t>
  </si>
  <si>
    <t xml:space="preserve">Chipmunks are a third strategy again: scatter-hoarding into an underground burrow, waking every few days through winter to eat from the store rather than living off fat.</t>
  </si>
  <si>
    <t xml:space="preserve">Watch for bats over the field at dusk and learn the two silhouettes. Big brown bats fly higher, straighter and slower; little brown bats flutter lower and more erratically, often working the same circuit over water or field edge all evening.</t>
  </si>
  <si>
    <t xml:space="preserve">Dog-day cicadas begin — the rising power-line whine from the treetops that is the true anthem of high summer — joined at night by the first katydids scratching katy-did, katy-didn't from the canopy.</t>
  </si>
  <si>
    <t xml:space="preserve">The year pivots here, audibly: bird song collapses as breeding ends and molt begins, and insects take over the soundscape entirely.</t>
  </si>
  <si>
    <t xml:space="preserve">fall lettuce and spinach seeds start in cool indoor conditions or deep shade (both germinate poorly in hot soil); last succession beets go in by month's end to beat the September frost.</t>
  </si>
  <si>
    <t xml:space="preserve">Harvest garlic when the lower third of the leaves have browned and the rest are still green. Each leaf corresponds to a wrapper layer on the bulb, and waiting for the whole plant to die back costs the wrappers that make it store. Cure in shade with air movement for two to three weeks before trimming.</t>
  </si>
  <si>
    <t xml:space="preserve">Shallots come out in the same window and cure the same way. Save the largest for replanting in autumn — shallots multiply rather than seed, and a good line kept going year after year outperforms anything bought.</t>
  </si>
  <si>
    <t xml:space="preserve">Collect breadseed poppy pods once they rattle, dry and grey-brown with the little vents opening under the crown. Chamomile is harvested through this whole period, flower heads picked when the white petals begin to reflex backward.</t>
  </si>
  <si>
    <t xml:space="preserve">Harvest St. John's wort at full bloom — traditionally at midsummer, which is where the name comes from. The red pigment in the flowers is the usable part, and it appears when a bud is crushed between finger and thumb.</t>
  </si>
  <si>
    <t xml:space="preserve">What stood here before. A survey of this region in 1787 found only sixty-seven settlers, and a contemporary description recalled "the terrific forests [of] overshadowing hemlock [that] had not then (1793) been felled" and "mountain sides... covered with dense thickets of somber-looking hemlocks." That is the pre-clearance forest of these hills in the words of someone who saw it: not the mixed northern hardwoods of today but hemlock, dense and dark, on the slopes. Through the late 1700s the land was rapidly cleared for farming, and sawmills and tanneries proliferated — the tanneries running on hemlock bark. The forest was cut for its timber and stripped for its skin within a single generation, and what grew back was something else entirely.</t>
  </si>
  <si>
    <t xml:space="preserve">Eastern hemlock is the tree that makes a summer ravine cold, and it has been hunted twice. In the nineteenth century it was felled across the Catskills and Helderbergs for its tannin-rich bark, stripped for the leather industry and the trunks frequently left where they fell to rot — an entire forest killed for its skin. It is being hunted again now by the hemlock woolly adelgid, working north as winters warm. And it was hunted once before that: pollen cores across eastern North America record a sudden hemlock collapse about 5,500 years ago, likely an insect or pathogen outbreak, from which the species needed a thousand years to recover. This is the third round of a very old fight.</t>
  </si>
  <si>
    <t xml:space="preserve">Peach harvest, in the years there is one, runs from late July into August depending on cultivar.</t>
  </si>
  <si>
    <t xml:space="preserve">The early-color diagnostic opens now, and it is the most valuable free measurement available on this land. A maple showing red or orange in late July or early August is not being poetic — it is a stressed tree shutting down early, and it is the classic early symptom of maple decline. Healthy maples here color from about the third week of September. Anything coloring more than three weeks ahead of its neighbors is flagging itself. Note which individuals do it, and where they stand on the slope.</t>
  </si>
  <si>
    <t xml:space="preserve">this is when drought stress becomes visible, and shallow soil shows it first. On ten to twenty inches of soil over bedrock there is no deep reserve to draw on, so trees here express drought weeks before the same species on deep ground. Early leaf scorch, browning along leaf margins, and premature colour in July or early August are the signals to record.</t>
  </si>
  <si>
    <t xml:space="preserve">Map which individuals colour early, and repeat it annually. The same trees will do it each year, and that list is the failing-first list — the most useful single record a landowner can keep on shallow ground.</t>
  </si>
  <si>
    <t xml:space="preserve">Verticillium symptoms peak in the same weeks, because a compromised vascular system fails soonest when demand is highest. Wilting that intensifies on hot days and eases on cool overcast ones, over and over through the summer, is characteristic — a branch may partly recover in August and collapse permanently in the next heat.</t>
  </si>
  <si>
    <t xml:space="preserve">The Perseid meteor shower peaks August 11–13 — the year's most watchable, fixed and reliable, radiating from the northeast after midnight into the hill's ideally aimed dark eastern horizon.</t>
  </si>
  <si>
    <t xml:space="preserve">The light itself changes — sun angle lowering, shadows lengthening, the unmistakable amber cast that means the year has crested.</t>
  </si>
  <si>
    <t xml:space="preserve">Goldenrod opens its first sprays, the opening note of the hill's longest bloom season.</t>
  </si>
  <si>
    <t xml:space="preserve">Monarchs of the migratory generation begin emerging; unlike their parents these will live eight months and fly to Mexico, and every milkweed left standing is a contribution to that absurd, magnificent journey.</t>
  </si>
  <si>
    <t xml:space="preserve">Nights turn noticeably: the first genuinely cool overnight lows arrive, often startlingly so — the hilltop can touch the 40s in mid-August while the valley holds 60 — and the katydid tempo slows with the temperature (katydids are a functioning thermometer; their pulse rate tracks the degrees).</t>
  </si>
  <si>
    <t xml:space="preserve">The chokecherry crop hits full ripeness and the harvest race is on — waxwing flocks can strip a laden shrub in an afternoon.</t>
  </si>
  <si>
    <t xml:space="preserve">Barn swallow and tree swallow flocks begin staging on wires in the valley.</t>
  </si>
  <si>
    <t xml:space="preserve">Hummingbirds enter hyperphagia — feeding compulsively to lay down fat for migration, often putting on 25–40% of body weight in a couple of weeks and becoming visibly rotund. Feeders should be kept full and clean through this window and well past it; there is no truth to the notion that a feeder delays departure, since migration is triggered by day length, not food supply.</t>
  </si>
  <si>
    <t xml:space="preserve">Adult males depart first, often by mid-to-late August, followed by females and then by juveniles — meaning the last hummingbirds at a feeder in September are usually young birds making the journey to Central America alone, with no adult to follow and no learned route. The navigation is entirely innate.</t>
  </si>
  <si>
    <t xml:space="preserve">Bear hyperphagia begins in earnest — the annual feeding frenzy in which a bear may consume 15,000–20,000 calories a day and gain several pounds daily, foraging up to twenty hours out of twenty-four. Every bear conflict of late summer and autumn traces to this single physiological imperative, and this is when unsecured garbage, beehives, corn, and fruit trees become genuinely magnetic.</t>
  </si>
  <si>
    <t xml:space="preserve">Chipmunks begin filling the winter larder, working with cheek pouches that can hold a startling volume — a chipmunk carrying a full load looks visibly deformed and can transport dozens of seeds per trip.</t>
  </si>
  <si>
    <t xml:space="preserve">Chicken of the woods fruits on oak, and it is the easiest edible bracket to recognise — overlapping shelves of bright sulphur-orange with a yellow underside, no gills, pores instead. Take only the tender outer margins; the inner parts turn woody. Only from hardwoods — specimens from conifers cause stomach upset in some people.</t>
  </si>
  <si>
    <t xml:space="preserve">Lobster mushroom appears now, and it is not a mushroom at all: a parasitic fungus that engulfs a host russula or lactarius, coating it bright orange-red and transforming both texture and flavour. The result is dense, firm and genuinely good.</t>
  </si>
  <si>
    <t xml:space="preserve">Giant puffballs come in old pasture and field edges. The only test needed is to cut one in half: the interior must be pure, uniform white with no trace of gills, structure or yellowing. Any shadow of internal form means it is either past edibility or an immature amanita.</t>
  </si>
  <si>
    <t xml:space="preserve">fall radishes, lettuce, and spinach direct-sow mid-month; oats-and-peas sow as a winterkill cover crop on any bed finishing early, building biomass that frost will lay down as mulch.</t>
  </si>
  <si>
    <t xml:space="preserve">Blackberries ripen after the raspberries, and the test is not colour but release — a ripe blackberry falls into the hand; a black one that needs pulling is not ready.</t>
  </si>
  <si>
    <t xml:space="preserve">Elderberries come in now in heavy flat cymes, and they must be cooked: raw berries, and all green parts of the plant, contain cyanogenic compounds. Strip the fruit from the stems with a fork, or freeze the whole head and shake it.</t>
  </si>
  <si>
    <t xml:space="preserve">Aronia and huckleberries ripen in the same window. Aronia is astringent raw and transforms entirely with cooking; both are native, both are unfussy, and both crop on ground too poor and acid for most fruit.</t>
  </si>
  <si>
    <t xml:space="preserve">This is peak preserving, and zucchini has become a problem by now. A fruit left two extra days becomes a marrow, which is why the crop is best picked daily at six to eight inches rather than admired.</t>
  </si>
  <si>
    <t xml:space="preserve">green corn, and the year's second thanksgiving. The first roasting ears are ready now, and the Haudenosaunee Green Corn Ceremony falls in this window — a multi-day observance marking the corn becoming edible, and one of the major ceremonies of the year. It is the moment the hungry gap of April is finally and completely over.</t>
  </si>
  <si>
    <t xml:space="preserve">Chokecherries are ripening as the name of this microseason says, and they were a staple across Indigenous North America — pounded whole, stones and all, and dried into cakes, or mixed with fat and dried meat. Astringent raw and transformed by cooking, they became jelly and syrup in every later kitchen on this hill. The stones contain cyanogenic compounds and traditional preparation accounts for this; cooked and strained products are the safe form.</t>
  </si>
  <si>
    <t xml:space="preserve">Staghorn sumac drupes are red and ready — steeped in cold water they make the tart pink drink often called Indian lemonade, used by Indigenous peoples here and adopted by settlers. Cold water only; hot water draws out the tannins and ruins it.</t>
  </si>
  <si>
    <t xml:space="preserve">American beech is currently mid-erasure — hit first by beech bark disease (a scale insect opening the way for a fungus, spreading since the early 1900s) and now by beech leaf disease, a nematode-associated affliction that arrived in Ohio in 2012 and reached New York within a few years. Beech was the other great mast tree beside the chestnut and oak, and beechnuts fed passenger pigeons, bears, and turkeys alike. Watching it go is the closest thing available to seeing the chestnut blight happen in real time.</t>
  </si>
  <si>
    <t xml:space="preserve">Peak window for mapping premature fall color. Walking the same route in the first half of August each year and marking every early-coloring tree builds, over a few seasons, a decline map of the property — and the pattern usually clusters by site rather than by species, pointing at thin soil, ledge, exposure, or a drainage problem underneath.</t>
  </si>
  <si>
    <t xml:space="preserve">Goldenrod floods the old field — multiple species in sequence — joined by the first asters, together running the hill's last great nectar economy: bumblebees, migrating monarchs, locust borers in yellow-and-black goldenrod camouflage, and the ambush bugs and crab spiders that hunt them all.</t>
  </si>
  <si>
    <t xml:space="preserve">Goldenrod, insect-pollinated with heavy sticky pollen, does not cause hay fever; that slander belongs to ragweed, blooming invisibly nearby on the wind.</t>
  </si>
  <si>
    <t xml:space="preserve">Common nighthawks migrate through in loose, buoyant flocks on late-August evenings — one of the region's most underrated spectacles, best watched from an open hilltop.</t>
  </si>
  <si>
    <t xml:space="preserve">Black gum turns first, and it turns scarlet. While every other hardwood is still fully green, individual black gums begin flaring red in the last days of August — the earliest reliable colour on the hill, weeks ahead of the maples,. A single early-scarlet crown in August is almost always tupelo.</t>
  </si>
  <si>
    <t xml:space="preserve">Jewelweed fills the shaded wet ground with hanging orange spotted lanterns, also hummingbird flowers, also nectar-rich, also blooming at the moment of maximum demand. Its seed pods explode at a touch — the "touch-me-not" name — coiling open and flinging seed several feet. The green seeds inside taste distinctly of walnut.</t>
  </si>
  <si>
    <t xml:space="preserve">It is an annual, which is unusual for something so dominant, and it reseeds itself into the same ground every year from those explosions.</t>
  </si>
  <si>
    <t xml:space="preserve">Zugunruhe — the ornithological term for migratory restlessness — is now visible everywhere: birds flocking, feeding urgently, oriented south.</t>
  </si>
  <si>
    <t xml:space="preserve">Blue jay. The hazelnut raids are the opening of the most ecologically consequential behavior any bird on this property performs. A jay carries nuts in an expandable gular pouch in the throat plus one in the bill and one at the bill tip — typically five to seven acorns per trip — and caches them singly, pushed into soil or leaf litter, often far from the parent tree. Blue jays will carry seed as far as 2.5 miles, the longest documented seed-transport distance of any bird.</t>
  </si>
  <si>
    <t xml:space="preserve">What they forget is a forest. Johnson and Webb's 1989 work in the Journal of Biogeography argued that jay caching explains how oaks, beeches, and chestnuts — heavy-seeded trees that cannot travel on wind — migrated north after the ice at rates matching light wind-dispersed species. In the deep-time terms of this calendar: the oaks followed the retreating Laurentide ice back up this valley in the throats of blue jays.</t>
  </si>
  <si>
    <t xml:space="preserve">Its fruit ripens with the colour: small blue-black drupes, very high in fat, dropping exactly as thrushes, catbirds and the first warblers move south. Fat-rich autumn fruit is migration fuel, and black gum is among the best providers of it here.</t>
  </si>
  <si>
    <t xml:space="preserve">Hazelnuts ripen in their leafy husks (involucres), and the raids begin — blue jays and squirrels can empty a shrub days before the nuts read as ready; the traditional test is that when a husk twists off easily, the harvest is already late. Early picking and curing, or conscious surrender to the wildlife, are the two honorable options.</t>
  </si>
  <si>
    <t xml:space="preserve">The two hoarding strategies now run side by side, and the ecological consequences differ completely. Gray squirrels and blue jays are scatter hoarders — thousands of single-item caches, many forgotten, which is how forests get planted. Chipmunks and red squirrels are larder hoarders, concentrating everything in one defended store, from which nothing germinates. A landscape's tree regeneration depends heavily on which strategy dominates.</t>
  </si>
  <si>
    <t xml:space="preserve">Gray squirrels also practice deceptive caching: when they believe they are being watched, they perform elaborate fake burials — digging, miming a deposit, covering an empty hole — while keeping the nut in the mouth for later. This is documented behavior, not folklore.</t>
  </si>
  <si>
    <t xml:space="preserve">Cardinal flower comes into the wet ground now, and it is unmistakable — a spike of intense scarlet, the strongest red on the property. It is built specifically for hummingbirds: bees see red poorly and cannot reach into the tube, so the flower is effectively reserved for birds, and it opens exactly when hummingbirds are packing on fat for migration.</t>
  </si>
  <si>
    <t xml:space="preserve">The scale is extraordinary: an individual adult jay harvests and caches several thousand nuts in a single autumn, and one study recorded fifty jays moving 150,000 acorns in twenty-eight days. Jays also select viable nuts preferentially — the great majority of what they bury is sound seed, because they are choosing food, not planting trees.</t>
  </si>
  <si>
    <t xml:space="preserve">last call for fall spinach sown outdoors; a late-August spinach sowing can also overwinter under mulch for the earliest spring greens.</t>
  </si>
  <si>
    <t xml:space="preserve">This is the preserving fortnight, and everything arrives at once: tomatoes, corn, beans, the first apples. Basil should be cut hard before any cold night — it blackens at temperatures well above freezing, around 40°F, and a single early cold snap can take the whole planting.</t>
  </si>
  <si>
    <t xml:space="preserve">Sunflower heads are ready when the back of the disc turns yellow-brown and the bracts dry. Cut and hang under cover, or lose the crop to birds within days.</t>
  </si>
  <si>
    <t xml:space="preserve">Amaranth seed heads are harvested by rubbing between the hands over a sheet, then winnowing. The whole head is heavy with seed long before it looks ready, so the test is whether seed falls freely when a head is shaken.</t>
  </si>
  <si>
    <t xml:space="preserve">The idea that this landscape was unbroken forest before contact is a colonial invention. Haudenosaunee peoples and their predecessors kept openings deliberately and at scale — burning to maintain berry ground, nut orchards, browse for deer, and clear sightlines, and managing chestnut and hickory stands as something much closer to agriculture than to wilderness. An old field full of goldenrod and hazel is not a departure from the historical landscape. It is a crude, accidental echo of it.</t>
  </si>
  <si>
    <t xml:space="preserve">Virginia creeper turns first — well before anything else, sometimes in the third week of August, and it turns a pure hot scarlet that stands out against a wholly green woods. This is one early color change that means nothing bad: creeper is simply an early-senescing vine, and its precocity is normal, not stress. Knowing that keeps it from contaminating the early-color survey.</t>
  </si>
  <si>
    <t xml:space="preserve">Spotted lanternfly adults are on the wing from late August through October, and this is the season to know the animal. At rest it is a drab gray-tan; when it jumps or flies it flashes scarlet underwings with black spots, unlike anything else here. It feeds on over seventy plants, with grape, maple, walnut, hops, and fruit trees among its favorites, and its preferred host is invasive tree-of-heaven. It is established in the Hudson Valley and around Buffalo, Binghamton, and Ithaca, with hitchhiker detections in Albany County going back to 2018. Sightings outside the established zones are worth reporting to iMapInvasives or NY Ag &amp; Markets.</t>
  </si>
  <si>
    <t xml:space="preserve">First cold nights arrive in earnest — the hilltop can flirt with frost in early September while the valley stays comfortably clear, and the cold hollows whiten first.</t>
  </si>
  <si>
    <t xml:space="preserve">Gray dogwood foliage begins its turn toward wine-purple as its berries whiten; wood asters carry the shade edges; the goldenrod tide begins to brown at the crest.</t>
  </si>
  <si>
    <t xml:space="preserve">Crickets replace katydids as the night's tempo section, slowing audibly with each cooler evening.</t>
  </si>
  <si>
    <t xml:space="preserve">Acorns begin to fall, and the white oak group falls first. Chestnut, white and swamp white oak acorns drop from early September, are comparatively low in tannin, and germinate immediately where they land — a chestnut oak acorn on the ground in October will already have pushed a root into the leaf litter before winter. The red oak group holds later and does not germinate until spring.</t>
  </si>
  <si>
    <t xml:space="preserve">Mast years are synchronous and consequential. Oaks across a whole region produce heavily in the same year, every two to five years, then produce almost nothing — a strategy that starves seed predators in lean years and overwhelms them in heavy ones. A heavy mast year is followed by a bear-heavy autumn, a mouse-heavy winter, and, two years later, a tick-heavy summer, because white-footed mouse populations track acorns and blacklegged ticks track mice.</t>
  </si>
  <si>
    <t xml:space="preserve">Shagbark hickory nuts drop through September, husks splitting cleanly into four sections and releasing a nut that is genuinely excellent eating — sweeter than pecan, and the reason the tree was left standing in so many old pastures.</t>
  </si>
  <si>
    <t xml:space="preserve">Indiangrass flowers in bronze and gold, the plumes catching low sun and carrying bright yellow anthers that dangle and shake in wind — the showiest of the native grasses in flower, and the one that makes an old field look deliberate.</t>
  </si>
  <si>
    <t xml:space="preserve">Switchgrass goes to airy open panicles, so fine they read as a purple-bronze haze over the stand rather than as individual seed heads. It tolerates both the saturated ground at the bottom of this hill and the dry thin soil at the top, which almost nothing else does.</t>
  </si>
  <si>
    <t xml:space="preserve">Canada wild rye is finished and nodding, its bristly seed heads bent over. It is the one native grass here that establishes fast, behaving almost like a cover crop — which is why it belongs in any new seeding as the species that holds ground while the bluestems take their three years to arrive.</t>
  </si>
  <si>
    <t xml:space="preserve">Whatever hazelnuts the jays spared drop now; the full moon nearest this window rises huge and amber over the eastern valley — an east-facing aspect makes moonrise the hill's signature astronomical event, and the September full moon over the Basic Creek lowlands is the year's best.</t>
  </si>
  <si>
    <t xml:space="preserve">Broad-winged hawks begin streaming south, sometimes in kettles of dozens riding the escarpment's ridge lift; the Helderberg edge is a genuine, if minor, hawk-migration flyway.</t>
  </si>
  <si>
    <t xml:space="preserve">The last hummingbirds pass through, and the departure is worth marking: a specific date, written down each year, is one of the cleanest phenological measurements this hill offers, because the bird is unmistakable and the event is sharp.</t>
  </si>
  <si>
    <t xml:space="preserve">Leaving a feeder up through October and even November is worth doing, because western vagrants — rufous hummingbird most often, an orange bird from the Pacific Northwest that increasingly winters along the Gulf coast — turn up in the Northeast in late fall with real regularity. A hummingbird at a New York feeder in November is very likely not a ruby-throat.</t>
  </si>
  <si>
    <t xml:space="preserve">Jay caching begins in earnest, and the flight lines become obvious: birds crossing open ground repeatedly in the same direction with full throats, all day, for weeks.</t>
  </si>
  <si>
    <t xml:space="preserve">Blue jays are the oak's dispersal system. A single jay can cache thousands of acorns in an autumn, carrying several at a time in throat and bill and burying them singly at the right depth in open ground. The ones it forgets become trees. Oak migration northward after the glaciers moved faster than gravity alone can explain, and jays are the leading explanation.</t>
  </si>
  <si>
    <t xml:space="preserve">Monarchs depart in singles and small strings, all bearing southwest; ruby-throated hummingbirds vanish by mid-month, feeders suddenly, definitively still.</t>
  </si>
  <si>
    <t xml:space="preserve">Bear activity peaks with the mast drop. Southern Black Bear Range has been expanding northward into southern Albany and Schoharie Counties in recent decades, and this hill sits squarely in that advancing front — bears here are a comparatively recent and still-increasing presence, not a fixed background condition. Cornell density work in southern New York estimated roughly one bear per three square miles.</t>
  </si>
  <si>
    <t xml:space="preserve">Bucks strip their velvet in the first half of September — a process of a day or less, leaving bloody shreds hanging and the antler stained dark by sap and bark before polishing to ivory tips.</t>
  </si>
  <si>
    <t xml:space="preserve">Bear sign to learn now: claw-marked and bark-scarred beech and cherry, whole limbs broken and pulled inward on wild apple and cherry, and the distinctive tangled mass of broken branches high in a tree that trackers call a bear nest — the wreckage left where a bear sat and fed.</t>
  </si>
  <si>
    <t xml:space="preserve">That difference sets the whole autumn table. Low-tannin white-group acorns are eaten first and preferentially by deer, turkey, bear, jay and squirrel; the bitter red-group acorns keep better and become the late-winter reserve. A hill with both groups feeds animals across a longer season than a hill with either alone.</t>
  </si>
  <si>
    <t xml:space="preserve">Hen of the woods fruits at the base of old oaks, and it returns to the same tree year after year — a rosette of overlapping grey-brown fronds, sometimes weighing several pounds. The same trees are worth remembering and checking annually, since the fungus lives in the root system and fruits for decades.</t>
  </si>
  <si>
    <t xml:space="preserve">Oyster mushrooms flush after cool rain on dead and dying hardwood, especially aspen and elm. The gills run down the stem and the cap is offset rather than central. They are also, remarkably, nematode-predatory — the mycelium produces toxin-tipped structures that paralyse soil nematodes, making the species partly carnivorous.</t>
  </si>
  <si>
    <t xml:space="preserve">Honey fungus fruits in dense clusters at the base of hardwoods, and it is worth identifying as a pathogen as much as an edible: Armillaria kills stressed trees, and its white mycelial fans under the bark and black shoestring rhizomorphs in the soil are a genuine health-watch sign on any tree already in decline.</t>
  </si>
  <si>
    <t xml:space="preserve">winter rye sows from now into early October as the workhorse overwintering cover crop — it germinates in cold soil, holds ground against erosion all winter, and springs back green in March.</t>
  </si>
  <si>
    <t xml:space="preserve">Pull the honey supers and leave the bees enough. A colony at this elevation needs substantial stores to reach spring, and taking too much in September is the commonest cause of a dead hive in March.</t>
  </si>
  <si>
    <t xml:space="preserve">Treat for varroa mite now, not later. The mites that matter are the ones on the winter bees being raised this month — a colony that looks strong in September and is dead in January was usually lost to varroa now, and mite load is the single largest cause of colony death in the Northeast.</t>
  </si>
  <si>
    <t xml:space="preserve">Sow winter rye as a cover crop, which can go in later than anything else and still establish. Rye germinates in cold soil, holds the ground through winter, and puts down a root mass that does more for shallow soil than any amendment applied on top of it.</t>
  </si>
  <si>
    <t xml:space="preserve">Cure winter squash and pumpkins in the sun before storing, leaving a few inches of stem. A squash cut without its stem will not keep, and the cure is what hardens the skin for months in a cellar.</t>
  </si>
  <si>
    <t xml:space="preserve">The mast economy this fortnight once ran is nearly unimaginable now. Chestnut, beech, oak, hickory, and hazel dropping in concert fed passenger pigeons in the billions, black bears, turkeys, and the people who timed their year to it — a pulse of fat and starch arriving on schedule across an entire continent. Chestnut is gone, beech is going, and the oaks that carry the load now boom and bust with the late frosts the chestnut used to sidestep. The mast still falls. It falls thinner, and less reliably, and to a much smaller audience.</t>
  </si>
  <si>
    <t xml:space="preserve">Wild grapes ripen small, dark, and intensely sour-sweet, and the whole thicket community works them — catbirds, robins, foxes, raccoons, and black bears. Riverbank grape stays tart enough to make excellent jelly and indifferent eating.</t>
  </si>
  <si>
    <t xml:space="preserve">Virginia creeper berries ripen deep blue-black on coral-red stems, the same red-advertisement strategy the gray dogwood uses, and for the same reason: high-fat fruit sold to migrating birds. The berries are toxic to people — they contain oxalate crystals — and should be admired rather than sampled.</t>
  </si>
  <si>
    <t xml:space="preserve">Early apple varieties come in; old seedling trees are wildly variable and worth tasting individually, since roughly one wild apple in a hundred is genuinely good and the rest are cider.</t>
  </si>
  <si>
    <t xml:space="preserve">The autumnal equinox passes (September 21–23).</t>
  </si>
  <si>
    <t xml:space="preserve">First frost typically strikes the hill in this window — a week or more ahead of the valley — often as a patchwork revealing the microclimate in white: cold hollows and the Hills shadow line first, the warm east brow last; the pattern is the property's honest thermal portrait.</t>
  </si>
  <si>
    <t xml:space="preserve">Sugar maples begin turning from the top down and the outside in.</t>
  </si>
  <si>
    <t xml:space="preserve">Gray dogwood berries ripen — porcelain-white drupes on branching pedicels of shocking coral-red, one of the most striking color pairings in the native flora — and migrant birds arrive to strip them precisely on schedule.</t>
  </si>
  <si>
    <t xml:space="preserve">The timing is no accident: dogwood fruit is unusually lipid-rich, premium migration fuel advertised by those red stems; thrushes, catbirds, vireos, and warblers working the thickets now will winter in Central America.</t>
  </si>
  <si>
    <t xml:space="preserve">Blue jay migration runs now along ridgelines and lake shores, and it is one of the genuine open questions in North American ornithology. Some jays migrate and some do not; the same individual may go south one year, stay the next, and go again the year after. No one has worked out what governs it. Loose flocks of dozens moving purposefully south are migrants; the jays at the feeder may be residents, or may be replacements from farther north.</t>
  </si>
  <si>
    <t xml:space="preserve">White-throated sparrows return from the north, the Old Sam Peabody whistle suddenly back in the thickets after a five-month absence — the true sound of fall arriving on this hill.</t>
  </si>
  <si>
    <t xml:space="preserve">Turkeys shift to autumn flocking and sex-segregate: hens with this year's poults in large mixed groups, toms in separate bachelor bands. Scratched-over patches in the leaf litter — fresh soil turned in irregular arcs — are the most reliable turkey sign of the season.</t>
  </si>
  <si>
    <t xml:space="preserve">Chipmunks are in maximum larder mode and will abruptly vanish from view in October — not migrated and not dead, simply underground with the door plugged.</t>
  </si>
  <si>
    <t xml:space="preserve">Flying squirrels cache nuts in cavities and bark crevices, and their autumn activity is the best chance of the year to detect them: a soft, birdlike chuck from the dark canopy, and the faint scrabbling of something landing on bark after a glide.</t>
  </si>
  <si>
    <t xml:space="preserve">Black bears enter hyperphagia, the autumn binge, and the numbers are extreme: up to 20,000 calories a day, packing on the fat that has to carry them through denning and, for females, through birth and lactation. This is the fortnight when bears become a problem at bird feeders and compost, and it is metabolic rather than behavioural.</t>
  </si>
  <si>
    <t xml:space="preserve">Chipmunks and red squirrels are caching at maximum rate. Chipmunks scatter-hoard into the burrow; red squirrels build middens, single large piles of cone scales and stored cones that the same animal defends year after year. A midden under a spruce is a squirrel's whole winter economy in one place.</t>
  </si>
  <si>
    <t xml:space="preserve">Raccoons are fattening too, and the autumn sign is everywhere — scat on stone walls and logs, latrine sites reused for years. Worth avoiding rather than investigating: raccoon latrines carry Baylisascaris procyonis, a roundworm whose eggs are genuinely hazardous and remarkably persistent in soil.</t>
  </si>
  <si>
    <t xml:space="preserve">This is bat swarming season, and it is the most important and least visible event in their year. Hibernating species gather at cave and mine entrances at night, flying in large numbers around the openings, mating and assessing the site before going in. Swarming is when most breeding happens — and females then store the sperm through the entire winter, delaying fertilisation until spring.</t>
  </si>
  <si>
    <t xml:space="preserve">The migratory tree bats are moving south now, and this is when they are killed by wind turbines. Hoary, silver-haired and eastern red bats — the three species white-nose largely spared — account for the large majority of turbine fatalities in North America, concentrated in exactly these weeks. The disease and the turbines have divided the bat fauna between them almost exactly.</t>
  </si>
  <si>
    <t xml:space="preserve">Flying squirrels begin caching hard, and this is the season they most often move into attics — a warm cavity is a warm cavity, and a flying squirrel weighs a couple of ounces and needs a gap the width of a finger.</t>
  </si>
  <si>
    <t xml:space="preserve">Hazelnuts ripen now, and the race is against squirrels and jays rather than against frost — husks browning at the edges is the cue, and a week's hesitation is usually a week too long. American hazelnut is native here and resistant to eastern filbert blight, which European hazel is not.</t>
  </si>
  <si>
    <t xml:space="preserve">Black walnuts drop in this window, and they bring the caveat that belongs in every garden plan. Walnut roots release juglone, which is toxic to tomatoes, potatoes, apples, peppers and many other plants — the effect reaches well past the drip line, and a garden bed placed downhill of a mature black walnut will underperform for reasons that look like anything but the tree.</t>
  </si>
  <si>
    <t xml:space="preserve">Chestnuts drop in burrs that have to be gathered daily once they begin. Chinese and hybrid chestnuts are what can actually be planted — the American chestnut is still functionally absent, and the transgenic Darling 58 line that was expected to change that was discontinued by The American Chestnut Foundation in December 2023, after field trials showed variable blight tolerance, slower growth and higher mortality, compounded by a propagation-material identity error. Backcross breeding and newer transgenic lines continue; the restoration tree is not yet in hand.</t>
  </si>
  <si>
    <t xml:space="preserve">apples, and everything made from them. The old orchard trees come in now, and almost none of it was eaten fresh. Cider was the default drink of the rural Northeast, safer than water and made by everyone; cider vinegar followed as the year's preserving acid. Schnitz — apples quartered, cored and dried on racks or strung on strings above the stove — is the Palatine German answer to a glut, and schnitz went into pies, into soups, and into winter with pork.</t>
  </si>
  <si>
    <t xml:space="preserve">Apple butter is a day-long communal operation, a copper kettle over a fire and constant stirring from morning to night, the whole point being to reduce a bushel of fruit to something that keeps without sugar. It is a social event as much as a preserving one, and it belongs to this fortnight.</t>
  </si>
  <si>
    <t xml:space="preserve">Nuts come down in the same weeks. Hickory, butternut and walnut were gathered heavily by Indigenous peoples here — hickory milk, made by pounding nuts shell and all, boiling, and skimming the rich emulsion, was a significant food rather than a curiosity. Butternut also yielded a dye that gave "butternut" its second meaning as a colour.</t>
  </si>
  <si>
    <t xml:space="preserve">White ash turns first and turns a color nothing else makes — a smoky purple-bronze that shows up in the third week of September. It is also the tree currently being deleted. The emerald ash borer reached New York in 2009 and has since worked through Albany County and beyond, and ash mortality approaches total wherever it establishes. That purple is worth stopping for, because within a generation it will be a color this landscape no longer produces in autumn.</t>
  </si>
  <si>
    <t xml:space="preserve">Ash decline is legible now on three signs at once. Crown thinning starts at the top and works down. Blonding appears on the trunk — pale patches where woodpeckers have flaked away the outer bark hunting larvae, visible from a distance and often the very first symptom anyone notices. And epicormic sprouts, tufts of desperate new growth erupting straight from the trunk and larger limbs, mean the tree is trying to rebuild a canopy it can no longer support. Under the bark, the borer's galleries are flat S-shaped tunnels packed with frass, and the adult exit holes are a distinctive D-shape about an eighth of an inch across.</t>
  </si>
  <si>
    <t xml:space="preserve">tender crops finish at first frost — squash and pumpkins harvest before any hard freeze, cured warm for storage; green tomatoes ripen indoors; winter rye sowing continues on cleared beds.</t>
  </si>
  <si>
    <t xml:space="preserve">The east-facing slope catches sunrise light through the peak canopy; the first hour after dawn is the hill's absolute annual best.</t>
  </si>
  <si>
    <t xml:space="preserve">The Orionid meteors (dust of Halley's Comet) peak around October 21–22, radiating from Orion as he returns to the late-evening sky — winter's advance scout.</t>
  </si>
  <si>
    <t xml:space="preserve">Hard frost becomes routine.</t>
  </si>
  <si>
    <t xml:space="preserve">Peak foliage — reliably about a week ahead of the Hudson Valley, typically landing in the first ten days of October: old-field maples burn orange-scarlet, chokecherries go yellow-bronze, and black locust skips autumn entirely, dropping its leaflets yellow-green, done.</t>
  </si>
  <si>
    <t xml:space="preserve">Shagbark hickory is the gold in the October woods. Where maple supplies scarlet and orange, hickory turns a clear deep yellow that holds for a week or more, and on a grey day it reads as the brightest thing on the hillside.</t>
  </si>
  <si>
    <t xml:space="preserve">The oaks come last and hold longest, running to russet, bronze, deep wine and leathery brown after the maples have dropped. Chestnut oak turns a dull yellow-brown; red oak and black oak go to a dark red-brown. An oak-dominated slope stays coloured a full two to three weeks after a maple slope has gone bare — which is the practical argument for planting oaks as maple succession.</t>
  </si>
  <si>
    <t xml:space="preserve">Hop hornbeam turns a soft clear yellow in the understory, easy to miss beneath the canopy show above it.</t>
  </si>
  <si>
    <t xml:space="preserve">The maples are the reason this fortnight has a reputation, and the two sort clearly by colour. Sugar maple runs orange through scarlet, often several colours on one tree; red maple goes to a purer, deeper red and turns earlier. Striped maple in the understorey turns a clear pale yellow — its green-and-white striped bark makes it unmistakable year-round, and it is a preferred deer browse.</t>
  </si>
  <si>
    <t xml:space="preserve">Quaking aspen turns pure gold, and whole clones turn together while the clone beside them is still green — the most visible demonstration anywhere that an aspen grove is a single organism.</t>
  </si>
  <si>
    <t xml:space="preserve">Hemlock does nothing, and that is the point: in a hillside of colour, the dark green ravines map exactly where the cold air and permanent shade sit.</t>
  </si>
  <si>
    <t xml:space="preserve">Witch hazel flowers as its leaves fall — the last native shrub to bloom, opening its yellow straps in October just as everything else is shutting down.</t>
  </si>
  <si>
    <t xml:space="preserve">Sparrow migration peaks — song, swamp, white-throated, white-crowned, with dark-eyed juncos arriving to stay — and the thickets seethe with them; ruby-crowned and golden-crowned kinglets pass through.</t>
  </si>
  <si>
    <t xml:space="preserve">Peak jay caching, and peak jay noise. The screaming jay-jay is only part of the repertoire: blue jays are accomplished mimics of red-shouldered and red-tailed hawks, and a convincing hawk scream from a feeder area often clears it of every other bird for a few useful seconds. Whether this is deliberate deception or an alarm honestly given remains debated; the effect is the same.</t>
  </si>
  <si>
    <t xml:space="preserve">Northern saw-whet owl migration peaks in October, moving at night, and the banding network that revealed it — nets and audiolures run across the Northeast — turned a bird once considered rare into one now known to be common and simply invisible. They pass over this hill in numbers on cold clear October nights.</t>
  </si>
  <si>
    <t xml:space="preserve">Chickadees are caching hard now, storing thousands of seeds one item per site, and their brains change to handle it: the hippocampus enlarges seasonally, with new neurons added in autumn, then shrinks again — an animal growing extra memory hardware for the season in which it needs it, and one of the founding examples of adult neurogenesis in vertebrates.</t>
  </si>
  <si>
    <t xml:space="preserve">Peak gray squirrel caching, and peak road mortality — dispersal, mast-chasing, and pre-winter frenzy combine. In heavy mast failure years, gray squirrels historically undertook mass emigrations, and nineteenth-century accounts from New York describe squirrels crossing rivers and roads in numbers that stopped traffic.</t>
  </si>
  <si>
    <t xml:space="preserve">Deer enter the pre-rut: bucks make rubs (shredding sapling bark with the antler base, depositing forehead-gland scent) and scrapes (pawed bare earth beneath an overhanging licking branch, which is the actual communication device — the ground is almost incidental).</t>
  </si>
  <si>
    <t xml:space="preserve">Buck sign appears: rubs on saplings and tree tubes, and the first scrapes scraped bare beneath licking branches.</t>
  </si>
  <si>
    <t xml:space="preserve">The last woolly bear caterpillars cross lanes toward hibernation (their bands predict nothing, but counting them is tradition).</t>
  </si>
  <si>
    <t xml:space="preserve">Plant daffodils, crocus and the other spring bulbs now, when soil has cooled to around 55°F — roughly four to six weeks before hard freeze. Daffodils suit this ground particularly well: Mediterranean in origin, growing through the wet season and dormant through summer drought, which is exactly the regime here. They are also the one bulb deer and voles will not touch, being toxic to both. Crocus is the opposite on every count and needs protection.</t>
  </si>
  <si>
    <t xml:space="preserve">Lift dahlia tubers after the first frost blackens the tops. Cut back, lift, dry for a few days, and store in barely-damp material somewhere cool and frost-free.</t>
  </si>
  <si>
    <t xml:space="preserve">Cut asparagus ferns down only after they yellow completely — the fern is feeding next year's crowns, and cutting it green costs next year's spears.</t>
  </si>
  <si>
    <t xml:space="preserve">Harvest beets, turnips and the last carrots, which sweeten with frost. Cabbage is cut now for kraut — the frosts improve it, and the crocks started this month ferment slowly in a cold cellar all winter.</t>
  </si>
  <si>
    <t xml:space="preserve">The foliage is genuinely diminished, and not subtly. A pre-1900 October on this escarpment included the chestnut's clear gold and the elm's yellow arching over every lane, on trees several times the size of anything standing now, in a forest whose canopy dominants have been swapped out twice over. What remains is spectacular. It is also a partial cast performing a play written for a much larger company.</t>
  </si>
  <si>
    <t xml:space="preserve">Main apple harvest — later here than in the valley, and the late-hanging seedling apples improve markedly after the first frosts, which convert starch to sugar and take the hard edge off.</t>
  </si>
  <si>
    <t xml:space="preserve">Fallen fruit and leaves are inoculum. Apple scab and black rot both overwinter in litter beneath the tree, so raking out and removing dropped leaves and mummified fruit from any apple worth keeping breaks the cycle more effectively than anything applied from a sprayer.</t>
  </si>
  <si>
    <t xml:space="preserve">garlic planting month — cloves go in mid-to-late October, 2–4 weeks before the ground freezes, rooting in the cold and mulched heavily before winter; the hill's early freeze argues for the early side of the window.</t>
  </si>
  <si>
    <t xml:space="preserve">early autumn colour is a stress signal, not a seasonal one. A maple that turns in the last days of August or the first of September, ahead of its neighbours, is reporting root stress, drought damage or vascular disease — not an early autumn. This is the single most valuable free diagnostic available on this hill, and it costs nothing but a note and a date.</t>
  </si>
  <si>
    <t xml:space="preserve">The record only works as a series. One year of early colour means little; the same individuals colouring early three years running identifies precisely which trees are in decline and in what order.</t>
  </si>
  <si>
    <t xml:space="preserve">Conifer drought mortality shows up on a delay. A spruce or pine that browns entirely in one season commonly died from the previous year's drought — it ran its reserves out over winter and could not refill. The cause is twelve months behind the symptom, which is why conifer losses follow dry autumns rather than dry summers.</t>
  </si>
  <si>
    <t xml:space="preserve">The hill's rarest and most fragile spectacle becomes possible: on the first hard freezes — clear, calm nights in the low-to-mid 20s while soil is still unfrozen and wet — sap drawn up certain dead herbaceous stems extrudes through split stems as ribbons of ice, curling into white rosettes: frost flowers. They form in darkness and die at first sun; the search window is dawn along the field edges, and finding even one is a good year.</t>
  </si>
  <si>
    <t xml:space="preserve">Sensitive fern earns its name in a single night. It is among the first plants on the hill to react to a hard freeze, going black and collapsing within hours while ferns around it are still green. It is a usable first-frost marker — more precise than a thermometer reading taken at the house, because it records what happened at ground level in the low wet ground where frost settles first.</t>
  </si>
  <si>
    <t xml:space="preserve">Last hard invasive-cutting window of the year: honeysuckle holds green leaves weeks after the natives drop — highlighted again, now in reverse.</t>
  </si>
  <si>
    <t xml:space="preserve">Northern bayberry holds its leaves while everything else drops them. Semi-evergreen, aromatic when crushed, it keeps a dull olive foliage into winter and is one of the few shrubs that reads as green on the hill in November.</t>
  </si>
  <si>
    <t xml:space="preserve">The berries are grey-blue and coated in true wax. Boiled, they release it — roughly a pound of berries to an ounce of wax — and bayberry candles were a real colonial industry, valued because they burn cleanly and smell of the plant rather than of tallow. Gathering is a late-autumn job, after frost and before the birds finish them.</t>
  </si>
  <si>
    <t xml:space="preserve">Bayberry fixes its own nitrogen, but not in the way legumes do: it partners with Frankia, a filamentous bacterium, in an actinorhizal symbiosis. It is therefore a soil-builder on ground too poor for clover, which is precisely why it belongs on a thin windswept edge.</t>
  </si>
  <si>
    <t xml:space="preserve">Like red cedar it is dioecious — berries only on female plants, and only if a male is within reach.</t>
  </si>
  <si>
    <t xml:space="preserve">Spicebush fruit is scarlet and extremely high in fat, ripening exactly as thrushes and catbirds move south. Fat-rich autumn fruit is migration fuel, and spicebush is among the best sources of it here. Only the female plants carry it — the species is dioecious, so a fruitless spicebush is not failing, it is male.</t>
  </si>
  <si>
    <t xml:space="preserve">Great horned owls resume vocal territorial dueling now, three months ahead of nesting — October and November evenings are the best hooting of the year.</t>
  </si>
  <si>
    <t xml:space="preserve">Turkeys concentrate on mast, and the flocks grow. In a poor acorn year they range widely and turn up in unexpected places; in a heavy mast year they can stay within a few hundred acres all winter.</t>
  </si>
  <si>
    <t xml:space="preserve">Leaf-fall completes; the woods reopen and the land's true architecture shows again — stone rows, the slope's grain, the deer highways.</t>
  </si>
  <si>
    <t xml:space="preserve">Bears den progressively from late October through December, pregnant females first and large males last — and in a heavy mast year some southern-zone bears delay denning well into winter or barely den at all.</t>
  </si>
  <si>
    <t xml:space="preserve">Porcupines return to winter dens in rock crevices and hollow trees, often the same den across generations, and the scat pile at the entrance is the marker.</t>
  </si>
  <si>
    <t xml:space="preserve">The rut builds toward its November peak; bucks move at all hours.</t>
  </si>
  <si>
    <t xml:space="preserve">The rut begins, and the woods change. Bucks scrape lines of bare earth under overhanging branches and rub their antlers on saplings, leaving polished wood and shredded bark at about waist height. A rub line read in sequence maps a buck's travel route, and the same routes get used across years.</t>
  </si>
  <si>
    <t xml:space="preserve">Deer are also the animal that most shapes what grows here. At the densities the Northeast now carries, browsing determines which seedlings survive — and the browse-resistant species (beech, striped maple, hay-scented fern, invasive shrubs) win by default. Any seedling planted on open ground needs protection, or it is feeding deer rather than replacing canopy.</t>
  </si>
  <si>
    <t xml:space="preserve">Coyotes are the apex predator on this hill, and they are not quite coyotes. The Northeastern animal carries measurable wolf and dog ancestry, arriving in New York in the mid-twentieth century after wolves were gone. It is larger than a western coyote, hunts deer in winter in a way western coyotes generally do not, and occupies a niche that had been empty for fifty years.</t>
  </si>
  <si>
    <t xml:space="preserve">The same damp-cold conditions on rotting hardwood — dead locust and maple limbs, fungal-ridden — can produce hair ice: silken white filaments curled like combed wool, grown overnight by the fungus Exidiopsis effusa.</t>
  </si>
  <si>
    <t xml:space="preserve">Foxfire becomes findable: on damp, mild, moonless nights, honey-mushroom mycelium in rotting wood glows faint green — full dark-adaptation (twenty minutes, no phone) required.</t>
  </si>
  <si>
    <t xml:space="preserve">garlic planting concludes; a final rye sowing can still catch on mild years; poppy seed can alternatively be broadcast now for natural winter stratification.</t>
  </si>
  <si>
    <t xml:space="preserve">Plant garlic and shallots now, four to six weeks before the ground freezes hard — enough time to root, not enough to send up top growth. Mulch heavily after planting, which on this thin soil matters more than the planting depth does.</t>
  </si>
  <si>
    <t xml:space="preserve">Dig sunchokes after the first hard frost, which converts inulin and sweetens them, and leave them in the ground rather than storing — they keep far better in soil than in a cellar, and can be dug through winter whenever the ground is workable.</t>
  </si>
  <si>
    <t xml:space="preserve">Dig groundnut tubers in the same window, taking the larger ones from the string and replanting the small ones in place.</t>
  </si>
  <si>
    <t xml:space="preserve">Sow poppy seed now for next year, broadcast on bare ground and left to the winter. Turnips and carrots sweeten in the ground after frost and can be left, heavily mulched, for digging into the cold months.</t>
  </si>
  <si>
    <t xml:space="preserve">Wrap young fruit tree trunks against voles before snow. Quarter-inch hardware cloth, pushed two to three inches into the soil and standing taller than expected snow depth — girdling happens under the snow in late winter and is not discovered until melt.</t>
  </si>
  <si>
    <t xml:space="preserve">kraut, and the cabbage that carried the Germans through winter. Cabbage is cut after the first frosts, which sweeten it, then shredded, salted and packed in crocks to ferment. Sauerkraut is the central Palatine German winter vegetable, and it survives because lactic fermentation needs no fuel, no sugar and no sealing — only salt, and a cool place. A crock started now works slowly all winter in a cold cellar.</t>
  </si>
  <si>
    <t xml:space="preserve">Potatoes are dug in this window too, and the Irish shadow falls across them. The Famine of 1845–52 pushed enormous numbers of Irish into New York, and the ones who reached the Hilltowns arrived as farm labour and quarry hands. Potatoes had been a New World crop taken to Ireland and brought back again, and on a thin acid upland like this they grow better than wheat ever did.</t>
  </si>
  <si>
    <t xml:space="preserve">Samhain falls at the end of this microseason — the Gaelic quarter-day marking summer's end and the boundary of the dark half of the year, and the origin of Hallowe'en. It is a harvest deadline as much as a festival: everything still in the field was considered finished after it, and what remained belonged to the spirits or the birds.</t>
  </si>
  <si>
    <t xml:space="preserve">Timber rattlesnakes return to their ancestral dens in October, and the limestone ledges and talus of the Helderberg escarpment are classic denning country — dens used continuously for centuries, sometimes millennia, by snakes that return to the exact crevice where they were born. New York paid bounties on them into the 1970s, and organized den-raiding wiped out most colonies. The species is now threatened in the state and gone from most of its former range here. The dens are still in the rock. Many of them are simply empty.</t>
  </si>
  <si>
    <t xml:space="preserve">Spotted lanternfly egg masses go on from now through winter and are findable until May — inch-long grayish smears that look like dried mud or a swipe of putty, laid on trunks, rocks, fence posts, equipment, and vehicles indiscriminately. Anything that has traveled from downstate is worth a look before it is parked for the winter.</t>
  </si>
  <si>
    <t xml:space="preserve">The Leonid meteors peak November 16–18 — modest most years, but the shower with a history of legendary storms.</t>
  </si>
  <si>
    <t xml:space="preserve">Orion clears the eastern horizon by mid-evening; the winter sky assembles in order — Aldebaran, then Orion, then Sirius — like stagehands setting the next act.</t>
  </si>
  <si>
    <t xml:space="preserve">Peak conditions for hair ice as the freeze-thaw pendulum swings daily.</t>
  </si>
  <si>
    <t xml:space="preserve">Tamaracks in the valley wetlands — the region's one deciduous conifer — turn smoky gold, the season's final blaze, visible from eastern viewpoints.</t>
  </si>
  <si>
    <t xml:space="preserve">Stick season's austere palette settles in: oxblood dogwood stems, bleached goldenrod, gray locust bark, and the year's longest sightlines.</t>
  </si>
  <si>
    <t xml:space="preserve">The oaks begin marcescence now, young trees keeping their dead russet leaves while older ones let go. The held leaves rattle all winter and will not fall until the buds push them off in April.</t>
  </si>
  <si>
    <t xml:space="preserve">The grasses take on their winter colour now and hold it until spring. Little bluestem russets to copper, big bluestem and Indiangrass to warm tan, switchgrass to pale straw. This is the field's most saturated colour of the entire year, and it arrives after the trees have finished.</t>
  </si>
  <si>
    <t xml:space="preserve">Standing seed heads are the winter bird economy. Juncos, tree sparrows, goldfinches and song sparrows work this ground all winter, and every stem left uncut in autumn is food in February. Cutting the field now removes that supply at the moment it becomes irreplaceable.</t>
  </si>
  <si>
    <t xml:space="preserve">The white pines drop their interior needles now, and every autumn someone mistakes it for disease. Conifers shed too — they simply do it selectively, keeping the outer current-year needles and dropping the older inner ones, which yellow and fall in a rush. White pine holds needles in bundles of five; red pine two; pitch pine three — the count is the fastest conifer identification here.</t>
  </si>
  <si>
    <t xml:space="preserve">Hemlock carpets the ravine floor in tiny needles, and the litter is acidic enough to shape what can grow beneath it.</t>
  </si>
  <si>
    <t xml:space="preserve">Dark-eyed juncos are fully settled, flashing white outer tail feathers along every edge, and the winter feeder guild assembles.</t>
  </si>
  <si>
    <t xml:space="preserve">The last robin and blackbird flocks pass through, stripping what fruit remains.</t>
  </si>
  <si>
    <t xml:space="preserve">Crow roosts reassemble to full winter size, and the pre-roost staging behavior is worth watching at dusk: birds gather in intermediate assembly trees, mill and call for twenty or thirty minutes, then move to the roost proper in a single mass departure.</t>
  </si>
  <si>
    <t xml:space="preserve">Red-winged blackbirds have gone entirely, joining enormous mixed winter roosts with grackles, cowbirds, and starlings far to the south — aggregations that can number in the millions and represent one of the largest concentrations of birds anywhere on the continent.</t>
  </si>
  <si>
    <t xml:space="preserve">Blue jays are still caching acorns into November, and the sound of the hill in this microseason is largely jays arguing over the last of the mast.</t>
  </si>
  <si>
    <t xml:space="preserve">Peak white-tailed deer rut — the hill's largest common mammals at their most heedless, chasing through dogwood thickets at midday; rutting bucks spar with unstaked tree tubes, making this the season for a pre-winter staking check.</t>
  </si>
  <si>
    <t xml:space="preserve">The rut is run on chemistry as much as antlers. Bucks rub-urinate over the tarsal glands on the inside of the hocks, where bacteria convert the compounds into the dark, pungent staining visible on any rutting buck, broadcasting individual identity and status. Interdigital, preorbital, and forehead glands add layers to the same signal system.</t>
  </si>
  <si>
    <t xml:space="preserve">Peak breeding here falls in a tight window in mid-November, timed so that fawns drop in late May and early June — which means the rut date is really a fawn-drop date working backward through a 200-day gestation, set by the northern climate rather than the deer.</t>
  </si>
  <si>
    <t xml:space="preserve">Deer are in full winter coat now: hollow guard hairs that trap air so effectively that snow accumulates on a bedded deer's back without melting. A deer wearing unmelted snow is a well-insulated deer, not a cold one.</t>
  </si>
  <si>
    <t xml:space="preserve">Tamarack is the last colour of the year, and it is the only conifer that does this. A deciduous larch, it turns pure gold in late October and holds into November after every hardwood has finished, then drops its needles entirely and stands bare and grey all winter — a conifer that looks dead for five months every year and is not. In wet ground it is one of the few trees that thrives on saturated acid soil.</t>
  </si>
  <si>
    <t xml:space="preserve">The hibernating bats have gone underground by now, and the winter's outcome is already largely determined by the fat laid down in September and October.</t>
  </si>
  <si>
    <t xml:space="preserve">Big brown bats are the last still flying, hunting on mild evenings into November long after the Myotis species have settled.</t>
  </si>
  <si>
    <t xml:space="preserve">This is the right window to clean and repair bat houses — empty now, and any work done before spring is work not done during the maternity season. A bat house wants full sun, ten to twelve feet up, and no obstruction below the entrance, and poorly sited boxes stay empty for years.</t>
  </si>
  <si>
    <t xml:space="preserve">Gray squirrels are at peak caching, and the leaf nests — dreys — are visible now in bare branches. A drey is a summer and autumn structure; in hard winter grays prefer a tree cavity, which is one more reason standing dead wood matters.</t>
  </si>
  <si>
    <t xml:space="preserve">Bunchgrass clumps are also winter shelter — insects overwinter at the crowns and in the hollow stems, and the clumps hold snow in a way that leaves usable space at ground level beneath.</t>
  </si>
  <si>
    <t xml:space="preserve">This is the honest moment to check the hemlocks for woolly adelgid. Look on the underside of the twigs at the needle bases for small white woolly masses, like specks of cotton. The insect is spreading north with warmer winters, and a hemlock ravine is one of the things most at risk on any Northeastern property.</t>
  </si>
  <si>
    <t xml:space="preserve">Beavers are cutting and caching now, and every one of them descends from a near-miss. The North American fur trade ran on this animal, and the Dutch and English traded for beaver pelts out of Albany for two centuries; by 1900 New York State held perhaps a few dozen wild beavers total. They were restocked, they took, and they are now everywhere — one of conservation's genuine, unqualified successes. The wetlands they build along Basic Creek are not a restoration of something old. They are the old thing itself, switched back on.</t>
  </si>
  <si>
    <t xml:space="preserve">Fruit tree winter prep, and the deadline is the first lasting snow. Voles girdle young apple and peach trunks under the snowpack, chewing a complete ring of bark at or just below the snow line where nothing can see them, and a girdled tree is dead in spring with no warning at all — quarter-inch hardware cloth cylinders, sunk an inch into the soil and standing well above expected snow depth, are the only reliable answer. Light-colored trunk wrap or white latex on the southwest side of young trunks prevents sunscald, the winter injury caused when low February sun warms bark on a cold day and the tissue is killed by the refreeze after sundown.</t>
  </si>
  <si>
    <t xml:space="preserve">By month's end the hill is down to about nine hours of daylight, and the Hills's lengthening afternoon shadow arrives noticeably earlier each week — the local mountain taxing the sun at its steepest seasonal rate.</t>
  </si>
  <si>
    <t xml:space="preserve">First sticking snows typically arrive on the hilltop in this window, whitening the heights while the valley stays brown — the microclimate's winter debut.</t>
  </si>
  <si>
    <t xml:space="preserve">Flocks of snow buntings may swirl over open fields — arctic visitors that treat a Helderberg hilltop as a reasonable substitute for tundra.</t>
  </si>
  <si>
    <t xml:space="preserve">The evergreens become the only structure left. With the oaks finally bare and the tamarack needles down, red cedar, white spruce and pitch pine are the entire vertical green of the hill, and their value as shelter is suddenly obvious — for birds roosting out of wind, for deer bedding, and for anyone standing on the north side of them.</t>
  </si>
  <si>
    <t xml:space="preserve">Turkeys are at their most visible against snow, and their winter strategy is conservative: they roost in trees at night, feed in short bouts, and in deep powder may sit in the roost for several days at a stretch rather than burn energy floundering. Crusted snow is far worse for them than deep soft snow, because they cannot scratch through it to reach mast.</t>
  </si>
  <si>
    <t xml:space="preserve">The yellow-rumped warbler is the reason bayberry matters here: it is the only warbler that can digest the wax coating on bayberry and wax myrtle fruit, having gut enzymes and bile salts the others lack. That single ability lets it winter hundreds of miles further north than any other warbler in North America. A warbler on this hill in late November is almost certainly this one, and it is eating something no other warbler can.</t>
  </si>
  <si>
    <t xml:space="preserve">The most subdued fortnight, and quietly among the most useful: the land is fully legible — every contour, drainage, deer trail, and stone row exposed — making this the natural season for an annual walking audit: mapping honeysuckle and multiflora for the next campaign, noting which hazels have outgrown their tubes, reading the summer's erosion in bare soil.</t>
  </si>
  <si>
    <t xml:space="preserve">Regular firearms deer season opens in the Southern Zone around November 21 — blaze orange for every walk; expect deer to shift nocturnal and secretive within days of opening morning, as they know the calendar as well as anyone.</t>
  </si>
  <si>
    <t xml:space="preserve">Ravens follow the deer season, scavenging gut piles alongside crows and coyotes — one of the more reliable ways to hear ravens on this hill in a given year, and a good demonstration of how quickly they locate carrion.</t>
  </si>
  <si>
    <t xml:space="preserve">A full mammal roster for a property of this size and structure, worth working through deliberately: white-tailed deer, black bear, coyote, red fox, gray fox (more arboreal and far less often seen — the only American canid that routinely climbs trees), bobcat, fisher, ermine, long-tailed weasel, mink, river otter and beaver and muskrat along Basic Creek, raccoon, striped skunk, Virginia opossum, woodchuck, porcupine, eastern cottontail, snowshoe hare at higher elevations, gray squirrel, red squirrel, southern flying squirrel, eastern chipmunk, meadow vole, southern red-backed vole, white-footed and deer mice, meadow jumping mouse, star-nosed and hairy-tailed moles, and several shrews. Absent and once present: wolf, cougar, elk, lynx, marten, wolverine.</t>
  </si>
  <si>
    <t xml:space="preserve">Gray fox is the most consistently overlooked: smaller-footed than a red fox, grizzled with a black-tipped tail (a red fox's tail tip is white), and largely nocturnal. Its numbers have fallen in recent decades where coyotes are dense, since coyotes kill foxes on sight.</t>
  </si>
  <si>
    <t xml:space="preserve">The last hardy fungi — late oysters on dead locust — persist through the freezes.</t>
  </si>
  <si>
    <t xml:space="preserve">Winterise the hives. Entrance reducers and mouse guards on, ventilation at the top so condensation does not rain back down on the cluster — wet bees die where dry cold ones survive. Wind protection matters more than insulation at this elevation.</t>
  </si>
  <si>
    <t xml:space="preserve">Mulch the strawberry bed after the ground freezes, not before — the purpose is to keep it frozen rather than to prevent freezing, since the damage comes from freeze-thaw heaving rather than from cold.</t>
  </si>
  <si>
    <t xml:space="preserve">Mulch rhubarb, asparagus and the garlic bed heavily now, and leave the raspberry canes standing until spring pruning.</t>
  </si>
  <si>
    <t xml:space="preserve">hog killing, and why it happens exactly now. This is the most weather-dependent food event of the rural year. Butchering waits for cold reliable enough to chill a carcass overnight but before the ground freezes hard, which on this hill means the back half of November into early December. Every culture that farmed here did it in the same window, because the thermometer decided, not the calendar.</t>
  </si>
  <si>
    <t xml:space="preserve">Nothing was discarded. Hams and shoulders to the smokehouse or the salt barrel; sides to bacon; sausage made the same day because it cannot wait; lard rendered and stored in crocks; the scraps and offal cooked with cornmeal or buckwheat into scrapple, which is the Palatine German panhas under an English name; the head to headcheese; the feet pickled. Scrapple exists because a hog killed in November has to be eaten before it spoils and there is no refrigeration.</t>
  </si>
  <si>
    <t xml:space="preserve">It was communal and reciprocal. Neighbours came, worked, and were paid in meat — and the obligation ran the other way when their turn came. A hill farm's winter protein depended on the timing of a cold snap and on who owed whom.</t>
  </si>
  <si>
    <t xml:space="preserve">This is the fortnight for reading stone. A stone wall running through mature woods is a boundary from when those woods were a field, and its stones were dragged from that field by hand and by ox after frost pushed them up each spring. The wall is a fossil of labor. The stones themselves are fossils of something far older: Helderberg limestone is crowded with brachiopod shells, crinoid stem segments like tiny stacked poker chips, and horn corals — the accumulated skeletons of a shallow tropical sea from four hundred million years ago, hauled uphill by a farmer who wanted a straight line. Low winter sun raking across a wall face is the best light of the year for finding them. Look also for barbed wire swallowed into tree trunks — the tree grew around the fence, and the fence dates the abandonment.</t>
  </si>
  <si>
    <t xml:space="preserve">the predators that are not here. Four large mammals ranged over this ground and are gone. The last New York elk was shot in 1834. Wolverine were last reported in 1840. The last native Adirondack wolf was killed near Brandreth Lake in November 1893. Cougar and lynx disappeared around the turn of the twentieth century. All four were removed by bounty, trapping and habitat clearance within roughly seventy years — the same seventy years that cleared this hillside for pasture.</t>
  </si>
  <si>
    <t xml:space="preserve">They are not entirely theoretical. A cougar killed in Connecticut in 2011 had walked 2,000 miles from South Dakota, passing through this state on the way. A wolf was shot by a hunter in Cherry Valley in December 2021, about 25 miles south of the Adirondack Park — taken for a large coyote. Eighty lynx released in the Adirondacks from 1989 dispersed up to 400 miles and failed to establish.</t>
  </si>
  <si>
    <t xml:space="preserve">The absence is structural, not incidental. The coyote expanded into a vacancy that wolves left; deer reached densities no predator now checks; porcupine and beaver numbers swung with the return of fishers and the end of trapping. The mammal community on this hill is not a remnant of a wild baseline — it is a reassembly, still in progress, around the shapes of what was removed.</t>
  </si>
  <si>
    <t xml:space="preserve">The annual crown audit belongs here, when every canopy is bare and legible at once. Grapevine release also belongs here — cutting a heavy vine at the base with a second cut a foot higher (removing a section so the ends cannot rejoin) frees a loaded crown before winter ice arrives, and the severed top simply dies in place rather than needing to be pulled down. Look, too, for conks: shelf fungi emerging from a trunk or root flare are fruiting bodies of internal decay, which means the rot is years advanced and structurally significant by the time anything shows on the outside.</t>
  </si>
  <si>
    <t xml:space="preserve">The Geminid meteors peak December 13–14 — the year's most reliable shower, rich and slow, and unusually sourced from an asteroid (3200 Phaethon) rather than a comet; cold and moonlight permitting, it outperforms the Perseids.</t>
  </si>
  <si>
    <t xml:space="preserve">Early snowpack season opens the window for the strangest rare phenomenon: snow rollers — natural snowballs the wind rolls across open ground, hollow-cored like jelly rolls, requiring a near-impossible recipe (a slick base layer, an inch of wet loose snow, temperatures near freezing, and wind strong enough to roll but not destroy). An open, breezy hilltop field is exactly the habitat; most people never see one, so every marginal-temperature snowfall with wind deserves a look.</t>
  </si>
  <si>
    <t xml:space="preserve">Track reading rewards learning the gaits rather than just the prints, since gait survives poor snow conditions that erase toe detail. Canines and felines walk in a nearly straight direct-register line, hind foot landing in the fore print — and the fox's line is straighter and neater than the coyote's. Weasels and fishers bound in paired 2–2 tracks. Rabbits and squirrels land in a 4-print cluster with the large hind feet ahead of the front, so the tracks appear to point backward. Bobcat shows no claw marks and a distinctly asymmetrical, leading-toe pad; a dog or coyote shows claws.</t>
  </si>
  <si>
    <t xml:space="preserve">Snow is the hill's daily newspaper; morning is the edition worth reading.</t>
  </si>
  <si>
    <t xml:space="preserve">Golden-crowned kinglets — improbable quarter-ounce survivors — work the conifers through weather that should kill them; how they manage (shivering, huddling, constant feeding) is a season's meditation in itself.</t>
  </si>
  <si>
    <t xml:space="preserve">A windbreak is doing its work now, and the snow shows exactly how well. Wind carrying snow slows as it meets a belt of trees and drops its load on the lee side; the drift that builds there is a direct readout of where the shelter falls. Protection extends roughly ten times the height of the trees downwind, strongest between two and five times — so a thirty-foot belt quiets about three hundred feet behind it.</t>
  </si>
  <si>
    <t xml:space="preserve">A porous windbreak outperforms a solid one: air forced entirely over a dense wall tumbles down behind it in turbulent eddies, while a belt of roughly half-open structure lets enough through to keep the flow smooth and the calm deeper. Mixed, layered, slightly ragged plantings work better than tight hedges.</t>
  </si>
  <si>
    <t xml:space="preserve">Red cedar earns its place in this month. It holds branches to the ground for decades where spruce eventually shades its own lower limbs off, and dense low foliage is the entire point of a winter windbreak — wind cuts underneath a belt that has lifted its skirts.</t>
  </si>
  <si>
    <t xml:space="preserve">Winterberry is the reason this month has colour. A deciduous holly, it drops every leaf and stands as bare grey stems hung with dense scarlet fruit, the most vivid thing on the hill from November into February. Like spicebush and red cedar it is dioecious — berries only on females, and only with a male in range.</t>
  </si>
  <si>
    <t xml:space="preserve">The chickadee's role in the winter flock guild is informational: nuthatches, titmice, kinglets, creepers, and downy woodpeckers all eavesdrop on chickadee alarm calls, and several respond appropriately to the dee-note threat grading despite not producing it themselves. The chickadee is the flock's alarm system, and the other species are subscribers.</t>
  </si>
  <si>
    <t xml:space="preserve">The birds leave it until late, and that is deliberate on both sides. The fruit is low in fat and high in tannin, unpalatable while better food exists, and it needs repeated freeze-and-thaw cycles to soften and sweeten. It is a late-winter reserve — robins, bluebirds and waxwings strip it in February and March, when almost nothing else is left, and the plant gets its seeds dispersed at the season when there is least competition for the service.</t>
  </si>
  <si>
    <t xml:space="preserve">Tracking season opens in earnest with each fresh snow: fisher looping through the woodlot, red fox trotting the field edge in a dead-straight registered line, the sudden wing-swept crater where an owl connected.</t>
  </si>
  <si>
    <t xml:space="preserve">The cleanest fox-versus-coyote discriminator in soft snow is not size but the fox's hair-covered foot pads, which blur the print into an indistinct oval where a coyote's registers crisply.</t>
  </si>
  <si>
    <t xml:space="preserve">Irruption years bring northern owls south when the boreal vole and lemming cycle crashes — snowy owls on open hilltops and airfields, more rarely northern shrikes hunting from exposed perches. An open Helderberg hilltop is exactly the habitat a snowy owl mistakes for tundra, and mid-December through February is the window.</t>
  </si>
  <si>
    <t xml:space="preserve">Balsam fir is the Christmas tree of this region for a reason — it holds needles longer than spruce and carries the strongest scent of any northern conifer. It wants cool moist ground, which makes it a poor fit for the dry shallow soil of an upland field and a good one for the wet lower edges.</t>
  </si>
  <si>
    <t xml:space="preserve">Eastern red cedar is what the winter hillside actually offers, and it does double duty: windbreak, wildlife cover, and greenery for the house. Keep cedars well away from apple trees — the cedar-apple rust fungus needs both hosts to complete its cycle, and separation is the only real control.</t>
  </si>
  <si>
    <t xml:space="preserve">Cut willow rods for basketry now, dormant and leafless, and bundle them upright in a few inches of water to keep them alive until working — or dry them fully and re-soak before use. This is also the moment to take hardwood cuttings: willow strikes root from a bare stick pushed into wet ground, which is why it is the cheapest possible way to stabilise a stream edge.</t>
  </si>
  <si>
    <t xml:space="preserve">Thirteen thousand years ago this fortnight's conditions were simply the climate, and the tracks in the snow would have been caribou. Paleoindian hunters worked exactly this kind of high open ground — the West Athens Hill site, a few ridges south along the same escarpment, was a hilltop chert quarry and workshop where people came to make tools and, from the elevation, to watch. The impulse to climb a hill in December and read what has crossed the snow is not a hobby. It is the oldest continuous human activity this landscape has hosted.</t>
  </si>
  <si>
    <t xml:space="preserve">The winter solstice (December 21–22): the year's shortest day — roughly nine hours of light, minus whatever the Hills's shadow claims from the afternoon — and its longest night, over fifteen hours of dark.</t>
  </si>
  <si>
    <t xml:space="preserve">The sun rises and sets at its southern extremes; the solstice sunrise point on the eastern horizon closes the calendar's loop.</t>
  </si>
  <si>
    <t xml:space="preserve">The Ursid meteors peak quietly on solstice night itself — a low-rate shower for purists, radiating from the Little Dipper.</t>
  </si>
  <si>
    <t xml:space="preserve">The Pleiades climb again toward their midwinter height, carrying the Haudenosaunee ceremonial year toward its Midwinter renewal.</t>
  </si>
  <si>
    <t xml:space="preserve">Hazels stand with catkins already formed and waiting; dogwood stems burn red against the snow; the sap is eight weeks from stirring. The hill completes its twenty-fourth season and begins, without pausing, its first.</t>
  </si>
  <si>
    <t xml:space="preserve">Barred owls call through the long dark — who-cooks-for-you volleys echoing between woodlots — and on the stillest, coldest nights the whole sequence of deep-winter optics returns: light pillars over the valley, moon halos, moondogs, the occasional cryoseism cracking the frozen ground like a starting pistol for the new year.</t>
  </si>
  <si>
    <t xml:space="preserve">Great horned owl courtship duets peak in the last two weeks of December, running toward the February eggs — the year's first breeding behavior begins before the year's calendar has ended.</t>
  </si>
  <si>
    <t xml:space="preserve">Christmas Bird Count season runs mid-December into early January, the longest-running community science dataset in existence, begun in 1900. Local counts are always short of participants, and a single hilltop property at 1,200 feet contributes exactly the kind of upland coverage most counts lack.</t>
  </si>
  <si>
    <t xml:space="preserve">Bucks begin casting antlers from late December onward as testosterone falls, and the timing is individual — a stressed or heavily rutted buck drops earliest. A buck seen in January with one antler is a normal buck mid-shed, not an injured one.</t>
  </si>
  <si>
    <t xml:space="preserve">Bear cubs are being born in dens right now, somewhere within a few miles, to mothers who will not wake for the event.</t>
  </si>
  <si>
    <t xml:space="preserve">The final and largest one. Twenty thousand years ago there was no hill here to stand on — or rather there was, buried under something on the order of a mile of ice, its summit a thousand feet below the surface of a glacier that stretched unbroken to Labrador. The rock underfoot was pressed down hundreds of feet by the weight and is still, measurably, rebounding. On the longest night of the year, in the coldest quarter of the calendar, it is worth holding both facts at once: that this landscape is an interglacial parenthesis, and that the ice is not a thing that happened to it but the ordinary condition it is currently, temporarily, on vacation from.</t>
  </si>
  <si>
    <t xml:space="preserve">Entry counts by microseason and category</t>
  </si>
  <si>
    <t xml:space="preserve">Counts are live COUNTIFS against the Entries (Long Form) sheet.</t>
  </si>
  <si>
    <t xml:space="preserve">Total</t>
  </si>
  <si>
    <t xml:space="preserve">TOTAL</t>
  </si>
  <si>
    <t xml:space="preserve">Westerlo 24 Microseasons — Structured Calendar</t>
  </si>
  <si>
    <t xml:space="preserve">Source</t>
  </si>
  <si>
    <t xml:space="preserve">westerlo-24-microseasons.md — parsed programmatically, all 489 bullets retained</t>
  </si>
  <si>
    <t xml:space="preserve">Sheets</t>
  </si>
  <si>
    <t xml:space="preserve">Calendar Matrix = one row per microseason, one column per category. Entries (Long Form) = one row per entry, filterable. Summary = live counts.</t>
  </si>
  <si>
    <t xml:space="preserve">CATEGORY DEFINITIONS</t>
  </si>
  <si>
    <t xml:space="preserve">Sun, moon, stars, daylight length, solstice and equinox</t>
  </si>
  <si>
    <t xml:space="preserve">Frost, snow, thaw, wind, soil temperature, ice, seasonal ground conditions</t>
  </si>
  <si>
    <t xml:space="preserve">Trees, shrubs, wildflowers, grasses, ferns — leafing, flowering, fruiting, senescence</t>
  </si>
  <si>
    <t xml:space="preserve">Arrivals, departures, nesting, song, feeding behaviour</t>
  </si>
  <si>
    <t xml:space="preserve">Mammals, amphibians, reptiles — activity, breeding, dormancy</t>
  </si>
  <si>
    <t xml:space="preserve">Emergence, flight periods, fruiting bodies, decomposition</t>
  </si>
  <si>
    <t xml:space="preserve">Cultivated timing — sowing, transplanting, harvest, pruning, mulching</t>
  </si>
  <si>
    <t xml:space="preserve">Indigenous, Palatine German, Irish and settler food practice tied to the season</t>
  </si>
  <si>
    <t xml:space="preserve">Extirpated species, vanished land uses, historical and deep-time context</t>
  </si>
  <si>
    <t xml:space="preserve">Land and tree health diagnostics, pathogens, stress indicators, monitoring actions</t>
  </si>
  <si>
    <t xml:space="preserve">NOTES</t>
  </si>
  <si>
    <t xml:space="preserve">Voice</t>
  </si>
  <si>
    <t xml:space="preserve">The Calendar Matrix is written in generalised regional voice — "these hills", "the land" — so it reads for anyone in the Hilltowns. The Entries (Long Form) sheet keeps site-specific wording for research use. Same 489 entries, two registers.</t>
  </si>
  <si>
    <t xml:space="preserve">Classification</t>
  </si>
  <si>
    <t xml:space="preserve">Assigned by keyword rule from the source text. Entries sitting across two categories were placed in the more specific one; reclassify freely in the Long Form sheet.</t>
  </si>
  <si>
    <t xml:space="preserve">Additive principle</t>
  </si>
  <si>
    <t xml:space="preserve">The markdown document remains the master. This workbook is a view of it, regenerated rather than edited in place when the source grows.</t>
  </si>
  <si>
    <t xml:space="preserve">Dates</t>
  </si>
  <si>
    <t xml:space="preserve">Fixed fortnightly ranges. Actual phenological timing at ~1,200 ft runs later than the Hudson Valley floor — typically 7–10 days in spring.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</si>
</sst>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3"/>
      <name val="Arial"/>
      <family val="0"/>
      <charset val="1"/>
    </font>
    <font>
      <i val="true"/>
      <sz val="9"/>
      <color rgb="FF666666"/>
      <name val="Arial"/>
      <family val="0"/>
      <charset val="1"/>
    </font>
    <font>
      <b val="true"/>
      <sz val="10"/>
      <name val="Arial"/>
      <family val="0"/>
      <charset val="1"/>
    </font>
    <font>
      <b val="true"/>
      <sz val="14"/>
      <name val="Arial"/>
      <family val="0"/>
      <charset val="1"/>
    </font>
    <font>
      <b val="true"/>
      <sz val="11"/>
      <color rgb="FF1F3A2E"/>
      <name val="Arial"/>
      <family val="0"/>
      <charset val="1"/>
    </font>
  </fonts>
  <fills count="7">
    <fill>
      <patternFill patternType="none"/>
    </fill>
    <fill>
      <patternFill patternType="gray125"/>
    </fill>
    <fill>
      <patternFill patternType="solid">
        <fgColor rgb="FF1F3A2E"/>
        <bgColor rgb="FF333300"/>
      </patternFill>
    </fill>
    <fill>
      <patternFill patternType="solid">
        <fgColor rgb="FFE8EEF4"/>
        <bgColor rgb="FFE9F3E5"/>
      </patternFill>
    </fill>
    <fill>
      <patternFill patternType="solid">
        <fgColor rgb="FFE9F3E5"/>
        <bgColor rgb="FFE8EEF4"/>
      </patternFill>
    </fill>
    <fill>
      <patternFill patternType="solid">
        <fgColor rgb="FFFDF6E3"/>
        <bgColor rgb="FFF7EBE3"/>
      </patternFill>
    </fill>
    <fill>
      <patternFill patternType="solid">
        <fgColor rgb="FFF7EBE3"/>
        <bgColor rgb="FFFDF6E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2" borderId="1" xfId="0" applyFont="true" applyBorder="true" applyAlignment="true" applyProtection="false">
      <alignment horizontal="left"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A2E"/>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DF6E3"/>
      <rgbColor rgb="FFE8EE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9F3E5"/>
      <rgbColor rgb="FFF7EBE3"/>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3A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8"/>
    <col collapsed="false" customWidth="true" hidden="false" outlineLevel="0" max="4" min="4" style="0" width="10"/>
    <col collapsed="false" customWidth="true" hidden="false" outlineLevel="0" max="14" min="5" style="0" width="52"/>
  </cols>
  <sheetData>
    <row r="1" customFormat="false" ht="15" hidden="false" customHeight="false" outlineLevel="0" collapsed="false">
      <c r="A1" s="1" t="s">
        <v>0</v>
      </c>
      <c r="B1" s="2" t="s">
        <v>1</v>
      </c>
      <c r="C1" s="1" t="s">
        <v>2</v>
      </c>
      <c r="D1" s="1" t="s">
        <v>3</v>
      </c>
      <c r="E1" s="1" t="s">
        <v>4</v>
      </c>
      <c r="F1" s="1" t="s">
        <v>5</v>
      </c>
      <c r="G1" s="1" t="s">
        <v>6</v>
      </c>
      <c r="H1" s="1" t="s">
        <v>7</v>
      </c>
      <c r="I1" s="1" t="s">
        <v>8</v>
      </c>
      <c r="J1" s="1" t="s">
        <v>9</v>
      </c>
      <c r="K1" s="1" t="s">
        <v>10</v>
      </c>
      <c r="L1" s="1" t="s">
        <v>11</v>
      </c>
      <c r="M1" s="1" t="s">
        <v>12</v>
      </c>
      <c r="N1" s="1" t="s">
        <v>13</v>
      </c>
    </row>
    <row r="2" customFormat="false" ht="150" hidden="false" customHeight="true" outlineLevel="0" collapsed="false">
      <c r="A2" s="3" t="n">
        <v>1</v>
      </c>
      <c r="B2" s="3" t="s">
        <v>14</v>
      </c>
      <c r="C2" s="3" t="s">
        <v>15</v>
      </c>
      <c r="D2" s="3" t="s">
        <v>16</v>
      </c>
      <c r="E2" s="4" t="s">
        <v>17</v>
      </c>
      <c r="F2" s="4" t="s">
        <v>18</v>
      </c>
      <c r="G2" s="4" t="s">
        <v>19</v>
      </c>
      <c r="H2" s="4" t="s">
        <v>20</v>
      </c>
      <c r="I2" s="4" t="s">
        <v>21</v>
      </c>
      <c r="J2" s="4"/>
      <c r="K2" s="4" t="s">
        <v>22</v>
      </c>
      <c r="L2" s="4" t="s">
        <v>23</v>
      </c>
      <c r="M2" s="4" t="s">
        <v>24</v>
      </c>
      <c r="N2" s="4" t="s">
        <v>25</v>
      </c>
    </row>
    <row r="3" customFormat="false" ht="150" hidden="false" customHeight="true" outlineLevel="0" collapsed="false">
      <c r="A3" s="3" t="n">
        <v>2</v>
      </c>
      <c r="B3" s="3" t="s">
        <v>26</v>
      </c>
      <c r="C3" s="3" t="s">
        <v>27</v>
      </c>
      <c r="D3" s="3" t="s">
        <v>16</v>
      </c>
      <c r="E3" s="4"/>
      <c r="F3" s="4" t="s">
        <v>28</v>
      </c>
      <c r="G3" s="4" t="s">
        <v>29</v>
      </c>
      <c r="H3" s="4" t="s">
        <v>30</v>
      </c>
      <c r="I3" s="4" t="s">
        <v>31</v>
      </c>
      <c r="J3" s="4" t="s">
        <v>32</v>
      </c>
      <c r="K3" s="4" t="s">
        <v>33</v>
      </c>
      <c r="L3" s="4"/>
      <c r="M3" s="4" t="s">
        <v>34</v>
      </c>
      <c r="N3" s="4" t="s">
        <v>35</v>
      </c>
    </row>
    <row r="4" customFormat="false" ht="150" hidden="false" customHeight="true" outlineLevel="0" collapsed="false">
      <c r="A4" s="3" t="n">
        <v>3</v>
      </c>
      <c r="B4" s="3" t="s">
        <v>36</v>
      </c>
      <c r="C4" s="3" t="s">
        <v>37</v>
      </c>
      <c r="D4" s="3" t="s">
        <v>16</v>
      </c>
      <c r="E4" s="4" t="s">
        <v>38</v>
      </c>
      <c r="F4" s="4" t="s">
        <v>39</v>
      </c>
      <c r="G4" s="4" t="s">
        <v>40</v>
      </c>
      <c r="H4" s="4" t="s">
        <v>41</v>
      </c>
      <c r="I4" s="4" t="s">
        <v>42</v>
      </c>
      <c r="J4" s="4" t="s">
        <v>43</v>
      </c>
      <c r="K4" s="4" t="s">
        <v>44</v>
      </c>
      <c r="L4" s="4"/>
      <c r="M4" s="4" t="s">
        <v>45</v>
      </c>
      <c r="N4" s="4" t="s">
        <v>46</v>
      </c>
    </row>
    <row r="5" customFormat="false" ht="150" hidden="false" customHeight="true" outlineLevel="0" collapsed="false">
      <c r="A5" s="3" t="n">
        <v>4</v>
      </c>
      <c r="B5" s="3" t="s">
        <v>47</v>
      </c>
      <c r="C5" s="3" t="s">
        <v>48</v>
      </c>
      <c r="D5" s="3" t="s">
        <v>16</v>
      </c>
      <c r="E5" s="4"/>
      <c r="F5" s="4" t="s">
        <v>49</v>
      </c>
      <c r="G5" s="4" t="s">
        <v>50</v>
      </c>
      <c r="H5" s="4" t="s">
        <v>51</v>
      </c>
      <c r="I5" s="4" t="s">
        <v>52</v>
      </c>
      <c r="J5" s="4" t="s">
        <v>53</v>
      </c>
      <c r="K5" s="4" t="s">
        <v>54</v>
      </c>
      <c r="L5" s="4" t="s">
        <v>55</v>
      </c>
      <c r="M5" s="4" t="s">
        <v>56</v>
      </c>
      <c r="N5" s="4"/>
    </row>
    <row r="6" customFormat="false" ht="150" hidden="false" customHeight="true" outlineLevel="0" collapsed="false">
      <c r="A6" s="5" t="n">
        <v>5</v>
      </c>
      <c r="B6" s="5" t="s">
        <v>57</v>
      </c>
      <c r="C6" s="5" t="s">
        <v>58</v>
      </c>
      <c r="D6" s="5" t="s">
        <v>59</v>
      </c>
      <c r="E6" s="4"/>
      <c r="F6" s="4" t="s">
        <v>60</v>
      </c>
      <c r="G6" s="4" t="s">
        <v>61</v>
      </c>
      <c r="H6" s="4" t="s">
        <v>62</v>
      </c>
      <c r="I6" s="4" t="s">
        <v>63</v>
      </c>
      <c r="J6" s="4" t="s">
        <v>64</v>
      </c>
      <c r="K6" s="4" t="s">
        <v>65</v>
      </c>
      <c r="L6" s="4"/>
      <c r="M6" s="4" t="s">
        <v>66</v>
      </c>
      <c r="N6" s="4" t="s">
        <v>67</v>
      </c>
    </row>
    <row r="7" customFormat="false" ht="150" hidden="false" customHeight="true" outlineLevel="0" collapsed="false">
      <c r="A7" s="5" t="n">
        <v>6</v>
      </c>
      <c r="B7" s="5" t="s">
        <v>68</v>
      </c>
      <c r="C7" s="5" t="s">
        <v>69</v>
      </c>
      <c r="D7" s="5" t="s">
        <v>59</v>
      </c>
      <c r="E7" s="4" t="s">
        <v>70</v>
      </c>
      <c r="F7" s="4"/>
      <c r="G7" s="4" t="s">
        <v>71</v>
      </c>
      <c r="H7" s="4" t="s">
        <v>72</v>
      </c>
      <c r="I7" s="4" t="s">
        <v>73</v>
      </c>
      <c r="J7" s="4"/>
      <c r="K7" s="4" t="s">
        <v>74</v>
      </c>
      <c r="L7" s="4"/>
      <c r="M7" s="4" t="s">
        <v>75</v>
      </c>
      <c r="N7" s="4"/>
    </row>
    <row r="8" customFormat="false" ht="150" hidden="false" customHeight="true" outlineLevel="0" collapsed="false">
      <c r="A8" s="5" t="n">
        <v>7</v>
      </c>
      <c r="B8" s="5" t="s">
        <v>76</v>
      </c>
      <c r="C8" s="5" t="s">
        <v>77</v>
      </c>
      <c r="D8" s="5" t="s">
        <v>59</v>
      </c>
      <c r="E8" s="4"/>
      <c r="F8" s="4"/>
      <c r="G8" s="4" t="s">
        <v>78</v>
      </c>
      <c r="H8" s="4" t="s">
        <v>79</v>
      </c>
      <c r="I8" s="4" t="s">
        <v>80</v>
      </c>
      <c r="J8" s="4"/>
      <c r="K8" s="4" t="s">
        <v>81</v>
      </c>
      <c r="L8" s="4" t="s">
        <v>82</v>
      </c>
      <c r="M8" s="4" t="s">
        <v>83</v>
      </c>
      <c r="N8" s="4"/>
    </row>
    <row r="9" customFormat="false" ht="150" hidden="false" customHeight="true" outlineLevel="0" collapsed="false">
      <c r="A9" s="5" t="n">
        <v>8</v>
      </c>
      <c r="B9" s="5" t="s">
        <v>84</v>
      </c>
      <c r="C9" s="5" t="s">
        <v>85</v>
      </c>
      <c r="D9" s="5" t="s">
        <v>59</v>
      </c>
      <c r="E9" s="4"/>
      <c r="F9" s="4" t="s">
        <v>86</v>
      </c>
      <c r="G9" s="4" t="s">
        <v>87</v>
      </c>
      <c r="H9" s="4" t="s">
        <v>88</v>
      </c>
      <c r="I9" s="4" t="s">
        <v>89</v>
      </c>
      <c r="J9" s="4" t="s">
        <v>90</v>
      </c>
      <c r="K9" s="4" t="s">
        <v>91</v>
      </c>
      <c r="L9" s="4"/>
      <c r="M9" s="4" t="s">
        <v>92</v>
      </c>
      <c r="N9" s="4"/>
    </row>
    <row r="10" customFormat="false" ht="150" hidden="false" customHeight="true" outlineLevel="0" collapsed="false">
      <c r="A10" s="5" t="n">
        <v>9</v>
      </c>
      <c r="B10" s="5" t="s">
        <v>93</v>
      </c>
      <c r="C10" s="5" t="s">
        <v>94</v>
      </c>
      <c r="D10" s="5" t="s">
        <v>59</v>
      </c>
      <c r="E10" s="4"/>
      <c r="F10" s="4" t="s">
        <v>95</v>
      </c>
      <c r="G10" s="4" t="s">
        <v>96</v>
      </c>
      <c r="H10" s="4" t="s">
        <v>97</v>
      </c>
      <c r="I10" s="4" t="s">
        <v>98</v>
      </c>
      <c r="J10" s="4" t="s">
        <v>99</v>
      </c>
      <c r="K10" s="4" t="s">
        <v>100</v>
      </c>
      <c r="L10" s="4"/>
      <c r="M10" s="4" t="s">
        <v>101</v>
      </c>
      <c r="N10" s="4" t="s">
        <v>102</v>
      </c>
    </row>
    <row r="11" customFormat="false" ht="150" hidden="false" customHeight="true" outlineLevel="0" collapsed="false">
      <c r="A11" s="5" t="n">
        <v>10</v>
      </c>
      <c r="B11" s="5" t="s">
        <v>103</v>
      </c>
      <c r="C11" s="5" t="s">
        <v>104</v>
      </c>
      <c r="D11" s="5" t="s">
        <v>59</v>
      </c>
      <c r="E11" s="4" t="s">
        <v>105</v>
      </c>
      <c r="F11" s="4" t="s">
        <v>106</v>
      </c>
      <c r="G11" s="4" t="s">
        <v>107</v>
      </c>
      <c r="H11" s="4" t="s">
        <v>108</v>
      </c>
      <c r="I11" s="4" t="s">
        <v>109</v>
      </c>
      <c r="J11" s="4"/>
      <c r="K11" s="4" t="s">
        <v>110</v>
      </c>
      <c r="L11" s="4" t="s">
        <v>111</v>
      </c>
      <c r="M11" s="4" t="s">
        <v>112</v>
      </c>
      <c r="N11" s="4" t="s">
        <v>113</v>
      </c>
    </row>
    <row r="12" customFormat="false" ht="150" hidden="false" customHeight="true" outlineLevel="0" collapsed="false">
      <c r="A12" s="6" t="n">
        <v>11</v>
      </c>
      <c r="B12" s="6" t="s">
        <v>114</v>
      </c>
      <c r="C12" s="6" t="s">
        <v>115</v>
      </c>
      <c r="D12" s="6" t="s">
        <v>116</v>
      </c>
      <c r="E12" s="4" t="s">
        <v>117</v>
      </c>
      <c r="F12" s="4"/>
      <c r="G12" s="4" t="s">
        <v>118</v>
      </c>
      <c r="H12" s="4" t="s">
        <v>119</v>
      </c>
      <c r="I12" s="4" t="s">
        <v>120</v>
      </c>
      <c r="J12" s="4" t="s">
        <v>121</v>
      </c>
      <c r="K12" s="4" t="s">
        <v>122</v>
      </c>
      <c r="L12" s="4"/>
      <c r="M12" s="4" t="s">
        <v>123</v>
      </c>
      <c r="N12" s="4" t="s">
        <v>124</v>
      </c>
    </row>
    <row r="13" customFormat="false" ht="150" hidden="false" customHeight="true" outlineLevel="0" collapsed="false">
      <c r="A13" s="6" t="n">
        <v>12</v>
      </c>
      <c r="B13" s="6" t="s">
        <v>125</v>
      </c>
      <c r="C13" s="6" t="s">
        <v>126</v>
      </c>
      <c r="D13" s="6" t="s">
        <v>116</v>
      </c>
      <c r="E13" s="4" t="s">
        <v>127</v>
      </c>
      <c r="F13" s="4"/>
      <c r="G13" s="4" t="s">
        <v>128</v>
      </c>
      <c r="H13" s="4"/>
      <c r="I13" s="4" t="s">
        <v>129</v>
      </c>
      <c r="J13" s="4" t="s">
        <v>130</v>
      </c>
      <c r="K13" s="4" t="s">
        <v>131</v>
      </c>
      <c r="L13" s="4" t="s">
        <v>132</v>
      </c>
      <c r="M13" s="4" t="s">
        <v>133</v>
      </c>
      <c r="N13" s="4" t="s">
        <v>134</v>
      </c>
    </row>
    <row r="14" customFormat="false" ht="150" hidden="false" customHeight="true" outlineLevel="0" collapsed="false">
      <c r="A14" s="6" t="n">
        <v>13</v>
      </c>
      <c r="B14" s="6" t="s">
        <v>135</v>
      </c>
      <c r="C14" s="6" t="s">
        <v>136</v>
      </c>
      <c r="D14" s="6" t="s">
        <v>116</v>
      </c>
      <c r="E14" s="4" t="s">
        <v>137</v>
      </c>
      <c r="F14" s="4"/>
      <c r="G14" s="4" t="s">
        <v>138</v>
      </c>
      <c r="H14" s="4" t="s">
        <v>139</v>
      </c>
      <c r="I14" s="4"/>
      <c r="J14" s="4" t="s">
        <v>140</v>
      </c>
      <c r="K14" s="4" t="s">
        <v>141</v>
      </c>
      <c r="L14" s="4"/>
      <c r="M14" s="4" t="s">
        <v>142</v>
      </c>
      <c r="N14" s="4" t="s">
        <v>143</v>
      </c>
    </row>
    <row r="15" customFormat="false" ht="150" hidden="false" customHeight="true" outlineLevel="0" collapsed="false">
      <c r="A15" s="6" t="n">
        <v>14</v>
      </c>
      <c r="B15" s="6" t="s">
        <v>144</v>
      </c>
      <c r="C15" s="6" t="s">
        <v>145</v>
      </c>
      <c r="D15" s="6" t="s">
        <v>116</v>
      </c>
      <c r="E15" s="4"/>
      <c r="F15" s="4"/>
      <c r="G15" s="4" t="s">
        <v>146</v>
      </c>
      <c r="H15" s="4" t="s">
        <v>147</v>
      </c>
      <c r="I15" s="4" t="s">
        <v>148</v>
      </c>
      <c r="J15" s="4" t="s">
        <v>149</v>
      </c>
      <c r="K15" s="4" t="s">
        <v>150</v>
      </c>
      <c r="L15" s="4"/>
      <c r="M15" s="4" t="s">
        <v>151</v>
      </c>
      <c r="N15" s="4" t="s">
        <v>152</v>
      </c>
    </row>
    <row r="16" customFormat="false" ht="150" hidden="false" customHeight="true" outlineLevel="0" collapsed="false">
      <c r="A16" s="6" t="n">
        <v>15</v>
      </c>
      <c r="B16" s="6" t="s">
        <v>153</v>
      </c>
      <c r="C16" s="6" t="s">
        <v>154</v>
      </c>
      <c r="D16" s="6" t="s">
        <v>116</v>
      </c>
      <c r="E16" s="4" t="s">
        <v>155</v>
      </c>
      <c r="F16" s="4"/>
      <c r="G16" s="4" t="s">
        <v>156</v>
      </c>
      <c r="H16" s="4" t="s">
        <v>157</v>
      </c>
      <c r="I16" s="4" t="s">
        <v>158</v>
      </c>
      <c r="J16" s="4" t="s">
        <v>159</v>
      </c>
      <c r="K16" s="4" t="s">
        <v>160</v>
      </c>
      <c r="L16" s="4" t="s">
        <v>161</v>
      </c>
      <c r="M16" s="4" t="s">
        <v>162</v>
      </c>
      <c r="N16" s="4" t="s">
        <v>163</v>
      </c>
    </row>
    <row r="17" customFormat="false" ht="150" hidden="false" customHeight="true" outlineLevel="0" collapsed="false">
      <c r="A17" s="6" t="n">
        <v>16</v>
      </c>
      <c r="B17" s="6" t="s">
        <v>164</v>
      </c>
      <c r="C17" s="6" t="s">
        <v>165</v>
      </c>
      <c r="D17" s="6" t="s">
        <v>116</v>
      </c>
      <c r="E17" s="4"/>
      <c r="F17" s="4"/>
      <c r="G17" s="4" t="s">
        <v>166</v>
      </c>
      <c r="H17" s="4" t="s">
        <v>167</v>
      </c>
      <c r="I17" s="4" t="s">
        <v>168</v>
      </c>
      <c r="J17" s="4" t="s">
        <v>169</v>
      </c>
      <c r="K17" s="4" t="s">
        <v>170</v>
      </c>
      <c r="L17" s="4"/>
      <c r="M17" s="4" t="s">
        <v>171</v>
      </c>
      <c r="N17" s="4" t="s">
        <v>172</v>
      </c>
    </row>
    <row r="18" customFormat="false" ht="150" hidden="false" customHeight="true" outlineLevel="0" collapsed="false">
      <c r="A18" s="7" t="n">
        <v>17</v>
      </c>
      <c r="B18" s="7" t="s">
        <v>173</v>
      </c>
      <c r="C18" s="7" t="s">
        <v>174</v>
      </c>
      <c r="D18" s="7" t="s">
        <v>175</v>
      </c>
      <c r="E18" s="4"/>
      <c r="F18" s="4" t="s">
        <v>176</v>
      </c>
      <c r="G18" s="4" t="s">
        <v>177</v>
      </c>
      <c r="H18" s="4" t="s">
        <v>178</v>
      </c>
      <c r="I18" s="4" t="s">
        <v>179</v>
      </c>
      <c r="J18" s="4" t="s">
        <v>180</v>
      </c>
      <c r="K18" s="4" t="s">
        <v>181</v>
      </c>
      <c r="L18" s="4"/>
      <c r="M18" s="4" t="s">
        <v>182</v>
      </c>
      <c r="N18" s="4"/>
    </row>
    <row r="19" customFormat="false" ht="150" hidden="false" customHeight="true" outlineLevel="0" collapsed="false">
      <c r="A19" s="7" t="n">
        <v>18</v>
      </c>
      <c r="B19" s="7" t="s">
        <v>183</v>
      </c>
      <c r="C19" s="7" t="s">
        <v>184</v>
      </c>
      <c r="D19" s="7" t="s">
        <v>175</v>
      </c>
      <c r="E19" s="4" t="s">
        <v>185</v>
      </c>
      <c r="F19" s="4" t="s">
        <v>186</v>
      </c>
      <c r="G19" s="4" t="s">
        <v>187</v>
      </c>
      <c r="H19" s="4" t="s">
        <v>188</v>
      </c>
      <c r="I19" s="4" t="s">
        <v>189</v>
      </c>
      <c r="J19" s="4"/>
      <c r="K19" s="4" t="s">
        <v>190</v>
      </c>
      <c r="L19" s="4" t="s">
        <v>191</v>
      </c>
      <c r="M19" s="4" t="s">
        <v>192</v>
      </c>
      <c r="N19" s="4" t="s">
        <v>193</v>
      </c>
    </row>
    <row r="20" customFormat="false" ht="150" hidden="false" customHeight="true" outlineLevel="0" collapsed="false">
      <c r="A20" s="7" t="n">
        <v>19</v>
      </c>
      <c r="B20" s="7" t="s">
        <v>194</v>
      </c>
      <c r="C20" s="7" t="s">
        <v>195</v>
      </c>
      <c r="D20" s="7" t="s">
        <v>175</v>
      </c>
      <c r="E20" s="4" t="s">
        <v>196</v>
      </c>
      <c r="F20" s="4" t="s">
        <v>197</v>
      </c>
      <c r="G20" s="4" t="s">
        <v>198</v>
      </c>
      <c r="H20" s="4" t="s">
        <v>199</v>
      </c>
      <c r="I20" s="4" t="s">
        <v>200</v>
      </c>
      <c r="J20" s="4" t="s">
        <v>201</v>
      </c>
      <c r="K20" s="4" t="s">
        <v>202</v>
      </c>
      <c r="L20" s="4"/>
      <c r="M20" s="4" t="s">
        <v>203</v>
      </c>
      <c r="N20" s="4" t="s">
        <v>204</v>
      </c>
    </row>
    <row r="21" customFormat="false" ht="150" hidden="false" customHeight="true" outlineLevel="0" collapsed="false">
      <c r="A21" s="7" t="n">
        <v>20</v>
      </c>
      <c r="B21" s="7" t="s">
        <v>205</v>
      </c>
      <c r="C21" s="7" t="s">
        <v>206</v>
      </c>
      <c r="D21" s="7" t="s">
        <v>175</v>
      </c>
      <c r="E21" s="4"/>
      <c r="F21" s="4" t="s">
        <v>207</v>
      </c>
      <c r="G21" s="4" t="s">
        <v>208</v>
      </c>
      <c r="H21" s="4" t="s">
        <v>209</v>
      </c>
      <c r="I21" s="4" t="s">
        <v>210</v>
      </c>
      <c r="J21" s="4" t="s">
        <v>211</v>
      </c>
      <c r="K21" s="4" t="s">
        <v>212</v>
      </c>
      <c r="L21" s="4" t="s">
        <v>213</v>
      </c>
      <c r="M21" s="4" t="s">
        <v>214</v>
      </c>
      <c r="N21" s="4" t="s">
        <v>215</v>
      </c>
    </row>
    <row r="22" customFormat="false" ht="150" hidden="false" customHeight="true" outlineLevel="0" collapsed="false">
      <c r="A22" s="7" t="n">
        <v>21</v>
      </c>
      <c r="B22" s="7" t="s">
        <v>216</v>
      </c>
      <c r="C22" s="7" t="s">
        <v>217</v>
      </c>
      <c r="D22" s="7" t="s">
        <v>175</v>
      </c>
      <c r="E22" s="4" t="s">
        <v>218</v>
      </c>
      <c r="F22" s="4" t="s">
        <v>219</v>
      </c>
      <c r="G22" s="4" t="s">
        <v>220</v>
      </c>
      <c r="H22" s="4" t="s">
        <v>221</v>
      </c>
      <c r="I22" s="4" t="s">
        <v>222</v>
      </c>
      <c r="J22" s="4" t="s">
        <v>223</v>
      </c>
      <c r="K22" s="4"/>
      <c r="L22" s="4"/>
      <c r="M22" s="4" t="s">
        <v>224</v>
      </c>
      <c r="N22" s="4"/>
    </row>
    <row r="23" customFormat="false" ht="150" hidden="false" customHeight="true" outlineLevel="0" collapsed="false">
      <c r="A23" s="7" t="n">
        <v>22</v>
      </c>
      <c r="B23" s="7" t="s">
        <v>225</v>
      </c>
      <c r="C23" s="7" t="s">
        <v>226</v>
      </c>
      <c r="D23" s="7" t="s">
        <v>175</v>
      </c>
      <c r="E23" s="4" t="s">
        <v>227</v>
      </c>
      <c r="F23" s="4" t="s">
        <v>228</v>
      </c>
      <c r="G23" s="4" t="s">
        <v>229</v>
      </c>
      <c r="H23" s="4" t="s">
        <v>230</v>
      </c>
      <c r="I23" s="4" t="s">
        <v>231</v>
      </c>
      <c r="J23" s="4" t="s">
        <v>232</v>
      </c>
      <c r="K23" s="4" t="s">
        <v>233</v>
      </c>
      <c r="L23" s="4" t="s">
        <v>234</v>
      </c>
      <c r="M23" s="4" t="s">
        <v>235</v>
      </c>
      <c r="N23" s="4" t="s">
        <v>236</v>
      </c>
    </row>
    <row r="24" customFormat="false" ht="150" hidden="false" customHeight="true" outlineLevel="0" collapsed="false">
      <c r="A24" s="3" t="n">
        <v>23</v>
      </c>
      <c r="B24" s="3" t="s">
        <v>237</v>
      </c>
      <c r="C24" s="3" t="s">
        <v>238</v>
      </c>
      <c r="D24" s="3" t="s">
        <v>16</v>
      </c>
      <c r="E24" s="4" t="s">
        <v>239</v>
      </c>
      <c r="F24" s="4" t="s">
        <v>240</v>
      </c>
      <c r="G24" s="4" t="s">
        <v>241</v>
      </c>
      <c r="H24" s="4" t="s">
        <v>242</v>
      </c>
      <c r="I24" s="4" t="s">
        <v>243</v>
      </c>
      <c r="J24" s="4"/>
      <c r="K24" s="4" t="s">
        <v>244</v>
      </c>
      <c r="L24" s="4"/>
      <c r="M24" s="4" t="s">
        <v>245</v>
      </c>
      <c r="N24" s="4"/>
    </row>
    <row r="25" customFormat="false" ht="150" hidden="false" customHeight="true" outlineLevel="0" collapsed="false">
      <c r="A25" s="3" t="n">
        <v>24</v>
      </c>
      <c r="B25" s="3" t="s">
        <v>246</v>
      </c>
      <c r="C25" s="3" t="s">
        <v>247</v>
      </c>
      <c r="D25" s="3" t="s">
        <v>16</v>
      </c>
      <c r="E25" s="4" t="s">
        <v>248</v>
      </c>
      <c r="F25" s="4" t="s">
        <v>249</v>
      </c>
      <c r="G25" s="4"/>
      <c r="H25" s="4" t="s">
        <v>250</v>
      </c>
      <c r="I25" s="4" t="s">
        <v>251</v>
      </c>
      <c r="J25" s="4"/>
      <c r="K25" s="4"/>
      <c r="L25" s="4"/>
      <c r="M25" s="4" t="s">
        <v>252</v>
      </c>
      <c r="N25"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18"/>
    <col collapsed="false" customWidth="true" hidden="false" outlineLevel="0" max="4" min="4" style="0" width="10"/>
    <col collapsed="false" customWidth="true" hidden="false" outlineLevel="0" max="5" min="5" style="0" width="20"/>
    <col collapsed="false" customWidth="true" hidden="false" outlineLevel="0" max="6" min="6" style="0" width="120"/>
  </cols>
  <sheetData>
    <row r="1" customFormat="false" ht="15" hidden="false" customHeight="false" outlineLevel="0" collapsed="false">
      <c r="A1" s="8" t="s">
        <v>253</v>
      </c>
      <c r="B1" s="8" t="s">
        <v>1</v>
      </c>
      <c r="C1" s="8" t="s">
        <v>2</v>
      </c>
      <c r="D1" s="8" t="s">
        <v>3</v>
      </c>
      <c r="E1" s="8" t="s">
        <v>254</v>
      </c>
      <c r="F1" s="8" t="s">
        <v>255</v>
      </c>
    </row>
    <row r="2" customFormat="false" ht="23.85" hidden="false" customHeight="false" outlineLevel="0" collapsed="false">
      <c r="A2" s="9" t="n">
        <v>1</v>
      </c>
      <c r="B2" s="9" t="s">
        <v>14</v>
      </c>
      <c r="C2" s="9" t="s">
        <v>15</v>
      </c>
      <c r="D2" s="9" t="s">
        <v>16</v>
      </c>
      <c r="E2" s="9" t="s">
        <v>4</v>
      </c>
      <c r="F2" s="4" t="s">
        <v>256</v>
      </c>
    </row>
    <row r="3" customFormat="false" ht="23.85" hidden="false" customHeight="false" outlineLevel="0" collapsed="false">
      <c r="A3" s="9" t="n">
        <v>1</v>
      </c>
      <c r="B3" s="9" t="s">
        <v>14</v>
      </c>
      <c r="C3" s="9" t="s">
        <v>15</v>
      </c>
      <c r="D3" s="9" t="s">
        <v>16</v>
      </c>
      <c r="E3" s="9" t="s">
        <v>4</v>
      </c>
      <c r="F3" s="4" t="s">
        <v>257</v>
      </c>
    </row>
    <row r="4" customFormat="false" ht="23.85" hidden="false" customHeight="false" outlineLevel="0" collapsed="false">
      <c r="A4" s="9" t="n">
        <v>1</v>
      </c>
      <c r="B4" s="9" t="s">
        <v>14</v>
      </c>
      <c r="C4" s="9" t="s">
        <v>15</v>
      </c>
      <c r="D4" s="9" t="s">
        <v>16</v>
      </c>
      <c r="E4" s="9" t="s">
        <v>5</v>
      </c>
      <c r="F4" s="4" t="s">
        <v>258</v>
      </c>
    </row>
    <row r="5" customFormat="false" ht="23.85" hidden="false" customHeight="false" outlineLevel="0" collapsed="false">
      <c r="A5" s="9" t="n">
        <v>1</v>
      </c>
      <c r="B5" s="9" t="s">
        <v>14</v>
      </c>
      <c r="C5" s="9" t="s">
        <v>15</v>
      </c>
      <c r="D5" s="9" t="s">
        <v>16</v>
      </c>
      <c r="E5" s="9" t="s">
        <v>5</v>
      </c>
      <c r="F5" s="4" t="s">
        <v>259</v>
      </c>
    </row>
    <row r="6" customFormat="false" ht="15" hidden="false" customHeight="false" outlineLevel="0" collapsed="false">
      <c r="A6" s="9" t="n">
        <v>1</v>
      </c>
      <c r="B6" s="9" t="s">
        <v>14</v>
      </c>
      <c r="C6" s="9" t="s">
        <v>15</v>
      </c>
      <c r="D6" s="9" t="s">
        <v>16</v>
      </c>
      <c r="E6" s="9" t="s">
        <v>6</v>
      </c>
      <c r="F6" s="4" t="s">
        <v>260</v>
      </c>
    </row>
    <row r="7" customFormat="false" ht="57.45" hidden="false" customHeight="false" outlineLevel="0" collapsed="false">
      <c r="A7" s="9" t="n">
        <v>1</v>
      </c>
      <c r="B7" s="9" t="s">
        <v>14</v>
      </c>
      <c r="C7" s="9" t="s">
        <v>15</v>
      </c>
      <c r="D7" s="9" t="s">
        <v>16</v>
      </c>
      <c r="E7" s="9" t="s">
        <v>6</v>
      </c>
      <c r="F7" s="4" t="s">
        <v>261</v>
      </c>
    </row>
    <row r="8" customFormat="false" ht="15" hidden="false" customHeight="false" outlineLevel="0" collapsed="false">
      <c r="A8" s="9" t="n">
        <v>1</v>
      </c>
      <c r="B8" s="9" t="s">
        <v>14</v>
      </c>
      <c r="C8" s="9" t="s">
        <v>15</v>
      </c>
      <c r="D8" s="9" t="s">
        <v>16</v>
      </c>
      <c r="E8" s="9" t="s">
        <v>6</v>
      </c>
      <c r="F8" s="4" t="s">
        <v>262</v>
      </c>
    </row>
    <row r="9" customFormat="false" ht="23.85" hidden="false" customHeight="false" outlineLevel="0" collapsed="false">
      <c r="A9" s="9" t="n">
        <v>1</v>
      </c>
      <c r="B9" s="9" t="s">
        <v>14</v>
      </c>
      <c r="C9" s="9" t="s">
        <v>15</v>
      </c>
      <c r="D9" s="9" t="s">
        <v>16</v>
      </c>
      <c r="E9" s="9" t="s">
        <v>7</v>
      </c>
      <c r="F9" s="4" t="s">
        <v>263</v>
      </c>
    </row>
    <row r="10" customFormat="false" ht="35.05" hidden="false" customHeight="false" outlineLevel="0" collapsed="false">
      <c r="A10" s="9" t="n">
        <v>1</v>
      </c>
      <c r="B10" s="9" t="s">
        <v>14</v>
      </c>
      <c r="C10" s="9" t="s">
        <v>15</v>
      </c>
      <c r="D10" s="9" t="s">
        <v>16</v>
      </c>
      <c r="E10" s="9" t="s">
        <v>7</v>
      </c>
      <c r="F10" s="4" t="s">
        <v>264</v>
      </c>
    </row>
    <row r="11" customFormat="false" ht="35.05" hidden="false" customHeight="false" outlineLevel="0" collapsed="false">
      <c r="A11" s="9" t="n">
        <v>1</v>
      </c>
      <c r="B11" s="9" t="s">
        <v>14</v>
      </c>
      <c r="C11" s="9" t="s">
        <v>15</v>
      </c>
      <c r="D11" s="9" t="s">
        <v>16</v>
      </c>
      <c r="E11" s="9" t="s">
        <v>7</v>
      </c>
      <c r="F11" s="4" t="s">
        <v>265</v>
      </c>
    </row>
    <row r="12" customFormat="false" ht="35.05" hidden="false" customHeight="false" outlineLevel="0" collapsed="false">
      <c r="A12" s="9" t="n">
        <v>1</v>
      </c>
      <c r="B12" s="9" t="s">
        <v>14</v>
      </c>
      <c r="C12" s="9" t="s">
        <v>15</v>
      </c>
      <c r="D12" s="9" t="s">
        <v>16</v>
      </c>
      <c r="E12" s="9" t="s">
        <v>7</v>
      </c>
      <c r="F12" s="4" t="s">
        <v>266</v>
      </c>
    </row>
    <row r="13" customFormat="false" ht="23.85" hidden="false" customHeight="false" outlineLevel="0" collapsed="false">
      <c r="A13" s="9" t="n">
        <v>1</v>
      </c>
      <c r="B13" s="9" t="s">
        <v>14</v>
      </c>
      <c r="C13" s="9" t="s">
        <v>15</v>
      </c>
      <c r="D13" s="9" t="s">
        <v>16</v>
      </c>
      <c r="E13" s="9" t="s">
        <v>7</v>
      </c>
      <c r="F13" s="4" t="s">
        <v>267</v>
      </c>
    </row>
    <row r="14" customFormat="false" ht="35.05" hidden="false" customHeight="false" outlineLevel="0" collapsed="false">
      <c r="A14" s="9" t="n">
        <v>1</v>
      </c>
      <c r="B14" s="9" t="s">
        <v>14</v>
      </c>
      <c r="C14" s="9" t="s">
        <v>15</v>
      </c>
      <c r="D14" s="9" t="s">
        <v>16</v>
      </c>
      <c r="E14" s="9" t="s">
        <v>7</v>
      </c>
      <c r="F14" s="4" t="s">
        <v>268</v>
      </c>
    </row>
    <row r="15" customFormat="false" ht="35.05" hidden="false" customHeight="false" outlineLevel="0" collapsed="false">
      <c r="A15" s="9" t="n">
        <v>1</v>
      </c>
      <c r="B15" s="9" t="s">
        <v>14</v>
      </c>
      <c r="C15" s="9" t="s">
        <v>15</v>
      </c>
      <c r="D15" s="9" t="s">
        <v>16</v>
      </c>
      <c r="E15" s="9" t="s">
        <v>7</v>
      </c>
      <c r="F15" s="4" t="s">
        <v>269</v>
      </c>
    </row>
    <row r="16" customFormat="false" ht="23.85" hidden="false" customHeight="false" outlineLevel="0" collapsed="false">
      <c r="A16" s="9" t="n">
        <v>1</v>
      </c>
      <c r="B16" s="9" t="s">
        <v>14</v>
      </c>
      <c r="C16" s="9" t="s">
        <v>15</v>
      </c>
      <c r="D16" s="9" t="s">
        <v>16</v>
      </c>
      <c r="E16" s="9" t="s">
        <v>8</v>
      </c>
      <c r="F16" s="4" t="s">
        <v>270</v>
      </c>
    </row>
    <row r="17" customFormat="false" ht="68.65" hidden="false" customHeight="false" outlineLevel="0" collapsed="false">
      <c r="A17" s="9" t="n">
        <v>1</v>
      </c>
      <c r="B17" s="9" t="s">
        <v>14</v>
      </c>
      <c r="C17" s="9" t="s">
        <v>15</v>
      </c>
      <c r="D17" s="9" t="s">
        <v>16</v>
      </c>
      <c r="E17" s="9" t="s">
        <v>8</v>
      </c>
      <c r="F17" s="4" t="s">
        <v>271</v>
      </c>
    </row>
    <row r="18" customFormat="false" ht="23.85" hidden="false" customHeight="false" outlineLevel="0" collapsed="false">
      <c r="A18" s="9" t="n">
        <v>1</v>
      </c>
      <c r="B18" s="9" t="s">
        <v>14</v>
      </c>
      <c r="C18" s="9" t="s">
        <v>15</v>
      </c>
      <c r="D18" s="9" t="s">
        <v>16</v>
      </c>
      <c r="E18" s="9" t="s">
        <v>8</v>
      </c>
      <c r="F18" s="4" t="s">
        <v>272</v>
      </c>
    </row>
    <row r="19" customFormat="false" ht="35.05" hidden="false" customHeight="false" outlineLevel="0" collapsed="false">
      <c r="A19" s="9" t="n">
        <v>1</v>
      </c>
      <c r="B19" s="9" t="s">
        <v>14</v>
      </c>
      <c r="C19" s="9" t="s">
        <v>15</v>
      </c>
      <c r="D19" s="9" t="s">
        <v>16</v>
      </c>
      <c r="E19" s="9" t="s">
        <v>8</v>
      </c>
      <c r="F19" s="4" t="s">
        <v>273</v>
      </c>
    </row>
    <row r="20" customFormat="false" ht="15" hidden="false" customHeight="false" outlineLevel="0" collapsed="false">
      <c r="A20" s="9" t="n">
        <v>1</v>
      </c>
      <c r="B20" s="9" t="s">
        <v>14</v>
      </c>
      <c r="C20" s="9" t="s">
        <v>15</v>
      </c>
      <c r="D20" s="9" t="s">
        <v>16</v>
      </c>
      <c r="E20" s="9" t="s">
        <v>8</v>
      </c>
      <c r="F20" s="4" t="s">
        <v>274</v>
      </c>
    </row>
    <row r="21" customFormat="false" ht="46.25" hidden="false" customHeight="false" outlineLevel="0" collapsed="false">
      <c r="A21" s="9" t="n">
        <v>1</v>
      </c>
      <c r="B21" s="9" t="s">
        <v>14</v>
      </c>
      <c r="C21" s="9" t="s">
        <v>15</v>
      </c>
      <c r="D21" s="9" t="s">
        <v>16</v>
      </c>
      <c r="E21" s="9" t="s">
        <v>8</v>
      </c>
      <c r="F21" s="4" t="s">
        <v>275</v>
      </c>
    </row>
    <row r="22" customFormat="false" ht="35.05" hidden="false" customHeight="false" outlineLevel="0" collapsed="false">
      <c r="A22" s="9" t="n">
        <v>1</v>
      </c>
      <c r="B22" s="9" t="s">
        <v>14</v>
      </c>
      <c r="C22" s="9" t="s">
        <v>15</v>
      </c>
      <c r="D22" s="9" t="s">
        <v>16</v>
      </c>
      <c r="E22" s="9" t="s">
        <v>8</v>
      </c>
      <c r="F22" s="4" t="s">
        <v>276</v>
      </c>
    </row>
    <row r="23" customFormat="false" ht="23.85" hidden="false" customHeight="false" outlineLevel="0" collapsed="false">
      <c r="A23" s="9" t="n">
        <v>1</v>
      </c>
      <c r="B23" s="9" t="s">
        <v>14</v>
      </c>
      <c r="C23" s="9" t="s">
        <v>15</v>
      </c>
      <c r="D23" s="9" t="s">
        <v>16</v>
      </c>
      <c r="E23" s="9" t="s">
        <v>8</v>
      </c>
      <c r="F23" s="4" t="s">
        <v>277</v>
      </c>
    </row>
    <row r="24" customFormat="false" ht="35.05" hidden="false" customHeight="false" outlineLevel="0" collapsed="false">
      <c r="A24" s="9" t="n">
        <v>1</v>
      </c>
      <c r="B24" s="9" t="s">
        <v>14</v>
      </c>
      <c r="C24" s="9" t="s">
        <v>15</v>
      </c>
      <c r="D24" s="9" t="s">
        <v>16</v>
      </c>
      <c r="E24" s="9" t="s">
        <v>10</v>
      </c>
      <c r="F24" s="4" t="s">
        <v>278</v>
      </c>
    </row>
    <row r="25" customFormat="false" ht="23.85" hidden="false" customHeight="false" outlineLevel="0" collapsed="false">
      <c r="A25" s="9" t="n">
        <v>1</v>
      </c>
      <c r="B25" s="9" t="s">
        <v>14</v>
      </c>
      <c r="C25" s="9" t="s">
        <v>15</v>
      </c>
      <c r="D25" s="9" t="s">
        <v>16</v>
      </c>
      <c r="E25" s="9" t="s">
        <v>10</v>
      </c>
      <c r="F25" s="4" t="s">
        <v>279</v>
      </c>
    </row>
    <row r="26" customFormat="false" ht="46.25" hidden="false" customHeight="false" outlineLevel="0" collapsed="false">
      <c r="A26" s="9" t="n">
        <v>1</v>
      </c>
      <c r="B26" s="9" t="s">
        <v>14</v>
      </c>
      <c r="C26" s="9" t="s">
        <v>15</v>
      </c>
      <c r="D26" s="9" t="s">
        <v>16</v>
      </c>
      <c r="E26" s="9" t="s">
        <v>11</v>
      </c>
      <c r="F26" s="4" t="s">
        <v>280</v>
      </c>
    </row>
    <row r="27" customFormat="false" ht="23.85" hidden="false" customHeight="false" outlineLevel="0" collapsed="false">
      <c r="A27" s="9" t="n">
        <v>1</v>
      </c>
      <c r="B27" s="9" t="s">
        <v>14</v>
      </c>
      <c r="C27" s="9" t="s">
        <v>15</v>
      </c>
      <c r="D27" s="9" t="s">
        <v>16</v>
      </c>
      <c r="E27" s="9" t="s">
        <v>11</v>
      </c>
      <c r="F27" s="4" t="s">
        <v>281</v>
      </c>
    </row>
    <row r="28" customFormat="false" ht="35.05" hidden="false" customHeight="false" outlineLevel="0" collapsed="false">
      <c r="A28" s="9" t="n">
        <v>1</v>
      </c>
      <c r="B28" s="9" t="s">
        <v>14</v>
      </c>
      <c r="C28" s="9" t="s">
        <v>15</v>
      </c>
      <c r="D28" s="9" t="s">
        <v>16</v>
      </c>
      <c r="E28" s="9" t="s">
        <v>12</v>
      </c>
      <c r="F28" s="4" t="s">
        <v>282</v>
      </c>
    </row>
    <row r="29" customFormat="false" ht="46.25" hidden="false" customHeight="false" outlineLevel="0" collapsed="false">
      <c r="A29" s="9" t="n">
        <v>1</v>
      </c>
      <c r="B29" s="9" t="s">
        <v>14</v>
      </c>
      <c r="C29" s="9" t="s">
        <v>15</v>
      </c>
      <c r="D29" s="9" t="s">
        <v>16</v>
      </c>
      <c r="E29" s="9" t="s">
        <v>13</v>
      </c>
      <c r="F29" s="4" t="s">
        <v>283</v>
      </c>
    </row>
    <row r="30" customFormat="false" ht="35.05" hidden="false" customHeight="false" outlineLevel="0" collapsed="false">
      <c r="A30" s="9" t="n">
        <v>1</v>
      </c>
      <c r="B30" s="9" t="s">
        <v>14</v>
      </c>
      <c r="C30" s="9" t="s">
        <v>15</v>
      </c>
      <c r="D30" s="9" t="s">
        <v>16</v>
      </c>
      <c r="E30" s="9" t="s">
        <v>13</v>
      </c>
      <c r="F30" s="4" t="s">
        <v>284</v>
      </c>
    </row>
    <row r="31" customFormat="false" ht="15" hidden="false" customHeight="false" outlineLevel="0" collapsed="false">
      <c r="A31" s="9" t="n">
        <v>2</v>
      </c>
      <c r="B31" s="9" t="s">
        <v>26</v>
      </c>
      <c r="C31" s="9" t="s">
        <v>27</v>
      </c>
      <c r="D31" s="9" t="s">
        <v>16</v>
      </c>
      <c r="E31" s="9" t="s">
        <v>5</v>
      </c>
      <c r="F31" s="4" t="s">
        <v>285</v>
      </c>
    </row>
    <row r="32" customFormat="false" ht="23.85" hidden="false" customHeight="false" outlineLevel="0" collapsed="false">
      <c r="A32" s="9" t="n">
        <v>2</v>
      </c>
      <c r="B32" s="9" t="s">
        <v>26</v>
      </c>
      <c r="C32" s="9" t="s">
        <v>27</v>
      </c>
      <c r="D32" s="9" t="s">
        <v>16</v>
      </c>
      <c r="E32" s="9" t="s">
        <v>6</v>
      </c>
      <c r="F32" s="4" t="s">
        <v>286</v>
      </c>
    </row>
    <row r="33" customFormat="false" ht="35.05" hidden="false" customHeight="false" outlineLevel="0" collapsed="false">
      <c r="A33" s="9" t="n">
        <v>2</v>
      </c>
      <c r="B33" s="9" t="s">
        <v>26</v>
      </c>
      <c r="C33" s="9" t="s">
        <v>27</v>
      </c>
      <c r="D33" s="9" t="s">
        <v>16</v>
      </c>
      <c r="E33" s="9" t="s">
        <v>6</v>
      </c>
      <c r="F33" s="4" t="s">
        <v>287</v>
      </c>
    </row>
    <row r="34" customFormat="false" ht="15" hidden="false" customHeight="false" outlineLevel="0" collapsed="false">
      <c r="A34" s="9" t="n">
        <v>2</v>
      </c>
      <c r="B34" s="9" t="s">
        <v>26</v>
      </c>
      <c r="C34" s="9" t="s">
        <v>27</v>
      </c>
      <c r="D34" s="9" t="s">
        <v>16</v>
      </c>
      <c r="E34" s="9" t="s">
        <v>6</v>
      </c>
      <c r="F34" s="4" t="s">
        <v>288</v>
      </c>
    </row>
    <row r="35" customFormat="false" ht="23.85" hidden="false" customHeight="false" outlineLevel="0" collapsed="false">
      <c r="A35" s="9" t="n">
        <v>2</v>
      </c>
      <c r="B35" s="9" t="s">
        <v>26</v>
      </c>
      <c r="C35" s="9" t="s">
        <v>27</v>
      </c>
      <c r="D35" s="9" t="s">
        <v>16</v>
      </c>
      <c r="E35" s="9" t="s">
        <v>6</v>
      </c>
      <c r="F35" s="4" t="s">
        <v>289</v>
      </c>
    </row>
    <row r="36" customFormat="false" ht="23.85" hidden="false" customHeight="false" outlineLevel="0" collapsed="false">
      <c r="A36" s="9" t="n">
        <v>2</v>
      </c>
      <c r="B36" s="9" t="s">
        <v>26</v>
      </c>
      <c r="C36" s="9" t="s">
        <v>27</v>
      </c>
      <c r="D36" s="9" t="s">
        <v>16</v>
      </c>
      <c r="E36" s="9" t="s">
        <v>6</v>
      </c>
      <c r="F36" s="4" t="s">
        <v>290</v>
      </c>
    </row>
    <row r="37" customFormat="false" ht="35.05" hidden="false" customHeight="false" outlineLevel="0" collapsed="false">
      <c r="A37" s="9" t="n">
        <v>2</v>
      </c>
      <c r="B37" s="9" t="s">
        <v>26</v>
      </c>
      <c r="C37" s="9" t="s">
        <v>27</v>
      </c>
      <c r="D37" s="9" t="s">
        <v>16</v>
      </c>
      <c r="E37" s="9" t="s">
        <v>6</v>
      </c>
      <c r="F37" s="4" t="s">
        <v>291</v>
      </c>
    </row>
    <row r="38" customFormat="false" ht="35.05" hidden="false" customHeight="false" outlineLevel="0" collapsed="false">
      <c r="A38" s="9" t="n">
        <v>2</v>
      </c>
      <c r="B38" s="9" t="s">
        <v>26</v>
      </c>
      <c r="C38" s="9" t="s">
        <v>27</v>
      </c>
      <c r="D38" s="9" t="s">
        <v>16</v>
      </c>
      <c r="E38" s="9" t="s">
        <v>6</v>
      </c>
      <c r="F38" s="4" t="s">
        <v>292</v>
      </c>
    </row>
    <row r="39" customFormat="false" ht="23.85" hidden="false" customHeight="false" outlineLevel="0" collapsed="false">
      <c r="A39" s="9" t="n">
        <v>2</v>
      </c>
      <c r="B39" s="9" t="s">
        <v>26</v>
      </c>
      <c r="C39" s="9" t="s">
        <v>27</v>
      </c>
      <c r="D39" s="9" t="s">
        <v>16</v>
      </c>
      <c r="E39" s="9" t="s">
        <v>6</v>
      </c>
      <c r="F39" s="4" t="s">
        <v>293</v>
      </c>
    </row>
    <row r="40" customFormat="false" ht="46.25" hidden="false" customHeight="false" outlineLevel="0" collapsed="false">
      <c r="A40" s="9" t="n">
        <v>2</v>
      </c>
      <c r="B40" s="9" t="s">
        <v>26</v>
      </c>
      <c r="C40" s="9" t="s">
        <v>27</v>
      </c>
      <c r="D40" s="9" t="s">
        <v>16</v>
      </c>
      <c r="E40" s="9" t="s">
        <v>7</v>
      </c>
      <c r="F40" s="4" t="s">
        <v>294</v>
      </c>
    </row>
    <row r="41" customFormat="false" ht="35.05" hidden="false" customHeight="false" outlineLevel="0" collapsed="false">
      <c r="A41" s="9" t="n">
        <v>2</v>
      </c>
      <c r="B41" s="9" t="s">
        <v>26</v>
      </c>
      <c r="C41" s="9" t="s">
        <v>27</v>
      </c>
      <c r="D41" s="9" t="s">
        <v>16</v>
      </c>
      <c r="E41" s="9" t="s">
        <v>7</v>
      </c>
      <c r="F41" s="4" t="s">
        <v>295</v>
      </c>
    </row>
    <row r="42" customFormat="false" ht="23.85" hidden="false" customHeight="false" outlineLevel="0" collapsed="false">
      <c r="A42" s="9" t="n">
        <v>2</v>
      </c>
      <c r="B42" s="9" t="s">
        <v>26</v>
      </c>
      <c r="C42" s="9" t="s">
        <v>27</v>
      </c>
      <c r="D42" s="9" t="s">
        <v>16</v>
      </c>
      <c r="E42" s="9" t="s">
        <v>7</v>
      </c>
      <c r="F42" s="4" t="s">
        <v>296</v>
      </c>
    </row>
    <row r="43" customFormat="false" ht="46.25" hidden="false" customHeight="false" outlineLevel="0" collapsed="false">
      <c r="A43" s="9" t="n">
        <v>2</v>
      </c>
      <c r="B43" s="9" t="s">
        <v>26</v>
      </c>
      <c r="C43" s="9" t="s">
        <v>27</v>
      </c>
      <c r="D43" s="9" t="s">
        <v>16</v>
      </c>
      <c r="E43" s="9" t="s">
        <v>7</v>
      </c>
      <c r="F43" s="4" t="s">
        <v>297</v>
      </c>
    </row>
    <row r="44" customFormat="false" ht="23.85" hidden="false" customHeight="false" outlineLevel="0" collapsed="false">
      <c r="A44" s="9" t="n">
        <v>2</v>
      </c>
      <c r="B44" s="9" t="s">
        <v>26</v>
      </c>
      <c r="C44" s="9" t="s">
        <v>27</v>
      </c>
      <c r="D44" s="9" t="s">
        <v>16</v>
      </c>
      <c r="E44" s="9" t="s">
        <v>7</v>
      </c>
      <c r="F44" s="4" t="s">
        <v>298</v>
      </c>
    </row>
    <row r="45" customFormat="false" ht="23.85" hidden="false" customHeight="false" outlineLevel="0" collapsed="false">
      <c r="A45" s="9" t="n">
        <v>2</v>
      </c>
      <c r="B45" s="9" t="s">
        <v>26</v>
      </c>
      <c r="C45" s="9" t="s">
        <v>27</v>
      </c>
      <c r="D45" s="9" t="s">
        <v>16</v>
      </c>
      <c r="E45" s="9" t="s">
        <v>7</v>
      </c>
      <c r="F45" s="4" t="s">
        <v>299</v>
      </c>
    </row>
    <row r="46" customFormat="false" ht="15" hidden="false" customHeight="false" outlineLevel="0" collapsed="false">
      <c r="A46" s="9" t="n">
        <v>2</v>
      </c>
      <c r="B46" s="9" t="s">
        <v>26</v>
      </c>
      <c r="C46" s="9" t="s">
        <v>27</v>
      </c>
      <c r="D46" s="9" t="s">
        <v>16</v>
      </c>
      <c r="E46" s="9" t="s">
        <v>8</v>
      </c>
      <c r="F46" s="4" t="s">
        <v>300</v>
      </c>
    </row>
    <row r="47" customFormat="false" ht="23.85" hidden="false" customHeight="false" outlineLevel="0" collapsed="false">
      <c r="A47" s="9" t="n">
        <v>2</v>
      </c>
      <c r="B47" s="9" t="s">
        <v>26</v>
      </c>
      <c r="C47" s="9" t="s">
        <v>27</v>
      </c>
      <c r="D47" s="9" t="s">
        <v>16</v>
      </c>
      <c r="E47" s="9" t="s">
        <v>8</v>
      </c>
      <c r="F47" s="4" t="s">
        <v>301</v>
      </c>
    </row>
    <row r="48" customFormat="false" ht="35.05" hidden="false" customHeight="false" outlineLevel="0" collapsed="false">
      <c r="A48" s="9" t="n">
        <v>2</v>
      </c>
      <c r="B48" s="9" t="s">
        <v>26</v>
      </c>
      <c r="C48" s="9" t="s">
        <v>27</v>
      </c>
      <c r="D48" s="9" t="s">
        <v>16</v>
      </c>
      <c r="E48" s="9" t="s">
        <v>8</v>
      </c>
      <c r="F48" s="4" t="s">
        <v>302</v>
      </c>
    </row>
    <row r="49" customFormat="false" ht="35.05" hidden="false" customHeight="false" outlineLevel="0" collapsed="false">
      <c r="A49" s="9" t="n">
        <v>2</v>
      </c>
      <c r="B49" s="9" t="s">
        <v>26</v>
      </c>
      <c r="C49" s="9" t="s">
        <v>27</v>
      </c>
      <c r="D49" s="9" t="s">
        <v>16</v>
      </c>
      <c r="E49" s="9" t="s">
        <v>8</v>
      </c>
      <c r="F49" s="4" t="s">
        <v>303</v>
      </c>
    </row>
    <row r="50" customFormat="false" ht="35.05" hidden="false" customHeight="false" outlineLevel="0" collapsed="false">
      <c r="A50" s="9" t="n">
        <v>2</v>
      </c>
      <c r="B50" s="9" t="s">
        <v>26</v>
      </c>
      <c r="C50" s="9" t="s">
        <v>27</v>
      </c>
      <c r="D50" s="9" t="s">
        <v>16</v>
      </c>
      <c r="E50" s="9" t="s">
        <v>8</v>
      </c>
      <c r="F50" s="4" t="s">
        <v>304</v>
      </c>
    </row>
    <row r="51" customFormat="false" ht="23.85" hidden="false" customHeight="false" outlineLevel="0" collapsed="false">
      <c r="A51" s="9" t="n">
        <v>2</v>
      </c>
      <c r="B51" s="9" t="s">
        <v>26</v>
      </c>
      <c r="C51" s="9" t="s">
        <v>27</v>
      </c>
      <c r="D51" s="9" t="s">
        <v>16</v>
      </c>
      <c r="E51" s="9" t="s">
        <v>8</v>
      </c>
      <c r="F51" s="4" t="s">
        <v>305</v>
      </c>
    </row>
    <row r="52" customFormat="false" ht="23.85" hidden="false" customHeight="false" outlineLevel="0" collapsed="false">
      <c r="A52" s="9" t="n">
        <v>2</v>
      </c>
      <c r="B52" s="9" t="s">
        <v>26</v>
      </c>
      <c r="C52" s="9" t="s">
        <v>27</v>
      </c>
      <c r="D52" s="9" t="s">
        <v>16</v>
      </c>
      <c r="E52" s="9" t="s">
        <v>8</v>
      </c>
      <c r="F52" s="4" t="s">
        <v>306</v>
      </c>
    </row>
    <row r="53" customFormat="false" ht="35.05" hidden="false" customHeight="false" outlineLevel="0" collapsed="false">
      <c r="A53" s="9" t="n">
        <v>2</v>
      </c>
      <c r="B53" s="9" t="s">
        <v>26</v>
      </c>
      <c r="C53" s="9" t="s">
        <v>27</v>
      </c>
      <c r="D53" s="9" t="s">
        <v>16</v>
      </c>
      <c r="E53" s="9" t="s">
        <v>8</v>
      </c>
      <c r="F53" s="4" t="s">
        <v>307</v>
      </c>
    </row>
    <row r="54" customFormat="false" ht="23.85" hidden="false" customHeight="false" outlineLevel="0" collapsed="false">
      <c r="A54" s="9" t="n">
        <v>2</v>
      </c>
      <c r="B54" s="9" t="s">
        <v>26</v>
      </c>
      <c r="C54" s="9" t="s">
        <v>27</v>
      </c>
      <c r="D54" s="9" t="s">
        <v>16</v>
      </c>
      <c r="E54" s="9" t="s">
        <v>8</v>
      </c>
      <c r="F54" s="4" t="s">
        <v>308</v>
      </c>
    </row>
    <row r="55" customFormat="false" ht="35.05" hidden="false" customHeight="false" outlineLevel="0" collapsed="false">
      <c r="A55" s="9" t="n">
        <v>2</v>
      </c>
      <c r="B55" s="9" t="s">
        <v>26</v>
      </c>
      <c r="C55" s="9" t="s">
        <v>27</v>
      </c>
      <c r="D55" s="9" t="s">
        <v>16</v>
      </c>
      <c r="E55" s="9" t="s">
        <v>8</v>
      </c>
      <c r="F55" s="4" t="s">
        <v>309</v>
      </c>
    </row>
    <row r="56" customFormat="false" ht="35.05" hidden="false" customHeight="false" outlineLevel="0" collapsed="false">
      <c r="A56" s="9" t="n">
        <v>2</v>
      </c>
      <c r="B56" s="9" t="s">
        <v>26</v>
      </c>
      <c r="C56" s="9" t="s">
        <v>27</v>
      </c>
      <c r="D56" s="9" t="s">
        <v>16</v>
      </c>
      <c r="E56" s="9" t="s">
        <v>8</v>
      </c>
      <c r="F56" s="4" t="s">
        <v>310</v>
      </c>
    </row>
    <row r="57" customFormat="false" ht="35.05" hidden="false" customHeight="false" outlineLevel="0" collapsed="false">
      <c r="A57" s="9" t="n">
        <v>2</v>
      </c>
      <c r="B57" s="9" t="s">
        <v>26</v>
      </c>
      <c r="C57" s="9" t="s">
        <v>27</v>
      </c>
      <c r="D57" s="9" t="s">
        <v>16</v>
      </c>
      <c r="E57" s="9" t="s">
        <v>9</v>
      </c>
      <c r="F57" s="4" t="s">
        <v>311</v>
      </c>
    </row>
    <row r="58" customFormat="false" ht="35.05" hidden="false" customHeight="false" outlineLevel="0" collapsed="false">
      <c r="A58" s="9" t="n">
        <v>2</v>
      </c>
      <c r="B58" s="9" t="s">
        <v>26</v>
      </c>
      <c r="C58" s="9" t="s">
        <v>27</v>
      </c>
      <c r="D58" s="9" t="s">
        <v>16</v>
      </c>
      <c r="E58" s="9" t="s">
        <v>10</v>
      </c>
      <c r="F58" s="4" t="s">
        <v>312</v>
      </c>
    </row>
    <row r="59" customFormat="false" ht="35.05" hidden="false" customHeight="false" outlineLevel="0" collapsed="false">
      <c r="A59" s="9" t="n">
        <v>2</v>
      </c>
      <c r="B59" s="9" t="s">
        <v>26</v>
      </c>
      <c r="C59" s="9" t="s">
        <v>27</v>
      </c>
      <c r="D59" s="9" t="s">
        <v>16</v>
      </c>
      <c r="E59" s="9" t="s">
        <v>10</v>
      </c>
      <c r="F59" s="4" t="s">
        <v>313</v>
      </c>
    </row>
    <row r="60" customFormat="false" ht="35.05" hidden="false" customHeight="false" outlineLevel="0" collapsed="false">
      <c r="A60" s="9" t="n">
        <v>2</v>
      </c>
      <c r="B60" s="9" t="s">
        <v>26</v>
      </c>
      <c r="C60" s="9" t="s">
        <v>27</v>
      </c>
      <c r="D60" s="9" t="s">
        <v>16</v>
      </c>
      <c r="E60" s="9" t="s">
        <v>10</v>
      </c>
      <c r="F60" s="4" t="s">
        <v>314</v>
      </c>
    </row>
    <row r="61" customFormat="false" ht="35.05" hidden="false" customHeight="false" outlineLevel="0" collapsed="false">
      <c r="A61" s="9" t="n">
        <v>2</v>
      </c>
      <c r="B61" s="9" t="s">
        <v>26</v>
      </c>
      <c r="C61" s="9" t="s">
        <v>27</v>
      </c>
      <c r="D61" s="9" t="s">
        <v>16</v>
      </c>
      <c r="E61" s="9" t="s">
        <v>12</v>
      </c>
      <c r="F61" s="4" t="s">
        <v>315</v>
      </c>
    </row>
    <row r="62" customFormat="false" ht="35.05" hidden="false" customHeight="false" outlineLevel="0" collapsed="false">
      <c r="A62" s="9" t="n">
        <v>2</v>
      </c>
      <c r="B62" s="9" t="s">
        <v>26</v>
      </c>
      <c r="C62" s="9" t="s">
        <v>27</v>
      </c>
      <c r="D62" s="9" t="s">
        <v>16</v>
      </c>
      <c r="E62" s="9" t="s">
        <v>13</v>
      </c>
      <c r="F62" s="4" t="s">
        <v>316</v>
      </c>
    </row>
    <row r="63" customFormat="false" ht="23.85" hidden="false" customHeight="false" outlineLevel="0" collapsed="false">
      <c r="A63" s="9" t="n">
        <v>3</v>
      </c>
      <c r="B63" s="9" t="s">
        <v>36</v>
      </c>
      <c r="C63" s="9" t="s">
        <v>37</v>
      </c>
      <c r="D63" s="9" t="s">
        <v>16</v>
      </c>
      <c r="E63" s="9" t="s">
        <v>4</v>
      </c>
      <c r="F63" s="4" t="s">
        <v>317</v>
      </c>
    </row>
    <row r="64" customFormat="false" ht="23.85" hidden="false" customHeight="false" outlineLevel="0" collapsed="false">
      <c r="A64" s="9" t="n">
        <v>3</v>
      </c>
      <c r="B64" s="9" t="s">
        <v>36</v>
      </c>
      <c r="C64" s="9" t="s">
        <v>37</v>
      </c>
      <c r="D64" s="9" t="s">
        <v>16</v>
      </c>
      <c r="E64" s="9" t="s">
        <v>5</v>
      </c>
      <c r="F64" s="4" t="s">
        <v>318</v>
      </c>
    </row>
    <row r="65" customFormat="false" ht="35.05" hidden="false" customHeight="false" outlineLevel="0" collapsed="false">
      <c r="A65" s="9" t="n">
        <v>3</v>
      </c>
      <c r="B65" s="9" t="s">
        <v>36</v>
      </c>
      <c r="C65" s="9" t="s">
        <v>37</v>
      </c>
      <c r="D65" s="9" t="s">
        <v>16</v>
      </c>
      <c r="E65" s="9" t="s">
        <v>5</v>
      </c>
      <c r="F65" s="4" t="s">
        <v>319</v>
      </c>
    </row>
    <row r="66" customFormat="false" ht="35.05" hidden="false" customHeight="false" outlineLevel="0" collapsed="false">
      <c r="A66" s="9" t="n">
        <v>3</v>
      </c>
      <c r="B66" s="9" t="s">
        <v>36</v>
      </c>
      <c r="C66" s="9" t="s">
        <v>37</v>
      </c>
      <c r="D66" s="9" t="s">
        <v>16</v>
      </c>
      <c r="E66" s="9" t="s">
        <v>6</v>
      </c>
      <c r="F66" s="4" t="s">
        <v>320</v>
      </c>
    </row>
    <row r="67" customFormat="false" ht="46.25" hidden="false" customHeight="false" outlineLevel="0" collapsed="false">
      <c r="A67" s="9" t="n">
        <v>3</v>
      </c>
      <c r="B67" s="9" t="s">
        <v>36</v>
      </c>
      <c r="C67" s="9" t="s">
        <v>37</v>
      </c>
      <c r="D67" s="9" t="s">
        <v>16</v>
      </c>
      <c r="E67" s="9" t="s">
        <v>6</v>
      </c>
      <c r="F67" s="4" t="s">
        <v>321</v>
      </c>
    </row>
    <row r="68" customFormat="false" ht="35.05" hidden="false" customHeight="false" outlineLevel="0" collapsed="false">
      <c r="A68" s="9" t="n">
        <v>3</v>
      </c>
      <c r="B68" s="9" t="s">
        <v>36</v>
      </c>
      <c r="C68" s="9" t="s">
        <v>37</v>
      </c>
      <c r="D68" s="9" t="s">
        <v>16</v>
      </c>
      <c r="E68" s="9" t="s">
        <v>6</v>
      </c>
      <c r="F68" s="4" t="s">
        <v>322</v>
      </c>
    </row>
    <row r="69" customFormat="false" ht="23.85" hidden="false" customHeight="false" outlineLevel="0" collapsed="false">
      <c r="A69" s="9" t="n">
        <v>3</v>
      </c>
      <c r="B69" s="9" t="s">
        <v>36</v>
      </c>
      <c r="C69" s="9" t="s">
        <v>37</v>
      </c>
      <c r="D69" s="9" t="s">
        <v>16</v>
      </c>
      <c r="E69" s="9" t="s">
        <v>7</v>
      </c>
      <c r="F69" s="4" t="s">
        <v>323</v>
      </c>
    </row>
    <row r="70" customFormat="false" ht="23.85" hidden="false" customHeight="false" outlineLevel="0" collapsed="false">
      <c r="A70" s="9" t="n">
        <v>3</v>
      </c>
      <c r="B70" s="9" t="s">
        <v>36</v>
      </c>
      <c r="C70" s="9" t="s">
        <v>37</v>
      </c>
      <c r="D70" s="9" t="s">
        <v>16</v>
      </c>
      <c r="E70" s="9" t="s">
        <v>7</v>
      </c>
      <c r="F70" s="4" t="s">
        <v>324</v>
      </c>
    </row>
    <row r="71" customFormat="false" ht="46.25" hidden="false" customHeight="false" outlineLevel="0" collapsed="false">
      <c r="A71" s="9" t="n">
        <v>3</v>
      </c>
      <c r="B71" s="9" t="s">
        <v>36</v>
      </c>
      <c r="C71" s="9" t="s">
        <v>37</v>
      </c>
      <c r="D71" s="9" t="s">
        <v>16</v>
      </c>
      <c r="E71" s="9" t="s">
        <v>7</v>
      </c>
      <c r="F71" s="4" t="s">
        <v>325</v>
      </c>
    </row>
    <row r="72" customFormat="false" ht="23.85" hidden="false" customHeight="false" outlineLevel="0" collapsed="false">
      <c r="A72" s="9" t="n">
        <v>3</v>
      </c>
      <c r="B72" s="9" t="s">
        <v>36</v>
      </c>
      <c r="C72" s="9" t="s">
        <v>37</v>
      </c>
      <c r="D72" s="9" t="s">
        <v>16</v>
      </c>
      <c r="E72" s="9" t="s">
        <v>7</v>
      </c>
      <c r="F72" s="4" t="s">
        <v>326</v>
      </c>
    </row>
    <row r="73" customFormat="false" ht="35.05" hidden="false" customHeight="false" outlineLevel="0" collapsed="false">
      <c r="A73" s="9" t="n">
        <v>3</v>
      </c>
      <c r="B73" s="9" t="s">
        <v>36</v>
      </c>
      <c r="C73" s="9" t="s">
        <v>37</v>
      </c>
      <c r="D73" s="9" t="s">
        <v>16</v>
      </c>
      <c r="E73" s="9" t="s">
        <v>7</v>
      </c>
      <c r="F73" s="4" t="s">
        <v>327</v>
      </c>
    </row>
    <row r="74" customFormat="false" ht="35.05" hidden="false" customHeight="false" outlineLevel="0" collapsed="false">
      <c r="A74" s="9" t="n">
        <v>3</v>
      </c>
      <c r="B74" s="9" t="s">
        <v>36</v>
      </c>
      <c r="C74" s="9" t="s">
        <v>37</v>
      </c>
      <c r="D74" s="9" t="s">
        <v>16</v>
      </c>
      <c r="E74" s="9" t="s">
        <v>7</v>
      </c>
      <c r="F74" s="4" t="s">
        <v>328</v>
      </c>
    </row>
    <row r="75" customFormat="false" ht="46.25" hidden="false" customHeight="false" outlineLevel="0" collapsed="false">
      <c r="A75" s="9" t="n">
        <v>3</v>
      </c>
      <c r="B75" s="9" t="s">
        <v>36</v>
      </c>
      <c r="C75" s="9" t="s">
        <v>37</v>
      </c>
      <c r="D75" s="9" t="s">
        <v>16</v>
      </c>
      <c r="E75" s="9" t="s">
        <v>8</v>
      </c>
      <c r="F75" s="4" t="s">
        <v>329</v>
      </c>
    </row>
    <row r="76" customFormat="false" ht="23.85" hidden="false" customHeight="false" outlineLevel="0" collapsed="false">
      <c r="A76" s="9" t="n">
        <v>3</v>
      </c>
      <c r="B76" s="9" t="s">
        <v>36</v>
      </c>
      <c r="C76" s="9" t="s">
        <v>37</v>
      </c>
      <c r="D76" s="9" t="s">
        <v>16</v>
      </c>
      <c r="E76" s="9" t="s">
        <v>8</v>
      </c>
      <c r="F76" s="4" t="s">
        <v>330</v>
      </c>
    </row>
    <row r="77" customFormat="false" ht="46.25" hidden="false" customHeight="false" outlineLevel="0" collapsed="false">
      <c r="A77" s="9" t="n">
        <v>3</v>
      </c>
      <c r="B77" s="9" t="s">
        <v>36</v>
      </c>
      <c r="C77" s="9" t="s">
        <v>37</v>
      </c>
      <c r="D77" s="9" t="s">
        <v>16</v>
      </c>
      <c r="E77" s="9" t="s">
        <v>8</v>
      </c>
      <c r="F77" s="4" t="s">
        <v>331</v>
      </c>
    </row>
    <row r="78" customFormat="false" ht="23.85" hidden="false" customHeight="false" outlineLevel="0" collapsed="false">
      <c r="A78" s="9" t="n">
        <v>3</v>
      </c>
      <c r="B78" s="9" t="s">
        <v>36</v>
      </c>
      <c r="C78" s="9" t="s">
        <v>37</v>
      </c>
      <c r="D78" s="9" t="s">
        <v>16</v>
      </c>
      <c r="E78" s="9" t="s">
        <v>8</v>
      </c>
      <c r="F78" s="4" t="s">
        <v>332</v>
      </c>
    </row>
    <row r="79" customFormat="false" ht="35.05" hidden="false" customHeight="false" outlineLevel="0" collapsed="false">
      <c r="A79" s="9" t="n">
        <v>3</v>
      </c>
      <c r="B79" s="9" t="s">
        <v>36</v>
      </c>
      <c r="C79" s="9" t="s">
        <v>37</v>
      </c>
      <c r="D79" s="9" t="s">
        <v>16</v>
      </c>
      <c r="E79" s="9" t="s">
        <v>8</v>
      </c>
      <c r="F79" s="4" t="s">
        <v>333</v>
      </c>
    </row>
    <row r="80" customFormat="false" ht="35.05" hidden="false" customHeight="false" outlineLevel="0" collapsed="false">
      <c r="A80" s="9" t="n">
        <v>3</v>
      </c>
      <c r="B80" s="9" t="s">
        <v>36</v>
      </c>
      <c r="C80" s="9" t="s">
        <v>37</v>
      </c>
      <c r="D80" s="9" t="s">
        <v>16</v>
      </c>
      <c r="E80" s="9" t="s">
        <v>8</v>
      </c>
      <c r="F80" s="4" t="s">
        <v>334</v>
      </c>
    </row>
    <row r="81" customFormat="false" ht="35.05" hidden="false" customHeight="false" outlineLevel="0" collapsed="false">
      <c r="A81" s="9" t="n">
        <v>3</v>
      </c>
      <c r="B81" s="9" t="s">
        <v>36</v>
      </c>
      <c r="C81" s="9" t="s">
        <v>37</v>
      </c>
      <c r="D81" s="9" t="s">
        <v>16</v>
      </c>
      <c r="E81" s="9" t="s">
        <v>8</v>
      </c>
      <c r="F81" s="4" t="s">
        <v>335</v>
      </c>
    </row>
    <row r="82" customFormat="false" ht="23.85" hidden="false" customHeight="false" outlineLevel="0" collapsed="false">
      <c r="A82" s="9" t="n">
        <v>3</v>
      </c>
      <c r="B82" s="9" t="s">
        <v>36</v>
      </c>
      <c r="C82" s="9" t="s">
        <v>37</v>
      </c>
      <c r="D82" s="9" t="s">
        <v>16</v>
      </c>
      <c r="E82" s="9" t="s">
        <v>8</v>
      </c>
      <c r="F82" s="4" t="s">
        <v>336</v>
      </c>
    </row>
    <row r="83" customFormat="false" ht="23.85" hidden="false" customHeight="false" outlineLevel="0" collapsed="false">
      <c r="A83" s="9" t="n">
        <v>3</v>
      </c>
      <c r="B83" s="9" t="s">
        <v>36</v>
      </c>
      <c r="C83" s="9" t="s">
        <v>37</v>
      </c>
      <c r="D83" s="9" t="s">
        <v>16</v>
      </c>
      <c r="E83" s="9" t="s">
        <v>9</v>
      </c>
      <c r="F83" s="4" t="s">
        <v>337</v>
      </c>
    </row>
    <row r="84" customFormat="false" ht="35.05" hidden="false" customHeight="false" outlineLevel="0" collapsed="false">
      <c r="A84" s="9" t="n">
        <v>3</v>
      </c>
      <c r="B84" s="9" t="s">
        <v>36</v>
      </c>
      <c r="C84" s="9" t="s">
        <v>37</v>
      </c>
      <c r="D84" s="9" t="s">
        <v>16</v>
      </c>
      <c r="E84" s="9" t="s">
        <v>9</v>
      </c>
      <c r="F84" s="4" t="s">
        <v>338</v>
      </c>
    </row>
    <row r="85" customFormat="false" ht="23.85" hidden="false" customHeight="false" outlineLevel="0" collapsed="false">
      <c r="A85" s="9" t="n">
        <v>3</v>
      </c>
      <c r="B85" s="9" t="s">
        <v>36</v>
      </c>
      <c r="C85" s="9" t="s">
        <v>37</v>
      </c>
      <c r="D85" s="9" t="s">
        <v>16</v>
      </c>
      <c r="E85" s="9" t="s">
        <v>10</v>
      </c>
      <c r="F85" s="4" t="s">
        <v>339</v>
      </c>
    </row>
    <row r="86" customFormat="false" ht="35.05" hidden="false" customHeight="false" outlineLevel="0" collapsed="false">
      <c r="A86" s="9" t="n">
        <v>3</v>
      </c>
      <c r="B86" s="9" t="s">
        <v>36</v>
      </c>
      <c r="C86" s="9" t="s">
        <v>37</v>
      </c>
      <c r="D86" s="9" t="s">
        <v>16</v>
      </c>
      <c r="E86" s="9" t="s">
        <v>12</v>
      </c>
      <c r="F86" s="4" t="s">
        <v>340</v>
      </c>
    </row>
    <row r="87" customFormat="false" ht="35.05" hidden="false" customHeight="false" outlineLevel="0" collapsed="false">
      <c r="A87" s="9" t="n">
        <v>3</v>
      </c>
      <c r="B87" s="9" t="s">
        <v>36</v>
      </c>
      <c r="C87" s="9" t="s">
        <v>37</v>
      </c>
      <c r="D87" s="9" t="s">
        <v>16</v>
      </c>
      <c r="E87" s="9" t="s">
        <v>13</v>
      </c>
      <c r="F87" s="4" t="s">
        <v>341</v>
      </c>
    </row>
    <row r="88" customFormat="false" ht="35.05" hidden="false" customHeight="false" outlineLevel="0" collapsed="false">
      <c r="A88" s="9" t="n">
        <v>3</v>
      </c>
      <c r="B88" s="9" t="s">
        <v>36</v>
      </c>
      <c r="C88" s="9" t="s">
        <v>37</v>
      </c>
      <c r="D88" s="9" t="s">
        <v>16</v>
      </c>
      <c r="E88" s="9" t="s">
        <v>13</v>
      </c>
      <c r="F88" s="4" t="s">
        <v>342</v>
      </c>
    </row>
    <row r="89" customFormat="false" ht="46.25" hidden="false" customHeight="false" outlineLevel="0" collapsed="false">
      <c r="A89" s="9" t="n">
        <v>3</v>
      </c>
      <c r="B89" s="9" t="s">
        <v>36</v>
      </c>
      <c r="C89" s="9" t="s">
        <v>37</v>
      </c>
      <c r="D89" s="9" t="s">
        <v>16</v>
      </c>
      <c r="E89" s="9" t="s">
        <v>13</v>
      </c>
      <c r="F89" s="4" t="s">
        <v>343</v>
      </c>
    </row>
    <row r="90" customFormat="false" ht="35.05" hidden="false" customHeight="false" outlineLevel="0" collapsed="false">
      <c r="A90" s="9" t="n">
        <v>3</v>
      </c>
      <c r="B90" s="9" t="s">
        <v>36</v>
      </c>
      <c r="C90" s="9" t="s">
        <v>37</v>
      </c>
      <c r="D90" s="9" t="s">
        <v>16</v>
      </c>
      <c r="E90" s="9" t="s">
        <v>13</v>
      </c>
      <c r="F90" s="4" t="s">
        <v>344</v>
      </c>
    </row>
    <row r="91" customFormat="false" ht="23.85" hidden="false" customHeight="false" outlineLevel="0" collapsed="false">
      <c r="A91" s="9" t="n">
        <v>3</v>
      </c>
      <c r="B91" s="9" t="s">
        <v>36</v>
      </c>
      <c r="C91" s="9" t="s">
        <v>37</v>
      </c>
      <c r="D91" s="9" t="s">
        <v>16</v>
      </c>
      <c r="E91" s="9" t="s">
        <v>13</v>
      </c>
      <c r="F91" s="4" t="s">
        <v>345</v>
      </c>
    </row>
    <row r="92" customFormat="false" ht="23.85" hidden="false" customHeight="false" outlineLevel="0" collapsed="false">
      <c r="A92" s="9" t="n">
        <v>4</v>
      </c>
      <c r="B92" s="9" t="s">
        <v>47</v>
      </c>
      <c r="C92" s="9" t="s">
        <v>48</v>
      </c>
      <c r="D92" s="9" t="s">
        <v>16</v>
      </c>
      <c r="E92" s="9" t="s">
        <v>5</v>
      </c>
      <c r="F92" s="4" t="s">
        <v>346</v>
      </c>
    </row>
    <row r="93" customFormat="false" ht="35.05" hidden="false" customHeight="false" outlineLevel="0" collapsed="false">
      <c r="A93" s="9" t="n">
        <v>4</v>
      </c>
      <c r="B93" s="9" t="s">
        <v>47</v>
      </c>
      <c r="C93" s="9" t="s">
        <v>48</v>
      </c>
      <c r="D93" s="9" t="s">
        <v>16</v>
      </c>
      <c r="E93" s="9" t="s">
        <v>5</v>
      </c>
      <c r="F93" s="4" t="s">
        <v>347</v>
      </c>
    </row>
    <row r="94" customFormat="false" ht="15" hidden="false" customHeight="false" outlineLevel="0" collapsed="false">
      <c r="A94" s="9" t="n">
        <v>4</v>
      </c>
      <c r="B94" s="9" t="s">
        <v>47</v>
      </c>
      <c r="C94" s="9" t="s">
        <v>48</v>
      </c>
      <c r="D94" s="9" t="s">
        <v>16</v>
      </c>
      <c r="E94" s="9" t="s">
        <v>6</v>
      </c>
      <c r="F94" s="4" t="s">
        <v>348</v>
      </c>
    </row>
    <row r="95" customFormat="false" ht="15" hidden="false" customHeight="false" outlineLevel="0" collapsed="false">
      <c r="A95" s="9" t="n">
        <v>4</v>
      </c>
      <c r="B95" s="9" t="s">
        <v>47</v>
      </c>
      <c r="C95" s="9" t="s">
        <v>48</v>
      </c>
      <c r="D95" s="9" t="s">
        <v>16</v>
      </c>
      <c r="E95" s="9" t="s">
        <v>6</v>
      </c>
      <c r="F95" s="4" t="s">
        <v>349</v>
      </c>
    </row>
    <row r="96" customFormat="false" ht="15" hidden="false" customHeight="false" outlineLevel="0" collapsed="false">
      <c r="A96" s="9" t="n">
        <v>4</v>
      </c>
      <c r="B96" s="9" t="s">
        <v>47</v>
      </c>
      <c r="C96" s="9" t="s">
        <v>48</v>
      </c>
      <c r="D96" s="9" t="s">
        <v>16</v>
      </c>
      <c r="E96" s="9" t="s">
        <v>6</v>
      </c>
      <c r="F96" s="4" t="s">
        <v>350</v>
      </c>
    </row>
    <row r="97" customFormat="false" ht="35.05" hidden="false" customHeight="false" outlineLevel="0" collapsed="false">
      <c r="A97" s="9" t="n">
        <v>4</v>
      </c>
      <c r="B97" s="9" t="s">
        <v>47</v>
      </c>
      <c r="C97" s="9" t="s">
        <v>48</v>
      </c>
      <c r="D97" s="9" t="s">
        <v>16</v>
      </c>
      <c r="E97" s="9" t="s">
        <v>6</v>
      </c>
      <c r="F97" s="4" t="s">
        <v>351</v>
      </c>
    </row>
    <row r="98" customFormat="false" ht="35.05" hidden="false" customHeight="false" outlineLevel="0" collapsed="false">
      <c r="A98" s="9" t="n">
        <v>4</v>
      </c>
      <c r="B98" s="9" t="s">
        <v>47</v>
      </c>
      <c r="C98" s="9" t="s">
        <v>48</v>
      </c>
      <c r="D98" s="9" t="s">
        <v>16</v>
      </c>
      <c r="E98" s="9" t="s">
        <v>6</v>
      </c>
      <c r="F98" s="4" t="s">
        <v>352</v>
      </c>
    </row>
    <row r="99" customFormat="false" ht="23.85" hidden="false" customHeight="false" outlineLevel="0" collapsed="false">
      <c r="A99" s="9" t="n">
        <v>4</v>
      </c>
      <c r="B99" s="9" t="s">
        <v>47</v>
      </c>
      <c r="C99" s="9" t="s">
        <v>48</v>
      </c>
      <c r="D99" s="9" t="s">
        <v>16</v>
      </c>
      <c r="E99" s="9" t="s">
        <v>6</v>
      </c>
      <c r="F99" s="4" t="s">
        <v>353</v>
      </c>
    </row>
    <row r="100" customFormat="false" ht="35.05" hidden="false" customHeight="false" outlineLevel="0" collapsed="false">
      <c r="A100" s="9" t="n">
        <v>4</v>
      </c>
      <c r="B100" s="9" t="s">
        <v>47</v>
      </c>
      <c r="C100" s="9" t="s">
        <v>48</v>
      </c>
      <c r="D100" s="9" t="s">
        <v>16</v>
      </c>
      <c r="E100" s="9" t="s">
        <v>7</v>
      </c>
      <c r="F100" s="4" t="s">
        <v>354</v>
      </c>
    </row>
    <row r="101" customFormat="false" ht="46.25" hidden="false" customHeight="false" outlineLevel="0" collapsed="false">
      <c r="A101" s="9" t="n">
        <v>4</v>
      </c>
      <c r="B101" s="9" t="s">
        <v>47</v>
      </c>
      <c r="C101" s="9" t="s">
        <v>48</v>
      </c>
      <c r="D101" s="9" t="s">
        <v>16</v>
      </c>
      <c r="E101" s="9" t="s">
        <v>7</v>
      </c>
      <c r="F101" s="4" t="s">
        <v>355</v>
      </c>
    </row>
    <row r="102" customFormat="false" ht="15" hidden="false" customHeight="false" outlineLevel="0" collapsed="false">
      <c r="A102" s="9" t="n">
        <v>4</v>
      </c>
      <c r="B102" s="9" t="s">
        <v>47</v>
      </c>
      <c r="C102" s="9" t="s">
        <v>48</v>
      </c>
      <c r="D102" s="9" t="s">
        <v>16</v>
      </c>
      <c r="E102" s="9" t="s">
        <v>7</v>
      </c>
      <c r="F102" s="4" t="s">
        <v>356</v>
      </c>
    </row>
    <row r="103" customFormat="false" ht="23.85" hidden="false" customHeight="false" outlineLevel="0" collapsed="false">
      <c r="A103" s="9" t="n">
        <v>4</v>
      </c>
      <c r="B103" s="9" t="s">
        <v>47</v>
      </c>
      <c r="C103" s="9" t="s">
        <v>48</v>
      </c>
      <c r="D103" s="9" t="s">
        <v>16</v>
      </c>
      <c r="E103" s="9" t="s">
        <v>8</v>
      </c>
      <c r="F103" s="4" t="s">
        <v>357</v>
      </c>
    </row>
    <row r="104" customFormat="false" ht="35.05" hidden="false" customHeight="false" outlineLevel="0" collapsed="false">
      <c r="A104" s="9" t="n">
        <v>4</v>
      </c>
      <c r="B104" s="9" t="s">
        <v>47</v>
      </c>
      <c r="C104" s="9" t="s">
        <v>48</v>
      </c>
      <c r="D104" s="9" t="s">
        <v>16</v>
      </c>
      <c r="E104" s="9" t="s">
        <v>8</v>
      </c>
      <c r="F104" s="4" t="s">
        <v>358</v>
      </c>
    </row>
    <row r="105" customFormat="false" ht="46.25" hidden="false" customHeight="false" outlineLevel="0" collapsed="false">
      <c r="A105" s="9" t="n">
        <v>4</v>
      </c>
      <c r="B105" s="9" t="s">
        <v>47</v>
      </c>
      <c r="C105" s="9" t="s">
        <v>48</v>
      </c>
      <c r="D105" s="9" t="s">
        <v>16</v>
      </c>
      <c r="E105" s="9" t="s">
        <v>8</v>
      </c>
      <c r="F105" s="4" t="s">
        <v>359</v>
      </c>
    </row>
    <row r="106" customFormat="false" ht="46.25" hidden="false" customHeight="false" outlineLevel="0" collapsed="false">
      <c r="A106" s="9" t="n">
        <v>4</v>
      </c>
      <c r="B106" s="9" t="s">
        <v>47</v>
      </c>
      <c r="C106" s="9" t="s">
        <v>48</v>
      </c>
      <c r="D106" s="9" t="s">
        <v>16</v>
      </c>
      <c r="E106" s="9" t="s">
        <v>9</v>
      </c>
      <c r="F106" s="4" t="s">
        <v>360</v>
      </c>
    </row>
    <row r="107" customFormat="false" ht="15" hidden="false" customHeight="false" outlineLevel="0" collapsed="false">
      <c r="A107" s="9" t="n">
        <v>4</v>
      </c>
      <c r="B107" s="9" t="s">
        <v>47</v>
      </c>
      <c r="C107" s="9" t="s">
        <v>48</v>
      </c>
      <c r="D107" s="9" t="s">
        <v>16</v>
      </c>
      <c r="E107" s="9" t="s">
        <v>10</v>
      </c>
      <c r="F107" s="4" t="s">
        <v>361</v>
      </c>
    </row>
    <row r="108" customFormat="false" ht="35.05" hidden="false" customHeight="false" outlineLevel="0" collapsed="false">
      <c r="A108" s="9" t="n">
        <v>4</v>
      </c>
      <c r="B108" s="9" t="s">
        <v>47</v>
      </c>
      <c r="C108" s="9" t="s">
        <v>48</v>
      </c>
      <c r="D108" s="9" t="s">
        <v>16</v>
      </c>
      <c r="E108" s="9" t="s">
        <v>10</v>
      </c>
      <c r="F108" s="4" t="s">
        <v>362</v>
      </c>
    </row>
    <row r="109" customFormat="false" ht="35.05" hidden="false" customHeight="false" outlineLevel="0" collapsed="false">
      <c r="A109" s="9" t="n">
        <v>4</v>
      </c>
      <c r="B109" s="9" t="s">
        <v>47</v>
      </c>
      <c r="C109" s="9" t="s">
        <v>48</v>
      </c>
      <c r="D109" s="9" t="s">
        <v>16</v>
      </c>
      <c r="E109" s="9" t="s">
        <v>10</v>
      </c>
      <c r="F109" s="4" t="s">
        <v>363</v>
      </c>
    </row>
    <row r="110" customFormat="false" ht="35.05" hidden="false" customHeight="false" outlineLevel="0" collapsed="false">
      <c r="A110" s="9" t="n">
        <v>4</v>
      </c>
      <c r="B110" s="9" t="s">
        <v>47</v>
      </c>
      <c r="C110" s="9" t="s">
        <v>48</v>
      </c>
      <c r="D110" s="9" t="s">
        <v>16</v>
      </c>
      <c r="E110" s="9" t="s">
        <v>10</v>
      </c>
      <c r="F110" s="4" t="s">
        <v>364</v>
      </c>
    </row>
    <row r="111" customFormat="false" ht="46.25" hidden="false" customHeight="false" outlineLevel="0" collapsed="false">
      <c r="A111" s="9" t="n">
        <v>4</v>
      </c>
      <c r="B111" s="9" t="s">
        <v>47</v>
      </c>
      <c r="C111" s="9" t="s">
        <v>48</v>
      </c>
      <c r="D111" s="9" t="s">
        <v>16</v>
      </c>
      <c r="E111" s="9" t="s">
        <v>11</v>
      </c>
      <c r="F111" s="4" t="s">
        <v>365</v>
      </c>
    </row>
    <row r="112" customFormat="false" ht="23.85" hidden="false" customHeight="false" outlineLevel="0" collapsed="false">
      <c r="A112" s="9" t="n">
        <v>4</v>
      </c>
      <c r="B112" s="9" t="s">
        <v>47</v>
      </c>
      <c r="C112" s="9" t="s">
        <v>48</v>
      </c>
      <c r="D112" s="9" t="s">
        <v>16</v>
      </c>
      <c r="E112" s="9" t="s">
        <v>11</v>
      </c>
      <c r="F112" s="4" t="s">
        <v>366</v>
      </c>
    </row>
    <row r="113" customFormat="false" ht="23.85" hidden="false" customHeight="false" outlineLevel="0" collapsed="false">
      <c r="A113" s="9" t="n">
        <v>4</v>
      </c>
      <c r="B113" s="9" t="s">
        <v>47</v>
      </c>
      <c r="C113" s="9" t="s">
        <v>48</v>
      </c>
      <c r="D113" s="9" t="s">
        <v>16</v>
      </c>
      <c r="E113" s="9" t="s">
        <v>11</v>
      </c>
      <c r="F113" s="4" t="s">
        <v>367</v>
      </c>
    </row>
    <row r="114" customFormat="false" ht="23.85" hidden="false" customHeight="false" outlineLevel="0" collapsed="false">
      <c r="A114" s="9" t="n">
        <v>4</v>
      </c>
      <c r="B114" s="9" t="s">
        <v>47</v>
      </c>
      <c r="C114" s="9" t="s">
        <v>48</v>
      </c>
      <c r="D114" s="9" t="s">
        <v>16</v>
      </c>
      <c r="E114" s="9" t="s">
        <v>12</v>
      </c>
      <c r="F114" s="4" t="s">
        <v>368</v>
      </c>
    </row>
    <row r="115" customFormat="false" ht="35.05" hidden="false" customHeight="false" outlineLevel="0" collapsed="false">
      <c r="A115" s="9" t="n">
        <v>4</v>
      </c>
      <c r="B115" s="9" t="s">
        <v>47</v>
      </c>
      <c r="C115" s="9" t="s">
        <v>48</v>
      </c>
      <c r="D115" s="9" t="s">
        <v>16</v>
      </c>
      <c r="E115" s="9" t="s">
        <v>12</v>
      </c>
      <c r="F115" s="4" t="s">
        <v>369</v>
      </c>
    </row>
    <row r="116" customFormat="false" ht="23.85" hidden="false" customHeight="false" outlineLevel="0" collapsed="false">
      <c r="A116" s="9" t="n">
        <v>5</v>
      </c>
      <c r="B116" s="9" t="s">
        <v>57</v>
      </c>
      <c r="C116" s="9" t="s">
        <v>58</v>
      </c>
      <c r="D116" s="9" t="s">
        <v>59</v>
      </c>
      <c r="E116" s="9" t="s">
        <v>5</v>
      </c>
      <c r="F116" s="4" t="s">
        <v>370</v>
      </c>
    </row>
    <row r="117" customFormat="false" ht="23.85" hidden="false" customHeight="false" outlineLevel="0" collapsed="false">
      <c r="A117" s="9" t="n">
        <v>5</v>
      </c>
      <c r="B117" s="9" t="s">
        <v>57</v>
      </c>
      <c r="C117" s="9" t="s">
        <v>58</v>
      </c>
      <c r="D117" s="9" t="s">
        <v>59</v>
      </c>
      <c r="E117" s="9" t="s">
        <v>6</v>
      </c>
      <c r="F117" s="4" t="s">
        <v>371</v>
      </c>
    </row>
    <row r="118" customFormat="false" ht="23.85" hidden="false" customHeight="false" outlineLevel="0" collapsed="false">
      <c r="A118" s="9" t="n">
        <v>5</v>
      </c>
      <c r="B118" s="9" t="s">
        <v>57</v>
      </c>
      <c r="C118" s="9" t="s">
        <v>58</v>
      </c>
      <c r="D118" s="9" t="s">
        <v>59</v>
      </c>
      <c r="E118" s="9" t="s">
        <v>6</v>
      </c>
      <c r="F118" s="4" t="s">
        <v>372</v>
      </c>
    </row>
    <row r="119" customFormat="false" ht="23.85" hidden="false" customHeight="false" outlineLevel="0" collapsed="false">
      <c r="A119" s="9" t="n">
        <v>5</v>
      </c>
      <c r="B119" s="9" t="s">
        <v>57</v>
      </c>
      <c r="C119" s="9" t="s">
        <v>58</v>
      </c>
      <c r="D119" s="9" t="s">
        <v>59</v>
      </c>
      <c r="E119" s="9" t="s">
        <v>6</v>
      </c>
      <c r="F119" s="4" t="s">
        <v>373</v>
      </c>
    </row>
    <row r="120" customFormat="false" ht="23.85" hidden="false" customHeight="false" outlineLevel="0" collapsed="false">
      <c r="A120" s="9" t="n">
        <v>5</v>
      </c>
      <c r="B120" s="9" t="s">
        <v>57</v>
      </c>
      <c r="C120" s="9" t="s">
        <v>58</v>
      </c>
      <c r="D120" s="9" t="s">
        <v>59</v>
      </c>
      <c r="E120" s="9" t="s">
        <v>6</v>
      </c>
      <c r="F120" s="4" t="s">
        <v>374</v>
      </c>
    </row>
    <row r="121" customFormat="false" ht="35.05" hidden="false" customHeight="false" outlineLevel="0" collapsed="false">
      <c r="A121" s="9" t="n">
        <v>5</v>
      </c>
      <c r="B121" s="9" t="s">
        <v>57</v>
      </c>
      <c r="C121" s="9" t="s">
        <v>58</v>
      </c>
      <c r="D121" s="9" t="s">
        <v>59</v>
      </c>
      <c r="E121" s="9" t="s">
        <v>6</v>
      </c>
      <c r="F121" s="4" t="s">
        <v>375</v>
      </c>
    </row>
    <row r="122" customFormat="false" ht="35.05" hidden="false" customHeight="false" outlineLevel="0" collapsed="false">
      <c r="A122" s="9" t="n">
        <v>5</v>
      </c>
      <c r="B122" s="9" t="s">
        <v>57</v>
      </c>
      <c r="C122" s="9" t="s">
        <v>58</v>
      </c>
      <c r="D122" s="9" t="s">
        <v>59</v>
      </c>
      <c r="E122" s="9" t="s">
        <v>6</v>
      </c>
      <c r="F122" s="4" t="s">
        <v>376</v>
      </c>
    </row>
    <row r="123" customFormat="false" ht="23.85" hidden="false" customHeight="false" outlineLevel="0" collapsed="false">
      <c r="A123" s="9" t="n">
        <v>5</v>
      </c>
      <c r="B123" s="9" t="s">
        <v>57</v>
      </c>
      <c r="C123" s="9" t="s">
        <v>58</v>
      </c>
      <c r="D123" s="9" t="s">
        <v>59</v>
      </c>
      <c r="E123" s="9" t="s">
        <v>7</v>
      </c>
      <c r="F123" s="4" t="s">
        <v>377</v>
      </c>
    </row>
    <row r="124" customFormat="false" ht="35.05" hidden="false" customHeight="false" outlineLevel="0" collapsed="false">
      <c r="A124" s="9" t="n">
        <v>5</v>
      </c>
      <c r="B124" s="9" t="s">
        <v>57</v>
      </c>
      <c r="C124" s="9" t="s">
        <v>58</v>
      </c>
      <c r="D124" s="9" t="s">
        <v>59</v>
      </c>
      <c r="E124" s="9" t="s">
        <v>7</v>
      </c>
      <c r="F124" s="4" t="s">
        <v>378</v>
      </c>
    </row>
    <row r="125" customFormat="false" ht="23.85" hidden="false" customHeight="false" outlineLevel="0" collapsed="false">
      <c r="A125" s="9" t="n">
        <v>5</v>
      </c>
      <c r="B125" s="9" t="s">
        <v>57</v>
      </c>
      <c r="C125" s="9" t="s">
        <v>58</v>
      </c>
      <c r="D125" s="9" t="s">
        <v>59</v>
      </c>
      <c r="E125" s="9" t="s">
        <v>7</v>
      </c>
      <c r="F125" s="4" t="s">
        <v>379</v>
      </c>
    </row>
    <row r="126" customFormat="false" ht="23.85" hidden="false" customHeight="false" outlineLevel="0" collapsed="false">
      <c r="A126" s="9" t="n">
        <v>5</v>
      </c>
      <c r="B126" s="9" t="s">
        <v>57</v>
      </c>
      <c r="C126" s="9" t="s">
        <v>58</v>
      </c>
      <c r="D126" s="9" t="s">
        <v>59</v>
      </c>
      <c r="E126" s="9" t="s">
        <v>8</v>
      </c>
      <c r="F126" s="4" t="s">
        <v>380</v>
      </c>
    </row>
    <row r="127" customFormat="false" ht="35.05" hidden="false" customHeight="false" outlineLevel="0" collapsed="false">
      <c r="A127" s="9" t="n">
        <v>5</v>
      </c>
      <c r="B127" s="9" t="s">
        <v>57</v>
      </c>
      <c r="C127" s="9" t="s">
        <v>58</v>
      </c>
      <c r="D127" s="9" t="s">
        <v>59</v>
      </c>
      <c r="E127" s="9" t="s">
        <v>8</v>
      </c>
      <c r="F127" s="4" t="s">
        <v>381</v>
      </c>
    </row>
    <row r="128" customFormat="false" ht="35.05" hidden="false" customHeight="false" outlineLevel="0" collapsed="false">
      <c r="A128" s="9" t="n">
        <v>5</v>
      </c>
      <c r="B128" s="9" t="s">
        <v>57</v>
      </c>
      <c r="C128" s="9" t="s">
        <v>58</v>
      </c>
      <c r="D128" s="9" t="s">
        <v>59</v>
      </c>
      <c r="E128" s="9" t="s">
        <v>8</v>
      </c>
      <c r="F128" s="4" t="s">
        <v>382</v>
      </c>
    </row>
    <row r="129" customFormat="false" ht="35.05" hidden="false" customHeight="false" outlineLevel="0" collapsed="false">
      <c r="A129" s="9" t="n">
        <v>5</v>
      </c>
      <c r="B129" s="9" t="s">
        <v>57</v>
      </c>
      <c r="C129" s="9" t="s">
        <v>58</v>
      </c>
      <c r="D129" s="9" t="s">
        <v>59</v>
      </c>
      <c r="E129" s="9" t="s">
        <v>8</v>
      </c>
      <c r="F129" s="4" t="s">
        <v>383</v>
      </c>
    </row>
    <row r="130" customFormat="false" ht="23.85" hidden="false" customHeight="false" outlineLevel="0" collapsed="false">
      <c r="A130" s="9" t="n">
        <v>5</v>
      </c>
      <c r="B130" s="9" t="s">
        <v>57</v>
      </c>
      <c r="C130" s="9" t="s">
        <v>58</v>
      </c>
      <c r="D130" s="9" t="s">
        <v>59</v>
      </c>
      <c r="E130" s="9" t="s">
        <v>9</v>
      </c>
      <c r="F130" s="4" t="s">
        <v>384</v>
      </c>
    </row>
    <row r="131" customFormat="false" ht="35.05" hidden="false" customHeight="false" outlineLevel="0" collapsed="false">
      <c r="A131" s="9" t="n">
        <v>5</v>
      </c>
      <c r="B131" s="9" t="s">
        <v>57</v>
      </c>
      <c r="C131" s="9" t="s">
        <v>58</v>
      </c>
      <c r="D131" s="9" t="s">
        <v>59</v>
      </c>
      <c r="E131" s="9" t="s">
        <v>10</v>
      </c>
      <c r="F131" s="4" t="s">
        <v>385</v>
      </c>
    </row>
    <row r="132" customFormat="false" ht="23.85" hidden="false" customHeight="false" outlineLevel="0" collapsed="false">
      <c r="A132" s="9" t="n">
        <v>5</v>
      </c>
      <c r="B132" s="9" t="s">
        <v>57</v>
      </c>
      <c r="C132" s="9" t="s">
        <v>58</v>
      </c>
      <c r="D132" s="9" t="s">
        <v>59</v>
      </c>
      <c r="E132" s="9" t="s">
        <v>10</v>
      </c>
      <c r="F132" s="4" t="s">
        <v>386</v>
      </c>
    </row>
    <row r="133" customFormat="false" ht="23.85" hidden="false" customHeight="false" outlineLevel="0" collapsed="false">
      <c r="A133" s="9" t="n">
        <v>5</v>
      </c>
      <c r="B133" s="9" t="s">
        <v>57</v>
      </c>
      <c r="C133" s="9" t="s">
        <v>58</v>
      </c>
      <c r="D133" s="9" t="s">
        <v>59</v>
      </c>
      <c r="E133" s="9" t="s">
        <v>10</v>
      </c>
      <c r="F133" s="4" t="s">
        <v>387</v>
      </c>
    </row>
    <row r="134" customFormat="false" ht="23.85" hidden="false" customHeight="false" outlineLevel="0" collapsed="false">
      <c r="A134" s="9" t="n">
        <v>5</v>
      </c>
      <c r="B134" s="9" t="s">
        <v>57</v>
      </c>
      <c r="C134" s="9" t="s">
        <v>58</v>
      </c>
      <c r="D134" s="9" t="s">
        <v>59</v>
      </c>
      <c r="E134" s="9" t="s">
        <v>10</v>
      </c>
      <c r="F134" s="4" t="s">
        <v>388</v>
      </c>
    </row>
    <row r="135" customFormat="false" ht="35.05" hidden="false" customHeight="false" outlineLevel="0" collapsed="false">
      <c r="A135" s="9" t="n">
        <v>5</v>
      </c>
      <c r="B135" s="9" t="s">
        <v>57</v>
      </c>
      <c r="C135" s="9" t="s">
        <v>58</v>
      </c>
      <c r="D135" s="9" t="s">
        <v>59</v>
      </c>
      <c r="E135" s="9" t="s">
        <v>12</v>
      </c>
      <c r="F135" s="4" t="s">
        <v>389</v>
      </c>
    </row>
    <row r="136" customFormat="false" ht="46.25" hidden="false" customHeight="false" outlineLevel="0" collapsed="false">
      <c r="A136" s="9" t="n">
        <v>5</v>
      </c>
      <c r="B136" s="9" t="s">
        <v>57</v>
      </c>
      <c r="C136" s="9" t="s">
        <v>58</v>
      </c>
      <c r="D136" s="9" t="s">
        <v>59</v>
      </c>
      <c r="E136" s="9" t="s">
        <v>12</v>
      </c>
      <c r="F136" s="4" t="s">
        <v>390</v>
      </c>
    </row>
    <row r="137" customFormat="false" ht="35.05" hidden="false" customHeight="false" outlineLevel="0" collapsed="false">
      <c r="A137" s="9" t="n">
        <v>5</v>
      </c>
      <c r="B137" s="9" t="s">
        <v>57</v>
      </c>
      <c r="C137" s="9" t="s">
        <v>58</v>
      </c>
      <c r="D137" s="9" t="s">
        <v>59</v>
      </c>
      <c r="E137" s="9" t="s">
        <v>12</v>
      </c>
      <c r="F137" s="4" t="s">
        <v>391</v>
      </c>
    </row>
    <row r="138" customFormat="false" ht="35.05" hidden="false" customHeight="false" outlineLevel="0" collapsed="false">
      <c r="A138" s="9" t="n">
        <v>5</v>
      </c>
      <c r="B138" s="9" t="s">
        <v>57</v>
      </c>
      <c r="C138" s="9" t="s">
        <v>58</v>
      </c>
      <c r="D138" s="9" t="s">
        <v>59</v>
      </c>
      <c r="E138" s="9" t="s">
        <v>13</v>
      </c>
      <c r="F138" s="4" t="s">
        <v>392</v>
      </c>
    </row>
    <row r="139" customFormat="false" ht="23.85" hidden="false" customHeight="false" outlineLevel="0" collapsed="false">
      <c r="A139" s="9" t="n">
        <v>5</v>
      </c>
      <c r="B139" s="9" t="s">
        <v>57</v>
      </c>
      <c r="C139" s="9" t="s">
        <v>58</v>
      </c>
      <c r="D139" s="9" t="s">
        <v>59</v>
      </c>
      <c r="E139" s="9" t="s">
        <v>13</v>
      </c>
      <c r="F139" s="4" t="s">
        <v>393</v>
      </c>
    </row>
    <row r="140" customFormat="false" ht="15" hidden="false" customHeight="false" outlineLevel="0" collapsed="false">
      <c r="A140" s="9" t="n">
        <v>6</v>
      </c>
      <c r="B140" s="9" t="s">
        <v>68</v>
      </c>
      <c r="C140" s="9" t="s">
        <v>69</v>
      </c>
      <c r="D140" s="9" t="s">
        <v>59</v>
      </c>
      <c r="E140" s="9" t="s">
        <v>4</v>
      </c>
      <c r="F140" s="4" t="s">
        <v>394</v>
      </c>
    </row>
    <row r="141" customFormat="false" ht="23.85" hidden="false" customHeight="false" outlineLevel="0" collapsed="false">
      <c r="A141" s="9" t="n">
        <v>6</v>
      </c>
      <c r="B141" s="9" t="s">
        <v>68</v>
      </c>
      <c r="C141" s="9" t="s">
        <v>69</v>
      </c>
      <c r="D141" s="9" t="s">
        <v>59</v>
      </c>
      <c r="E141" s="9" t="s">
        <v>6</v>
      </c>
      <c r="F141" s="4" t="s">
        <v>395</v>
      </c>
    </row>
    <row r="142" customFormat="false" ht="23.85" hidden="false" customHeight="false" outlineLevel="0" collapsed="false">
      <c r="A142" s="9" t="n">
        <v>6</v>
      </c>
      <c r="B142" s="9" t="s">
        <v>68</v>
      </c>
      <c r="C142" s="9" t="s">
        <v>69</v>
      </c>
      <c r="D142" s="9" t="s">
        <v>59</v>
      </c>
      <c r="E142" s="9" t="s">
        <v>6</v>
      </c>
      <c r="F142" s="4" t="s">
        <v>396</v>
      </c>
    </row>
    <row r="143" customFormat="false" ht="23.85" hidden="false" customHeight="false" outlineLevel="0" collapsed="false">
      <c r="A143" s="9" t="n">
        <v>6</v>
      </c>
      <c r="B143" s="9" t="s">
        <v>68</v>
      </c>
      <c r="C143" s="9" t="s">
        <v>69</v>
      </c>
      <c r="D143" s="9" t="s">
        <v>59</v>
      </c>
      <c r="E143" s="9" t="s">
        <v>6</v>
      </c>
      <c r="F143" s="4" t="s">
        <v>397</v>
      </c>
    </row>
    <row r="144" customFormat="false" ht="35.05" hidden="false" customHeight="false" outlineLevel="0" collapsed="false">
      <c r="A144" s="9" t="n">
        <v>6</v>
      </c>
      <c r="B144" s="9" t="s">
        <v>68</v>
      </c>
      <c r="C144" s="9" t="s">
        <v>69</v>
      </c>
      <c r="D144" s="9" t="s">
        <v>59</v>
      </c>
      <c r="E144" s="9" t="s">
        <v>6</v>
      </c>
      <c r="F144" s="4" t="s">
        <v>398</v>
      </c>
    </row>
    <row r="145" customFormat="false" ht="15" hidden="false" customHeight="false" outlineLevel="0" collapsed="false">
      <c r="A145" s="9" t="n">
        <v>6</v>
      </c>
      <c r="B145" s="9" t="s">
        <v>68</v>
      </c>
      <c r="C145" s="9" t="s">
        <v>69</v>
      </c>
      <c r="D145" s="9" t="s">
        <v>59</v>
      </c>
      <c r="E145" s="9" t="s">
        <v>7</v>
      </c>
      <c r="F145" s="4" t="s">
        <v>399</v>
      </c>
    </row>
    <row r="146" customFormat="false" ht="23.85" hidden="false" customHeight="false" outlineLevel="0" collapsed="false">
      <c r="A146" s="9" t="n">
        <v>6</v>
      </c>
      <c r="B146" s="9" t="s">
        <v>68</v>
      </c>
      <c r="C146" s="9" t="s">
        <v>69</v>
      </c>
      <c r="D146" s="9" t="s">
        <v>59</v>
      </c>
      <c r="E146" s="9" t="s">
        <v>7</v>
      </c>
      <c r="F146" s="4" t="s">
        <v>400</v>
      </c>
    </row>
    <row r="147" customFormat="false" ht="15" hidden="false" customHeight="false" outlineLevel="0" collapsed="false">
      <c r="A147" s="9" t="n">
        <v>6</v>
      </c>
      <c r="B147" s="9" t="s">
        <v>68</v>
      </c>
      <c r="C147" s="9" t="s">
        <v>69</v>
      </c>
      <c r="D147" s="9" t="s">
        <v>59</v>
      </c>
      <c r="E147" s="9" t="s">
        <v>7</v>
      </c>
      <c r="F147" s="4" t="s">
        <v>401</v>
      </c>
    </row>
    <row r="148" customFormat="false" ht="23.85" hidden="false" customHeight="false" outlineLevel="0" collapsed="false">
      <c r="A148" s="9" t="n">
        <v>6</v>
      </c>
      <c r="B148" s="9" t="s">
        <v>68</v>
      </c>
      <c r="C148" s="9" t="s">
        <v>69</v>
      </c>
      <c r="D148" s="9" t="s">
        <v>59</v>
      </c>
      <c r="E148" s="9" t="s">
        <v>7</v>
      </c>
      <c r="F148" s="4" t="s">
        <v>402</v>
      </c>
    </row>
    <row r="149" customFormat="false" ht="35.05" hidden="false" customHeight="false" outlineLevel="0" collapsed="false">
      <c r="A149" s="9" t="n">
        <v>6</v>
      </c>
      <c r="B149" s="9" t="s">
        <v>68</v>
      </c>
      <c r="C149" s="9" t="s">
        <v>69</v>
      </c>
      <c r="D149" s="9" t="s">
        <v>59</v>
      </c>
      <c r="E149" s="9" t="s">
        <v>7</v>
      </c>
      <c r="F149" s="4" t="s">
        <v>403</v>
      </c>
    </row>
    <row r="150" customFormat="false" ht="46.25" hidden="false" customHeight="false" outlineLevel="0" collapsed="false">
      <c r="A150" s="9" t="n">
        <v>6</v>
      </c>
      <c r="B150" s="9" t="s">
        <v>68</v>
      </c>
      <c r="C150" s="9" t="s">
        <v>69</v>
      </c>
      <c r="D150" s="9" t="s">
        <v>59</v>
      </c>
      <c r="E150" s="9" t="s">
        <v>7</v>
      </c>
      <c r="F150" s="4" t="s">
        <v>404</v>
      </c>
    </row>
    <row r="151" customFormat="false" ht="57.45" hidden="false" customHeight="false" outlineLevel="0" collapsed="false">
      <c r="A151" s="9" t="n">
        <v>6</v>
      </c>
      <c r="B151" s="9" t="s">
        <v>68</v>
      </c>
      <c r="C151" s="9" t="s">
        <v>69</v>
      </c>
      <c r="D151" s="9" t="s">
        <v>59</v>
      </c>
      <c r="E151" s="9" t="s">
        <v>7</v>
      </c>
      <c r="F151" s="4" t="s">
        <v>405</v>
      </c>
    </row>
    <row r="152" customFormat="false" ht="23.85" hidden="false" customHeight="false" outlineLevel="0" collapsed="false">
      <c r="A152" s="9" t="n">
        <v>6</v>
      </c>
      <c r="B152" s="9" t="s">
        <v>68</v>
      </c>
      <c r="C152" s="9" t="s">
        <v>69</v>
      </c>
      <c r="D152" s="9" t="s">
        <v>59</v>
      </c>
      <c r="E152" s="9" t="s">
        <v>7</v>
      </c>
      <c r="F152" s="4" t="s">
        <v>406</v>
      </c>
    </row>
    <row r="153" customFormat="false" ht="35.05" hidden="false" customHeight="false" outlineLevel="0" collapsed="false">
      <c r="A153" s="9" t="n">
        <v>6</v>
      </c>
      <c r="B153" s="9" t="s">
        <v>68</v>
      </c>
      <c r="C153" s="9" t="s">
        <v>69</v>
      </c>
      <c r="D153" s="9" t="s">
        <v>59</v>
      </c>
      <c r="E153" s="9" t="s">
        <v>8</v>
      </c>
      <c r="F153" s="4" t="s">
        <v>407</v>
      </c>
    </row>
    <row r="154" customFormat="false" ht="35.05" hidden="false" customHeight="false" outlineLevel="0" collapsed="false">
      <c r="A154" s="9" t="n">
        <v>6</v>
      </c>
      <c r="B154" s="9" t="s">
        <v>68</v>
      </c>
      <c r="C154" s="9" t="s">
        <v>69</v>
      </c>
      <c r="D154" s="9" t="s">
        <v>59</v>
      </c>
      <c r="E154" s="9" t="s">
        <v>8</v>
      </c>
      <c r="F154" s="4" t="s">
        <v>408</v>
      </c>
    </row>
    <row r="155" customFormat="false" ht="23.85" hidden="false" customHeight="false" outlineLevel="0" collapsed="false">
      <c r="A155" s="9" t="n">
        <v>6</v>
      </c>
      <c r="B155" s="9" t="s">
        <v>68</v>
      </c>
      <c r="C155" s="9" t="s">
        <v>69</v>
      </c>
      <c r="D155" s="9" t="s">
        <v>59</v>
      </c>
      <c r="E155" s="9" t="s">
        <v>8</v>
      </c>
      <c r="F155" s="4" t="s">
        <v>409</v>
      </c>
    </row>
    <row r="156" customFormat="false" ht="35.05" hidden="false" customHeight="false" outlineLevel="0" collapsed="false">
      <c r="A156" s="9" t="n">
        <v>6</v>
      </c>
      <c r="B156" s="9" t="s">
        <v>68</v>
      </c>
      <c r="C156" s="9" t="s">
        <v>69</v>
      </c>
      <c r="D156" s="9" t="s">
        <v>59</v>
      </c>
      <c r="E156" s="9" t="s">
        <v>8</v>
      </c>
      <c r="F156" s="4" t="s">
        <v>410</v>
      </c>
    </row>
    <row r="157" customFormat="false" ht="35.05" hidden="false" customHeight="false" outlineLevel="0" collapsed="false">
      <c r="A157" s="9" t="n">
        <v>6</v>
      </c>
      <c r="B157" s="9" t="s">
        <v>68</v>
      </c>
      <c r="C157" s="9" t="s">
        <v>69</v>
      </c>
      <c r="D157" s="9" t="s">
        <v>59</v>
      </c>
      <c r="E157" s="9" t="s">
        <v>8</v>
      </c>
      <c r="F157" s="4" t="s">
        <v>411</v>
      </c>
    </row>
    <row r="158" customFormat="false" ht="23.85" hidden="false" customHeight="false" outlineLevel="0" collapsed="false">
      <c r="A158" s="9" t="n">
        <v>6</v>
      </c>
      <c r="B158" s="9" t="s">
        <v>68</v>
      </c>
      <c r="C158" s="9" t="s">
        <v>69</v>
      </c>
      <c r="D158" s="9" t="s">
        <v>59</v>
      </c>
      <c r="E158" s="9" t="s">
        <v>8</v>
      </c>
      <c r="F158" s="4" t="s">
        <v>412</v>
      </c>
    </row>
    <row r="159" customFormat="false" ht="23.85" hidden="false" customHeight="false" outlineLevel="0" collapsed="false">
      <c r="A159" s="9" t="n">
        <v>6</v>
      </c>
      <c r="B159" s="9" t="s">
        <v>68</v>
      </c>
      <c r="C159" s="9" t="s">
        <v>69</v>
      </c>
      <c r="D159" s="9" t="s">
        <v>59</v>
      </c>
      <c r="E159" s="9" t="s">
        <v>8</v>
      </c>
      <c r="F159" s="4" t="s">
        <v>413</v>
      </c>
    </row>
    <row r="160" customFormat="false" ht="35.05" hidden="false" customHeight="false" outlineLevel="0" collapsed="false">
      <c r="A160" s="9" t="n">
        <v>6</v>
      </c>
      <c r="B160" s="9" t="s">
        <v>68</v>
      </c>
      <c r="C160" s="9" t="s">
        <v>69</v>
      </c>
      <c r="D160" s="9" t="s">
        <v>59</v>
      </c>
      <c r="E160" s="9" t="s">
        <v>8</v>
      </c>
      <c r="F160" s="4" t="s">
        <v>414</v>
      </c>
    </row>
    <row r="161" customFormat="false" ht="35.05" hidden="false" customHeight="false" outlineLevel="0" collapsed="false">
      <c r="A161" s="9" t="n">
        <v>6</v>
      </c>
      <c r="B161" s="9" t="s">
        <v>68</v>
      </c>
      <c r="C161" s="9" t="s">
        <v>69</v>
      </c>
      <c r="D161" s="9" t="s">
        <v>59</v>
      </c>
      <c r="E161" s="9" t="s">
        <v>8</v>
      </c>
      <c r="F161" s="4" t="s">
        <v>415</v>
      </c>
    </row>
    <row r="162" customFormat="false" ht="46.25" hidden="false" customHeight="false" outlineLevel="0" collapsed="false">
      <c r="A162" s="9" t="n">
        <v>6</v>
      </c>
      <c r="B162" s="9" t="s">
        <v>68</v>
      </c>
      <c r="C162" s="9" t="s">
        <v>69</v>
      </c>
      <c r="D162" s="9" t="s">
        <v>59</v>
      </c>
      <c r="E162" s="9" t="s">
        <v>8</v>
      </c>
      <c r="F162" s="4" t="s">
        <v>416</v>
      </c>
    </row>
    <row r="163" customFormat="false" ht="15" hidden="false" customHeight="false" outlineLevel="0" collapsed="false">
      <c r="A163" s="9" t="n">
        <v>6</v>
      </c>
      <c r="B163" s="9" t="s">
        <v>68</v>
      </c>
      <c r="C163" s="9" t="s">
        <v>69</v>
      </c>
      <c r="D163" s="9" t="s">
        <v>59</v>
      </c>
      <c r="E163" s="9" t="s">
        <v>10</v>
      </c>
      <c r="F163" s="4" t="s">
        <v>417</v>
      </c>
    </row>
    <row r="164" customFormat="false" ht="23.85" hidden="false" customHeight="false" outlineLevel="0" collapsed="false">
      <c r="A164" s="9" t="n">
        <v>6</v>
      </c>
      <c r="B164" s="9" t="s">
        <v>68</v>
      </c>
      <c r="C164" s="9" t="s">
        <v>69</v>
      </c>
      <c r="D164" s="9" t="s">
        <v>59</v>
      </c>
      <c r="E164" s="9" t="s">
        <v>10</v>
      </c>
      <c r="F164" s="4" t="s">
        <v>418</v>
      </c>
    </row>
    <row r="165" customFormat="false" ht="23.85" hidden="false" customHeight="false" outlineLevel="0" collapsed="false">
      <c r="A165" s="9" t="n">
        <v>6</v>
      </c>
      <c r="B165" s="9" t="s">
        <v>68</v>
      </c>
      <c r="C165" s="9" t="s">
        <v>69</v>
      </c>
      <c r="D165" s="9" t="s">
        <v>59</v>
      </c>
      <c r="E165" s="9" t="s">
        <v>10</v>
      </c>
      <c r="F165" s="4" t="s">
        <v>419</v>
      </c>
    </row>
    <row r="166" customFormat="false" ht="23.85" hidden="false" customHeight="false" outlineLevel="0" collapsed="false">
      <c r="A166" s="9" t="n">
        <v>6</v>
      </c>
      <c r="B166" s="9" t="s">
        <v>68</v>
      </c>
      <c r="C166" s="9" t="s">
        <v>69</v>
      </c>
      <c r="D166" s="9" t="s">
        <v>59</v>
      </c>
      <c r="E166" s="9" t="s">
        <v>10</v>
      </c>
      <c r="F166" s="4" t="s">
        <v>420</v>
      </c>
    </row>
    <row r="167" customFormat="false" ht="35.05" hidden="false" customHeight="false" outlineLevel="0" collapsed="false">
      <c r="A167" s="9" t="n">
        <v>6</v>
      </c>
      <c r="B167" s="9" t="s">
        <v>68</v>
      </c>
      <c r="C167" s="9" t="s">
        <v>69</v>
      </c>
      <c r="D167" s="9" t="s">
        <v>59</v>
      </c>
      <c r="E167" s="9" t="s">
        <v>10</v>
      </c>
      <c r="F167" s="4" t="s">
        <v>421</v>
      </c>
    </row>
    <row r="168" customFormat="false" ht="68.65" hidden="false" customHeight="false" outlineLevel="0" collapsed="false">
      <c r="A168" s="9" t="n">
        <v>6</v>
      </c>
      <c r="B168" s="9" t="s">
        <v>68</v>
      </c>
      <c r="C168" s="9" t="s">
        <v>69</v>
      </c>
      <c r="D168" s="9" t="s">
        <v>59</v>
      </c>
      <c r="E168" s="9" t="s">
        <v>12</v>
      </c>
      <c r="F168" s="4" t="s">
        <v>422</v>
      </c>
    </row>
    <row r="169" customFormat="false" ht="23.85" hidden="false" customHeight="false" outlineLevel="0" collapsed="false">
      <c r="A169" s="9" t="n">
        <v>6</v>
      </c>
      <c r="B169" s="9" t="s">
        <v>68</v>
      </c>
      <c r="C169" s="9" t="s">
        <v>69</v>
      </c>
      <c r="D169" s="9" t="s">
        <v>59</v>
      </c>
      <c r="E169" s="9" t="s">
        <v>12</v>
      </c>
      <c r="F169" s="4" t="s">
        <v>423</v>
      </c>
    </row>
    <row r="170" customFormat="false" ht="23.85" hidden="false" customHeight="false" outlineLevel="0" collapsed="false">
      <c r="A170" s="9" t="n">
        <v>7</v>
      </c>
      <c r="B170" s="9" t="s">
        <v>76</v>
      </c>
      <c r="C170" s="9" t="s">
        <v>77</v>
      </c>
      <c r="D170" s="9" t="s">
        <v>59</v>
      </c>
      <c r="E170" s="9" t="s">
        <v>6</v>
      </c>
      <c r="F170" s="4" t="s">
        <v>424</v>
      </c>
    </row>
    <row r="171" customFormat="false" ht="35.05" hidden="false" customHeight="false" outlineLevel="0" collapsed="false">
      <c r="A171" s="9" t="n">
        <v>7</v>
      </c>
      <c r="B171" s="9" t="s">
        <v>76</v>
      </c>
      <c r="C171" s="9" t="s">
        <v>77</v>
      </c>
      <c r="D171" s="9" t="s">
        <v>59</v>
      </c>
      <c r="E171" s="9" t="s">
        <v>6</v>
      </c>
      <c r="F171" s="4" t="s">
        <v>425</v>
      </c>
    </row>
    <row r="172" customFormat="false" ht="23.85" hidden="false" customHeight="false" outlineLevel="0" collapsed="false">
      <c r="A172" s="9" t="n">
        <v>7</v>
      </c>
      <c r="B172" s="9" t="s">
        <v>76</v>
      </c>
      <c r="C172" s="9" t="s">
        <v>77</v>
      </c>
      <c r="D172" s="9" t="s">
        <v>59</v>
      </c>
      <c r="E172" s="9" t="s">
        <v>6</v>
      </c>
      <c r="F172" s="4" t="s">
        <v>426</v>
      </c>
    </row>
    <row r="173" customFormat="false" ht="23.85" hidden="false" customHeight="false" outlineLevel="0" collapsed="false">
      <c r="A173" s="9" t="n">
        <v>7</v>
      </c>
      <c r="B173" s="9" t="s">
        <v>76</v>
      </c>
      <c r="C173" s="9" t="s">
        <v>77</v>
      </c>
      <c r="D173" s="9" t="s">
        <v>59</v>
      </c>
      <c r="E173" s="9" t="s">
        <v>6</v>
      </c>
      <c r="F173" s="4" t="s">
        <v>427</v>
      </c>
    </row>
    <row r="174" customFormat="false" ht="35.05" hidden="false" customHeight="false" outlineLevel="0" collapsed="false">
      <c r="A174" s="9" t="n">
        <v>7</v>
      </c>
      <c r="B174" s="9" t="s">
        <v>76</v>
      </c>
      <c r="C174" s="9" t="s">
        <v>77</v>
      </c>
      <c r="D174" s="9" t="s">
        <v>59</v>
      </c>
      <c r="E174" s="9" t="s">
        <v>6</v>
      </c>
      <c r="F174" s="4" t="s">
        <v>428</v>
      </c>
    </row>
    <row r="175" customFormat="false" ht="35.05" hidden="false" customHeight="false" outlineLevel="0" collapsed="false">
      <c r="A175" s="9" t="n">
        <v>7</v>
      </c>
      <c r="B175" s="9" t="s">
        <v>76</v>
      </c>
      <c r="C175" s="9" t="s">
        <v>77</v>
      </c>
      <c r="D175" s="9" t="s">
        <v>59</v>
      </c>
      <c r="E175" s="9" t="s">
        <v>6</v>
      </c>
      <c r="F175" s="4" t="s">
        <v>429</v>
      </c>
    </row>
    <row r="176" customFormat="false" ht="15" hidden="false" customHeight="false" outlineLevel="0" collapsed="false">
      <c r="A176" s="9" t="n">
        <v>7</v>
      </c>
      <c r="B176" s="9" t="s">
        <v>76</v>
      </c>
      <c r="C176" s="9" t="s">
        <v>77</v>
      </c>
      <c r="D176" s="9" t="s">
        <v>59</v>
      </c>
      <c r="E176" s="9" t="s">
        <v>7</v>
      </c>
      <c r="F176" s="4" t="s">
        <v>430</v>
      </c>
    </row>
    <row r="177" customFormat="false" ht="35.05" hidden="false" customHeight="false" outlineLevel="0" collapsed="false">
      <c r="A177" s="9" t="n">
        <v>7</v>
      </c>
      <c r="B177" s="9" t="s">
        <v>76</v>
      </c>
      <c r="C177" s="9" t="s">
        <v>77</v>
      </c>
      <c r="D177" s="9" t="s">
        <v>59</v>
      </c>
      <c r="E177" s="9" t="s">
        <v>7</v>
      </c>
      <c r="F177" s="4" t="s">
        <v>431</v>
      </c>
    </row>
    <row r="178" customFormat="false" ht="46.25" hidden="false" customHeight="false" outlineLevel="0" collapsed="false">
      <c r="A178" s="9" t="n">
        <v>7</v>
      </c>
      <c r="B178" s="9" t="s">
        <v>76</v>
      </c>
      <c r="C178" s="9" t="s">
        <v>77</v>
      </c>
      <c r="D178" s="9" t="s">
        <v>59</v>
      </c>
      <c r="E178" s="9" t="s">
        <v>7</v>
      </c>
      <c r="F178" s="4" t="s">
        <v>432</v>
      </c>
    </row>
    <row r="179" customFormat="false" ht="23.85" hidden="false" customHeight="false" outlineLevel="0" collapsed="false">
      <c r="A179" s="9" t="n">
        <v>7</v>
      </c>
      <c r="B179" s="9" t="s">
        <v>76</v>
      </c>
      <c r="C179" s="9" t="s">
        <v>77</v>
      </c>
      <c r="D179" s="9" t="s">
        <v>59</v>
      </c>
      <c r="E179" s="9" t="s">
        <v>7</v>
      </c>
      <c r="F179" s="4" t="s">
        <v>433</v>
      </c>
    </row>
    <row r="180" customFormat="false" ht="23.85" hidden="false" customHeight="false" outlineLevel="0" collapsed="false">
      <c r="A180" s="9" t="n">
        <v>7</v>
      </c>
      <c r="B180" s="9" t="s">
        <v>76</v>
      </c>
      <c r="C180" s="9" t="s">
        <v>77</v>
      </c>
      <c r="D180" s="9" t="s">
        <v>59</v>
      </c>
      <c r="E180" s="9" t="s">
        <v>7</v>
      </c>
      <c r="F180" s="4" t="s">
        <v>434</v>
      </c>
    </row>
    <row r="181" customFormat="false" ht="35.05" hidden="false" customHeight="false" outlineLevel="0" collapsed="false">
      <c r="A181" s="9" t="n">
        <v>7</v>
      </c>
      <c r="B181" s="9" t="s">
        <v>76</v>
      </c>
      <c r="C181" s="9" t="s">
        <v>77</v>
      </c>
      <c r="D181" s="9" t="s">
        <v>59</v>
      </c>
      <c r="E181" s="9" t="s">
        <v>7</v>
      </c>
      <c r="F181" s="4" t="s">
        <v>435</v>
      </c>
    </row>
    <row r="182" customFormat="false" ht="23.85" hidden="false" customHeight="false" outlineLevel="0" collapsed="false">
      <c r="A182" s="9" t="n">
        <v>7</v>
      </c>
      <c r="B182" s="9" t="s">
        <v>76</v>
      </c>
      <c r="C182" s="9" t="s">
        <v>77</v>
      </c>
      <c r="D182" s="9" t="s">
        <v>59</v>
      </c>
      <c r="E182" s="9" t="s">
        <v>8</v>
      </c>
      <c r="F182" s="4" t="s">
        <v>436</v>
      </c>
    </row>
    <row r="183" customFormat="false" ht="23.85" hidden="false" customHeight="false" outlineLevel="0" collapsed="false">
      <c r="A183" s="9" t="n">
        <v>7</v>
      </c>
      <c r="B183" s="9" t="s">
        <v>76</v>
      </c>
      <c r="C183" s="9" t="s">
        <v>77</v>
      </c>
      <c r="D183" s="9" t="s">
        <v>59</v>
      </c>
      <c r="E183" s="9" t="s">
        <v>8</v>
      </c>
      <c r="F183" s="4" t="s">
        <v>437</v>
      </c>
    </row>
    <row r="184" customFormat="false" ht="35.05" hidden="false" customHeight="false" outlineLevel="0" collapsed="false">
      <c r="A184" s="9" t="n">
        <v>7</v>
      </c>
      <c r="B184" s="9" t="s">
        <v>76</v>
      </c>
      <c r="C184" s="9" t="s">
        <v>77</v>
      </c>
      <c r="D184" s="9" t="s">
        <v>59</v>
      </c>
      <c r="E184" s="9" t="s">
        <v>8</v>
      </c>
      <c r="F184" s="4" t="s">
        <v>438</v>
      </c>
    </row>
    <row r="185" customFormat="false" ht="35.05" hidden="false" customHeight="false" outlineLevel="0" collapsed="false">
      <c r="A185" s="9" t="n">
        <v>7</v>
      </c>
      <c r="B185" s="9" t="s">
        <v>76</v>
      </c>
      <c r="C185" s="9" t="s">
        <v>77</v>
      </c>
      <c r="D185" s="9" t="s">
        <v>59</v>
      </c>
      <c r="E185" s="9" t="s">
        <v>8</v>
      </c>
      <c r="F185" s="4" t="s">
        <v>439</v>
      </c>
    </row>
    <row r="186" customFormat="false" ht="23.85" hidden="false" customHeight="false" outlineLevel="0" collapsed="false">
      <c r="A186" s="9" t="n">
        <v>7</v>
      </c>
      <c r="B186" s="9" t="s">
        <v>76</v>
      </c>
      <c r="C186" s="9" t="s">
        <v>77</v>
      </c>
      <c r="D186" s="9" t="s">
        <v>59</v>
      </c>
      <c r="E186" s="9" t="s">
        <v>8</v>
      </c>
      <c r="F186" s="4" t="s">
        <v>440</v>
      </c>
    </row>
    <row r="187" customFormat="false" ht="23.85" hidden="false" customHeight="false" outlineLevel="0" collapsed="false">
      <c r="A187" s="9" t="n">
        <v>7</v>
      </c>
      <c r="B187" s="9" t="s">
        <v>76</v>
      </c>
      <c r="C187" s="9" t="s">
        <v>77</v>
      </c>
      <c r="D187" s="9" t="s">
        <v>59</v>
      </c>
      <c r="E187" s="9" t="s">
        <v>8</v>
      </c>
      <c r="F187" s="4" t="s">
        <v>441</v>
      </c>
    </row>
    <row r="188" customFormat="false" ht="35.05" hidden="false" customHeight="false" outlineLevel="0" collapsed="false">
      <c r="A188" s="9" t="n">
        <v>7</v>
      </c>
      <c r="B188" s="9" t="s">
        <v>76</v>
      </c>
      <c r="C188" s="9" t="s">
        <v>77</v>
      </c>
      <c r="D188" s="9" t="s">
        <v>59</v>
      </c>
      <c r="E188" s="9" t="s">
        <v>8</v>
      </c>
      <c r="F188" s="4" t="s">
        <v>442</v>
      </c>
    </row>
    <row r="189" customFormat="false" ht="23.85" hidden="false" customHeight="false" outlineLevel="0" collapsed="false">
      <c r="A189" s="9" t="n">
        <v>7</v>
      </c>
      <c r="B189" s="9" t="s">
        <v>76</v>
      </c>
      <c r="C189" s="9" t="s">
        <v>77</v>
      </c>
      <c r="D189" s="9" t="s">
        <v>59</v>
      </c>
      <c r="E189" s="9" t="s">
        <v>10</v>
      </c>
      <c r="F189" s="4" t="s">
        <v>443</v>
      </c>
    </row>
    <row r="190" customFormat="false" ht="23.85" hidden="false" customHeight="false" outlineLevel="0" collapsed="false">
      <c r="A190" s="9" t="n">
        <v>7</v>
      </c>
      <c r="B190" s="9" t="s">
        <v>76</v>
      </c>
      <c r="C190" s="9" t="s">
        <v>77</v>
      </c>
      <c r="D190" s="9" t="s">
        <v>59</v>
      </c>
      <c r="E190" s="9" t="s">
        <v>10</v>
      </c>
      <c r="F190" s="4" t="s">
        <v>444</v>
      </c>
    </row>
    <row r="191" customFormat="false" ht="23.85" hidden="false" customHeight="false" outlineLevel="0" collapsed="false">
      <c r="A191" s="9" t="n">
        <v>7</v>
      </c>
      <c r="B191" s="9" t="s">
        <v>76</v>
      </c>
      <c r="C191" s="9" t="s">
        <v>77</v>
      </c>
      <c r="D191" s="9" t="s">
        <v>59</v>
      </c>
      <c r="E191" s="9" t="s">
        <v>10</v>
      </c>
      <c r="F191" s="4" t="s">
        <v>445</v>
      </c>
    </row>
    <row r="192" customFormat="false" ht="23.85" hidden="false" customHeight="false" outlineLevel="0" collapsed="false">
      <c r="A192" s="9" t="n">
        <v>7</v>
      </c>
      <c r="B192" s="9" t="s">
        <v>76</v>
      </c>
      <c r="C192" s="9" t="s">
        <v>77</v>
      </c>
      <c r="D192" s="9" t="s">
        <v>59</v>
      </c>
      <c r="E192" s="9" t="s">
        <v>10</v>
      </c>
      <c r="F192" s="4" t="s">
        <v>446</v>
      </c>
    </row>
    <row r="193" customFormat="false" ht="35.05" hidden="false" customHeight="false" outlineLevel="0" collapsed="false">
      <c r="A193" s="9" t="n">
        <v>7</v>
      </c>
      <c r="B193" s="9" t="s">
        <v>76</v>
      </c>
      <c r="C193" s="9" t="s">
        <v>77</v>
      </c>
      <c r="D193" s="9" t="s">
        <v>59</v>
      </c>
      <c r="E193" s="9" t="s">
        <v>11</v>
      </c>
      <c r="F193" s="4" t="s">
        <v>447</v>
      </c>
    </row>
    <row r="194" customFormat="false" ht="46.25" hidden="false" customHeight="false" outlineLevel="0" collapsed="false">
      <c r="A194" s="9" t="n">
        <v>7</v>
      </c>
      <c r="B194" s="9" t="s">
        <v>76</v>
      </c>
      <c r="C194" s="9" t="s">
        <v>77</v>
      </c>
      <c r="D194" s="9" t="s">
        <v>59</v>
      </c>
      <c r="E194" s="9" t="s">
        <v>11</v>
      </c>
      <c r="F194" s="4" t="s">
        <v>448</v>
      </c>
    </row>
    <row r="195" customFormat="false" ht="23.85" hidden="false" customHeight="false" outlineLevel="0" collapsed="false">
      <c r="A195" s="9" t="n">
        <v>7</v>
      </c>
      <c r="B195" s="9" t="s">
        <v>76</v>
      </c>
      <c r="C195" s="9" t="s">
        <v>77</v>
      </c>
      <c r="D195" s="9" t="s">
        <v>59</v>
      </c>
      <c r="E195" s="9" t="s">
        <v>11</v>
      </c>
      <c r="F195" s="4" t="s">
        <v>449</v>
      </c>
    </row>
    <row r="196" customFormat="false" ht="15" hidden="false" customHeight="false" outlineLevel="0" collapsed="false">
      <c r="A196" s="9" t="n">
        <v>7</v>
      </c>
      <c r="B196" s="9" t="s">
        <v>76</v>
      </c>
      <c r="C196" s="9" t="s">
        <v>77</v>
      </c>
      <c r="D196" s="9" t="s">
        <v>59</v>
      </c>
      <c r="E196" s="9" t="s">
        <v>11</v>
      </c>
      <c r="F196" s="4" t="s">
        <v>450</v>
      </c>
    </row>
    <row r="197" customFormat="false" ht="35.05" hidden="false" customHeight="false" outlineLevel="0" collapsed="false">
      <c r="A197" s="9" t="n">
        <v>7</v>
      </c>
      <c r="B197" s="9" t="s">
        <v>76</v>
      </c>
      <c r="C197" s="9" t="s">
        <v>77</v>
      </c>
      <c r="D197" s="9" t="s">
        <v>59</v>
      </c>
      <c r="E197" s="9" t="s">
        <v>12</v>
      </c>
      <c r="F197" s="4" t="s">
        <v>451</v>
      </c>
    </row>
    <row r="198" customFormat="false" ht="23.85" hidden="false" customHeight="false" outlineLevel="0" collapsed="false">
      <c r="A198" s="9" t="n">
        <v>7</v>
      </c>
      <c r="B198" s="9" t="s">
        <v>76</v>
      </c>
      <c r="C198" s="9" t="s">
        <v>77</v>
      </c>
      <c r="D198" s="9" t="s">
        <v>59</v>
      </c>
      <c r="E198" s="9" t="s">
        <v>12</v>
      </c>
      <c r="F198" s="4" t="s">
        <v>452</v>
      </c>
    </row>
    <row r="199" customFormat="false" ht="23.85" hidden="false" customHeight="false" outlineLevel="0" collapsed="false">
      <c r="A199" s="9" t="n">
        <v>8</v>
      </c>
      <c r="B199" s="9" t="s">
        <v>84</v>
      </c>
      <c r="C199" s="9" t="s">
        <v>85</v>
      </c>
      <c r="D199" s="9" t="s">
        <v>59</v>
      </c>
      <c r="E199" s="9" t="s">
        <v>5</v>
      </c>
      <c r="F199" s="4" t="s">
        <v>453</v>
      </c>
    </row>
    <row r="200" customFormat="false" ht="23.85" hidden="false" customHeight="false" outlineLevel="0" collapsed="false">
      <c r="A200" s="9" t="n">
        <v>8</v>
      </c>
      <c r="B200" s="9" t="s">
        <v>84</v>
      </c>
      <c r="C200" s="9" t="s">
        <v>85</v>
      </c>
      <c r="D200" s="9" t="s">
        <v>59</v>
      </c>
      <c r="E200" s="9" t="s">
        <v>6</v>
      </c>
      <c r="F200" s="4" t="s">
        <v>454</v>
      </c>
    </row>
    <row r="201" customFormat="false" ht="23.85" hidden="false" customHeight="false" outlineLevel="0" collapsed="false">
      <c r="A201" s="9" t="n">
        <v>8</v>
      </c>
      <c r="B201" s="9" t="s">
        <v>84</v>
      </c>
      <c r="C201" s="9" t="s">
        <v>85</v>
      </c>
      <c r="D201" s="9" t="s">
        <v>59</v>
      </c>
      <c r="E201" s="9" t="s">
        <v>6</v>
      </c>
      <c r="F201" s="4" t="s">
        <v>455</v>
      </c>
    </row>
    <row r="202" customFormat="false" ht="15" hidden="false" customHeight="false" outlineLevel="0" collapsed="false">
      <c r="A202" s="9" t="n">
        <v>8</v>
      </c>
      <c r="B202" s="9" t="s">
        <v>84</v>
      </c>
      <c r="C202" s="9" t="s">
        <v>85</v>
      </c>
      <c r="D202" s="9" t="s">
        <v>59</v>
      </c>
      <c r="E202" s="9" t="s">
        <v>6</v>
      </c>
      <c r="F202" s="4" t="s">
        <v>456</v>
      </c>
    </row>
    <row r="203" customFormat="false" ht="35.05" hidden="false" customHeight="false" outlineLevel="0" collapsed="false">
      <c r="A203" s="9" t="n">
        <v>8</v>
      </c>
      <c r="B203" s="9" t="s">
        <v>84</v>
      </c>
      <c r="C203" s="9" t="s">
        <v>85</v>
      </c>
      <c r="D203" s="9" t="s">
        <v>59</v>
      </c>
      <c r="E203" s="9" t="s">
        <v>6</v>
      </c>
      <c r="F203" s="4" t="s">
        <v>457</v>
      </c>
    </row>
    <row r="204" customFormat="false" ht="35.05" hidden="false" customHeight="false" outlineLevel="0" collapsed="false">
      <c r="A204" s="9" t="n">
        <v>8</v>
      </c>
      <c r="B204" s="9" t="s">
        <v>84</v>
      </c>
      <c r="C204" s="9" t="s">
        <v>85</v>
      </c>
      <c r="D204" s="9" t="s">
        <v>59</v>
      </c>
      <c r="E204" s="9" t="s">
        <v>6</v>
      </c>
      <c r="F204" s="4" t="s">
        <v>458</v>
      </c>
    </row>
    <row r="205" customFormat="false" ht="35.05" hidden="false" customHeight="false" outlineLevel="0" collapsed="false">
      <c r="A205" s="9" t="n">
        <v>8</v>
      </c>
      <c r="B205" s="9" t="s">
        <v>84</v>
      </c>
      <c r="C205" s="9" t="s">
        <v>85</v>
      </c>
      <c r="D205" s="9" t="s">
        <v>59</v>
      </c>
      <c r="E205" s="9" t="s">
        <v>6</v>
      </c>
      <c r="F205" s="4" t="s">
        <v>459</v>
      </c>
    </row>
    <row r="206" customFormat="false" ht="15" hidden="false" customHeight="false" outlineLevel="0" collapsed="false">
      <c r="A206" s="9" t="n">
        <v>8</v>
      </c>
      <c r="B206" s="9" t="s">
        <v>84</v>
      </c>
      <c r="C206" s="9" t="s">
        <v>85</v>
      </c>
      <c r="D206" s="9" t="s">
        <v>59</v>
      </c>
      <c r="E206" s="9" t="s">
        <v>7</v>
      </c>
      <c r="F206" s="4" t="s">
        <v>460</v>
      </c>
    </row>
    <row r="207" customFormat="false" ht="35.05" hidden="false" customHeight="false" outlineLevel="0" collapsed="false">
      <c r="A207" s="9" t="n">
        <v>8</v>
      </c>
      <c r="B207" s="9" t="s">
        <v>84</v>
      </c>
      <c r="C207" s="9" t="s">
        <v>85</v>
      </c>
      <c r="D207" s="9" t="s">
        <v>59</v>
      </c>
      <c r="E207" s="9" t="s">
        <v>7</v>
      </c>
      <c r="F207" s="4" t="s">
        <v>461</v>
      </c>
    </row>
    <row r="208" customFormat="false" ht="23.85" hidden="false" customHeight="false" outlineLevel="0" collapsed="false">
      <c r="A208" s="9" t="n">
        <v>8</v>
      </c>
      <c r="B208" s="9" t="s">
        <v>84</v>
      </c>
      <c r="C208" s="9" t="s">
        <v>85</v>
      </c>
      <c r="D208" s="9" t="s">
        <v>59</v>
      </c>
      <c r="E208" s="9" t="s">
        <v>7</v>
      </c>
      <c r="F208" s="4" t="s">
        <v>462</v>
      </c>
    </row>
    <row r="209" customFormat="false" ht="15" hidden="false" customHeight="false" outlineLevel="0" collapsed="false">
      <c r="A209" s="9" t="n">
        <v>8</v>
      </c>
      <c r="B209" s="9" t="s">
        <v>84</v>
      </c>
      <c r="C209" s="9" t="s">
        <v>85</v>
      </c>
      <c r="D209" s="9" t="s">
        <v>59</v>
      </c>
      <c r="E209" s="9" t="s">
        <v>7</v>
      </c>
      <c r="F209" s="4" t="s">
        <v>463</v>
      </c>
    </row>
    <row r="210" customFormat="false" ht="23.85" hidden="false" customHeight="false" outlineLevel="0" collapsed="false">
      <c r="A210" s="9" t="n">
        <v>8</v>
      </c>
      <c r="B210" s="9" t="s">
        <v>84</v>
      </c>
      <c r="C210" s="9" t="s">
        <v>85</v>
      </c>
      <c r="D210" s="9" t="s">
        <v>59</v>
      </c>
      <c r="E210" s="9" t="s">
        <v>8</v>
      </c>
      <c r="F210" s="4" t="s">
        <v>464</v>
      </c>
    </row>
    <row r="211" customFormat="false" ht="23.85" hidden="false" customHeight="false" outlineLevel="0" collapsed="false">
      <c r="A211" s="9" t="n">
        <v>8</v>
      </c>
      <c r="B211" s="9" t="s">
        <v>84</v>
      </c>
      <c r="C211" s="9" t="s">
        <v>85</v>
      </c>
      <c r="D211" s="9" t="s">
        <v>59</v>
      </c>
      <c r="E211" s="9" t="s">
        <v>8</v>
      </c>
      <c r="F211" s="4" t="s">
        <v>465</v>
      </c>
    </row>
    <row r="212" customFormat="false" ht="46.25" hidden="false" customHeight="false" outlineLevel="0" collapsed="false">
      <c r="A212" s="9" t="n">
        <v>8</v>
      </c>
      <c r="B212" s="9" t="s">
        <v>84</v>
      </c>
      <c r="C212" s="9" t="s">
        <v>85</v>
      </c>
      <c r="D212" s="9" t="s">
        <v>59</v>
      </c>
      <c r="E212" s="9" t="s">
        <v>8</v>
      </c>
      <c r="F212" s="4" t="s">
        <v>466</v>
      </c>
    </row>
    <row r="213" customFormat="false" ht="35.05" hidden="false" customHeight="false" outlineLevel="0" collapsed="false">
      <c r="A213" s="9" t="n">
        <v>8</v>
      </c>
      <c r="B213" s="9" t="s">
        <v>84</v>
      </c>
      <c r="C213" s="9" t="s">
        <v>85</v>
      </c>
      <c r="D213" s="9" t="s">
        <v>59</v>
      </c>
      <c r="E213" s="9" t="s">
        <v>8</v>
      </c>
      <c r="F213" s="4" t="s">
        <v>467</v>
      </c>
    </row>
    <row r="214" customFormat="false" ht="15" hidden="false" customHeight="false" outlineLevel="0" collapsed="false">
      <c r="A214" s="9" t="n">
        <v>8</v>
      </c>
      <c r="B214" s="9" t="s">
        <v>84</v>
      </c>
      <c r="C214" s="9" t="s">
        <v>85</v>
      </c>
      <c r="D214" s="9" t="s">
        <v>59</v>
      </c>
      <c r="E214" s="9" t="s">
        <v>8</v>
      </c>
      <c r="F214" s="4" t="s">
        <v>468</v>
      </c>
    </row>
    <row r="215" customFormat="false" ht="23.85" hidden="false" customHeight="false" outlineLevel="0" collapsed="false">
      <c r="A215" s="9" t="n">
        <v>8</v>
      </c>
      <c r="B215" s="9" t="s">
        <v>84</v>
      </c>
      <c r="C215" s="9" t="s">
        <v>85</v>
      </c>
      <c r="D215" s="9" t="s">
        <v>59</v>
      </c>
      <c r="E215" s="9" t="s">
        <v>8</v>
      </c>
      <c r="F215" s="4" t="s">
        <v>469</v>
      </c>
    </row>
    <row r="216" customFormat="false" ht="23.85" hidden="false" customHeight="false" outlineLevel="0" collapsed="false">
      <c r="A216" s="9" t="n">
        <v>8</v>
      </c>
      <c r="B216" s="9" t="s">
        <v>84</v>
      </c>
      <c r="C216" s="9" t="s">
        <v>85</v>
      </c>
      <c r="D216" s="9" t="s">
        <v>59</v>
      </c>
      <c r="E216" s="9" t="s">
        <v>8</v>
      </c>
      <c r="F216" s="4" t="s">
        <v>470</v>
      </c>
    </row>
    <row r="217" customFormat="false" ht="35.05" hidden="false" customHeight="false" outlineLevel="0" collapsed="false">
      <c r="A217" s="9" t="n">
        <v>8</v>
      </c>
      <c r="B217" s="9" t="s">
        <v>84</v>
      </c>
      <c r="C217" s="9" t="s">
        <v>85</v>
      </c>
      <c r="D217" s="9" t="s">
        <v>59</v>
      </c>
      <c r="E217" s="9" t="s">
        <v>8</v>
      </c>
      <c r="F217" s="4" t="s">
        <v>471</v>
      </c>
    </row>
    <row r="218" customFormat="false" ht="35.05" hidden="false" customHeight="false" outlineLevel="0" collapsed="false">
      <c r="A218" s="9" t="n">
        <v>8</v>
      </c>
      <c r="B218" s="9" t="s">
        <v>84</v>
      </c>
      <c r="C218" s="9" t="s">
        <v>85</v>
      </c>
      <c r="D218" s="9" t="s">
        <v>59</v>
      </c>
      <c r="E218" s="9" t="s">
        <v>8</v>
      </c>
      <c r="F218" s="4" t="s">
        <v>472</v>
      </c>
    </row>
    <row r="219" customFormat="false" ht="35.05" hidden="false" customHeight="false" outlineLevel="0" collapsed="false">
      <c r="A219" s="9" t="n">
        <v>8</v>
      </c>
      <c r="B219" s="9" t="s">
        <v>84</v>
      </c>
      <c r="C219" s="9" t="s">
        <v>85</v>
      </c>
      <c r="D219" s="9" t="s">
        <v>59</v>
      </c>
      <c r="E219" s="9" t="s">
        <v>8</v>
      </c>
      <c r="F219" s="4" t="s">
        <v>473</v>
      </c>
    </row>
    <row r="220" customFormat="false" ht="23.85" hidden="false" customHeight="false" outlineLevel="0" collapsed="false">
      <c r="A220" s="9" t="n">
        <v>8</v>
      </c>
      <c r="B220" s="9" t="s">
        <v>84</v>
      </c>
      <c r="C220" s="9" t="s">
        <v>85</v>
      </c>
      <c r="D220" s="9" t="s">
        <v>59</v>
      </c>
      <c r="E220" s="9" t="s">
        <v>8</v>
      </c>
      <c r="F220" s="4" t="s">
        <v>474</v>
      </c>
    </row>
    <row r="221" customFormat="false" ht="35.05" hidden="false" customHeight="false" outlineLevel="0" collapsed="false">
      <c r="A221" s="9" t="n">
        <v>8</v>
      </c>
      <c r="B221" s="9" t="s">
        <v>84</v>
      </c>
      <c r="C221" s="9" t="s">
        <v>85</v>
      </c>
      <c r="D221" s="9" t="s">
        <v>59</v>
      </c>
      <c r="E221" s="9" t="s">
        <v>8</v>
      </c>
      <c r="F221" s="4" t="s">
        <v>475</v>
      </c>
    </row>
    <row r="222" customFormat="false" ht="35.05" hidden="false" customHeight="false" outlineLevel="0" collapsed="false">
      <c r="A222" s="9" t="n">
        <v>8</v>
      </c>
      <c r="B222" s="9" t="s">
        <v>84</v>
      </c>
      <c r="C222" s="9" t="s">
        <v>85</v>
      </c>
      <c r="D222" s="9" t="s">
        <v>59</v>
      </c>
      <c r="E222" s="9" t="s">
        <v>8</v>
      </c>
      <c r="F222" s="4" t="s">
        <v>476</v>
      </c>
    </row>
    <row r="223" customFormat="false" ht="23.85" hidden="false" customHeight="false" outlineLevel="0" collapsed="false">
      <c r="A223" s="9" t="n">
        <v>8</v>
      </c>
      <c r="B223" s="9" t="s">
        <v>84</v>
      </c>
      <c r="C223" s="9" t="s">
        <v>85</v>
      </c>
      <c r="D223" s="9" t="s">
        <v>59</v>
      </c>
      <c r="E223" s="9" t="s">
        <v>8</v>
      </c>
      <c r="F223" s="4" t="s">
        <v>477</v>
      </c>
    </row>
    <row r="224" customFormat="false" ht="15" hidden="false" customHeight="false" outlineLevel="0" collapsed="false">
      <c r="A224" s="9" t="n">
        <v>8</v>
      </c>
      <c r="B224" s="9" t="s">
        <v>84</v>
      </c>
      <c r="C224" s="9" t="s">
        <v>85</v>
      </c>
      <c r="D224" s="9" t="s">
        <v>59</v>
      </c>
      <c r="E224" s="9" t="s">
        <v>9</v>
      </c>
      <c r="F224" s="4" t="s">
        <v>478</v>
      </c>
    </row>
    <row r="225" customFormat="false" ht="23.85" hidden="false" customHeight="false" outlineLevel="0" collapsed="false">
      <c r="A225" s="9" t="n">
        <v>8</v>
      </c>
      <c r="B225" s="9" t="s">
        <v>84</v>
      </c>
      <c r="C225" s="9" t="s">
        <v>85</v>
      </c>
      <c r="D225" s="9" t="s">
        <v>59</v>
      </c>
      <c r="E225" s="9" t="s">
        <v>9</v>
      </c>
      <c r="F225" s="4" t="s">
        <v>479</v>
      </c>
    </row>
    <row r="226" customFormat="false" ht="23.85" hidden="false" customHeight="false" outlineLevel="0" collapsed="false">
      <c r="A226" s="9" t="n">
        <v>8</v>
      </c>
      <c r="B226" s="9" t="s">
        <v>84</v>
      </c>
      <c r="C226" s="9" t="s">
        <v>85</v>
      </c>
      <c r="D226" s="9" t="s">
        <v>59</v>
      </c>
      <c r="E226" s="9" t="s">
        <v>9</v>
      </c>
      <c r="F226" s="4" t="s">
        <v>480</v>
      </c>
    </row>
    <row r="227" customFormat="false" ht="23.85" hidden="false" customHeight="false" outlineLevel="0" collapsed="false">
      <c r="A227" s="9" t="n">
        <v>8</v>
      </c>
      <c r="B227" s="9" t="s">
        <v>84</v>
      </c>
      <c r="C227" s="9" t="s">
        <v>85</v>
      </c>
      <c r="D227" s="9" t="s">
        <v>59</v>
      </c>
      <c r="E227" s="9" t="s">
        <v>9</v>
      </c>
      <c r="F227" s="4" t="s">
        <v>481</v>
      </c>
    </row>
    <row r="228" customFormat="false" ht="23.85" hidden="false" customHeight="false" outlineLevel="0" collapsed="false">
      <c r="A228" s="9" t="n">
        <v>8</v>
      </c>
      <c r="B228" s="9" t="s">
        <v>84</v>
      </c>
      <c r="C228" s="9" t="s">
        <v>85</v>
      </c>
      <c r="D228" s="9" t="s">
        <v>59</v>
      </c>
      <c r="E228" s="9" t="s">
        <v>10</v>
      </c>
      <c r="F228" s="4" t="s">
        <v>482</v>
      </c>
    </row>
    <row r="229" customFormat="false" ht="23.85" hidden="false" customHeight="false" outlineLevel="0" collapsed="false">
      <c r="A229" s="9" t="n">
        <v>8</v>
      </c>
      <c r="B229" s="9" t="s">
        <v>84</v>
      </c>
      <c r="C229" s="9" t="s">
        <v>85</v>
      </c>
      <c r="D229" s="9" t="s">
        <v>59</v>
      </c>
      <c r="E229" s="9" t="s">
        <v>10</v>
      </c>
      <c r="F229" s="4" t="s">
        <v>483</v>
      </c>
    </row>
    <row r="230" customFormat="false" ht="46.25" hidden="false" customHeight="false" outlineLevel="0" collapsed="false">
      <c r="A230" s="9" t="n">
        <v>8</v>
      </c>
      <c r="B230" s="9" t="s">
        <v>84</v>
      </c>
      <c r="C230" s="9" t="s">
        <v>85</v>
      </c>
      <c r="D230" s="9" t="s">
        <v>59</v>
      </c>
      <c r="E230" s="9" t="s">
        <v>10</v>
      </c>
      <c r="F230" s="4" t="s">
        <v>484</v>
      </c>
    </row>
    <row r="231" customFormat="false" ht="23.85" hidden="false" customHeight="false" outlineLevel="0" collapsed="false">
      <c r="A231" s="9" t="n">
        <v>8</v>
      </c>
      <c r="B231" s="9" t="s">
        <v>84</v>
      </c>
      <c r="C231" s="9" t="s">
        <v>85</v>
      </c>
      <c r="D231" s="9" t="s">
        <v>59</v>
      </c>
      <c r="E231" s="9" t="s">
        <v>10</v>
      </c>
      <c r="F231" s="4" t="s">
        <v>485</v>
      </c>
    </row>
    <row r="232" customFormat="false" ht="35.05" hidden="false" customHeight="false" outlineLevel="0" collapsed="false">
      <c r="A232" s="9" t="n">
        <v>8</v>
      </c>
      <c r="B232" s="9" t="s">
        <v>84</v>
      </c>
      <c r="C232" s="9" t="s">
        <v>85</v>
      </c>
      <c r="D232" s="9" t="s">
        <v>59</v>
      </c>
      <c r="E232" s="9" t="s">
        <v>10</v>
      </c>
      <c r="F232" s="4" t="s">
        <v>486</v>
      </c>
    </row>
    <row r="233" customFormat="false" ht="35.05" hidden="false" customHeight="false" outlineLevel="0" collapsed="false">
      <c r="A233" s="9" t="n">
        <v>8</v>
      </c>
      <c r="B233" s="9" t="s">
        <v>84</v>
      </c>
      <c r="C233" s="9" t="s">
        <v>85</v>
      </c>
      <c r="D233" s="9" t="s">
        <v>59</v>
      </c>
      <c r="E233" s="9" t="s">
        <v>12</v>
      </c>
      <c r="F233" s="4" t="s">
        <v>487</v>
      </c>
    </row>
    <row r="234" customFormat="false" ht="57.45" hidden="false" customHeight="false" outlineLevel="0" collapsed="false">
      <c r="A234" s="9" t="n">
        <v>8</v>
      </c>
      <c r="B234" s="9" t="s">
        <v>84</v>
      </c>
      <c r="C234" s="9" t="s">
        <v>85</v>
      </c>
      <c r="D234" s="9" t="s">
        <v>59</v>
      </c>
      <c r="E234" s="9" t="s">
        <v>12</v>
      </c>
      <c r="F234" s="4" t="s">
        <v>488</v>
      </c>
    </row>
    <row r="235" customFormat="false" ht="57.45" hidden="false" customHeight="false" outlineLevel="0" collapsed="false">
      <c r="A235" s="9" t="n">
        <v>8</v>
      </c>
      <c r="B235" s="9" t="s">
        <v>84</v>
      </c>
      <c r="C235" s="9" t="s">
        <v>85</v>
      </c>
      <c r="D235" s="9" t="s">
        <v>59</v>
      </c>
      <c r="E235" s="9" t="s">
        <v>12</v>
      </c>
      <c r="F235" s="4" t="s">
        <v>489</v>
      </c>
    </row>
    <row r="236" customFormat="false" ht="15" hidden="false" customHeight="false" outlineLevel="0" collapsed="false">
      <c r="A236" s="9" t="n">
        <v>9</v>
      </c>
      <c r="B236" s="9" t="s">
        <v>93</v>
      </c>
      <c r="C236" s="9" t="s">
        <v>94</v>
      </c>
      <c r="D236" s="9" t="s">
        <v>59</v>
      </c>
      <c r="E236" s="9" t="s">
        <v>5</v>
      </c>
      <c r="F236" s="4" t="s">
        <v>490</v>
      </c>
    </row>
    <row r="237" customFormat="false" ht="35.05" hidden="false" customHeight="false" outlineLevel="0" collapsed="false">
      <c r="A237" s="9" t="n">
        <v>9</v>
      </c>
      <c r="B237" s="9" t="s">
        <v>93</v>
      </c>
      <c r="C237" s="9" t="s">
        <v>94</v>
      </c>
      <c r="D237" s="9" t="s">
        <v>59</v>
      </c>
      <c r="E237" s="9" t="s">
        <v>6</v>
      </c>
      <c r="F237" s="4" t="s">
        <v>491</v>
      </c>
    </row>
    <row r="238" customFormat="false" ht="23.85" hidden="false" customHeight="false" outlineLevel="0" collapsed="false">
      <c r="A238" s="9" t="n">
        <v>9</v>
      </c>
      <c r="B238" s="9" t="s">
        <v>93</v>
      </c>
      <c r="C238" s="9" t="s">
        <v>94</v>
      </c>
      <c r="D238" s="9" t="s">
        <v>59</v>
      </c>
      <c r="E238" s="9" t="s">
        <v>6</v>
      </c>
      <c r="F238" s="4" t="s">
        <v>492</v>
      </c>
    </row>
    <row r="239" customFormat="false" ht="23.85" hidden="false" customHeight="false" outlineLevel="0" collapsed="false">
      <c r="A239" s="9" t="n">
        <v>9</v>
      </c>
      <c r="B239" s="9" t="s">
        <v>93</v>
      </c>
      <c r="C239" s="9" t="s">
        <v>94</v>
      </c>
      <c r="D239" s="9" t="s">
        <v>59</v>
      </c>
      <c r="E239" s="9" t="s">
        <v>6</v>
      </c>
      <c r="F239" s="4" t="s">
        <v>493</v>
      </c>
    </row>
    <row r="240" customFormat="false" ht="23.85" hidden="false" customHeight="false" outlineLevel="0" collapsed="false">
      <c r="A240" s="9" t="n">
        <v>9</v>
      </c>
      <c r="B240" s="9" t="s">
        <v>93</v>
      </c>
      <c r="C240" s="9" t="s">
        <v>94</v>
      </c>
      <c r="D240" s="9" t="s">
        <v>59</v>
      </c>
      <c r="E240" s="9" t="s">
        <v>7</v>
      </c>
      <c r="F240" s="4" t="s">
        <v>494</v>
      </c>
    </row>
    <row r="241" customFormat="false" ht="23.85" hidden="false" customHeight="false" outlineLevel="0" collapsed="false">
      <c r="A241" s="9" t="n">
        <v>9</v>
      </c>
      <c r="B241" s="9" t="s">
        <v>93</v>
      </c>
      <c r="C241" s="9" t="s">
        <v>94</v>
      </c>
      <c r="D241" s="9" t="s">
        <v>59</v>
      </c>
      <c r="E241" s="9" t="s">
        <v>7</v>
      </c>
      <c r="F241" s="4" t="s">
        <v>495</v>
      </c>
    </row>
    <row r="242" customFormat="false" ht="23.85" hidden="false" customHeight="false" outlineLevel="0" collapsed="false">
      <c r="A242" s="9" t="n">
        <v>9</v>
      </c>
      <c r="B242" s="9" t="s">
        <v>93</v>
      </c>
      <c r="C242" s="9" t="s">
        <v>94</v>
      </c>
      <c r="D242" s="9" t="s">
        <v>59</v>
      </c>
      <c r="E242" s="9" t="s">
        <v>7</v>
      </c>
      <c r="F242" s="4" t="s">
        <v>496</v>
      </c>
    </row>
    <row r="243" customFormat="false" ht="35.05" hidden="false" customHeight="false" outlineLevel="0" collapsed="false">
      <c r="A243" s="9" t="n">
        <v>9</v>
      </c>
      <c r="B243" s="9" t="s">
        <v>93</v>
      </c>
      <c r="C243" s="9" t="s">
        <v>94</v>
      </c>
      <c r="D243" s="9" t="s">
        <v>59</v>
      </c>
      <c r="E243" s="9" t="s">
        <v>7</v>
      </c>
      <c r="F243" s="4" t="s">
        <v>497</v>
      </c>
    </row>
    <row r="244" customFormat="false" ht="46.25" hidden="false" customHeight="false" outlineLevel="0" collapsed="false">
      <c r="A244" s="9" t="n">
        <v>9</v>
      </c>
      <c r="B244" s="9" t="s">
        <v>93</v>
      </c>
      <c r="C244" s="9" t="s">
        <v>94</v>
      </c>
      <c r="D244" s="9" t="s">
        <v>59</v>
      </c>
      <c r="E244" s="9" t="s">
        <v>7</v>
      </c>
      <c r="F244" s="4" t="s">
        <v>498</v>
      </c>
    </row>
    <row r="245" customFormat="false" ht="35.05" hidden="false" customHeight="false" outlineLevel="0" collapsed="false">
      <c r="A245" s="9" t="n">
        <v>9</v>
      </c>
      <c r="B245" s="9" t="s">
        <v>93</v>
      </c>
      <c r="C245" s="9" t="s">
        <v>94</v>
      </c>
      <c r="D245" s="9" t="s">
        <v>59</v>
      </c>
      <c r="E245" s="9" t="s">
        <v>8</v>
      </c>
      <c r="F245" s="4" t="s">
        <v>499</v>
      </c>
    </row>
    <row r="246" customFormat="false" ht="23.85" hidden="false" customHeight="false" outlineLevel="0" collapsed="false">
      <c r="A246" s="9" t="n">
        <v>9</v>
      </c>
      <c r="B246" s="9" t="s">
        <v>93</v>
      </c>
      <c r="C246" s="9" t="s">
        <v>94</v>
      </c>
      <c r="D246" s="9" t="s">
        <v>59</v>
      </c>
      <c r="E246" s="9" t="s">
        <v>8</v>
      </c>
      <c r="F246" s="4" t="s">
        <v>500</v>
      </c>
    </row>
    <row r="247" customFormat="false" ht="15" hidden="false" customHeight="false" outlineLevel="0" collapsed="false">
      <c r="A247" s="9" t="n">
        <v>9</v>
      </c>
      <c r="B247" s="9" t="s">
        <v>93</v>
      </c>
      <c r="C247" s="9" t="s">
        <v>94</v>
      </c>
      <c r="D247" s="9" t="s">
        <v>59</v>
      </c>
      <c r="E247" s="9" t="s">
        <v>8</v>
      </c>
      <c r="F247" s="4" t="s">
        <v>501</v>
      </c>
    </row>
    <row r="248" customFormat="false" ht="35.05" hidden="false" customHeight="false" outlineLevel="0" collapsed="false">
      <c r="A248" s="9" t="n">
        <v>9</v>
      </c>
      <c r="B248" s="9" t="s">
        <v>93</v>
      </c>
      <c r="C248" s="9" t="s">
        <v>94</v>
      </c>
      <c r="D248" s="9" t="s">
        <v>59</v>
      </c>
      <c r="E248" s="9" t="s">
        <v>8</v>
      </c>
      <c r="F248" s="4" t="s">
        <v>502</v>
      </c>
    </row>
    <row r="249" customFormat="false" ht="15" hidden="false" customHeight="false" outlineLevel="0" collapsed="false">
      <c r="A249" s="9" t="n">
        <v>9</v>
      </c>
      <c r="B249" s="9" t="s">
        <v>93</v>
      </c>
      <c r="C249" s="9" t="s">
        <v>94</v>
      </c>
      <c r="D249" s="9" t="s">
        <v>59</v>
      </c>
      <c r="E249" s="9" t="s">
        <v>9</v>
      </c>
      <c r="F249" s="4" t="s">
        <v>503</v>
      </c>
    </row>
    <row r="250" customFormat="false" ht="23.85" hidden="false" customHeight="false" outlineLevel="0" collapsed="false">
      <c r="A250" s="9" t="n">
        <v>9</v>
      </c>
      <c r="B250" s="9" t="s">
        <v>93</v>
      </c>
      <c r="C250" s="9" t="s">
        <v>94</v>
      </c>
      <c r="D250" s="9" t="s">
        <v>59</v>
      </c>
      <c r="E250" s="9" t="s">
        <v>10</v>
      </c>
      <c r="F250" s="4" t="s">
        <v>504</v>
      </c>
    </row>
    <row r="251" customFormat="false" ht="23.85" hidden="false" customHeight="false" outlineLevel="0" collapsed="false">
      <c r="A251" s="9" t="n">
        <v>9</v>
      </c>
      <c r="B251" s="9" t="s">
        <v>93</v>
      </c>
      <c r="C251" s="9" t="s">
        <v>94</v>
      </c>
      <c r="D251" s="9" t="s">
        <v>59</v>
      </c>
      <c r="E251" s="9" t="s">
        <v>10</v>
      </c>
      <c r="F251" s="4" t="s">
        <v>505</v>
      </c>
    </row>
    <row r="252" customFormat="false" ht="23.85" hidden="false" customHeight="false" outlineLevel="0" collapsed="false">
      <c r="A252" s="9" t="n">
        <v>9</v>
      </c>
      <c r="B252" s="9" t="s">
        <v>93</v>
      </c>
      <c r="C252" s="9" t="s">
        <v>94</v>
      </c>
      <c r="D252" s="9" t="s">
        <v>59</v>
      </c>
      <c r="E252" s="9" t="s">
        <v>10</v>
      </c>
      <c r="F252" s="4" t="s">
        <v>506</v>
      </c>
    </row>
    <row r="253" customFormat="false" ht="35.05" hidden="false" customHeight="false" outlineLevel="0" collapsed="false">
      <c r="A253" s="9" t="n">
        <v>9</v>
      </c>
      <c r="B253" s="9" t="s">
        <v>93</v>
      </c>
      <c r="C253" s="9" t="s">
        <v>94</v>
      </c>
      <c r="D253" s="9" t="s">
        <v>59</v>
      </c>
      <c r="E253" s="9" t="s">
        <v>10</v>
      </c>
      <c r="F253" s="4" t="s">
        <v>507</v>
      </c>
    </row>
    <row r="254" customFormat="false" ht="15" hidden="false" customHeight="false" outlineLevel="0" collapsed="false">
      <c r="A254" s="9" t="n">
        <v>9</v>
      </c>
      <c r="B254" s="9" t="s">
        <v>93</v>
      </c>
      <c r="C254" s="9" t="s">
        <v>94</v>
      </c>
      <c r="D254" s="9" t="s">
        <v>59</v>
      </c>
      <c r="E254" s="9" t="s">
        <v>10</v>
      </c>
      <c r="F254" s="4" t="s">
        <v>508</v>
      </c>
    </row>
    <row r="255" customFormat="false" ht="57.45" hidden="false" customHeight="false" outlineLevel="0" collapsed="false">
      <c r="A255" s="9" t="n">
        <v>9</v>
      </c>
      <c r="B255" s="9" t="s">
        <v>93</v>
      </c>
      <c r="C255" s="9" t="s">
        <v>94</v>
      </c>
      <c r="D255" s="9" t="s">
        <v>59</v>
      </c>
      <c r="E255" s="9" t="s">
        <v>12</v>
      </c>
      <c r="F255" s="4" t="s">
        <v>509</v>
      </c>
    </row>
    <row r="256" customFormat="false" ht="23.85" hidden="false" customHeight="false" outlineLevel="0" collapsed="false">
      <c r="A256" s="9" t="n">
        <v>9</v>
      </c>
      <c r="B256" s="9" t="s">
        <v>93</v>
      </c>
      <c r="C256" s="9" t="s">
        <v>94</v>
      </c>
      <c r="D256" s="9" t="s">
        <v>59</v>
      </c>
      <c r="E256" s="9" t="s">
        <v>12</v>
      </c>
      <c r="F256" s="4" t="s">
        <v>510</v>
      </c>
    </row>
    <row r="257" customFormat="false" ht="35.05" hidden="false" customHeight="false" outlineLevel="0" collapsed="false">
      <c r="A257" s="9" t="n">
        <v>9</v>
      </c>
      <c r="B257" s="9" t="s">
        <v>93</v>
      </c>
      <c r="C257" s="9" t="s">
        <v>94</v>
      </c>
      <c r="D257" s="9" t="s">
        <v>59</v>
      </c>
      <c r="E257" s="9" t="s">
        <v>13</v>
      </c>
      <c r="F257" s="4" t="s">
        <v>511</v>
      </c>
    </row>
    <row r="258" customFormat="false" ht="23.85" hidden="false" customHeight="false" outlineLevel="0" collapsed="false">
      <c r="A258" s="9" t="n">
        <v>10</v>
      </c>
      <c r="B258" s="9" t="s">
        <v>103</v>
      </c>
      <c r="C258" s="9" t="s">
        <v>104</v>
      </c>
      <c r="D258" s="9" t="s">
        <v>59</v>
      </c>
      <c r="E258" s="9" t="s">
        <v>4</v>
      </c>
      <c r="F258" s="4" t="s">
        <v>512</v>
      </c>
    </row>
    <row r="259" customFormat="false" ht="15" hidden="false" customHeight="false" outlineLevel="0" collapsed="false">
      <c r="A259" s="9" t="n">
        <v>10</v>
      </c>
      <c r="B259" s="9" t="s">
        <v>103</v>
      </c>
      <c r="C259" s="9" t="s">
        <v>104</v>
      </c>
      <c r="D259" s="9" t="s">
        <v>59</v>
      </c>
      <c r="E259" s="9" t="s">
        <v>5</v>
      </c>
      <c r="F259" s="4" t="s">
        <v>513</v>
      </c>
    </row>
    <row r="260" customFormat="false" ht="23.85" hidden="false" customHeight="false" outlineLevel="0" collapsed="false">
      <c r="A260" s="9" t="n">
        <v>10</v>
      </c>
      <c r="B260" s="9" t="s">
        <v>103</v>
      </c>
      <c r="C260" s="9" t="s">
        <v>104</v>
      </c>
      <c r="D260" s="9" t="s">
        <v>59</v>
      </c>
      <c r="E260" s="9" t="s">
        <v>6</v>
      </c>
      <c r="F260" s="4" t="s">
        <v>514</v>
      </c>
    </row>
    <row r="261" customFormat="false" ht="15" hidden="false" customHeight="false" outlineLevel="0" collapsed="false">
      <c r="A261" s="9" t="n">
        <v>10</v>
      </c>
      <c r="B261" s="9" t="s">
        <v>103</v>
      </c>
      <c r="C261" s="9" t="s">
        <v>104</v>
      </c>
      <c r="D261" s="9" t="s">
        <v>59</v>
      </c>
      <c r="E261" s="9" t="s">
        <v>6</v>
      </c>
      <c r="F261" s="4" t="s">
        <v>515</v>
      </c>
    </row>
    <row r="262" customFormat="false" ht="23.85" hidden="false" customHeight="false" outlineLevel="0" collapsed="false">
      <c r="A262" s="9" t="n">
        <v>10</v>
      </c>
      <c r="B262" s="9" t="s">
        <v>103</v>
      </c>
      <c r="C262" s="9" t="s">
        <v>104</v>
      </c>
      <c r="D262" s="9" t="s">
        <v>59</v>
      </c>
      <c r="E262" s="9" t="s">
        <v>6</v>
      </c>
      <c r="F262" s="4" t="s">
        <v>516</v>
      </c>
    </row>
    <row r="263" customFormat="false" ht="46.25" hidden="false" customHeight="false" outlineLevel="0" collapsed="false">
      <c r="A263" s="9" t="n">
        <v>10</v>
      </c>
      <c r="B263" s="9" t="s">
        <v>103</v>
      </c>
      <c r="C263" s="9" t="s">
        <v>104</v>
      </c>
      <c r="D263" s="9" t="s">
        <v>59</v>
      </c>
      <c r="E263" s="9" t="s">
        <v>6</v>
      </c>
      <c r="F263" s="4" t="s">
        <v>517</v>
      </c>
    </row>
    <row r="264" customFormat="false" ht="23.85" hidden="false" customHeight="false" outlineLevel="0" collapsed="false">
      <c r="A264" s="9" t="n">
        <v>10</v>
      </c>
      <c r="B264" s="9" t="s">
        <v>103</v>
      </c>
      <c r="C264" s="9" t="s">
        <v>104</v>
      </c>
      <c r="D264" s="9" t="s">
        <v>59</v>
      </c>
      <c r="E264" s="9" t="s">
        <v>6</v>
      </c>
      <c r="F264" s="4" t="s">
        <v>518</v>
      </c>
    </row>
    <row r="265" customFormat="false" ht="23.85" hidden="false" customHeight="false" outlineLevel="0" collapsed="false">
      <c r="A265" s="9" t="n">
        <v>10</v>
      </c>
      <c r="B265" s="9" t="s">
        <v>103</v>
      </c>
      <c r="C265" s="9" t="s">
        <v>104</v>
      </c>
      <c r="D265" s="9" t="s">
        <v>59</v>
      </c>
      <c r="E265" s="9" t="s">
        <v>6</v>
      </c>
      <c r="F265" s="4" t="s">
        <v>519</v>
      </c>
    </row>
    <row r="266" customFormat="false" ht="23.85" hidden="false" customHeight="false" outlineLevel="0" collapsed="false">
      <c r="A266" s="9" t="n">
        <v>10</v>
      </c>
      <c r="B266" s="9" t="s">
        <v>103</v>
      </c>
      <c r="C266" s="9" t="s">
        <v>104</v>
      </c>
      <c r="D266" s="9" t="s">
        <v>59</v>
      </c>
      <c r="E266" s="9" t="s">
        <v>6</v>
      </c>
      <c r="F266" s="4" t="s">
        <v>520</v>
      </c>
    </row>
    <row r="267" customFormat="false" ht="35.05" hidden="false" customHeight="false" outlineLevel="0" collapsed="false">
      <c r="A267" s="9" t="n">
        <v>10</v>
      </c>
      <c r="B267" s="9" t="s">
        <v>103</v>
      </c>
      <c r="C267" s="9" t="s">
        <v>104</v>
      </c>
      <c r="D267" s="9" t="s">
        <v>59</v>
      </c>
      <c r="E267" s="9" t="s">
        <v>6</v>
      </c>
      <c r="F267" s="4" t="s">
        <v>521</v>
      </c>
    </row>
    <row r="268" customFormat="false" ht="23.85" hidden="false" customHeight="false" outlineLevel="0" collapsed="false">
      <c r="A268" s="9" t="n">
        <v>10</v>
      </c>
      <c r="B268" s="9" t="s">
        <v>103</v>
      </c>
      <c r="C268" s="9" t="s">
        <v>104</v>
      </c>
      <c r="D268" s="9" t="s">
        <v>59</v>
      </c>
      <c r="E268" s="9" t="s">
        <v>6</v>
      </c>
      <c r="F268" s="4" t="s">
        <v>522</v>
      </c>
    </row>
    <row r="269" customFormat="false" ht="35.05" hidden="false" customHeight="false" outlineLevel="0" collapsed="false">
      <c r="A269" s="9" t="n">
        <v>10</v>
      </c>
      <c r="B269" s="9" t="s">
        <v>103</v>
      </c>
      <c r="C269" s="9" t="s">
        <v>104</v>
      </c>
      <c r="D269" s="9" t="s">
        <v>59</v>
      </c>
      <c r="E269" s="9" t="s">
        <v>6</v>
      </c>
      <c r="F269" s="4" t="s">
        <v>523</v>
      </c>
    </row>
    <row r="270" customFormat="false" ht="23.85" hidden="false" customHeight="false" outlineLevel="0" collapsed="false">
      <c r="A270" s="9" t="n">
        <v>10</v>
      </c>
      <c r="B270" s="9" t="s">
        <v>103</v>
      </c>
      <c r="C270" s="9" t="s">
        <v>104</v>
      </c>
      <c r="D270" s="9" t="s">
        <v>59</v>
      </c>
      <c r="E270" s="9" t="s">
        <v>6</v>
      </c>
      <c r="F270" s="4" t="s">
        <v>524</v>
      </c>
    </row>
    <row r="271" customFormat="false" ht="35.05" hidden="false" customHeight="false" outlineLevel="0" collapsed="false">
      <c r="A271" s="9" t="n">
        <v>10</v>
      </c>
      <c r="B271" s="9" t="s">
        <v>103</v>
      </c>
      <c r="C271" s="9" t="s">
        <v>104</v>
      </c>
      <c r="D271" s="9" t="s">
        <v>59</v>
      </c>
      <c r="E271" s="9" t="s">
        <v>7</v>
      </c>
      <c r="F271" s="4" t="s">
        <v>525</v>
      </c>
    </row>
    <row r="272" customFormat="false" ht="35.05" hidden="false" customHeight="false" outlineLevel="0" collapsed="false">
      <c r="A272" s="9" t="n">
        <v>10</v>
      </c>
      <c r="B272" s="9" t="s">
        <v>103</v>
      </c>
      <c r="C272" s="9" t="s">
        <v>104</v>
      </c>
      <c r="D272" s="9" t="s">
        <v>59</v>
      </c>
      <c r="E272" s="9" t="s">
        <v>7</v>
      </c>
      <c r="F272" s="4" t="s">
        <v>526</v>
      </c>
    </row>
    <row r="273" customFormat="false" ht="23.85" hidden="false" customHeight="false" outlineLevel="0" collapsed="false">
      <c r="A273" s="9" t="n">
        <v>10</v>
      </c>
      <c r="B273" s="9" t="s">
        <v>103</v>
      </c>
      <c r="C273" s="9" t="s">
        <v>104</v>
      </c>
      <c r="D273" s="9" t="s">
        <v>59</v>
      </c>
      <c r="E273" s="9" t="s">
        <v>7</v>
      </c>
      <c r="F273" s="4" t="s">
        <v>527</v>
      </c>
    </row>
    <row r="274" customFormat="false" ht="23.85" hidden="false" customHeight="false" outlineLevel="0" collapsed="false">
      <c r="A274" s="9" t="n">
        <v>10</v>
      </c>
      <c r="B274" s="9" t="s">
        <v>103</v>
      </c>
      <c r="C274" s="9" t="s">
        <v>104</v>
      </c>
      <c r="D274" s="9" t="s">
        <v>59</v>
      </c>
      <c r="E274" s="9" t="s">
        <v>7</v>
      </c>
      <c r="F274" s="4" t="s">
        <v>528</v>
      </c>
    </row>
    <row r="275" customFormat="false" ht="15" hidden="false" customHeight="false" outlineLevel="0" collapsed="false">
      <c r="A275" s="9" t="n">
        <v>10</v>
      </c>
      <c r="B275" s="9" t="s">
        <v>103</v>
      </c>
      <c r="C275" s="9" t="s">
        <v>104</v>
      </c>
      <c r="D275" s="9" t="s">
        <v>59</v>
      </c>
      <c r="E275" s="9" t="s">
        <v>8</v>
      </c>
      <c r="F275" s="4" t="s">
        <v>529</v>
      </c>
    </row>
    <row r="276" customFormat="false" ht="15" hidden="false" customHeight="false" outlineLevel="0" collapsed="false">
      <c r="A276" s="9" t="n">
        <v>10</v>
      </c>
      <c r="B276" s="9" t="s">
        <v>103</v>
      </c>
      <c r="C276" s="9" t="s">
        <v>104</v>
      </c>
      <c r="D276" s="9" t="s">
        <v>59</v>
      </c>
      <c r="E276" s="9" t="s">
        <v>8</v>
      </c>
      <c r="F276" s="4" t="s">
        <v>530</v>
      </c>
    </row>
    <row r="277" customFormat="false" ht="35.05" hidden="false" customHeight="false" outlineLevel="0" collapsed="false">
      <c r="A277" s="9" t="n">
        <v>10</v>
      </c>
      <c r="B277" s="9" t="s">
        <v>103</v>
      </c>
      <c r="C277" s="9" t="s">
        <v>104</v>
      </c>
      <c r="D277" s="9" t="s">
        <v>59</v>
      </c>
      <c r="E277" s="9" t="s">
        <v>8</v>
      </c>
      <c r="F277" s="4" t="s">
        <v>531</v>
      </c>
    </row>
    <row r="278" customFormat="false" ht="23.85" hidden="false" customHeight="false" outlineLevel="0" collapsed="false">
      <c r="A278" s="9" t="n">
        <v>10</v>
      </c>
      <c r="B278" s="9" t="s">
        <v>103</v>
      </c>
      <c r="C278" s="9" t="s">
        <v>104</v>
      </c>
      <c r="D278" s="9" t="s">
        <v>59</v>
      </c>
      <c r="E278" s="9" t="s">
        <v>8</v>
      </c>
      <c r="F278" s="4" t="s">
        <v>532</v>
      </c>
    </row>
    <row r="279" customFormat="false" ht="15" hidden="false" customHeight="false" outlineLevel="0" collapsed="false">
      <c r="A279" s="9" t="n">
        <v>10</v>
      </c>
      <c r="B279" s="9" t="s">
        <v>103</v>
      </c>
      <c r="C279" s="9" t="s">
        <v>104</v>
      </c>
      <c r="D279" s="9" t="s">
        <v>59</v>
      </c>
      <c r="E279" s="9" t="s">
        <v>8</v>
      </c>
      <c r="F279" s="4" t="s">
        <v>533</v>
      </c>
    </row>
    <row r="280" customFormat="false" ht="35.05" hidden="false" customHeight="false" outlineLevel="0" collapsed="false">
      <c r="A280" s="9" t="n">
        <v>10</v>
      </c>
      <c r="B280" s="9" t="s">
        <v>103</v>
      </c>
      <c r="C280" s="9" t="s">
        <v>104</v>
      </c>
      <c r="D280" s="9" t="s">
        <v>59</v>
      </c>
      <c r="E280" s="9" t="s">
        <v>10</v>
      </c>
      <c r="F280" s="4" t="s">
        <v>534</v>
      </c>
    </row>
    <row r="281" customFormat="false" ht="23.85" hidden="false" customHeight="false" outlineLevel="0" collapsed="false">
      <c r="A281" s="9" t="n">
        <v>10</v>
      </c>
      <c r="B281" s="9" t="s">
        <v>103</v>
      </c>
      <c r="C281" s="9" t="s">
        <v>104</v>
      </c>
      <c r="D281" s="9" t="s">
        <v>59</v>
      </c>
      <c r="E281" s="9" t="s">
        <v>10</v>
      </c>
      <c r="F281" s="4" t="s">
        <v>535</v>
      </c>
    </row>
    <row r="282" customFormat="false" ht="23.85" hidden="false" customHeight="false" outlineLevel="0" collapsed="false">
      <c r="A282" s="9" t="n">
        <v>10</v>
      </c>
      <c r="B282" s="9" t="s">
        <v>103</v>
      </c>
      <c r="C282" s="9" t="s">
        <v>104</v>
      </c>
      <c r="D282" s="9" t="s">
        <v>59</v>
      </c>
      <c r="E282" s="9" t="s">
        <v>10</v>
      </c>
      <c r="F282" s="4" t="s">
        <v>536</v>
      </c>
    </row>
    <row r="283" customFormat="false" ht="23.85" hidden="false" customHeight="false" outlineLevel="0" collapsed="false">
      <c r="A283" s="9" t="n">
        <v>10</v>
      </c>
      <c r="B283" s="9" t="s">
        <v>103</v>
      </c>
      <c r="C283" s="9" t="s">
        <v>104</v>
      </c>
      <c r="D283" s="9" t="s">
        <v>59</v>
      </c>
      <c r="E283" s="9" t="s">
        <v>10</v>
      </c>
      <c r="F283" s="4" t="s">
        <v>537</v>
      </c>
    </row>
    <row r="284" customFormat="false" ht="23.85" hidden="false" customHeight="false" outlineLevel="0" collapsed="false">
      <c r="A284" s="9" t="n">
        <v>10</v>
      </c>
      <c r="B284" s="9" t="s">
        <v>103</v>
      </c>
      <c r="C284" s="9" t="s">
        <v>104</v>
      </c>
      <c r="D284" s="9" t="s">
        <v>59</v>
      </c>
      <c r="E284" s="9" t="s">
        <v>10</v>
      </c>
      <c r="F284" s="4" t="s">
        <v>538</v>
      </c>
    </row>
    <row r="285" customFormat="false" ht="46.25" hidden="false" customHeight="false" outlineLevel="0" collapsed="false">
      <c r="A285" s="9" t="n">
        <v>10</v>
      </c>
      <c r="B285" s="9" t="s">
        <v>103</v>
      </c>
      <c r="C285" s="9" t="s">
        <v>104</v>
      </c>
      <c r="D285" s="9" t="s">
        <v>59</v>
      </c>
      <c r="E285" s="9" t="s">
        <v>11</v>
      </c>
      <c r="F285" s="4" t="s">
        <v>539</v>
      </c>
    </row>
    <row r="286" customFormat="false" ht="23.85" hidden="false" customHeight="false" outlineLevel="0" collapsed="false">
      <c r="A286" s="9" t="n">
        <v>10</v>
      </c>
      <c r="B286" s="9" t="s">
        <v>103</v>
      </c>
      <c r="C286" s="9" t="s">
        <v>104</v>
      </c>
      <c r="D286" s="9" t="s">
        <v>59</v>
      </c>
      <c r="E286" s="9" t="s">
        <v>11</v>
      </c>
      <c r="F286" s="4" t="s">
        <v>540</v>
      </c>
    </row>
    <row r="287" customFormat="false" ht="46.25" hidden="false" customHeight="false" outlineLevel="0" collapsed="false">
      <c r="A287" s="9" t="n">
        <v>10</v>
      </c>
      <c r="B287" s="9" t="s">
        <v>103</v>
      </c>
      <c r="C287" s="9" t="s">
        <v>104</v>
      </c>
      <c r="D287" s="9" t="s">
        <v>59</v>
      </c>
      <c r="E287" s="9" t="s">
        <v>11</v>
      </c>
      <c r="F287" s="4" t="s">
        <v>541</v>
      </c>
    </row>
    <row r="288" customFormat="false" ht="68.65" hidden="false" customHeight="false" outlineLevel="0" collapsed="false">
      <c r="A288" s="9" t="n">
        <v>10</v>
      </c>
      <c r="B288" s="9" t="s">
        <v>103</v>
      </c>
      <c r="C288" s="9" t="s">
        <v>104</v>
      </c>
      <c r="D288" s="9" t="s">
        <v>59</v>
      </c>
      <c r="E288" s="9" t="s">
        <v>12</v>
      </c>
      <c r="F288" s="4" t="s">
        <v>542</v>
      </c>
    </row>
    <row r="289" customFormat="false" ht="79.85" hidden="false" customHeight="false" outlineLevel="0" collapsed="false">
      <c r="A289" s="9" t="n">
        <v>10</v>
      </c>
      <c r="B289" s="9" t="s">
        <v>103</v>
      </c>
      <c r="C289" s="9" t="s">
        <v>104</v>
      </c>
      <c r="D289" s="9" t="s">
        <v>59</v>
      </c>
      <c r="E289" s="9" t="s">
        <v>12</v>
      </c>
      <c r="F289" s="4" t="s">
        <v>543</v>
      </c>
    </row>
    <row r="290" customFormat="false" ht="46.25" hidden="false" customHeight="false" outlineLevel="0" collapsed="false">
      <c r="A290" s="9" t="n">
        <v>10</v>
      </c>
      <c r="B290" s="9" t="s">
        <v>103</v>
      </c>
      <c r="C290" s="9" t="s">
        <v>104</v>
      </c>
      <c r="D290" s="9" t="s">
        <v>59</v>
      </c>
      <c r="E290" s="9" t="s">
        <v>12</v>
      </c>
      <c r="F290" s="4" t="s">
        <v>544</v>
      </c>
    </row>
    <row r="291" customFormat="false" ht="23.85" hidden="false" customHeight="false" outlineLevel="0" collapsed="false">
      <c r="A291" s="9" t="n">
        <v>10</v>
      </c>
      <c r="B291" s="9" t="s">
        <v>103</v>
      </c>
      <c r="C291" s="9" t="s">
        <v>104</v>
      </c>
      <c r="D291" s="9" t="s">
        <v>59</v>
      </c>
      <c r="E291" s="9" t="s">
        <v>12</v>
      </c>
      <c r="F291" s="4" t="s">
        <v>545</v>
      </c>
    </row>
    <row r="292" customFormat="false" ht="46.25" hidden="false" customHeight="false" outlineLevel="0" collapsed="false">
      <c r="A292" s="9" t="n">
        <v>10</v>
      </c>
      <c r="B292" s="9" t="s">
        <v>103</v>
      </c>
      <c r="C292" s="9" t="s">
        <v>104</v>
      </c>
      <c r="D292" s="9" t="s">
        <v>59</v>
      </c>
      <c r="E292" s="9" t="s">
        <v>13</v>
      </c>
      <c r="F292" s="4" t="s">
        <v>546</v>
      </c>
    </row>
    <row r="293" customFormat="false" ht="23.85" hidden="false" customHeight="false" outlineLevel="0" collapsed="false">
      <c r="A293" s="9" t="n">
        <v>10</v>
      </c>
      <c r="B293" s="9" t="s">
        <v>103</v>
      </c>
      <c r="C293" s="9" t="s">
        <v>104</v>
      </c>
      <c r="D293" s="9" t="s">
        <v>59</v>
      </c>
      <c r="E293" s="9" t="s">
        <v>13</v>
      </c>
      <c r="F293" s="4" t="s">
        <v>547</v>
      </c>
    </row>
    <row r="294" customFormat="false" ht="35.05" hidden="false" customHeight="false" outlineLevel="0" collapsed="false">
      <c r="A294" s="9" t="n">
        <v>10</v>
      </c>
      <c r="B294" s="9" t="s">
        <v>103</v>
      </c>
      <c r="C294" s="9" t="s">
        <v>104</v>
      </c>
      <c r="D294" s="9" t="s">
        <v>59</v>
      </c>
      <c r="E294" s="9" t="s">
        <v>13</v>
      </c>
      <c r="F294" s="4" t="s">
        <v>548</v>
      </c>
    </row>
    <row r="295" customFormat="false" ht="23.85" hidden="false" customHeight="false" outlineLevel="0" collapsed="false">
      <c r="A295" s="9" t="n">
        <v>10</v>
      </c>
      <c r="B295" s="9" t="s">
        <v>103</v>
      </c>
      <c r="C295" s="9" t="s">
        <v>104</v>
      </c>
      <c r="D295" s="9" t="s">
        <v>59</v>
      </c>
      <c r="E295" s="9" t="s">
        <v>13</v>
      </c>
      <c r="F295" s="4" t="s">
        <v>549</v>
      </c>
    </row>
    <row r="296" customFormat="false" ht="15" hidden="false" customHeight="false" outlineLevel="0" collapsed="false">
      <c r="A296" s="9" t="n">
        <v>10</v>
      </c>
      <c r="B296" s="9" t="s">
        <v>103</v>
      </c>
      <c r="C296" s="9" t="s">
        <v>104</v>
      </c>
      <c r="D296" s="9" t="s">
        <v>59</v>
      </c>
      <c r="E296" s="9" t="s">
        <v>13</v>
      </c>
      <c r="F296" s="4" t="s">
        <v>550</v>
      </c>
    </row>
    <row r="297" customFormat="false" ht="23.85" hidden="false" customHeight="false" outlineLevel="0" collapsed="false">
      <c r="A297" s="9" t="n">
        <v>11</v>
      </c>
      <c r="B297" s="9" t="s">
        <v>114</v>
      </c>
      <c r="C297" s="9" t="s">
        <v>115</v>
      </c>
      <c r="D297" s="9" t="s">
        <v>116</v>
      </c>
      <c r="E297" s="9" t="s">
        <v>4</v>
      </c>
      <c r="F297" s="4" t="s">
        <v>551</v>
      </c>
    </row>
    <row r="298" customFormat="false" ht="15" hidden="false" customHeight="false" outlineLevel="0" collapsed="false">
      <c r="A298" s="9" t="n">
        <v>11</v>
      </c>
      <c r="B298" s="9" t="s">
        <v>114</v>
      </c>
      <c r="C298" s="9" t="s">
        <v>115</v>
      </c>
      <c r="D298" s="9" t="s">
        <v>116</v>
      </c>
      <c r="E298" s="9" t="s">
        <v>6</v>
      </c>
      <c r="F298" s="4" t="s">
        <v>552</v>
      </c>
    </row>
    <row r="299" customFormat="false" ht="15" hidden="false" customHeight="false" outlineLevel="0" collapsed="false">
      <c r="A299" s="9" t="n">
        <v>11</v>
      </c>
      <c r="B299" s="9" t="s">
        <v>114</v>
      </c>
      <c r="C299" s="9" t="s">
        <v>115</v>
      </c>
      <c r="D299" s="9" t="s">
        <v>116</v>
      </c>
      <c r="E299" s="9" t="s">
        <v>6</v>
      </c>
      <c r="F299" s="4" t="s">
        <v>553</v>
      </c>
    </row>
    <row r="300" customFormat="false" ht="15" hidden="false" customHeight="false" outlineLevel="0" collapsed="false">
      <c r="A300" s="9" t="n">
        <v>11</v>
      </c>
      <c r="B300" s="9" t="s">
        <v>114</v>
      </c>
      <c r="C300" s="9" t="s">
        <v>115</v>
      </c>
      <c r="D300" s="9" t="s">
        <v>116</v>
      </c>
      <c r="E300" s="9" t="s">
        <v>6</v>
      </c>
      <c r="F300" s="4" t="s">
        <v>554</v>
      </c>
    </row>
    <row r="301" customFormat="false" ht="23.85" hidden="false" customHeight="false" outlineLevel="0" collapsed="false">
      <c r="A301" s="9" t="n">
        <v>11</v>
      </c>
      <c r="B301" s="9" t="s">
        <v>114</v>
      </c>
      <c r="C301" s="9" t="s">
        <v>115</v>
      </c>
      <c r="D301" s="9" t="s">
        <v>116</v>
      </c>
      <c r="E301" s="9" t="s">
        <v>6</v>
      </c>
      <c r="F301" s="4" t="s">
        <v>555</v>
      </c>
    </row>
    <row r="302" customFormat="false" ht="46.25" hidden="false" customHeight="false" outlineLevel="0" collapsed="false">
      <c r="A302" s="9" t="n">
        <v>11</v>
      </c>
      <c r="B302" s="9" t="s">
        <v>114</v>
      </c>
      <c r="C302" s="9" t="s">
        <v>115</v>
      </c>
      <c r="D302" s="9" t="s">
        <v>116</v>
      </c>
      <c r="E302" s="9" t="s">
        <v>6</v>
      </c>
      <c r="F302" s="4" t="s">
        <v>556</v>
      </c>
    </row>
    <row r="303" customFormat="false" ht="35.05" hidden="false" customHeight="false" outlineLevel="0" collapsed="false">
      <c r="A303" s="9" t="n">
        <v>11</v>
      </c>
      <c r="B303" s="9" t="s">
        <v>114</v>
      </c>
      <c r="C303" s="9" t="s">
        <v>115</v>
      </c>
      <c r="D303" s="9" t="s">
        <v>116</v>
      </c>
      <c r="E303" s="9" t="s">
        <v>6</v>
      </c>
      <c r="F303" s="4" t="s">
        <v>557</v>
      </c>
    </row>
    <row r="304" customFormat="false" ht="23.85" hidden="false" customHeight="false" outlineLevel="0" collapsed="false">
      <c r="A304" s="9" t="n">
        <v>11</v>
      </c>
      <c r="B304" s="9" t="s">
        <v>114</v>
      </c>
      <c r="C304" s="9" t="s">
        <v>115</v>
      </c>
      <c r="D304" s="9" t="s">
        <v>116</v>
      </c>
      <c r="E304" s="9" t="s">
        <v>6</v>
      </c>
      <c r="F304" s="4" t="s">
        <v>558</v>
      </c>
    </row>
    <row r="305" customFormat="false" ht="23.85" hidden="false" customHeight="false" outlineLevel="0" collapsed="false">
      <c r="A305" s="9" t="n">
        <v>11</v>
      </c>
      <c r="B305" s="9" t="s">
        <v>114</v>
      </c>
      <c r="C305" s="9" t="s">
        <v>115</v>
      </c>
      <c r="D305" s="9" t="s">
        <v>116</v>
      </c>
      <c r="E305" s="9" t="s">
        <v>7</v>
      </c>
      <c r="F305" s="4" t="s">
        <v>559</v>
      </c>
    </row>
    <row r="306" customFormat="false" ht="23.85" hidden="false" customHeight="false" outlineLevel="0" collapsed="false">
      <c r="A306" s="9" t="n">
        <v>11</v>
      </c>
      <c r="B306" s="9" t="s">
        <v>114</v>
      </c>
      <c r="C306" s="9" t="s">
        <v>115</v>
      </c>
      <c r="D306" s="9" t="s">
        <v>116</v>
      </c>
      <c r="E306" s="9" t="s">
        <v>7</v>
      </c>
      <c r="F306" s="4" t="s">
        <v>560</v>
      </c>
    </row>
    <row r="307" customFormat="false" ht="23.85" hidden="false" customHeight="false" outlineLevel="0" collapsed="false">
      <c r="A307" s="9" t="n">
        <v>11</v>
      </c>
      <c r="B307" s="9" t="s">
        <v>114</v>
      </c>
      <c r="C307" s="9" t="s">
        <v>115</v>
      </c>
      <c r="D307" s="9" t="s">
        <v>116</v>
      </c>
      <c r="E307" s="9" t="s">
        <v>7</v>
      </c>
      <c r="F307" s="4" t="s">
        <v>561</v>
      </c>
    </row>
    <row r="308" customFormat="false" ht="23.85" hidden="false" customHeight="false" outlineLevel="0" collapsed="false">
      <c r="A308" s="9" t="n">
        <v>11</v>
      </c>
      <c r="B308" s="9" t="s">
        <v>114</v>
      </c>
      <c r="C308" s="9" t="s">
        <v>115</v>
      </c>
      <c r="D308" s="9" t="s">
        <v>116</v>
      </c>
      <c r="E308" s="9" t="s">
        <v>7</v>
      </c>
      <c r="F308" s="4" t="s">
        <v>562</v>
      </c>
    </row>
    <row r="309" customFormat="false" ht="15" hidden="false" customHeight="false" outlineLevel="0" collapsed="false">
      <c r="A309" s="9" t="n">
        <v>11</v>
      </c>
      <c r="B309" s="9" t="s">
        <v>114</v>
      </c>
      <c r="C309" s="9" t="s">
        <v>115</v>
      </c>
      <c r="D309" s="9" t="s">
        <v>116</v>
      </c>
      <c r="E309" s="9" t="s">
        <v>8</v>
      </c>
      <c r="F309" s="4" t="s">
        <v>563</v>
      </c>
    </row>
    <row r="310" customFormat="false" ht="35.05" hidden="false" customHeight="false" outlineLevel="0" collapsed="false">
      <c r="A310" s="9" t="n">
        <v>11</v>
      </c>
      <c r="B310" s="9" t="s">
        <v>114</v>
      </c>
      <c r="C310" s="9" t="s">
        <v>115</v>
      </c>
      <c r="D310" s="9" t="s">
        <v>116</v>
      </c>
      <c r="E310" s="9" t="s">
        <v>8</v>
      </c>
      <c r="F310" s="4" t="s">
        <v>564</v>
      </c>
    </row>
    <row r="311" customFormat="false" ht="35.05" hidden="false" customHeight="false" outlineLevel="0" collapsed="false">
      <c r="A311" s="9" t="n">
        <v>11</v>
      </c>
      <c r="B311" s="9" t="s">
        <v>114</v>
      </c>
      <c r="C311" s="9" t="s">
        <v>115</v>
      </c>
      <c r="D311" s="9" t="s">
        <v>116</v>
      </c>
      <c r="E311" s="9" t="s">
        <v>8</v>
      </c>
      <c r="F311" s="4" t="s">
        <v>565</v>
      </c>
    </row>
    <row r="312" customFormat="false" ht="15" hidden="false" customHeight="false" outlineLevel="0" collapsed="false">
      <c r="A312" s="9" t="n">
        <v>11</v>
      </c>
      <c r="B312" s="9" t="s">
        <v>114</v>
      </c>
      <c r="C312" s="9" t="s">
        <v>115</v>
      </c>
      <c r="D312" s="9" t="s">
        <v>116</v>
      </c>
      <c r="E312" s="9" t="s">
        <v>8</v>
      </c>
      <c r="F312" s="4" t="s">
        <v>566</v>
      </c>
    </row>
    <row r="313" customFormat="false" ht="23.85" hidden="false" customHeight="false" outlineLevel="0" collapsed="false">
      <c r="A313" s="9" t="n">
        <v>11</v>
      </c>
      <c r="B313" s="9" t="s">
        <v>114</v>
      </c>
      <c r="C313" s="9" t="s">
        <v>115</v>
      </c>
      <c r="D313" s="9" t="s">
        <v>116</v>
      </c>
      <c r="E313" s="9" t="s">
        <v>8</v>
      </c>
      <c r="F313" s="4" t="s">
        <v>567</v>
      </c>
    </row>
    <row r="314" customFormat="false" ht="35.05" hidden="false" customHeight="false" outlineLevel="0" collapsed="false">
      <c r="A314" s="9" t="n">
        <v>11</v>
      </c>
      <c r="B314" s="9" t="s">
        <v>114</v>
      </c>
      <c r="C314" s="9" t="s">
        <v>115</v>
      </c>
      <c r="D314" s="9" t="s">
        <v>116</v>
      </c>
      <c r="E314" s="9" t="s">
        <v>8</v>
      </c>
      <c r="F314" s="4" t="s">
        <v>568</v>
      </c>
    </row>
    <row r="315" customFormat="false" ht="23.85" hidden="false" customHeight="false" outlineLevel="0" collapsed="false">
      <c r="A315" s="9" t="n">
        <v>11</v>
      </c>
      <c r="B315" s="9" t="s">
        <v>114</v>
      </c>
      <c r="C315" s="9" t="s">
        <v>115</v>
      </c>
      <c r="D315" s="9" t="s">
        <v>116</v>
      </c>
      <c r="E315" s="9" t="s">
        <v>9</v>
      </c>
      <c r="F315" s="4" t="s">
        <v>569</v>
      </c>
    </row>
    <row r="316" customFormat="false" ht="15" hidden="false" customHeight="false" outlineLevel="0" collapsed="false">
      <c r="A316" s="9" t="n">
        <v>11</v>
      </c>
      <c r="B316" s="9" t="s">
        <v>114</v>
      </c>
      <c r="C316" s="9" t="s">
        <v>115</v>
      </c>
      <c r="D316" s="9" t="s">
        <v>116</v>
      </c>
      <c r="E316" s="9" t="s">
        <v>9</v>
      </c>
      <c r="F316" s="4" t="s">
        <v>570</v>
      </c>
    </row>
    <row r="317" customFormat="false" ht="23.85" hidden="false" customHeight="false" outlineLevel="0" collapsed="false">
      <c r="A317" s="9" t="n">
        <v>11</v>
      </c>
      <c r="B317" s="9" t="s">
        <v>114</v>
      </c>
      <c r="C317" s="9" t="s">
        <v>115</v>
      </c>
      <c r="D317" s="9" t="s">
        <v>116</v>
      </c>
      <c r="E317" s="9" t="s">
        <v>9</v>
      </c>
      <c r="F317" s="4" t="s">
        <v>571</v>
      </c>
    </row>
    <row r="318" customFormat="false" ht="35.05" hidden="false" customHeight="false" outlineLevel="0" collapsed="false">
      <c r="A318" s="9" t="n">
        <v>11</v>
      </c>
      <c r="B318" s="9" t="s">
        <v>114</v>
      </c>
      <c r="C318" s="9" t="s">
        <v>115</v>
      </c>
      <c r="D318" s="9" t="s">
        <v>116</v>
      </c>
      <c r="E318" s="9" t="s">
        <v>9</v>
      </c>
      <c r="F318" s="4" t="s">
        <v>572</v>
      </c>
    </row>
    <row r="319" customFormat="false" ht="23.85" hidden="false" customHeight="false" outlineLevel="0" collapsed="false">
      <c r="A319" s="9" t="n">
        <v>11</v>
      </c>
      <c r="B319" s="9" t="s">
        <v>114</v>
      </c>
      <c r="C319" s="9" t="s">
        <v>115</v>
      </c>
      <c r="D319" s="9" t="s">
        <v>116</v>
      </c>
      <c r="E319" s="9" t="s">
        <v>10</v>
      </c>
      <c r="F319" s="4" t="s">
        <v>573</v>
      </c>
    </row>
    <row r="320" customFormat="false" ht="23.85" hidden="false" customHeight="false" outlineLevel="0" collapsed="false">
      <c r="A320" s="9" t="n">
        <v>11</v>
      </c>
      <c r="B320" s="9" t="s">
        <v>114</v>
      </c>
      <c r="C320" s="9" t="s">
        <v>115</v>
      </c>
      <c r="D320" s="9" t="s">
        <v>116</v>
      </c>
      <c r="E320" s="9" t="s">
        <v>10</v>
      </c>
      <c r="F320" s="4" t="s">
        <v>574</v>
      </c>
    </row>
    <row r="321" customFormat="false" ht="23.85" hidden="false" customHeight="false" outlineLevel="0" collapsed="false">
      <c r="A321" s="9" t="n">
        <v>11</v>
      </c>
      <c r="B321" s="9" t="s">
        <v>114</v>
      </c>
      <c r="C321" s="9" t="s">
        <v>115</v>
      </c>
      <c r="D321" s="9" t="s">
        <v>116</v>
      </c>
      <c r="E321" s="9" t="s">
        <v>10</v>
      </c>
      <c r="F321" s="4" t="s">
        <v>575</v>
      </c>
    </row>
    <row r="322" customFormat="false" ht="23.85" hidden="false" customHeight="false" outlineLevel="0" collapsed="false">
      <c r="A322" s="9" t="n">
        <v>11</v>
      </c>
      <c r="B322" s="9" t="s">
        <v>114</v>
      </c>
      <c r="C322" s="9" t="s">
        <v>115</v>
      </c>
      <c r="D322" s="9" t="s">
        <v>116</v>
      </c>
      <c r="E322" s="9" t="s">
        <v>10</v>
      </c>
      <c r="F322" s="4" t="s">
        <v>576</v>
      </c>
    </row>
    <row r="323" customFormat="false" ht="46.25" hidden="false" customHeight="false" outlineLevel="0" collapsed="false">
      <c r="A323" s="9" t="n">
        <v>11</v>
      </c>
      <c r="B323" s="9" t="s">
        <v>114</v>
      </c>
      <c r="C323" s="9" t="s">
        <v>115</v>
      </c>
      <c r="D323" s="9" t="s">
        <v>116</v>
      </c>
      <c r="E323" s="9" t="s">
        <v>12</v>
      </c>
      <c r="F323" s="4" t="s">
        <v>577</v>
      </c>
    </row>
    <row r="324" customFormat="false" ht="23.85" hidden="false" customHeight="false" outlineLevel="0" collapsed="false">
      <c r="A324" s="9" t="n">
        <v>11</v>
      </c>
      <c r="B324" s="9" t="s">
        <v>114</v>
      </c>
      <c r="C324" s="9" t="s">
        <v>115</v>
      </c>
      <c r="D324" s="9" t="s">
        <v>116</v>
      </c>
      <c r="E324" s="9" t="s">
        <v>12</v>
      </c>
      <c r="F324" s="4" t="s">
        <v>578</v>
      </c>
    </row>
    <row r="325" customFormat="false" ht="35.05" hidden="false" customHeight="false" outlineLevel="0" collapsed="false">
      <c r="A325" s="9" t="n">
        <v>11</v>
      </c>
      <c r="B325" s="9" t="s">
        <v>114</v>
      </c>
      <c r="C325" s="9" t="s">
        <v>115</v>
      </c>
      <c r="D325" s="9" t="s">
        <v>116</v>
      </c>
      <c r="E325" s="9" t="s">
        <v>13</v>
      </c>
      <c r="F325" s="4" t="s">
        <v>579</v>
      </c>
    </row>
    <row r="326" customFormat="false" ht="23.85" hidden="false" customHeight="false" outlineLevel="0" collapsed="false">
      <c r="A326" s="9" t="n">
        <v>12</v>
      </c>
      <c r="B326" s="9" t="s">
        <v>125</v>
      </c>
      <c r="C326" s="9" t="s">
        <v>126</v>
      </c>
      <c r="D326" s="9" t="s">
        <v>116</v>
      </c>
      <c r="E326" s="9" t="s">
        <v>4</v>
      </c>
      <c r="F326" s="4" t="s">
        <v>580</v>
      </c>
    </row>
    <row r="327" customFormat="false" ht="23.85" hidden="false" customHeight="false" outlineLevel="0" collapsed="false">
      <c r="A327" s="9" t="n">
        <v>12</v>
      </c>
      <c r="B327" s="9" t="s">
        <v>125</v>
      </c>
      <c r="C327" s="9" t="s">
        <v>126</v>
      </c>
      <c r="D327" s="9" t="s">
        <v>116</v>
      </c>
      <c r="E327" s="9" t="s">
        <v>6</v>
      </c>
      <c r="F327" s="4" t="s">
        <v>581</v>
      </c>
    </row>
    <row r="328" customFormat="false" ht="15" hidden="false" customHeight="false" outlineLevel="0" collapsed="false">
      <c r="A328" s="9" t="n">
        <v>12</v>
      </c>
      <c r="B328" s="9" t="s">
        <v>125</v>
      </c>
      <c r="C328" s="9" t="s">
        <v>126</v>
      </c>
      <c r="D328" s="9" t="s">
        <v>116</v>
      </c>
      <c r="E328" s="9" t="s">
        <v>6</v>
      </c>
      <c r="F328" s="4" t="s">
        <v>582</v>
      </c>
    </row>
    <row r="329" customFormat="false" ht="23.85" hidden="false" customHeight="false" outlineLevel="0" collapsed="false">
      <c r="A329" s="9" t="n">
        <v>12</v>
      </c>
      <c r="B329" s="9" t="s">
        <v>125</v>
      </c>
      <c r="C329" s="9" t="s">
        <v>126</v>
      </c>
      <c r="D329" s="9" t="s">
        <v>116</v>
      </c>
      <c r="E329" s="9" t="s">
        <v>6</v>
      </c>
      <c r="F329" s="4" t="s">
        <v>583</v>
      </c>
    </row>
    <row r="330" customFormat="false" ht="23.85" hidden="false" customHeight="false" outlineLevel="0" collapsed="false">
      <c r="A330" s="9" t="n">
        <v>12</v>
      </c>
      <c r="B330" s="9" t="s">
        <v>125</v>
      </c>
      <c r="C330" s="9" t="s">
        <v>126</v>
      </c>
      <c r="D330" s="9" t="s">
        <v>116</v>
      </c>
      <c r="E330" s="9" t="s">
        <v>6</v>
      </c>
      <c r="F330" s="4" t="s">
        <v>584</v>
      </c>
    </row>
    <row r="331" customFormat="false" ht="35.05" hidden="false" customHeight="false" outlineLevel="0" collapsed="false">
      <c r="A331" s="9" t="n">
        <v>12</v>
      </c>
      <c r="B331" s="9" t="s">
        <v>125</v>
      </c>
      <c r="C331" s="9" t="s">
        <v>126</v>
      </c>
      <c r="D331" s="9" t="s">
        <v>116</v>
      </c>
      <c r="E331" s="9" t="s">
        <v>6</v>
      </c>
      <c r="F331" s="4" t="s">
        <v>585</v>
      </c>
    </row>
    <row r="332" customFormat="false" ht="15" hidden="false" customHeight="false" outlineLevel="0" collapsed="false">
      <c r="A332" s="9" t="n">
        <v>12</v>
      </c>
      <c r="B332" s="9" t="s">
        <v>125</v>
      </c>
      <c r="C332" s="9" t="s">
        <v>126</v>
      </c>
      <c r="D332" s="9" t="s">
        <v>116</v>
      </c>
      <c r="E332" s="9" t="s">
        <v>6</v>
      </c>
      <c r="F332" s="4" t="s">
        <v>586</v>
      </c>
    </row>
    <row r="333" customFormat="false" ht="23.85" hidden="false" customHeight="false" outlineLevel="0" collapsed="false">
      <c r="A333" s="9" t="n">
        <v>12</v>
      </c>
      <c r="B333" s="9" t="s">
        <v>125</v>
      </c>
      <c r="C333" s="9" t="s">
        <v>126</v>
      </c>
      <c r="D333" s="9" t="s">
        <v>116</v>
      </c>
      <c r="E333" s="9" t="s">
        <v>6</v>
      </c>
      <c r="F333" s="4" t="s">
        <v>587</v>
      </c>
    </row>
    <row r="334" customFormat="false" ht="35.05" hidden="false" customHeight="false" outlineLevel="0" collapsed="false">
      <c r="A334" s="9" t="n">
        <v>12</v>
      </c>
      <c r="B334" s="9" t="s">
        <v>125</v>
      </c>
      <c r="C334" s="9" t="s">
        <v>126</v>
      </c>
      <c r="D334" s="9" t="s">
        <v>116</v>
      </c>
      <c r="E334" s="9" t="s">
        <v>6</v>
      </c>
      <c r="F334" s="4" t="s">
        <v>588</v>
      </c>
    </row>
    <row r="335" customFormat="false" ht="23.85" hidden="false" customHeight="false" outlineLevel="0" collapsed="false">
      <c r="A335" s="9" t="n">
        <v>12</v>
      </c>
      <c r="B335" s="9" t="s">
        <v>125</v>
      </c>
      <c r="C335" s="9" t="s">
        <v>126</v>
      </c>
      <c r="D335" s="9" t="s">
        <v>116</v>
      </c>
      <c r="E335" s="9" t="s">
        <v>6</v>
      </c>
      <c r="F335" s="4" t="s">
        <v>589</v>
      </c>
    </row>
    <row r="336" customFormat="false" ht="35.05" hidden="false" customHeight="false" outlineLevel="0" collapsed="false">
      <c r="A336" s="9" t="n">
        <v>12</v>
      </c>
      <c r="B336" s="9" t="s">
        <v>125</v>
      </c>
      <c r="C336" s="9" t="s">
        <v>126</v>
      </c>
      <c r="D336" s="9" t="s">
        <v>116</v>
      </c>
      <c r="E336" s="9" t="s">
        <v>8</v>
      </c>
      <c r="F336" s="4" t="s">
        <v>590</v>
      </c>
    </row>
    <row r="337" customFormat="false" ht="23.85" hidden="false" customHeight="false" outlineLevel="0" collapsed="false">
      <c r="A337" s="9" t="n">
        <v>12</v>
      </c>
      <c r="B337" s="9" t="s">
        <v>125</v>
      </c>
      <c r="C337" s="9" t="s">
        <v>126</v>
      </c>
      <c r="D337" s="9" t="s">
        <v>116</v>
      </c>
      <c r="E337" s="9" t="s">
        <v>8</v>
      </c>
      <c r="F337" s="4" t="s">
        <v>591</v>
      </c>
    </row>
    <row r="338" customFormat="false" ht="35.05" hidden="false" customHeight="false" outlineLevel="0" collapsed="false">
      <c r="A338" s="9" t="n">
        <v>12</v>
      </c>
      <c r="B338" s="9" t="s">
        <v>125</v>
      </c>
      <c r="C338" s="9" t="s">
        <v>126</v>
      </c>
      <c r="D338" s="9" t="s">
        <v>116</v>
      </c>
      <c r="E338" s="9" t="s">
        <v>8</v>
      </c>
      <c r="F338" s="4" t="s">
        <v>592</v>
      </c>
    </row>
    <row r="339" customFormat="false" ht="35.05" hidden="false" customHeight="false" outlineLevel="0" collapsed="false">
      <c r="A339" s="9" t="n">
        <v>12</v>
      </c>
      <c r="B339" s="9" t="s">
        <v>125</v>
      </c>
      <c r="C339" s="9" t="s">
        <v>126</v>
      </c>
      <c r="D339" s="9" t="s">
        <v>116</v>
      </c>
      <c r="E339" s="9" t="s">
        <v>8</v>
      </c>
      <c r="F339" s="4" t="s">
        <v>593</v>
      </c>
    </row>
    <row r="340" customFormat="false" ht="35.05" hidden="false" customHeight="false" outlineLevel="0" collapsed="false">
      <c r="A340" s="9" t="n">
        <v>12</v>
      </c>
      <c r="B340" s="9" t="s">
        <v>125</v>
      </c>
      <c r="C340" s="9" t="s">
        <v>126</v>
      </c>
      <c r="D340" s="9" t="s">
        <v>116</v>
      </c>
      <c r="E340" s="9" t="s">
        <v>8</v>
      </c>
      <c r="F340" s="4" t="s">
        <v>594</v>
      </c>
    </row>
    <row r="341" customFormat="false" ht="23.85" hidden="false" customHeight="false" outlineLevel="0" collapsed="false">
      <c r="A341" s="9" t="n">
        <v>12</v>
      </c>
      <c r="B341" s="9" t="s">
        <v>125</v>
      </c>
      <c r="C341" s="9" t="s">
        <v>126</v>
      </c>
      <c r="D341" s="9" t="s">
        <v>116</v>
      </c>
      <c r="E341" s="9" t="s">
        <v>8</v>
      </c>
      <c r="F341" s="4" t="s">
        <v>595</v>
      </c>
    </row>
    <row r="342" customFormat="false" ht="23.85" hidden="false" customHeight="false" outlineLevel="0" collapsed="false">
      <c r="A342" s="9" t="n">
        <v>12</v>
      </c>
      <c r="B342" s="9" t="s">
        <v>125</v>
      </c>
      <c r="C342" s="9" t="s">
        <v>126</v>
      </c>
      <c r="D342" s="9" t="s">
        <v>116</v>
      </c>
      <c r="E342" s="9" t="s">
        <v>8</v>
      </c>
      <c r="F342" s="4" t="s">
        <v>596</v>
      </c>
    </row>
    <row r="343" customFormat="false" ht="23.85" hidden="false" customHeight="false" outlineLevel="0" collapsed="false">
      <c r="A343" s="9" t="n">
        <v>12</v>
      </c>
      <c r="B343" s="9" t="s">
        <v>125</v>
      </c>
      <c r="C343" s="9" t="s">
        <v>126</v>
      </c>
      <c r="D343" s="9" t="s">
        <v>116</v>
      </c>
      <c r="E343" s="9" t="s">
        <v>8</v>
      </c>
      <c r="F343" s="4" t="s">
        <v>597</v>
      </c>
    </row>
    <row r="344" customFormat="false" ht="23.85" hidden="false" customHeight="false" outlineLevel="0" collapsed="false">
      <c r="A344" s="9" t="n">
        <v>12</v>
      </c>
      <c r="B344" s="9" t="s">
        <v>125</v>
      </c>
      <c r="C344" s="9" t="s">
        <v>126</v>
      </c>
      <c r="D344" s="9" t="s">
        <v>116</v>
      </c>
      <c r="E344" s="9" t="s">
        <v>8</v>
      </c>
      <c r="F344" s="4" t="s">
        <v>598</v>
      </c>
    </row>
    <row r="345" customFormat="false" ht="15" hidden="false" customHeight="false" outlineLevel="0" collapsed="false">
      <c r="A345" s="9" t="n">
        <v>12</v>
      </c>
      <c r="B345" s="9" t="s">
        <v>125</v>
      </c>
      <c r="C345" s="9" t="s">
        <v>126</v>
      </c>
      <c r="D345" s="9" t="s">
        <v>116</v>
      </c>
      <c r="E345" s="9" t="s">
        <v>9</v>
      </c>
      <c r="F345" s="4" t="s">
        <v>599</v>
      </c>
    </row>
    <row r="346" customFormat="false" ht="35.05" hidden="false" customHeight="false" outlineLevel="0" collapsed="false">
      <c r="A346" s="9" t="n">
        <v>12</v>
      </c>
      <c r="B346" s="9" t="s">
        <v>125</v>
      </c>
      <c r="C346" s="9" t="s">
        <v>126</v>
      </c>
      <c r="D346" s="9" t="s">
        <v>116</v>
      </c>
      <c r="E346" s="9" t="s">
        <v>9</v>
      </c>
      <c r="F346" s="4" t="s">
        <v>600</v>
      </c>
    </row>
    <row r="347" customFormat="false" ht="23.85" hidden="false" customHeight="false" outlineLevel="0" collapsed="false">
      <c r="A347" s="9" t="n">
        <v>12</v>
      </c>
      <c r="B347" s="9" t="s">
        <v>125</v>
      </c>
      <c r="C347" s="9" t="s">
        <v>126</v>
      </c>
      <c r="D347" s="9" t="s">
        <v>116</v>
      </c>
      <c r="E347" s="9" t="s">
        <v>10</v>
      </c>
      <c r="F347" s="4" t="s">
        <v>601</v>
      </c>
    </row>
    <row r="348" customFormat="false" ht="23.85" hidden="false" customHeight="false" outlineLevel="0" collapsed="false">
      <c r="A348" s="9" t="n">
        <v>12</v>
      </c>
      <c r="B348" s="9" t="s">
        <v>125</v>
      </c>
      <c r="C348" s="9" t="s">
        <v>126</v>
      </c>
      <c r="D348" s="9" t="s">
        <v>116</v>
      </c>
      <c r="E348" s="9" t="s">
        <v>10</v>
      </c>
      <c r="F348" s="4" t="s">
        <v>602</v>
      </c>
    </row>
    <row r="349" customFormat="false" ht="23.85" hidden="false" customHeight="false" outlineLevel="0" collapsed="false">
      <c r="A349" s="9" t="n">
        <v>12</v>
      </c>
      <c r="B349" s="9" t="s">
        <v>125</v>
      </c>
      <c r="C349" s="9" t="s">
        <v>126</v>
      </c>
      <c r="D349" s="9" t="s">
        <v>116</v>
      </c>
      <c r="E349" s="9" t="s">
        <v>10</v>
      </c>
      <c r="F349" s="4" t="s">
        <v>603</v>
      </c>
    </row>
    <row r="350" customFormat="false" ht="35.05" hidden="false" customHeight="false" outlineLevel="0" collapsed="false">
      <c r="A350" s="9" t="n">
        <v>12</v>
      </c>
      <c r="B350" s="9" t="s">
        <v>125</v>
      </c>
      <c r="C350" s="9" t="s">
        <v>126</v>
      </c>
      <c r="D350" s="9" t="s">
        <v>116</v>
      </c>
      <c r="E350" s="9" t="s">
        <v>10</v>
      </c>
      <c r="F350" s="4" t="s">
        <v>604</v>
      </c>
    </row>
    <row r="351" customFormat="false" ht="15" hidden="false" customHeight="false" outlineLevel="0" collapsed="false">
      <c r="A351" s="9" t="n">
        <v>12</v>
      </c>
      <c r="B351" s="9" t="s">
        <v>125</v>
      </c>
      <c r="C351" s="9" t="s">
        <v>126</v>
      </c>
      <c r="D351" s="9" t="s">
        <v>116</v>
      </c>
      <c r="E351" s="9" t="s">
        <v>10</v>
      </c>
      <c r="F351" s="4" t="s">
        <v>605</v>
      </c>
    </row>
    <row r="352" customFormat="false" ht="35.05" hidden="false" customHeight="false" outlineLevel="0" collapsed="false">
      <c r="A352" s="9" t="n">
        <v>12</v>
      </c>
      <c r="B352" s="9" t="s">
        <v>125</v>
      </c>
      <c r="C352" s="9" t="s">
        <v>126</v>
      </c>
      <c r="D352" s="9" t="s">
        <v>116</v>
      </c>
      <c r="E352" s="9" t="s">
        <v>11</v>
      </c>
      <c r="F352" s="4" t="s">
        <v>606</v>
      </c>
    </row>
    <row r="353" customFormat="false" ht="35.05" hidden="false" customHeight="false" outlineLevel="0" collapsed="false">
      <c r="A353" s="9" t="n">
        <v>12</v>
      </c>
      <c r="B353" s="9" t="s">
        <v>125</v>
      </c>
      <c r="C353" s="9" t="s">
        <v>126</v>
      </c>
      <c r="D353" s="9" t="s">
        <v>116</v>
      </c>
      <c r="E353" s="9" t="s">
        <v>11</v>
      </c>
      <c r="F353" s="4" t="s">
        <v>607</v>
      </c>
    </row>
    <row r="354" customFormat="false" ht="46.25" hidden="false" customHeight="false" outlineLevel="0" collapsed="false">
      <c r="A354" s="9" t="n">
        <v>12</v>
      </c>
      <c r="B354" s="9" t="s">
        <v>125</v>
      </c>
      <c r="C354" s="9" t="s">
        <v>126</v>
      </c>
      <c r="D354" s="9" t="s">
        <v>116</v>
      </c>
      <c r="E354" s="9" t="s">
        <v>12</v>
      </c>
      <c r="F354" s="4" t="s">
        <v>608</v>
      </c>
    </row>
    <row r="355" customFormat="false" ht="23.85" hidden="false" customHeight="false" outlineLevel="0" collapsed="false">
      <c r="A355" s="9" t="n">
        <v>12</v>
      </c>
      <c r="B355" s="9" t="s">
        <v>125</v>
      </c>
      <c r="C355" s="9" t="s">
        <v>126</v>
      </c>
      <c r="D355" s="9" t="s">
        <v>116</v>
      </c>
      <c r="E355" s="9" t="s">
        <v>12</v>
      </c>
      <c r="F355" s="4" t="s">
        <v>609</v>
      </c>
    </row>
    <row r="356" customFormat="false" ht="23.85" hidden="false" customHeight="false" outlineLevel="0" collapsed="false">
      <c r="A356" s="9" t="n">
        <v>12</v>
      </c>
      <c r="B356" s="9" t="s">
        <v>125</v>
      </c>
      <c r="C356" s="9" t="s">
        <v>126</v>
      </c>
      <c r="D356" s="9" t="s">
        <v>116</v>
      </c>
      <c r="E356" s="9" t="s">
        <v>12</v>
      </c>
      <c r="F356" s="4" t="s">
        <v>610</v>
      </c>
    </row>
    <row r="357" customFormat="false" ht="35.05" hidden="false" customHeight="false" outlineLevel="0" collapsed="false">
      <c r="A357" s="9" t="n">
        <v>12</v>
      </c>
      <c r="B357" s="9" t="s">
        <v>125</v>
      </c>
      <c r="C357" s="9" t="s">
        <v>126</v>
      </c>
      <c r="D357" s="9" t="s">
        <v>116</v>
      </c>
      <c r="E357" s="9" t="s">
        <v>13</v>
      </c>
      <c r="F357" s="4" t="s">
        <v>611</v>
      </c>
    </row>
    <row r="358" customFormat="false" ht="23.85" hidden="false" customHeight="false" outlineLevel="0" collapsed="false">
      <c r="A358" s="9" t="n">
        <v>13</v>
      </c>
      <c r="B358" s="9" t="s">
        <v>135</v>
      </c>
      <c r="C358" s="9" t="s">
        <v>136</v>
      </c>
      <c r="D358" s="9" t="s">
        <v>116</v>
      </c>
      <c r="E358" s="9" t="s">
        <v>4</v>
      </c>
      <c r="F358" s="4" t="s">
        <v>612</v>
      </c>
    </row>
    <row r="359" customFormat="false" ht="23.85" hidden="false" customHeight="false" outlineLevel="0" collapsed="false">
      <c r="A359" s="9" t="n">
        <v>13</v>
      </c>
      <c r="B359" s="9" t="s">
        <v>135</v>
      </c>
      <c r="C359" s="9" t="s">
        <v>136</v>
      </c>
      <c r="D359" s="9" t="s">
        <v>116</v>
      </c>
      <c r="E359" s="9" t="s">
        <v>6</v>
      </c>
      <c r="F359" s="4" t="s">
        <v>613</v>
      </c>
    </row>
    <row r="360" customFormat="false" ht="23.85" hidden="false" customHeight="false" outlineLevel="0" collapsed="false">
      <c r="A360" s="9" t="n">
        <v>13</v>
      </c>
      <c r="B360" s="9" t="s">
        <v>135</v>
      </c>
      <c r="C360" s="9" t="s">
        <v>136</v>
      </c>
      <c r="D360" s="9" t="s">
        <v>116</v>
      </c>
      <c r="E360" s="9" t="s">
        <v>6</v>
      </c>
      <c r="F360" s="4" t="s">
        <v>614</v>
      </c>
    </row>
    <row r="361" customFormat="false" ht="15" hidden="false" customHeight="false" outlineLevel="0" collapsed="false">
      <c r="A361" s="9" t="n">
        <v>13</v>
      </c>
      <c r="B361" s="9" t="s">
        <v>135</v>
      </c>
      <c r="C361" s="9" t="s">
        <v>136</v>
      </c>
      <c r="D361" s="9" t="s">
        <v>116</v>
      </c>
      <c r="E361" s="9" t="s">
        <v>6</v>
      </c>
      <c r="F361" s="4" t="s">
        <v>615</v>
      </c>
    </row>
    <row r="362" customFormat="false" ht="35.05" hidden="false" customHeight="false" outlineLevel="0" collapsed="false">
      <c r="A362" s="9" t="n">
        <v>13</v>
      </c>
      <c r="B362" s="9" t="s">
        <v>135</v>
      </c>
      <c r="C362" s="9" t="s">
        <v>136</v>
      </c>
      <c r="D362" s="9" t="s">
        <v>116</v>
      </c>
      <c r="E362" s="9" t="s">
        <v>6</v>
      </c>
      <c r="F362" s="4" t="s">
        <v>616</v>
      </c>
    </row>
    <row r="363" customFormat="false" ht="23.85" hidden="false" customHeight="false" outlineLevel="0" collapsed="false">
      <c r="A363" s="9" t="n">
        <v>13</v>
      </c>
      <c r="B363" s="9" t="s">
        <v>135</v>
      </c>
      <c r="C363" s="9" t="s">
        <v>136</v>
      </c>
      <c r="D363" s="9" t="s">
        <v>116</v>
      </c>
      <c r="E363" s="9" t="s">
        <v>6</v>
      </c>
      <c r="F363" s="4" t="s">
        <v>617</v>
      </c>
    </row>
    <row r="364" customFormat="false" ht="15" hidden="false" customHeight="false" outlineLevel="0" collapsed="false">
      <c r="A364" s="9" t="n">
        <v>13</v>
      </c>
      <c r="B364" s="9" t="s">
        <v>135</v>
      </c>
      <c r="C364" s="9" t="s">
        <v>136</v>
      </c>
      <c r="D364" s="9" t="s">
        <v>116</v>
      </c>
      <c r="E364" s="9" t="s">
        <v>7</v>
      </c>
      <c r="F364" s="4" t="s">
        <v>618</v>
      </c>
    </row>
    <row r="365" customFormat="false" ht="35.05" hidden="false" customHeight="false" outlineLevel="0" collapsed="false">
      <c r="A365" s="9" t="n">
        <v>13</v>
      </c>
      <c r="B365" s="9" t="s">
        <v>135</v>
      </c>
      <c r="C365" s="9" t="s">
        <v>136</v>
      </c>
      <c r="D365" s="9" t="s">
        <v>116</v>
      </c>
      <c r="E365" s="9" t="s">
        <v>7</v>
      </c>
      <c r="F365" s="4" t="s">
        <v>619</v>
      </c>
    </row>
    <row r="366" customFormat="false" ht="15" hidden="false" customHeight="false" outlineLevel="0" collapsed="false">
      <c r="A366" s="9" t="n">
        <v>13</v>
      </c>
      <c r="B366" s="9" t="s">
        <v>135</v>
      </c>
      <c r="C366" s="9" t="s">
        <v>136</v>
      </c>
      <c r="D366" s="9" t="s">
        <v>116</v>
      </c>
      <c r="E366" s="9" t="s">
        <v>7</v>
      </c>
      <c r="F366" s="4" t="s">
        <v>620</v>
      </c>
    </row>
    <row r="367" customFormat="false" ht="35.05" hidden="false" customHeight="false" outlineLevel="0" collapsed="false">
      <c r="A367" s="9" t="n">
        <v>13</v>
      </c>
      <c r="B367" s="9" t="s">
        <v>135</v>
      </c>
      <c r="C367" s="9" t="s">
        <v>136</v>
      </c>
      <c r="D367" s="9" t="s">
        <v>116</v>
      </c>
      <c r="E367" s="9" t="s">
        <v>9</v>
      </c>
      <c r="F367" s="4" t="s">
        <v>621</v>
      </c>
    </row>
    <row r="368" customFormat="false" ht="23.85" hidden="false" customHeight="false" outlineLevel="0" collapsed="false">
      <c r="A368" s="9" t="n">
        <v>13</v>
      </c>
      <c r="B368" s="9" t="s">
        <v>135</v>
      </c>
      <c r="C368" s="9" t="s">
        <v>136</v>
      </c>
      <c r="D368" s="9" t="s">
        <v>116</v>
      </c>
      <c r="E368" s="9" t="s">
        <v>9</v>
      </c>
      <c r="F368" s="4" t="s">
        <v>622</v>
      </c>
    </row>
    <row r="369" customFormat="false" ht="23.85" hidden="false" customHeight="false" outlineLevel="0" collapsed="false">
      <c r="A369" s="9" t="n">
        <v>13</v>
      </c>
      <c r="B369" s="9" t="s">
        <v>135</v>
      </c>
      <c r="C369" s="9" t="s">
        <v>136</v>
      </c>
      <c r="D369" s="9" t="s">
        <v>116</v>
      </c>
      <c r="E369" s="9" t="s">
        <v>9</v>
      </c>
      <c r="F369" s="4" t="s">
        <v>623</v>
      </c>
    </row>
    <row r="370" customFormat="false" ht="35.05" hidden="false" customHeight="false" outlineLevel="0" collapsed="false">
      <c r="A370" s="9" t="n">
        <v>13</v>
      </c>
      <c r="B370" s="9" t="s">
        <v>135</v>
      </c>
      <c r="C370" s="9" t="s">
        <v>136</v>
      </c>
      <c r="D370" s="9" t="s">
        <v>116</v>
      </c>
      <c r="E370" s="9" t="s">
        <v>9</v>
      </c>
      <c r="F370" s="4" t="s">
        <v>624</v>
      </c>
    </row>
    <row r="371" customFormat="false" ht="23.85" hidden="false" customHeight="false" outlineLevel="0" collapsed="false">
      <c r="A371" s="9" t="n">
        <v>13</v>
      </c>
      <c r="B371" s="9" t="s">
        <v>135</v>
      </c>
      <c r="C371" s="9" t="s">
        <v>136</v>
      </c>
      <c r="D371" s="9" t="s">
        <v>116</v>
      </c>
      <c r="E371" s="9" t="s">
        <v>9</v>
      </c>
      <c r="F371" s="4" t="s">
        <v>625</v>
      </c>
    </row>
    <row r="372" customFormat="false" ht="23.85" hidden="false" customHeight="false" outlineLevel="0" collapsed="false">
      <c r="A372" s="9" t="n">
        <v>13</v>
      </c>
      <c r="B372" s="9" t="s">
        <v>135</v>
      </c>
      <c r="C372" s="9" t="s">
        <v>136</v>
      </c>
      <c r="D372" s="9" t="s">
        <v>116</v>
      </c>
      <c r="E372" s="9" t="s">
        <v>9</v>
      </c>
      <c r="F372" s="4" t="s">
        <v>626</v>
      </c>
    </row>
    <row r="373" customFormat="false" ht="23.85" hidden="false" customHeight="false" outlineLevel="0" collapsed="false">
      <c r="A373" s="9" t="n">
        <v>13</v>
      </c>
      <c r="B373" s="9" t="s">
        <v>135</v>
      </c>
      <c r="C373" s="9" t="s">
        <v>136</v>
      </c>
      <c r="D373" s="9" t="s">
        <v>116</v>
      </c>
      <c r="E373" s="9" t="s">
        <v>10</v>
      </c>
      <c r="F373" s="4" t="s">
        <v>627</v>
      </c>
    </row>
    <row r="374" customFormat="false" ht="23.85" hidden="false" customHeight="false" outlineLevel="0" collapsed="false">
      <c r="A374" s="9" t="n">
        <v>13</v>
      </c>
      <c r="B374" s="9" t="s">
        <v>135</v>
      </c>
      <c r="C374" s="9" t="s">
        <v>136</v>
      </c>
      <c r="D374" s="9" t="s">
        <v>116</v>
      </c>
      <c r="E374" s="9" t="s">
        <v>10</v>
      </c>
      <c r="F374" s="4" t="s">
        <v>628</v>
      </c>
    </row>
    <row r="375" customFormat="false" ht="23.85" hidden="false" customHeight="false" outlineLevel="0" collapsed="false">
      <c r="A375" s="9" t="n">
        <v>13</v>
      </c>
      <c r="B375" s="9" t="s">
        <v>135</v>
      </c>
      <c r="C375" s="9" t="s">
        <v>136</v>
      </c>
      <c r="D375" s="9" t="s">
        <v>116</v>
      </c>
      <c r="E375" s="9" t="s">
        <v>10</v>
      </c>
      <c r="F375" s="4" t="s">
        <v>629</v>
      </c>
    </row>
    <row r="376" customFormat="false" ht="23.85" hidden="false" customHeight="false" outlineLevel="0" collapsed="false">
      <c r="A376" s="9" t="n">
        <v>13</v>
      </c>
      <c r="B376" s="9" t="s">
        <v>135</v>
      </c>
      <c r="C376" s="9" t="s">
        <v>136</v>
      </c>
      <c r="D376" s="9" t="s">
        <v>116</v>
      </c>
      <c r="E376" s="9" t="s">
        <v>10</v>
      </c>
      <c r="F376" s="4" t="s">
        <v>630</v>
      </c>
    </row>
    <row r="377" customFormat="false" ht="68.65" hidden="false" customHeight="false" outlineLevel="0" collapsed="false">
      <c r="A377" s="9" t="n">
        <v>13</v>
      </c>
      <c r="B377" s="9" t="s">
        <v>135</v>
      </c>
      <c r="C377" s="9" t="s">
        <v>136</v>
      </c>
      <c r="D377" s="9" t="s">
        <v>116</v>
      </c>
      <c r="E377" s="9" t="s">
        <v>12</v>
      </c>
      <c r="F377" s="4" t="s">
        <v>631</v>
      </c>
    </row>
    <row r="378" customFormat="false" ht="46.25" hidden="false" customHeight="false" outlineLevel="0" collapsed="false">
      <c r="A378" s="9" t="n">
        <v>13</v>
      </c>
      <c r="B378" s="9" t="s">
        <v>135</v>
      </c>
      <c r="C378" s="9" t="s">
        <v>136</v>
      </c>
      <c r="D378" s="9" t="s">
        <v>116</v>
      </c>
      <c r="E378" s="9" t="s">
        <v>12</v>
      </c>
      <c r="F378" s="4" t="s">
        <v>632</v>
      </c>
    </row>
    <row r="379" customFormat="false" ht="46.25" hidden="false" customHeight="false" outlineLevel="0" collapsed="false">
      <c r="A379" s="9" t="n">
        <v>13</v>
      </c>
      <c r="B379" s="9" t="s">
        <v>135</v>
      </c>
      <c r="C379" s="9" t="s">
        <v>136</v>
      </c>
      <c r="D379" s="9" t="s">
        <v>116</v>
      </c>
      <c r="E379" s="9" t="s">
        <v>13</v>
      </c>
      <c r="F379" s="4" t="s">
        <v>633</v>
      </c>
    </row>
    <row r="380" customFormat="false" ht="35.05" hidden="false" customHeight="false" outlineLevel="0" collapsed="false">
      <c r="A380" s="9" t="n">
        <v>14</v>
      </c>
      <c r="B380" s="9" t="s">
        <v>144</v>
      </c>
      <c r="C380" s="9" t="s">
        <v>145</v>
      </c>
      <c r="D380" s="9" t="s">
        <v>116</v>
      </c>
      <c r="E380" s="9" t="s">
        <v>6</v>
      </c>
      <c r="F380" s="4" t="s">
        <v>634</v>
      </c>
    </row>
    <row r="381" customFormat="false" ht="23.85" hidden="false" customHeight="false" outlineLevel="0" collapsed="false">
      <c r="A381" s="9" t="n">
        <v>14</v>
      </c>
      <c r="B381" s="9" t="s">
        <v>144</v>
      </c>
      <c r="C381" s="9" t="s">
        <v>145</v>
      </c>
      <c r="D381" s="9" t="s">
        <v>116</v>
      </c>
      <c r="E381" s="9" t="s">
        <v>6</v>
      </c>
      <c r="F381" s="4" t="s">
        <v>635</v>
      </c>
    </row>
    <row r="382" customFormat="false" ht="23.85" hidden="false" customHeight="false" outlineLevel="0" collapsed="false">
      <c r="A382" s="9" t="n">
        <v>14</v>
      </c>
      <c r="B382" s="9" t="s">
        <v>144</v>
      </c>
      <c r="C382" s="9" t="s">
        <v>145</v>
      </c>
      <c r="D382" s="9" t="s">
        <v>116</v>
      </c>
      <c r="E382" s="9" t="s">
        <v>6</v>
      </c>
      <c r="F382" s="4" t="s">
        <v>636</v>
      </c>
    </row>
    <row r="383" customFormat="false" ht="35.05" hidden="false" customHeight="false" outlineLevel="0" collapsed="false">
      <c r="A383" s="9" t="n">
        <v>14</v>
      </c>
      <c r="B383" s="9" t="s">
        <v>144</v>
      </c>
      <c r="C383" s="9" t="s">
        <v>145</v>
      </c>
      <c r="D383" s="9" t="s">
        <v>116</v>
      </c>
      <c r="E383" s="9" t="s">
        <v>6</v>
      </c>
      <c r="F383" s="4" t="s">
        <v>637</v>
      </c>
    </row>
    <row r="384" customFormat="false" ht="23.85" hidden="false" customHeight="false" outlineLevel="0" collapsed="false">
      <c r="A384" s="9" t="n">
        <v>14</v>
      </c>
      <c r="B384" s="9" t="s">
        <v>144</v>
      </c>
      <c r="C384" s="9" t="s">
        <v>145</v>
      </c>
      <c r="D384" s="9" t="s">
        <v>116</v>
      </c>
      <c r="E384" s="9" t="s">
        <v>6</v>
      </c>
      <c r="F384" s="4" t="s">
        <v>638</v>
      </c>
    </row>
    <row r="385" customFormat="false" ht="35.05" hidden="false" customHeight="false" outlineLevel="0" collapsed="false">
      <c r="A385" s="9" t="n">
        <v>14</v>
      </c>
      <c r="B385" s="9" t="s">
        <v>144</v>
      </c>
      <c r="C385" s="9" t="s">
        <v>145</v>
      </c>
      <c r="D385" s="9" t="s">
        <v>116</v>
      </c>
      <c r="E385" s="9" t="s">
        <v>6</v>
      </c>
      <c r="F385" s="4" t="s">
        <v>639</v>
      </c>
    </row>
    <row r="386" customFormat="false" ht="15" hidden="false" customHeight="false" outlineLevel="0" collapsed="false">
      <c r="A386" s="9" t="n">
        <v>14</v>
      </c>
      <c r="B386" s="9" t="s">
        <v>144</v>
      </c>
      <c r="C386" s="9" t="s">
        <v>145</v>
      </c>
      <c r="D386" s="9" t="s">
        <v>116</v>
      </c>
      <c r="E386" s="9" t="s">
        <v>7</v>
      </c>
      <c r="F386" s="4" t="s">
        <v>640</v>
      </c>
    </row>
    <row r="387" customFormat="false" ht="23.85" hidden="false" customHeight="false" outlineLevel="0" collapsed="false">
      <c r="A387" s="9" t="n">
        <v>14</v>
      </c>
      <c r="B387" s="9" t="s">
        <v>144</v>
      </c>
      <c r="C387" s="9" t="s">
        <v>145</v>
      </c>
      <c r="D387" s="9" t="s">
        <v>116</v>
      </c>
      <c r="E387" s="9" t="s">
        <v>7</v>
      </c>
      <c r="F387" s="4" t="s">
        <v>641</v>
      </c>
    </row>
    <row r="388" customFormat="false" ht="23.85" hidden="false" customHeight="false" outlineLevel="0" collapsed="false">
      <c r="A388" s="9" t="n">
        <v>14</v>
      </c>
      <c r="B388" s="9" t="s">
        <v>144</v>
      </c>
      <c r="C388" s="9" t="s">
        <v>145</v>
      </c>
      <c r="D388" s="9" t="s">
        <v>116</v>
      </c>
      <c r="E388" s="9" t="s">
        <v>8</v>
      </c>
      <c r="F388" s="4" t="s">
        <v>642</v>
      </c>
    </row>
    <row r="389" customFormat="false" ht="15" hidden="false" customHeight="false" outlineLevel="0" collapsed="false">
      <c r="A389" s="9" t="n">
        <v>14</v>
      </c>
      <c r="B389" s="9" t="s">
        <v>144</v>
      </c>
      <c r="C389" s="9" t="s">
        <v>145</v>
      </c>
      <c r="D389" s="9" t="s">
        <v>116</v>
      </c>
      <c r="E389" s="9" t="s">
        <v>8</v>
      </c>
      <c r="F389" s="4" t="s">
        <v>643</v>
      </c>
    </row>
    <row r="390" customFormat="false" ht="35.05" hidden="false" customHeight="false" outlineLevel="0" collapsed="false">
      <c r="A390" s="9" t="n">
        <v>14</v>
      </c>
      <c r="B390" s="9" t="s">
        <v>144</v>
      </c>
      <c r="C390" s="9" t="s">
        <v>145</v>
      </c>
      <c r="D390" s="9" t="s">
        <v>116</v>
      </c>
      <c r="E390" s="9" t="s">
        <v>8</v>
      </c>
      <c r="F390" s="4" t="s">
        <v>644</v>
      </c>
    </row>
    <row r="391" customFormat="false" ht="35.05" hidden="false" customHeight="false" outlineLevel="0" collapsed="false">
      <c r="A391" s="9" t="n">
        <v>14</v>
      </c>
      <c r="B391" s="9" t="s">
        <v>144</v>
      </c>
      <c r="C391" s="9" t="s">
        <v>145</v>
      </c>
      <c r="D391" s="9" t="s">
        <v>116</v>
      </c>
      <c r="E391" s="9" t="s">
        <v>8</v>
      </c>
      <c r="F391" s="4" t="s">
        <v>645</v>
      </c>
    </row>
    <row r="392" customFormat="false" ht="35.05" hidden="false" customHeight="false" outlineLevel="0" collapsed="false">
      <c r="A392" s="9" t="n">
        <v>14</v>
      </c>
      <c r="B392" s="9" t="s">
        <v>144</v>
      </c>
      <c r="C392" s="9" t="s">
        <v>145</v>
      </c>
      <c r="D392" s="9" t="s">
        <v>116</v>
      </c>
      <c r="E392" s="9" t="s">
        <v>8</v>
      </c>
      <c r="F392" s="4" t="s">
        <v>646</v>
      </c>
    </row>
    <row r="393" customFormat="false" ht="35.05" hidden="false" customHeight="false" outlineLevel="0" collapsed="false">
      <c r="A393" s="9" t="n">
        <v>14</v>
      </c>
      <c r="B393" s="9" t="s">
        <v>144</v>
      </c>
      <c r="C393" s="9" t="s">
        <v>145</v>
      </c>
      <c r="D393" s="9" t="s">
        <v>116</v>
      </c>
      <c r="E393" s="9" t="s">
        <v>8</v>
      </c>
      <c r="F393" s="4" t="s">
        <v>647</v>
      </c>
    </row>
    <row r="394" customFormat="false" ht="23.85" hidden="false" customHeight="false" outlineLevel="0" collapsed="false">
      <c r="A394" s="9" t="n">
        <v>14</v>
      </c>
      <c r="B394" s="9" t="s">
        <v>144</v>
      </c>
      <c r="C394" s="9" t="s">
        <v>145</v>
      </c>
      <c r="D394" s="9" t="s">
        <v>116</v>
      </c>
      <c r="E394" s="9" t="s">
        <v>8</v>
      </c>
      <c r="F394" s="4" t="s">
        <v>648</v>
      </c>
    </row>
    <row r="395" customFormat="false" ht="23.85" hidden="false" customHeight="false" outlineLevel="0" collapsed="false">
      <c r="A395" s="9" t="n">
        <v>14</v>
      </c>
      <c r="B395" s="9" t="s">
        <v>144</v>
      </c>
      <c r="C395" s="9" t="s">
        <v>145</v>
      </c>
      <c r="D395" s="9" t="s">
        <v>116</v>
      </c>
      <c r="E395" s="9" t="s">
        <v>8</v>
      </c>
      <c r="F395" s="4" t="s">
        <v>649</v>
      </c>
    </row>
    <row r="396" customFormat="false" ht="23.85" hidden="false" customHeight="false" outlineLevel="0" collapsed="false">
      <c r="A396" s="9" t="n">
        <v>14</v>
      </c>
      <c r="B396" s="9" t="s">
        <v>144</v>
      </c>
      <c r="C396" s="9" t="s">
        <v>145</v>
      </c>
      <c r="D396" s="9" t="s">
        <v>116</v>
      </c>
      <c r="E396" s="9" t="s">
        <v>8</v>
      </c>
      <c r="F396" s="4" t="s">
        <v>650</v>
      </c>
    </row>
    <row r="397" customFormat="false" ht="23.85" hidden="false" customHeight="false" outlineLevel="0" collapsed="false">
      <c r="A397" s="9" t="n">
        <v>14</v>
      </c>
      <c r="B397" s="9" t="s">
        <v>144</v>
      </c>
      <c r="C397" s="9" t="s">
        <v>145</v>
      </c>
      <c r="D397" s="9" t="s">
        <v>116</v>
      </c>
      <c r="E397" s="9" t="s">
        <v>9</v>
      </c>
      <c r="F397" s="4" t="s">
        <v>651</v>
      </c>
    </row>
    <row r="398" customFormat="false" ht="15" hidden="false" customHeight="false" outlineLevel="0" collapsed="false">
      <c r="A398" s="9" t="n">
        <v>14</v>
      </c>
      <c r="B398" s="9" t="s">
        <v>144</v>
      </c>
      <c r="C398" s="9" t="s">
        <v>145</v>
      </c>
      <c r="D398" s="9" t="s">
        <v>116</v>
      </c>
      <c r="E398" s="9" t="s">
        <v>9</v>
      </c>
      <c r="F398" s="4" t="s">
        <v>652</v>
      </c>
    </row>
    <row r="399" customFormat="false" ht="23.85" hidden="false" customHeight="false" outlineLevel="0" collapsed="false">
      <c r="A399" s="9" t="n">
        <v>14</v>
      </c>
      <c r="B399" s="9" t="s">
        <v>144</v>
      </c>
      <c r="C399" s="9" t="s">
        <v>145</v>
      </c>
      <c r="D399" s="9" t="s">
        <v>116</v>
      </c>
      <c r="E399" s="9" t="s">
        <v>10</v>
      </c>
      <c r="F399" s="4" t="s">
        <v>653</v>
      </c>
    </row>
    <row r="400" customFormat="false" ht="23.85" hidden="false" customHeight="false" outlineLevel="0" collapsed="false">
      <c r="A400" s="9" t="n">
        <v>14</v>
      </c>
      <c r="B400" s="9" t="s">
        <v>144</v>
      </c>
      <c r="C400" s="9" t="s">
        <v>145</v>
      </c>
      <c r="D400" s="9" t="s">
        <v>116</v>
      </c>
      <c r="E400" s="9" t="s">
        <v>10</v>
      </c>
      <c r="F400" s="4" t="s">
        <v>654</v>
      </c>
    </row>
    <row r="401" customFormat="false" ht="23.85" hidden="false" customHeight="false" outlineLevel="0" collapsed="false">
      <c r="A401" s="9" t="n">
        <v>14</v>
      </c>
      <c r="B401" s="9" t="s">
        <v>144</v>
      </c>
      <c r="C401" s="9" t="s">
        <v>145</v>
      </c>
      <c r="D401" s="9" t="s">
        <v>116</v>
      </c>
      <c r="E401" s="9" t="s">
        <v>10</v>
      </c>
      <c r="F401" s="4" t="s">
        <v>655</v>
      </c>
    </row>
    <row r="402" customFormat="false" ht="23.85" hidden="false" customHeight="false" outlineLevel="0" collapsed="false">
      <c r="A402" s="9" t="n">
        <v>14</v>
      </c>
      <c r="B402" s="9" t="s">
        <v>144</v>
      </c>
      <c r="C402" s="9" t="s">
        <v>145</v>
      </c>
      <c r="D402" s="9" t="s">
        <v>116</v>
      </c>
      <c r="E402" s="9" t="s">
        <v>10</v>
      </c>
      <c r="F402" s="4" t="s">
        <v>656</v>
      </c>
    </row>
    <row r="403" customFormat="false" ht="23.85" hidden="false" customHeight="false" outlineLevel="0" collapsed="false">
      <c r="A403" s="9" t="n">
        <v>14</v>
      </c>
      <c r="B403" s="9" t="s">
        <v>144</v>
      </c>
      <c r="C403" s="9" t="s">
        <v>145</v>
      </c>
      <c r="D403" s="9" t="s">
        <v>116</v>
      </c>
      <c r="E403" s="9" t="s">
        <v>10</v>
      </c>
      <c r="F403" s="4" t="s">
        <v>657</v>
      </c>
    </row>
    <row r="404" customFormat="false" ht="68.65" hidden="false" customHeight="false" outlineLevel="0" collapsed="false">
      <c r="A404" s="9" t="n">
        <v>14</v>
      </c>
      <c r="B404" s="9" t="s">
        <v>144</v>
      </c>
      <c r="C404" s="9" t="s">
        <v>145</v>
      </c>
      <c r="D404" s="9" t="s">
        <v>116</v>
      </c>
      <c r="E404" s="9" t="s">
        <v>12</v>
      </c>
      <c r="F404" s="4" t="s">
        <v>658</v>
      </c>
    </row>
    <row r="405" customFormat="false" ht="57.45" hidden="false" customHeight="false" outlineLevel="0" collapsed="false">
      <c r="A405" s="9" t="n">
        <v>14</v>
      </c>
      <c r="B405" s="9" t="s">
        <v>144</v>
      </c>
      <c r="C405" s="9" t="s">
        <v>145</v>
      </c>
      <c r="D405" s="9" t="s">
        <v>116</v>
      </c>
      <c r="E405" s="9" t="s">
        <v>12</v>
      </c>
      <c r="F405" s="4" t="s">
        <v>659</v>
      </c>
    </row>
    <row r="406" customFormat="false" ht="15" hidden="false" customHeight="false" outlineLevel="0" collapsed="false">
      <c r="A406" s="9" t="n">
        <v>14</v>
      </c>
      <c r="B406" s="9" t="s">
        <v>144</v>
      </c>
      <c r="C406" s="9" t="s">
        <v>145</v>
      </c>
      <c r="D406" s="9" t="s">
        <v>116</v>
      </c>
      <c r="E406" s="9" t="s">
        <v>12</v>
      </c>
      <c r="F406" s="4" t="s">
        <v>660</v>
      </c>
    </row>
    <row r="407" customFormat="false" ht="46.25" hidden="false" customHeight="false" outlineLevel="0" collapsed="false">
      <c r="A407" s="9" t="n">
        <v>14</v>
      </c>
      <c r="B407" s="9" t="s">
        <v>144</v>
      </c>
      <c r="C407" s="9" t="s">
        <v>145</v>
      </c>
      <c r="D407" s="9" t="s">
        <v>116</v>
      </c>
      <c r="E407" s="9" t="s">
        <v>13</v>
      </c>
      <c r="F407" s="4" t="s">
        <v>661</v>
      </c>
    </row>
    <row r="408" customFormat="false" ht="35.05" hidden="false" customHeight="false" outlineLevel="0" collapsed="false">
      <c r="A408" s="9" t="n">
        <v>14</v>
      </c>
      <c r="B408" s="9" t="s">
        <v>144</v>
      </c>
      <c r="C408" s="9" t="s">
        <v>145</v>
      </c>
      <c r="D408" s="9" t="s">
        <v>116</v>
      </c>
      <c r="E408" s="9" t="s">
        <v>13</v>
      </c>
      <c r="F408" s="4" t="s">
        <v>662</v>
      </c>
    </row>
    <row r="409" customFormat="false" ht="23.85" hidden="false" customHeight="false" outlineLevel="0" collapsed="false">
      <c r="A409" s="9" t="n">
        <v>14</v>
      </c>
      <c r="B409" s="9" t="s">
        <v>144</v>
      </c>
      <c r="C409" s="9" t="s">
        <v>145</v>
      </c>
      <c r="D409" s="9" t="s">
        <v>116</v>
      </c>
      <c r="E409" s="9" t="s">
        <v>13</v>
      </c>
      <c r="F409" s="4" t="s">
        <v>663</v>
      </c>
    </row>
    <row r="410" customFormat="false" ht="35.05" hidden="false" customHeight="false" outlineLevel="0" collapsed="false">
      <c r="A410" s="9" t="n">
        <v>14</v>
      </c>
      <c r="B410" s="9" t="s">
        <v>144</v>
      </c>
      <c r="C410" s="9" t="s">
        <v>145</v>
      </c>
      <c r="D410" s="9" t="s">
        <v>116</v>
      </c>
      <c r="E410" s="9" t="s">
        <v>13</v>
      </c>
      <c r="F410" s="4" t="s">
        <v>664</v>
      </c>
    </row>
    <row r="411" customFormat="false" ht="23.85" hidden="false" customHeight="false" outlineLevel="0" collapsed="false">
      <c r="A411" s="9" t="n">
        <v>15</v>
      </c>
      <c r="B411" s="9" t="s">
        <v>153</v>
      </c>
      <c r="C411" s="9" t="s">
        <v>154</v>
      </c>
      <c r="D411" s="9" t="s">
        <v>116</v>
      </c>
      <c r="E411" s="9" t="s">
        <v>4</v>
      </c>
      <c r="F411" s="4" t="s">
        <v>665</v>
      </c>
    </row>
    <row r="412" customFormat="false" ht="15" hidden="false" customHeight="false" outlineLevel="0" collapsed="false">
      <c r="A412" s="9" t="n">
        <v>15</v>
      </c>
      <c r="B412" s="9" t="s">
        <v>153</v>
      </c>
      <c r="C412" s="9" t="s">
        <v>154</v>
      </c>
      <c r="D412" s="9" t="s">
        <v>116</v>
      </c>
      <c r="E412" s="9" t="s">
        <v>4</v>
      </c>
      <c r="F412" s="4" t="s">
        <v>666</v>
      </c>
    </row>
    <row r="413" customFormat="false" ht="15" hidden="false" customHeight="false" outlineLevel="0" collapsed="false">
      <c r="A413" s="9" t="n">
        <v>15</v>
      </c>
      <c r="B413" s="9" t="s">
        <v>153</v>
      </c>
      <c r="C413" s="9" t="s">
        <v>154</v>
      </c>
      <c r="D413" s="9" t="s">
        <v>116</v>
      </c>
      <c r="E413" s="9" t="s">
        <v>6</v>
      </c>
      <c r="F413" s="4" t="s">
        <v>667</v>
      </c>
    </row>
    <row r="414" customFormat="false" ht="23.85" hidden="false" customHeight="false" outlineLevel="0" collapsed="false">
      <c r="A414" s="9" t="n">
        <v>15</v>
      </c>
      <c r="B414" s="9" t="s">
        <v>153</v>
      </c>
      <c r="C414" s="9" t="s">
        <v>154</v>
      </c>
      <c r="D414" s="9" t="s">
        <v>116</v>
      </c>
      <c r="E414" s="9" t="s">
        <v>6</v>
      </c>
      <c r="F414" s="4" t="s">
        <v>668</v>
      </c>
    </row>
    <row r="415" customFormat="false" ht="23.85" hidden="false" customHeight="false" outlineLevel="0" collapsed="false">
      <c r="A415" s="9" t="n">
        <v>15</v>
      </c>
      <c r="B415" s="9" t="s">
        <v>153</v>
      </c>
      <c r="C415" s="9" t="s">
        <v>154</v>
      </c>
      <c r="D415" s="9" t="s">
        <v>116</v>
      </c>
      <c r="E415" s="9" t="s">
        <v>6</v>
      </c>
      <c r="F415" s="4" t="s">
        <v>669</v>
      </c>
    </row>
    <row r="416" customFormat="false" ht="15" hidden="false" customHeight="false" outlineLevel="0" collapsed="false">
      <c r="A416" s="9" t="n">
        <v>15</v>
      </c>
      <c r="B416" s="9" t="s">
        <v>153</v>
      </c>
      <c r="C416" s="9" t="s">
        <v>154</v>
      </c>
      <c r="D416" s="9" t="s">
        <v>116</v>
      </c>
      <c r="E416" s="9" t="s">
        <v>7</v>
      </c>
      <c r="F416" s="4" t="s">
        <v>670</v>
      </c>
    </row>
    <row r="417" customFormat="false" ht="15" hidden="false" customHeight="false" outlineLevel="0" collapsed="false">
      <c r="A417" s="9" t="n">
        <v>15</v>
      </c>
      <c r="B417" s="9" t="s">
        <v>153</v>
      </c>
      <c r="C417" s="9" t="s">
        <v>154</v>
      </c>
      <c r="D417" s="9" t="s">
        <v>116</v>
      </c>
      <c r="E417" s="9" t="s">
        <v>7</v>
      </c>
      <c r="F417" s="4" t="s">
        <v>671</v>
      </c>
    </row>
    <row r="418" customFormat="false" ht="35.05" hidden="false" customHeight="false" outlineLevel="0" collapsed="false">
      <c r="A418" s="9" t="n">
        <v>15</v>
      </c>
      <c r="B418" s="9" t="s">
        <v>153</v>
      </c>
      <c r="C418" s="9" t="s">
        <v>154</v>
      </c>
      <c r="D418" s="9" t="s">
        <v>116</v>
      </c>
      <c r="E418" s="9" t="s">
        <v>7</v>
      </c>
      <c r="F418" s="4" t="s">
        <v>672</v>
      </c>
    </row>
    <row r="419" customFormat="false" ht="35.05" hidden="false" customHeight="false" outlineLevel="0" collapsed="false">
      <c r="A419" s="9" t="n">
        <v>15</v>
      </c>
      <c r="B419" s="9" t="s">
        <v>153</v>
      </c>
      <c r="C419" s="9" t="s">
        <v>154</v>
      </c>
      <c r="D419" s="9" t="s">
        <v>116</v>
      </c>
      <c r="E419" s="9" t="s">
        <v>7</v>
      </c>
      <c r="F419" s="4" t="s">
        <v>673</v>
      </c>
    </row>
    <row r="420" customFormat="false" ht="35.05" hidden="false" customHeight="false" outlineLevel="0" collapsed="false">
      <c r="A420" s="9" t="n">
        <v>15</v>
      </c>
      <c r="B420" s="9" t="s">
        <v>153</v>
      </c>
      <c r="C420" s="9" t="s">
        <v>154</v>
      </c>
      <c r="D420" s="9" t="s">
        <v>116</v>
      </c>
      <c r="E420" s="9" t="s">
        <v>8</v>
      </c>
      <c r="F420" s="4" t="s">
        <v>674</v>
      </c>
    </row>
    <row r="421" customFormat="false" ht="23.85" hidden="false" customHeight="false" outlineLevel="0" collapsed="false">
      <c r="A421" s="9" t="n">
        <v>15</v>
      </c>
      <c r="B421" s="9" t="s">
        <v>153</v>
      </c>
      <c r="C421" s="9" t="s">
        <v>154</v>
      </c>
      <c r="D421" s="9" t="s">
        <v>116</v>
      </c>
      <c r="E421" s="9" t="s">
        <v>8</v>
      </c>
      <c r="F421" s="4" t="s">
        <v>675</v>
      </c>
    </row>
    <row r="422" customFormat="false" ht="35.05" hidden="false" customHeight="false" outlineLevel="0" collapsed="false">
      <c r="A422" s="9" t="n">
        <v>15</v>
      </c>
      <c r="B422" s="9" t="s">
        <v>153</v>
      </c>
      <c r="C422" s="9" t="s">
        <v>154</v>
      </c>
      <c r="D422" s="9" t="s">
        <v>116</v>
      </c>
      <c r="E422" s="9" t="s">
        <v>9</v>
      </c>
      <c r="F422" s="4" t="s">
        <v>676</v>
      </c>
    </row>
    <row r="423" customFormat="false" ht="23.85" hidden="false" customHeight="false" outlineLevel="0" collapsed="false">
      <c r="A423" s="9" t="n">
        <v>15</v>
      </c>
      <c r="B423" s="9" t="s">
        <v>153</v>
      </c>
      <c r="C423" s="9" t="s">
        <v>154</v>
      </c>
      <c r="D423" s="9" t="s">
        <v>116</v>
      </c>
      <c r="E423" s="9" t="s">
        <v>9</v>
      </c>
      <c r="F423" s="4" t="s">
        <v>677</v>
      </c>
    </row>
    <row r="424" customFormat="false" ht="23.85" hidden="false" customHeight="false" outlineLevel="0" collapsed="false">
      <c r="A424" s="9" t="n">
        <v>15</v>
      </c>
      <c r="B424" s="9" t="s">
        <v>153</v>
      </c>
      <c r="C424" s="9" t="s">
        <v>154</v>
      </c>
      <c r="D424" s="9" t="s">
        <v>116</v>
      </c>
      <c r="E424" s="9" t="s">
        <v>9</v>
      </c>
      <c r="F424" s="4" t="s">
        <v>678</v>
      </c>
    </row>
    <row r="425" customFormat="false" ht="23.85" hidden="false" customHeight="false" outlineLevel="0" collapsed="false">
      <c r="A425" s="9" t="n">
        <v>15</v>
      </c>
      <c r="B425" s="9" t="s">
        <v>153</v>
      </c>
      <c r="C425" s="9" t="s">
        <v>154</v>
      </c>
      <c r="D425" s="9" t="s">
        <v>116</v>
      </c>
      <c r="E425" s="9" t="s">
        <v>10</v>
      </c>
      <c r="F425" s="4" t="s">
        <v>679</v>
      </c>
    </row>
    <row r="426" customFormat="false" ht="23.85" hidden="false" customHeight="false" outlineLevel="0" collapsed="false">
      <c r="A426" s="9" t="n">
        <v>15</v>
      </c>
      <c r="B426" s="9" t="s">
        <v>153</v>
      </c>
      <c r="C426" s="9" t="s">
        <v>154</v>
      </c>
      <c r="D426" s="9" t="s">
        <v>116</v>
      </c>
      <c r="E426" s="9" t="s">
        <v>10</v>
      </c>
      <c r="F426" s="4" t="s">
        <v>680</v>
      </c>
    </row>
    <row r="427" customFormat="false" ht="23.85" hidden="false" customHeight="false" outlineLevel="0" collapsed="false">
      <c r="A427" s="9" t="n">
        <v>15</v>
      </c>
      <c r="B427" s="9" t="s">
        <v>153</v>
      </c>
      <c r="C427" s="9" t="s">
        <v>154</v>
      </c>
      <c r="D427" s="9" t="s">
        <v>116</v>
      </c>
      <c r="E427" s="9" t="s">
        <v>10</v>
      </c>
      <c r="F427" s="4" t="s">
        <v>681</v>
      </c>
    </row>
    <row r="428" customFormat="false" ht="23.85" hidden="false" customHeight="false" outlineLevel="0" collapsed="false">
      <c r="A428" s="9" t="n">
        <v>15</v>
      </c>
      <c r="B428" s="9" t="s">
        <v>153</v>
      </c>
      <c r="C428" s="9" t="s">
        <v>154</v>
      </c>
      <c r="D428" s="9" t="s">
        <v>116</v>
      </c>
      <c r="E428" s="9" t="s">
        <v>10</v>
      </c>
      <c r="F428" s="4" t="s">
        <v>682</v>
      </c>
    </row>
    <row r="429" customFormat="false" ht="23.85" hidden="false" customHeight="false" outlineLevel="0" collapsed="false">
      <c r="A429" s="9" t="n">
        <v>15</v>
      </c>
      <c r="B429" s="9" t="s">
        <v>153</v>
      </c>
      <c r="C429" s="9" t="s">
        <v>154</v>
      </c>
      <c r="D429" s="9" t="s">
        <v>116</v>
      </c>
      <c r="E429" s="9" t="s">
        <v>10</v>
      </c>
      <c r="F429" s="4" t="s">
        <v>683</v>
      </c>
    </row>
    <row r="430" customFormat="false" ht="35.05" hidden="false" customHeight="false" outlineLevel="0" collapsed="false">
      <c r="A430" s="9" t="n">
        <v>15</v>
      </c>
      <c r="B430" s="9" t="s">
        <v>153</v>
      </c>
      <c r="C430" s="9" t="s">
        <v>154</v>
      </c>
      <c r="D430" s="9" t="s">
        <v>116</v>
      </c>
      <c r="E430" s="9" t="s">
        <v>11</v>
      </c>
      <c r="F430" s="4" t="s">
        <v>684</v>
      </c>
    </row>
    <row r="431" customFormat="false" ht="46.25" hidden="false" customHeight="false" outlineLevel="0" collapsed="false">
      <c r="A431" s="9" t="n">
        <v>15</v>
      </c>
      <c r="B431" s="9" t="s">
        <v>153</v>
      </c>
      <c r="C431" s="9" t="s">
        <v>154</v>
      </c>
      <c r="D431" s="9" t="s">
        <v>116</v>
      </c>
      <c r="E431" s="9" t="s">
        <v>11</v>
      </c>
      <c r="F431" s="4" t="s">
        <v>685</v>
      </c>
    </row>
    <row r="432" customFormat="false" ht="23.85" hidden="false" customHeight="false" outlineLevel="0" collapsed="false">
      <c r="A432" s="9" t="n">
        <v>15</v>
      </c>
      <c r="B432" s="9" t="s">
        <v>153</v>
      </c>
      <c r="C432" s="9" t="s">
        <v>154</v>
      </c>
      <c r="D432" s="9" t="s">
        <v>116</v>
      </c>
      <c r="E432" s="9" t="s">
        <v>11</v>
      </c>
      <c r="F432" s="4" t="s">
        <v>686</v>
      </c>
    </row>
    <row r="433" customFormat="false" ht="46.25" hidden="false" customHeight="false" outlineLevel="0" collapsed="false">
      <c r="A433" s="9" t="n">
        <v>15</v>
      </c>
      <c r="B433" s="9" t="s">
        <v>153</v>
      </c>
      <c r="C433" s="9" t="s">
        <v>154</v>
      </c>
      <c r="D433" s="9" t="s">
        <v>116</v>
      </c>
      <c r="E433" s="9" t="s">
        <v>12</v>
      </c>
      <c r="F433" s="4" t="s">
        <v>687</v>
      </c>
    </row>
    <row r="434" customFormat="false" ht="35.05" hidden="false" customHeight="false" outlineLevel="0" collapsed="false">
      <c r="A434" s="9" t="n">
        <v>15</v>
      </c>
      <c r="B434" s="9" t="s">
        <v>153</v>
      </c>
      <c r="C434" s="9" t="s">
        <v>154</v>
      </c>
      <c r="D434" s="9" t="s">
        <v>116</v>
      </c>
      <c r="E434" s="9" t="s">
        <v>13</v>
      </c>
      <c r="F434" s="4" t="s">
        <v>688</v>
      </c>
    </row>
    <row r="435" customFormat="false" ht="35.05" hidden="false" customHeight="false" outlineLevel="0" collapsed="false">
      <c r="A435" s="9" t="n">
        <v>16</v>
      </c>
      <c r="B435" s="9" t="s">
        <v>164</v>
      </c>
      <c r="C435" s="9" t="s">
        <v>165</v>
      </c>
      <c r="D435" s="9" t="s">
        <v>116</v>
      </c>
      <c r="E435" s="9" t="s">
        <v>6</v>
      </c>
      <c r="F435" s="4" t="s">
        <v>689</v>
      </c>
    </row>
    <row r="436" customFormat="false" ht="23.85" hidden="false" customHeight="false" outlineLevel="0" collapsed="false">
      <c r="A436" s="9" t="n">
        <v>16</v>
      </c>
      <c r="B436" s="9" t="s">
        <v>164</v>
      </c>
      <c r="C436" s="9" t="s">
        <v>165</v>
      </c>
      <c r="D436" s="9" t="s">
        <v>116</v>
      </c>
      <c r="E436" s="9" t="s">
        <v>6</v>
      </c>
      <c r="F436" s="4" t="s">
        <v>690</v>
      </c>
    </row>
    <row r="437" customFormat="false" ht="23.85" hidden="false" customHeight="false" outlineLevel="0" collapsed="false">
      <c r="A437" s="9" t="n">
        <v>16</v>
      </c>
      <c r="B437" s="9" t="s">
        <v>164</v>
      </c>
      <c r="C437" s="9" t="s">
        <v>165</v>
      </c>
      <c r="D437" s="9" t="s">
        <v>116</v>
      </c>
      <c r="E437" s="9" t="s">
        <v>6</v>
      </c>
      <c r="F437" s="4" t="s">
        <v>691</v>
      </c>
    </row>
    <row r="438" customFormat="false" ht="23.85" hidden="false" customHeight="false" outlineLevel="0" collapsed="false">
      <c r="A438" s="9" t="n">
        <v>16</v>
      </c>
      <c r="B438" s="9" t="s">
        <v>164</v>
      </c>
      <c r="C438" s="9" t="s">
        <v>165</v>
      </c>
      <c r="D438" s="9" t="s">
        <v>116</v>
      </c>
      <c r="E438" s="9" t="s">
        <v>6</v>
      </c>
      <c r="F438" s="4" t="s">
        <v>692</v>
      </c>
    </row>
    <row r="439" customFormat="false" ht="35.05" hidden="false" customHeight="false" outlineLevel="0" collapsed="false">
      <c r="A439" s="9" t="n">
        <v>16</v>
      </c>
      <c r="B439" s="9" t="s">
        <v>164</v>
      </c>
      <c r="C439" s="9" t="s">
        <v>165</v>
      </c>
      <c r="D439" s="9" t="s">
        <v>116</v>
      </c>
      <c r="E439" s="9" t="s">
        <v>6</v>
      </c>
      <c r="F439" s="4" t="s">
        <v>693</v>
      </c>
    </row>
    <row r="440" customFormat="false" ht="15" hidden="false" customHeight="false" outlineLevel="0" collapsed="false">
      <c r="A440" s="9" t="n">
        <v>16</v>
      </c>
      <c r="B440" s="9" t="s">
        <v>164</v>
      </c>
      <c r="C440" s="9" t="s">
        <v>165</v>
      </c>
      <c r="D440" s="9" t="s">
        <v>116</v>
      </c>
      <c r="E440" s="9" t="s">
        <v>6</v>
      </c>
      <c r="F440" s="4" t="s">
        <v>694</v>
      </c>
    </row>
    <row r="441" customFormat="false" ht="15" hidden="false" customHeight="false" outlineLevel="0" collapsed="false">
      <c r="A441" s="9" t="n">
        <v>16</v>
      </c>
      <c r="B441" s="9" t="s">
        <v>164</v>
      </c>
      <c r="C441" s="9" t="s">
        <v>165</v>
      </c>
      <c r="D441" s="9" t="s">
        <v>116</v>
      </c>
      <c r="E441" s="9" t="s">
        <v>7</v>
      </c>
      <c r="F441" s="4" t="s">
        <v>695</v>
      </c>
    </row>
    <row r="442" customFormat="false" ht="46.25" hidden="false" customHeight="false" outlineLevel="0" collapsed="false">
      <c r="A442" s="9" t="n">
        <v>16</v>
      </c>
      <c r="B442" s="9" t="s">
        <v>164</v>
      </c>
      <c r="C442" s="9" t="s">
        <v>165</v>
      </c>
      <c r="D442" s="9" t="s">
        <v>116</v>
      </c>
      <c r="E442" s="9" t="s">
        <v>7</v>
      </c>
      <c r="F442" s="4" t="s">
        <v>696</v>
      </c>
    </row>
    <row r="443" customFormat="false" ht="35.05" hidden="false" customHeight="false" outlineLevel="0" collapsed="false">
      <c r="A443" s="9" t="n">
        <v>16</v>
      </c>
      <c r="B443" s="9" t="s">
        <v>164</v>
      </c>
      <c r="C443" s="9" t="s">
        <v>165</v>
      </c>
      <c r="D443" s="9" t="s">
        <v>116</v>
      </c>
      <c r="E443" s="9" t="s">
        <v>7</v>
      </c>
      <c r="F443" s="4" t="s">
        <v>697</v>
      </c>
    </row>
    <row r="444" customFormat="false" ht="23.85" hidden="false" customHeight="false" outlineLevel="0" collapsed="false">
      <c r="A444" s="9" t="n">
        <v>16</v>
      </c>
      <c r="B444" s="9" t="s">
        <v>164</v>
      </c>
      <c r="C444" s="9" t="s">
        <v>165</v>
      </c>
      <c r="D444" s="9" t="s">
        <v>116</v>
      </c>
      <c r="E444" s="9" t="s">
        <v>7</v>
      </c>
      <c r="F444" s="4" t="s">
        <v>698</v>
      </c>
    </row>
    <row r="445" customFormat="false" ht="35.05" hidden="false" customHeight="false" outlineLevel="0" collapsed="false">
      <c r="A445" s="9" t="n">
        <v>16</v>
      </c>
      <c r="B445" s="9" t="s">
        <v>164</v>
      </c>
      <c r="C445" s="9" t="s">
        <v>165</v>
      </c>
      <c r="D445" s="9" t="s">
        <v>116</v>
      </c>
      <c r="E445" s="9" t="s">
        <v>8</v>
      </c>
      <c r="F445" s="4" t="s">
        <v>699</v>
      </c>
    </row>
    <row r="446" customFormat="false" ht="46.25" hidden="false" customHeight="false" outlineLevel="0" collapsed="false">
      <c r="A446" s="9" t="n">
        <v>16</v>
      </c>
      <c r="B446" s="9" t="s">
        <v>164</v>
      </c>
      <c r="C446" s="9" t="s">
        <v>165</v>
      </c>
      <c r="D446" s="9" t="s">
        <v>116</v>
      </c>
      <c r="E446" s="9" t="s">
        <v>8</v>
      </c>
      <c r="F446" s="4" t="s">
        <v>700</v>
      </c>
    </row>
    <row r="447" customFormat="false" ht="23.85" hidden="false" customHeight="false" outlineLevel="0" collapsed="false">
      <c r="A447" s="9" t="n">
        <v>16</v>
      </c>
      <c r="B447" s="9" t="s">
        <v>164</v>
      </c>
      <c r="C447" s="9" t="s">
        <v>165</v>
      </c>
      <c r="D447" s="9" t="s">
        <v>116</v>
      </c>
      <c r="E447" s="9" t="s">
        <v>8</v>
      </c>
      <c r="F447" s="4" t="s">
        <v>701</v>
      </c>
    </row>
    <row r="448" customFormat="false" ht="35.05" hidden="false" customHeight="false" outlineLevel="0" collapsed="false">
      <c r="A448" s="9" t="n">
        <v>16</v>
      </c>
      <c r="B448" s="9" t="s">
        <v>164</v>
      </c>
      <c r="C448" s="9" t="s">
        <v>165</v>
      </c>
      <c r="D448" s="9" t="s">
        <v>116</v>
      </c>
      <c r="E448" s="9" t="s">
        <v>9</v>
      </c>
      <c r="F448" s="4" t="s">
        <v>702</v>
      </c>
    </row>
    <row r="449" customFormat="false" ht="35.05" hidden="false" customHeight="false" outlineLevel="0" collapsed="false">
      <c r="A449" s="9" t="n">
        <v>16</v>
      </c>
      <c r="B449" s="9" t="s">
        <v>164</v>
      </c>
      <c r="C449" s="9" t="s">
        <v>165</v>
      </c>
      <c r="D449" s="9" t="s">
        <v>116</v>
      </c>
      <c r="E449" s="9" t="s">
        <v>10</v>
      </c>
      <c r="F449" s="4" t="s">
        <v>703</v>
      </c>
    </row>
    <row r="450" customFormat="false" ht="15" hidden="false" customHeight="false" outlineLevel="0" collapsed="false">
      <c r="A450" s="9" t="n">
        <v>16</v>
      </c>
      <c r="B450" s="9" t="s">
        <v>164</v>
      </c>
      <c r="C450" s="9" t="s">
        <v>165</v>
      </c>
      <c r="D450" s="9" t="s">
        <v>116</v>
      </c>
      <c r="E450" s="9" t="s">
        <v>10</v>
      </c>
      <c r="F450" s="4" t="s">
        <v>704</v>
      </c>
    </row>
    <row r="451" customFormat="false" ht="23.85" hidden="false" customHeight="false" outlineLevel="0" collapsed="false">
      <c r="A451" s="9" t="n">
        <v>16</v>
      </c>
      <c r="B451" s="9" t="s">
        <v>164</v>
      </c>
      <c r="C451" s="9" t="s">
        <v>165</v>
      </c>
      <c r="D451" s="9" t="s">
        <v>116</v>
      </c>
      <c r="E451" s="9" t="s">
        <v>10</v>
      </c>
      <c r="F451" s="4" t="s">
        <v>705</v>
      </c>
    </row>
    <row r="452" customFormat="false" ht="23.85" hidden="false" customHeight="false" outlineLevel="0" collapsed="false">
      <c r="A452" s="9" t="n">
        <v>16</v>
      </c>
      <c r="B452" s="9" t="s">
        <v>164</v>
      </c>
      <c r="C452" s="9" t="s">
        <v>165</v>
      </c>
      <c r="D452" s="9" t="s">
        <v>116</v>
      </c>
      <c r="E452" s="9" t="s">
        <v>10</v>
      </c>
      <c r="F452" s="4" t="s">
        <v>706</v>
      </c>
    </row>
    <row r="453" customFormat="false" ht="23.85" hidden="false" customHeight="false" outlineLevel="0" collapsed="false">
      <c r="A453" s="9" t="n">
        <v>16</v>
      </c>
      <c r="B453" s="9" t="s">
        <v>164</v>
      </c>
      <c r="C453" s="9" t="s">
        <v>165</v>
      </c>
      <c r="D453" s="9" t="s">
        <v>116</v>
      </c>
      <c r="E453" s="9" t="s">
        <v>10</v>
      </c>
      <c r="F453" s="4" t="s">
        <v>707</v>
      </c>
    </row>
    <row r="454" customFormat="false" ht="46.25" hidden="false" customHeight="false" outlineLevel="0" collapsed="false">
      <c r="A454" s="9" t="n">
        <v>16</v>
      </c>
      <c r="B454" s="9" t="s">
        <v>164</v>
      </c>
      <c r="C454" s="9" t="s">
        <v>165</v>
      </c>
      <c r="D454" s="9" t="s">
        <v>116</v>
      </c>
      <c r="E454" s="9" t="s">
        <v>12</v>
      </c>
      <c r="F454" s="4" t="s">
        <v>708</v>
      </c>
    </row>
    <row r="455" customFormat="false" ht="35.05" hidden="false" customHeight="false" outlineLevel="0" collapsed="false">
      <c r="A455" s="9" t="n">
        <v>16</v>
      </c>
      <c r="B455" s="9" t="s">
        <v>164</v>
      </c>
      <c r="C455" s="9" t="s">
        <v>165</v>
      </c>
      <c r="D455" s="9" t="s">
        <v>116</v>
      </c>
      <c r="E455" s="9" t="s">
        <v>12</v>
      </c>
      <c r="F455" s="4" t="s">
        <v>709</v>
      </c>
    </row>
    <row r="456" customFormat="false" ht="57.45" hidden="false" customHeight="false" outlineLevel="0" collapsed="false">
      <c r="A456" s="9" t="n">
        <v>16</v>
      </c>
      <c r="B456" s="9" t="s">
        <v>164</v>
      </c>
      <c r="C456" s="9" t="s">
        <v>165</v>
      </c>
      <c r="D456" s="9" t="s">
        <v>116</v>
      </c>
      <c r="E456" s="9" t="s">
        <v>13</v>
      </c>
      <c r="F456" s="4" t="s">
        <v>710</v>
      </c>
    </row>
    <row r="457" customFormat="false" ht="23.85" hidden="false" customHeight="false" outlineLevel="0" collapsed="false">
      <c r="A457" s="9" t="n">
        <v>17</v>
      </c>
      <c r="B457" s="9" t="s">
        <v>173</v>
      </c>
      <c r="C457" s="9" t="s">
        <v>174</v>
      </c>
      <c r="D457" s="9" t="s">
        <v>175</v>
      </c>
      <c r="E457" s="9" t="s">
        <v>5</v>
      </c>
      <c r="F457" s="4" t="s">
        <v>711</v>
      </c>
    </row>
    <row r="458" customFormat="false" ht="23.85" hidden="false" customHeight="false" outlineLevel="0" collapsed="false">
      <c r="A458" s="9" t="n">
        <v>17</v>
      </c>
      <c r="B458" s="9" t="s">
        <v>173</v>
      </c>
      <c r="C458" s="9" t="s">
        <v>174</v>
      </c>
      <c r="D458" s="9" t="s">
        <v>175</v>
      </c>
      <c r="E458" s="9" t="s">
        <v>6</v>
      </c>
      <c r="F458" s="4" t="s">
        <v>712</v>
      </c>
    </row>
    <row r="459" customFormat="false" ht="15" hidden="false" customHeight="false" outlineLevel="0" collapsed="false">
      <c r="A459" s="9" t="n">
        <v>17</v>
      </c>
      <c r="B459" s="9" t="s">
        <v>173</v>
      </c>
      <c r="C459" s="9" t="s">
        <v>174</v>
      </c>
      <c r="D459" s="9" t="s">
        <v>175</v>
      </c>
      <c r="E459" s="9" t="s">
        <v>6</v>
      </c>
      <c r="F459" s="4" t="s">
        <v>713</v>
      </c>
    </row>
    <row r="460" customFormat="false" ht="35.05" hidden="false" customHeight="false" outlineLevel="0" collapsed="false">
      <c r="A460" s="9" t="n">
        <v>17</v>
      </c>
      <c r="B460" s="9" t="s">
        <v>173</v>
      </c>
      <c r="C460" s="9" t="s">
        <v>174</v>
      </c>
      <c r="D460" s="9" t="s">
        <v>175</v>
      </c>
      <c r="E460" s="9" t="s">
        <v>6</v>
      </c>
      <c r="F460" s="4" t="s">
        <v>714</v>
      </c>
    </row>
    <row r="461" customFormat="false" ht="46.25" hidden="false" customHeight="false" outlineLevel="0" collapsed="false">
      <c r="A461" s="9" t="n">
        <v>17</v>
      </c>
      <c r="B461" s="9" t="s">
        <v>173</v>
      </c>
      <c r="C461" s="9" t="s">
        <v>174</v>
      </c>
      <c r="D461" s="9" t="s">
        <v>175</v>
      </c>
      <c r="E461" s="9" t="s">
        <v>6</v>
      </c>
      <c r="F461" s="4" t="s">
        <v>715</v>
      </c>
    </row>
    <row r="462" customFormat="false" ht="23.85" hidden="false" customHeight="false" outlineLevel="0" collapsed="false">
      <c r="A462" s="9" t="n">
        <v>17</v>
      </c>
      <c r="B462" s="9" t="s">
        <v>173</v>
      </c>
      <c r="C462" s="9" t="s">
        <v>174</v>
      </c>
      <c r="D462" s="9" t="s">
        <v>175</v>
      </c>
      <c r="E462" s="9" t="s">
        <v>6</v>
      </c>
      <c r="F462" s="4" t="s">
        <v>716</v>
      </c>
    </row>
    <row r="463" customFormat="false" ht="23.85" hidden="false" customHeight="false" outlineLevel="0" collapsed="false">
      <c r="A463" s="9" t="n">
        <v>17</v>
      </c>
      <c r="B463" s="9" t="s">
        <v>173</v>
      </c>
      <c r="C463" s="9" t="s">
        <v>174</v>
      </c>
      <c r="D463" s="9" t="s">
        <v>175</v>
      </c>
      <c r="E463" s="9" t="s">
        <v>6</v>
      </c>
      <c r="F463" s="4" t="s">
        <v>717</v>
      </c>
    </row>
    <row r="464" customFormat="false" ht="23.85" hidden="false" customHeight="false" outlineLevel="0" collapsed="false">
      <c r="A464" s="9" t="n">
        <v>17</v>
      </c>
      <c r="B464" s="9" t="s">
        <v>173</v>
      </c>
      <c r="C464" s="9" t="s">
        <v>174</v>
      </c>
      <c r="D464" s="9" t="s">
        <v>175</v>
      </c>
      <c r="E464" s="9" t="s">
        <v>6</v>
      </c>
      <c r="F464" s="4" t="s">
        <v>718</v>
      </c>
    </row>
    <row r="465" customFormat="false" ht="23.85" hidden="false" customHeight="false" outlineLevel="0" collapsed="false">
      <c r="A465" s="9" t="n">
        <v>17</v>
      </c>
      <c r="B465" s="9" t="s">
        <v>173</v>
      </c>
      <c r="C465" s="9" t="s">
        <v>174</v>
      </c>
      <c r="D465" s="9" t="s">
        <v>175</v>
      </c>
      <c r="E465" s="9" t="s">
        <v>6</v>
      </c>
      <c r="F465" s="4" t="s">
        <v>719</v>
      </c>
    </row>
    <row r="466" customFormat="false" ht="23.85" hidden="false" customHeight="false" outlineLevel="0" collapsed="false">
      <c r="A466" s="9" t="n">
        <v>17</v>
      </c>
      <c r="B466" s="9" t="s">
        <v>173</v>
      </c>
      <c r="C466" s="9" t="s">
        <v>174</v>
      </c>
      <c r="D466" s="9" t="s">
        <v>175</v>
      </c>
      <c r="E466" s="9" t="s">
        <v>7</v>
      </c>
      <c r="F466" s="4" t="s">
        <v>720</v>
      </c>
    </row>
    <row r="467" customFormat="false" ht="23.85" hidden="false" customHeight="false" outlineLevel="0" collapsed="false">
      <c r="A467" s="9" t="n">
        <v>17</v>
      </c>
      <c r="B467" s="9" t="s">
        <v>173</v>
      </c>
      <c r="C467" s="9" t="s">
        <v>174</v>
      </c>
      <c r="D467" s="9" t="s">
        <v>175</v>
      </c>
      <c r="E467" s="9" t="s">
        <v>7</v>
      </c>
      <c r="F467" s="4" t="s">
        <v>721</v>
      </c>
    </row>
    <row r="468" customFormat="false" ht="23.85" hidden="false" customHeight="false" outlineLevel="0" collapsed="false">
      <c r="A468" s="9" t="n">
        <v>17</v>
      </c>
      <c r="B468" s="9" t="s">
        <v>173</v>
      </c>
      <c r="C468" s="9" t="s">
        <v>174</v>
      </c>
      <c r="D468" s="9" t="s">
        <v>175</v>
      </c>
      <c r="E468" s="9" t="s">
        <v>7</v>
      </c>
      <c r="F468" s="4" t="s">
        <v>722</v>
      </c>
    </row>
    <row r="469" customFormat="false" ht="35.05" hidden="false" customHeight="false" outlineLevel="0" collapsed="false">
      <c r="A469" s="9" t="n">
        <v>17</v>
      </c>
      <c r="B469" s="9" t="s">
        <v>173</v>
      </c>
      <c r="C469" s="9" t="s">
        <v>174</v>
      </c>
      <c r="D469" s="9" t="s">
        <v>175</v>
      </c>
      <c r="E469" s="9" t="s">
        <v>7</v>
      </c>
      <c r="F469" s="4" t="s">
        <v>723</v>
      </c>
    </row>
    <row r="470" customFormat="false" ht="23.85" hidden="false" customHeight="false" outlineLevel="0" collapsed="false">
      <c r="A470" s="9" t="n">
        <v>17</v>
      </c>
      <c r="B470" s="9" t="s">
        <v>173</v>
      </c>
      <c r="C470" s="9" t="s">
        <v>174</v>
      </c>
      <c r="D470" s="9" t="s">
        <v>175</v>
      </c>
      <c r="E470" s="9" t="s">
        <v>7</v>
      </c>
      <c r="F470" s="4" t="s">
        <v>724</v>
      </c>
    </row>
    <row r="471" customFormat="false" ht="35.05" hidden="false" customHeight="false" outlineLevel="0" collapsed="false">
      <c r="A471" s="9" t="n">
        <v>17</v>
      </c>
      <c r="B471" s="9" t="s">
        <v>173</v>
      </c>
      <c r="C471" s="9" t="s">
        <v>174</v>
      </c>
      <c r="D471" s="9" t="s">
        <v>175</v>
      </c>
      <c r="E471" s="9" t="s">
        <v>7</v>
      </c>
      <c r="F471" s="4" t="s">
        <v>725</v>
      </c>
    </row>
    <row r="472" customFormat="false" ht="23.85" hidden="false" customHeight="false" outlineLevel="0" collapsed="false">
      <c r="A472" s="9" t="n">
        <v>17</v>
      </c>
      <c r="B472" s="9" t="s">
        <v>173</v>
      </c>
      <c r="C472" s="9" t="s">
        <v>174</v>
      </c>
      <c r="D472" s="9" t="s">
        <v>175</v>
      </c>
      <c r="E472" s="9" t="s">
        <v>8</v>
      </c>
      <c r="F472" s="4" t="s">
        <v>726</v>
      </c>
    </row>
    <row r="473" customFormat="false" ht="35.05" hidden="false" customHeight="false" outlineLevel="0" collapsed="false">
      <c r="A473" s="9" t="n">
        <v>17</v>
      </c>
      <c r="B473" s="9" t="s">
        <v>173</v>
      </c>
      <c r="C473" s="9" t="s">
        <v>174</v>
      </c>
      <c r="D473" s="9" t="s">
        <v>175</v>
      </c>
      <c r="E473" s="9" t="s">
        <v>8</v>
      </c>
      <c r="F473" s="4" t="s">
        <v>727</v>
      </c>
    </row>
    <row r="474" customFormat="false" ht="23.85" hidden="false" customHeight="false" outlineLevel="0" collapsed="false">
      <c r="A474" s="9" t="n">
        <v>17</v>
      </c>
      <c r="B474" s="9" t="s">
        <v>173</v>
      </c>
      <c r="C474" s="9" t="s">
        <v>174</v>
      </c>
      <c r="D474" s="9" t="s">
        <v>175</v>
      </c>
      <c r="E474" s="9" t="s">
        <v>8</v>
      </c>
      <c r="F474" s="4" t="s">
        <v>728</v>
      </c>
    </row>
    <row r="475" customFormat="false" ht="23.85" hidden="false" customHeight="false" outlineLevel="0" collapsed="false">
      <c r="A475" s="9" t="n">
        <v>17</v>
      </c>
      <c r="B475" s="9" t="s">
        <v>173</v>
      </c>
      <c r="C475" s="9" t="s">
        <v>174</v>
      </c>
      <c r="D475" s="9" t="s">
        <v>175</v>
      </c>
      <c r="E475" s="9" t="s">
        <v>8</v>
      </c>
      <c r="F475" s="4" t="s">
        <v>729</v>
      </c>
    </row>
    <row r="476" customFormat="false" ht="35.05" hidden="false" customHeight="false" outlineLevel="0" collapsed="false">
      <c r="A476" s="9" t="n">
        <v>17</v>
      </c>
      <c r="B476" s="9" t="s">
        <v>173</v>
      </c>
      <c r="C476" s="9" t="s">
        <v>174</v>
      </c>
      <c r="D476" s="9" t="s">
        <v>175</v>
      </c>
      <c r="E476" s="9" t="s">
        <v>8</v>
      </c>
      <c r="F476" s="4" t="s">
        <v>730</v>
      </c>
    </row>
    <row r="477" customFormat="false" ht="35.05" hidden="false" customHeight="false" outlineLevel="0" collapsed="false">
      <c r="A477" s="9" t="n">
        <v>17</v>
      </c>
      <c r="B477" s="9" t="s">
        <v>173</v>
      </c>
      <c r="C477" s="9" t="s">
        <v>174</v>
      </c>
      <c r="D477" s="9" t="s">
        <v>175</v>
      </c>
      <c r="E477" s="9" t="s">
        <v>9</v>
      </c>
      <c r="F477" s="4" t="s">
        <v>731</v>
      </c>
    </row>
    <row r="478" customFormat="false" ht="35.05" hidden="false" customHeight="false" outlineLevel="0" collapsed="false">
      <c r="A478" s="9" t="n">
        <v>17</v>
      </c>
      <c r="B478" s="9" t="s">
        <v>173</v>
      </c>
      <c r="C478" s="9" t="s">
        <v>174</v>
      </c>
      <c r="D478" s="9" t="s">
        <v>175</v>
      </c>
      <c r="E478" s="9" t="s">
        <v>9</v>
      </c>
      <c r="F478" s="4" t="s">
        <v>732</v>
      </c>
    </row>
    <row r="479" customFormat="false" ht="35.05" hidden="false" customHeight="false" outlineLevel="0" collapsed="false">
      <c r="A479" s="9" t="n">
        <v>17</v>
      </c>
      <c r="B479" s="9" t="s">
        <v>173</v>
      </c>
      <c r="C479" s="9" t="s">
        <v>174</v>
      </c>
      <c r="D479" s="9" t="s">
        <v>175</v>
      </c>
      <c r="E479" s="9" t="s">
        <v>9</v>
      </c>
      <c r="F479" s="4" t="s">
        <v>733</v>
      </c>
    </row>
    <row r="480" customFormat="false" ht="23.85" hidden="false" customHeight="false" outlineLevel="0" collapsed="false">
      <c r="A480" s="9" t="n">
        <v>17</v>
      </c>
      <c r="B480" s="9" t="s">
        <v>173</v>
      </c>
      <c r="C480" s="9" t="s">
        <v>174</v>
      </c>
      <c r="D480" s="9" t="s">
        <v>175</v>
      </c>
      <c r="E480" s="9" t="s">
        <v>10</v>
      </c>
      <c r="F480" s="4" t="s">
        <v>734</v>
      </c>
    </row>
    <row r="481" customFormat="false" ht="23.85" hidden="false" customHeight="false" outlineLevel="0" collapsed="false">
      <c r="A481" s="9" t="n">
        <v>17</v>
      </c>
      <c r="B481" s="9" t="s">
        <v>173</v>
      </c>
      <c r="C481" s="9" t="s">
        <v>174</v>
      </c>
      <c r="D481" s="9" t="s">
        <v>175</v>
      </c>
      <c r="E481" s="9" t="s">
        <v>10</v>
      </c>
      <c r="F481" s="4" t="s">
        <v>735</v>
      </c>
    </row>
    <row r="482" customFormat="false" ht="23.85" hidden="false" customHeight="false" outlineLevel="0" collapsed="false">
      <c r="A482" s="9" t="n">
        <v>17</v>
      </c>
      <c r="B482" s="9" t="s">
        <v>173</v>
      </c>
      <c r="C482" s="9" t="s">
        <v>174</v>
      </c>
      <c r="D482" s="9" t="s">
        <v>175</v>
      </c>
      <c r="E482" s="9" t="s">
        <v>10</v>
      </c>
      <c r="F482" s="4" t="s">
        <v>736</v>
      </c>
    </row>
    <row r="483" customFormat="false" ht="23.85" hidden="false" customHeight="false" outlineLevel="0" collapsed="false">
      <c r="A483" s="9" t="n">
        <v>17</v>
      </c>
      <c r="B483" s="9" t="s">
        <v>173</v>
      </c>
      <c r="C483" s="9" t="s">
        <v>174</v>
      </c>
      <c r="D483" s="9" t="s">
        <v>175</v>
      </c>
      <c r="E483" s="9" t="s">
        <v>10</v>
      </c>
      <c r="F483" s="4" t="s">
        <v>737</v>
      </c>
    </row>
    <row r="484" customFormat="false" ht="23.85" hidden="false" customHeight="false" outlineLevel="0" collapsed="false">
      <c r="A484" s="9" t="n">
        <v>17</v>
      </c>
      <c r="B484" s="9" t="s">
        <v>173</v>
      </c>
      <c r="C484" s="9" t="s">
        <v>174</v>
      </c>
      <c r="D484" s="9" t="s">
        <v>175</v>
      </c>
      <c r="E484" s="9" t="s">
        <v>10</v>
      </c>
      <c r="F484" s="4" t="s">
        <v>738</v>
      </c>
    </row>
    <row r="485" customFormat="false" ht="46.25" hidden="false" customHeight="false" outlineLevel="0" collapsed="false">
      <c r="A485" s="9" t="n">
        <v>17</v>
      </c>
      <c r="B485" s="9" t="s">
        <v>173</v>
      </c>
      <c r="C485" s="9" t="s">
        <v>174</v>
      </c>
      <c r="D485" s="9" t="s">
        <v>175</v>
      </c>
      <c r="E485" s="9" t="s">
        <v>12</v>
      </c>
      <c r="F485" s="4" t="s">
        <v>739</v>
      </c>
    </row>
    <row r="486" customFormat="false" ht="23.85" hidden="false" customHeight="false" outlineLevel="0" collapsed="false">
      <c r="A486" s="9" t="n">
        <v>17</v>
      </c>
      <c r="B486" s="9" t="s">
        <v>173</v>
      </c>
      <c r="C486" s="9" t="s">
        <v>174</v>
      </c>
      <c r="D486" s="9" t="s">
        <v>175</v>
      </c>
      <c r="E486" s="9" t="s">
        <v>12</v>
      </c>
      <c r="F486" s="4" t="s">
        <v>740</v>
      </c>
    </row>
    <row r="487" customFormat="false" ht="35.05" hidden="false" customHeight="false" outlineLevel="0" collapsed="false">
      <c r="A487" s="9" t="n">
        <v>17</v>
      </c>
      <c r="B487" s="9" t="s">
        <v>173</v>
      </c>
      <c r="C487" s="9" t="s">
        <v>174</v>
      </c>
      <c r="D487" s="9" t="s">
        <v>175</v>
      </c>
      <c r="E487" s="9" t="s">
        <v>12</v>
      </c>
      <c r="F487" s="4" t="s">
        <v>741</v>
      </c>
    </row>
    <row r="488" customFormat="false" ht="23.85" hidden="false" customHeight="false" outlineLevel="0" collapsed="false">
      <c r="A488" s="9" t="n">
        <v>17</v>
      </c>
      <c r="B488" s="9" t="s">
        <v>173</v>
      </c>
      <c r="C488" s="9" t="s">
        <v>174</v>
      </c>
      <c r="D488" s="9" t="s">
        <v>175</v>
      </c>
      <c r="E488" s="9" t="s">
        <v>12</v>
      </c>
      <c r="F488" s="4" t="s">
        <v>742</v>
      </c>
    </row>
    <row r="489" customFormat="false" ht="15" hidden="false" customHeight="false" outlineLevel="0" collapsed="false">
      <c r="A489" s="9" t="n">
        <v>18</v>
      </c>
      <c r="B489" s="9" t="s">
        <v>183</v>
      </c>
      <c r="C489" s="9" t="s">
        <v>184</v>
      </c>
      <c r="D489" s="9" t="s">
        <v>175</v>
      </c>
      <c r="E489" s="9" t="s">
        <v>4</v>
      </c>
      <c r="F489" s="4" t="s">
        <v>743</v>
      </c>
    </row>
    <row r="490" customFormat="false" ht="23.85" hidden="false" customHeight="false" outlineLevel="0" collapsed="false">
      <c r="A490" s="9" t="n">
        <v>18</v>
      </c>
      <c r="B490" s="9" t="s">
        <v>183</v>
      </c>
      <c r="C490" s="9" t="s">
        <v>184</v>
      </c>
      <c r="D490" s="9" t="s">
        <v>175</v>
      </c>
      <c r="E490" s="9" t="s">
        <v>5</v>
      </c>
      <c r="F490" s="4" t="s">
        <v>744</v>
      </c>
    </row>
    <row r="491" customFormat="false" ht="15" hidden="false" customHeight="false" outlineLevel="0" collapsed="false">
      <c r="A491" s="9" t="n">
        <v>18</v>
      </c>
      <c r="B491" s="9" t="s">
        <v>183</v>
      </c>
      <c r="C491" s="9" t="s">
        <v>184</v>
      </c>
      <c r="D491" s="9" t="s">
        <v>175</v>
      </c>
      <c r="E491" s="9" t="s">
        <v>6</v>
      </c>
      <c r="F491" s="4" t="s">
        <v>745</v>
      </c>
    </row>
    <row r="492" customFormat="false" ht="23.85" hidden="false" customHeight="false" outlineLevel="0" collapsed="false">
      <c r="A492" s="9" t="n">
        <v>18</v>
      </c>
      <c r="B492" s="9" t="s">
        <v>183</v>
      </c>
      <c r="C492" s="9" t="s">
        <v>184</v>
      </c>
      <c r="D492" s="9" t="s">
        <v>175</v>
      </c>
      <c r="E492" s="9" t="s">
        <v>7</v>
      </c>
      <c r="F492" s="4" t="s">
        <v>746</v>
      </c>
    </row>
    <row r="493" customFormat="false" ht="23.85" hidden="false" customHeight="false" outlineLevel="0" collapsed="false">
      <c r="A493" s="9" t="n">
        <v>18</v>
      </c>
      <c r="B493" s="9" t="s">
        <v>183</v>
      </c>
      <c r="C493" s="9" t="s">
        <v>184</v>
      </c>
      <c r="D493" s="9" t="s">
        <v>175</v>
      </c>
      <c r="E493" s="9" t="s">
        <v>7</v>
      </c>
      <c r="F493" s="4" t="s">
        <v>747</v>
      </c>
    </row>
    <row r="494" customFormat="false" ht="46.25" hidden="false" customHeight="false" outlineLevel="0" collapsed="false">
      <c r="A494" s="9" t="n">
        <v>18</v>
      </c>
      <c r="B494" s="9" t="s">
        <v>183</v>
      </c>
      <c r="C494" s="9" t="s">
        <v>184</v>
      </c>
      <c r="D494" s="9" t="s">
        <v>175</v>
      </c>
      <c r="E494" s="9" t="s">
        <v>7</v>
      </c>
      <c r="F494" s="4" t="s">
        <v>748</v>
      </c>
    </row>
    <row r="495" customFormat="false" ht="23.85" hidden="false" customHeight="false" outlineLevel="0" collapsed="false">
      <c r="A495" s="9" t="n">
        <v>18</v>
      </c>
      <c r="B495" s="9" t="s">
        <v>183</v>
      </c>
      <c r="C495" s="9" t="s">
        <v>184</v>
      </c>
      <c r="D495" s="9" t="s">
        <v>175</v>
      </c>
      <c r="E495" s="9" t="s">
        <v>7</v>
      </c>
      <c r="F495" s="4" t="s">
        <v>749</v>
      </c>
    </row>
    <row r="496" customFormat="false" ht="23.85" hidden="false" customHeight="false" outlineLevel="0" collapsed="false">
      <c r="A496" s="9" t="n">
        <v>18</v>
      </c>
      <c r="B496" s="9" t="s">
        <v>183</v>
      </c>
      <c r="C496" s="9" t="s">
        <v>184</v>
      </c>
      <c r="D496" s="9" t="s">
        <v>175</v>
      </c>
      <c r="E496" s="9" t="s">
        <v>8</v>
      </c>
      <c r="F496" s="4" t="s">
        <v>750</v>
      </c>
    </row>
    <row r="497" customFormat="false" ht="23.85" hidden="false" customHeight="false" outlineLevel="0" collapsed="false">
      <c r="A497" s="9" t="n">
        <v>18</v>
      </c>
      <c r="B497" s="9" t="s">
        <v>183</v>
      </c>
      <c r="C497" s="9" t="s">
        <v>184</v>
      </c>
      <c r="D497" s="9" t="s">
        <v>175</v>
      </c>
      <c r="E497" s="9" t="s">
        <v>8</v>
      </c>
      <c r="F497" s="4" t="s">
        <v>751</v>
      </c>
    </row>
    <row r="498" customFormat="false" ht="23.85" hidden="false" customHeight="false" outlineLevel="0" collapsed="false">
      <c r="A498" s="9" t="n">
        <v>18</v>
      </c>
      <c r="B498" s="9" t="s">
        <v>183</v>
      </c>
      <c r="C498" s="9" t="s">
        <v>184</v>
      </c>
      <c r="D498" s="9" t="s">
        <v>175</v>
      </c>
      <c r="E498" s="9" t="s">
        <v>8</v>
      </c>
      <c r="F498" s="4" t="s">
        <v>752</v>
      </c>
    </row>
    <row r="499" customFormat="false" ht="35.05" hidden="false" customHeight="false" outlineLevel="0" collapsed="false">
      <c r="A499" s="9" t="n">
        <v>18</v>
      </c>
      <c r="B499" s="9" t="s">
        <v>183</v>
      </c>
      <c r="C499" s="9" t="s">
        <v>184</v>
      </c>
      <c r="D499" s="9" t="s">
        <v>175</v>
      </c>
      <c r="E499" s="9" t="s">
        <v>8</v>
      </c>
      <c r="F499" s="4" t="s">
        <v>753</v>
      </c>
    </row>
    <row r="500" customFormat="false" ht="35.05" hidden="false" customHeight="false" outlineLevel="0" collapsed="false">
      <c r="A500" s="9" t="n">
        <v>18</v>
      </c>
      <c r="B500" s="9" t="s">
        <v>183</v>
      </c>
      <c r="C500" s="9" t="s">
        <v>184</v>
      </c>
      <c r="D500" s="9" t="s">
        <v>175</v>
      </c>
      <c r="E500" s="9" t="s">
        <v>8</v>
      </c>
      <c r="F500" s="4" t="s">
        <v>754</v>
      </c>
    </row>
    <row r="501" customFormat="false" ht="35.05" hidden="false" customHeight="false" outlineLevel="0" collapsed="false">
      <c r="A501" s="9" t="n">
        <v>18</v>
      </c>
      <c r="B501" s="9" t="s">
        <v>183</v>
      </c>
      <c r="C501" s="9" t="s">
        <v>184</v>
      </c>
      <c r="D501" s="9" t="s">
        <v>175</v>
      </c>
      <c r="E501" s="9" t="s">
        <v>8</v>
      </c>
      <c r="F501" s="4" t="s">
        <v>755</v>
      </c>
    </row>
    <row r="502" customFormat="false" ht="35.05" hidden="false" customHeight="false" outlineLevel="0" collapsed="false">
      <c r="A502" s="9" t="n">
        <v>18</v>
      </c>
      <c r="B502" s="9" t="s">
        <v>183</v>
      </c>
      <c r="C502" s="9" t="s">
        <v>184</v>
      </c>
      <c r="D502" s="9" t="s">
        <v>175</v>
      </c>
      <c r="E502" s="9" t="s">
        <v>8</v>
      </c>
      <c r="F502" s="4" t="s">
        <v>756</v>
      </c>
    </row>
    <row r="503" customFormat="false" ht="35.05" hidden="false" customHeight="false" outlineLevel="0" collapsed="false">
      <c r="A503" s="9" t="n">
        <v>18</v>
      </c>
      <c r="B503" s="9" t="s">
        <v>183</v>
      </c>
      <c r="C503" s="9" t="s">
        <v>184</v>
      </c>
      <c r="D503" s="9" t="s">
        <v>175</v>
      </c>
      <c r="E503" s="9" t="s">
        <v>8</v>
      </c>
      <c r="F503" s="4" t="s">
        <v>757</v>
      </c>
    </row>
    <row r="504" customFormat="false" ht="23.85" hidden="false" customHeight="false" outlineLevel="0" collapsed="false">
      <c r="A504" s="9" t="n">
        <v>18</v>
      </c>
      <c r="B504" s="9" t="s">
        <v>183</v>
      </c>
      <c r="C504" s="9" t="s">
        <v>184</v>
      </c>
      <c r="D504" s="9" t="s">
        <v>175</v>
      </c>
      <c r="E504" s="9" t="s">
        <v>8</v>
      </c>
      <c r="F504" s="4" t="s">
        <v>758</v>
      </c>
    </row>
    <row r="505" customFormat="false" ht="23.85" hidden="false" customHeight="false" outlineLevel="0" collapsed="false">
      <c r="A505" s="9" t="n">
        <v>18</v>
      </c>
      <c r="B505" s="9" t="s">
        <v>183</v>
      </c>
      <c r="C505" s="9" t="s">
        <v>184</v>
      </c>
      <c r="D505" s="9" t="s">
        <v>175</v>
      </c>
      <c r="E505" s="9" t="s">
        <v>10</v>
      </c>
      <c r="F505" s="4" t="s">
        <v>759</v>
      </c>
    </row>
    <row r="506" customFormat="false" ht="35.05" hidden="false" customHeight="false" outlineLevel="0" collapsed="false">
      <c r="A506" s="9" t="n">
        <v>18</v>
      </c>
      <c r="B506" s="9" t="s">
        <v>183</v>
      </c>
      <c r="C506" s="9" t="s">
        <v>184</v>
      </c>
      <c r="D506" s="9" t="s">
        <v>175</v>
      </c>
      <c r="E506" s="9" t="s">
        <v>10</v>
      </c>
      <c r="F506" s="4" t="s">
        <v>760</v>
      </c>
    </row>
    <row r="507" customFormat="false" ht="46.25" hidden="false" customHeight="false" outlineLevel="0" collapsed="false">
      <c r="A507" s="9" t="n">
        <v>18</v>
      </c>
      <c r="B507" s="9" t="s">
        <v>183</v>
      </c>
      <c r="C507" s="9" t="s">
        <v>184</v>
      </c>
      <c r="D507" s="9" t="s">
        <v>175</v>
      </c>
      <c r="E507" s="9" t="s">
        <v>10</v>
      </c>
      <c r="F507" s="4" t="s">
        <v>761</v>
      </c>
    </row>
    <row r="508" customFormat="false" ht="46.25" hidden="false" customHeight="false" outlineLevel="0" collapsed="false">
      <c r="A508" s="9" t="n">
        <v>18</v>
      </c>
      <c r="B508" s="9" t="s">
        <v>183</v>
      </c>
      <c r="C508" s="9" t="s">
        <v>184</v>
      </c>
      <c r="D508" s="9" t="s">
        <v>175</v>
      </c>
      <c r="E508" s="9" t="s">
        <v>11</v>
      </c>
      <c r="F508" s="4" t="s">
        <v>762</v>
      </c>
    </row>
    <row r="509" customFormat="false" ht="23.85" hidden="false" customHeight="false" outlineLevel="0" collapsed="false">
      <c r="A509" s="9" t="n">
        <v>18</v>
      </c>
      <c r="B509" s="9" t="s">
        <v>183</v>
      </c>
      <c r="C509" s="9" t="s">
        <v>184</v>
      </c>
      <c r="D509" s="9" t="s">
        <v>175</v>
      </c>
      <c r="E509" s="9" t="s">
        <v>11</v>
      </c>
      <c r="F509" s="4" t="s">
        <v>763</v>
      </c>
    </row>
    <row r="510" customFormat="false" ht="35.05" hidden="false" customHeight="false" outlineLevel="0" collapsed="false">
      <c r="A510" s="9" t="n">
        <v>18</v>
      </c>
      <c r="B510" s="9" t="s">
        <v>183</v>
      </c>
      <c r="C510" s="9" t="s">
        <v>184</v>
      </c>
      <c r="D510" s="9" t="s">
        <v>175</v>
      </c>
      <c r="E510" s="9" t="s">
        <v>11</v>
      </c>
      <c r="F510" s="4" t="s">
        <v>764</v>
      </c>
    </row>
    <row r="511" customFormat="false" ht="46.25" hidden="false" customHeight="false" outlineLevel="0" collapsed="false">
      <c r="A511" s="9" t="n">
        <v>18</v>
      </c>
      <c r="B511" s="9" t="s">
        <v>183</v>
      </c>
      <c r="C511" s="9" t="s">
        <v>184</v>
      </c>
      <c r="D511" s="9" t="s">
        <v>175</v>
      </c>
      <c r="E511" s="9" t="s">
        <v>12</v>
      </c>
      <c r="F511" s="4" t="s">
        <v>765</v>
      </c>
    </row>
    <row r="512" customFormat="false" ht="57.45" hidden="false" customHeight="false" outlineLevel="0" collapsed="false">
      <c r="A512" s="9" t="n">
        <v>18</v>
      </c>
      <c r="B512" s="9" t="s">
        <v>183</v>
      </c>
      <c r="C512" s="9" t="s">
        <v>184</v>
      </c>
      <c r="D512" s="9" t="s">
        <v>175</v>
      </c>
      <c r="E512" s="9" t="s">
        <v>13</v>
      </c>
      <c r="F512" s="4" t="s">
        <v>766</v>
      </c>
    </row>
    <row r="513" customFormat="false" ht="23.85" hidden="false" customHeight="false" outlineLevel="0" collapsed="false">
      <c r="A513" s="9" t="n">
        <v>18</v>
      </c>
      <c r="B513" s="9" t="s">
        <v>183</v>
      </c>
      <c r="C513" s="9" t="s">
        <v>184</v>
      </c>
      <c r="D513" s="9" t="s">
        <v>175</v>
      </c>
      <c r="E513" s="9" t="s">
        <v>13</v>
      </c>
      <c r="F513" s="4" t="s">
        <v>767</v>
      </c>
    </row>
    <row r="514" customFormat="false" ht="15" hidden="false" customHeight="false" outlineLevel="0" collapsed="false">
      <c r="A514" s="9" t="n">
        <v>19</v>
      </c>
      <c r="B514" s="9" t="s">
        <v>194</v>
      </c>
      <c r="C514" s="9" t="s">
        <v>195</v>
      </c>
      <c r="D514" s="9" t="s">
        <v>175</v>
      </c>
      <c r="E514" s="9" t="s">
        <v>4</v>
      </c>
      <c r="F514" s="4" t="s">
        <v>768</v>
      </c>
    </row>
    <row r="515" customFormat="false" ht="23.85" hidden="false" customHeight="false" outlineLevel="0" collapsed="false">
      <c r="A515" s="9" t="n">
        <v>19</v>
      </c>
      <c r="B515" s="9" t="s">
        <v>194</v>
      </c>
      <c r="C515" s="9" t="s">
        <v>195</v>
      </c>
      <c r="D515" s="9" t="s">
        <v>175</v>
      </c>
      <c r="E515" s="9" t="s">
        <v>4</v>
      </c>
      <c r="F515" s="4" t="s">
        <v>769</v>
      </c>
    </row>
    <row r="516" customFormat="false" ht="15" hidden="false" customHeight="false" outlineLevel="0" collapsed="false">
      <c r="A516" s="9" t="n">
        <v>19</v>
      </c>
      <c r="B516" s="9" t="s">
        <v>194</v>
      </c>
      <c r="C516" s="9" t="s">
        <v>195</v>
      </c>
      <c r="D516" s="9" t="s">
        <v>175</v>
      </c>
      <c r="E516" s="9" t="s">
        <v>5</v>
      </c>
      <c r="F516" s="4" t="s">
        <v>770</v>
      </c>
    </row>
    <row r="517" customFormat="false" ht="23.85" hidden="false" customHeight="false" outlineLevel="0" collapsed="false">
      <c r="A517" s="9" t="n">
        <v>19</v>
      </c>
      <c r="B517" s="9" t="s">
        <v>194</v>
      </c>
      <c r="C517" s="9" t="s">
        <v>195</v>
      </c>
      <c r="D517" s="9" t="s">
        <v>175</v>
      </c>
      <c r="E517" s="9" t="s">
        <v>6</v>
      </c>
      <c r="F517" s="4" t="s">
        <v>771</v>
      </c>
    </row>
    <row r="518" customFormat="false" ht="23.85" hidden="false" customHeight="false" outlineLevel="0" collapsed="false">
      <c r="A518" s="9" t="n">
        <v>19</v>
      </c>
      <c r="B518" s="9" t="s">
        <v>194</v>
      </c>
      <c r="C518" s="9" t="s">
        <v>195</v>
      </c>
      <c r="D518" s="9" t="s">
        <v>175</v>
      </c>
      <c r="E518" s="9" t="s">
        <v>6</v>
      </c>
      <c r="F518" s="4" t="s">
        <v>772</v>
      </c>
    </row>
    <row r="519" customFormat="false" ht="35.05" hidden="false" customHeight="false" outlineLevel="0" collapsed="false">
      <c r="A519" s="9" t="n">
        <v>19</v>
      </c>
      <c r="B519" s="9" t="s">
        <v>194</v>
      </c>
      <c r="C519" s="9" t="s">
        <v>195</v>
      </c>
      <c r="D519" s="9" t="s">
        <v>175</v>
      </c>
      <c r="E519" s="9" t="s">
        <v>6</v>
      </c>
      <c r="F519" s="4" t="s">
        <v>773</v>
      </c>
    </row>
    <row r="520" customFormat="false" ht="15" hidden="false" customHeight="false" outlineLevel="0" collapsed="false">
      <c r="A520" s="9" t="n">
        <v>19</v>
      </c>
      <c r="B520" s="9" t="s">
        <v>194</v>
      </c>
      <c r="C520" s="9" t="s">
        <v>195</v>
      </c>
      <c r="D520" s="9" t="s">
        <v>175</v>
      </c>
      <c r="E520" s="9" t="s">
        <v>6</v>
      </c>
      <c r="F520" s="4" t="s">
        <v>774</v>
      </c>
    </row>
    <row r="521" customFormat="false" ht="35.05" hidden="false" customHeight="false" outlineLevel="0" collapsed="false">
      <c r="A521" s="9" t="n">
        <v>19</v>
      </c>
      <c r="B521" s="9" t="s">
        <v>194</v>
      </c>
      <c r="C521" s="9" t="s">
        <v>195</v>
      </c>
      <c r="D521" s="9" t="s">
        <v>175</v>
      </c>
      <c r="E521" s="9" t="s">
        <v>6</v>
      </c>
      <c r="F521" s="4" t="s">
        <v>775</v>
      </c>
    </row>
    <row r="522" customFormat="false" ht="23.85" hidden="false" customHeight="false" outlineLevel="0" collapsed="false">
      <c r="A522" s="9" t="n">
        <v>19</v>
      </c>
      <c r="B522" s="9" t="s">
        <v>194</v>
      </c>
      <c r="C522" s="9" t="s">
        <v>195</v>
      </c>
      <c r="D522" s="9" t="s">
        <v>175</v>
      </c>
      <c r="E522" s="9" t="s">
        <v>6</v>
      </c>
      <c r="F522" s="4" t="s">
        <v>776</v>
      </c>
    </row>
    <row r="523" customFormat="false" ht="15" hidden="false" customHeight="false" outlineLevel="0" collapsed="false">
      <c r="A523" s="9" t="n">
        <v>19</v>
      </c>
      <c r="B523" s="9" t="s">
        <v>194</v>
      </c>
      <c r="C523" s="9" t="s">
        <v>195</v>
      </c>
      <c r="D523" s="9" t="s">
        <v>175</v>
      </c>
      <c r="E523" s="9" t="s">
        <v>6</v>
      </c>
      <c r="F523" s="4" t="s">
        <v>777</v>
      </c>
    </row>
    <row r="524" customFormat="false" ht="15" hidden="false" customHeight="false" outlineLevel="0" collapsed="false">
      <c r="A524" s="9" t="n">
        <v>19</v>
      </c>
      <c r="B524" s="9" t="s">
        <v>194</v>
      </c>
      <c r="C524" s="9" t="s">
        <v>195</v>
      </c>
      <c r="D524" s="9" t="s">
        <v>175</v>
      </c>
      <c r="E524" s="9" t="s">
        <v>6</v>
      </c>
      <c r="F524" s="4" t="s">
        <v>778</v>
      </c>
    </row>
    <row r="525" customFormat="false" ht="23.85" hidden="false" customHeight="false" outlineLevel="0" collapsed="false">
      <c r="A525" s="9" t="n">
        <v>19</v>
      </c>
      <c r="B525" s="9" t="s">
        <v>194</v>
      </c>
      <c r="C525" s="9" t="s">
        <v>195</v>
      </c>
      <c r="D525" s="9" t="s">
        <v>175</v>
      </c>
      <c r="E525" s="9" t="s">
        <v>7</v>
      </c>
      <c r="F525" s="4" t="s">
        <v>779</v>
      </c>
    </row>
    <row r="526" customFormat="false" ht="35.05" hidden="false" customHeight="false" outlineLevel="0" collapsed="false">
      <c r="A526" s="9" t="n">
        <v>19</v>
      </c>
      <c r="B526" s="9" t="s">
        <v>194</v>
      </c>
      <c r="C526" s="9" t="s">
        <v>195</v>
      </c>
      <c r="D526" s="9" t="s">
        <v>175</v>
      </c>
      <c r="E526" s="9" t="s">
        <v>7</v>
      </c>
      <c r="F526" s="4" t="s">
        <v>780</v>
      </c>
    </row>
    <row r="527" customFormat="false" ht="35.05" hidden="false" customHeight="false" outlineLevel="0" collapsed="false">
      <c r="A527" s="9" t="n">
        <v>19</v>
      </c>
      <c r="B527" s="9" t="s">
        <v>194</v>
      </c>
      <c r="C527" s="9" t="s">
        <v>195</v>
      </c>
      <c r="D527" s="9" t="s">
        <v>175</v>
      </c>
      <c r="E527" s="9" t="s">
        <v>7</v>
      </c>
      <c r="F527" s="4" t="s">
        <v>781</v>
      </c>
    </row>
    <row r="528" customFormat="false" ht="35.05" hidden="false" customHeight="false" outlineLevel="0" collapsed="false">
      <c r="A528" s="9" t="n">
        <v>19</v>
      </c>
      <c r="B528" s="9" t="s">
        <v>194</v>
      </c>
      <c r="C528" s="9" t="s">
        <v>195</v>
      </c>
      <c r="D528" s="9" t="s">
        <v>175</v>
      </c>
      <c r="E528" s="9" t="s">
        <v>7</v>
      </c>
      <c r="F528" s="4" t="s">
        <v>782</v>
      </c>
    </row>
    <row r="529" customFormat="false" ht="35.05" hidden="false" customHeight="false" outlineLevel="0" collapsed="false">
      <c r="A529" s="9" t="n">
        <v>19</v>
      </c>
      <c r="B529" s="9" t="s">
        <v>194</v>
      </c>
      <c r="C529" s="9" t="s">
        <v>195</v>
      </c>
      <c r="D529" s="9" t="s">
        <v>175</v>
      </c>
      <c r="E529" s="9" t="s">
        <v>8</v>
      </c>
      <c r="F529" s="4" t="s">
        <v>783</v>
      </c>
    </row>
    <row r="530" customFormat="false" ht="23.85" hidden="false" customHeight="false" outlineLevel="0" collapsed="false">
      <c r="A530" s="9" t="n">
        <v>19</v>
      </c>
      <c r="B530" s="9" t="s">
        <v>194</v>
      </c>
      <c r="C530" s="9" t="s">
        <v>195</v>
      </c>
      <c r="D530" s="9" t="s">
        <v>175</v>
      </c>
      <c r="E530" s="9" t="s">
        <v>8</v>
      </c>
      <c r="F530" s="4" t="s">
        <v>784</v>
      </c>
    </row>
    <row r="531" customFormat="false" ht="15" hidden="false" customHeight="false" outlineLevel="0" collapsed="false">
      <c r="A531" s="9" t="n">
        <v>19</v>
      </c>
      <c r="B531" s="9" t="s">
        <v>194</v>
      </c>
      <c r="C531" s="9" t="s">
        <v>195</v>
      </c>
      <c r="D531" s="9" t="s">
        <v>175</v>
      </c>
      <c r="E531" s="9" t="s">
        <v>8</v>
      </c>
      <c r="F531" s="4" t="s">
        <v>785</v>
      </c>
    </row>
    <row r="532" customFormat="false" ht="15" hidden="false" customHeight="false" outlineLevel="0" collapsed="false">
      <c r="A532" s="9" t="n">
        <v>19</v>
      </c>
      <c r="B532" s="9" t="s">
        <v>194</v>
      </c>
      <c r="C532" s="9" t="s">
        <v>195</v>
      </c>
      <c r="D532" s="9" t="s">
        <v>175</v>
      </c>
      <c r="E532" s="9" t="s">
        <v>9</v>
      </c>
      <c r="F532" s="4" t="s">
        <v>786</v>
      </c>
    </row>
    <row r="533" customFormat="false" ht="46.25" hidden="false" customHeight="false" outlineLevel="0" collapsed="false">
      <c r="A533" s="9" t="n">
        <v>19</v>
      </c>
      <c r="B533" s="9" t="s">
        <v>194</v>
      </c>
      <c r="C533" s="9" t="s">
        <v>195</v>
      </c>
      <c r="D533" s="9" t="s">
        <v>175</v>
      </c>
      <c r="E533" s="9" t="s">
        <v>10</v>
      </c>
      <c r="F533" s="4" t="s">
        <v>787</v>
      </c>
    </row>
    <row r="534" customFormat="false" ht="23.85" hidden="false" customHeight="false" outlineLevel="0" collapsed="false">
      <c r="A534" s="9" t="n">
        <v>19</v>
      </c>
      <c r="B534" s="9" t="s">
        <v>194</v>
      </c>
      <c r="C534" s="9" t="s">
        <v>195</v>
      </c>
      <c r="D534" s="9" t="s">
        <v>175</v>
      </c>
      <c r="E534" s="9" t="s">
        <v>10</v>
      </c>
      <c r="F534" s="4" t="s">
        <v>788</v>
      </c>
    </row>
    <row r="535" customFormat="false" ht="15" hidden="false" customHeight="false" outlineLevel="0" collapsed="false">
      <c r="A535" s="9" t="n">
        <v>19</v>
      </c>
      <c r="B535" s="9" t="s">
        <v>194</v>
      </c>
      <c r="C535" s="9" t="s">
        <v>195</v>
      </c>
      <c r="D535" s="9" t="s">
        <v>175</v>
      </c>
      <c r="E535" s="9" t="s">
        <v>10</v>
      </c>
      <c r="F535" s="4" t="s">
        <v>789</v>
      </c>
    </row>
    <row r="536" customFormat="false" ht="23.85" hidden="false" customHeight="false" outlineLevel="0" collapsed="false">
      <c r="A536" s="9" t="n">
        <v>19</v>
      </c>
      <c r="B536" s="9" t="s">
        <v>194</v>
      </c>
      <c r="C536" s="9" t="s">
        <v>195</v>
      </c>
      <c r="D536" s="9" t="s">
        <v>175</v>
      </c>
      <c r="E536" s="9" t="s">
        <v>10</v>
      </c>
      <c r="F536" s="4" t="s">
        <v>790</v>
      </c>
    </row>
    <row r="537" customFormat="false" ht="35.05" hidden="false" customHeight="false" outlineLevel="0" collapsed="false">
      <c r="A537" s="9" t="n">
        <v>19</v>
      </c>
      <c r="B537" s="9" t="s">
        <v>194</v>
      </c>
      <c r="C537" s="9" t="s">
        <v>195</v>
      </c>
      <c r="D537" s="9" t="s">
        <v>175</v>
      </c>
      <c r="E537" s="9" t="s">
        <v>12</v>
      </c>
      <c r="F537" s="4" t="s">
        <v>791</v>
      </c>
    </row>
    <row r="538" customFormat="false" ht="23.85" hidden="false" customHeight="false" outlineLevel="0" collapsed="false">
      <c r="A538" s="9" t="n">
        <v>19</v>
      </c>
      <c r="B538" s="9" t="s">
        <v>194</v>
      </c>
      <c r="C538" s="9" t="s">
        <v>195</v>
      </c>
      <c r="D538" s="9" t="s">
        <v>175</v>
      </c>
      <c r="E538" s="9" t="s">
        <v>12</v>
      </c>
      <c r="F538" s="4" t="s">
        <v>792</v>
      </c>
    </row>
    <row r="539" customFormat="false" ht="23.85" hidden="false" customHeight="false" outlineLevel="0" collapsed="false">
      <c r="A539" s="9" t="n">
        <v>19</v>
      </c>
      <c r="B539" s="9" t="s">
        <v>194</v>
      </c>
      <c r="C539" s="9" t="s">
        <v>195</v>
      </c>
      <c r="D539" s="9" t="s">
        <v>175</v>
      </c>
      <c r="E539" s="9" t="s">
        <v>13</v>
      </c>
      <c r="F539" s="4" t="s">
        <v>793</v>
      </c>
    </row>
    <row r="540" customFormat="false" ht="23.85" hidden="false" customHeight="false" outlineLevel="0" collapsed="false">
      <c r="A540" s="9" t="n">
        <v>19</v>
      </c>
      <c r="B540" s="9" t="s">
        <v>194</v>
      </c>
      <c r="C540" s="9" t="s">
        <v>195</v>
      </c>
      <c r="D540" s="9" t="s">
        <v>175</v>
      </c>
      <c r="E540" s="9" t="s">
        <v>13</v>
      </c>
      <c r="F540" s="4" t="s">
        <v>794</v>
      </c>
    </row>
    <row r="541" customFormat="false" ht="35.05" hidden="false" customHeight="false" outlineLevel="0" collapsed="false">
      <c r="A541" s="9" t="n">
        <v>19</v>
      </c>
      <c r="B541" s="9" t="s">
        <v>194</v>
      </c>
      <c r="C541" s="9" t="s">
        <v>195</v>
      </c>
      <c r="D541" s="9" t="s">
        <v>175</v>
      </c>
      <c r="E541" s="9" t="s">
        <v>13</v>
      </c>
      <c r="F541" s="4" t="s">
        <v>795</v>
      </c>
    </row>
    <row r="542" customFormat="false" ht="23.85" hidden="false" customHeight="false" outlineLevel="0" collapsed="false">
      <c r="A542" s="9" t="n">
        <v>19</v>
      </c>
      <c r="B542" s="9" t="s">
        <v>194</v>
      </c>
      <c r="C542" s="9" t="s">
        <v>195</v>
      </c>
      <c r="D542" s="9" t="s">
        <v>175</v>
      </c>
      <c r="E542" s="9" t="s">
        <v>13</v>
      </c>
      <c r="F542" s="4" t="s">
        <v>796</v>
      </c>
    </row>
    <row r="543" customFormat="false" ht="35.05" hidden="false" customHeight="false" outlineLevel="0" collapsed="false">
      <c r="A543" s="9" t="n">
        <v>19</v>
      </c>
      <c r="B543" s="9" t="s">
        <v>194</v>
      </c>
      <c r="C543" s="9" t="s">
        <v>195</v>
      </c>
      <c r="D543" s="9" t="s">
        <v>175</v>
      </c>
      <c r="E543" s="9" t="s">
        <v>13</v>
      </c>
      <c r="F543" s="4" t="s">
        <v>797</v>
      </c>
    </row>
    <row r="544" customFormat="false" ht="35.05" hidden="false" customHeight="false" outlineLevel="0" collapsed="false">
      <c r="A544" s="9" t="n">
        <v>20</v>
      </c>
      <c r="B544" s="9" t="s">
        <v>205</v>
      </c>
      <c r="C544" s="9" t="s">
        <v>206</v>
      </c>
      <c r="D544" s="9" t="s">
        <v>175</v>
      </c>
      <c r="E544" s="9" t="s">
        <v>5</v>
      </c>
      <c r="F544" s="4" t="s">
        <v>798</v>
      </c>
    </row>
    <row r="545" customFormat="false" ht="35.05" hidden="false" customHeight="false" outlineLevel="0" collapsed="false">
      <c r="A545" s="9" t="n">
        <v>20</v>
      </c>
      <c r="B545" s="9" t="s">
        <v>205</v>
      </c>
      <c r="C545" s="9" t="s">
        <v>206</v>
      </c>
      <c r="D545" s="9" t="s">
        <v>175</v>
      </c>
      <c r="E545" s="9" t="s">
        <v>5</v>
      </c>
      <c r="F545" s="4" t="s">
        <v>799</v>
      </c>
    </row>
    <row r="546" customFormat="false" ht="15" hidden="false" customHeight="false" outlineLevel="0" collapsed="false">
      <c r="A546" s="9" t="n">
        <v>20</v>
      </c>
      <c r="B546" s="9" t="s">
        <v>205</v>
      </c>
      <c r="C546" s="9" t="s">
        <v>206</v>
      </c>
      <c r="D546" s="9" t="s">
        <v>175</v>
      </c>
      <c r="E546" s="9" t="s">
        <v>6</v>
      </c>
      <c r="F546" s="4" t="s">
        <v>800</v>
      </c>
    </row>
    <row r="547" customFormat="false" ht="23.85" hidden="false" customHeight="false" outlineLevel="0" collapsed="false">
      <c r="A547" s="9" t="n">
        <v>20</v>
      </c>
      <c r="B547" s="9" t="s">
        <v>205</v>
      </c>
      <c r="C547" s="9" t="s">
        <v>206</v>
      </c>
      <c r="D547" s="9" t="s">
        <v>175</v>
      </c>
      <c r="E547" s="9" t="s">
        <v>6</v>
      </c>
      <c r="F547" s="4" t="s">
        <v>801</v>
      </c>
    </row>
    <row r="548" customFormat="false" ht="35.05" hidden="false" customHeight="false" outlineLevel="0" collapsed="false">
      <c r="A548" s="9" t="n">
        <v>20</v>
      </c>
      <c r="B548" s="9" t="s">
        <v>205</v>
      </c>
      <c r="C548" s="9" t="s">
        <v>206</v>
      </c>
      <c r="D548" s="9" t="s">
        <v>175</v>
      </c>
      <c r="E548" s="9" t="s">
        <v>6</v>
      </c>
      <c r="F548" s="4" t="s">
        <v>802</v>
      </c>
    </row>
    <row r="549" customFormat="false" ht="23.85" hidden="false" customHeight="false" outlineLevel="0" collapsed="false">
      <c r="A549" s="9" t="n">
        <v>20</v>
      </c>
      <c r="B549" s="9" t="s">
        <v>205</v>
      </c>
      <c r="C549" s="9" t="s">
        <v>206</v>
      </c>
      <c r="D549" s="9" t="s">
        <v>175</v>
      </c>
      <c r="E549" s="9" t="s">
        <v>6</v>
      </c>
      <c r="F549" s="4" t="s">
        <v>803</v>
      </c>
    </row>
    <row r="550" customFormat="false" ht="15" hidden="false" customHeight="false" outlineLevel="0" collapsed="false">
      <c r="A550" s="9" t="n">
        <v>20</v>
      </c>
      <c r="B550" s="9" t="s">
        <v>205</v>
      </c>
      <c r="C550" s="9" t="s">
        <v>206</v>
      </c>
      <c r="D550" s="9" t="s">
        <v>175</v>
      </c>
      <c r="E550" s="9" t="s">
        <v>6</v>
      </c>
      <c r="F550" s="4" t="s">
        <v>804</v>
      </c>
    </row>
    <row r="551" customFormat="false" ht="35.05" hidden="false" customHeight="false" outlineLevel="0" collapsed="false">
      <c r="A551" s="9" t="n">
        <v>20</v>
      </c>
      <c r="B551" s="9" t="s">
        <v>205</v>
      </c>
      <c r="C551" s="9" t="s">
        <v>206</v>
      </c>
      <c r="D551" s="9" t="s">
        <v>175</v>
      </c>
      <c r="E551" s="9" t="s">
        <v>6</v>
      </c>
      <c r="F551" s="4" t="s">
        <v>805</v>
      </c>
    </row>
    <row r="552" customFormat="false" ht="23.85" hidden="false" customHeight="false" outlineLevel="0" collapsed="false">
      <c r="A552" s="9" t="n">
        <v>20</v>
      </c>
      <c r="B552" s="9" t="s">
        <v>205</v>
      </c>
      <c r="C552" s="9" t="s">
        <v>206</v>
      </c>
      <c r="D552" s="9" t="s">
        <v>175</v>
      </c>
      <c r="E552" s="9" t="s">
        <v>7</v>
      </c>
      <c r="F552" s="4" t="s">
        <v>806</v>
      </c>
    </row>
    <row r="553" customFormat="false" ht="23.85" hidden="false" customHeight="false" outlineLevel="0" collapsed="false">
      <c r="A553" s="9" t="n">
        <v>20</v>
      </c>
      <c r="B553" s="9" t="s">
        <v>205</v>
      </c>
      <c r="C553" s="9" t="s">
        <v>206</v>
      </c>
      <c r="D553" s="9" t="s">
        <v>175</v>
      </c>
      <c r="E553" s="9" t="s">
        <v>7</v>
      </c>
      <c r="F553" s="4" t="s">
        <v>807</v>
      </c>
    </row>
    <row r="554" customFormat="false" ht="15" hidden="false" customHeight="false" outlineLevel="0" collapsed="false">
      <c r="A554" s="9" t="n">
        <v>20</v>
      </c>
      <c r="B554" s="9" t="s">
        <v>205</v>
      </c>
      <c r="C554" s="9" t="s">
        <v>206</v>
      </c>
      <c r="D554" s="9" t="s">
        <v>175</v>
      </c>
      <c r="E554" s="9" t="s">
        <v>8</v>
      </c>
      <c r="F554" s="4" t="s">
        <v>808</v>
      </c>
    </row>
    <row r="555" customFormat="false" ht="23.85" hidden="false" customHeight="false" outlineLevel="0" collapsed="false">
      <c r="A555" s="9" t="n">
        <v>20</v>
      </c>
      <c r="B555" s="9" t="s">
        <v>205</v>
      </c>
      <c r="C555" s="9" t="s">
        <v>206</v>
      </c>
      <c r="D555" s="9" t="s">
        <v>175</v>
      </c>
      <c r="E555" s="9" t="s">
        <v>8</v>
      </c>
      <c r="F555" s="4" t="s">
        <v>809</v>
      </c>
    </row>
    <row r="556" customFormat="false" ht="23.85" hidden="false" customHeight="false" outlineLevel="0" collapsed="false">
      <c r="A556" s="9" t="n">
        <v>20</v>
      </c>
      <c r="B556" s="9" t="s">
        <v>205</v>
      </c>
      <c r="C556" s="9" t="s">
        <v>206</v>
      </c>
      <c r="D556" s="9" t="s">
        <v>175</v>
      </c>
      <c r="E556" s="9" t="s">
        <v>8</v>
      </c>
      <c r="F556" s="4" t="s">
        <v>810</v>
      </c>
    </row>
    <row r="557" customFormat="false" ht="15" hidden="false" customHeight="false" outlineLevel="0" collapsed="false">
      <c r="A557" s="9" t="n">
        <v>20</v>
      </c>
      <c r="B557" s="9" t="s">
        <v>205</v>
      </c>
      <c r="C557" s="9" t="s">
        <v>206</v>
      </c>
      <c r="D557" s="9" t="s">
        <v>175</v>
      </c>
      <c r="E557" s="9" t="s">
        <v>8</v>
      </c>
      <c r="F557" s="4" t="s">
        <v>811</v>
      </c>
    </row>
    <row r="558" customFormat="false" ht="35.05" hidden="false" customHeight="false" outlineLevel="0" collapsed="false">
      <c r="A558" s="9" t="n">
        <v>20</v>
      </c>
      <c r="B558" s="9" t="s">
        <v>205</v>
      </c>
      <c r="C558" s="9" t="s">
        <v>206</v>
      </c>
      <c r="D558" s="9" t="s">
        <v>175</v>
      </c>
      <c r="E558" s="9" t="s">
        <v>8</v>
      </c>
      <c r="F558" s="4" t="s">
        <v>812</v>
      </c>
    </row>
    <row r="559" customFormat="false" ht="35.05" hidden="false" customHeight="false" outlineLevel="0" collapsed="false">
      <c r="A559" s="9" t="n">
        <v>20</v>
      </c>
      <c r="B559" s="9" t="s">
        <v>205</v>
      </c>
      <c r="C559" s="9" t="s">
        <v>206</v>
      </c>
      <c r="D559" s="9" t="s">
        <v>175</v>
      </c>
      <c r="E559" s="9" t="s">
        <v>8</v>
      </c>
      <c r="F559" s="4" t="s">
        <v>813</v>
      </c>
    </row>
    <row r="560" customFormat="false" ht="35.05" hidden="false" customHeight="false" outlineLevel="0" collapsed="false">
      <c r="A560" s="9" t="n">
        <v>20</v>
      </c>
      <c r="B560" s="9" t="s">
        <v>205</v>
      </c>
      <c r="C560" s="9" t="s">
        <v>206</v>
      </c>
      <c r="D560" s="9" t="s">
        <v>175</v>
      </c>
      <c r="E560" s="9" t="s">
        <v>8</v>
      </c>
      <c r="F560" s="4" t="s">
        <v>814</v>
      </c>
    </row>
    <row r="561" customFormat="false" ht="23.85" hidden="false" customHeight="false" outlineLevel="0" collapsed="false">
      <c r="A561" s="9" t="n">
        <v>20</v>
      </c>
      <c r="B561" s="9" t="s">
        <v>205</v>
      </c>
      <c r="C561" s="9" t="s">
        <v>206</v>
      </c>
      <c r="D561" s="9" t="s">
        <v>175</v>
      </c>
      <c r="E561" s="9" t="s">
        <v>9</v>
      </c>
      <c r="F561" s="4" t="s">
        <v>815</v>
      </c>
    </row>
    <row r="562" customFormat="false" ht="23.85" hidden="false" customHeight="false" outlineLevel="0" collapsed="false">
      <c r="A562" s="9" t="n">
        <v>20</v>
      </c>
      <c r="B562" s="9" t="s">
        <v>205</v>
      </c>
      <c r="C562" s="9" t="s">
        <v>206</v>
      </c>
      <c r="D562" s="9" t="s">
        <v>175</v>
      </c>
      <c r="E562" s="9" t="s">
        <v>9</v>
      </c>
      <c r="F562" s="4" t="s">
        <v>816</v>
      </c>
    </row>
    <row r="563" customFormat="false" ht="23.85" hidden="false" customHeight="false" outlineLevel="0" collapsed="false">
      <c r="A563" s="9" t="n">
        <v>20</v>
      </c>
      <c r="B563" s="9" t="s">
        <v>205</v>
      </c>
      <c r="C563" s="9" t="s">
        <v>206</v>
      </c>
      <c r="D563" s="9" t="s">
        <v>175</v>
      </c>
      <c r="E563" s="9" t="s">
        <v>10</v>
      </c>
      <c r="F563" s="4" t="s">
        <v>817</v>
      </c>
    </row>
    <row r="564" customFormat="false" ht="23.85" hidden="false" customHeight="false" outlineLevel="0" collapsed="false">
      <c r="A564" s="9" t="n">
        <v>20</v>
      </c>
      <c r="B564" s="9" t="s">
        <v>205</v>
      </c>
      <c r="C564" s="9" t="s">
        <v>206</v>
      </c>
      <c r="D564" s="9" t="s">
        <v>175</v>
      </c>
      <c r="E564" s="9" t="s">
        <v>10</v>
      </c>
      <c r="F564" s="4" t="s">
        <v>818</v>
      </c>
    </row>
    <row r="565" customFormat="false" ht="23.85" hidden="false" customHeight="false" outlineLevel="0" collapsed="false">
      <c r="A565" s="9" t="n">
        <v>20</v>
      </c>
      <c r="B565" s="9" t="s">
        <v>205</v>
      </c>
      <c r="C565" s="9" t="s">
        <v>206</v>
      </c>
      <c r="D565" s="9" t="s">
        <v>175</v>
      </c>
      <c r="E565" s="9" t="s">
        <v>10</v>
      </c>
      <c r="F565" s="4" t="s">
        <v>819</v>
      </c>
    </row>
    <row r="566" customFormat="false" ht="15" hidden="false" customHeight="false" outlineLevel="0" collapsed="false">
      <c r="A566" s="9" t="n">
        <v>20</v>
      </c>
      <c r="B566" s="9" t="s">
        <v>205</v>
      </c>
      <c r="C566" s="9" t="s">
        <v>206</v>
      </c>
      <c r="D566" s="9" t="s">
        <v>175</v>
      </c>
      <c r="E566" s="9" t="s">
        <v>10</v>
      </c>
      <c r="F566" s="4" t="s">
        <v>820</v>
      </c>
    </row>
    <row r="567" customFormat="false" ht="23.85" hidden="false" customHeight="false" outlineLevel="0" collapsed="false">
      <c r="A567" s="9" t="n">
        <v>20</v>
      </c>
      <c r="B567" s="9" t="s">
        <v>205</v>
      </c>
      <c r="C567" s="9" t="s">
        <v>206</v>
      </c>
      <c r="D567" s="9" t="s">
        <v>175</v>
      </c>
      <c r="E567" s="9" t="s">
        <v>10</v>
      </c>
      <c r="F567" s="4" t="s">
        <v>821</v>
      </c>
    </row>
    <row r="568" customFormat="false" ht="23.85" hidden="false" customHeight="false" outlineLevel="0" collapsed="false">
      <c r="A568" s="9" t="n">
        <v>20</v>
      </c>
      <c r="B568" s="9" t="s">
        <v>205</v>
      </c>
      <c r="C568" s="9" t="s">
        <v>206</v>
      </c>
      <c r="D568" s="9" t="s">
        <v>175</v>
      </c>
      <c r="E568" s="9" t="s">
        <v>10</v>
      </c>
      <c r="F568" s="4" t="s">
        <v>822</v>
      </c>
    </row>
    <row r="569" customFormat="false" ht="35.05" hidden="false" customHeight="false" outlineLevel="0" collapsed="false">
      <c r="A569" s="9" t="n">
        <v>20</v>
      </c>
      <c r="B569" s="9" t="s">
        <v>205</v>
      </c>
      <c r="C569" s="9" t="s">
        <v>206</v>
      </c>
      <c r="D569" s="9" t="s">
        <v>175</v>
      </c>
      <c r="E569" s="9" t="s">
        <v>11</v>
      </c>
      <c r="F569" s="4" t="s">
        <v>823</v>
      </c>
    </row>
    <row r="570" customFormat="false" ht="35.05" hidden="false" customHeight="false" outlineLevel="0" collapsed="false">
      <c r="A570" s="9" t="n">
        <v>20</v>
      </c>
      <c r="B570" s="9" t="s">
        <v>205</v>
      </c>
      <c r="C570" s="9" t="s">
        <v>206</v>
      </c>
      <c r="D570" s="9" t="s">
        <v>175</v>
      </c>
      <c r="E570" s="9" t="s">
        <v>11</v>
      </c>
      <c r="F570" s="4" t="s">
        <v>824</v>
      </c>
    </row>
    <row r="571" customFormat="false" ht="35.05" hidden="false" customHeight="false" outlineLevel="0" collapsed="false">
      <c r="A571" s="9" t="n">
        <v>20</v>
      </c>
      <c r="B571" s="9" t="s">
        <v>205</v>
      </c>
      <c r="C571" s="9" t="s">
        <v>206</v>
      </c>
      <c r="D571" s="9" t="s">
        <v>175</v>
      </c>
      <c r="E571" s="9" t="s">
        <v>11</v>
      </c>
      <c r="F571" s="4" t="s">
        <v>825</v>
      </c>
    </row>
    <row r="572" customFormat="false" ht="46.25" hidden="false" customHeight="false" outlineLevel="0" collapsed="false">
      <c r="A572" s="9" t="n">
        <v>20</v>
      </c>
      <c r="B572" s="9" t="s">
        <v>205</v>
      </c>
      <c r="C572" s="9" t="s">
        <v>206</v>
      </c>
      <c r="D572" s="9" t="s">
        <v>175</v>
      </c>
      <c r="E572" s="9" t="s">
        <v>12</v>
      </c>
      <c r="F572" s="4" t="s">
        <v>826</v>
      </c>
    </row>
    <row r="573" customFormat="false" ht="35.05" hidden="false" customHeight="false" outlineLevel="0" collapsed="false">
      <c r="A573" s="9" t="n">
        <v>20</v>
      </c>
      <c r="B573" s="9" t="s">
        <v>205</v>
      </c>
      <c r="C573" s="9" t="s">
        <v>206</v>
      </c>
      <c r="D573" s="9" t="s">
        <v>175</v>
      </c>
      <c r="E573" s="9" t="s">
        <v>13</v>
      </c>
      <c r="F573" s="4" t="s">
        <v>827</v>
      </c>
    </row>
    <row r="574" customFormat="false" ht="15" hidden="false" customHeight="false" outlineLevel="0" collapsed="false">
      <c r="A574" s="9" t="n">
        <v>21</v>
      </c>
      <c r="B574" s="9" t="s">
        <v>216</v>
      </c>
      <c r="C574" s="9" t="s">
        <v>217</v>
      </c>
      <c r="D574" s="9" t="s">
        <v>175</v>
      </c>
      <c r="E574" s="9" t="s">
        <v>4</v>
      </c>
      <c r="F574" s="4" t="s">
        <v>828</v>
      </c>
    </row>
    <row r="575" customFormat="false" ht="23.85" hidden="false" customHeight="false" outlineLevel="0" collapsed="false">
      <c r="A575" s="9" t="n">
        <v>21</v>
      </c>
      <c r="B575" s="9" t="s">
        <v>216</v>
      </c>
      <c r="C575" s="9" t="s">
        <v>217</v>
      </c>
      <c r="D575" s="9" t="s">
        <v>175</v>
      </c>
      <c r="E575" s="9" t="s">
        <v>4</v>
      </c>
      <c r="F575" s="4" t="s">
        <v>829</v>
      </c>
    </row>
    <row r="576" customFormat="false" ht="15" hidden="false" customHeight="false" outlineLevel="0" collapsed="false">
      <c r="A576" s="9" t="n">
        <v>21</v>
      </c>
      <c r="B576" s="9" t="s">
        <v>216</v>
      </c>
      <c r="C576" s="9" t="s">
        <v>217</v>
      </c>
      <c r="D576" s="9" t="s">
        <v>175</v>
      </c>
      <c r="E576" s="9" t="s">
        <v>5</v>
      </c>
      <c r="F576" s="4" t="s">
        <v>830</v>
      </c>
    </row>
    <row r="577" customFormat="false" ht="15" hidden="false" customHeight="false" outlineLevel="0" collapsed="false">
      <c r="A577" s="9" t="n">
        <v>21</v>
      </c>
      <c r="B577" s="9" t="s">
        <v>216</v>
      </c>
      <c r="C577" s="9" t="s">
        <v>217</v>
      </c>
      <c r="D577" s="9" t="s">
        <v>175</v>
      </c>
      <c r="E577" s="9" t="s">
        <v>6</v>
      </c>
      <c r="F577" s="4" t="s">
        <v>831</v>
      </c>
    </row>
    <row r="578" customFormat="false" ht="15" hidden="false" customHeight="false" outlineLevel="0" collapsed="false">
      <c r="A578" s="9" t="n">
        <v>21</v>
      </c>
      <c r="B578" s="9" t="s">
        <v>216</v>
      </c>
      <c r="C578" s="9" t="s">
        <v>217</v>
      </c>
      <c r="D578" s="9" t="s">
        <v>175</v>
      </c>
      <c r="E578" s="9" t="s">
        <v>6</v>
      </c>
      <c r="F578" s="4" t="s">
        <v>832</v>
      </c>
    </row>
    <row r="579" customFormat="false" ht="23.85" hidden="false" customHeight="false" outlineLevel="0" collapsed="false">
      <c r="A579" s="9" t="n">
        <v>21</v>
      </c>
      <c r="B579" s="9" t="s">
        <v>216</v>
      </c>
      <c r="C579" s="9" t="s">
        <v>217</v>
      </c>
      <c r="D579" s="9" t="s">
        <v>175</v>
      </c>
      <c r="E579" s="9" t="s">
        <v>6</v>
      </c>
      <c r="F579" s="4" t="s">
        <v>833</v>
      </c>
    </row>
    <row r="580" customFormat="false" ht="23.85" hidden="false" customHeight="false" outlineLevel="0" collapsed="false">
      <c r="A580" s="9" t="n">
        <v>21</v>
      </c>
      <c r="B580" s="9" t="s">
        <v>216</v>
      </c>
      <c r="C580" s="9" t="s">
        <v>217</v>
      </c>
      <c r="D580" s="9" t="s">
        <v>175</v>
      </c>
      <c r="E580" s="9" t="s">
        <v>6</v>
      </c>
      <c r="F580" s="4" t="s">
        <v>834</v>
      </c>
    </row>
    <row r="581" customFormat="false" ht="23.85" hidden="false" customHeight="false" outlineLevel="0" collapsed="false">
      <c r="A581" s="9" t="n">
        <v>21</v>
      </c>
      <c r="B581" s="9" t="s">
        <v>216</v>
      </c>
      <c r="C581" s="9" t="s">
        <v>217</v>
      </c>
      <c r="D581" s="9" t="s">
        <v>175</v>
      </c>
      <c r="E581" s="9" t="s">
        <v>6</v>
      </c>
      <c r="F581" s="4" t="s">
        <v>835</v>
      </c>
    </row>
    <row r="582" customFormat="false" ht="35.05" hidden="false" customHeight="false" outlineLevel="0" collapsed="false">
      <c r="A582" s="9" t="n">
        <v>21</v>
      </c>
      <c r="B582" s="9" t="s">
        <v>216</v>
      </c>
      <c r="C582" s="9" t="s">
        <v>217</v>
      </c>
      <c r="D582" s="9" t="s">
        <v>175</v>
      </c>
      <c r="E582" s="9" t="s">
        <v>6</v>
      </c>
      <c r="F582" s="4" t="s">
        <v>836</v>
      </c>
    </row>
    <row r="583" customFormat="false" ht="15" hidden="false" customHeight="false" outlineLevel="0" collapsed="false">
      <c r="A583" s="9" t="n">
        <v>21</v>
      </c>
      <c r="B583" s="9" t="s">
        <v>216</v>
      </c>
      <c r="C583" s="9" t="s">
        <v>217</v>
      </c>
      <c r="D583" s="9" t="s">
        <v>175</v>
      </c>
      <c r="E583" s="9" t="s">
        <v>6</v>
      </c>
      <c r="F583" s="4" t="s">
        <v>837</v>
      </c>
    </row>
    <row r="584" customFormat="false" ht="15" hidden="false" customHeight="false" outlineLevel="0" collapsed="false">
      <c r="A584" s="9" t="n">
        <v>21</v>
      </c>
      <c r="B584" s="9" t="s">
        <v>216</v>
      </c>
      <c r="C584" s="9" t="s">
        <v>217</v>
      </c>
      <c r="D584" s="9" t="s">
        <v>175</v>
      </c>
      <c r="E584" s="9" t="s">
        <v>7</v>
      </c>
      <c r="F584" s="4" t="s">
        <v>838</v>
      </c>
    </row>
    <row r="585" customFormat="false" ht="15" hidden="false" customHeight="false" outlineLevel="0" collapsed="false">
      <c r="A585" s="9" t="n">
        <v>21</v>
      </c>
      <c r="B585" s="9" t="s">
        <v>216</v>
      </c>
      <c r="C585" s="9" t="s">
        <v>217</v>
      </c>
      <c r="D585" s="9" t="s">
        <v>175</v>
      </c>
      <c r="E585" s="9" t="s">
        <v>7</v>
      </c>
      <c r="F585" s="4" t="s">
        <v>839</v>
      </c>
    </row>
    <row r="586" customFormat="false" ht="23.85" hidden="false" customHeight="false" outlineLevel="0" collapsed="false">
      <c r="A586" s="9" t="n">
        <v>21</v>
      </c>
      <c r="B586" s="9" t="s">
        <v>216</v>
      </c>
      <c r="C586" s="9" t="s">
        <v>217</v>
      </c>
      <c r="D586" s="9" t="s">
        <v>175</v>
      </c>
      <c r="E586" s="9" t="s">
        <v>7</v>
      </c>
      <c r="F586" s="4" t="s">
        <v>840</v>
      </c>
    </row>
    <row r="587" customFormat="false" ht="23.85" hidden="false" customHeight="false" outlineLevel="0" collapsed="false">
      <c r="A587" s="9" t="n">
        <v>21</v>
      </c>
      <c r="B587" s="9" t="s">
        <v>216</v>
      </c>
      <c r="C587" s="9" t="s">
        <v>217</v>
      </c>
      <c r="D587" s="9" t="s">
        <v>175</v>
      </c>
      <c r="E587" s="9" t="s">
        <v>7</v>
      </c>
      <c r="F587" s="4" t="s">
        <v>841</v>
      </c>
    </row>
    <row r="588" customFormat="false" ht="15" hidden="false" customHeight="false" outlineLevel="0" collapsed="false">
      <c r="A588" s="9" t="n">
        <v>21</v>
      </c>
      <c r="B588" s="9" t="s">
        <v>216</v>
      </c>
      <c r="C588" s="9" t="s">
        <v>217</v>
      </c>
      <c r="D588" s="9" t="s">
        <v>175</v>
      </c>
      <c r="E588" s="9" t="s">
        <v>7</v>
      </c>
      <c r="F588" s="4" t="s">
        <v>842</v>
      </c>
    </row>
    <row r="589" customFormat="false" ht="23.85" hidden="false" customHeight="false" outlineLevel="0" collapsed="false">
      <c r="A589" s="9" t="n">
        <v>21</v>
      </c>
      <c r="B589" s="9" t="s">
        <v>216</v>
      </c>
      <c r="C589" s="9" t="s">
        <v>217</v>
      </c>
      <c r="D589" s="9" t="s">
        <v>175</v>
      </c>
      <c r="E589" s="9" t="s">
        <v>8</v>
      </c>
      <c r="F589" s="4" t="s">
        <v>843</v>
      </c>
    </row>
    <row r="590" customFormat="false" ht="35.05" hidden="false" customHeight="false" outlineLevel="0" collapsed="false">
      <c r="A590" s="9" t="n">
        <v>21</v>
      </c>
      <c r="B590" s="9" t="s">
        <v>216</v>
      </c>
      <c r="C590" s="9" t="s">
        <v>217</v>
      </c>
      <c r="D590" s="9" t="s">
        <v>175</v>
      </c>
      <c r="E590" s="9" t="s">
        <v>8</v>
      </c>
      <c r="F590" s="4" t="s">
        <v>844</v>
      </c>
    </row>
    <row r="591" customFormat="false" ht="23.85" hidden="false" customHeight="false" outlineLevel="0" collapsed="false">
      <c r="A591" s="9" t="n">
        <v>21</v>
      </c>
      <c r="B591" s="9" t="s">
        <v>216</v>
      </c>
      <c r="C591" s="9" t="s">
        <v>217</v>
      </c>
      <c r="D591" s="9" t="s">
        <v>175</v>
      </c>
      <c r="E591" s="9" t="s">
        <v>8</v>
      </c>
      <c r="F591" s="4" t="s">
        <v>845</v>
      </c>
    </row>
    <row r="592" customFormat="false" ht="23.85" hidden="false" customHeight="false" outlineLevel="0" collapsed="false">
      <c r="A592" s="9" t="n">
        <v>21</v>
      </c>
      <c r="B592" s="9" t="s">
        <v>216</v>
      </c>
      <c r="C592" s="9" t="s">
        <v>217</v>
      </c>
      <c r="D592" s="9" t="s">
        <v>175</v>
      </c>
      <c r="E592" s="9" t="s">
        <v>8</v>
      </c>
      <c r="F592" s="4" t="s">
        <v>846</v>
      </c>
    </row>
    <row r="593" customFormat="false" ht="35.05" hidden="false" customHeight="false" outlineLevel="0" collapsed="false">
      <c r="A593" s="9" t="n">
        <v>21</v>
      </c>
      <c r="B593" s="9" t="s">
        <v>216</v>
      </c>
      <c r="C593" s="9" t="s">
        <v>217</v>
      </c>
      <c r="D593" s="9" t="s">
        <v>175</v>
      </c>
      <c r="E593" s="9" t="s">
        <v>8</v>
      </c>
      <c r="F593" s="4" t="s">
        <v>847</v>
      </c>
    </row>
    <row r="594" customFormat="false" ht="23.85" hidden="false" customHeight="false" outlineLevel="0" collapsed="false">
      <c r="A594" s="9" t="n">
        <v>21</v>
      </c>
      <c r="B594" s="9" t="s">
        <v>216</v>
      </c>
      <c r="C594" s="9" t="s">
        <v>217</v>
      </c>
      <c r="D594" s="9" t="s">
        <v>175</v>
      </c>
      <c r="E594" s="9" t="s">
        <v>8</v>
      </c>
      <c r="F594" s="4" t="s">
        <v>848</v>
      </c>
    </row>
    <row r="595" customFormat="false" ht="15" hidden="false" customHeight="false" outlineLevel="0" collapsed="false">
      <c r="A595" s="9" t="n">
        <v>21</v>
      </c>
      <c r="B595" s="9" t="s">
        <v>216</v>
      </c>
      <c r="C595" s="9" t="s">
        <v>217</v>
      </c>
      <c r="D595" s="9" t="s">
        <v>175</v>
      </c>
      <c r="E595" s="9" t="s">
        <v>8</v>
      </c>
      <c r="F595" s="4" t="s">
        <v>849</v>
      </c>
    </row>
    <row r="596" customFormat="false" ht="23.85" hidden="false" customHeight="false" outlineLevel="0" collapsed="false">
      <c r="A596" s="9" t="n">
        <v>21</v>
      </c>
      <c r="B596" s="9" t="s">
        <v>216</v>
      </c>
      <c r="C596" s="9" t="s">
        <v>217</v>
      </c>
      <c r="D596" s="9" t="s">
        <v>175</v>
      </c>
      <c r="E596" s="9" t="s">
        <v>8</v>
      </c>
      <c r="F596" s="4" t="s">
        <v>850</v>
      </c>
    </row>
    <row r="597" customFormat="false" ht="23.85" hidden="false" customHeight="false" outlineLevel="0" collapsed="false">
      <c r="A597" s="9" t="n">
        <v>21</v>
      </c>
      <c r="B597" s="9" t="s">
        <v>216</v>
      </c>
      <c r="C597" s="9" t="s">
        <v>217</v>
      </c>
      <c r="D597" s="9" t="s">
        <v>175</v>
      </c>
      <c r="E597" s="9" t="s">
        <v>8</v>
      </c>
      <c r="F597" s="4" t="s">
        <v>851</v>
      </c>
    </row>
    <row r="598" customFormat="false" ht="23.85" hidden="false" customHeight="false" outlineLevel="0" collapsed="false">
      <c r="A598" s="9" t="n">
        <v>21</v>
      </c>
      <c r="B598" s="9" t="s">
        <v>216</v>
      </c>
      <c r="C598" s="9" t="s">
        <v>217</v>
      </c>
      <c r="D598" s="9" t="s">
        <v>175</v>
      </c>
      <c r="E598" s="9" t="s">
        <v>9</v>
      </c>
      <c r="F598" s="4" t="s">
        <v>852</v>
      </c>
    </row>
    <row r="599" customFormat="false" ht="35.05" hidden="false" customHeight="false" outlineLevel="0" collapsed="false">
      <c r="A599" s="9" t="n">
        <v>21</v>
      </c>
      <c r="B599" s="9" t="s">
        <v>216</v>
      </c>
      <c r="C599" s="9" t="s">
        <v>217</v>
      </c>
      <c r="D599" s="9" t="s">
        <v>175</v>
      </c>
      <c r="E599" s="9" t="s">
        <v>9</v>
      </c>
      <c r="F599" s="4" t="s">
        <v>853</v>
      </c>
    </row>
    <row r="600" customFormat="false" ht="46.25" hidden="false" customHeight="false" outlineLevel="0" collapsed="false">
      <c r="A600" s="9" t="n">
        <v>21</v>
      </c>
      <c r="B600" s="9" t="s">
        <v>216</v>
      </c>
      <c r="C600" s="9" t="s">
        <v>217</v>
      </c>
      <c r="D600" s="9" t="s">
        <v>175</v>
      </c>
      <c r="E600" s="9" t="s">
        <v>12</v>
      </c>
      <c r="F600" s="4" t="s">
        <v>854</v>
      </c>
    </row>
    <row r="601" customFormat="false" ht="57.45" hidden="false" customHeight="false" outlineLevel="0" collapsed="false">
      <c r="A601" s="9" t="n">
        <v>21</v>
      </c>
      <c r="B601" s="9" t="s">
        <v>216</v>
      </c>
      <c r="C601" s="9" t="s">
        <v>217</v>
      </c>
      <c r="D601" s="9" t="s">
        <v>175</v>
      </c>
      <c r="E601" s="9" t="s">
        <v>12</v>
      </c>
      <c r="F601" s="4" t="s">
        <v>855</v>
      </c>
    </row>
    <row r="602" customFormat="false" ht="23.85" hidden="false" customHeight="false" outlineLevel="0" collapsed="false">
      <c r="A602" s="9" t="n">
        <v>22</v>
      </c>
      <c r="B602" s="9" t="s">
        <v>225</v>
      </c>
      <c r="C602" s="9" t="s">
        <v>226</v>
      </c>
      <c r="D602" s="9" t="s">
        <v>175</v>
      </c>
      <c r="E602" s="9" t="s">
        <v>4</v>
      </c>
      <c r="F602" s="4" t="s">
        <v>856</v>
      </c>
    </row>
    <row r="603" customFormat="false" ht="15" hidden="false" customHeight="false" outlineLevel="0" collapsed="false">
      <c r="A603" s="9" t="n">
        <v>22</v>
      </c>
      <c r="B603" s="9" t="s">
        <v>225</v>
      </c>
      <c r="C603" s="9" t="s">
        <v>226</v>
      </c>
      <c r="D603" s="9" t="s">
        <v>175</v>
      </c>
      <c r="E603" s="9" t="s">
        <v>5</v>
      </c>
      <c r="F603" s="4" t="s">
        <v>857</v>
      </c>
    </row>
    <row r="604" customFormat="false" ht="15" hidden="false" customHeight="false" outlineLevel="0" collapsed="false">
      <c r="A604" s="9" t="n">
        <v>22</v>
      </c>
      <c r="B604" s="9" t="s">
        <v>225</v>
      </c>
      <c r="C604" s="9" t="s">
        <v>226</v>
      </c>
      <c r="D604" s="9" t="s">
        <v>175</v>
      </c>
      <c r="E604" s="9" t="s">
        <v>5</v>
      </c>
      <c r="F604" s="4" t="s">
        <v>858</v>
      </c>
    </row>
    <row r="605" customFormat="false" ht="35.05" hidden="false" customHeight="false" outlineLevel="0" collapsed="false">
      <c r="A605" s="9" t="n">
        <v>22</v>
      </c>
      <c r="B605" s="9" t="s">
        <v>225</v>
      </c>
      <c r="C605" s="9" t="s">
        <v>226</v>
      </c>
      <c r="D605" s="9" t="s">
        <v>175</v>
      </c>
      <c r="E605" s="9" t="s">
        <v>6</v>
      </c>
      <c r="F605" s="4" t="s">
        <v>859</v>
      </c>
    </row>
    <row r="606" customFormat="false" ht="35.05" hidden="false" customHeight="false" outlineLevel="0" collapsed="false">
      <c r="A606" s="9" t="n">
        <v>22</v>
      </c>
      <c r="B606" s="9" t="s">
        <v>225</v>
      </c>
      <c r="C606" s="9" t="s">
        <v>226</v>
      </c>
      <c r="D606" s="9" t="s">
        <v>175</v>
      </c>
      <c r="E606" s="9" t="s">
        <v>7</v>
      </c>
      <c r="F606" s="4" t="s">
        <v>860</v>
      </c>
    </row>
    <row r="607" customFormat="false" ht="35.05" hidden="false" customHeight="false" outlineLevel="0" collapsed="false">
      <c r="A607" s="9" t="n">
        <v>22</v>
      </c>
      <c r="B607" s="9" t="s">
        <v>225</v>
      </c>
      <c r="C607" s="9" t="s">
        <v>226</v>
      </c>
      <c r="D607" s="9" t="s">
        <v>175</v>
      </c>
      <c r="E607" s="9" t="s">
        <v>7</v>
      </c>
      <c r="F607" s="4" t="s">
        <v>861</v>
      </c>
    </row>
    <row r="608" customFormat="false" ht="35.05" hidden="false" customHeight="false" outlineLevel="0" collapsed="false">
      <c r="A608" s="9" t="n">
        <v>22</v>
      </c>
      <c r="B608" s="9" t="s">
        <v>225</v>
      </c>
      <c r="C608" s="9" t="s">
        <v>226</v>
      </c>
      <c r="D608" s="9" t="s">
        <v>175</v>
      </c>
      <c r="E608" s="9" t="s">
        <v>8</v>
      </c>
      <c r="F608" s="4" t="s">
        <v>862</v>
      </c>
    </row>
    <row r="609" customFormat="false" ht="23.85" hidden="false" customHeight="false" outlineLevel="0" collapsed="false">
      <c r="A609" s="9" t="n">
        <v>22</v>
      </c>
      <c r="B609" s="9" t="s">
        <v>225</v>
      </c>
      <c r="C609" s="9" t="s">
        <v>226</v>
      </c>
      <c r="D609" s="9" t="s">
        <v>175</v>
      </c>
      <c r="E609" s="9" t="s">
        <v>8</v>
      </c>
      <c r="F609" s="4" t="s">
        <v>863</v>
      </c>
    </row>
    <row r="610" customFormat="false" ht="23.85" hidden="false" customHeight="false" outlineLevel="0" collapsed="false">
      <c r="A610" s="9" t="n">
        <v>22</v>
      </c>
      <c r="B610" s="9" t="s">
        <v>225</v>
      </c>
      <c r="C610" s="9" t="s">
        <v>226</v>
      </c>
      <c r="D610" s="9" t="s">
        <v>175</v>
      </c>
      <c r="E610" s="9" t="s">
        <v>8</v>
      </c>
      <c r="F610" s="4" t="s">
        <v>864</v>
      </c>
    </row>
    <row r="611" customFormat="false" ht="68.65" hidden="false" customHeight="false" outlineLevel="0" collapsed="false">
      <c r="A611" s="9" t="n">
        <v>22</v>
      </c>
      <c r="B611" s="9" t="s">
        <v>225</v>
      </c>
      <c r="C611" s="9" t="s">
        <v>226</v>
      </c>
      <c r="D611" s="9" t="s">
        <v>175</v>
      </c>
      <c r="E611" s="9" t="s">
        <v>8</v>
      </c>
      <c r="F611" s="4" t="s">
        <v>865</v>
      </c>
    </row>
    <row r="612" customFormat="false" ht="23.85" hidden="false" customHeight="false" outlineLevel="0" collapsed="false">
      <c r="A612" s="9" t="n">
        <v>22</v>
      </c>
      <c r="B612" s="9" t="s">
        <v>225</v>
      </c>
      <c r="C612" s="9" t="s">
        <v>226</v>
      </c>
      <c r="D612" s="9" t="s">
        <v>175</v>
      </c>
      <c r="E612" s="9" t="s">
        <v>8</v>
      </c>
      <c r="F612" s="4" t="s">
        <v>866</v>
      </c>
    </row>
    <row r="613" customFormat="false" ht="15" hidden="false" customHeight="false" outlineLevel="0" collapsed="false">
      <c r="A613" s="9" t="n">
        <v>22</v>
      </c>
      <c r="B613" s="9" t="s">
        <v>225</v>
      </c>
      <c r="C613" s="9" t="s">
        <v>226</v>
      </c>
      <c r="D613" s="9" t="s">
        <v>175</v>
      </c>
      <c r="E613" s="9" t="s">
        <v>9</v>
      </c>
      <c r="F613" s="4" t="s">
        <v>867</v>
      </c>
    </row>
    <row r="614" customFormat="false" ht="23.85" hidden="false" customHeight="false" outlineLevel="0" collapsed="false">
      <c r="A614" s="9" t="n">
        <v>22</v>
      </c>
      <c r="B614" s="9" t="s">
        <v>225</v>
      </c>
      <c r="C614" s="9" t="s">
        <v>226</v>
      </c>
      <c r="D614" s="9" t="s">
        <v>175</v>
      </c>
      <c r="E614" s="9" t="s">
        <v>10</v>
      </c>
      <c r="F614" s="4" t="s">
        <v>868</v>
      </c>
    </row>
    <row r="615" customFormat="false" ht="23.85" hidden="false" customHeight="false" outlineLevel="0" collapsed="false">
      <c r="A615" s="9" t="n">
        <v>22</v>
      </c>
      <c r="B615" s="9" t="s">
        <v>225</v>
      </c>
      <c r="C615" s="9" t="s">
        <v>226</v>
      </c>
      <c r="D615" s="9" t="s">
        <v>175</v>
      </c>
      <c r="E615" s="9" t="s">
        <v>10</v>
      </c>
      <c r="F615" s="4" t="s">
        <v>869</v>
      </c>
    </row>
    <row r="616" customFormat="false" ht="15" hidden="false" customHeight="false" outlineLevel="0" collapsed="false">
      <c r="A616" s="9" t="n">
        <v>22</v>
      </c>
      <c r="B616" s="9" t="s">
        <v>225</v>
      </c>
      <c r="C616" s="9" t="s">
        <v>226</v>
      </c>
      <c r="D616" s="9" t="s">
        <v>175</v>
      </c>
      <c r="E616" s="9" t="s">
        <v>10</v>
      </c>
      <c r="F616" s="4" t="s">
        <v>870</v>
      </c>
    </row>
    <row r="617" customFormat="false" ht="35.05" hidden="false" customHeight="false" outlineLevel="0" collapsed="false">
      <c r="A617" s="9" t="n">
        <v>22</v>
      </c>
      <c r="B617" s="9" t="s">
        <v>225</v>
      </c>
      <c r="C617" s="9" t="s">
        <v>226</v>
      </c>
      <c r="D617" s="9" t="s">
        <v>175</v>
      </c>
      <c r="E617" s="9" t="s">
        <v>11</v>
      </c>
      <c r="F617" s="4" t="s">
        <v>871</v>
      </c>
    </row>
    <row r="618" customFormat="false" ht="46.25" hidden="false" customHeight="false" outlineLevel="0" collapsed="false">
      <c r="A618" s="9" t="n">
        <v>22</v>
      </c>
      <c r="B618" s="9" t="s">
        <v>225</v>
      </c>
      <c r="C618" s="9" t="s">
        <v>226</v>
      </c>
      <c r="D618" s="9" t="s">
        <v>175</v>
      </c>
      <c r="E618" s="9" t="s">
        <v>11</v>
      </c>
      <c r="F618" s="4" t="s">
        <v>872</v>
      </c>
    </row>
    <row r="619" customFormat="false" ht="23.85" hidden="false" customHeight="false" outlineLevel="0" collapsed="false">
      <c r="A619" s="9" t="n">
        <v>22</v>
      </c>
      <c r="B619" s="9" t="s">
        <v>225</v>
      </c>
      <c r="C619" s="9" t="s">
        <v>226</v>
      </c>
      <c r="D619" s="9" t="s">
        <v>175</v>
      </c>
      <c r="E619" s="9" t="s">
        <v>11</v>
      </c>
      <c r="F619" s="4" t="s">
        <v>873</v>
      </c>
    </row>
    <row r="620" customFormat="false" ht="68.65" hidden="false" customHeight="false" outlineLevel="0" collapsed="false">
      <c r="A620" s="9" t="n">
        <v>22</v>
      </c>
      <c r="B620" s="9" t="s">
        <v>225</v>
      </c>
      <c r="C620" s="9" t="s">
        <v>226</v>
      </c>
      <c r="D620" s="9" t="s">
        <v>175</v>
      </c>
      <c r="E620" s="9" t="s">
        <v>12</v>
      </c>
      <c r="F620" s="4" t="s">
        <v>874</v>
      </c>
    </row>
    <row r="621" customFormat="false" ht="46.25" hidden="false" customHeight="false" outlineLevel="0" collapsed="false">
      <c r="A621" s="9" t="n">
        <v>22</v>
      </c>
      <c r="B621" s="9" t="s">
        <v>225</v>
      </c>
      <c r="C621" s="9" t="s">
        <v>226</v>
      </c>
      <c r="D621" s="9" t="s">
        <v>175</v>
      </c>
      <c r="E621" s="9" t="s">
        <v>12</v>
      </c>
      <c r="F621" s="4" t="s">
        <v>875</v>
      </c>
    </row>
    <row r="622" customFormat="false" ht="35.05" hidden="false" customHeight="false" outlineLevel="0" collapsed="false">
      <c r="A622" s="9" t="n">
        <v>22</v>
      </c>
      <c r="B622" s="9" t="s">
        <v>225</v>
      </c>
      <c r="C622" s="9" t="s">
        <v>226</v>
      </c>
      <c r="D622" s="9" t="s">
        <v>175</v>
      </c>
      <c r="E622" s="9" t="s">
        <v>12</v>
      </c>
      <c r="F622" s="4" t="s">
        <v>876</v>
      </c>
    </row>
    <row r="623" customFormat="false" ht="35.05" hidden="false" customHeight="false" outlineLevel="0" collapsed="false">
      <c r="A623" s="9" t="n">
        <v>22</v>
      </c>
      <c r="B623" s="9" t="s">
        <v>225</v>
      </c>
      <c r="C623" s="9" t="s">
        <v>226</v>
      </c>
      <c r="D623" s="9" t="s">
        <v>175</v>
      </c>
      <c r="E623" s="9" t="s">
        <v>12</v>
      </c>
      <c r="F623" s="4" t="s">
        <v>877</v>
      </c>
    </row>
    <row r="624" customFormat="false" ht="46.25" hidden="false" customHeight="false" outlineLevel="0" collapsed="false">
      <c r="A624" s="9" t="n">
        <v>22</v>
      </c>
      <c r="B624" s="9" t="s">
        <v>225</v>
      </c>
      <c r="C624" s="9" t="s">
        <v>226</v>
      </c>
      <c r="D624" s="9" t="s">
        <v>175</v>
      </c>
      <c r="E624" s="9" t="s">
        <v>13</v>
      </c>
      <c r="F624" s="4" t="s">
        <v>878</v>
      </c>
    </row>
    <row r="625" customFormat="false" ht="23.85" hidden="false" customHeight="false" outlineLevel="0" collapsed="false">
      <c r="A625" s="9" t="n">
        <v>23</v>
      </c>
      <c r="B625" s="9" t="s">
        <v>237</v>
      </c>
      <c r="C625" s="9" t="s">
        <v>238</v>
      </c>
      <c r="D625" s="9" t="s">
        <v>16</v>
      </c>
      <c r="E625" s="9" t="s">
        <v>4</v>
      </c>
      <c r="F625" s="4" t="s">
        <v>879</v>
      </c>
    </row>
    <row r="626" customFormat="false" ht="46.25" hidden="false" customHeight="false" outlineLevel="0" collapsed="false">
      <c r="A626" s="9" t="n">
        <v>23</v>
      </c>
      <c r="B626" s="9" t="s">
        <v>237</v>
      </c>
      <c r="C626" s="9" t="s">
        <v>238</v>
      </c>
      <c r="D626" s="9" t="s">
        <v>16</v>
      </c>
      <c r="E626" s="9" t="s">
        <v>5</v>
      </c>
      <c r="F626" s="4" t="s">
        <v>880</v>
      </c>
    </row>
    <row r="627" customFormat="false" ht="46.25" hidden="false" customHeight="false" outlineLevel="0" collapsed="false">
      <c r="A627" s="9" t="n">
        <v>23</v>
      </c>
      <c r="B627" s="9" t="s">
        <v>237</v>
      </c>
      <c r="C627" s="9" t="s">
        <v>238</v>
      </c>
      <c r="D627" s="9" t="s">
        <v>16</v>
      </c>
      <c r="E627" s="9" t="s">
        <v>5</v>
      </c>
      <c r="F627" s="4" t="s">
        <v>881</v>
      </c>
    </row>
    <row r="628" customFormat="false" ht="15" hidden="false" customHeight="false" outlineLevel="0" collapsed="false">
      <c r="A628" s="9" t="n">
        <v>23</v>
      </c>
      <c r="B628" s="9" t="s">
        <v>237</v>
      </c>
      <c r="C628" s="9" t="s">
        <v>238</v>
      </c>
      <c r="D628" s="9" t="s">
        <v>16</v>
      </c>
      <c r="E628" s="9" t="s">
        <v>5</v>
      </c>
      <c r="F628" s="4" t="s">
        <v>882</v>
      </c>
    </row>
    <row r="629" customFormat="false" ht="23.85" hidden="false" customHeight="false" outlineLevel="0" collapsed="false">
      <c r="A629" s="9" t="n">
        <v>23</v>
      </c>
      <c r="B629" s="9" t="s">
        <v>237</v>
      </c>
      <c r="C629" s="9" t="s">
        <v>238</v>
      </c>
      <c r="D629" s="9" t="s">
        <v>16</v>
      </c>
      <c r="E629" s="9" t="s">
        <v>5</v>
      </c>
      <c r="F629" s="4" t="s">
        <v>883</v>
      </c>
    </row>
    <row r="630" customFormat="false" ht="35.05" hidden="false" customHeight="false" outlineLevel="0" collapsed="false">
      <c r="A630" s="9" t="n">
        <v>23</v>
      </c>
      <c r="B630" s="9" t="s">
        <v>237</v>
      </c>
      <c r="C630" s="9" t="s">
        <v>238</v>
      </c>
      <c r="D630" s="9" t="s">
        <v>16</v>
      </c>
      <c r="E630" s="9" t="s">
        <v>5</v>
      </c>
      <c r="F630" s="4" t="s">
        <v>884</v>
      </c>
    </row>
    <row r="631" customFormat="false" ht="35.05" hidden="false" customHeight="false" outlineLevel="0" collapsed="false">
      <c r="A631" s="9" t="n">
        <v>23</v>
      </c>
      <c r="B631" s="9" t="s">
        <v>237</v>
      </c>
      <c r="C631" s="9" t="s">
        <v>238</v>
      </c>
      <c r="D631" s="9" t="s">
        <v>16</v>
      </c>
      <c r="E631" s="9" t="s">
        <v>6</v>
      </c>
      <c r="F631" s="4" t="s">
        <v>885</v>
      </c>
    </row>
    <row r="632" customFormat="false" ht="23.85" hidden="false" customHeight="false" outlineLevel="0" collapsed="false">
      <c r="A632" s="9" t="n">
        <v>23</v>
      </c>
      <c r="B632" s="9" t="s">
        <v>237</v>
      </c>
      <c r="C632" s="9" t="s">
        <v>238</v>
      </c>
      <c r="D632" s="9" t="s">
        <v>16</v>
      </c>
      <c r="E632" s="9" t="s">
        <v>6</v>
      </c>
      <c r="F632" s="4" t="s">
        <v>886</v>
      </c>
    </row>
    <row r="633" customFormat="false" ht="35.05" hidden="false" customHeight="false" outlineLevel="0" collapsed="false">
      <c r="A633" s="9" t="n">
        <v>23</v>
      </c>
      <c r="B633" s="9" t="s">
        <v>237</v>
      </c>
      <c r="C633" s="9" t="s">
        <v>238</v>
      </c>
      <c r="D633" s="9" t="s">
        <v>16</v>
      </c>
      <c r="E633" s="9" t="s">
        <v>6</v>
      </c>
      <c r="F633" s="4" t="s">
        <v>887</v>
      </c>
    </row>
    <row r="634" customFormat="false" ht="35.05" hidden="false" customHeight="false" outlineLevel="0" collapsed="false">
      <c r="A634" s="9" t="n">
        <v>23</v>
      </c>
      <c r="B634" s="9" t="s">
        <v>237</v>
      </c>
      <c r="C634" s="9" t="s">
        <v>238</v>
      </c>
      <c r="D634" s="9" t="s">
        <v>16</v>
      </c>
      <c r="E634" s="9" t="s">
        <v>7</v>
      </c>
      <c r="F634" s="4" t="s">
        <v>888</v>
      </c>
    </row>
    <row r="635" customFormat="false" ht="35.05" hidden="false" customHeight="false" outlineLevel="0" collapsed="false">
      <c r="A635" s="9" t="n">
        <v>23</v>
      </c>
      <c r="B635" s="9" t="s">
        <v>237</v>
      </c>
      <c r="C635" s="9" t="s">
        <v>238</v>
      </c>
      <c r="D635" s="9" t="s">
        <v>16</v>
      </c>
      <c r="E635" s="9" t="s">
        <v>7</v>
      </c>
      <c r="F635" s="4" t="s">
        <v>889</v>
      </c>
    </row>
    <row r="636" customFormat="false" ht="23.85" hidden="false" customHeight="false" outlineLevel="0" collapsed="false">
      <c r="A636" s="9" t="n">
        <v>23</v>
      </c>
      <c r="B636" s="9" t="s">
        <v>237</v>
      </c>
      <c r="C636" s="9" t="s">
        <v>238</v>
      </c>
      <c r="D636" s="9" t="s">
        <v>16</v>
      </c>
      <c r="E636" s="9" t="s">
        <v>8</v>
      </c>
      <c r="F636" s="4" t="s">
        <v>890</v>
      </c>
    </row>
    <row r="637" customFormat="false" ht="23.85" hidden="false" customHeight="false" outlineLevel="0" collapsed="false">
      <c r="A637" s="9" t="n">
        <v>23</v>
      </c>
      <c r="B637" s="9" t="s">
        <v>237</v>
      </c>
      <c r="C637" s="9" t="s">
        <v>238</v>
      </c>
      <c r="D637" s="9" t="s">
        <v>16</v>
      </c>
      <c r="E637" s="9" t="s">
        <v>8</v>
      </c>
      <c r="F637" s="4" t="s">
        <v>891</v>
      </c>
    </row>
    <row r="638" customFormat="false" ht="35.05" hidden="false" customHeight="false" outlineLevel="0" collapsed="false">
      <c r="A638" s="9" t="n">
        <v>23</v>
      </c>
      <c r="B638" s="9" t="s">
        <v>237</v>
      </c>
      <c r="C638" s="9" t="s">
        <v>238</v>
      </c>
      <c r="D638" s="9" t="s">
        <v>16</v>
      </c>
      <c r="E638" s="9" t="s">
        <v>8</v>
      </c>
      <c r="F638" s="4" t="s">
        <v>892</v>
      </c>
    </row>
    <row r="639" customFormat="false" ht="23.85" hidden="false" customHeight="false" outlineLevel="0" collapsed="false">
      <c r="A639" s="9" t="n">
        <v>23</v>
      </c>
      <c r="B639" s="9" t="s">
        <v>237</v>
      </c>
      <c r="C639" s="9" t="s">
        <v>238</v>
      </c>
      <c r="D639" s="9" t="s">
        <v>16</v>
      </c>
      <c r="E639" s="9" t="s">
        <v>10</v>
      </c>
      <c r="F639" s="4" t="s">
        <v>893</v>
      </c>
    </row>
    <row r="640" customFormat="false" ht="23.85" hidden="false" customHeight="false" outlineLevel="0" collapsed="false">
      <c r="A640" s="9" t="n">
        <v>23</v>
      </c>
      <c r="B640" s="9" t="s">
        <v>237</v>
      </c>
      <c r="C640" s="9" t="s">
        <v>238</v>
      </c>
      <c r="D640" s="9" t="s">
        <v>16</v>
      </c>
      <c r="E640" s="9" t="s">
        <v>10</v>
      </c>
      <c r="F640" s="4" t="s">
        <v>894</v>
      </c>
    </row>
    <row r="641" customFormat="false" ht="35.05" hidden="false" customHeight="false" outlineLevel="0" collapsed="false">
      <c r="A641" s="9" t="n">
        <v>23</v>
      </c>
      <c r="B641" s="9" t="s">
        <v>237</v>
      </c>
      <c r="C641" s="9" t="s">
        <v>238</v>
      </c>
      <c r="D641" s="9" t="s">
        <v>16</v>
      </c>
      <c r="E641" s="9" t="s">
        <v>10</v>
      </c>
      <c r="F641" s="4" t="s">
        <v>895</v>
      </c>
    </row>
    <row r="642" customFormat="false" ht="46.25" hidden="false" customHeight="false" outlineLevel="0" collapsed="false">
      <c r="A642" s="9" t="n">
        <v>23</v>
      </c>
      <c r="B642" s="9" t="s">
        <v>237</v>
      </c>
      <c r="C642" s="9" t="s">
        <v>238</v>
      </c>
      <c r="D642" s="9" t="s">
        <v>16</v>
      </c>
      <c r="E642" s="9" t="s">
        <v>12</v>
      </c>
      <c r="F642" s="4" t="s">
        <v>896</v>
      </c>
    </row>
    <row r="643" customFormat="false" ht="23.85" hidden="false" customHeight="false" outlineLevel="0" collapsed="false">
      <c r="A643" s="9" t="n">
        <v>24</v>
      </c>
      <c r="B643" s="9" t="s">
        <v>246</v>
      </c>
      <c r="C643" s="9" t="s">
        <v>247</v>
      </c>
      <c r="D643" s="9" t="s">
        <v>16</v>
      </c>
      <c r="E643" s="9" t="s">
        <v>4</v>
      </c>
      <c r="F643" s="4" t="s">
        <v>897</v>
      </c>
    </row>
    <row r="644" customFormat="false" ht="15" hidden="false" customHeight="false" outlineLevel="0" collapsed="false">
      <c r="A644" s="9" t="n">
        <v>24</v>
      </c>
      <c r="B644" s="9" t="s">
        <v>246</v>
      </c>
      <c r="C644" s="9" t="s">
        <v>247</v>
      </c>
      <c r="D644" s="9" t="s">
        <v>16</v>
      </c>
      <c r="E644" s="9" t="s">
        <v>4</v>
      </c>
      <c r="F644" s="4" t="s">
        <v>898</v>
      </c>
    </row>
    <row r="645" customFormat="false" ht="15" hidden="false" customHeight="false" outlineLevel="0" collapsed="false">
      <c r="A645" s="9" t="n">
        <v>24</v>
      </c>
      <c r="B645" s="9" t="s">
        <v>246</v>
      </c>
      <c r="C645" s="9" t="s">
        <v>247</v>
      </c>
      <c r="D645" s="9" t="s">
        <v>16</v>
      </c>
      <c r="E645" s="9" t="s">
        <v>4</v>
      </c>
      <c r="F645" s="4" t="s">
        <v>899</v>
      </c>
    </row>
    <row r="646" customFormat="false" ht="15" hidden="false" customHeight="false" outlineLevel="0" collapsed="false">
      <c r="A646" s="9" t="n">
        <v>24</v>
      </c>
      <c r="B646" s="9" t="s">
        <v>246</v>
      </c>
      <c r="C646" s="9" t="s">
        <v>247</v>
      </c>
      <c r="D646" s="9" t="s">
        <v>16</v>
      </c>
      <c r="E646" s="9" t="s">
        <v>4</v>
      </c>
      <c r="F646" s="4" t="s">
        <v>900</v>
      </c>
    </row>
    <row r="647" customFormat="false" ht="23.85" hidden="false" customHeight="false" outlineLevel="0" collapsed="false">
      <c r="A647" s="9" t="n">
        <v>24</v>
      </c>
      <c r="B647" s="9" t="s">
        <v>246</v>
      </c>
      <c r="C647" s="9" t="s">
        <v>247</v>
      </c>
      <c r="D647" s="9" t="s">
        <v>16</v>
      </c>
      <c r="E647" s="9" t="s">
        <v>5</v>
      </c>
      <c r="F647" s="4" t="s">
        <v>901</v>
      </c>
    </row>
    <row r="648" customFormat="false" ht="35.05" hidden="false" customHeight="false" outlineLevel="0" collapsed="false">
      <c r="A648" s="9" t="n">
        <v>24</v>
      </c>
      <c r="B648" s="9" t="s">
        <v>246</v>
      </c>
      <c r="C648" s="9" t="s">
        <v>247</v>
      </c>
      <c r="D648" s="9" t="s">
        <v>16</v>
      </c>
      <c r="E648" s="9" t="s">
        <v>7</v>
      </c>
      <c r="F648" s="4" t="s">
        <v>902</v>
      </c>
    </row>
    <row r="649" customFormat="false" ht="23.85" hidden="false" customHeight="false" outlineLevel="0" collapsed="false">
      <c r="A649" s="9" t="n">
        <v>24</v>
      </c>
      <c r="B649" s="9" t="s">
        <v>246</v>
      </c>
      <c r="C649" s="9" t="s">
        <v>247</v>
      </c>
      <c r="D649" s="9" t="s">
        <v>16</v>
      </c>
      <c r="E649" s="9" t="s">
        <v>7</v>
      </c>
      <c r="F649" s="4" t="s">
        <v>903</v>
      </c>
    </row>
    <row r="650" customFormat="false" ht="35.05" hidden="false" customHeight="false" outlineLevel="0" collapsed="false">
      <c r="A650" s="9" t="n">
        <v>24</v>
      </c>
      <c r="B650" s="9" t="s">
        <v>246</v>
      </c>
      <c r="C650" s="9" t="s">
        <v>247</v>
      </c>
      <c r="D650" s="9" t="s">
        <v>16</v>
      </c>
      <c r="E650" s="9" t="s">
        <v>7</v>
      </c>
      <c r="F650" s="4" t="s">
        <v>904</v>
      </c>
    </row>
    <row r="651" customFormat="false" ht="23.85" hidden="false" customHeight="false" outlineLevel="0" collapsed="false">
      <c r="A651" s="9" t="n">
        <v>24</v>
      </c>
      <c r="B651" s="9" t="s">
        <v>246</v>
      </c>
      <c r="C651" s="9" t="s">
        <v>247</v>
      </c>
      <c r="D651" s="9" t="s">
        <v>16</v>
      </c>
      <c r="E651" s="9" t="s">
        <v>8</v>
      </c>
      <c r="F651" s="4" t="s">
        <v>905</v>
      </c>
    </row>
    <row r="652" customFormat="false" ht="15" hidden="false" customHeight="false" outlineLevel="0" collapsed="false">
      <c r="A652" s="9" t="n">
        <v>24</v>
      </c>
      <c r="B652" s="9" t="s">
        <v>246</v>
      </c>
      <c r="C652" s="9" t="s">
        <v>247</v>
      </c>
      <c r="D652" s="9" t="s">
        <v>16</v>
      </c>
      <c r="E652" s="9" t="s">
        <v>8</v>
      </c>
      <c r="F652" s="4" t="s">
        <v>906</v>
      </c>
    </row>
    <row r="653" customFormat="false" ht="57.45" hidden="false" customHeight="false" outlineLevel="0" collapsed="false">
      <c r="A653" s="9" t="n">
        <v>24</v>
      </c>
      <c r="B653" s="9" t="s">
        <v>246</v>
      </c>
      <c r="C653" s="9" t="s">
        <v>247</v>
      </c>
      <c r="D653" s="9" t="s">
        <v>16</v>
      </c>
      <c r="E653" s="9" t="s">
        <v>12</v>
      </c>
      <c r="F653" s="4" t="s">
        <v>907</v>
      </c>
    </row>
  </sheetData>
  <autoFilter ref="A1:F6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8"/>
    <col collapsed="false" customWidth="true" hidden="false" outlineLevel="0" max="14" min="4" style="0" width="13"/>
  </cols>
  <sheetData>
    <row r="1" customFormat="false" ht="16.15" hidden="false" customHeight="false" outlineLevel="0" collapsed="false">
      <c r="A1" s="10" t="s">
        <v>908</v>
      </c>
    </row>
    <row r="2" customFormat="false" ht="15" hidden="false" customHeight="false" outlineLevel="0" collapsed="false">
      <c r="A2" s="11" t="s">
        <v>909</v>
      </c>
    </row>
    <row r="4" customFormat="false" ht="26.85" hidden="false" customHeight="false" outlineLevel="0" collapsed="false">
      <c r="A4" s="1" t="s">
        <v>0</v>
      </c>
      <c r="B4" s="1" t="s">
        <v>1</v>
      </c>
      <c r="C4" s="1" t="s">
        <v>2</v>
      </c>
      <c r="D4" s="1" t="s">
        <v>4</v>
      </c>
      <c r="E4" s="1" t="s">
        <v>5</v>
      </c>
      <c r="F4" s="1" t="s">
        <v>6</v>
      </c>
      <c r="G4" s="1" t="s">
        <v>7</v>
      </c>
      <c r="H4" s="1" t="s">
        <v>8</v>
      </c>
      <c r="I4" s="1" t="s">
        <v>9</v>
      </c>
      <c r="J4" s="1" t="s">
        <v>10</v>
      </c>
      <c r="K4" s="1" t="s">
        <v>11</v>
      </c>
      <c r="L4" s="1" t="s">
        <v>12</v>
      </c>
      <c r="M4" s="1" t="s">
        <v>13</v>
      </c>
      <c r="N4" s="1" t="s">
        <v>910</v>
      </c>
    </row>
    <row r="5" customFormat="false" ht="15" hidden="false" customHeight="false" outlineLevel="0" collapsed="false">
      <c r="A5" s="12" t="n">
        <v>1</v>
      </c>
      <c r="B5" s="12" t="s">
        <v>14</v>
      </c>
      <c r="C5" s="12" t="s">
        <v>15</v>
      </c>
      <c r="D5" s="13" t="n">
        <f aca="false">COUNTIFS('Entries (Long Form)'!$A$2:$A$653,$A5,'Entries (Long Form)'!$E$2:$E$653,D$4)</f>
        <v>2</v>
      </c>
      <c r="E5" s="13" t="n">
        <f aca="false">COUNTIFS('Entries (Long Form)'!$A$2:$A$653,$A5,'Entries (Long Form)'!$E$2:$E$653,E$4)</f>
        <v>2</v>
      </c>
      <c r="F5" s="13" t="n">
        <f aca="false">COUNTIFS('Entries (Long Form)'!$A$2:$A$653,$A5,'Entries (Long Form)'!$E$2:$E$653,F$4)</f>
        <v>3</v>
      </c>
      <c r="G5" s="13" t="n">
        <f aca="false">COUNTIFS('Entries (Long Form)'!$A$2:$A$653,$A5,'Entries (Long Form)'!$E$2:$E$653,G$4)</f>
        <v>7</v>
      </c>
      <c r="H5" s="13" t="n">
        <f aca="false">COUNTIFS('Entries (Long Form)'!$A$2:$A$653,$A5,'Entries (Long Form)'!$E$2:$E$653,H$4)</f>
        <v>8</v>
      </c>
      <c r="I5" s="13" t="n">
        <f aca="false">COUNTIFS('Entries (Long Form)'!$A$2:$A$653,$A5,'Entries (Long Form)'!$E$2:$E$653,I$4)</f>
        <v>0</v>
      </c>
      <c r="J5" s="13" t="n">
        <f aca="false">COUNTIFS('Entries (Long Form)'!$A$2:$A$653,$A5,'Entries (Long Form)'!$E$2:$E$653,J$4)</f>
        <v>2</v>
      </c>
      <c r="K5" s="13" t="n">
        <f aca="false">COUNTIFS('Entries (Long Form)'!$A$2:$A$653,$A5,'Entries (Long Form)'!$E$2:$E$653,K$4)</f>
        <v>2</v>
      </c>
      <c r="L5" s="13" t="n">
        <f aca="false">COUNTIFS('Entries (Long Form)'!$A$2:$A$653,$A5,'Entries (Long Form)'!$E$2:$E$653,L$4)</f>
        <v>1</v>
      </c>
      <c r="M5" s="13" t="n">
        <f aca="false">COUNTIFS('Entries (Long Form)'!$A$2:$A$653,$A5,'Entries (Long Form)'!$E$2:$E$653,M$4)</f>
        <v>2</v>
      </c>
      <c r="N5" s="13" t="n">
        <f aca="false">SUM(D5:M5)</f>
        <v>29</v>
      </c>
    </row>
    <row r="6" customFormat="false" ht="15" hidden="false" customHeight="false" outlineLevel="0" collapsed="false">
      <c r="A6" s="12" t="n">
        <v>2</v>
      </c>
      <c r="B6" s="12" t="s">
        <v>26</v>
      </c>
      <c r="C6" s="12" t="s">
        <v>27</v>
      </c>
      <c r="D6" s="13" t="n">
        <f aca="false">COUNTIFS('Entries (Long Form)'!$A$2:$A$653,$A6,'Entries (Long Form)'!$E$2:$E$653,D$4)</f>
        <v>0</v>
      </c>
      <c r="E6" s="13" t="n">
        <f aca="false">COUNTIFS('Entries (Long Form)'!$A$2:$A$653,$A6,'Entries (Long Form)'!$E$2:$E$653,E$4)</f>
        <v>1</v>
      </c>
      <c r="F6" s="13" t="n">
        <f aca="false">COUNTIFS('Entries (Long Form)'!$A$2:$A$653,$A6,'Entries (Long Form)'!$E$2:$E$653,F$4)</f>
        <v>8</v>
      </c>
      <c r="G6" s="13" t="n">
        <f aca="false">COUNTIFS('Entries (Long Form)'!$A$2:$A$653,$A6,'Entries (Long Form)'!$E$2:$E$653,G$4)</f>
        <v>6</v>
      </c>
      <c r="H6" s="13" t="n">
        <f aca="false">COUNTIFS('Entries (Long Form)'!$A$2:$A$653,$A6,'Entries (Long Form)'!$E$2:$E$653,H$4)</f>
        <v>11</v>
      </c>
      <c r="I6" s="13" t="n">
        <f aca="false">COUNTIFS('Entries (Long Form)'!$A$2:$A$653,$A6,'Entries (Long Form)'!$E$2:$E$653,I$4)</f>
        <v>1</v>
      </c>
      <c r="J6" s="13" t="n">
        <f aca="false">COUNTIFS('Entries (Long Form)'!$A$2:$A$653,$A6,'Entries (Long Form)'!$E$2:$E$653,J$4)</f>
        <v>3</v>
      </c>
      <c r="K6" s="13" t="n">
        <f aca="false">COUNTIFS('Entries (Long Form)'!$A$2:$A$653,$A6,'Entries (Long Form)'!$E$2:$E$653,K$4)</f>
        <v>0</v>
      </c>
      <c r="L6" s="13" t="n">
        <f aca="false">COUNTIFS('Entries (Long Form)'!$A$2:$A$653,$A6,'Entries (Long Form)'!$E$2:$E$653,L$4)</f>
        <v>1</v>
      </c>
      <c r="M6" s="13" t="n">
        <f aca="false">COUNTIFS('Entries (Long Form)'!$A$2:$A$653,$A6,'Entries (Long Form)'!$E$2:$E$653,M$4)</f>
        <v>1</v>
      </c>
      <c r="N6" s="13" t="n">
        <f aca="false">SUM(D6:M6)</f>
        <v>32</v>
      </c>
    </row>
    <row r="7" customFormat="false" ht="15" hidden="false" customHeight="false" outlineLevel="0" collapsed="false">
      <c r="A7" s="12" t="n">
        <v>3</v>
      </c>
      <c r="B7" s="12" t="s">
        <v>36</v>
      </c>
      <c r="C7" s="12" t="s">
        <v>37</v>
      </c>
      <c r="D7" s="13" t="n">
        <f aca="false">COUNTIFS('Entries (Long Form)'!$A$2:$A$653,$A7,'Entries (Long Form)'!$E$2:$E$653,D$4)</f>
        <v>1</v>
      </c>
      <c r="E7" s="13" t="n">
        <f aca="false">COUNTIFS('Entries (Long Form)'!$A$2:$A$653,$A7,'Entries (Long Form)'!$E$2:$E$653,E$4)</f>
        <v>2</v>
      </c>
      <c r="F7" s="13" t="n">
        <f aca="false">COUNTIFS('Entries (Long Form)'!$A$2:$A$653,$A7,'Entries (Long Form)'!$E$2:$E$653,F$4)</f>
        <v>3</v>
      </c>
      <c r="G7" s="13" t="n">
        <f aca="false">COUNTIFS('Entries (Long Form)'!$A$2:$A$653,$A7,'Entries (Long Form)'!$E$2:$E$653,G$4)</f>
        <v>6</v>
      </c>
      <c r="H7" s="13" t="n">
        <f aca="false">COUNTIFS('Entries (Long Form)'!$A$2:$A$653,$A7,'Entries (Long Form)'!$E$2:$E$653,H$4)</f>
        <v>8</v>
      </c>
      <c r="I7" s="13" t="n">
        <f aca="false">COUNTIFS('Entries (Long Form)'!$A$2:$A$653,$A7,'Entries (Long Form)'!$E$2:$E$653,I$4)</f>
        <v>2</v>
      </c>
      <c r="J7" s="13" t="n">
        <f aca="false">COUNTIFS('Entries (Long Form)'!$A$2:$A$653,$A7,'Entries (Long Form)'!$E$2:$E$653,J$4)</f>
        <v>1</v>
      </c>
      <c r="K7" s="13" t="n">
        <f aca="false">COUNTIFS('Entries (Long Form)'!$A$2:$A$653,$A7,'Entries (Long Form)'!$E$2:$E$653,K$4)</f>
        <v>0</v>
      </c>
      <c r="L7" s="13" t="n">
        <f aca="false">COUNTIFS('Entries (Long Form)'!$A$2:$A$653,$A7,'Entries (Long Form)'!$E$2:$E$653,L$4)</f>
        <v>1</v>
      </c>
      <c r="M7" s="13" t="n">
        <f aca="false">COUNTIFS('Entries (Long Form)'!$A$2:$A$653,$A7,'Entries (Long Form)'!$E$2:$E$653,M$4)</f>
        <v>5</v>
      </c>
      <c r="N7" s="13" t="n">
        <f aca="false">SUM(D7:M7)</f>
        <v>29</v>
      </c>
    </row>
    <row r="8" customFormat="false" ht="15" hidden="false" customHeight="false" outlineLevel="0" collapsed="false">
      <c r="A8" s="12" t="n">
        <v>4</v>
      </c>
      <c r="B8" s="12" t="s">
        <v>47</v>
      </c>
      <c r="C8" s="12" t="s">
        <v>48</v>
      </c>
      <c r="D8" s="13" t="n">
        <f aca="false">COUNTIFS('Entries (Long Form)'!$A$2:$A$653,$A8,'Entries (Long Form)'!$E$2:$E$653,D$4)</f>
        <v>0</v>
      </c>
      <c r="E8" s="13" t="n">
        <f aca="false">COUNTIFS('Entries (Long Form)'!$A$2:$A$653,$A8,'Entries (Long Form)'!$E$2:$E$653,E$4)</f>
        <v>2</v>
      </c>
      <c r="F8" s="13" t="n">
        <f aca="false">COUNTIFS('Entries (Long Form)'!$A$2:$A$653,$A8,'Entries (Long Form)'!$E$2:$E$653,F$4)</f>
        <v>6</v>
      </c>
      <c r="G8" s="13" t="n">
        <f aca="false">COUNTIFS('Entries (Long Form)'!$A$2:$A$653,$A8,'Entries (Long Form)'!$E$2:$E$653,G$4)</f>
        <v>3</v>
      </c>
      <c r="H8" s="13" t="n">
        <f aca="false">COUNTIFS('Entries (Long Form)'!$A$2:$A$653,$A8,'Entries (Long Form)'!$E$2:$E$653,H$4)</f>
        <v>3</v>
      </c>
      <c r="I8" s="13" t="n">
        <f aca="false">COUNTIFS('Entries (Long Form)'!$A$2:$A$653,$A8,'Entries (Long Form)'!$E$2:$E$653,I$4)</f>
        <v>1</v>
      </c>
      <c r="J8" s="13" t="n">
        <f aca="false">COUNTIFS('Entries (Long Form)'!$A$2:$A$653,$A8,'Entries (Long Form)'!$E$2:$E$653,J$4)</f>
        <v>4</v>
      </c>
      <c r="K8" s="13" t="n">
        <f aca="false">COUNTIFS('Entries (Long Form)'!$A$2:$A$653,$A8,'Entries (Long Form)'!$E$2:$E$653,K$4)</f>
        <v>3</v>
      </c>
      <c r="L8" s="13" t="n">
        <f aca="false">COUNTIFS('Entries (Long Form)'!$A$2:$A$653,$A8,'Entries (Long Form)'!$E$2:$E$653,L$4)</f>
        <v>2</v>
      </c>
      <c r="M8" s="13" t="n">
        <f aca="false">COUNTIFS('Entries (Long Form)'!$A$2:$A$653,$A8,'Entries (Long Form)'!$E$2:$E$653,M$4)</f>
        <v>0</v>
      </c>
      <c r="N8" s="13" t="n">
        <f aca="false">SUM(D8:M8)</f>
        <v>24</v>
      </c>
    </row>
    <row r="9" customFormat="false" ht="15" hidden="false" customHeight="false" outlineLevel="0" collapsed="false">
      <c r="A9" s="12" t="n">
        <v>5</v>
      </c>
      <c r="B9" s="12" t="s">
        <v>57</v>
      </c>
      <c r="C9" s="12" t="s">
        <v>58</v>
      </c>
      <c r="D9" s="13" t="n">
        <f aca="false">COUNTIFS('Entries (Long Form)'!$A$2:$A$653,$A9,'Entries (Long Form)'!$E$2:$E$653,D$4)</f>
        <v>0</v>
      </c>
      <c r="E9" s="13" t="n">
        <f aca="false">COUNTIFS('Entries (Long Form)'!$A$2:$A$653,$A9,'Entries (Long Form)'!$E$2:$E$653,E$4)</f>
        <v>1</v>
      </c>
      <c r="F9" s="13" t="n">
        <f aca="false">COUNTIFS('Entries (Long Form)'!$A$2:$A$653,$A9,'Entries (Long Form)'!$E$2:$E$653,F$4)</f>
        <v>6</v>
      </c>
      <c r="G9" s="13" t="n">
        <f aca="false">COUNTIFS('Entries (Long Form)'!$A$2:$A$653,$A9,'Entries (Long Form)'!$E$2:$E$653,G$4)</f>
        <v>3</v>
      </c>
      <c r="H9" s="13" t="n">
        <f aca="false">COUNTIFS('Entries (Long Form)'!$A$2:$A$653,$A9,'Entries (Long Form)'!$E$2:$E$653,H$4)</f>
        <v>4</v>
      </c>
      <c r="I9" s="13" t="n">
        <f aca="false">COUNTIFS('Entries (Long Form)'!$A$2:$A$653,$A9,'Entries (Long Form)'!$E$2:$E$653,I$4)</f>
        <v>1</v>
      </c>
      <c r="J9" s="13" t="n">
        <f aca="false">COUNTIFS('Entries (Long Form)'!$A$2:$A$653,$A9,'Entries (Long Form)'!$E$2:$E$653,J$4)</f>
        <v>4</v>
      </c>
      <c r="K9" s="13" t="n">
        <f aca="false">COUNTIFS('Entries (Long Form)'!$A$2:$A$653,$A9,'Entries (Long Form)'!$E$2:$E$653,K$4)</f>
        <v>0</v>
      </c>
      <c r="L9" s="13" t="n">
        <f aca="false">COUNTIFS('Entries (Long Form)'!$A$2:$A$653,$A9,'Entries (Long Form)'!$E$2:$E$653,L$4)</f>
        <v>3</v>
      </c>
      <c r="M9" s="13" t="n">
        <f aca="false">COUNTIFS('Entries (Long Form)'!$A$2:$A$653,$A9,'Entries (Long Form)'!$E$2:$E$653,M$4)</f>
        <v>2</v>
      </c>
      <c r="N9" s="13" t="n">
        <f aca="false">SUM(D9:M9)</f>
        <v>24</v>
      </c>
    </row>
    <row r="10" customFormat="false" ht="15" hidden="false" customHeight="false" outlineLevel="0" collapsed="false">
      <c r="A10" s="12" t="n">
        <v>6</v>
      </c>
      <c r="B10" s="12" t="s">
        <v>68</v>
      </c>
      <c r="C10" s="12" t="s">
        <v>69</v>
      </c>
      <c r="D10" s="13" t="n">
        <f aca="false">COUNTIFS('Entries (Long Form)'!$A$2:$A$653,$A10,'Entries (Long Form)'!$E$2:$E$653,D$4)</f>
        <v>1</v>
      </c>
      <c r="E10" s="13" t="n">
        <f aca="false">COUNTIFS('Entries (Long Form)'!$A$2:$A$653,$A10,'Entries (Long Form)'!$E$2:$E$653,E$4)</f>
        <v>0</v>
      </c>
      <c r="F10" s="13" t="n">
        <f aca="false">COUNTIFS('Entries (Long Form)'!$A$2:$A$653,$A10,'Entries (Long Form)'!$E$2:$E$653,F$4)</f>
        <v>4</v>
      </c>
      <c r="G10" s="13" t="n">
        <f aca="false">COUNTIFS('Entries (Long Form)'!$A$2:$A$653,$A10,'Entries (Long Form)'!$E$2:$E$653,G$4)</f>
        <v>8</v>
      </c>
      <c r="H10" s="13" t="n">
        <f aca="false">COUNTIFS('Entries (Long Form)'!$A$2:$A$653,$A10,'Entries (Long Form)'!$E$2:$E$653,H$4)</f>
        <v>10</v>
      </c>
      <c r="I10" s="13" t="n">
        <f aca="false">COUNTIFS('Entries (Long Form)'!$A$2:$A$653,$A10,'Entries (Long Form)'!$E$2:$E$653,I$4)</f>
        <v>0</v>
      </c>
      <c r="J10" s="13" t="n">
        <f aca="false">COUNTIFS('Entries (Long Form)'!$A$2:$A$653,$A10,'Entries (Long Form)'!$E$2:$E$653,J$4)</f>
        <v>5</v>
      </c>
      <c r="K10" s="13" t="n">
        <f aca="false">COUNTIFS('Entries (Long Form)'!$A$2:$A$653,$A10,'Entries (Long Form)'!$E$2:$E$653,K$4)</f>
        <v>0</v>
      </c>
      <c r="L10" s="13" t="n">
        <f aca="false">COUNTIFS('Entries (Long Form)'!$A$2:$A$653,$A10,'Entries (Long Form)'!$E$2:$E$653,L$4)</f>
        <v>2</v>
      </c>
      <c r="M10" s="13" t="n">
        <f aca="false">COUNTIFS('Entries (Long Form)'!$A$2:$A$653,$A10,'Entries (Long Form)'!$E$2:$E$653,M$4)</f>
        <v>0</v>
      </c>
      <c r="N10" s="13" t="n">
        <f aca="false">SUM(D10:M10)</f>
        <v>30</v>
      </c>
    </row>
    <row r="11" customFormat="false" ht="15" hidden="false" customHeight="false" outlineLevel="0" collapsed="false">
      <c r="A11" s="12" t="n">
        <v>7</v>
      </c>
      <c r="B11" s="12" t="s">
        <v>76</v>
      </c>
      <c r="C11" s="12" t="s">
        <v>77</v>
      </c>
      <c r="D11" s="13" t="n">
        <f aca="false">COUNTIFS('Entries (Long Form)'!$A$2:$A$653,$A11,'Entries (Long Form)'!$E$2:$E$653,D$4)</f>
        <v>0</v>
      </c>
      <c r="E11" s="13" t="n">
        <f aca="false">COUNTIFS('Entries (Long Form)'!$A$2:$A$653,$A11,'Entries (Long Form)'!$E$2:$E$653,E$4)</f>
        <v>0</v>
      </c>
      <c r="F11" s="13" t="n">
        <f aca="false">COUNTIFS('Entries (Long Form)'!$A$2:$A$653,$A11,'Entries (Long Form)'!$E$2:$E$653,F$4)</f>
        <v>6</v>
      </c>
      <c r="G11" s="13" t="n">
        <f aca="false">COUNTIFS('Entries (Long Form)'!$A$2:$A$653,$A11,'Entries (Long Form)'!$E$2:$E$653,G$4)</f>
        <v>6</v>
      </c>
      <c r="H11" s="13" t="n">
        <f aca="false">COUNTIFS('Entries (Long Form)'!$A$2:$A$653,$A11,'Entries (Long Form)'!$E$2:$E$653,H$4)</f>
        <v>7</v>
      </c>
      <c r="I11" s="13" t="n">
        <f aca="false">COUNTIFS('Entries (Long Form)'!$A$2:$A$653,$A11,'Entries (Long Form)'!$E$2:$E$653,I$4)</f>
        <v>0</v>
      </c>
      <c r="J11" s="13" t="n">
        <f aca="false">COUNTIFS('Entries (Long Form)'!$A$2:$A$653,$A11,'Entries (Long Form)'!$E$2:$E$653,J$4)</f>
        <v>4</v>
      </c>
      <c r="K11" s="13" t="n">
        <f aca="false">COUNTIFS('Entries (Long Form)'!$A$2:$A$653,$A11,'Entries (Long Form)'!$E$2:$E$653,K$4)</f>
        <v>4</v>
      </c>
      <c r="L11" s="13" t="n">
        <f aca="false">COUNTIFS('Entries (Long Form)'!$A$2:$A$653,$A11,'Entries (Long Form)'!$E$2:$E$653,L$4)</f>
        <v>2</v>
      </c>
      <c r="M11" s="13" t="n">
        <f aca="false">COUNTIFS('Entries (Long Form)'!$A$2:$A$653,$A11,'Entries (Long Form)'!$E$2:$E$653,M$4)</f>
        <v>0</v>
      </c>
      <c r="N11" s="13" t="n">
        <f aca="false">SUM(D11:M11)</f>
        <v>29</v>
      </c>
    </row>
    <row r="12" customFormat="false" ht="15" hidden="false" customHeight="false" outlineLevel="0" collapsed="false">
      <c r="A12" s="12" t="n">
        <v>8</v>
      </c>
      <c r="B12" s="12" t="s">
        <v>84</v>
      </c>
      <c r="C12" s="12" t="s">
        <v>85</v>
      </c>
      <c r="D12" s="13" t="n">
        <f aca="false">COUNTIFS('Entries (Long Form)'!$A$2:$A$653,$A12,'Entries (Long Form)'!$E$2:$E$653,D$4)</f>
        <v>0</v>
      </c>
      <c r="E12" s="13" t="n">
        <f aca="false">COUNTIFS('Entries (Long Form)'!$A$2:$A$653,$A12,'Entries (Long Form)'!$E$2:$E$653,E$4)</f>
        <v>1</v>
      </c>
      <c r="F12" s="13" t="n">
        <f aca="false">COUNTIFS('Entries (Long Form)'!$A$2:$A$653,$A12,'Entries (Long Form)'!$E$2:$E$653,F$4)</f>
        <v>6</v>
      </c>
      <c r="G12" s="13" t="n">
        <f aca="false">COUNTIFS('Entries (Long Form)'!$A$2:$A$653,$A12,'Entries (Long Form)'!$E$2:$E$653,G$4)</f>
        <v>4</v>
      </c>
      <c r="H12" s="13" t="n">
        <f aca="false">COUNTIFS('Entries (Long Form)'!$A$2:$A$653,$A12,'Entries (Long Form)'!$E$2:$E$653,H$4)</f>
        <v>14</v>
      </c>
      <c r="I12" s="13" t="n">
        <f aca="false">COUNTIFS('Entries (Long Form)'!$A$2:$A$653,$A12,'Entries (Long Form)'!$E$2:$E$653,I$4)</f>
        <v>4</v>
      </c>
      <c r="J12" s="13" t="n">
        <f aca="false">COUNTIFS('Entries (Long Form)'!$A$2:$A$653,$A12,'Entries (Long Form)'!$E$2:$E$653,J$4)</f>
        <v>5</v>
      </c>
      <c r="K12" s="13" t="n">
        <f aca="false">COUNTIFS('Entries (Long Form)'!$A$2:$A$653,$A12,'Entries (Long Form)'!$E$2:$E$653,K$4)</f>
        <v>0</v>
      </c>
      <c r="L12" s="13" t="n">
        <f aca="false">COUNTIFS('Entries (Long Form)'!$A$2:$A$653,$A12,'Entries (Long Form)'!$E$2:$E$653,L$4)</f>
        <v>3</v>
      </c>
      <c r="M12" s="13" t="n">
        <f aca="false">COUNTIFS('Entries (Long Form)'!$A$2:$A$653,$A12,'Entries (Long Form)'!$E$2:$E$653,M$4)</f>
        <v>0</v>
      </c>
      <c r="N12" s="13" t="n">
        <f aca="false">SUM(D12:M12)</f>
        <v>37</v>
      </c>
    </row>
    <row r="13" customFormat="false" ht="15" hidden="false" customHeight="false" outlineLevel="0" collapsed="false">
      <c r="A13" s="12" t="n">
        <v>9</v>
      </c>
      <c r="B13" s="12" t="s">
        <v>93</v>
      </c>
      <c r="C13" s="12" t="s">
        <v>94</v>
      </c>
      <c r="D13" s="13" t="n">
        <f aca="false">COUNTIFS('Entries (Long Form)'!$A$2:$A$653,$A13,'Entries (Long Form)'!$E$2:$E$653,D$4)</f>
        <v>0</v>
      </c>
      <c r="E13" s="13" t="n">
        <f aca="false">COUNTIFS('Entries (Long Form)'!$A$2:$A$653,$A13,'Entries (Long Form)'!$E$2:$E$653,E$4)</f>
        <v>1</v>
      </c>
      <c r="F13" s="13" t="n">
        <f aca="false">COUNTIFS('Entries (Long Form)'!$A$2:$A$653,$A13,'Entries (Long Form)'!$E$2:$E$653,F$4)</f>
        <v>3</v>
      </c>
      <c r="G13" s="13" t="n">
        <f aca="false">COUNTIFS('Entries (Long Form)'!$A$2:$A$653,$A13,'Entries (Long Form)'!$E$2:$E$653,G$4)</f>
        <v>5</v>
      </c>
      <c r="H13" s="13" t="n">
        <f aca="false">COUNTIFS('Entries (Long Form)'!$A$2:$A$653,$A13,'Entries (Long Form)'!$E$2:$E$653,H$4)</f>
        <v>4</v>
      </c>
      <c r="I13" s="13" t="n">
        <f aca="false">COUNTIFS('Entries (Long Form)'!$A$2:$A$653,$A13,'Entries (Long Form)'!$E$2:$E$653,I$4)</f>
        <v>1</v>
      </c>
      <c r="J13" s="13" t="n">
        <f aca="false">COUNTIFS('Entries (Long Form)'!$A$2:$A$653,$A13,'Entries (Long Form)'!$E$2:$E$653,J$4)</f>
        <v>5</v>
      </c>
      <c r="K13" s="13" t="n">
        <f aca="false">COUNTIFS('Entries (Long Form)'!$A$2:$A$653,$A13,'Entries (Long Form)'!$E$2:$E$653,K$4)</f>
        <v>0</v>
      </c>
      <c r="L13" s="13" t="n">
        <f aca="false">COUNTIFS('Entries (Long Form)'!$A$2:$A$653,$A13,'Entries (Long Form)'!$E$2:$E$653,L$4)</f>
        <v>2</v>
      </c>
      <c r="M13" s="13" t="n">
        <f aca="false">COUNTIFS('Entries (Long Form)'!$A$2:$A$653,$A13,'Entries (Long Form)'!$E$2:$E$653,M$4)</f>
        <v>1</v>
      </c>
      <c r="N13" s="13" t="n">
        <f aca="false">SUM(D13:M13)</f>
        <v>22</v>
      </c>
    </row>
    <row r="14" customFormat="false" ht="15" hidden="false" customHeight="false" outlineLevel="0" collapsed="false">
      <c r="A14" s="12" t="n">
        <v>10</v>
      </c>
      <c r="B14" s="12" t="s">
        <v>103</v>
      </c>
      <c r="C14" s="12" t="s">
        <v>104</v>
      </c>
      <c r="D14" s="13" t="n">
        <f aca="false">COUNTIFS('Entries (Long Form)'!$A$2:$A$653,$A14,'Entries (Long Form)'!$E$2:$E$653,D$4)</f>
        <v>1</v>
      </c>
      <c r="E14" s="13" t="n">
        <f aca="false">COUNTIFS('Entries (Long Form)'!$A$2:$A$653,$A14,'Entries (Long Form)'!$E$2:$E$653,E$4)</f>
        <v>1</v>
      </c>
      <c r="F14" s="13" t="n">
        <f aca="false">COUNTIFS('Entries (Long Form)'!$A$2:$A$653,$A14,'Entries (Long Form)'!$E$2:$E$653,F$4)</f>
        <v>11</v>
      </c>
      <c r="G14" s="13" t="n">
        <f aca="false">COUNTIFS('Entries (Long Form)'!$A$2:$A$653,$A14,'Entries (Long Form)'!$E$2:$E$653,G$4)</f>
        <v>4</v>
      </c>
      <c r="H14" s="13" t="n">
        <f aca="false">COUNTIFS('Entries (Long Form)'!$A$2:$A$653,$A14,'Entries (Long Form)'!$E$2:$E$653,H$4)</f>
        <v>5</v>
      </c>
      <c r="I14" s="13" t="n">
        <f aca="false">COUNTIFS('Entries (Long Form)'!$A$2:$A$653,$A14,'Entries (Long Form)'!$E$2:$E$653,I$4)</f>
        <v>0</v>
      </c>
      <c r="J14" s="13" t="n">
        <f aca="false">COUNTIFS('Entries (Long Form)'!$A$2:$A$653,$A14,'Entries (Long Form)'!$E$2:$E$653,J$4)</f>
        <v>5</v>
      </c>
      <c r="K14" s="13" t="n">
        <f aca="false">COUNTIFS('Entries (Long Form)'!$A$2:$A$653,$A14,'Entries (Long Form)'!$E$2:$E$653,K$4)</f>
        <v>3</v>
      </c>
      <c r="L14" s="13" t="n">
        <f aca="false">COUNTIFS('Entries (Long Form)'!$A$2:$A$653,$A14,'Entries (Long Form)'!$E$2:$E$653,L$4)</f>
        <v>4</v>
      </c>
      <c r="M14" s="13" t="n">
        <f aca="false">COUNTIFS('Entries (Long Form)'!$A$2:$A$653,$A14,'Entries (Long Form)'!$E$2:$E$653,M$4)</f>
        <v>5</v>
      </c>
      <c r="N14" s="13" t="n">
        <f aca="false">SUM(D14:M14)</f>
        <v>39</v>
      </c>
    </row>
    <row r="15" customFormat="false" ht="15" hidden="false" customHeight="false" outlineLevel="0" collapsed="false">
      <c r="A15" s="12" t="n">
        <v>11</v>
      </c>
      <c r="B15" s="12" t="s">
        <v>114</v>
      </c>
      <c r="C15" s="12" t="s">
        <v>115</v>
      </c>
      <c r="D15" s="13" t="n">
        <f aca="false">COUNTIFS('Entries (Long Form)'!$A$2:$A$653,$A15,'Entries (Long Form)'!$E$2:$E$653,D$4)</f>
        <v>1</v>
      </c>
      <c r="E15" s="13" t="n">
        <f aca="false">COUNTIFS('Entries (Long Form)'!$A$2:$A$653,$A15,'Entries (Long Form)'!$E$2:$E$653,E$4)</f>
        <v>0</v>
      </c>
      <c r="F15" s="13" t="n">
        <f aca="false">COUNTIFS('Entries (Long Form)'!$A$2:$A$653,$A15,'Entries (Long Form)'!$E$2:$E$653,F$4)</f>
        <v>7</v>
      </c>
      <c r="G15" s="13" t="n">
        <f aca="false">COUNTIFS('Entries (Long Form)'!$A$2:$A$653,$A15,'Entries (Long Form)'!$E$2:$E$653,G$4)</f>
        <v>4</v>
      </c>
      <c r="H15" s="13" t="n">
        <f aca="false">COUNTIFS('Entries (Long Form)'!$A$2:$A$653,$A15,'Entries (Long Form)'!$E$2:$E$653,H$4)</f>
        <v>6</v>
      </c>
      <c r="I15" s="13" t="n">
        <f aca="false">COUNTIFS('Entries (Long Form)'!$A$2:$A$653,$A15,'Entries (Long Form)'!$E$2:$E$653,I$4)</f>
        <v>4</v>
      </c>
      <c r="J15" s="13" t="n">
        <f aca="false">COUNTIFS('Entries (Long Form)'!$A$2:$A$653,$A15,'Entries (Long Form)'!$E$2:$E$653,J$4)</f>
        <v>4</v>
      </c>
      <c r="K15" s="13" t="n">
        <f aca="false">COUNTIFS('Entries (Long Form)'!$A$2:$A$653,$A15,'Entries (Long Form)'!$E$2:$E$653,K$4)</f>
        <v>0</v>
      </c>
      <c r="L15" s="13" t="n">
        <f aca="false">COUNTIFS('Entries (Long Form)'!$A$2:$A$653,$A15,'Entries (Long Form)'!$E$2:$E$653,L$4)</f>
        <v>2</v>
      </c>
      <c r="M15" s="13" t="n">
        <f aca="false">COUNTIFS('Entries (Long Form)'!$A$2:$A$653,$A15,'Entries (Long Form)'!$E$2:$E$653,M$4)</f>
        <v>1</v>
      </c>
      <c r="N15" s="13" t="n">
        <f aca="false">SUM(D15:M15)</f>
        <v>29</v>
      </c>
    </row>
    <row r="16" customFormat="false" ht="15" hidden="false" customHeight="false" outlineLevel="0" collapsed="false">
      <c r="A16" s="12" t="n">
        <v>12</v>
      </c>
      <c r="B16" s="12" t="s">
        <v>125</v>
      </c>
      <c r="C16" s="12" t="s">
        <v>126</v>
      </c>
      <c r="D16" s="13" t="n">
        <f aca="false">COUNTIFS('Entries (Long Form)'!$A$2:$A$653,$A16,'Entries (Long Form)'!$E$2:$E$653,D$4)</f>
        <v>1</v>
      </c>
      <c r="E16" s="13" t="n">
        <f aca="false">COUNTIFS('Entries (Long Form)'!$A$2:$A$653,$A16,'Entries (Long Form)'!$E$2:$E$653,E$4)</f>
        <v>0</v>
      </c>
      <c r="F16" s="13" t="n">
        <f aca="false">COUNTIFS('Entries (Long Form)'!$A$2:$A$653,$A16,'Entries (Long Form)'!$E$2:$E$653,F$4)</f>
        <v>9</v>
      </c>
      <c r="G16" s="13" t="n">
        <f aca="false">COUNTIFS('Entries (Long Form)'!$A$2:$A$653,$A16,'Entries (Long Form)'!$E$2:$E$653,G$4)</f>
        <v>0</v>
      </c>
      <c r="H16" s="13" t="n">
        <f aca="false">COUNTIFS('Entries (Long Form)'!$A$2:$A$653,$A16,'Entries (Long Form)'!$E$2:$E$653,H$4)</f>
        <v>9</v>
      </c>
      <c r="I16" s="13" t="n">
        <f aca="false">COUNTIFS('Entries (Long Form)'!$A$2:$A$653,$A16,'Entries (Long Form)'!$E$2:$E$653,I$4)</f>
        <v>2</v>
      </c>
      <c r="J16" s="13" t="n">
        <f aca="false">COUNTIFS('Entries (Long Form)'!$A$2:$A$653,$A16,'Entries (Long Form)'!$E$2:$E$653,J$4)</f>
        <v>5</v>
      </c>
      <c r="K16" s="13" t="n">
        <f aca="false">COUNTIFS('Entries (Long Form)'!$A$2:$A$653,$A16,'Entries (Long Form)'!$E$2:$E$653,K$4)</f>
        <v>2</v>
      </c>
      <c r="L16" s="13" t="n">
        <f aca="false">COUNTIFS('Entries (Long Form)'!$A$2:$A$653,$A16,'Entries (Long Form)'!$E$2:$E$653,L$4)</f>
        <v>3</v>
      </c>
      <c r="M16" s="13" t="n">
        <f aca="false">COUNTIFS('Entries (Long Form)'!$A$2:$A$653,$A16,'Entries (Long Form)'!$E$2:$E$653,M$4)</f>
        <v>1</v>
      </c>
      <c r="N16" s="13" t="n">
        <f aca="false">SUM(D16:M16)</f>
        <v>32</v>
      </c>
    </row>
    <row r="17" customFormat="false" ht="15" hidden="false" customHeight="false" outlineLevel="0" collapsed="false">
      <c r="A17" s="12" t="n">
        <v>13</v>
      </c>
      <c r="B17" s="12" t="s">
        <v>135</v>
      </c>
      <c r="C17" s="12" t="s">
        <v>136</v>
      </c>
      <c r="D17" s="13" t="n">
        <f aca="false">COUNTIFS('Entries (Long Form)'!$A$2:$A$653,$A17,'Entries (Long Form)'!$E$2:$E$653,D$4)</f>
        <v>1</v>
      </c>
      <c r="E17" s="13" t="n">
        <f aca="false">COUNTIFS('Entries (Long Form)'!$A$2:$A$653,$A17,'Entries (Long Form)'!$E$2:$E$653,E$4)</f>
        <v>0</v>
      </c>
      <c r="F17" s="13" t="n">
        <f aca="false">COUNTIFS('Entries (Long Form)'!$A$2:$A$653,$A17,'Entries (Long Form)'!$E$2:$E$653,F$4)</f>
        <v>5</v>
      </c>
      <c r="G17" s="13" t="n">
        <f aca="false">COUNTIFS('Entries (Long Form)'!$A$2:$A$653,$A17,'Entries (Long Form)'!$E$2:$E$653,G$4)</f>
        <v>3</v>
      </c>
      <c r="H17" s="13" t="n">
        <f aca="false">COUNTIFS('Entries (Long Form)'!$A$2:$A$653,$A17,'Entries (Long Form)'!$E$2:$E$653,H$4)</f>
        <v>0</v>
      </c>
      <c r="I17" s="13" t="n">
        <f aca="false">COUNTIFS('Entries (Long Form)'!$A$2:$A$653,$A17,'Entries (Long Form)'!$E$2:$E$653,I$4)</f>
        <v>6</v>
      </c>
      <c r="J17" s="13" t="n">
        <f aca="false">COUNTIFS('Entries (Long Form)'!$A$2:$A$653,$A17,'Entries (Long Form)'!$E$2:$E$653,J$4)</f>
        <v>4</v>
      </c>
      <c r="K17" s="13" t="n">
        <f aca="false">COUNTIFS('Entries (Long Form)'!$A$2:$A$653,$A17,'Entries (Long Form)'!$E$2:$E$653,K$4)</f>
        <v>0</v>
      </c>
      <c r="L17" s="13" t="n">
        <f aca="false">COUNTIFS('Entries (Long Form)'!$A$2:$A$653,$A17,'Entries (Long Form)'!$E$2:$E$653,L$4)</f>
        <v>2</v>
      </c>
      <c r="M17" s="13" t="n">
        <f aca="false">COUNTIFS('Entries (Long Form)'!$A$2:$A$653,$A17,'Entries (Long Form)'!$E$2:$E$653,M$4)</f>
        <v>1</v>
      </c>
      <c r="N17" s="13" t="n">
        <f aca="false">SUM(D17:M17)</f>
        <v>22</v>
      </c>
    </row>
    <row r="18" customFormat="false" ht="15" hidden="false" customHeight="false" outlineLevel="0" collapsed="false">
      <c r="A18" s="12" t="n">
        <v>14</v>
      </c>
      <c r="B18" s="12" t="s">
        <v>144</v>
      </c>
      <c r="C18" s="12" t="s">
        <v>145</v>
      </c>
      <c r="D18" s="13" t="n">
        <f aca="false">COUNTIFS('Entries (Long Form)'!$A$2:$A$653,$A18,'Entries (Long Form)'!$E$2:$E$653,D$4)</f>
        <v>0</v>
      </c>
      <c r="E18" s="13" t="n">
        <f aca="false">COUNTIFS('Entries (Long Form)'!$A$2:$A$653,$A18,'Entries (Long Form)'!$E$2:$E$653,E$4)</f>
        <v>0</v>
      </c>
      <c r="F18" s="13" t="n">
        <f aca="false">COUNTIFS('Entries (Long Form)'!$A$2:$A$653,$A18,'Entries (Long Form)'!$E$2:$E$653,F$4)</f>
        <v>6</v>
      </c>
      <c r="G18" s="13" t="n">
        <f aca="false">COUNTIFS('Entries (Long Form)'!$A$2:$A$653,$A18,'Entries (Long Form)'!$E$2:$E$653,G$4)</f>
        <v>2</v>
      </c>
      <c r="H18" s="13" t="n">
        <f aca="false">COUNTIFS('Entries (Long Form)'!$A$2:$A$653,$A18,'Entries (Long Form)'!$E$2:$E$653,H$4)</f>
        <v>9</v>
      </c>
      <c r="I18" s="13" t="n">
        <f aca="false">COUNTIFS('Entries (Long Form)'!$A$2:$A$653,$A18,'Entries (Long Form)'!$E$2:$E$653,I$4)</f>
        <v>2</v>
      </c>
      <c r="J18" s="13" t="n">
        <f aca="false">COUNTIFS('Entries (Long Form)'!$A$2:$A$653,$A18,'Entries (Long Form)'!$E$2:$E$653,J$4)</f>
        <v>5</v>
      </c>
      <c r="K18" s="13" t="n">
        <f aca="false">COUNTIFS('Entries (Long Form)'!$A$2:$A$653,$A18,'Entries (Long Form)'!$E$2:$E$653,K$4)</f>
        <v>0</v>
      </c>
      <c r="L18" s="13" t="n">
        <f aca="false">COUNTIFS('Entries (Long Form)'!$A$2:$A$653,$A18,'Entries (Long Form)'!$E$2:$E$653,L$4)</f>
        <v>3</v>
      </c>
      <c r="M18" s="13" t="n">
        <f aca="false">COUNTIFS('Entries (Long Form)'!$A$2:$A$653,$A18,'Entries (Long Form)'!$E$2:$E$653,M$4)</f>
        <v>4</v>
      </c>
      <c r="N18" s="13" t="n">
        <f aca="false">SUM(D18:M18)</f>
        <v>31</v>
      </c>
    </row>
    <row r="19" customFormat="false" ht="15" hidden="false" customHeight="false" outlineLevel="0" collapsed="false">
      <c r="A19" s="12" t="n">
        <v>15</v>
      </c>
      <c r="B19" s="12" t="s">
        <v>153</v>
      </c>
      <c r="C19" s="12" t="s">
        <v>154</v>
      </c>
      <c r="D19" s="13" t="n">
        <f aca="false">COUNTIFS('Entries (Long Form)'!$A$2:$A$653,$A19,'Entries (Long Form)'!$E$2:$E$653,D$4)</f>
        <v>2</v>
      </c>
      <c r="E19" s="13" t="n">
        <f aca="false">COUNTIFS('Entries (Long Form)'!$A$2:$A$653,$A19,'Entries (Long Form)'!$E$2:$E$653,E$4)</f>
        <v>0</v>
      </c>
      <c r="F19" s="13" t="n">
        <f aca="false">COUNTIFS('Entries (Long Form)'!$A$2:$A$653,$A19,'Entries (Long Form)'!$E$2:$E$653,F$4)</f>
        <v>3</v>
      </c>
      <c r="G19" s="13" t="n">
        <f aca="false">COUNTIFS('Entries (Long Form)'!$A$2:$A$653,$A19,'Entries (Long Form)'!$E$2:$E$653,G$4)</f>
        <v>4</v>
      </c>
      <c r="H19" s="13" t="n">
        <f aca="false">COUNTIFS('Entries (Long Form)'!$A$2:$A$653,$A19,'Entries (Long Form)'!$E$2:$E$653,H$4)</f>
        <v>2</v>
      </c>
      <c r="I19" s="13" t="n">
        <f aca="false">COUNTIFS('Entries (Long Form)'!$A$2:$A$653,$A19,'Entries (Long Form)'!$E$2:$E$653,I$4)</f>
        <v>3</v>
      </c>
      <c r="J19" s="13" t="n">
        <f aca="false">COUNTIFS('Entries (Long Form)'!$A$2:$A$653,$A19,'Entries (Long Form)'!$E$2:$E$653,J$4)</f>
        <v>5</v>
      </c>
      <c r="K19" s="13" t="n">
        <f aca="false">COUNTIFS('Entries (Long Form)'!$A$2:$A$653,$A19,'Entries (Long Form)'!$E$2:$E$653,K$4)</f>
        <v>3</v>
      </c>
      <c r="L19" s="13" t="n">
        <f aca="false">COUNTIFS('Entries (Long Form)'!$A$2:$A$653,$A19,'Entries (Long Form)'!$E$2:$E$653,L$4)</f>
        <v>1</v>
      </c>
      <c r="M19" s="13" t="n">
        <f aca="false">COUNTIFS('Entries (Long Form)'!$A$2:$A$653,$A19,'Entries (Long Form)'!$E$2:$E$653,M$4)</f>
        <v>1</v>
      </c>
      <c r="N19" s="13" t="n">
        <f aca="false">SUM(D19:M19)</f>
        <v>24</v>
      </c>
    </row>
    <row r="20" customFormat="false" ht="15" hidden="false" customHeight="false" outlineLevel="0" collapsed="false">
      <c r="A20" s="12" t="n">
        <v>16</v>
      </c>
      <c r="B20" s="12" t="s">
        <v>164</v>
      </c>
      <c r="C20" s="12" t="s">
        <v>165</v>
      </c>
      <c r="D20" s="13" t="n">
        <f aca="false">COUNTIFS('Entries (Long Form)'!$A$2:$A$653,$A20,'Entries (Long Form)'!$E$2:$E$653,D$4)</f>
        <v>0</v>
      </c>
      <c r="E20" s="13" t="n">
        <f aca="false">COUNTIFS('Entries (Long Form)'!$A$2:$A$653,$A20,'Entries (Long Form)'!$E$2:$E$653,E$4)</f>
        <v>0</v>
      </c>
      <c r="F20" s="13" t="n">
        <f aca="false">COUNTIFS('Entries (Long Form)'!$A$2:$A$653,$A20,'Entries (Long Form)'!$E$2:$E$653,F$4)</f>
        <v>6</v>
      </c>
      <c r="G20" s="13" t="n">
        <f aca="false">COUNTIFS('Entries (Long Form)'!$A$2:$A$653,$A20,'Entries (Long Form)'!$E$2:$E$653,G$4)</f>
        <v>4</v>
      </c>
      <c r="H20" s="13" t="n">
        <f aca="false">COUNTIFS('Entries (Long Form)'!$A$2:$A$653,$A20,'Entries (Long Form)'!$E$2:$E$653,H$4)</f>
        <v>3</v>
      </c>
      <c r="I20" s="13" t="n">
        <f aca="false">COUNTIFS('Entries (Long Form)'!$A$2:$A$653,$A20,'Entries (Long Form)'!$E$2:$E$653,I$4)</f>
        <v>1</v>
      </c>
      <c r="J20" s="13" t="n">
        <f aca="false">COUNTIFS('Entries (Long Form)'!$A$2:$A$653,$A20,'Entries (Long Form)'!$E$2:$E$653,J$4)</f>
        <v>5</v>
      </c>
      <c r="K20" s="13" t="n">
        <f aca="false">COUNTIFS('Entries (Long Form)'!$A$2:$A$653,$A20,'Entries (Long Form)'!$E$2:$E$653,K$4)</f>
        <v>0</v>
      </c>
      <c r="L20" s="13" t="n">
        <f aca="false">COUNTIFS('Entries (Long Form)'!$A$2:$A$653,$A20,'Entries (Long Form)'!$E$2:$E$653,L$4)</f>
        <v>2</v>
      </c>
      <c r="M20" s="13" t="n">
        <f aca="false">COUNTIFS('Entries (Long Form)'!$A$2:$A$653,$A20,'Entries (Long Form)'!$E$2:$E$653,M$4)</f>
        <v>1</v>
      </c>
      <c r="N20" s="13" t="n">
        <f aca="false">SUM(D20:M20)</f>
        <v>22</v>
      </c>
    </row>
    <row r="21" customFormat="false" ht="15" hidden="false" customHeight="false" outlineLevel="0" collapsed="false">
      <c r="A21" s="12" t="n">
        <v>17</v>
      </c>
      <c r="B21" s="12" t="s">
        <v>173</v>
      </c>
      <c r="C21" s="12" t="s">
        <v>174</v>
      </c>
      <c r="D21" s="13" t="n">
        <f aca="false">COUNTIFS('Entries (Long Form)'!$A$2:$A$653,$A21,'Entries (Long Form)'!$E$2:$E$653,D$4)</f>
        <v>0</v>
      </c>
      <c r="E21" s="13" t="n">
        <f aca="false">COUNTIFS('Entries (Long Form)'!$A$2:$A$653,$A21,'Entries (Long Form)'!$E$2:$E$653,E$4)</f>
        <v>1</v>
      </c>
      <c r="F21" s="13" t="n">
        <f aca="false">COUNTIFS('Entries (Long Form)'!$A$2:$A$653,$A21,'Entries (Long Form)'!$E$2:$E$653,F$4)</f>
        <v>8</v>
      </c>
      <c r="G21" s="13" t="n">
        <f aca="false">COUNTIFS('Entries (Long Form)'!$A$2:$A$653,$A21,'Entries (Long Form)'!$E$2:$E$653,G$4)</f>
        <v>6</v>
      </c>
      <c r="H21" s="13" t="n">
        <f aca="false">COUNTIFS('Entries (Long Form)'!$A$2:$A$653,$A21,'Entries (Long Form)'!$E$2:$E$653,H$4)</f>
        <v>5</v>
      </c>
      <c r="I21" s="13" t="n">
        <f aca="false">COUNTIFS('Entries (Long Form)'!$A$2:$A$653,$A21,'Entries (Long Form)'!$E$2:$E$653,I$4)</f>
        <v>3</v>
      </c>
      <c r="J21" s="13" t="n">
        <f aca="false">COUNTIFS('Entries (Long Form)'!$A$2:$A$653,$A21,'Entries (Long Form)'!$E$2:$E$653,J$4)</f>
        <v>5</v>
      </c>
      <c r="K21" s="13" t="n">
        <f aca="false">COUNTIFS('Entries (Long Form)'!$A$2:$A$653,$A21,'Entries (Long Form)'!$E$2:$E$653,K$4)</f>
        <v>0</v>
      </c>
      <c r="L21" s="13" t="n">
        <f aca="false">COUNTIFS('Entries (Long Form)'!$A$2:$A$653,$A21,'Entries (Long Form)'!$E$2:$E$653,L$4)</f>
        <v>4</v>
      </c>
      <c r="M21" s="13" t="n">
        <f aca="false">COUNTIFS('Entries (Long Form)'!$A$2:$A$653,$A21,'Entries (Long Form)'!$E$2:$E$653,M$4)</f>
        <v>0</v>
      </c>
      <c r="N21" s="13" t="n">
        <f aca="false">SUM(D21:M21)</f>
        <v>32</v>
      </c>
    </row>
    <row r="22" customFormat="false" ht="15" hidden="false" customHeight="false" outlineLevel="0" collapsed="false">
      <c r="A22" s="12" t="n">
        <v>18</v>
      </c>
      <c r="B22" s="12" t="s">
        <v>183</v>
      </c>
      <c r="C22" s="12" t="s">
        <v>184</v>
      </c>
      <c r="D22" s="13" t="n">
        <f aca="false">COUNTIFS('Entries (Long Form)'!$A$2:$A$653,$A22,'Entries (Long Form)'!$E$2:$E$653,D$4)</f>
        <v>1</v>
      </c>
      <c r="E22" s="13" t="n">
        <f aca="false">COUNTIFS('Entries (Long Form)'!$A$2:$A$653,$A22,'Entries (Long Form)'!$E$2:$E$653,E$4)</f>
        <v>1</v>
      </c>
      <c r="F22" s="13" t="n">
        <f aca="false">COUNTIFS('Entries (Long Form)'!$A$2:$A$653,$A22,'Entries (Long Form)'!$E$2:$E$653,F$4)</f>
        <v>1</v>
      </c>
      <c r="G22" s="13" t="n">
        <f aca="false">COUNTIFS('Entries (Long Form)'!$A$2:$A$653,$A22,'Entries (Long Form)'!$E$2:$E$653,G$4)</f>
        <v>4</v>
      </c>
      <c r="H22" s="13" t="n">
        <f aca="false">COUNTIFS('Entries (Long Form)'!$A$2:$A$653,$A22,'Entries (Long Form)'!$E$2:$E$653,H$4)</f>
        <v>9</v>
      </c>
      <c r="I22" s="13" t="n">
        <f aca="false">COUNTIFS('Entries (Long Form)'!$A$2:$A$653,$A22,'Entries (Long Form)'!$E$2:$E$653,I$4)</f>
        <v>0</v>
      </c>
      <c r="J22" s="13" t="n">
        <f aca="false">COUNTIFS('Entries (Long Form)'!$A$2:$A$653,$A22,'Entries (Long Form)'!$E$2:$E$653,J$4)</f>
        <v>3</v>
      </c>
      <c r="K22" s="13" t="n">
        <f aca="false">COUNTIFS('Entries (Long Form)'!$A$2:$A$653,$A22,'Entries (Long Form)'!$E$2:$E$653,K$4)</f>
        <v>3</v>
      </c>
      <c r="L22" s="13" t="n">
        <f aca="false">COUNTIFS('Entries (Long Form)'!$A$2:$A$653,$A22,'Entries (Long Form)'!$E$2:$E$653,L$4)</f>
        <v>1</v>
      </c>
      <c r="M22" s="13" t="n">
        <f aca="false">COUNTIFS('Entries (Long Form)'!$A$2:$A$653,$A22,'Entries (Long Form)'!$E$2:$E$653,M$4)</f>
        <v>2</v>
      </c>
      <c r="N22" s="13" t="n">
        <f aca="false">SUM(D22:M22)</f>
        <v>25</v>
      </c>
    </row>
    <row r="23" customFormat="false" ht="15" hidden="false" customHeight="false" outlineLevel="0" collapsed="false">
      <c r="A23" s="12" t="n">
        <v>19</v>
      </c>
      <c r="B23" s="12" t="s">
        <v>194</v>
      </c>
      <c r="C23" s="12" t="s">
        <v>195</v>
      </c>
      <c r="D23" s="13" t="n">
        <f aca="false">COUNTIFS('Entries (Long Form)'!$A$2:$A$653,$A23,'Entries (Long Form)'!$E$2:$E$653,D$4)</f>
        <v>2</v>
      </c>
      <c r="E23" s="13" t="n">
        <f aca="false">COUNTIFS('Entries (Long Form)'!$A$2:$A$653,$A23,'Entries (Long Form)'!$E$2:$E$653,E$4)</f>
        <v>1</v>
      </c>
      <c r="F23" s="13" t="n">
        <f aca="false">COUNTIFS('Entries (Long Form)'!$A$2:$A$653,$A23,'Entries (Long Form)'!$E$2:$E$653,F$4)</f>
        <v>8</v>
      </c>
      <c r="G23" s="13" t="n">
        <f aca="false">COUNTIFS('Entries (Long Form)'!$A$2:$A$653,$A23,'Entries (Long Form)'!$E$2:$E$653,G$4)</f>
        <v>4</v>
      </c>
      <c r="H23" s="13" t="n">
        <f aca="false">COUNTIFS('Entries (Long Form)'!$A$2:$A$653,$A23,'Entries (Long Form)'!$E$2:$E$653,H$4)</f>
        <v>3</v>
      </c>
      <c r="I23" s="13" t="n">
        <f aca="false">COUNTIFS('Entries (Long Form)'!$A$2:$A$653,$A23,'Entries (Long Form)'!$E$2:$E$653,I$4)</f>
        <v>1</v>
      </c>
      <c r="J23" s="13" t="n">
        <f aca="false">COUNTIFS('Entries (Long Form)'!$A$2:$A$653,$A23,'Entries (Long Form)'!$E$2:$E$653,J$4)</f>
        <v>4</v>
      </c>
      <c r="K23" s="13" t="n">
        <f aca="false">COUNTIFS('Entries (Long Form)'!$A$2:$A$653,$A23,'Entries (Long Form)'!$E$2:$E$653,K$4)</f>
        <v>0</v>
      </c>
      <c r="L23" s="13" t="n">
        <f aca="false">COUNTIFS('Entries (Long Form)'!$A$2:$A$653,$A23,'Entries (Long Form)'!$E$2:$E$653,L$4)</f>
        <v>2</v>
      </c>
      <c r="M23" s="13" t="n">
        <f aca="false">COUNTIFS('Entries (Long Form)'!$A$2:$A$653,$A23,'Entries (Long Form)'!$E$2:$E$653,M$4)</f>
        <v>5</v>
      </c>
      <c r="N23" s="13" t="n">
        <f aca="false">SUM(D23:M23)</f>
        <v>30</v>
      </c>
    </row>
    <row r="24" customFormat="false" ht="15" hidden="false" customHeight="false" outlineLevel="0" collapsed="false">
      <c r="A24" s="12" t="n">
        <v>20</v>
      </c>
      <c r="B24" s="12" t="s">
        <v>205</v>
      </c>
      <c r="C24" s="12" t="s">
        <v>206</v>
      </c>
      <c r="D24" s="13" t="n">
        <f aca="false">COUNTIFS('Entries (Long Form)'!$A$2:$A$653,$A24,'Entries (Long Form)'!$E$2:$E$653,D$4)</f>
        <v>0</v>
      </c>
      <c r="E24" s="13" t="n">
        <f aca="false">COUNTIFS('Entries (Long Form)'!$A$2:$A$653,$A24,'Entries (Long Form)'!$E$2:$E$653,E$4)</f>
        <v>2</v>
      </c>
      <c r="F24" s="13" t="n">
        <f aca="false">COUNTIFS('Entries (Long Form)'!$A$2:$A$653,$A24,'Entries (Long Form)'!$E$2:$E$653,F$4)</f>
        <v>6</v>
      </c>
      <c r="G24" s="13" t="n">
        <f aca="false">COUNTIFS('Entries (Long Form)'!$A$2:$A$653,$A24,'Entries (Long Form)'!$E$2:$E$653,G$4)</f>
        <v>2</v>
      </c>
      <c r="H24" s="13" t="n">
        <f aca="false">COUNTIFS('Entries (Long Form)'!$A$2:$A$653,$A24,'Entries (Long Form)'!$E$2:$E$653,H$4)</f>
        <v>7</v>
      </c>
      <c r="I24" s="13" t="n">
        <f aca="false">COUNTIFS('Entries (Long Form)'!$A$2:$A$653,$A24,'Entries (Long Form)'!$E$2:$E$653,I$4)</f>
        <v>2</v>
      </c>
      <c r="J24" s="13" t="n">
        <f aca="false">COUNTIFS('Entries (Long Form)'!$A$2:$A$653,$A24,'Entries (Long Form)'!$E$2:$E$653,J$4)</f>
        <v>6</v>
      </c>
      <c r="K24" s="13" t="n">
        <f aca="false">COUNTIFS('Entries (Long Form)'!$A$2:$A$653,$A24,'Entries (Long Form)'!$E$2:$E$653,K$4)</f>
        <v>3</v>
      </c>
      <c r="L24" s="13" t="n">
        <f aca="false">COUNTIFS('Entries (Long Form)'!$A$2:$A$653,$A24,'Entries (Long Form)'!$E$2:$E$653,L$4)</f>
        <v>1</v>
      </c>
      <c r="M24" s="13" t="n">
        <f aca="false">COUNTIFS('Entries (Long Form)'!$A$2:$A$653,$A24,'Entries (Long Form)'!$E$2:$E$653,M$4)</f>
        <v>1</v>
      </c>
      <c r="N24" s="13" t="n">
        <f aca="false">SUM(D24:M24)</f>
        <v>30</v>
      </c>
    </row>
    <row r="25" customFormat="false" ht="15" hidden="false" customHeight="false" outlineLevel="0" collapsed="false">
      <c r="A25" s="12" t="n">
        <v>21</v>
      </c>
      <c r="B25" s="12" t="s">
        <v>216</v>
      </c>
      <c r="C25" s="12" t="s">
        <v>217</v>
      </c>
      <c r="D25" s="13" t="n">
        <f aca="false">COUNTIFS('Entries (Long Form)'!$A$2:$A$653,$A25,'Entries (Long Form)'!$E$2:$E$653,D$4)</f>
        <v>2</v>
      </c>
      <c r="E25" s="13" t="n">
        <f aca="false">COUNTIFS('Entries (Long Form)'!$A$2:$A$653,$A25,'Entries (Long Form)'!$E$2:$E$653,E$4)</f>
        <v>1</v>
      </c>
      <c r="F25" s="13" t="n">
        <f aca="false">COUNTIFS('Entries (Long Form)'!$A$2:$A$653,$A25,'Entries (Long Form)'!$E$2:$E$653,F$4)</f>
        <v>7</v>
      </c>
      <c r="G25" s="13" t="n">
        <f aca="false">COUNTIFS('Entries (Long Form)'!$A$2:$A$653,$A25,'Entries (Long Form)'!$E$2:$E$653,G$4)</f>
        <v>5</v>
      </c>
      <c r="H25" s="13" t="n">
        <f aca="false">COUNTIFS('Entries (Long Form)'!$A$2:$A$653,$A25,'Entries (Long Form)'!$E$2:$E$653,H$4)</f>
        <v>9</v>
      </c>
      <c r="I25" s="13" t="n">
        <f aca="false">COUNTIFS('Entries (Long Form)'!$A$2:$A$653,$A25,'Entries (Long Form)'!$E$2:$E$653,I$4)</f>
        <v>2</v>
      </c>
      <c r="J25" s="13" t="n">
        <f aca="false">COUNTIFS('Entries (Long Form)'!$A$2:$A$653,$A25,'Entries (Long Form)'!$E$2:$E$653,J$4)</f>
        <v>0</v>
      </c>
      <c r="K25" s="13" t="n">
        <f aca="false">COUNTIFS('Entries (Long Form)'!$A$2:$A$653,$A25,'Entries (Long Form)'!$E$2:$E$653,K$4)</f>
        <v>0</v>
      </c>
      <c r="L25" s="13" t="n">
        <f aca="false">COUNTIFS('Entries (Long Form)'!$A$2:$A$653,$A25,'Entries (Long Form)'!$E$2:$E$653,L$4)</f>
        <v>2</v>
      </c>
      <c r="M25" s="13" t="n">
        <f aca="false">COUNTIFS('Entries (Long Form)'!$A$2:$A$653,$A25,'Entries (Long Form)'!$E$2:$E$653,M$4)</f>
        <v>0</v>
      </c>
      <c r="N25" s="13" t="n">
        <f aca="false">SUM(D25:M25)</f>
        <v>28</v>
      </c>
    </row>
    <row r="26" customFormat="false" ht="15" hidden="false" customHeight="false" outlineLevel="0" collapsed="false">
      <c r="A26" s="12" t="n">
        <v>22</v>
      </c>
      <c r="B26" s="12" t="s">
        <v>225</v>
      </c>
      <c r="C26" s="12" t="s">
        <v>226</v>
      </c>
      <c r="D26" s="13" t="n">
        <f aca="false">COUNTIFS('Entries (Long Form)'!$A$2:$A$653,$A26,'Entries (Long Form)'!$E$2:$E$653,D$4)</f>
        <v>1</v>
      </c>
      <c r="E26" s="13" t="n">
        <f aca="false">COUNTIFS('Entries (Long Form)'!$A$2:$A$653,$A26,'Entries (Long Form)'!$E$2:$E$653,E$4)</f>
        <v>2</v>
      </c>
      <c r="F26" s="13" t="n">
        <f aca="false">COUNTIFS('Entries (Long Form)'!$A$2:$A$653,$A26,'Entries (Long Form)'!$E$2:$E$653,F$4)</f>
        <v>1</v>
      </c>
      <c r="G26" s="13" t="n">
        <f aca="false">COUNTIFS('Entries (Long Form)'!$A$2:$A$653,$A26,'Entries (Long Form)'!$E$2:$E$653,G$4)</f>
        <v>2</v>
      </c>
      <c r="H26" s="13" t="n">
        <f aca="false">COUNTIFS('Entries (Long Form)'!$A$2:$A$653,$A26,'Entries (Long Form)'!$E$2:$E$653,H$4)</f>
        <v>5</v>
      </c>
      <c r="I26" s="13" t="n">
        <f aca="false">COUNTIFS('Entries (Long Form)'!$A$2:$A$653,$A26,'Entries (Long Form)'!$E$2:$E$653,I$4)</f>
        <v>1</v>
      </c>
      <c r="J26" s="13" t="n">
        <f aca="false">COUNTIFS('Entries (Long Form)'!$A$2:$A$653,$A26,'Entries (Long Form)'!$E$2:$E$653,J$4)</f>
        <v>3</v>
      </c>
      <c r="K26" s="13" t="n">
        <f aca="false">COUNTIFS('Entries (Long Form)'!$A$2:$A$653,$A26,'Entries (Long Form)'!$E$2:$E$653,K$4)</f>
        <v>3</v>
      </c>
      <c r="L26" s="13" t="n">
        <f aca="false">COUNTIFS('Entries (Long Form)'!$A$2:$A$653,$A26,'Entries (Long Form)'!$E$2:$E$653,L$4)</f>
        <v>4</v>
      </c>
      <c r="M26" s="13" t="n">
        <f aca="false">COUNTIFS('Entries (Long Form)'!$A$2:$A$653,$A26,'Entries (Long Form)'!$E$2:$E$653,M$4)</f>
        <v>1</v>
      </c>
      <c r="N26" s="13" t="n">
        <f aca="false">SUM(D26:M26)</f>
        <v>23</v>
      </c>
    </row>
    <row r="27" customFormat="false" ht="15" hidden="false" customHeight="false" outlineLevel="0" collapsed="false">
      <c r="A27" s="12" t="n">
        <v>23</v>
      </c>
      <c r="B27" s="12" t="s">
        <v>237</v>
      </c>
      <c r="C27" s="12" t="s">
        <v>238</v>
      </c>
      <c r="D27" s="13" t="n">
        <f aca="false">COUNTIFS('Entries (Long Form)'!$A$2:$A$653,$A27,'Entries (Long Form)'!$E$2:$E$653,D$4)</f>
        <v>1</v>
      </c>
      <c r="E27" s="13" t="n">
        <f aca="false">COUNTIFS('Entries (Long Form)'!$A$2:$A$653,$A27,'Entries (Long Form)'!$E$2:$E$653,E$4)</f>
        <v>5</v>
      </c>
      <c r="F27" s="13" t="n">
        <f aca="false">COUNTIFS('Entries (Long Form)'!$A$2:$A$653,$A27,'Entries (Long Form)'!$E$2:$E$653,F$4)</f>
        <v>3</v>
      </c>
      <c r="G27" s="13" t="n">
        <f aca="false">COUNTIFS('Entries (Long Form)'!$A$2:$A$653,$A27,'Entries (Long Form)'!$E$2:$E$653,G$4)</f>
        <v>2</v>
      </c>
      <c r="H27" s="13" t="n">
        <f aca="false">COUNTIFS('Entries (Long Form)'!$A$2:$A$653,$A27,'Entries (Long Form)'!$E$2:$E$653,H$4)</f>
        <v>3</v>
      </c>
      <c r="I27" s="13" t="n">
        <f aca="false">COUNTIFS('Entries (Long Form)'!$A$2:$A$653,$A27,'Entries (Long Form)'!$E$2:$E$653,I$4)</f>
        <v>0</v>
      </c>
      <c r="J27" s="13" t="n">
        <f aca="false">COUNTIFS('Entries (Long Form)'!$A$2:$A$653,$A27,'Entries (Long Form)'!$E$2:$E$653,J$4)</f>
        <v>3</v>
      </c>
      <c r="K27" s="13" t="n">
        <f aca="false">COUNTIFS('Entries (Long Form)'!$A$2:$A$653,$A27,'Entries (Long Form)'!$E$2:$E$653,K$4)</f>
        <v>0</v>
      </c>
      <c r="L27" s="13" t="n">
        <f aca="false">COUNTIFS('Entries (Long Form)'!$A$2:$A$653,$A27,'Entries (Long Form)'!$E$2:$E$653,L$4)</f>
        <v>1</v>
      </c>
      <c r="M27" s="13" t="n">
        <f aca="false">COUNTIFS('Entries (Long Form)'!$A$2:$A$653,$A27,'Entries (Long Form)'!$E$2:$E$653,M$4)</f>
        <v>0</v>
      </c>
      <c r="N27" s="13" t="n">
        <f aca="false">SUM(D27:M27)</f>
        <v>18</v>
      </c>
    </row>
    <row r="28" customFormat="false" ht="15" hidden="false" customHeight="false" outlineLevel="0" collapsed="false">
      <c r="A28" s="12" t="n">
        <v>24</v>
      </c>
      <c r="B28" s="12" t="s">
        <v>246</v>
      </c>
      <c r="C28" s="12" t="s">
        <v>247</v>
      </c>
      <c r="D28" s="13" t="n">
        <f aca="false">COUNTIFS('Entries (Long Form)'!$A$2:$A$653,$A28,'Entries (Long Form)'!$E$2:$E$653,D$4)</f>
        <v>4</v>
      </c>
      <c r="E28" s="13" t="n">
        <f aca="false">COUNTIFS('Entries (Long Form)'!$A$2:$A$653,$A28,'Entries (Long Form)'!$E$2:$E$653,E$4)</f>
        <v>1</v>
      </c>
      <c r="F28" s="13" t="n">
        <f aca="false">COUNTIFS('Entries (Long Form)'!$A$2:$A$653,$A28,'Entries (Long Form)'!$E$2:$E$653,F$4)</f>
        <v>0</v>
      </c>
      <c r="G28" s="13" t="n">
        <f aca="false">COUNTIFS('Entries (Long Form)'!$A$2:$A$653,$A28,'Entries (Long Form)'!$E$2:$E$653,G$4)</f>
        <v>3</v>
      </c>
      <c r="H28" s="13" t="n">
        <f aca="false">COUNTIFS('Entries (Long Form)'!$A$2:$A$653,$A28,'Entries (Long Form)'!$E$2:$E$653,H$4)</f>
        <v>2</v>
      </c>
      <c r="I28" s="13" t="n">
        <f aca="false">COUNTIFS('Entries (Long Form)'!$A$2:$A$653,$A28,'Entries (Long Form)'!$E$2:$E$653,I$4)</f>
        <v>0</v>
      </c>
      <c r="J28" s="13" t="n">
        <f aca="false">COUNTIFS('Entries (Long Form)'!$A$2:$A$653,$A28,'Entries (Long Form)'!$E$2:$E$653,J$4)</f>
        <v>0</v>
      </c>
      <c r="K28" s="13" t="n">
        <f aca="false">COUNTIFS('Entries (Long Form)'!$A$2:$A$653,$A28,'Entries (Long Form)'!$E$2:$E$653,K$4)</f>
        <v>0</v>
      </c>
      <c r="L28" s="13" t="n">
        <f aca="false">COUNTIFS('Entries (Long Form)'!$A$2:$A$653,$A28,'Entries (Long Form)'!$E$2:$E$653,L$4)</f>
        <v>1</v>
      </c>
      <c r="M28" s="13" t="n">
        <f aca="false">COUNTIFS('Entries (Long Form)'!$A$2:$A$653,$A28,'Entries (Long Form)'!$E$2:$E$653,M$4)</f>
        <v>0</v>
      </c>
      <c r="N28" s="13" t="n">
        <f aca="false">SUM(D28:M28)</f>
        <v>11</v>
      </c>
    </row>
    <row r="29" customFormat="false" ht="15" hidden="false" customHeight="false" outlineLevel="0" collapsed="false">
      <c r="A29" s="14"/>
      <c r="B29" s="15" t="s">
        <v>911</v>
      </c>
      <c r="C29" s="14"/>
      <c r="D29" s="16" t="n">
        <f aca="false">SUM(D5:D28)</f>
        <v>21</v>
      </c>
      <c r="E29" s="16" t="n">
        <f aca="false">SUM(E5:E28)</f>
        <v>25</v>
      </c>
      <c r="F29" s="16" t="n">
        <f aca="false">SUM(F5:F28)</f>
        <v>126</v>
      </c>
      <c r="G29" s="16" t="n">
        <f aca="false">SUM(G5:G28)</f>
        <v>97</v>
      </c>
      <c r="H29" s="16" t="n">
        <f aca="false">SUM(H5:H28)</f>
        <v>146</v>
      </c>
      <c r="I29" s="16" t="n">
        <f aca="false">SUM(I5:I28)</f>
        <v>37</v>
      </c>
      <c r="J29" s="16" t="n">
        <f aca="false">SUM(J5:J28)</f>
        <v>90</v>
      </c>
      <c r="K29" s="16" t="n">
        <f aca="false">SUM(K5:K28)</f>
        <v>26</v>
      </c>
      <c r="L29" s="16" t="n">
        <f aca="false">SUM(L5:L28)</f>
        <v>50</v>
      </c>
      <c r="M29" s="16" t="n">
        <f aca="false">SUM(M5:M28)</f>
        <v>34</v>
      </c>
      <c r="N29" s="16" t="n">
        <f aca="false">SUM(N5:N28)</f>
        <v>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7.35" hidden="false" customHeight="false" outlineLevel="0" collapsed="false">
      <c r="A1" s="17" t="s">
        <v>912</v>
      </c>
    </row>
    <row r="2" customFormat="false" ht="15" hidden="false" customHeight="false" outlineLevel="0" collapsed="false">
      <c r="A2" s="18"/>
      <c r="B2" s="19"/>
    </row>
    <row r="3" customFormat="false" ht="15" hidden="false" customHeight="false" outlineLevel="0" collapsed="false">
      <c r="A3" s="18" t="s">
        <v>913</v>
      </c>
      <c r="B3" s="19" t="s">
        <v>914</v>
      </c>
    </row>
    <row r="4" customFormat="false" ht="23.85" hidden="false" customHeight="false" outlineLevel="0" collapsed="false">
      <c r="A4" s="18" t="s">
        <v>915</v>
      </c>
      <c r="B4" s="19" t="s">
        <v>916</v>
      </c>
    </row>
    <row r="5" customFormat="false" ht="15" hidden="false" customHeight="false" outlineLevel="0" collapsed="false">
      <c r="A5" s="18"/>
      <c r="B5" s="19"/>
    </row>
    <row r="6" customFormat="false" ht="15" hidden="false" customHeight="false" outlineLevel="0" collapsed="false">
      <c r="A6" s="20" t="s">
        <v>917</v>
      </c>
    </row>
    <row r="7" customFormat="false" ht="15" hidden="false" customHeight="false" outlineLevel="0" collapsed="false">
      <c r="A7" s="18" t="s">
        <v>4</v>
      </c>
      <c r="B7" s="19" t="s">
        <v>918</v>
      </c>
    </row>
    <row r="8" customFormat="false" ht="15" hidden="false" customHeight="false" outlineLevel="0" collapsed="false">
      <c r="A8" s="18" t="s">
        <v>5</v>
      </c>
      <c r="B8" s="19" t="s">
        <v>919</v>
      </c>
    </row>
    <row r="9" customFormat="false" ht="15" hidden="false" customHeight="false" outlineLevel="0" collapsed="false">
      <c r="A9" s="18" t="s">
        <v>6</v>
      </c>
      <c r="B9" s="19" t="s">
        <v>920</v>
      </c>
    </row>
    <row r="10" customFormat="false" ht="15" hidden="false" customHeight="false" outlineLevel="0" collapsed="false">
      <c r="A10" s="18" t="s">
        <v>7</v>
      </c>
      <c r="B10" s="19" t="s">
        <v>921</v>
      </c>
    </row>
    <row r="11" customFormat="false" ht="15" hidden="false" customHeight="false" outlineLevel="0" collapsed="false">
      <c r="A11" s="18" t="s">
        <v>8</v>
      </c>
      <c r="B11" s="19" t="s">
        <v>922</v>
      </c>
    </row>
    <row r="12" customFormat="false" ht="15" hidden="false" customHeight="false" outlineLevel="0" collapsed="false">
      <c r="A12" s="18" t="s">
        <v>9</v>
      </c>
      <c r="B12" s="19" t="s">
        <v>923</v>
      </c>
    </row>
    <row r="13" customFormat="false" ht="15" hidden="false" customHeight="false" outlineLevel="0" collapsed="false">
      <c r="A13" s="18" t="s">
        <v>10</v>
      </c>
      <c r="B13" s="19" t="s">
        <v>924</v>
      </c>
    </row>
    <row r="14" customFormat="false" ht="15" hidden="false" customHeight="false" outlineLevel="0" collapsed="false">
      <c r="A14" s="18" t="s">
        <v>11</v>
      </c>
      <c r="B14" s="19" t="s">
        <v>925</v>
      </c>
    </row>
    <row r="15" customFormat="false" ht="15" hidden="false" customHeight="false" outlineLevel="0" collapsed="false">
      <c r="A15" s="18" t="s">
        <v>12</v>
      </c>
      <c r="B15" s="19" t="s">
        <v>926</v>
      </c>
    </row>
    <row r="16" customFormat="false" ht="15" hidden="false" customHeight="false" outlineLevel="0" collapsed="false">
      <c r="A16" s="18" t="s">
        <v>13</v>
      </c>
      <c r="B16" s="19" t="s">
        <v>927</v>
      </c>
    </row>
    <row r="17" customFormat="false" ht="15" hidden="false" customHeight="false" outlineLevel="0" collapsed="false">
      <c r="A17" s="18"/>
      <c r="B17" s="19"/>
    </row>
    <row r="18" customFormat="false" ht="15" hidden="false" customHeight="false" outlineLevel="0" collapsed="false">
      <c r="A18" s="20" t="s">
        <v>928</v>
      </c>
    </row>
    <row r="19" customFormat="false" ht="23.85" hidden="false" customHeight="false" outlineLevel="0" collapsed="false">
      <c r="A19" s="18" t="s">
        <v>929</v>
      </c>
      <c r="B19" s="19" t="s">
        <v>930</v>
      </c>
    </row>
    <row r="20" customFormat="false" ht="23.85" hidden="false" customHeight="false" outlineLevel="0" collapsed="false">
      <c r="A20" s="18" t="s">
        <v>931</v>
      </c>
      <c r="B20" s="19" t="s">
        <v>932</v>
      </c>
    </row>
    <row r="21" customFormat="false" ht="23.85" hidden="false" customHeight="false" outlineLevel="0" collapsed="false">
      <c r="A21" s="18" t="s">
        <v>933</v>
      </c>
      <c r="B21" s="19" t="s">
        <v>934</v>
      </c>
    </row>
    <row r="22" customFormat="false" ht="15" hidden="false" customHeight="false" outlineLevel="0" collapsed="false">
      <c r="A22" s="18" t="s">
        <v>935</v>
      </c>
      <c r="B22" s="19" t="s">
        <v>936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2026-09-20T21:23:54Z</dcterms:created>
  <dc:creator>openpyxl</dc:creator>
  <dc:description/>
  <dc:language>en-US</dc:language>
  <cp:lastModifiedBy/>
  <dcterms:modified xsi:type="dcterms:W3CDTF">2026-09-20T21:23:54Z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