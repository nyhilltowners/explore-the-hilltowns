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Frost &amp; Freeze Phenology" sheetId="6" state="visible" r:id="rId8"/>
    <sheet name="Hudson Freeze Dates" sheetId="7" state="visible" r:id="rId9"/>
    <sheet name="CRREL Ice Jams (regional)" sheetId="8" state="visible" r:id="rId10"/>
    <sheet name="Subsidence &amp; Karst" sheetId="9" state="visible" r:id="rId11"/>
    <sheet name="LiDAR Depressions" sheetId="10" state="visible" r:id="rId12"/>
  </sheets>
  <definedNames>
    <definedName function="false" hidden="true" localSheetId="7" name="_xlnm._FilterDatabase" vbProcedure="false">'CRREL Ice Jams (regional)'!$A$1:$F$523</definedName>
    <definedName function="false" hidden="true" localSheetId="1" name="_xlnm._FilterDatabase" vbProcedure="false">Events!$A$1:$V$265</definedName>
    <definedName function="false" hidden="true" localSheetId="6" name="_xlnm._FilterDatabase" vbProcedure="false">'Hudson Freeze Dates'!$A$1:$E$44</definedName>
    <definedName function="false" hidden="true" localSheetId="9" name="_xlnm._FilterDatabase" vbProcedure="false">'LiDAR Depressions'!$A$1:$I$192</definedName>
    <definedName function="false" hidden="true" localSheetId="8"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<sst xmlns="http://schemas.openxmlformats.org/spreadsheetml/2006/main" count="10837" uniqueCount="4985">
  <si>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</si>
  <si>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</si>
  <si>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</si>
  <si>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</si>
  <si>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</si>
  <si>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</si>
  <si>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</si>
  <si>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</si>
  <si>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</si>
  <si>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</si>
  <si>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</si>
  <si>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</si>
  <si>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</si>
  <si>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</si>
  <si>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</si>
  <si>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</si>
  <si>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</si>
  <si>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</si>
  <si>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</si>
  <si>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</si>
  <si>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</si>
  <si>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</si>
  <si>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</si>
  <si>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</si>
  <si>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</si>
  <si>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</si>
  <si>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</si>
  <si>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</si>
  <si>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</si>
  <si>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</si>
  <si>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</si>
  <si>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</si>
  <si>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</si>
  <si>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</si>
  <si>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</si>
  <si>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</si>
  <si>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</si>
  <si>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</si>
  <si>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</si>
  <si>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</si>
  <si>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</si>
  <si>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</si>
  <si>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</si>
  <si>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</si>
  <si>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--- 2026-09-21 addendum (Claude, atlas session — the original research chat was NOT reopened) ---</t>
  </si>
  <si>
    <t xml:space="preserve">Cross-checked this handoff package against the atlas's own copy of the register: the atlas copy was already ahead (293 events / 29 sources / 29 karst features vs 264/24/24 here), so nothing was missing.</t>
  </si>
  <si>
    <t xml:space="preserve">Then worked the open-items list as far as web search + the atlas's own station data would go:</t>
  </si>
  <si>
    <t xml:space="preserve">  #1 Knox Cave month: the 2025 Pomeroy Foundation historic marker independently says March 1975 — now 2 sources for March vs 1 for May vs 1 for 1976. Anchor updated to 1975-03 (month precision; day still not asserted). See Events row 141 and Sources.</t>
  </si>
  <si>
    <t xml:space="preserve">  #3 Albany extremes: CONFIRMED against the current ALB_Extremes.pdf — 104°F Jul 4 1911 / -28°F Jan 19 1971, exactly as already recorded.</t>
  </si>
  <si>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</si>
  <si>
    <t xml:space="preserve">  Bonus: Stone (2005 NCKMS) corrects McFail's own death to July 1, 1854 (not the widely repeated 1853 from Roscoe 1882) — logged in Sources. Did NOT find the historic-entrance collapse date (#2) — still open.</t>
  </si>
  <si>
    <t xml:space="preserve">STILL OPEN, genuinely unresolved by this pass (need the original chat's archive access or Laurie's own future work, not just web search):</t>
  </si>
  <si>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</si>
  <si>
    <t xml:space="preserve">The Folklore doc's lore items (Knox Cave legends, Old Skull bone-chamber, Clarksville wall carvings, Barton Hill "hollow hill") were appended to data/hilltowns_poi_lore_notes.md for the Lore Map — kept OUT of this register per the original project's own convention.</t>
  </si>
  <si>
    <t xml:space="preserve">--- 2026-09-21 addendum #2 (Claude, atlas session) ---</t>
  </si>
  <si>
    <t xml:space="preserve">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</si>
  <si>
    <t xml:space="preserve">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</si>
  <si>
    <t xml:space="preserve">v2 did NOT carry my Knox Cave date fix or the 4 new sources forward — those stay atlas-only unless the original chat is refreshed from here.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</si>
  <si>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</si>
  <si>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</si>
  <si>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</si>
  <si>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</si>
  <si>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</si>
  <si>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</si>
  <si>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</si>
  <si>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</si>
  <si>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</si>
  <si>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</si>
  <si>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</si>
  <si>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</si>
  <si>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</si>
  <si>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</si>
  <si>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</si>
  <si>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</si>
  <si>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</si>
  <si>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</si>
  <si>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</si>
  <si>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</si>
  <si>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</si>
  <si>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</si>
  <si>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</si>
  <si>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</si>
  <si>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</si>
  <si>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</si>
  <si>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</si>
  <si>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</si>
  <si>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</si>
  <si>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</si>
  <si>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</si>
  <si>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</si>
  <si>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</si>
  <si>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</si>
  <si>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</si>
  <si>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</si>
  <si>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</si>
  <si>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</si>
  <si>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</si>
  <si>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</si>
  <si>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</si>
  <si>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</si>
  <si>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</si>
  <si>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</si>
  <si>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</si>
  <si>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</si>
  <si>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</si>
  <si>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</si>
  <si>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</si>
  <si>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</si>
  <si>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</si>
  <si>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</si>
  <si>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</si>
  <si>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</si>
  <si>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</si>
  <si>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</si>
  <si>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</si>
  <si>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</si>
  <si>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</si>
  <si>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</si>
  <si>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</si>
  <si>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</si>
  <si>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</si>
  <si>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</si>
  <si>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</si>
  <si>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</si>
  <si>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</si>
  <si>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</si>
  <si>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</si>
  <si>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</si>
  <si>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</si>
  <si>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</si>
  <si>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</si>
  <si>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</si>
  <si>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</si>
  <si>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</si>
  <si>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</si>
  <si>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</si>
  <si>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</si>
  <si>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</si>
  <si>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</si>
  <si>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</si>
  <si>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</si>
  <si>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</si>
  <si>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</si>
  <si>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</si>
  <si>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</si>
  <si>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</si>
  <si>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</si>
  <si>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</si>
  <si>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</si>
  <si>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</si>
  <si>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</si>
  <si>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</si>
  <si>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</si>
  <si>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</si>
  <si>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</si>
  <si>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</si>
  <si>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</si>
  <si>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</si>
  <si>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</si>
  <si>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</si>
  <si>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</si>
  <si>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</si>
  <si>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</si>
  <si>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</si>
  <si>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</si>
  <si>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</si>
  <si>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</si>
  <si>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</si>
  <si>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</si>
  <si>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</si>
  <si>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</si>
  <si>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</si>
  <si>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</si>
  <si>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</si>
  <si>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</si>
  <si>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</si>
  <si>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</si>
  <si>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</si>
  <si>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</si>
  <si>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</si>
  <si>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</si>
  <si>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</si>
  <si>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</si>
  <si>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</si>
  <si>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</si>
  <si>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</si>
  <si>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</si>
  <si>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</si>
  <si>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</si>
  <si>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</si>
  <si>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</si>
  <si>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</si>
  <si>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</si>
  <si>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</si>
  <si>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</si>
  <si>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</si>
  <si>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</si>
  <si>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</si>
  <si>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</si>
  <si>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</si>
  <si>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</si>
  <si>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</si>
  <si>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</si>
  <si>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</si>
  <si>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</si>
  <si>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</si>
  <si>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</si>
  <si>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</si>
  <si>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</si>
  <si>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</si>
  <si>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</si>
  <si>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</si>
  <si>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</si>
  <si>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</si>
  <si>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</si>
  <si>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</si>
  <si>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</si>
  <si>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</si>
  <si>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</si>
  <si>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</si>
  <si>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</si>
  <si>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</si>
  <si>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</si>
  <si>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</si>
  <si>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</si>
  <si>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</si>
  <si>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</si>
  <si>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</si>
  <si>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</si>
  <si>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</si>
  <si>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</si>
  <si>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</si>
  <si>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</si>
  <si>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</si>
  <si>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</si>
  <si>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</si>
  <si>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</si>
  <si>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</si>
  <si>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</si>
  <si>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</si>
  <si>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</si>
  <si>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</si>
  <si>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</si>
  <si>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</si>
  <si>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</si>
  <si>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</si>
  <si>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</si>
  <si>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</si>
  <si>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</si>
  <si>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</si>
  <si>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</si>
  <si>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</si>
  <si>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</si>
  <si>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</si>
  <si>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</si>
  <si>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</si>
  <si>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</si>
  <si>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</si>
  <si>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</si>
  <si>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</si>
  <si>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</si>
  <si>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</si>
  <si>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</si>
  <si>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</si>
  <si>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</si>
  <si>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</si>
  <si>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</si>
  <si>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</si>
  <si>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</si>
  <si>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</si>
  <si>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</si>
  <si>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</si>
  <si>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</si>
  <si>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</si>
  <si>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</si>
  <si>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</si>
  <si>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</si>
  <si>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</si>
  <si>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</si>
  <si>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</si>
  <si>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</si>
  <si>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</si>
  <si>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</si>
  <si>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</si>
  <si>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</si>
  <si>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</si>
  <si>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</si>
  <si>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</si>
  <si>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</si>
  <si>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</si>
  <si>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</si>
  <si>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</si>
  <si>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</si>
  <si>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</si>
  <si>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</si>
  <si>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</si>
  <si>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</si>
  <si>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</si>
  <si>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</si>
  <si>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</si>
  <si>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</si>
  <si>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</si>
  <si>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</si>
  <si>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</si>
  <si>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</si>
  <si>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</si>
  <si>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</si>
  <si>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</si>
  <si>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</si>
  <si>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</si>
  <si>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</si>
  <si>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</si>
  <si>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</si>
  <si>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</si>
  <si>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</si>
  <si>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</si>
  <si>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</si>
  <si>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</si>
  <si>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</si>
  <si>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</si>
  <si>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</si>
  <si>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</si>
  <si>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</si>
  <si>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</si>
  <si>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</si>
  <si>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</si>
  <si>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</si>
  <si>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</si>
  <si>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</si>
  <si>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</si>
  <si>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</si>
  <si>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</si>
  <si>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</si>
  <si>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</si>
  <si>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</si>
  <si>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</si>
  <si>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</si>
  <si>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</si>
  <si>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</si>
  <si>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</si>
  <si>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</si>
  <si>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</si>
  <si>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</si>
  <si>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</si>
  <si>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</si>
  <si>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</si>
  <si>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</si>
  <si>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</si>
  <si>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</si>
  <si>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</si>
  <si>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</si>
  <si>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</si>
  <si>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</si>
  <si>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</si>
  <si>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</si>
  <si>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</si>
  <si>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</si>
  <si>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</si>
  <si>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</si>
  <si>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</si>
  <si>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</si>
  <si>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</si>
  <si>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</si>
  <si>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</si>
  <si>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</si>
  <si>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</si>
  <si>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</si>
  <si>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</si>
  <si>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</si>
  <si>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</si>
  <si>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</si>
  <si>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</si>
  <si>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</si>
  <si>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</si>
  <si>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</si>
  <si>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</si>
  <si>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</si>
  <si>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</si>
  <si>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</si>
  <si>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</si>
  <si>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</si>
  <si>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</si>
  <si>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</si>
  <si>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</si>
  <si>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</si>
  <si>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</si>
  <si>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</si>
  <si>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</si>
  <si>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</si>
  <si>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</si>
  <si>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</si>
  <si>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</si>
  <si>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</si>
  <si>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</si>
  <si>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</si>
  <si>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</si>
  <si>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</si>
  <si>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</si>
  <si>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</si>
  <si>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</si>
  <si>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</si>
  <si>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</si>
  <si>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</si>
  <si>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</si>
  <si>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</si>
  <si>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</si>
  <si>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</si>
  <si>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</si>
  <si>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</si>
  <si>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</si>
  <si>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</si>
  <si>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</si>
  <si>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</si>
  <si>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</si>
  <si>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</si>
  <si>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</si>
  <si>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</si>
  <si>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</si>
  <si>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</si>
  <si>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</si>
  <si>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</si>
  <si>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</si>
  <si>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</si>
  <si>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</si>
  <si>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</si>
  <si>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</si>
  <si>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</si>
  <si>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</si>
  <si>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</si>
  <si>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</si>
  <si>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</si>
  <si>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</si>
  <si>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</si>
  <si>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</si>
  <si>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</si>
  <si>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</si>
  <si>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</si>
  <si>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</si>
  <si>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</si>
  <si>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</si>
  <si>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</si>
  <si>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</si>
  <si>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</si>
  <si>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</si>
  <si>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</si>
  <si>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</si>
  <si>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</si>
  <si>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</si>
  <si>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</si>
  <si>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</si>
  <si>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</si>
  <si>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</si>
  <si>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</si>
  <si>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</si>
  <si>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</si>
  <si>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</si>
  <si>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</si>
  <si>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</si>
  <si>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</si>
  <si>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</si>
  <si>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</si>
  <si>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</si>
  <si>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</si>
  <si>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</si>
  <si>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</si>
  <si>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</si>
  <si>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</si>
  <si>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</si>
  <si>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</si>
  <si>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</si>
  <si>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</si>
  <si>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</si>
  <si>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</si>
  <si>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</si>
  <si>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</si>
  <si>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</si>
  <si>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</si>
  <si>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</si>
  <si>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</si>
  <si>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</si>
  <si>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</si>
  <si>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</si>
  <si>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</si>
  <si>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</si>
  <si>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</si>
  <si>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</si>
  <si>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</si>
  <si>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</si>
  <si>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</si>
  <si>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</si>
  <si>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</si>
  <si>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</si>
  <si>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</si>
  <si>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</si>
  <si>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</si>
  <si>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</si>
  <si>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</si>
  <si>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</si>
  <si>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</si>
  <si>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</si>
  <si>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</si>
  <si>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</si>
  <si>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</si>
  <si>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</si>
  <si>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</si>
  <si>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</si>
  <si>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</si>
  <si>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</si>
  <si>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</si>
  <si>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</si>
  <si>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</si>
  <si>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</si>
  <si>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</si>
  <si>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</si>
  <si>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</si>
  <si>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</si>
  <si>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</si>
  <si>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</si>
  <si>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</si>
  <si>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</si>
  <si>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</si>
  <si>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</si>
  <si>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</si>
  <si>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</si>
  <si>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</si>
  <si>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</si>
  <si>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</si>
  <si>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</si>
  <si>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</si>
  <si>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</si>
  <si>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</si>
  <si>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</si>
  <si>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</si>
  <si>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</si>
  <si>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</si>
  <si>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</si>
  <si>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</si>
  <si>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</si>
  <si>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</si>
  <si>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</si>
  <si>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</si>
  <si>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</si>
  <si>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</si>
  <si>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</si>
  <si>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</si>
  <si>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</si>
  <si>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</si>
  <si>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</si>
  <si>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</si>
  <si>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</si>
  <si>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</si>
  <si>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</si>
  <si>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</si>
  <si>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</si>
  <si>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</si>
  <si>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</si>
  <si>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</si>
  <si>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</si>
  <si>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</si>
  <si>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</si>
  <si>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</si>
  <si>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</si>
  <si>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</si>
  <si>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</si>
  <si>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</si>
  <si>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</si>
  <si>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</si>
  <si>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</si>
  <si>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</si>
  <si>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</si>
  <si>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</si>
  <si>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</si>
  <si>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</si>
  <si>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</si>
  <si>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</si>
  <si>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</si>
  <si>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</si>
  <si>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</si>
  <si>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</si>
  <si>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</si>
  <si>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</si>
  <si>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</si>
  <si>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</si>
  <si>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</si>
  <si>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</si>
  <si>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</si>
  <si>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</si>
  <si>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</si>
  <si>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</si>
  <si>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</si>
  <si>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</si>
  <si>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</si>
  <si>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</si>
  <si>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</si>
  <si>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</si>
  <si>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</si>
  <si>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</si>
  <si>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</si>
  <si>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</si>
  <si>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</si>
  <si>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</si>
  <si>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</si>
  <si>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</si>
  <si>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</si>
  <si>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</si>
  <si>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</si>
  <si>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</si>
  <si>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</si>
  <si>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</si>
  <si>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</si>
  <si>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</si>
  <si>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</si>
  <si>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</si>
  <si>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</si>
  <si>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</si>
  <si>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</si>
  <si>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</si>
  <si>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</si>
  <si>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</si>
  <si>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</si>
  <si>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</si>
  <si>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</si>
  <si>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</si>
  <si>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</si>
  <si>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</si>
  <si>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</si>
  <si>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</si>
  <si>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</si>
  <si>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</si>
  <si>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</si>
  <si>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</si>
  <si>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</si>
  <si>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</si>
  <si>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</si>
  <si>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</si>
  <si>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</si>
  <si>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</si>
  <si>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</si>
  <si>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</si>
  <si>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</si>
  <si>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</si>
  <si>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 ; The Argus (Albany), Dec 31 1900 ("The Christmas Argus" - retrospective on Albany ice gorges and freshets) [uploaded PDF scan]</t>
  </si>
  <si>
    <t xml:space="preserve">https://www.weather.gov/aly/pastevents</t>
  </si>
  <si>
    <t xml:space="preserve">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</si>
  <si>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</si>
  <si>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</si>
  <si>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</si>
  <si>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</si>
  <si>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</si>
  <si>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</si>
  <si>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</si>
  <si>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 ; Titus, R. &amp; J., 'The St. Peters slide – an unhappy anniversary', The Mountain Eagle, Mar 16 2018</t>
  </si>
  <si>
    <t xml:space="preserve">https://pubs.usgs.gov/pp/p1183/pp1183.html</t>
  </si>
  <si>
    <t xml:space="preserve">DATE CORRECTED from 1859-02-17 (was 'from memory') to 17 Mar 1859 (St. Patrick's Day) per Titus/Catskill Geologist — the St. Peters College slide. 2026-09-23 (v844, atlas session): Titus confirms the date — evening of St. Patrick's Day, Mar 17 1859 — and adds: the college was half-built (planned five storeys, 200 ft long); no deaths (children playing there had just left); the building took the slide and shielded the housing below; never rebuilt for want of money. Mechanism: Mt. Ida = Poesten Kill delta into Glacial Lake Albany, same failure mode as Nott Terrace 2018. Titus's 'most historically consequential Hudson Valley slide' nominee. DISCREPANCY (flagged, not reconciled): Titus says NO deaths at St. Peters 1859, while this row's impact summary cites USGS '&gt;50 lives lost' — check whether the USGS figure is cumulative for Mt. Ida (1837 clay avalanche, row 66, plus 1859) rather than 1859 alone.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</si>
  <si>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</si>
  <si>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</si>
  <si>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</si>
  <si>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</si>
  <si>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</si>
  <si>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</si>
  <si>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</si>
  <si>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</si>
  <si>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</si>
  <si>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</si>
  <si>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</si>
  <si>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</si>
  <si>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</si>
  <si>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</si>
  <si>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</si>
  <si>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</si>
  <si>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</si>
  <si>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</si>
  <si>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</si>
  <si>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</si>
  <si>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</si>
  <si>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</si>
  <si>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</si>
  <si>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</si>
  <si>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</si>
  <si>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</si>
  <si>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</si>
  <si>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</si>
  <si>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</si>
  <si>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</si>
  <si>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</si>
  <si>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</si>
  <si>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</si>
  <si>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</si>
  <si>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</si>
  <si>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</si>
  <si>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</si>
  <si>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</si>
  <si>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</si>
  <si>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</si>
  <si>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</si>
  <si>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</si>
  <si>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</si>
  <si>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</si>
  <si>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</si>
  <si>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NWS Albany – Past Weather Events (weather.gov/aly/pastevents)</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</si>
  <si>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</si>
  <si>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</si>
  <si>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</si>
  <si>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</si>
  <si>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</si>
  <si>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</si>
  <si>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NWS Albany – Past Weather Events (weather.gov/aly/pastevents) ; The Argus (Albany), Mar 14 1888 ("Deep in Drifts - Several States Buried Beneath Snowy Mantles") [uploaded PDF scan]</t>
  </si>
  <si>
    <t xml:space="preserve">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</si>
  <si>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</si>
  <si>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</si>
  <si>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</si>
  <si>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</si>
  <si>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</si>
  <si>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</si>
  <si>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</si>
  <si>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</si>
  <si>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</si>
  <si>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</si>
  <si>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</si>
  <si>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</si>
  <si>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</si>
  <si>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</si>
  <si>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</si>
  <si>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</si>
  <si>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</si>
  <si>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</si>
  <si>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</si>
  <si>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</si>
  <si>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</si>
  <si>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</si>
  <si>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</si>
  <si>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</si>
  <si>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</si>
  <si>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</si>
  <si>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</si>
  <si>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</si>
  <si>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</si>
  <si>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</si>
  <si>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</si>
  <si>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Wikipedia event article (secondary; verify against NCEI/NHC) ; The Argus (Albany), Feb 19 1899, editorial page (scan supplied by Laurie)</t>
  </si>
  <si>
    <t xml:space="preserve">Check Albany daily min in NCEI GHCN for exact value. 2026-09-23 (v850, atlas session): ENRICHED (Argus Feb 19 1899): 'the blizzard of last week… unparalleled in many winters' — every railroad centering on Albany was blockaded by the storm, and for the third time since 1882 the Albany Railway (street railway) provided the only transit into and out of the city, keeping every line open and even extending service to Cohoes, Troy, Rensselaer and Kenwood 'between the neighboring storm-bound cities'. Same page: NY State Board of Health 1898 report (121,000 deaths, rate 18.10) and Georgia/Nebraska frost-blighted peach crops — context only.</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</si>
  <si>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</si>
  <si>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</si>
  <si>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</si>
  <si>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</si>
  <si>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</si>
  <si>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</si>
  <si>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</si>
  <si>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</si>
  <si>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</si>
  <si>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</si>
  <si>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</si>
  <si>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</si>
  <si>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</si>
  <si>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</si>
  <si>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</si>
  <si>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</si>
  <si>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</si>
  <si>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</si>
  <si>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</si>
  <si>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</si>
  <si>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</si>
  <si>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</si>
  <si>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</si>
  <si>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</si>
  <si>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</si>
  <si>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</si>
  <si>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</si>
  <si>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</si>
  <si>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</si>
  <si>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</si>
  <si>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</si>
  <si>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</si>
  <si>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</si>
  <si>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</si>
  <si>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</si>
  <si>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</si>
  <si>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</si>
  <si>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</si>
  <si>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</si>
  <si>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</si>
  <si>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</si>
  <si>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</si>
  <si>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</si>
  <si>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</si>
  <si>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</si>
  <si>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</si>
  <si>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</si>
  <si>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</si>
  <si>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</si>
  <si>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</si>
  <si>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</si>
  <si>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</si>
  <si>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</si>
  <si>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</si>
  <si>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</si>
  <si>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</si>
  <si>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</si>
  <si>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</si>
  <si>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NWS Albany – Past Weather Events (weather.gov/aly/pastevents) ; The Argus (Albany), Feb 15 1914 ("High Wind and Colder To-Day - Twenty-Six Inches of Snow") [uploaded PDF scan]</t>
  </si>
  <si>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</si>
  <si>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</si>
  <si>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</si>
  <si>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</si>
  <si>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</si>
  <si>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</si>
  <si>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</si>
  <si>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</si>
  <si>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</si>
  <si>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</si>
  <si>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</si>
  <si>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</si>
  <si>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</si>
  <si>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</si>
  <si>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</si>
  <si>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</si>
  <si>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</si>
  <si>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</si>
  <si>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</si>
  <si>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</si>
  <si>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</si>
  <si>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</si>
  <si>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</si>
  <si>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</si>
  <si>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</si>
  <si>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</si>
  <si>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</si>
  <si>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</si>
  <si>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</si>
  <si>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</si>
  <si>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</si>
  <si>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</si>
  <si>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</si>
  <si>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</si>
  <si>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</si>
  <si>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</si>
  <si>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</si>
  <si>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</si>
  <si>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</si>
  <si>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</si>
  <si>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</si>
  <si>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</si>
  <si>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</si>
  <si>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</si>
  <si>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</si>
  <si>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</si>
  <si>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</si>
  <si>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</si>
  <si>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</si>
  <si>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</si>
  <si>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</si>
  <si>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</si>
  <si>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</si>
  <si>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</si>
  <si>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</si>
  <si>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</si>
  <si>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</si>
  <si>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</si>
  <si>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</si>
  <si>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</si>
  <si>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</si>
  <si>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</si>
  <si>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</si>
  <si>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</si>
  <si>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</si>
  <si>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</si>
  <si>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</si>
  <si>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</si>
  <si>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</si>
  <si>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</si>
  <si>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</si>
  <si>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</si>
  <si>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</si>
  <si>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</si>
  <si>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</si>
  <si>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</si>
  <si>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</si>
  <si>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</si>
  <si>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</si>
  <si>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</si>
  <si>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</si>
  <si>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</si>
  <si>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</si>
  <si>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</si>
  <si>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</si>
  <si>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</si>
  <si>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</si>
  <si>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</si>
  <si>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</si>
  <si>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</si>
  <si>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</si>
  <si>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</si>
  <si>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</si>
  <si>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</si>
  <si>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</si>
  <si>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NWS Albany – Past Weather Events (weather.gov/aly/pastevents) ; The Enterprise (Altamont), Oct 7 1938, Knox &amp; South Berne columns (scan)</t>
  </si>
  <si>
    <t xml:space="preserve">2026-09-23 (v851, atlas session): ENRICHED — Hilltowns aftermath: in the Town of Knox 'twelve bridges of this town were washed out', a creek filled with stones and its bridge gone, a homestead's outbuildings and chickens carried off with stones 3 ft deep on the lawn; Gallupville–Middleburgh road washed to a single-lane path; a Knox Reformed Church Red Cross appeal. Correspondent's nephew at North Adams, Mass. reported 9 in of rain in four days and a freight train broken apart by a landslide, ten cars into the river.</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</si>
  <si>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</si>
  <si>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</si>
  <si>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</si>
  <si>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</si>
  <si>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</si>
  <si>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</si>
  <si>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</si>
  <si>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</si>
  <si>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</si>
  <si>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</si>
  <si>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</si>
  <si>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</si>
  <si>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</si>
  <si>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</si>
  <si>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</si>
  <si>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</si>
  <si>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</si>
  <si>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</si>
  <si>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</si>
  <si>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</si>
  <si>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</si>
  <si>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</si>
  <si>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</si>
  <si>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</si>
  <si>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</si>
  <si>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</si>
  <si>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</si>
  <si>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</si>
  <si>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</si>
  <si>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</si>
  <si>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</si>
  <si>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</si>
  <si>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</si>
  <si>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</si>
  <si>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</si>
  <si>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</si>
  <si>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</si>
  <si>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</si>
  <si>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</si>
  <si>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</si>
  <si>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</si>
  <si>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</si>
  <si>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</si>
  <si>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</si>
  <si>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</si>
  <si>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</si>
  <si>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</si>
  <si>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</si>
  <si>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</si>
  <si>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</si>
  <si>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</si>
  <si>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</si>
  <si>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</si>
  <si>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</si>
  <si>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</si>
  <si>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</si>
  <si>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</si>
  <si>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</si>
  <si>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</si>
  <si>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</si>
  <si>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</si>
  <si>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</si>
  <si>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</si>
  <si>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 2026-09-23 (v854, atlas session): NWS Albany major-storms page: 83 mph gust at Albany Nov 25 1950 — the station's all-time record — sustained 50–60 mph; roads impassable, fire towers, telephone and power lines down region-wide, NY damage $20M (1950 $); Albany 1.08 in rain, Slide Mountain 7.78 in, no snow at Albany.</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</si>
  <si>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</si>
  <si>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</si>
  <si>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</si>
  <si>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</si>
  <si>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</si>
  <si>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</si>
  <si>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</si>
  <si>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</si>
  <si>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</si>
  <si>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</si>
  <si>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</si>
  <si>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</si>
  <si>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</si>
  <si>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</si>
  <si>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</si>
  <si>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</si>
  <si>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</si>
  <si>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</si>
  <si>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</si>
  <si>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</si>
  <si>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</si>
  <si>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</si>
  <si>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</si>
  <si>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</si>
  <si>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</si>
  <si>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</si>
  <si>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</si>
  <si>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</si>
  <si>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</si>
  <si>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</si>
  <si>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</si>
  <si>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</si>
  <si>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</si>
  <si>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</si>
  <si>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</si>
  <si>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</si>
  <si>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</si>
  <si>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</si>
  <si>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</si>
  <si>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</si>
  <si>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</si>
  <si>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</si>
  <si>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</si>
  <si>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</si>
  <si>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</si>
  <si>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</si>
  <si>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</si>
  <si>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</si>
  <si>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</si>
  <si>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</si>
  <si>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</si>
  <si>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</si>
  <si>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</si>
  <si>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</si>
  <si>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</si>
  <si>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</si>
  <si>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</si>
  <si>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</si>
  <si>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</si>
  <si>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</si>
  <si>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</si>
  <si>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</si>
  <si>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</si>
  <si>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</si>
  <si>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</si>
  <si>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</si>
  <si>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</si>
  <si>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</si>
  <si>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</si>
  <si>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</si>
  <si>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</si>
  <si>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</si>
  <si>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</si>
  <si>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</si>
  <si>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</si>
  <si>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</si>
  <si>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</si>
  <si>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</si>
  <si>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</si>
  <si>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</si>
  <si>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</si>
  <si>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</si>
  <si>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</si>
  <si>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</si>
  <si>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</si>
  <si>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</si>
  <si>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</si>
  <si>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</si>
  <si>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</si>
  <si>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</si>
  <si>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</si>
  <si>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</si>
  <si>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</si>
  <si>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</si>
  <si>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</si>
  <si>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</si>
  <si>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</si>
  <si>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NWS Albany – Past Weather Events (weather.gov/aly/pastevents) ; The News-Herald (Ravena/Coeymans), Jan 2 1970 ('Picture of Storm in Local Area' / 'A Wedding Story in the Storm') [uploaded PDF scan]</t>
  </si>
  <si>
    <t xml:space="preserve">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</si>
  <si>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</si>
  <si>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</si>
  <si>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</si>
  <si>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</si>
  <si>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</si>
  <si>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</si>
  <si>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</si>
  <si>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</si>
  <si>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</si>
  <si>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</si>
  <si>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</si>
  <si>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</si>
  <si>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</si>
  <si>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</si>
  <si>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</si>
  <si>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</si>
  <si>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</si>
  <si>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</si>
  <si>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</si>
  <si>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</si>
  <si>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</si>
  <si>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</si>
  <si>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</si>
  <si>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</si>
  <si>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</si>
  <si>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</si>
  <si>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</si>
  <si>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</si>
  <si>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</si>
  <si>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</si>
  <si>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1975-03-01</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</si>
  <si>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</si>
  <si>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</si>
  <si>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</si>
  <si>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</si>
  <si>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</si>
  <si>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</si>
  <si>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</si>
  <si>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</si>
  <si>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</si>
  <si>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</si>
  <si>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</si>
  <si>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</si>
  <si>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</si>
  <si>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</si>
  <si>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</si>
  <si>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</si>
  <si>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</si>
  <si>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</si>
  <si>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</si>
  <si>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</si>
  <si>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</si>
  <si>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</si>
  <si>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</si>
  <si>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</si>
  <si>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</si>
  <si>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</si>
  <si>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</si>
  <si>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</si>
  <si>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</si>
  <si>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</si>
  <si>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</si>
  <si>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</si>
  <si>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</si>
  <si>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</si>
  <si>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</si>
  <si>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</si>
  <si>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</si>
  <si>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</si>
  <si>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</si>
  <si>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</si>
  <si>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</si>
  <si>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</si>
  <si>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</si>
  <si>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</si>
  <si>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</si>
  <si>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</si>
  <si>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</si>
  <si>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</si>
  <si>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</si>
  <si>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</si>
  <si>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</si>
  <si>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</si>
  <si>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</si>
  <si>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</si>
  <si>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</si>
  <si>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</si>
  <si>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</si>
  <si>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</si>
  <si>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</si>
  <si>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</si>
  <si>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</si>
  <si>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</si>
  <si>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</si>
  <si>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</si>
  <si>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</si>
  <si>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</si>
  <si>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</si>
  <si>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</si>
  <si>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</si>
  <si>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</si>
  <si>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</si>
  <si>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</si>
  <si>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</si>
  <si>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</si>
  <si>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</si>
  <si>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</si>
  <si>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</si>
  <si>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</si>
  <si>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</si>
  <si>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</si>
  <si>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</si>
  <si>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</si>
  <si>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</si>
  <si>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</si>
  <si>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</si>
  <si>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</si>
  <si>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</si>
  <si>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</si>
  <si>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</si>
  <si>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</si>
  <si>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</si>
  <si>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</si>
  <si>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</si>
  <si>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</si>
  <si>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</si>
  <si>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</si>
  <si>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</si>
  <si>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</si>
  <si>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</si>
  <si>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</si>
  <si>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</si>
  <si>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</si>
  <si>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</si>
  <si>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</si>
  <si>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</si>
  <si>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</si>
  <si>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</si>
  <si>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</si>
  <si>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</si>
  <si>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</si>
  <si>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</si>
  <si>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</si>
  <si>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2026-09-22 (v835, atlas session): ENRICHED per Laurie (NTSB findings as summarized on Wikipedia): collapse the morning of Apr 5 1987 in an estimated 50-year flood — snowmelt plus ~150 mm (5.9 in) rain. Pier 3 failed first (scour), taking spans 3–4; pier 2 and span 2 fell ~90 min later; pier 1/span 1 shifted ~2 h after that. NTSB suggested the pier-3 wreckage partially dammed the channel and redirected/accelerated flow onto pier 2. Six days later the Mill Point Bridge, ~3.1 mi upstream and already closed for eroded foundations, lost a large section. Bridge site coordinate supplied by Laurie: 42.93136, -74.27828.</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</si>
  <si>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</si>
  <si>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</si>
  <si>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</si>
  <si>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</si>
  <si>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</si>
  <si>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NWS Albany – Past Weather Events (weather.gov/aly/pastevents) ; The Altamont Enterprise, Oct 15 1987, 'Costs Coming In For Storm Damage' + Conners column (scan)</t>
  </si>
  <si>
    <t xml:space="preserve">2026-09-23 (v852, atlas session): ENRICHED — &gt;200,000 NiMo customers out (75% of the utility's 270,000 Capital District customers); last restored 6 a.m. Tue Oct 13, on the Voorheesville–East Berne line, where a helicopter landing pad was cut into the escarpment to evacuate an injured tree crewman; NiMo damage ~$12M (TU estimate; $11.5M policy, $2.5M deductible); Guilderland cleanup $30–40k, 12-hr days; FEMA: 'no dough for snow'; wet snow on leafed-out trees; first killing frost followed Oct 13. Apples knocked off across Guilderland/New Scotland orchards.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</si>
  <si>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</si>
  <si>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</si>
  <si>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</si>
  <si>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</si>
  <si>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</si>
  <si>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</si>
  <si>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</si>
  <si>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</si>
  <si>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</si>
  <si>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</si>
  <si>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</si>
  <si>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</si>
  <si>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</si>
  <si>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</si>
  <si>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</si>
  <si>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</si>
  <si>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Wikipedia event article (secondary; verify against NCEI/NHC) ; The News-Herald (Ravena), Jul 13 1989, 'Storm Fells Tree On Martin's Hill; Schoharie County Feels Brunt' (scan)</t>
  </si>
  <si>
    <t xml:space="preserve">https://en.wikipedia.org/wiki/July_1989_Northeastern_United_States_tornado_outbreak</t>
  </si>
  <si>
    <t xml:space="preserve">Passed within a few miles of Westerlo. 2026-09-23 (v851, atlas session): ENRICHED — same storm reached Ravena ~4 p.m. Jul 10 1989 (tree split on Martin's Hill, willow onto a pole on Rte 143, Palmer Dr tree); Central Hudson: ~5,000 without power across Cairo, Catskill, So. Cairo, Surprise, Westerlo, Rensselaerville, Greenville, Leeds, Hannacroix, Coeymans Hollow; 1½ in rain; in Schoharie Co. a Cobleskill home sheared off its foundation and dropped onto Rte 7 onto a car (no injuries), state of emergency, ≥15 structures beyond repair in Carlisle; two tornadoes later in Putnam Co.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</si>
  <si>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</si>
  <si>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</si>
  <si>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</si>
  <si>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</si>
  <si>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</si>
  <si>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</si>
  <si>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</si>
  <si>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</si>
  <si>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</si>
  <si>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</si>
  <si>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</si>
  <si>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</si>
  <si>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</si>
  <si>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</si>
  <si>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</si>
  <si>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</si>
  <si>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</si>
  <si>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</si>
  <si>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</si>
  <si>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</si>
  <si>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</si>
  <si>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</si>
  <si>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</si>
  <si>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</si>
  <si>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</si>
  <si>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</si>
  <si>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</si>
  <si>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</si>
  <si>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</si>
  <si>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</si>
  <si>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</si>
  <si>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NWS Albany – Past Weather Events (weather.gov/aly/pastevents) ; A Hilltowns weekly (attributed to The Altamont Enterprise - masthead cut off in scan), Mar 18 1993 ('News &amp; Views / Dear Maisie' column) [uploaded PDF scan]</t>
  </si>
  <si>
    <t xml:space="preserve">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</si>
  <si>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</si>
  <si>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</si>
  <si>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</si>
  <si>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</si>
  <si>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</si>
  <si>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</si>
  <si>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</si>
  <si>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</si>
  <si>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</si>
  <si>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</si>
  <si>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</si>
  <si>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</si>
  <si>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</si>
  <si>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</si>
  <si>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</si>
  <si>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</si>
  <si>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2026-09-23 (v854, atlas session): NWS Albany / CBS6 'Today in Weather History': 77 mph gust at Albany County Airport 6:41 a.m. Jul 15 1995, line-echo-wave pattern from Rutland Co. VT to east of Binghamton, hurricane-force gusts and widespread outages across the Capital Region before daybreak; 92 mph in Berkshire Co. MA ~15 min later.</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</si>
  <si>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</si>
  <si>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</si>
  <si>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</si>
  <si>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</si>
  <si>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</si>
  <si>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</si>
  <si>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</si>
  <si>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</si>
  <si>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</si>
  <si>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</si>
  <si>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</si>
  <si>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NWS Albany – Past Weather Events (weather.gov/aly/pastevents) ; The Altamont Enterprise, Oct 10 1996 (FEMA recovery report; scan)</t>
  </si>
  <si>
    <t xml:space="preserve">2026-09-23 (v852, atlas session): ENRICHED — Hilltowns FEMA tally: Rensselaerville 52 projects, &gt;$427k (10-Mile and Catskill creek valleys, 'gashes three or four feet deep', Roney Rd washed out completely); Berne $125,709+ (Rowe, Game Farm, Gifford Hollow, Cass Hill, Gulf Hill, Irish Hill roads; Taber Rd bridge; Fox Creek dam in Berne hamlet damaged; Fox Creek Park); Knox 13 roads, ~$120k damage, $80,552 received; Guilderland $42,847 (Covington Woods washout); New Scotland $293,645 expected; Altamont $39,300 — ice jam broken up on the intermittent stream below the village and another on Prospect Terrace; Voorheesville school $53,213, Vly Creek into a school gym.</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</si>
  <si>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</si>
  <si>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</si>
  <si>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</si>
  <si>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</si>
  <si>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</si>
  <si>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</si>
  <si>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</si>
  <si>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</si>
  <si>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</si>
  <si>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</si>
  <si>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</si>
  <si>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</si>
  <si>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</si>
  <si>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</si>
  <si>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</si>
  <si>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</si>
  <si>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</si>
  <si>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</si>
  <si>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</si>
  <si>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</si>
  <si>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</si>
  <si>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</si>
  <si>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</si>
  <si>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Tornado Project (Grazulis) NY county list 1950–2012 ; The Altamont Enterprise, Jun 4 1998, 'Storm-tracking specific with Doppler' (scan)</t>
  </si>
  <si>
    <t xml:space="preserve">2026-09-23 (v852, atlas session): ENRICHED — NWS Albany issued 46 warnings May 31 1998, damage in 41; three verified tornadoes: Stillwater/Mechanicville F3 (~200 mph per UAlbany's Landin), a 'minimum' tornado at Albany County Airport, one at East Nassau; a 199-ft tower wrapped around a 130-ft tower at Derbyshire Rd, New Scotland, trees sheared at ~40 ft (funnel aloft, not on the ground); office trailer overturned S of Herkimer by straight-line wind. Context: the Berne Doppler tower was commissioned April 1995 and first tested on the May 29 1995 Great Barrington tornado.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</si>
  <si>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</si>
  <si>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</si>
  <si>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</si>
  <si>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</si>
  <si>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</si>
  <si>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</si>
  <si>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</si>
  <si>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</si>
  <si>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</si>
  <si>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</si>
  <si>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</si>
  <si>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</si>
  <si>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</si>
  <si>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</si>
  <si>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NWS Albany – Past Weather Events (weather.gov/aly/pastevents) ; The Altamont Enterprise, Sep 23 1999 ('High grounds helps Hilltowns') and Oct 14 1999 editorial (scans)</t>
  </si>
  <si>
    <t xml:space="preserve">Albany daily record confirmed on 2026 flood page. 2026-09-23 (v852, atlas session): ENRICHED — Sep 16 1999, up to 10 in of rain, '100-year storm': Western Ave (Rte 20) Guilderland — 250 ft of road sank 15–20 ft where the Hungerkill eroded around its culvert; Knox 18–19 roads damaged, Quay Rd closed Thu–Fri, Lewis Rd rebuilt with 2–30 in riprap; Berne Rtes 443 and 156, Canaday Hill and Beaver Hill Rds closed, Irons Lane culvert, cellars pumped 10–12 hrs, Old Mill Dam repair delayed; Westerlo Rte 404 closed &lt;1 day, Rtes 412/312, Dunbar Hollow and Tan Hollow shoulders, Basic Creek overran its banks; Rensselaerville Catskill Creek washout, Pond Hill Rd culvert; Albany Co. declared a disaster area; FEMA survey 116 households (14 Altamont, 12 Voorheesville, 12 New Scotland).</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</si>
  <si>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</si>
  <si>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</si>
  <si>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</si>
  <si>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</si>
  <si>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</si>
  <si>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</si>
  <si>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</si>
  <si>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</si>
  <si>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</si>
  <si>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</si>
  <si>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</si>
  <si>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</si>
  <si>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</si>
  <si>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</si>
  <si>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</si>
  <si>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</si>
  <si>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</si>
  <si>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</si>
  <si>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</si>
  <si>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</si>
  <si>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</si>
  <si>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</si>
  <si>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NWS Albany – Past Weather Events (weather.gov/aly/pastevents) ; The Altamont Enterprise, Apr 10 2003 ('Ice storms knock out power, inspire charity') [uploaded PDF scan]</t>
  </si>
  <si>
    <t xml:space="preserve">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</si>
  <si>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</si>
  <si>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</si>
  <si>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</si>
  <si>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</si>
  <si>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</si>
  <si>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</si>
  <si>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</si>
  <si>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</si>
  <si>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</si>
  <si>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</si>
  <si>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</si>
  <si>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</si>
  <si>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</si>
  <si>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</si>
  <si>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</si>
  <si>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</si>
  <si>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</si>
  <si>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</si>
  <si>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</si>
  <si>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</si>
  <si>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</si>
  <si>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</si>
  <si>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</si>
  <si>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</si>
  <si>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</si>
  <si>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</si>
  <si>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</si>
  <si>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</si>
  <si>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</si>
  <si>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</si>
  <si>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</si>
  <si>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</si>
  <si>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</si>
  <si>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</si>
  <si>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</si>
  <si>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</si>
  <si>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</si>
  <si>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</si>
  <si>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</si>
  <si>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</si>
  <si>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</si>
  <si>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</si>
  <si>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</si>
  <si>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</si>
  <si>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</si>
  <si>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</si>
  <si>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</si>
  <si>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</si>
  <si>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</si>
  <si>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</si>
  <si>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</si>
  <si>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</si>
  <si>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</si>
  <si>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</si>
  <si>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</si>
  <si>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</si>
  <si>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</si>
  <si>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</si>
  <si>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</si>
  <si>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</si>
  <si>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</si>
  <si>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</si>
  <si>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</si>
  <si>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</si>
  <si>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</si>
  <si>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</si>
  <si>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</si>
  <si>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</si>
  <si>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NWS Albany – Past Weather Events (weather.gov/aly/pastevents) ; The Altamont Enterprise, Apr 19 2007 ('Cellars flooded, roads closed, crops delayed') and May 10 2007 ('County gets FEMA funds, state picks up the rest') (scans)</t>
  </si>
  <si>
    <t xml:space="preserve">2026-09-23 (v853, atlas session): ENRICHED — Hilltowns: up to a foot of snow Sun Apr 15 then heavy rain and wind; BKW closed Mon; Knox VFC pumped 11 houses (4 in to 6 ft of water); Onesquethaw VFC ~20 calls, 17–18 basements (3 in to 4 ft), Feura Bush stream over Rte 32; Berne: Canaday Hill, Switzkill, High Point and Sawmill Rds closed, cellars flooded; Preston Hollow homes on the Catskill Creek flooded; Johnston Rd (Guilderland/New Scotland) 'several hundred thousand dollars' damage, 20 mph/5-ton restriction after reopening; Krumkill Rd $75–100k. FEMA disaster declaration for damage Apr 14–18, state paid the non-federal share (100% reimbursement); $2.4M of a $5.4M state grant to Albany Co., 2,300 individual applications, county roads $330k. Berne's Alan Zuk: worst since Jan 1996 — 'the water was higher in ninety-six'.</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</si>
  <si>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</si>
  <si>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</si>
  <si>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</si>
  <si>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</si>
  <si>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</si>
  <si>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</si>
  <si>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</si>
  <si>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</si>
  <si>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</si>
  <si>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</si>
  <si>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</si>
  <si>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</si>
  <si>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</si>
  <si>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</si>
  <si>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</si>
  <si>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</si>
  <si>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</si>
  <si>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</si>
  <si>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</si>
  <si>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</si>
  <si>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</si>
  <si>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</si>
  <si>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</si>
  <si>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</si>
  <si>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</si>
  <si>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</si>
  <si>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</si>
  <si>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</si>
  <si>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</si>
  <si>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</si>
  <si>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</si>
  <si>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</si>
  <si>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</si>
  <si>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</si>
  <si>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</si>
  <si>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</si>
  <si>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 ; Titus, R. &amp; J., 'The Schenectady landslide', The Mountain Eagle, Feb 2018 (reposted thecatskillgeologist.com Aug 17 2023)</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</si>
  <si>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</si>
  <si>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 2026-09-23 (v840, atlas session): Titus's 2018 list of Lake Albany rotational slumps they've covered: Delmar, Greenport, Rensselaer, Germantown, New Baltimore ('a few years ago' as of 2018), with Hyde Park historic sites at risk. GAPS: no dated Germantown slide and no dated New Baltimore slide in this register — both need a source and date; the Rensselaer one they mean is modern, not row 352 (1902).</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</si>
  <si>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</si>
  <si>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</si>
  <si>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</si>
  <si>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</si>
  <si>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</si>
  <si>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</si>
  <si>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</si>
  <si>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</si>
  <si>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</si>
  <si>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</si>
  <si>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</si>
  <si>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</si>
  <si>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</si>
  <si>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</si>
  <si>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</si>
  <si>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</si>
  <si>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</si>
  <si>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</si>
  <si>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</si>
  <si>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</si>
  <si>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</si>
  <si>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</si>
  <si>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</si>
  <si>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</si>
  <si>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</si>
  <si>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</si>
  <si>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</si>
  <si>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</si>
  <si>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</si>
  <si>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</si>
  <si>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</si>
  <si>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</si>
  <si>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</si>
  <si>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</si>
  <si>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</si>
  <si>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</si>
  <si>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</si>
  <si>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</si>
  <si>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</si>
  <si>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</si>
  <si>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</si>
  <si>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</si>
  <si>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</si>
  <si>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</si>
  <si>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</si>
  <si>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</si>
  <si>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</si>
  <si>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</si>
  <si>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</si>
  <si>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</si>
  <si>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</si>
  <si>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</si>
  <si>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</si>
  <si>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</si>
  <si>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</si>
  <si>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</si>
  <si>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</si>
  <si>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</si>
  <si>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</si>
  <si>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</si>
  <si>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</si>
  <si>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</si>
  <si>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</si>
  <si>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</si>
  <si>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</si>
  <si>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</si>
  <si>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</si>
  <si>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</si>
  <si>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</si>
  <si>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</si>
  <si>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</si>
  <si>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</si>
  <si>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</si>
  <si>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</si>
  <si>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</si>
  <si>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</si>
  <si>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</si>
  <si>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</si>
  <si>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</si>
  <si>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</si>
  <si>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</si>
  <si>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</si>
  <si>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</si>
  <si>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</si>
  <si>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</si>
  <si>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</si>
  <si>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</si>
  <si>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</si>
  <si>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</si>
  <si>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</si>
  <si>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</si>
  <si>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</si>
  <si>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</si>
  <si>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</si>
  <si>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</si>
  <si>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</si>
  <si>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</si>
  <si>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</si>
  <si>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</si>
  <si>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</si>
  <si>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</si>
  <si>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</si>
  <si>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</si>
  <si>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</si>
  <si>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</si>
  <si>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</si>
  <si>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</si>
  <si>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</si>
  <si>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</si>
  <si>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</si>
  <si>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</si>
  <si>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</si>
  <si>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</si>
  <si>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</si>
  <si>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</si>
  <si>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</si>
  <si>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</si>
  <si>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</si>
  <si>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</si>
  <si>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</si>
  <si>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</si>
  <si>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</si>
  <si>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</si>
  <si>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</si>
  <si>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</si>
  <si>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</si>
  <si>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</si>
  <si>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</si>
  <si>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</si>
  <si>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</si>
  <si>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</si>
  <si>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</si>
  <si>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</si>
  <si>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</si>
  <si>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</si>
  <si>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</si>
  <si>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</si>
  <si>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</si>
  <si>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</si>
  <si>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</si>
  <si>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</si>
  <si>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</si>
  <si>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</si>
  <si>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</si>
  <si>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</si>
  <si>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</si>
  <si>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</si>
  <si>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</si>
  <si>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</si>
  <si>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</si>
  <si>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</si>
  <si>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</si>
  <si>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</si>
  <si>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</si>
  <si>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</si>
  <si>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</si>
  <si>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</si>
  <si>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</si>
  <si>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</si>
  <si>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</si>
  <si>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</si>
  <si>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</si>
  <si>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</si>
  <si>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</si>
  <si>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</si>
  <si>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</si>
  <si>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</si>
  <si>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</si>
  <si>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</si>
  <si>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</si>
  <si>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</si>
  <si>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</si>
  <si>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</si>
  <si>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</si>
  <si>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</si>
  <si>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</si>
  <si>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</si>
  <si>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</si>
  <si>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</si>
  <si>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</si>
  <si>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</si>
  <si>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</si>
  <si>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</si>
  <si>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</si>
  <si>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</si>
  <si>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</si>
  <si>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</si>
  <si>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</si>
  <si>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</si>
  <si>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</si>
  <si>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</si>
  <si>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</si>
  <si>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</si>
  <si>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</si>
  <si>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</si>
  <si>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</si>
  <si>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</si>
  <si>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</si>
  <si>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</si>
  <si>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</si>
  <si>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</si>
  <si>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</si>
  <si>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</si>
  <si>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</si>
  <si>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</si>
  <si>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</si>
  <si>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</si>
  <si>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</si>
  <si>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</si>
  <si>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</si>
  <si>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</si>
  <si>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</si>
  <si>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</si>
  <si>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</si>
  <si>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</si>
  <si>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</si>
  <si>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</si>
  <si>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</si>
  <si>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</si>
  <si>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</si>
  <si>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</si>
  <si>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</si>
  <si>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</si>
  <si>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</si>
  <si>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</si>
  <si>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</si>
  <si>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</si>
  <si>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</si>
  <si>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</si>
  <si>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</si>
  <si>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</si>
  <si>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</si>
  <si>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</si>
  <si>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</si>
  <si>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</si>
  <si>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</si>
  <si>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</si>
  <si>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</si>
  <si>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</si>
  <si>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</si>
  <si>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</si>
  <si>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</si>
  <si>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</si>
  <si>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</si>
  <si>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</si>
  <si>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</si>
  <si>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</si>
  <si>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</si>
  <si>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</si>
  <si>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</si>
  <si>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</si>
  <si>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</si>
  <si>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</si>
  <si>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</si>
  <si>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</si>
  <si>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</si>
  <si>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</si>
  <si>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</si>
  <si>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</si>
  <si>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</si>
  <si>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</si>
  <si>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</si>
  <si>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</si>
  <si>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</si>
  <si>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</si>
  <si>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</si>
  <si>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</si>
  <si>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</si>
  <si>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</si>
  <si>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</si>
  <si>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</si>
  <si>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</si>
  <si>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</si>
  <si>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</si>
  <si>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</si>
  <si>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</si>
  <si>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</si>
  <si>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</si>
  <si>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</si>
  <si>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</si>
  <si>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</si>
  <si>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</si>
  <si>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</si>
  <si>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</si>
  <si>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</si>
  <si>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</si>
  <si>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</si>
  <si>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</si>
  <si>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</si>
  <si>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</si>
  <si>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</si>
  <si>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</si>
  <si>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</si>
  <si>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</si>
  <si>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</si>
  <si>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</si>
  <si>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</si>
  <si>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</si>
  <si>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</si>
  <si>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</si>
  <si>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</si>
  <si>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</si>
  <si>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</si>
  <si>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</si>
  <si>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</si>
  <si>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</si>
  <si>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</si>
  <si>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</si>
  <si>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</si>
  <si>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</si>
  <si>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</si>
  <si>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</si>
  <si>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</si>
  <si>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</si>
  <si>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</si>
  <si>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</si>
  <si>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</si>
  <si>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</si>
  <si>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</si>
  <si>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</si>
  <si>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</si>
  <si>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</si>
  <si>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</si>
  <si>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</si>
  <si>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</si>
  <si>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</si>
  <si>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</si>
  <si>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</si>
  <si>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</si>
  <si>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</si>
  <si>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</si>
  <si>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</si>
  <si>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</si>
  <si>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</si>
  <si>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</si>
  <si>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</si>
  <si>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</si>
  <si>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</si>
  <si>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</si>
  <si>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</si>
  <si>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</si>
  <si>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</si>
  <si>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</si>
  <si>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</si>
  <si>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</si>
  <si>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</si>
  <si>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</si>
  <si>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</si>
  <si>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</si>
  <si>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</si>
  <si>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</si>
  <si>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</si>
  <si>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</si>
  <si>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</si>
  <si>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</si>
  <si>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</si>
  <si>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</si>
  <si>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</si>
  <si>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</si>
  <si>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</si>
  <si>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</si>
  <si>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</si>
  <si>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</si>
  <si>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</si>
  <si>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</si>
  <si>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</si>
  <si>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</si>
  <si>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</si>
  <si>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</si>
  <si>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</si>
  <si>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</si>
  <si>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</si>
  <si>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</si>
  <si>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</si>
  <si>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</si>
  <si>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</si>
  <si>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</si>
  <si>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</si>
  <si>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</si>
  <si>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</si>
  <si>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</si>
  <si>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</si>
  <si>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</si>
  <si>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</si>
  <si>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</si>
  <si>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</si>
  <si>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</si>
  <si>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</si>
  <si>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</si>
  <si>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flood drowning, Onesquethaw Creek</t>
  </si>
  <si>
    <t xml:space="preserve">Clarksville / New Scotland (Onesquethaw Creek)</t>
  </si>
  <si>
    <t xml:space="preserve">1 drowning: a 68-year-old resident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</si>
  <si>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</si>
  <si>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</si>
  <si>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</si>
  <si>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 UPDATE 2026-09-21: named victim removed per Laurie — kept as an anonymized hazard record (age, mechanism, location); do not re-add a name.</t>
  </si>
  <si>
    <t xml:space="preserve">2011-08-29</t>
  </si>
  <si>
    <t xml:space="preserve">Irene flood drowning, Route 5S</t>
  </si>
  <si>
    <t xml:space="preserve">Route 5S, Montgomery Co.</t>
  </si>
  <si>
    <t xml:space="preserve">1 drowning: a 72-year-old man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</si>
  <si>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</si>
  <si>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 UPDATE 2026-09-21: named victim removed per Laurie — kept as an anonymized hazard record (age, mechanism, location); do not re-add a name.</t>
  </si>
  <si>
    <t xml:space="preserve">Flood fatality (indirect)</t>
  </si>
  <si>
    <t xml:space="preserve">Irene indirect death, McKownville</t>
  </si>
  <si>
    <t xml:space="preserve">McKownville / Guilderland (Parkwood Ave)</t>
  </si>
  <si>
    <t xml:space="preserve">1 indirect death: an 88-year-old resident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</si>
  <si>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</si>
  <si>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 UPDATE 2026-09-21: named victim removed per Laurie — kept as an anonymized hazard record (age, mechanism, location); do not re-add a name.</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</si>
  <si>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</si>
  <si>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</si>
  <si>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</si>
  <si>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</si>
  <si>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</si>
  <si>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</si>
  <si>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</si>
  <si>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</si>
  <si>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</si>
  <si>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</si>
  <si>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</si>
  <si>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</si>
  <si>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</si>
  <si>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</si>
  <si>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</si>
  <si>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</si>
  <si>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</si>
  <si>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</si>
  <si>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</si>
  <si>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</si>
  <si>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</si>
  <si>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</si>
  <si>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</si>
  <si>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</si>
  <si>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</si>
  <si>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</si>
  <si>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</si>
  <si>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</si>
  <si>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</si>
  <si>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</si>
  <si>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</si>
  <si>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</si>
  <si>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</si>
  <si>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</si>
  <si>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</si>
  <si>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</si>
  <si>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</si>
  <si>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</si>
  <si>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</si>
  <si>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</si>
  <si>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</si>
  <si>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</si>
  <si>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</si>
  <si>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</si>
  <si>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</si>
  <si>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</si>
  <si>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</si>
  <si>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</si>
  <si>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</si>
  <si>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</si>
  <si>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</si>
  <si>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</si>
  <si>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</si>
  <si>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</si>
  <si>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</si>
  <si>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</si>
  <si>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</si>
  <si>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</si>
  <si>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</si>
  <si>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</si>
  <si>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</si>
  <si>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</si>
  <si>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</si>
  <si>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</si>
  <si>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</si>
  <si>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</si>
  <si>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</si>
  <si>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</si>
  <si>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</si>
  <si>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</si>
  <si>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</si>
  <si>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</si>
  <si>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</si>
  <si>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</si>
  <si>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</si>
  <si>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</si>
  <si>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</si>
  <si>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</si>
  <si>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</si>
  <si>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</si>
  <si>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</si>
  <si>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</si>
  <si>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</si>
  <si>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</si>
  <si>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</si>
  <si>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</si>
  <si>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</si>
  <si>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</si>
  <si>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</si>
  <si>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</si>
  <si>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</si>
  <si>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</si>
  <si>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</si>
  <si>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</si>
  <si>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</si>
  <si>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</si>
  <si>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</si>
  <si>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</si>
  <si>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</si>
  <si>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</si>
  <si>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</si>
  <si>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</si>
  <si>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</si>
  <si>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</si>
  <si>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</si>
  <si>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</si>
  <si>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</si>
  <si>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</si>
  <si>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</si>
  <si>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</si>
  <si>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</si>
  <si>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</si>
  <si>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</si>
  <si>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</si>
  <si>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</si>
  <si>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</si>
  <si>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</si>
  <si>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</si>
  <si>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</si>
  <si>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</si>
  <si>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</si>
  <si>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</si>
  <si>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</si>
  <si>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</si>
  <si>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</si>
  <si>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</si>
  <si>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</si>
  <si>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</si>
  <si>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</si>
  <si>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</si>
  <si>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</si>
  <si>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</si>
  <si>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</si>
  <si>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</si>
  <si>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</si>
  <si>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</si>
  <si>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</si>
  <si>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</si>
  <si>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</si>
  <si>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</si>
  <si>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</si>
  <si>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</si>
  <si>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</si>
  <si>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</si>
  <si>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</si>
  <si>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</si>
  <si>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</si>
  <si>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</si>
  <si>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</si>
  <si>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</si>
  <si>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</si>
  <si>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</si>
  <si>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</si>
  <si>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</si>
  <si>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</si>
  <si>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</si>
  <si>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 The Argus (Albany), Dec 27 1893 ("Landslide on the D. and H.", Cobleskill dispatch) [uploaded PDF scan]</t>
  </si>
  <si>
    <t xml:space="preserve">~25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</si>
  <si>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</si>
  <si>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</si>
  <si>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</si>
  <si>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</si>
  <si>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</si>
  <si>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</si>
  <si>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</si>
  <si>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</si>
  <si>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</si>
  <si>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</si>
  <si>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</si>
  <si>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</si>
  <si>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</si>
  <si>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</si>
  <si>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</si>
  <si>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</si>
  <si>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</si>
  <si>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</si>
  <si>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</si>
  <si>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</si>
  <si>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</si>
  <si>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</si>
  <si>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</si>
  <si>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</si>
  <si>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</si>
  <si>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</si>
  <si>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The Altamont Enterprise 24 May 2001 ; The Altamont Enterprise, May 24 2001 ("V'ville centenary inspires town position") [uploaded PDF scan]</t>
  </si>
  <si>
    <t xml:space="preserve">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</si>
  <si>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</si>
  <si>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</si>
  <si>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</si>
  <si>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</si>
  <si>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</si>
  <si>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</si>
  <si>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</si>
  <si>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 Titus, R. &amp; J., 'The Pine Street Flood' (A Bridge is Washed Out), The Mountain Eagle / thecatskillgeologist.com, Aug 7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</si>
  <si>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</si>
  <si>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 2026-09-23 (v848, atlas session): ENRICHED (Titus Aug 7 2026 follow-up): the 2025 flood destroyed the Pine St bridge (local TV); Town Highway Dept crew rebuilding it said it has washed out 'at least several times before'; channel bed carries large rounded cobbles and small boulders; Titus's mechanism — Kaaterskill Creek overtops its left bank in floods where the distributary's headward erosion nearly reaches it, and the overflow is forced down the small channel as a boulder-moving torrent. Pinned (approx) this pass.</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</si>
  <si>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</si>
  <si>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</si>
  <si>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</si>
  <si>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</si>
  <si>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</si>
  <si>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</si>
  <si>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 ; Titus, R. &amp; J., 'The Schenectady landslide', The Mountain Eagle, Feb 2018 (reposted thecatskillgeologist.com Aug 17 2023)</t>
  </si>
  <si>
    <t xml:space="preserve">The register's only FATAL clay slide. Linked to the Northeast Floods of January 1996 (rain on the Blizzard-of-'96 snowpack). A Lake Albany delta rotational slump. 2026-09-23 (v840, atlas session): Titus corroborates — Jan 1996, Broadway near Rte 890 on the slope cut by Pleasant Valley Creek into the Mohawk delta of Glacial Lake Albany; after heavy rain; one man killed (not named). Still no coordinate; Pleasant Valley Creek is the locus to find.</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</si>
  <si>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</si>
  <si>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</si>
  <si>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</si>
  <si>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</si>
  <si>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</si>
  <si>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</si>
  <si>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</si>
  <si>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The Catskill Geologist (R. &amp; J. Titus), 'A landslide in Schenectady' (repub. 17 Aug 2023) ; Titus, R. &amp; J., 'The Schenectady landslide', The Mountain Eagle, Feb 2018 (reposted thecatskillgeologist.com Aug 17 2023) ; Titus, R., 'Yellow Alert?', Stories in Stone, The Columbia County Independent, Jul 8 2005 (reposted thecatskillgeologist.com Nov 23 2017)</t>
  </si>
  <si>
    <t xml:space="preserve">Date approximate (spring 2004; set up by heavy autumn-2003 rain). Lake Albany delta rotational slump — 6 houses condemned, no deaths. 2026-09-23 (v840, atlas session): Titus: spring 2004, ground soaked by the previous autumn's rain; Mohawk + an unnamed creek had cut an 80–90 ft slope into the delta at 1st Ave; six houses slowly subsided, all condemned (Titus's recollection — conf B for the count). 2026-09-23 (v843, atlas session): Titus 2005 (contemporaneous, 'last year'): edge of a Lake Albany delta slid, 'doomed six homes' — firmer than his 2018 recollection. 2026-09-23 (v846, atlas session): Titus 'Yellow Alert?' column date uncertain (2005 vs 2007) — see rows 371/372.</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</si>
  <si>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</si>
  <si>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</si>
  <si>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</si>
  <si>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</si>
  <si>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</si>
  <si>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</si>
  <si>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 USGS Landslide Inventories v3.0 (DOI 10.5066/P14AJF8I) — NASA GLC pt193496 (media source Hudson Valley 360) [uploaded dataset] ; Titus, R., 'The threat of landslides', thecatskillgeologist.com, Nov 23 2017</t>
  </si>
  <si>
    <t xml:space="preserve">https://thecatskillgeologist.com/2023/07/14/a-landslide-across-the-river-july-13-2023/</t>
  </si>
  <si>
    <t xml:space="preserve">~25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 2026-09-23 (v843, atlas session): Titus (Nov 23 2017) — recurrence at the Bridge St club (his 'Young Italian Men and Women's Club'), 'something that happened once before, right there in 2006'; he'd flagged the risk in 2005.</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</si>
  <si>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</si>
  <si>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</si>
  <si>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</si>
  <si>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</si>
  <si>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</si>
  <si>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 ; Titus, R., 'The threat of landslides', thecatskillgeologist.com, Nov 23 2017</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</si>
  <si>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</si>
  <si>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</si>
  <si>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</si>
  <si>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</si>
  <si>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</si>
  <si>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</si>
  <si>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</si>
  <si>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</si>
  <si>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 ; The Cohoes Republican, Jan 10 1906 ("Twenty-Three Buried — The Haverstraw Disaster") [uploaded PDF scan] ; Titus, R. &amp; J., 'Haverstraw' (Hudson Valley landslide series), thecatskillgeologist.com, 2025 (pasted by Laurie; exact post date not given)</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</si>
  <si>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</si>
  <si>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 2026-09-23 (v842, atlas session): ENRICHED (Titus): mechanism — Haverstraw sits on ~3 mi of thick, clay-rich Glacial Lake Albany deposits (laid down well offshore, hence the clay); post-Civil-War brick industry (up to ~350 million bricks/yr, dozens of yards) over-steepened the already-steep Hudson bank by digging clay, then TUNNELLED under downtown and the yards to mine it; downtown and yards built right up to the excavated edge. Winter 1905–06 cold and snowy, then heavy rain (rain-on-snow), saturating the clays over the tunnels. Night of Jan 7–8 1906: ~six square blocks sank into an expanding pit; broken gas lines ignited and most of the town burned. Titus calls it among the least disputed cases of a human-caused landslide. Adds nothing to the toll discrepancy (23+ vs 19). 2026-09-23 (v844, atlas session): Titus (Mar 2018) gives the toll as 19 and 'six square city blocks' — supports the register's settled figure over the contemporaneous '23 or more'.</t>
  </si>
  <si>
    <t xml:space="preserve">Night of Jan 7-8 1906</t>
  </si>
  <si>
    <t xml:space="preserve">2000-05-17</t>
  </si>
  <si>
    <t xml:space="preserve">2000-05-19</t>
  </si>
  <si>
    <t xml:space="preserve">Bethlehem (Delaware Ave) landslide, Normans Kill</t>
  </si>
  <si>
    <t xml:space="preserve">Delaware Ave / Normans Kill ravine, Bethlehem (Albany Co.), border with the City of Albany</t>
  </si>
  <si>
    <t xml:space="preserve">400 linear feet of rain-saturated hillside (earth, trees, shrubs) detached behind Hoffman's Car Wash and fell into the Normans Kill ravine; the debris dammed a 90-ft-wide, 200-300-ft-long stretch of the creek</t>
  </si>
  <si>
    <t xml:space="preserve">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</si>
  <si>
    <t xml:space="preserve">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 ; Titus, R., 'Yellow Alert?', Stories in Stone, The Columbia County Independent, Jul 8 2005 (reposted thecatskillgeologist.com Nov 23 2017)</t>
  </si>
  <si>
    <t xml:space="preserve">https://www.timesunion.com/</t>
  </si>
  <si>
    <t xml:space="preserve">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2026-09-23 (v843, atlas session): Titus 2005 recalls 'the Delmar slump… put a major road out of commission for quite some time' — Lake Albany sediments into the Normans Kill. 2026-09-23 (v846, atlas session): Titus 'Yellow Alert?' column date uncertain (2005 vs 2007) — see rows 371/372.</t>
  </si>
  <si>
    <t xml:space="preserve">Slide began May 17 2000 UTC; road closure/emergency phase ran through the 19th-23rd per photo captions</t>
  </si>
  <si>
    <t xml:space="preserve">2025-10-13</t>
  </si>
  <si>
    <t xml:space="preserve">2026-08-03</t>
  </si>
  <si>
    <t xml:space="preserve">Hoffman Car Wash (Delmar) closure → permanent, will not reopen</t>
  </si>
  <si>
    <t xml:space="preserve">Delaware Ave, Delmar (Bethlehem, Albany Co.) — same site as the 2000 landslide</t>
  </si>
  <si>
    <t xml:space="preserve">A 23-ft-deep crack opened in the parking lot with a slight downward ground shift; engineering slope-stability rating of 1.0 (forces of stability = forces of instability — a potentially unstable slope)</t>
  </si>
  <si>
    <t xml:space="preserve">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</si>
  <si>
    <t xml:space="preserve">News10/WTEN (Vanessa Blasi, Oct 2025); Times Union (Patrick Tine, Aug 3 2026), citing Spotlight News as first report of the permanent closure</t>
  </si>
  <si>
    <t xml:space="preserve">https://www.news10.com/</t>
  </si>
  <si>
    <t xml:space="preserve">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</si>
  <si>
    <t xml:space="preserve">Article dateline; closure took effect 6pm Oct 12 2025</t>
  </si>
  <si>
    <t xml:space="preserve">2023-10-21</t>
  </si>
  <si>
    <t xml:space="preserve">2023-10-23</t>
  </si>
  <si>
    <t xml:space="preserve">Scarborough (Hudson Line) mudslide, Metro-North &amp; Amtrak suspension</t>
  </si>
  <si>
    <t xml:space="preserve">Hudson Line tracks near Scarborough station, Briarcliff Manor (Westchester Co.) — ~4 mi S of the Mario Cuomo Bridge (OUT OF CORE FOOTPRINT, ~90+ mi S)</t>
  </si>
  <si>
    <t xml:space="preserve">350 cubic yards of soil/debris + 250 cubic yards of rock and cement retaining wall came down onto the tracks, initially burying all four Hudson Line tracks</t>
  </si>
  <si>
    <t xml:space="preserve">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</si>
  <si>
    <t xml:space="preserve">New York Daily News (Theresa Braine, Oct 22 2023), citing MTA/Metro-North, Amtrak, and Gov. Kathy Hochul's office</t>
  </si>
  <si>
    <t xml:space="preserve">https://www.nydailynews.com/</t>
  </si>
  <si>
    <t xml:space="preserve">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</si>
  <si>
    <t xml:space="preserve">Slide occurred Sat Oct 21 2023; Metro-North + Amtrak both suspended through Sun Oct 22, most service restored Monday Oct 23</t>
  </si>
  <si>
    <t xml:space="preserve">2021-05-13</t>
  </si>
  <si>
    <t xml:space="preserve">Groesbeck Place landslide, Delmar (Bethlehem)</t>
  </si>
  <si>
    <t xml:space="preserve">Cul-de-sac backyards, Groesbeck Place off Delaware Ave, Delmar (Bethlehem, Albany Co.) — Normans Kill corridor</t>
  </si>
  <si>
    <t xml:space="preserve">Land dropped more than 20 ft down across an area ~300 ft wide behind two 1950s-era homes; town supervisor David VanLuven called it one of the largest slides he'd seen in recent years</t>
  </si>
  <si>
    <t xml:space="preserve">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</si>
  <si>
    <t xml:space="preserve">Times Union (Claire Bryan, updated May 17 2021)</t>
  </si>
  <si>
    <t xml:space="preserve">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 2026-09-23 (v846, atlas session): Titus's Jul 22 2021 repost of 'Yellow Alert?' is headed 'LANDSLIDE IN GLENMONT' — likely prompted by this May 2021 Groesbeck Place slide (Delmar/Glenmont line) or a further Glenmont slide that July; no separate July 2021 event entered.</t>
  </si>
  <si>
    <t xml:space="preserve">Body text: found Thursday morning; article/photos dated the following Monday, May 17 2021</t>
  </si>
  <si>
    <t xml:space="preserve">2015-04-19</t>
  </si>
  <si>
    <t xml:space="preserve">2015-04-20</t>
  </si>
  <si>
    <t xml:space="preserve">Normanside Country Club landslide, Normans Kill</t>
  </si>
  <si>
    <t xml:space="preserve">Slope above the Normans Kill near Normanside Country Club, Bethlehem (Albany Co.)</t>
  </si>
  <si>
    <t xml:space="preserve">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</si>
  <si>
    <t xml:space="preserve">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</si>
  <si>
    <t xml:space="preserve">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</si>
  <si>
    <t xml:space="preserve">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</si>
  <si>
    <t xml:space="preserve">Referenced only as "2015" in the available source; exact date not yet found</t>
  </si>
  <si>
    <t xml:space="preserve">Cauterskill Road landslide, Catskill (condemned home)</t>
  </si>
  <si>
    <t xml:space="preserve">5525 Cauterskill Rd, Catskill (Greene Co.)</t>
  </si>
  <si>
    <t xml:space="preserve">Soil around the foundation gave way after heavy rain earlier that week; the back edges of the house were left hanging over open air</t>
  </si>
  <si>
    <t xml:space="preserve">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</si>
  <si>
    <t xml:space="preserve">Times Union (Roger Hannigan Gilson, May 10 2024)</t>
  </si>
  <si>
    <t xml:space="preserve">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</si>
  <si>
    <t xml:space="preserve">Whittaker: ground gave way "Tuesday afternoon"; article published/dated Friday May 10 2024, so Tuesday = May 7 2024</t>
  </si>
  <si>
    <t xml:space="preserve">2025-05-10</t>
  </si>
  <si>
    <t xml:space="preserve">Mann Drive landslide, Castleton-on-Hudson</t>
  </si>
  <si>
    <t xml:space="preserve">5-8 Mann Drive, Castleton-on-Hudson (Rensselaer Co.)</t>
  </si>
  <si>
    <t xml:space="preserve">5 Mann Drive sank at least 3 ft into the ground; the foundation 'washed out' from underneath the home, which was left standing on its piers; a portion of the road also collapsed</t>
  </si>
  <si>
    <t xml:space="preserve">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</si>
  <si>
    <t xml:space="preserve">Times Union (Tyler A. McNeil, May 13 2025)</t>
  </si>
  <si>
    <t xml:space="preserve">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</si>
  <si>
    <t xml:space="preserve">Article: landslide occurred "on Saturday"; published Tuesday May 13 2025, so Saturday = May 10 2025</t>
  </si>
  <si>
    <t xml:space="preserve">2024-03-11</t>
  </si>
  <si>
    <t xml:space="preserve">Spring Avenue landslide, Troy</t>
  </si>
  <si>
    <t xml:space="preserve">Spring Ave between Walker and Linden Aves, Troy (Rensselaer Co.)</t>
  </si>
  <si>
    <t xml:space="preserve">Landslide took out utility poles and trees along a stretch of Spring Ave, a prominent Eastside-to-downtown shortcut</t>
  </si>
  <si>
    <t xml:space="preserve">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</si>
  <si>
    <t xml:space="preserve">Times Union (Kenneth C. Crowe II, March 12 2024)</t>
  </si>
  <si>
    <t xml:space="preserve">Added 2026-09-21 per Laurie (article text supplied directly). Same Mount Ida Delta as the 1837/1859 Troy landslides already in this register — a fourth Hudson Valley slide corridor event this session, and the most direct tie yet to an already-mapped Lake Albany delta site.</t>
  </si>
  <si>
    <t xml:space="preserve">Article: "Monday landslide," published/dated Tuesday March 12 2024, so Monday = March 11 2024</t>
  </si>
  <si>
    <t xml:space="preserve">2020-05-03</t>
  </si>
  <si>
    <t xml:space="preserve">2021-04-03</t>
  </si>
  <si>
    <t xml:space="preserve">Waterford (Weaver Ave / Middletown Rd) landslide</t>
  </si>
  <si>
    <t xml:space="preserve">Weaver Ave &amp; Middletown Rd, Waterford (Saratoga Co.)</t>
  </si>
  <si>
    <t xml:space="preserve">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</si>
  <si>
    <t xml:space="preserve">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</si>
  <si>
    <t xml:space="preserve">Times Union (Massarah Mikati, May 4 2020; Wendy Liberatore, May 7 and Jul 6 2020); Times Union (Wendy Liberatore, Apr 3 2021); Times Union staff report (May 9 2020)</t>
  </si>
  <si>
    <t xml:space="preserve">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</si>
  <si>
    <t xml:space="preserve">Initial slide "on Sunday" per photo caption (May 3, ahead of the May 5 photo date); still active/worsening through the May 7 update</t>
  </si>
  <si>
    <t xml:space="preserve">2018-01-28</t>
  </si>
  <si>
    <t xml:space="preserve">2019-05-01</t>
  </si>
  <si>
    <t xml:space="preserve">Landslide (man-caused / infrastructure)</t>
  </si>
  <si>
    <t xml:space="preserve">Barney St / Nott Terrace landslide, Schenectady</t>
  </si>
  <si>
    <t xml:space="preserve">Land behind Barney St, above Nott Terrace, Schenectady (Schenectady Co.)</t>
  </si>
  <si>
    <t xml:space="preserve">Hillside collapse on Jan 28 2018 damaged several buildings on Nott Terrace below; caused by broken water service lines at 11 and 15 Barney St (per a May 2018 Dente Group engineering report), not a rain/clay-slump mechanism</t>
  </si>
  <si>
    <t xml:space="preserve">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</si>
  <si>
    <t xml:space="preserve">Times Union (Sara Cline, May 1 2019), citing a May 2018 Dente Group engineering report; complaint first reported by the Schenectady Gazette ; Titus, R. &amp; J., 'The Schenectady landslide', The Mountain Eagle, Feb 2018 (reposted thecatskillgeologist.com Aug 17 2023); The Catskill Geologist ; Titus, R. &amp; J., 'The Schenectady landslide', The Mountain Eagle, Feb 2 2018 (posted thecatskillgeologist.com Feb 22 2018) (reposted thecatskillgeologist.com Aug 17 2023)</t>
  </si>
  <si>
    <t xml:space="preserve">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 2026-09-23 (v840, atlas session): Titus (Mountain Eagle Feb 2018): two houses badly damaged, at least one injured, ~two dozen displaced; delta-sediment rotational slump — same mechanism as 1996 Broadway and 2004 1st Ave. 2026-09-23 (v841, atlas session): DUPLICATE row 229 folded in and removed — it carried the Titus column under the blog-post date (2018-02-22), not the slide date. 229's impact summary: Lake Albany delta silts failed after rain/thaw – same warm-up that broke the Mohawk ice jam.</t>
  </si>
  <si>
    <t xml:space="preserve">Collapse date Jan 28 2018 is well-established (lawsuit and report both anchor to it); End date reflects when this report was published, not an ongoing event</t>
  </si>
  <si>
    <t xml:space="preserve">1968-01-01</t>
  </si>
  <si>
    <t xml:space="preserve">1968-12-31</t>
  </si>
  <si>
    <t xml:space="preserve">Mahar Road landslide, Normans Kill (Bethlehem)</t>
  </si>
  <si>
    <t xml:space="preserve">Mahar Rd, Normans Kill corridor, Bethlehem (Albany Co.)</t>
  </si>
  <si>
    <t xml:space="preserve">A landslide at Mahar Road — cited in 2018 reporting as one of the earliest documented slope failures on the Bethlehem-Albany Normans Kill border stretch</t>
  </si>
  <si>
    <t xml:space="preserve">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</si>
  <si>
    <t xml:space="preserve">Times Union (Amanda Fries, Apr 26 2018), passing reference only</t>
  </si>
  <si>
    <t xml:space="preserve">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 2026-09-22 (v838, atlas session): Locus fixed — Mahar Rd = Maher Rd, the Rte 85 corner where the Blue Cross/Blue Shield building stands (1251 New Scotland Rd, Slingerlands). Row 325 (undated slide 'when the Blue Cross building was built', Altamont Enterprise Aug 4 1988) is at this same corner and may be this same 1968 event — unconfirmed; construction year of the building would settle it. Geology pin now carries coordinates.</t>
  </si>
  <si>
    <t xml:space="preserve">Named only as "the 1968 Mahar Road landslide" with no month/day given</t>
  </si>
  <si>
    <t xml:space="preserve">2011-05-06</t>
  </si>
  <si>
    <t xml:space="preserve">2012-07-09</t>
  </si>
  <si>
    <t xml:space="preserve">Keene Valley (Porter Mountain) landslide — largest in NY modern history</t>
  </si>
  <si>
    <t xml:space="preserve">Porter Mountain / Adrians Acres Rd, near Rte 73, Keene (Essex Co., Adirondacks) — OUT OF CORE FOOTPRINT (~90 mi N of Westerlo)</t>
  </si>
  <si>
    <t xml:space="preserve">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</si>
  <si>
    <t xml:space="preserve">NYS Museum monitoring wells (installed post-slide, ~$8,000 each, a dozen along the scarp/toe)</t>
  </si>
  <si>
    <t xml:space="preserve">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</si>
  <si>
    <t xml:space="preserve">Times Union (Brian Nearing, May 28 2011 — original report; Jul 9 2012 follow-up); Times Union (Brian Nearing, Jun 4 2011)</t>
  </si>
  <si>
    <t xml:space="preserve">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</si>
  <si>
    <t xml:space="preserve">First noticed May 6 2011; still actively monitored/creeping as of the July 2012 article</t>
  </si>
  <si>
    <t xml:space="preserve">1982-01-01</t>
  </si>
  <si>
    <t xml:space="preserve">1982-12-31</t>
  </si>
  <si>
    <t xml:space="preserve">Del Lanes Bowling Alley landslide, Normans Kill (Bethlehem)</t>
  </si>
  <si>
    <t xml:space="preserve">Behind Del Lanes Bowling Alley, Normans Kill corridor, Bethlehem (Albany Co.)</t>
  </si>
  <si>
    <t xml:space="preserve">A landslide behind Del Lanes Bowling Alley — cited in 2015 reporting as one of several documented slope failures on the Bethlehem section of the Normans Kill</t>
  </si>
  <si>
    <t xml:space="preserve">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</si>
  <si>
    <t xml:space="preserve">Times Union (Cathleen F. Crowley, updated Jun 22 2015), passing reference only</t>
  </si>
  <si>
    <t xml:space="preserve">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</si>
  <si>
    <t xml:space="preserve">Named only as "a 1982 slide behind Del Lanes Bowling Alley" with no month/day given</t>
  </si>
  <si>
    <t xml:space="preserve">1886-11-20</t>
  </si>
  <si>
    <t xml:space="preserve">Landslide (railroad)</t>
  </si>
  <si>
    <t xml:space="preserve">West Shore Railroad landslide south of Highland</t>
  </si>
  <si>
    <t xml:space="preserve">West Shore RR ~1 mi south of Highland (Lloyd, Ulster Co.), Hudson west bank; ~55 mi S of Westerlo</t>
  </si>
  <si>
    <t xml:space="preserve">South-bound freight ran into the slide and derailed; engine + several freight cars thrown off; one man slightly injured; both tracks obstructed; cleared by noon</t>
  </si>
  <si>
    <t xml:space="preserve">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</si>
  <si>
    <t xml:space="preserve">The Argus (Albany), Nov 21 1886 ("A Landslide on the West Shore") [uploaded PDF scan]</t>
  </si>
  <si>
    <t xml:space="preserve">2026-09-22: added per Laurie (PDF scan). Earliest of a recurring set of Hudson west-bank railroad-cut slides at Highland — shares one Geology pin with the Feb 1903 Central-Hudson slide (this batch).</t>
  </si>
  <si>
    <t xml:space="preserve">"At four o'clock yesterday morning" (paper Sun Nov 21 1886) → ~4 a.m. Sat Nov 20 1886.</t>
  </si>
  <si>
    <t xml:space="preserve">1903-02-27</t>
  </si>
  <si>
    <t xml:space="preserve">Central-Hudson Railroad landslide at Highland station</t>
  </si>
  <si>
    <t xml:space="preserve">NYC Hudson River (Central-Hudson) division, Highland station (~59 rail-mi N of NYC), Lloyd (Ulster Co.); ~55 mi S of Westerlo</t>
  </si>
  <si>
    <t xml:space="preserve">Slide covered both tracks and filled the cut just after train 17 passed; steam-shovel crews sent from Spuyten Duyvil and Poughkeepsie; trains rerouted via the Harlem division; "second landslide within the month" on this division</t>
  </si>
  <si>
    <t xml:space="preserve">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</si>
  <si>
    <t xml:space="preserve">The Argus (Albany), Feb 28 1903 ("Another Landslide — Central Tracks Blocked at Highland Station") [uploaded PDF scan]</t>
  </si>
  <si>
    <t xml:space="preserve">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</si>
  <si>
    <t xml:space="preserve">"delayed again last night" (paper Sat Feb 28 1903) → evening of Fri Feb 27 1903.</t>
  </si>
  <si>
    <t xml:space="preserve">1903-03-10</t>
  </si>
  <si>
    <t xml:space="preserve">1903-03-11</t>
  </si>
  <si>
    <t xml:space="preserve">Mohawk River freshet at Fonda</t>
  </si>
  <si>
    <t xml:space="preserve">Mohawk River at Fonda / Fultonville (Montgomery Co.); ~35 mi NW of Westerlo</t>
  </si>
  <si>
    <t xml:space="preserve">Mohawk rose ~4 ft at Fonda overnight and was still rising; flats between the river and the NY Central tracks flooded; ~2 ft of water over the road to Fultonville</t>
  </si>
  <si>
    <t xml:space="preserve">On the night of Mar 10 1903 the Mohawk River rose about four feet at Fonda and was still rising the next morning; the flats between the river and the New York Central tracks were flooded, with about two feet of water over the road to Fultonville.</t>
  </si>
  <si>
    <t xml:space="preserve">The Cohoes Republican, Mar 11 1903 ("The Mohawk Rising") [uploaded PDF scan]</t>
  </si>
  <si>
    <t xml:space="preserve">2026-09-22: added per Laurie (PDF scan). Same dispatch reports a 50-ft landslide over the Fonda–Johnstown–Gloversville tracks (separate Events row, this batch). Part of the wet late-winter 1903 period (cf. Feb 27 1903 Highland slide). No gage reading; "~4 ft rise" is the paper's figure.</t>
  </si>
  <si>
    <t xml:space="preserve">"Last night the Mohawk river rose about four feet at Fonda and is still rising" (paper Wed Mar 11 1903) → onset night of Mar 10, ongoing Mar 11.</t>
  </si>
  <si>
    <t xml:space="preserve">Landslide over the Fonda–Johnstown–Gloversville tracks</t>
  </si>
  <si>
    <t xml:space="preserve">FJ&amp;G rail line, Fonda / Fultonville vicinity (Montgomery Co.); ~35 mi NW of Westerlo</t>
  </si>
  <si>
    <t xml:space="preserve">A 50-ft length of track buried by a landslide of rocks, trees and earth</t>
  </si>
  <si>
    <t xml:space="preserve">During the Mar 10–11 1903 Mohawk freshet a fifty-foot landslide covered the railroad tracks (Fonda–Johnstown–Gloversville line, running toward Fultonville) with rocks, trees and earth.</t>
  </si>
  <si>
    <t xml:space="preserve">2026-09-22: added per Laurie (PDF scan). Rain/snowmelt-triggered during the Mohawk freshet (companion Events row 310). Register-only (no pin) — exact locus along the line not given. "50 ft" = length of track buried, per the source.</t>
  </si>
  <si>
    <t xml:space="preserve">reported in the same Mar 11 1903 dispatch as the overnight Mohawk rise → Mar 10–11 1903.</t>
  </si>
  <si>
    <t xml:space="preserve">1915-04-28</t>
  </si>
  <si>
    <t xml:space="preserve">Excavation collapse (sand bank, fatality)</t>
  </si>
  <si>
    <t xml:space="preserve">Sand-bank collapse fatality, Sixth Street, Rensselaer</t>
  </si>
  <si>
    <t xml:space="preserve">Sixth Street, Rensselaer (Rensselaer Co.); ~15 mi NE of Westerlo</t>
  </si>
  <si>
    <t xml:space="preserve">One worker (a youth, immigrant laborer) killed by the collapse of a sand bank being excavated</t>
  </si>
  <si>
    <t xml:space="preserve">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</si>
  <si>
    <t xml:space="preserve">The Argus (Albany), May 1 1915 ("Bring Case of Youth to Commission") [uploaded PDF scan]</t>
  </si>
  <si>
    <t xml:space="preserve">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</si>
  <si>
    <t xml:space="preserve">"killed... on last Wednesday morning" (paper Sat May 1 1915) → Wed Apr 28 1915.</t>
  </si>
  <si>
    <t xml:space="preserve">1886-03-17</t>
  </si>
  <si>
    <t xml:space="preserve">Landslide (feared / incipient hazard)</t>
  </si>
  <si>
    <t xml:space="preserve">Kingston brick-clay bank landslide feared</t>
  </si>
  <si>
    <t xml:space="preserve">Hudson-bank clay bank used by brickyards, Kingston (Ulster Co.); ~50 mi S of Westerlo</t>
  </si>
  <si>
    <t xml:space="preserve">A "disastrous landslide" reported as likely from undermining of an immense brick-clay bank; feared to reach the Hudson channel and be "one of the largest" along the river</t>
  </si>
  <si>
    <t xml:space="preserve">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</si>
  <si>
    <t xml:space="preserve">The Argus (Albany), Mar 17 1886 ("A Bad Landslide Feared," Local Briefs) [uploaded PDF scan]</t>
  </si>
  <si>
    <t xml:space="preserve">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</si>
  <si>
    <t xml:space="preserve">date the concern was reported in The Argus (Mar 17 1886); the feared slide itself had no date.</t>
  </si>
  <si>
    <t xml:space="preserve">2000-01-01</t>
  </si>
  <si>
    <t xml:space="preserve">2000-12-31</t>
  </si>
  <si>
    <t xml:space="preserve">Bozenkill Road limestone-ravine erosion, Knox</t>
  </si>
  <si>
    <t xml:space="preserve">Bozenkill Road (CR 253), Knox (Albany Co.), above the 100-ft Bozenkill Falls; ~14 mi W of Westerlo</t>
  </si>
  <si>
    <t xml:space="preserve">Erosion undermining the limestone below the west lane; rock breaking off 4–5 ft at a time; ≥20 ft of rock lost over ~5 years (~1995–2000); July 1999 county geotechnical report found the ravine continues to erode; road-and-bridge replacement approved (construction planned 2001)</t>
  </si>
  <si>
    <t xml:space="preserve">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</si>
  <si>
    <t xml:space="preserve">The Altamont Enterprise, Jun 1 2000 ("Does erosion threaten area roadways?" by William Marley Leight) [uploaded PDF scan]</t>
  </si>
  <si>
    <t xml:space="preserve">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</si>
  <si>
    <t xml:space="preserve">2000-06-01</t>
  </si>
  <si>
    <t xml:space="preserve">date of the Altamont Enterprise report documenting a multi-year (~1995–2000) standing erosion hazard; no single collapse date.</t>
  </si>
  <si>
    <t xml:space="preserve">1888-03-20</t>
  </si>
  <si>
    <t xml:space="preserve">1888-03-25</t>
  </si>
  <si>
    <t xml:space="preserve">River flood (freshet)</t>
  </si>
  <si>
    <t xml:space="preserve">Mohawk freshet at Amsterdam / Port Jackson</t>
  </si>
  <si>
    <t xml:space="preserve">Amsterdam &amp; Port Jackson (Montgomery Co.); ~28 mi NW of Westerlo</t>
  </si>
  <si>
    <t xml:space="preserve">~$10,000 damage; freight blockade on the Central-Hudson RR west of Amsterdam; tracks flooded at Amsterdam</t>
  </si>
  <si>
    <t xml:space="preserve">A spring freshet did about $10,000 of damage at Amsterdam and Port Jackson and blocked freight on the Central-Hudson (NYC Hudson River) division west of there; flooded tracks at Amsterdam held up clearing of the blockade.</t>
  </si>
  <si>
    <t xml:space="preserve">The Argus (Albany), Mar 25 1888 ("Flotsam From the Freshet") [uploaded PDF scan]</t>
  </si>
  <si>
    <t xml:space="preserve">2026-09-22: added per Laurie (PDF scan). Reported as a recent freshet on Sun Mar 25 1888 — almost certainly the thaw/melt following the Blizzard of '88 (Mar 11–14 1888, the register's benchmark storm). Companion to the Stillwater RR-cut slide (row 316, same dispatch).</t>
  </si>
  <si>
    <t xml:space="preserve">1888-03-24</t>
  </si>
  <si>
    <t xml:space="preserve">"The damage done by the freshet" reported Sun Mar 25 1888 — freshet in the days just before; follows the mid-Mar 1888 blizzard thaw.</t>
  </si>
  <si>
    <t xml:space="preserve">Clay landslide in the Central-Hudson cut near Stillwater</t>
  </si>
  <si>
    <t xml:space="preserve">Central-Hudson RR cut near Stillwater (Saratoga Co.); ~25 mi N of Westerlo</t>
  </si>
  <si>
    <t xml:space="preserve">Slide "more serious than expected"; a large gang of men at work clearing the cut; blue/yellow clay continuing to slide in slowly</t>
  </si>
  <si>
    <t xml:space="preserve">During the Mar 1888 freshet a landslide in the Central-Hudson railroad cut near Stillwater proved more serious than expected; a large gang of men was set to clearing it, with the clay continuing to slide in slowly.</t>
  </si>
  <si>
    <t xml:space="preserve">2026-09-22: added per Laurie (PDF scan). Rain/thaw-triggered clay slide in a Hudson-lowland RR cut (companion to the Amsterdam freshet, row 315). Locus "near Stillwater" not pinnable to a point — register-only unless Laurie can fix the cut; CHECK: possible recurring locus.</t>
  </si>
  <si>
    <t xml:space="preserve">reported in the same Mar 25 1888 freshet dispatch — ongoing at that date.</t>
  </si>
  <si>
    <t xml:space="preserve">1890-09-21</t>
  </si>
  <si>
    <t xml:space="preserve">Landslide (clay bank, brickyard)</t>
  </si>
  <si>
    <t xml:space="preserve">Bartlett brickyard clay landslide, north of Hudson</t>
  </si>
  <si>
    <t xml:space="preserve">~1 mi north of Hudson (Columbia Co.); ~35 mi S of Westerlo</t>
  </si>
  <si>
    <t xml:space="preserve">~2,000 tons of blue clay slid from the bank; boiler house + engine room ($5,000 new machinery) and adjoining sheds crushed and buried; ~$20,000 total damage/loss</t>
  </si>
  <si>
    <t xml:space="preserve">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</si>
  <si>
    <t xml:space="preserve">The Argus (Albany), Sep 25 1890, reprinting the Kingston Freeman ("Twenty Thousand Damage — A Big Brick Yard Demolished by a Landslide") [uploaded PDF scan]</t>
  </si>
  <si>
    <t xml:space="preserve">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</si>
  <si>
    <t xml:space="preserve">"demolished Sunday morning" (paper Thu Sep 25 1890) → Sun Sep 21 1890.</t>
  </si>
  <si>
    <t xml:space="preserve">1902-02-02</t>
  </si>
  <si>
    <t xml:space="preserve">1902-02-03</t>
  </si>
  <si>
    <t xml:space="preserve">Feb 1902 blizzard — "worst since 1888"</t>
  </si>
  <si>
    <t xml:space="preserve">Mohawk Valley, Capital Region and northern NY (Amsterdam, Ballston, Cohoes, Malone); also New England</t>
  </si>
  <si>
    <t xml:space="preserve">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</si>
  <si>
    <t xml:space="preserve">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</si>
  <si>
    <t xml:space="preserve">The Cohoes Republican, Feb 3 1902 ("In a Blizzard's Grasp"; "The Mohawk Valley in a Blizzard"; "Houses swayed at Ballston"; "Three Feet of Snow"; "The Wind Storm") [uploaded PDF scan]</t>
  </si>
  <si>
    <t xml:space="preserve">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</si>
  <si>
    <t xml:space="preserve">"All day Sunday... with nightfall the storm increased in fury" (paper Mon Feb 3 1902) → onset Sun Feb 2, into Feb 3 1902.</t>
  </si>
  <si>
    <t xml:space="preserve">1902-03-23</t>
  </si>
  <si>
    <t xml:space="preserve">Landslide (railroad, recurring)</t>
  </si>
  <si>
    <t xml:space="preserve">Recurring clay slide near Iron Works station (Troy &amp; Rensselaer branch)</t>
  </si>
  <si>
    <t xml:space="preserve">Central-Hudson Troy &amp; Rensselaer branch near Iron Works station (Rensselaer Co.); ~15 mi NE of Westerlo</t>
  </si>
  <si>
    <t xml:space="preserve">Slide delayed the local ~2 hours (8:20 → after 10 pm); described as occurring ANNUALLY at a point that has menaced the railroad for several years; yellow clay, retaining walls giving little resistance</t>
  </si>
  <si>
    <t xml:space="preserve">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</si>
  <si>
    <t xml:space="preserve">The Argus (Albany), Mar 24 1902 ("Landslide Near Iron Works") [uploaded PDF scan]</t>
  </si>
  <si>
    <t xml:space="preserve">2026-09-22: added per Laurie (PDF scan). Explicitly a RECURRING annual clay-slide locus (like Highland and Staatsburg) — CHECK: candidate for a ⛰️ Geology pin whose Notes accumulate the recurrence; coordinates for "Iron Works station" on the Troy &amp; Rensselaer branch need research.</t>
  </si>
  <si>
    <t xml:space="preserve">"last night" (paper Mon Mar 24 1902) → Sun Mar 23 1902.</t>
  </si>
  <si>
    <t xml:space="preserve">1903-01-27</t>
  </si>
  <si>
    <t xml:space="preserve">1903-01-31</t>
  </si>
  <si>
    <t xml:space="preserve">Upper Hudson ice-and-log jam near The Glen</t>
  </si>
  <si>
    <t xml:space="preserve">Upper Hudson near The Glen station (Warren Co.); ~50 mi N of Westerlo</t>
  </si>
  <si>
    <t xml:space="preserve">~4,000 logs in the jam; river backed up ~25 ft above usual height; jam threatened for several days to break loose</t>
  </si>
  <si>
    <t xml:space="preserve">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</si>
  <si>
    <t xml:space="preserve">The Argus (Albany), Jan 31 1903 ("Serious Ice Gorge in Upper Hudson", Saratoga dispatch) [uploaded PDF scan]</t>
  </si>
  <si>
    <t xml:space="preserve">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</si>
  <si>
    <t xml:space="preserve">"for several days has threatened" (Saratoga dispatch Jan 30, paper Sat Jan 31 1903) → jam building ~Jan 27–30 1903.</t>
  </si>
  <si>
    <t xml:space="preserve">Mica Insulating Works landslide, western Schenectady</t>
  </si>
  <si>
    <t xml:space="preserve">Western Schenectady (Schenectady Co.); ~20 mi N of Westerlo</t>
  </si>
  <si>
    <t xml:space="preserve">Two buildings of the Mica Insulating Works completely buried; ~$25,000 loss, no insurance; ~25 men thrown out of work; night watchman escaped as the slope let go</t>
  </si>
  <si>
    <t xml:space="preserve">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</si>
  <si>
    <t xml:space="preserve">The Argus (Albany), Jan 31 1903 ("Serious Landslide", Schenectady dispatch) [uploaded PDF scan]</t>
  </si>
  <si>
    <t xml:space="preserve">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</si>
  <si>
    <t xml:space="preserve">"occurred this morning" (Schenectady dispatch, paper Sat Jan 31 1903) → Jan 30 1903.</t>
  </si>
  <si>
    <t xml:space="preserve">1923-11-05</t>
  </si>
  <si>
    <t xml:space="preserve">West Shore Railroad landslide near Milton</t>
  </si>
  <si>
    <t xml:space="preserve">West Shore RR near Milton (Town of Marlborough, Ulster Co.), Hudson west bank; ~50 mi S of Westerlo</t>
  </si>
  <si>
    <t xml:space="preserve">A landslide on the West Shore near Milton "played havoc with the line" on Monday</t>
  </si>
  <si>
    <t xml:space="preserve">A brief in the Ravena News-Herald reported that a landslide on the West Shore Railroad near Milton played havoc with the line on Monday, Nov 5 1923.</t>
  </si>
  <si>
    <t xml:space="preserve">The News-Herald (Ravena), Nov 9 1923 (Ravena "Local Happenings") [uploaded PDF scan]</t>
  </si>
  <si>
    <t xml:space="preserve">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</si>
  <si>
    <t xml:space="preserve">"on Monday" (paper Fri Nov 9 1923) → Mon Nov 5 1923.</t>
  </si>
  <si>
    <t xml:space="preserve">1949-05-05</t>
  </si>
  <si>
    <t xml:space="preserve">1949-05-11</t>
  </si>
  <si>
    <t xml:space="preserve">Heat wave (spring) / late frost</t>
  </si>
  <si>
    <t xml:space="preserve">Early-May 1949 heat spike and cold snap</t>
  </si>
  <si>
    <t xml:space="preserve">Capital Region and statewide (Schenectady, Albany area; Elmira); ~15 mi N of Westerlo (Schenectady)</t>
  </si>
  <si>
    <t xml:space="preserve">Record/near-record heat May 5–6 (Schenectady 94°F May 5, 92°F May 6 — record for the date; Elmira 98°F; Albany area upper-80s), then a sharp drop by Sun May 8 to 40s/low-30s with light frost by Wed May 11</t>
  </si>
  <si>
    <t xml:space="preserve">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</si>
  <si>
    <t xml:space="preserve">The Altamont Enterprise, May 13 1949 ("Warm Weather Followed By Cooler Temperatures") [uploaded PDF scan]</t>
  </si>
  <si>
    <t xml:space="preserve">2026-09-22: added per Laurie (PDF scan). A spring heat-then-frost swing; figures are the paper's (via AP). CHECK: cross-reference the Alcove Dam / Albany daily records in the register's station data for the exact local highs/lows and the frost date.</t>
  </si>
  <si>
    <t xml:space="preserve">1949-05-06</t>
  </si>
  <si>
    <t xml:space="preserve">heat peak May 5–6 1949 (paper Fri May 13 1949, event "last week"); frost followed ~May 11.</t>
  </si>
  <si>
    <t xml:space="preserve">Normanskill landslide at the Blue Cross building (Route 85)</t>
  </si>
  <si>
    <t xml:space="preserve">Normanskill corridor at the Blue Cross building, Route 85 (Slingerlands, New Scotland–Bethlehem line, Albany Co.); ~10 mi NE of Westerlo</t>
  </si>
  <si>
    <t xml:space="preserve">A landslide occurred along the Normanskill when the Blue Cross building was built on Route 85 (passing reference; no date, extent, or damage given)</t>
  </si>
  <si>
    <t xml:space="preserve">At a 1988 Guilderland public meeting on the Dr. Shaw Road Extension EIS, a speaker noted that a landslide had occurred along the Normanskill when the Blue Cross building was built on Route 85. No date, size, or damage was reported.</t>
  </si>
  <si>
    <t xml:space="preserve">The Altamont Enterprise, Aug 4 1988 ("Shaw Extension...") [uploaded PDF scan]</t>
  </si>
  <si>
    <t xml:space="preserve">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 2026-09-22 (v838, atlas session): LOCATED per Laurie — the Blue Cross/Blue Shield building is 1251 New Scotland Rd (Rte 85), Slingerlands, at the Maher Rd corner (Places-confirmed 42.6454, -73.8507). SAME LOCUS as row 304, the 1968 'Mahar Road' landslide (spelling variant — the road signs read Maher). Hypothesis, NOT confirmed: the 1968 slide and this construction-era slide may be one event, which would date this row to 1968 and give row 304 its primary account. Needs the building's construction year to settle it. Still undated here until then; now shares the Maher Rd Geology pin.</t>
  </si>
  <si>
    <t xml:space="preserve">undated; reported only as "when the Blue Cross building was built on Route 85."</t>
  </si>
  <si>
    <t xml:space="preserve">2004-03-01</t>
  </si>
  <si>
    <t xml:space="preserve">New sinkhole in the Berne hamlet (Route 443)</t>
  </si>
  <si>
    <t xml:space="preserve">Berne hamlet, south side of Route 443, ~200 ft west of the Berne-Knox-Westerlo bus garage (Albany Co.); ~12 mi NW of Westerlo</t>
  </si>
  <si>
    <t xml:space="preserve">A new sinkhole opened in spring 2004 and captured the Rte 443 roadside drainage ditch, so stormwater runoff that formerly reached the town-garage wetland now channels directly into the sinkhole and the limestone groundwater aquifer</t>
  </si>
  <si>
    <t xml:space="preserve">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</si>
  <si>
    <t xml:space="preserve">The Altamont Enterprise, Oct 21 2004 (letter, P. David Smith, "Mind the karst terrain") [uploaded PDF scan]</t>
  </si>
  <si>
    <t xml:space="preserve">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</si>
  <si>
    <t xml:space="preserve">2004-04-01</t>
  </si>
  <si>
    <t xml:space="preserve">"Just this last spring of 2004, a new sinkhole appeared in the hamlet" (paper Thu Oct 21 2004) → spring 2004.</t>
  </si>
  <si>
    <t xml:space="preserve">2016-06-08</t>
  </si>
  <si>
    <t xml:space="preserve">Rockfall</t>
  </si>
  <si>
    <t xml:space="preserve">Rockfall onto the Albany County Rail Trail (Hotaling)</t>
  </si>
  <si>
    <t xml:space="preserve">Albany County Rail Trail near the Hotaling property (Delmar/Bethlehem area, Albany Co.); ~10 mi NE of Westerlo. USGS coords 42.6267, -73.8514</t>
  </si>
  <si>
    <t xml:space="preserve">Boulders came down beside the newly paved rail trail — dented the new pavement and cracked a just-built fence (near-miss for the Hotalings); small</t>
  </si>
  <si>
    <t xml:space="preserve">On June 8 2016 a small rockfall came down beside the Albany County Rail Trail near the Hotaling property; the boulders dented the newly laid pavement and cracked a newly built fence. No injuries.</t>
  </si>
  <si>
    <t xml:space="preserve">USGS Landslide Inventories v3.0 (DOI 10.5066/P14AJF8I) — NASA Global Landslide Catalog entry pt191015 (media source WNYT) [uploaded dataset]</t>
  </si>
  <si>
    <t xml:space="preserve">2026-09-22: added per Laurie (USGS Landslide Inventories v3.0, filtered to 6 counties by point-in-polygon). NASA-catalog confidence 2 (media-reported). Exact USGS coords → Geology pin added.</t>
  </si>
  <si>
    <t xml:space="preserve">NASA GLC Date_Min 2016/06/08.</t>
  </si>
  <si>
    <t xml:space="preserve">2014-05-15</t>
  </si>
  <si>
    <t xml:space="preserve">Route 42 "Notch" landslide (Lexington–Shandaken)</t>
  </si>
  <si>
    <t xml:space="preserve">Route 42 in the "Notch" between Lexington (Greene Co.) and Shandaken (Ulster Co.), Catskills; ~40 mi SW of Westerlo. USGS coords 42.1633, -74.4086</t>
  </si>
  <si>
    <t xml:space="preserve">A ~50-ft section of steep mountainside collapsed onto Route 42, closing the road; rain-triggered; cleared and reopened the following Wednesday</t>
  </si>
  <si>
    <t xml:space="preserve">About May 15 2014 a ~50-foot section of steep mountainside collapsed onto Route 42 in the "Notch" between Lexington and Shandaken (Greene/Ulster line), closing the road; NYSDOT crews cleared it and reopened the road the following Wednesday. Rain-triggered.</t>
  </si>
  <si>
    <t xml:space="preserve">USGS Landslide Inventories v3.0 (DOI 10.5066/P14AJF8I) — NASA GLC pt190010 (media source The Daily Mail) [uploaded dataset]</t>
  </si>
  <si>
    <t xml:space="preserve">2026-09-22: added per Laurie (USGS v3, 6-county filter). Catskill Front rain-triggered slide; straddles the Greene/Ulster line. Exact USGS coords → Geology pin added.</t>
  </si>
  <si>
    <t xml:space="preserve">NASA GLC Date_Min 2014/05/15 (a Thursday; road reopened the following Wed).</t>
  </si>
  <si>
    <t xml:space="preserve">2013-06-16</t>
  </si>
  <si>
    <t xml:space="preserve">Mudslide</t>
  </si>
  <si>
    <t xml:space="preserve">Huntersland Road mudslide, Middleburgh</t>
  </si>
  <si>
    <t xml:space="preserve">Huntersland Road, Middleburgh (Schoharie Co.); ~28 mi W of Westerlo. USGS coords 42.5889, -74.3200</t>
  </si>
  <si>
    <t xml:space="preserve">A mudslide poured debris onto Huntersland Road early Sunday, closing it; nearest detour ~30 mi</t>
  </si>
  <si>
    <t xml:space="preserve">Early Sunday June 16 2013 a mudslide poured debris onto Huntersland Road in Middleburgh, closing the road and forcing a ~30-mile detour — a setback for a town still recovering from earlier flooding.</t>
  </si>
  <si>
    <t xml:space="preserve">USGS Landslide Inventories v3.0 (DOI 10.5066/P14AJF8I) — NASA GLC pt191556 (media source News10) [uploaded dataset]</t>
  </si>
  <si>
    <t xml:space="preserve">2026-09-22: added per Laurie (USGS v3, 6-county filter). Post-flood mudslide (Middleburgh was hard-hit by the 2011 Irene flooding). Exact USGS coords → Geology pin added.</t>
  </si>
  <si>
    <t xml:space="preserve">NASA GLC Date_Min 2013/06/16 (Sunday).</t>
  </si>
  <si>
    <t xml:space="preserve">1968-05-29</t>
  </si>
  <si>
    <t xml:space="preserve">Big Indian landslide (Ulster Co.)</t>
  </si>
  <si>
    <t xml:space="preserve">Big Indian (Shandaken, Ulster Co.), Catskills; ~45 mi SW of Westerlo. USGS coords 41.9909, -74.3531</t>
  </si>
  <si>
    <t xml:space="preserve">A small rain-triggered landslide on an extreme slope; reported by NY DEC (via the NASA catalog) as still fresh and visible decades later, with only minor brush regrowth</t>
  </si>
  <si>
    <t xml:space="preserve">On May 29 1968 a small rain-triggered landslide occurred at Big Indian (Ulster Co.). It was reported (by NY DEC, via the NASA catalog) as still fresh and visible decades later, with only minor brush regrowth, owing to the extreme slope grade.</t>
  </si>
  <si>
    <t xml:space="preserve">USGS Landslide Inventories v3.0 (DOI 10.5066/P14AJF8I) — NASA GLC pt193562 (info source: NYS DEC) [uploaded dataset]</t>
  </si>
  <si>
    <t xml:space="preserve">2026-09-22: added per Laurie (USGS v3, 6-county filter). A long-lived slide scar (still visible decades later). Distinct from the register's 1968 Mahar Rd Normans Kill slide. Exact USGS coords → Geology pin added.</t>
  </si>
  <si>
    <t xml:space="preserve">NASA GLC Date_Min 1968/05/29.</t>
  </si>
  <si>
    <t xml:space="preserve">1889-12-26</t>
  </si>
  <si>
    <t xml:space="preserve">December 1889 windstorm (Capital Region &amp; Mohawk/Fulton counties)</t>
  </si>
  <si>
    <t xml:space="preserve">Albany, Cohoes, Amsterdam, Gloversville, Johnstown, Ballston, Saratoga (Capital Region + Montgomery/Fulton/Saratoga Cos.)</t>
  </si>
  <si>
    <t xml:space="preserve">Peak wind ~48-50 mph at the Albany weather office (overnight)</t>
  </si>
  <si>
    <t xml:space="preserve">Albany (US Signal Service)</t>
  </si>
  <si>
    <t xml:space="preserve">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</si>
  <si>
    <t xml:space="preserve">The Argus (Albany), Dec 27 1889 ("Wrecks Wrought by Wind") [uploaded PDF scan]</t>
  </si>
  <si>
    <t xml:space="preserve">(uploaded PDF scan)</t>
  </si>
  <si>
    <t xml:space="preserve">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</si>
  <si>
    <t xml:space="preserve">'yesterday afternoon and evening' (paper Fri Dec 27 1889) -&gt; Thu Dec 26 1889.</t>
  </si>
  <si>
    <t xml:space="preserve">1894-01-29</t>
  </si>
  <si>
    <t xml:space="preserve">1894-01-30</t>
  </si>
  <si>
    <t xml:space="preserve">January 1894 blizzard (Albany &amp; statewide)</t>
  </si>
  <si>
    <t xml:space="preserve">Albany and across New York State; Hilltowns impact confirmed - Knox ~12 in, plus Berne, Delmar, Coeymans Hollow (3 in) and Voorheesville</t>
  </si>
  <si>
    <t xml:space="preserve">8.2 in snow at Albany by 4 p.m. Jan 30; wind to ~30 mph</t>
  </si>
  <si>
    <t xml:space="preserve">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</si>
  <si>
    <t xml:space="preserve">The Argus (Albany), Jan 31 1894 ("'Twas Quite a Blizzard") [uploaded PDF scan]</t>
  </si>
  <si>
    <t xml:space="preserve">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</si>
  <si>
    <t xml:space="preserve">Snow began ~noon Mon Jan 29 (paper Wed Jan 31, 'yesterday morning' = Jan 30); anchored to the Jan 30 measurement day.</t>
  </si>
  <si>
    <t xml:space="preserve">1898-12-05</t>
  </si>
  <si>
    <t xml:space="preserve">December 1898 windstorm (Albany, Troy, Waterford, Ghent)</t>
  </si>
  <si>
    <t xml:space="preserve">Albany, Troy, Greenbush, Waterford, Lansingburgh, Brunswick, Ghent, Chatham (Capital Region / Columbia Co.)</t>
  </si>
  <si>
    <t xml:space="preserve">Peak wind ~60 mph at the Albany weather office; barometer ~29.45 in; Hudson rose ~4 ft</t>
  </si>
  <si>
    <t xml:space="preserve">Albany (US Weather Bureau)</t>
  </si>
  <si>
    <t xml:space="preserve">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</si>
  <si>
    <t xml:space="preserve">The Argus (Albany), Dec 6 1898 ("Storm Swept" / "Fierce Wind Storm ... Terrible Havoc") [uploaded PDF scan]</t>
  </si>
  <si>
    <t xml:space="preserve">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</si>
  <si>
    <t xml:space="preserve">'yesterday morning' (paper The Argus Dec 6 1898) -&gt; Dec 5 1898; year fixed by the same issue's 'Welcome the Tenth' (returning 1898 soldiers) and Nov-1898 election-day references.</t>
  </si>
  <si>
    <t xml:space="preserve">1900-09-12</t>
  </si>
  <si>
    <t xml:space="preserve">Windstorm (tropical remnant)</t>
  </si>
  <si>
    <t xml:space="preserve">September 1900 windstorm - Galveston Hurricane remnant (Albany &amp; Altamont)</t>
  </si>
  <si>
    <t xml:space="preserve">Albany and Altamont (Helderberg base)</t>
  </si>
  <si>
    <t xml:space="preserve">~40 mph at Albany (74 mph at Buffalo)</t>
  </si>
  <si>
    <t xml:space="preserve">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</si>
  <si>
    <t xml:space="preserve">The Argus (Albany), Sep 13 1900 ("Edge of Storm Touched Albany - Wind Blew 40 Miles an Hour") [uploaded PDF scan] ; The Argus (Albany), Sep 13 1900, 'Edge of Storm Touched Albany' (scan)</t>
  </si>
  <si>
    <t xml:space="preserve">2026-09-22: added per Laurie (PDF scan). In-core windstorm (Altamont = Helderberg base). Same storm system as the out-of-region Galveston Hurricane. EXISTENCE-GUARD at merge. 2026-09-23 (v851, atlas session): ENRICHED — Sep 12 1900: 40 mph at Albany (Forecaster Sims), 74 mph at Buffalo; two houses unroofed (Broad St/4th Ave; 172 Madison Ave); every tent at the Altamont Fair blown down with people inside (no serious injuries despite rumours); Clarksville wires down for 8 miles; Montgomery Co. fair postponed; 85°F beforehand, orchards stripped of green fruit.</t>
  </si>
  <si>
    <t xml:space="preserve">'yesterday morning' (paper Sep 13 1900) -&gt; Sep 12 1900.</t>
  </si>
  <si>
    <t xml:space="preserve">1900-11-21</t>
  </si>
  <si>
    <t xml:space="preserve">November 1900 windstorm (Schenectady &amp; statewide gale)</t>
  </si>
  <si>
    <t xml:space="preserve">Schenectady and across New York State (Buffalo, Oswego, Whitehall/Granville, Syracuse, Oneida)</t>
  </si>
  <si>
    <t xml:space="preserve">80 mph on Lake Erie at Buffalo; ~52 mph at Oswego; hurricane-force at Schenectady</t>
  </si>
  <si>
    <t xml:space="preserve">Buffalo / Schenectady</t>
  </si>
  <si>
    <t xml:space="preserve">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</si>
  <si>
    <t xml:space="preserve">The Argus (Albany), Nov 22 1900 ("Severe Gales in This State - Wind Blew an Eighty-Mile Gale on Lake Erie") [uploaded PDF scan]</t>
  </si>
  <si>
    <t xml:space="preserve">2026-09-22: added per Laurie (PDF scan). In-core (Schenectady). The scan's headline event (a deadly Nov 20-21 1900 tornado outbreak in Mississippi &amp; Tennessee, ~49 killed) is out-of-region - flagged in RESEARCH_LEADS for Laurie's call, not staged. EXISTENCE-GUARD at merge.</t>
  </si>
  <si>
    <t xml:space="preserve">reports datelined Nov 21 (paper Nov 22 1900) -&gt; Nov 21 1900.</t>
  </si>
  <si>
    <t xml:space="preserve">1902-02-17</t>
  </si>
  <si>
    <t xml:space="preserve">February 17 1902 blizzard (eastern New York)</t>
  </si>
  <si>
    <t xml:space="preserve">Eastern New York - Troy, Ballston, Albany area, plus Oneonta, Poughkeepsie, Whitehall, Utica, Binghamton</t>
  </si>
  <si>
    <t xml:space="preserve">&gt;12 in at Troy; ~12 in at Oneonta; near-zero at Binghamton</t>
  </si>
  <si>
    <t xml:space="preserve">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</si>
  <si>
    <t xml:space="preserve">The Argus (Albany), Feb 18 1902 ("Eastern New York Swept by Blizzard") [uploaded PDF scan]</t>
  </si>
  <si>
    <t xml:space="preserve">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</si>
  <si>
    <t xml:space="preserve">reports datelined Feb 17 (paper Feb 18 1902) -&gt; Feb 17 1902.</t>
  </si>
  <si>
    <t xml:space="preserve">1903-08-25</t>
  </si>
  <si>
    <t xml:space="preserve">Windstorm / thunderstorm</t>
  </si>
  <si>
    <t xml:space="preserve">August 1903 windstorm (Ulster County / Kingston)</t>
  </si>
  <si>
    <t xml:space="preserve">Kingston and Ulster County (in-core Catskills); also Binghamton, Wayland/North Cohocton, and the CT/NJ coast (out-of-core)</t>
  </si>
  <si>
    <t xml:space="preserve">~32 mph at Binghamton; Ulster crop/tree damage; trees 4-5 ft dia. uprooted at Wayland</t>
  </si>
  <si>
    <t xml:space="preserve">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</si>
  <si>
    <t xml:space="preserve">The Argus (Albany), Aug 26 1903 ("Wayland's Trees Uprooted" / "Binghamton Cut Off" / "In Teeth of the Storm") [uploaded PDF scan]</t>
  </si>
  <si>
    <t xml:space="preserve">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</si>
  <si>
    <t xml:space="preserve">reports datelined Aug 25 ('this afternoon'; paper Aug 26 1903) -&gt; Aug 25 1903.</t>
  </si>
  <si>
    <t xml:space="preserve">1906-06-08</t>
  </si>
  <si>
    <t xml:space="preserve">Severe thunderstorm / windstorm</t>
  </si>
  <si>
    <t xml:space="preserve">June 8 1906 thunderstorm &amp; wind outbreak (Schenectady &amp; central NY)</t>
  </si>
  <si>
    <t xml:space="preserve">Schenectady (in-core); also Rochester/Avon/Canandaigua/Palmyra, Utica/Long Lake West (Adirondacks), Syracuse, Clark's Mills (out-of-core NY); Hamilton, Ontario (out-of-region)</t>
  </si>
  <si>
    <t xml:space="preserve">Wind damage at Schenectady; multiple lightning fatalities in central NY; 85 mph at Hamilton, Ont.</t>
  </si>
  <si>
    <t xml:space="preserve">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</si>
  <si>
    <t xml:space="preserve">The Argus (Albany), Jun 9 1906 ("Terrific Wind and Rain Swept Through Ontario" / "Violent Electric Storms in Western and Central New York") [uploaded PDF scan]</t>
  </si>
  <si>
    <t xml:space="preserve">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</si>
  <si>
    <t xml:space="preserve">reports datelined Jun 8 (paper Jun 9 1906) -&gt; Jun 8 1906.</t>
  </si>
  <si>
    <t xml:space="preserve">1886-02-26</t>
  </si>
  <si>
    <t xml:space="preserve">February 1886 windstorm (Port Jervis &amp; downstate)</t>
  </si>
  <si>
    <t xml:space="preserve">Port Jervis (Delaware/Catskills SW fringe, ~55 mi SW of Westerlo); also New York City and New England (out-of-core)</t>
  </si>
  <si>
    <t xml:space="preserve">84 mph max at New York City; Port Jervis church spire toppled ($10,000 organ ruined)</t>
  </si>
  <si>
    <t xml:space="preserve">New York City (US Signal Service)</t>
  </si>
  <si>
    <t xml:space="preserve">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</si>
  <si>
    <t xml:space="preserve">The Argus (Albany), Feb 27 1886 ("A Terrific Wind Storm") [uploaded PDF scan]</t>
  </si>
  <si>
    <t xml:space="preserve">2026-09-22: added per Laurie (PDF scan). In-region anchor = Port Jervis (Delaware/Catskills SW fringe, ~55 mi SW); NYC and New England effects are out-of-core context. EXISTENCE-GUARD at merge.</t>
  </si>
  <si>
    <t xml:space="preserve">reports datelined Feb 26 ('since midnight', 'all day'; paper Sat Feb 27 1886) -&gt; Feb 26 1886.</t>
  </si>
  <si>
    <t xml:space="preserve">1888-01-25</t>
  </si>
  <si>
    <t xml:space="preserve">1888-01-26</t>
  </si>
  <si>
    <t xml:space="preserve">January 1888 blizzard (Albany &amp; statewide)</t>
  </si>
  <si>
    <t xml:space="preserve">Albany and across New York State and much of New England</t>
  </si>
  <si>
    <t xml:space="preserve">~1 ft snow overnight + a ~40-45 mph gale; all traffic suspended</t>
  </si>
  <si>
    <t xml:space="preserve">'A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</si>
  <si>
    <t xml:space="preserve">The Argus (Albany), Jan 27 1888 ("A Veritable Blizzard - Albany Visited by the Severest Storm in Many Years") [uploaded PDF scan]</t>
  </si>
  <si>
    <t xml:space="preserve">2026-09-22: added per Laurie (PDF scan). In-core blizzard, distinct from the Mar 11-14 1888 'Blizzard of 88' (Event 343). EXISTENCE-GUARD at merge.</t>
  </si>
  <si>
    <t xml:space="preserve">'On Wednesday night ... began' (Wed = Jan 25); 'in the morning a strong west wind started it drifting' (Jan 26); paper Fri Jan 27 1888. Anchored to Jan 26 peak.</t>
  </si>
  <si>
    <t xml:space="preserve">1888-07-05</t>
  </si>
  <si>
    <t xml:space="preserve">Severe thunderstorm / squall</t>
  </si>
  <si>
    <t xml:space="preserve">July 5 1888 thunderstorm &amp; hail squall (Albany)</t>
  </si>
  <si>
    <t xml:space="preserve">Albany (in-core)</t>
  </si>
  <si>
    <t xml:space="preserve">~45 mph wind; 3/4-inch hail; 1 inch of rain in ~15 minutes</t>
  </si>
  <si>
    <t xml:space="preserve">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</si>
  <si>
    <t xml:space="preserve">The Argus (Albany), Jul 6 1888 ("A Lively Summer Storm - It Lasted Only Fifteen Minutes, But Made Things Hum") [uploaded PDF scan] ; The Argus (Albany), Jul 6 1888, 'A Lively Summer Storm' (scan)</t>
  </si>
  <si>
    <t xml:space="preserve">2026-09-22: added per Laurie (PDF scan). In-core discrete convective event (hail + wind + 1-in rain). EXISTENCE-GUARD at merge. 2026-09-23 (v851, atlas session): ENRICHED — ~2:30 p.m., &lt;15 min, wind 45 mph, hail to ¾ in, 1 in rain, mercury fell 24° in 3 min; 50 ft of the Capitol fence down, Mohican canoe club house torn from its moorings and carried 300–400 ft down the basin, yacht capsized off the ballgrounds (all rescued), Western Union 40 wires down, City Hall roof tiles shed. Same day: an 83-yr-old florist at the Rural Cemetery nursery died of the heat.</t>
  </si>
  <si>
    <t xml:space="preserve">'Yesterday afternoon about 2:30 o'clock' (paper Fri Jul 6 1888) -&gt; Jul 5 1888.</t>
  </si>
  <si>
    <t xml:space="preserve">1888-11-25</t>
  </si>
  <si>
    <t xml:space="preserve">1888-11-26</t>
  </si>
  <si>
    <t xml:space="preserve">Snowstorm / gale (+ ice jam)</t>
  </si>
  <si>
    <t xml:space="preserve">November 1888 snowstorm &amp; gale (Albany; Champlain-canal ice jam at Waterford)</t>
  </si>
  <si>
    <t xml:space="preserve">Albany (~6-7 in snow + gale) and Waterford (Champlain-canal ice jam) - in-core</t>
  </si>
  <si>
    <t xml:space="preserve">~6-7 in snow + gale at Albany; ~150 canal boats ice-jammed at Waterford</t>
  </si>
  <si>
    <t xml:space="preserve">—</t>
  </si>
  <si>
    <t xml:space="preserve">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</si>
  <si>
    <t xml:space="preserve">The Argus (Albany), Nov 26 1888 ("Old Boreas' Inaugural") [uploaded PDF scan]</t>
  </si>
  <si>
    <t xml:space="preserve">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</si>
  <si>
    <t xml:space="preserve">Snow began ~11 a.m. 'yesterday' relative to the Nov 26 1888 paper -&gt; Nov 25 1888 (companion coastal reports Nov 25-26).</t>
  </si>
  <si>
    <t xml:space="preserve">1913-01-03</t>
  </si>
  <si>
    <t xml:space="preserve">1913-01-04</t>
  </si>
  <si>
    <t xml:space="preserve">Windstorm / gale</t>
  </si>
  <si>
    <t xml:space="preserve">January 1913 gale (Hudson Valley / Poughkeepsie)</t>
  </si>
  <si>
    <t xml:space="preserve">Hudson Valley - Poughkeepsie and the mid-Hudson (in-region); also Rochester (out-of-core)</t>
  </si>
  <si>
    <t xml:space="preserve">Hudson-valley poles/wires down; a Poughkeepsie-bridge freight-car roof wrecked two houses; barometer 28.48 in at Rochester</t>
  </si>
  <si>
    <t xml:space="preserve">Rochester</t>
  </si>
  <si>
    <t xml:space="preserve">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</si>
  <si>
    <t xml:space="preserve">The Argus (Albany), Jan 4 1913 ("Atlantic Coast Swept by Gales") [uploaded PDF scan]</t>
  </si>
  <si>
    <t xml:space="preserve">2026-09-22: added per Laurie (PDF scan). In-region anchor = Hudson Valley/Poughkeepsie; Rochester is out-of-core. EXISTENCE-GUARD at merge.</t>
  </si>
  <si>
    <t xml:space="preserve">reports datelined Jan 3 (paper Sat Jan 4 1913); the gale ran Jan 3-4. Anchored to Jan 3.</t>
  </si>
  <si>
    <t xml:space="preserve">1893-05-03</t>
  </si>
  <si>
    <t xml:space="preserve">1893-05-04</t>
  </si>
  <si>
    <t xml:space="preserve">Flood (freshet) + landslides</t>
  </si>
  <si>
    <t xml:space="preserve">May 1893 Hudson freshet &amp; flood (Albany; landslides &amp; South Bethlehem bridge washout)</t>
  </si>
  <si>
    <t xml:space="preserve">Albany, West Troy, Coeymans (in-core); Mohawk valley (Fort Plain, Amsterdam); South Bethlehem</t>
  </si>
  <si>
    <t xml:space="preserve">Hudson ~8 ft above low water; rose ~5 in/hr (once 5.5); 2.14 in rain overnight (more than all of April)</t>
  </si>
  <si>
    <t xml:space="preserve">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</si>
  <si>
    <t xml:space="preserve">The Argus (Albany), May 5 1893 ("Swept Down by a Flood - A Whole Fleet of Canal Boats Torn Loose by the Freshet") [uploaded PDF scan]</t>
  </si>
  <si>
    <t xml:space="preserve">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</si>
  <si>
    <t xml:space="preserve">Rise began ~6 p.m. Wed May 3; the 12-hour extreme-weather day was Thu May 4 (paper Fri May 5 1893). Anchored to May 4.</t>
  </si>
  <si>
    <t xml:space="preserve">1895-04-08</t>
  </si>
  <si>
    <t xml:space="preserve">1895-04-09</t>
  </si>
  <si>
    <t xml:space="preserve">Flood (freshet)</t>
  </si>
  <si>
    <t xml:space="preserve">April 1895 Hudson freshet &amp; flood (Albany; Kingston/Rondout; Mt McGregor)</t>
  </si>
  <si>
    <t xml:space="preserve">Albany (in-core); Kingston / Rondout valley - Eddyville, Rosendale, High Falls, Alligerville (Catskills); Highland Falls; Mt McGregor / Saratoga area; a landslide near Rensselaer</t>
  </si>
  <si>
    <t xml:space="preserve">~12-ft freshet at Albany; basin rose ~3 in/hr; Rondout Creek higher than in 17 years</t>
  </si>
  <si>
    <t xml:space="preserve">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</si>
  <si>
    <t xml:space="preserve">The Argus (Albany), Apr 10 1895 ("Twelve Foot Freshet - River Raised at the Basin of Three Inches an Hour") [uploaded PDF scan]</t>
  </si>
  <si>
    <t xml:space="preserve">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</si>
  <si>
    <t xml:space="preserve">Four days of rain cresting; warm day (90F) Apr 9 ('yesterday' rel. to paper Wed Apr 10 1895); 'still rising at midnight'. Anchored to Apr 9.</t>
  </si>
  <si>
    <t xml:space="preserve">1919-06-01</t>
  </si>
  <si>
    <t xml:space="preserve">1919-07-11</t>
  </si>
  <si>
    <t xml:space="preserve">Landslide / washout (rain-induced)</t>
  </si>
  <si>
    <t xml:space="preserve">1919 Magnolia Terrace landslide (Albany / Delaware Ave, Normanskill-area clay slope)</t>
  </si>
  <si>
    <t xml:space="preserve">Magnolia Terrace, off Delaware Avenue, Albany (Normanskill-area clay slope) - in-core</t>
  </si>
  <si>
    <t xml:space="preserve">Rain-induced slope failure; several yards of sidewalk and asphalt lost; a manhole and part of a sewer buried</t>
  </si>
  <si>
    <t xml:space="preserve">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</si>
  <si>
    <t xml:space="preserve">The Argus (Albany), Jul 11 1919 ("Repair Street After Washout - Workmen Remedy Defects in Magnolia Terrace Caused by Rain") [uploaded PDF scan]</t>
  </si>
  <si>
    <t xml:space="preserve">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</si>
  <si>
    <t xml:space="preserve">month (approx)</t>
  </si>
  <si>
    <t xml:space="preserve">Repair 'completed this week' (paper Jul 11 1919); slide occurred 'some weeks ago' - anchored approximately to Jun 1919.</t>
  </si>
  <si>
    <t xml:space="preserve">1902-07-24</t>
  </si>
  <si>
    <t xml:space="preserve">July 1902 wet-weather landslides &amp; washouts (Rensselaer area; Chatham Centre)</t>
  </si>
  <si>
    <t xml:space="preserve">Rensselaer and Columbia Co. - a railroad landslide near Rensselaer; a landslide reported at Chatham Centre - in-region</t>
  </si>
  <si>
    <t xml:space="preserve">Rain-induced railroad landslide + washouts; trains 1-2+ hr late</t>
  </si>
  <si>
    <t xml:space="preserve">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</si>
  <si>
    <t xml:space="preserve">The Argus (Albany), Jul 25 1902 (Rensselaer column: "Landslide Reported at Chatham Centre") [uploaded PDF scan]</t>
  </si>
  <si>
    <t xml:space="preserve">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</si>
  <si>
    <t xml:space="preserve">'last evening' rel. to the Jul 25 1902 paper -&gt; Jul 24 1902.</t>
  </si>
  <si>
    <t xml:space="preserve">1839-01-26</t>
  </si>
  <si>
    <t xml:space="preserve">Flood (ice-jam / freshet)</t>
  </si>
  <si>
    <t xml:space="preserve">1839 Albany freshet (historic - from 1900 retrospective)</t>
  </si>
  <si>
    <t xml:space="preserve">Albany (Hudson waterfront)</t>
  </si>
  <si>
    <t xml:space="preserve">Water rose to an unusual height; a soup house opened at City Hall for the displaced</t>
  </si>
  <si>
    <t xml:space="preserve">An Albany freshet remembered as occurring 'on the day when the venerable General Stephen Van Rensselaer died' (Jan 26 1839): the Hudson rose to an unusual height and drove so many people from their homes that a soup house was opened at the City Hall for their relief.</t>
  </si>
  <si>
    <t xml:space="preserve">The Argus (Albany), Dec 31 1900 ("The Christmas Argus" - retrospective feature on Albany ice gorges and freshets) [uploaded PDF scan]</t>
  </si>
  <si>
    <t xml:space="preserve">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</si>
  <si>
    <t xml:space="preserve">day (approx)</t>
  </si>
  <si>
    <t xml:space="preserve">Retrospective ties the freshet to the day Gen. Stephen Van Rensselaer died (Jan 26 1839, external fact); exact date not stated in scan.</t>
  </si>
  <si>
    <t xml:space="preserve">1869-01-01</t>
  </si>
  <si>
    <t xml:space="preserve">1869-01-31</t>
  </si>
  <si>
    <t xml:space="preserve">Flood (ice-jam)</t>
  </si>
  <si>
    <t xml:space="preserve">January 1869 Albany ice-jam flood (historic - from 1900 retrospective)</t>
  </si>
  <si>
    <t xml:space="preserve">Albany (waterfront / grain elevators)</t>
  </si>
  <si>
    <t xml:space="preserve">Ice dam at the Albany bridge; grain elevators flooded, ~$500,000 loss</t>
  </si>
  <si>
    <t xml:space="preserve">In January 1869 the ice gave way in the upper Hudson and Mohawk and jammed into a dam at the Albany bridge, backing the water into the grain elevators along the banks to the amount of about half a million dollars - one of the costliest of the historic Albany ice-gorge floods.</t>
  </si>
  <si>
    <t xml:space="preserve">The Argus (Albany), Dec 31 1900 ("The Christmas Argus" - retrospective on Albany ice gorges and freshets) [uploaded PDF scan]</t>
  </si>
  <si>
    <t xml:space="preserve">2026-09-22: added per Laurie (PDF scan). Confidence C - from the 1900 retrospective; the ~$500,000 loss makes this a significant historic ice-jam flood worth confirming from an 1869 primary source and dating precisely at merge. EXISTENCE-GUARD at merge.</t>
  </si>
  <si>
    <t xml:space="preserve">Retrospective gives 'January 1869'; day not stated. Anchored to Jan 1869.</t>
  </si>
  <si>
    <t xml:space="preserve">1900-02-13</t>
  </si>
  <si>
    <t xml:space="preserve">1900-02-14</t>
  </si>
  <si>
    <t xml:space="preserve">Flood (ice-jam freshet) + landslide</t>
  </si>
  <si>
    <t xml:space="preserve">February 1900 ice-jam freshet (Albany; New Hamburg/Poughkeepsie landslide)</t>
  </si>
  <si>
    <t xml:space="preserve">Albany (in-core), with ice gorges at Coeymans and Schenectady; a Hudson-division landslide near New Hamburg / Poughkeepsie (mid-Hudson)</t>
  </si>
  <si>
    <t xml:space="preserve">Hudson rose ~3 ft above the docks; the ice went out for the 2nd time that winter, sweeping away bridge false-work</t>
  </si>
  <si>
    <t xml:space="preserve">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</si>
  <si>
    <t xml:space="preserve">The Argus (Albany), Feb 14 1900 ("Freshet Wrecks the New Bridge") [uploaded PDF scan]</t>
  </si>
  <si>
    <t xml:space="preserve">2026-09-22: added per Laurie (PDF scan). In-core ice-jam freshet with discrete geohazard loci - candidate Geology pins (coords needed): the New Hamburg / Poughkeepsie Hudson-division landslide, the Coeymans ice gorge, the Schenectady Mohawk ice gorge. EXISTENCE-GUARD at merge.</t>
  </si>
  <si>
    <t xml:space="preserve">Ice began breaking ~4 p.m. 'yesterday' (paper Wed Feb 14 1900) -&gt; Feb 13; river still rising Feb 14.</t>
  </si>
  <si>
    <t xml:space="preserve">1908-03-22</t>
  </si>
  <si>
    <t xml:space="preserve">Ice gorge / ice jam</t>
  </si>
  <si>
    <t xml:space="preserve">March 1908 ice gorge at New Baltimore (wing dyke / Lamp Island)</t>
  </si>
  <si>
    <t xml:space="preserve">New Baltimore reach of the Hudson (wing dyke and Lamp Island) - in-region</t>
  </si>
  <si>
    <t xml:space="preserve">Ice gorge broke and cleared in ~2 hours, opening navigation</t>
  </si>
  <si>
    <t xml:space="preserve">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</si>
  <si>
    <t xml:space="preserve">The News-Herald (Ravena/Coeymans), Mar 27 1908 ("Big Ice Gorge Finally Passes Down River") [uploaded PDF scan]</t>
  </si>
  <si>
    <t xml:space="preserve">2026-09-22: added per Laurie (PDF scan). In-region minor ice-gorge / ice-out at New Baltimore (no reported damage). EXISTENCE-GUARD at merge.</t>
  </si>
  <si>
    <t xml:space="preserve">'gave way on Sunday morning' (paper Fri Mar 27 1908) -&gt; Sun Mar 22 1908.</t>
  </si>
  <si>
    <t xml:space="preserve">1833-05-01</t>
  </si>
  <si>
    <t xml:space="preserve">1833-05-31</t>
  </si>
  <si>
    <t xml:space="preserve">May 1833 Albany freshet (historic - from 1913 retrospective)</t>
  </si>
  <si>
    <t xml:space="preserve">Albany waterfront and riverside farmland</t>
  </si>
  <si>
    <t xml:space="preserve">Crops destroyed along the river; boats navigated along Broadway for days</t>
  </si>
  <si>
    <t xml:space="preserve">A freshet in May 1833 destroyed the crops along the Hudson and for several days boats were navigated along Broadway in Albany - a spring flood remembered decades later as a benchmark high water.</t>
  </si>
  <si>
    <t xml:space="preserve">The Argus (Albany), Jan 25 1913 (centennial '1813/1913' retrospective) [uploaded PDF scan]</t>
  </si>
  <si>
    <t xml:space="preserve">2026-09-22: added per Laurie (PDF scan). Confidence C - from a 1913 RETROSPECTIVE, not a contemporaneous report; confirm from an 1833 primary source and pin the day at merge. EXISTENCE-GUARD at merge.</t>
  </si>
  <si>
    <t xml:space="preserve">Retrospective gives 'May 1833'; day not stated.</t>
  </si>
  <si>
    <t xml:space="preserve">1853-08-01</t>
  </si>
  <si>
    <t xml:space="preserve">1853-08-31</t>
  </si>
  <si>
    <t xml:space="preserve">Heat wave / extreme heat</t>
  </si>
  <si>
    <t xml:space="preserve">August 1853 Albany heat wave (28 deaths in one week - from 1913 retrospective)</t>
  </si>
  <si>
    <t xml:space="preserve">28 deaths from heat in a single week</t>
  </si>
  <si>
    <t xml:space="preserve">In one week in August 1853, twenty-eight deaths at Albany were attributed to the heat - one of the register's earliest recorded extreme-heat events.</t>
  </si>
  <si>
    <t xml:space="preserve">2026-09-22: added per Laurie (PDF scan). Confidence C - from a 1913 retrospective; broadens the register beyond storms/floods to extreme heat. Confirm the week and toll from an 1853 primary source at merge. EXISTENCE-GUARD at merge.</t>
  </si>
  <si>
    <t xml:space="preserve">Retrospective gives 'one week in August 1853'; exact week not stated.</t>
  </si>
  <si>
    <t xml:space="preserve">1899-03-06</t>
  </si>
  <si>
    <t xml:space="preserve">1899-03-07</t>
  </si>
  <si>
    <t xml:space="preserve">Flood (ice-jam freshet)</t>
  </si>
  <si>
    <t xml:space="preserve">March 1899 ice-jam freshet - Albany ('a fifteen-foot freshet')</t>
  </si>
  <si>
    <t xml:space="preserve">Albany (Quay St, State St pier, D&amp;H tracks), with ice gorges at Douw's Point and Van Wie's Point; high water at Coeymans, Castleton, Coxsackie, Stuyvesant</t>
  </si>
  <si>
    <t xml:space="preserve">River ~12.5 ft above normal; ice piled ~16 ft above the water at Van Wie's Point; D&amp;H tracks under ~3 ft</t>
  </si>
  <si>
    <t xml:space="preserve">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</si>
  <si>
    <t xml:space="preserve">The Argus (Albany), Mar 7 1899 ("Hudson Over Its Banks - A Fifteen-Foot Freshet") [uploaded PDF scan]</t>
  </si>
  <si>
    <t xml:space="preserve">2026-09-22: added per Laurie (PDF scan). In-core ice-jam freshet - candidate Geology pins (coords needed): the Douw's Point and Van Wie's Point ice-gorge sites. A separate Jan 3 1899 gorge at Douw's Point is noted in-text (a discrete earlier event that winter). EXISTENCE-GUARD at merge.</t>
  </si>
  <si>
    <t xml:space="preserve">Troy ice moved out 'yesterday morning' (paper Tue Mar 7 1899) -&gt; Mar 6; freshet peaked/fell same night.</t>
  </si>
  <si>
    <t xml:space="preserve">1883-11-12</t>
  </si>
  <si>
    <t xml:space="preserve">Windstorm / tornado</t>
  </si>
  <si>
    <t xml:space="preserve">November 1883 Mohawk Valley windstorm (Troy; grist mill wrecked at Crescent)</t>
  </si>
  <si>
    <t xml:space="preserve">Troy and Crescent (Saratoga Co.) and 'throughout the Mohawk Valley' - in-region; part of a much wider East-Coast/Great-Lakes gale</t>
  </si>
  <si>
    <t xml:space="preserve">'Tornado severe throughout the Mohawk Valley'; a grist mill at Crescent crushed when a barn roof was blown against it; Troy hit by a 'blizzard' with snow and hail</t>
  </si>
  <si>
    <t xml:space="preserve">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</si>
  <si>
    <t xml:space="preserve">The Argus (Albany), Nov 13 1883 ("A Great Wind Storm - Death and Devastation by Yesterday's Gale") [uploaded PDF scan]</t>
  </si>
  <si>
    <t xml:space="preserve">2026-09-22: added per Laurie (PDF scan). In-region windstorm; the 'tornado'/'blizzard' labels are period usage for a severe local windstorm (see SEARCH_TERMS.md) - the damage pattern (barn roof driven into a mill) fits a strong wind rather than a true tornado. EXISTENCE-GUARD at merge.</t>
  </si>
  <si>
    <t xml:space="preserve">'yesterday's gale' (paper Tue Nov 13 1883) -&gt; Nov 12.</t>
  </si>
  <si>
    <t xml:space="preserve">1902-02-28</t>
  </si>
  <si>
    <t xml:space="preserve">1902-03-02</t>
  </si>
  <si>
    <t xml:space="preserve">Feb-Mar 1902 ice-jam freshet - Albany (gorge from Castleton to Stuyvesant)</t>
  </si>
  <si>
    <t xml:space="preserve">Albany (south end / waterfront), with an ice gorge that broke above Castleton and re-jammed at Stuyvesant; part of a wider New York / New Jersey / Pennsylvania flood</t>
  </si>
  <si>
    <t xml:space="preserve">~15.5 ft of water at Albany (~1.5 ft below the record Feb 14 1900 flood); about 150 families driven from homes in the south end</t>
  </si>
  <si>
    <t xml:space="preserve">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</si>
  <si>
    <t xml:space="preserve">The Argus (Albany), Mar 3 1902 ("Great Flood Covers Three of the States" / "Ice Gorge Breaks Only to Form Again") [uploaded PDF scan]</t>
  </si>
  <si>
    <t xml:space="preserve">2026-09-22: added per Laurie (PDF scan). Major in-core ice-jam freshet - candidate Geology pins (coords needed): the Castleton and Stuyvesant ice-gorge sites. Explicitly benchmarked against the Feb 14 1900 record flood (Event 356). EXISTENCE-GUARD at merge.</t>
  </si>
  <si>
    <t xml:space="preserve">Rain 'poured Friday and Saturday' (Feb 28-Mar 1); freshet 'at its worst' Sun Mar 2 'yesterday' (paper Mon Mar 3 1902).</t>
  </si>
  <si>
    <t xml:space="preserve">1905-12-15</t>
  </si>
  <si>
    <t xml:space="preserve">River freeze-up / early-winter ice</t>
  </si>
  <si>
    <t xml:space="preserve">December 1905 Hudson freeze-up at Coeymans</t>
  </si>
  <si>
    <t xml:space="preserve">Hudson at Coeymans and several miles below - in-region</t>
  </si>
  <si>
    <t xml:space="preserve">Temperature near zero; the Hudson 'closed' (froze over) at Coeymans; the Albany night boat had to battle the ice</t>
  </si>
  <si>
    <t xml:space="preserve">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</si>
  <si>
    <t xml:space="preserve">The Ravena News, Dec 16 1905 ('River Frozen Over') [uploaded PDF scan]</t>
  </si>
  <si>
    <t xml:space="preserve">2026-09-22: added per Laurie (PDF scan). A MINOR seasonal freeze-up / river-closing datapoint (not a storm or geohazard) - kept because a dated Hudson freeze-up at Coeymans is a useful river-ice / phenology marker for the winter-signal side of the work. EXISTENCE-GUARD at merge.</t>
  </si>
  <si>
    <t xml:space="preserve">'Early yesterday morning' the night boat battled the ice (paper Sat Dec 16 1905) -&gt; ~Dec 15.</t>
  </si>
  <si>
    <t xml:space="preserve">1938-06-17</t>
  </si>
  <si>
    <t xml:space="preserve">Tornado / windstorm</t>
  </si>
  <si>
    <t xml:space="preserve">June 1938 tornado south of Delanson (Hilltowns western edge)</t>
  </si>
  <si>
    <t xml:space="preserve">A four-mile path south of Delanson (Duanesburg, Schenectady Co.) - western edge of the Helderberg/Hilltowns region</t>
  </si>
  <si>
    <t xml:space="preserve">~4-mile damage path; damage estimated at hundreds of dollars; more than half the roof torn off a large chicken house, other roofs torn and trees felled</t>
  </si>
  <si>
    <t xml:space="preserve">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</si>
  <si>
    <t xml:space="preserve">The Altamont Enterprise, June 24 1938 ('A small tornado...') [uploaded PDF scan]</t>
  </si>
  <si>
    <t xml:space="preserve">2026-09-22: added per Laurie (PDF scan). In-core (Hilltowns western edge). Date INFERRED as the Friday before the June 24 1938 issue (Jun 17); confirm the exact Friday at merge. EXISTENCE-GUARD at merge.</t>
  </si>
  <si>
    <t xml:space="preserve">'Friday afternoon' (paper Fri Jun 24 1938) -&gt; the preceding Friday, Jun 17 (inferred).</t>
  </si>
  <si>
    <t xml:space="preserve">1950-07-31</t>
  </si>
  <si>
    <t xml:space="preserve">Thunderstorm / windstorm</t>
  </si>
  <si>
    <t xml:space="preserve">c. July 1950 rain-and-wind storm - Altamont/Delmar corridor</t>
  </si>
  <si>
    <t xml:space="preserve">Altamont / Hilltowns and the Delaware Ave corridor (Bridge St.; Delaware Ave at Unionville) - in-core</t>
  </si>
  <si>
    <t xml:space="preserve">A large locust tree on Bridge St. blown down; high-wind damage; damage at Lumber &amp; Builders Supply on Delaware Ave at Unionville</t>
  </si>
  <si>
    <t xml:space="preserve">A rain-and-wind storm on a Monday afternoon (about late July / early Aug 1950) blew down a large locust tree on Bridge St. and did high-wind damage across the area, including at the Lumber &amp; Builders Supply Inc. on Delaware Ave at Unionville.</t>
  </si>
  <si>
    <t xml:space="preserve">The Altamont Enterprise, Aug 4 1950 [uploaded PDF scan]</t>
  </si>
  <si>
    <t xml:space="preserve">2026-09-22: added per Laurie (PDF scan). Modest in-core wind/thunderstorm with tree and property damage. Date INFERRED as the Monday before the Aug 4 1950 issue (Jul 31); confirm at merge. EXISTENCE-GUARD at merge.</t>
  </si>
  <si>
    <t xml:space="preserve">'Monday afternoon' (paper Fri Aug 4 1950) -&gt; the preceding Monday, Jul 31 (inferred).</t>
  </si>
  <si>
    <t xml:space="preserve">1925-10-09</t>
  </si>
  <si>
    <t xml:space="preserve">1925-10-10</t>
  </si>
  <si>
    <t xml:space="preserve">Snowstorm (early-season) + windstorm</t>
  </si>
  <si>
    <t xml:space="preserve">October 1925 record early-season snowstorm + windstorm (Hilltowns)</t>
  </si>
  <si>
    <t xml:space="preserve">Altamont / Hilltowns (and the Schenectady/Capital District area) - in-core</t>
  </si>
  <si>
    <t xml:space="preserve">Snowstorm 'breaks all records' for the season; a terrific windstorm followed, blowing down several trees, knocking out electric lights and ruining the late apple crop</t>
  </si>
  <si>
    <t xml:space="preserve">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</si>
  <si>
    <t xml:space="preserve">The Altamont Enterprise, Oct 16 1925 - reprinted in the Oct 23 1975 '50 Years Ago' column [uploaded PDF scan]</t>
  </si>
  <si>
    <t xml:space="preserve">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</si>
  <si>
    <t xml:space="preserve">days (approx)</t>
  </si>
  <si>
    <t xml:space="preserve">'Snowstorm last Friday' + 'high winds of Saturday' (Oct 16 1925 issue) -&gt; ~Oct 9-10 1925.</t>
  </si>
  <si>
    <t xml:space="preserve">2025-04-01</t>
  </si>
  <si>
    <t xml:space="preserve">2025-04-30</t>
  </si>
  <si>
    <t xml:space="preserve">April 2025 New Baltimore landslide (possible fill-triggered)</t>
  </si>
  <si>
    <t xml:space="preserve">New Baltimore (Greene Co.) — Titus writes 'the April 2025 Normans Kill landslide in New Baltimore'; the Normans Kill is in Bethlehem/Albany, so the watercourse name is suspect — likely a different creek/bank in New Baltimore. ~20 mi E of Westerlo.</t>
  </si>
  <si>
    <t xml:space="preserve">Not given; 'a sizable amount of earth had apparently been dumped at the top of the slope' shortly before it slid</t>
  </si>
  <si>
    <t xml:space="preserve">Lake Albany clay slope failure in New Baltimore, April 2025; Titus reports fill had recently been placed at the slope crest and the two authors disagree on whether it caused the slide. No damage, size or location detail given.</t>
  </si>
  <si>
    <t xml:space="preserve">Titus, R. &amp; J., 'Haverstraw' (Hudson Valley landslide series), thecatskillgeologist.com, 2025 (pasted by Laurie; exact post date not given)</t>
  </si>
  <si>
    <t xml:space="preserve">2026-09-23 (v842, atlas session): added per Laurie (Titus column pasted in). Passing reference only. NEEDS: exact date, road/locus, a Times Union or Daily Mail (Catskill) account, and a check on the creek name. No Geology pin — no coordinate; do NOT attach to the Austin Glen / New Baltimore Conservancy pin without confirmation. This is probably the 'New Baltimore' Titus listed in the 2018 column too? No — that one was 'a few years ago' as of 2018, so that is a SEPARATE, still-undated earlier slide.</t>
  </si>
  <si>
    <t xml:space="preserve">2025-04-15</t>
  </si>
  <si>
    <t xml:space="preserve">Month-only; mid-month placeholder anchor</t>
  </si>
  <si>
    <t xml:space="preserve">2005-06-17</t>
  </si>
  <si>
    <t xml:space="preserve">2005-06-30</t>
  </si>
  <si>
    <t xml:space="preserve">June 2005 Amsterdam delta slump</t>
  </si>
  <si>
    <t xml:space="preserve">Amsterdam (Montgomery Co.) — slope in ice-age lake-delta sediments; locus not given. ~35 mi NW of Westerlo.</t>
  </si>
  <si>
    <t xml:space="preserve">Not given</t>
  </si>
  <si>
    <t xml:space="preserve">'Two weeks ago there was a new slump in Amsterdam' (as of Jul 8 2005), in the sediments of an ice-age lake delta; part of a run of 2004–05 Lake Albany slumps Titus tied to a wetter climate (NOAA: NY annual precipitation up ~6 in, 36→42 in, over the century).</t>
  </si>
  <si>
    <t xml:space="preserve">Titus, R., 'Yellow Alert?', Stories in Stone, The Columbia County Independent, Jul 8 2005 (reposted thecatskillgeologist.com Nov 23 2017)</t>
  </si>
  <si>
    <t xml:space="preserve">2026-09-23 (v843, atlas session): added per Laurie (Titus column). Passing mention; needs the Recorder/Daily Gazette account, a street, and a coordinate. No pin.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If 2007 is right, this Amsterdam slump is ~early April 2007, not June 2005 — re-date once the Independent's archive is checked.</t>
  </si>
  <si>
    <t xml:space="preserve">2005-06-24</t>
  </si>
  <si>
    <t xml:space="preserve">'Two weeks ago' from a Jul 8 2005 column — ±1 week</t>
  </si>
  <si>
    <t xml:space="preserve">2004-01-01</t>
  </si>
  <si>
    <t xml:space="preserve">Freehold small bank slides (2004–spring 2005)</t>
  </si>
  <si>
    <t xml:space="preserve">Freehold (Greenville, Greene Co.) — 'a small slide just a mile from the Titus family home', then another bank 'this spring' (2005) that 'seems to be oozing water'. ~12 mi S of Westerlo (in-core).</t>
  </si>
  <si>
    <t xml:space="preserve">Two small slope failures near Freehold in 2004–05, the second seeping groundwater — cited by Titus as local evidence of rising water tables after wet years.</t>
  </si>
  <si>
    <t xml:space="preserve">2026-09-23 (v843, atlas session): added per Laurie (Titus column). Loci not given — no pin; the existing Freehold pin ('A Bump in the Road — ice-age alluvial fan') is a different subject and must not absorb this. Also mentioned same column, not entered: Gilboa Reservoir spilling summer 2005; New Street, Valatie basement flooding (groundwater, weeks, 3 houses) — hydro, not a hazard event.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The Freehold slides would then be 2006–spring 2007.</t>
  </si>
  <si>
    <t xml:space="preserve">2005-04-15</t>
  </si>
  <si>
    <t xml:space="preserve">'This spring' (2005) for the second slide; mid-spring placeholder</t>
  </si>
  <si>
    <t xml:space="preserve">1889-07-09</t>
  </si>
  <si>
    <t xml:space="preserve">1889-07-10</t>
  </si>
  <si>
    <t xml:space="preserve">Flash flood / cloudburst</t>
  </si>
  <si>
    <t xml:space="preserve">July 1889 Johnstown (NY) cloudburst flood — Cayadutta Creek</t>
  </si>
  <si>
    <t xml:space="preserve">Johnstown &amp; Gloversville (Fulton Co.); Fonda, Tribes Hill, Minaville, Fort Hunter, Akin (Montgomery Co.); NY Central four-track line washed out Athens–Schuyler Jct. ~45 mi NW of Westerlo.</t>
  </si>
  <si>
    <t xml:space="preserve">Cloudburst ~1.5 mi E of Johnstown, rain 'in sheets' ~3 hrs from mid-afternoon; Cayadutta rose 12–15 ft in 30 min; stone Perry St bridge collapsed with ~50 people on it; 8–20 feared dead, 5 named drowned (ages 9–55); Tribes Hill roadbed washed to 6 ft deep for ~700 ft; Minaville hail 'shoveled by the bushel'; Fort Hunter 3 ft of water at the West Shore depot; loss $125–175k Johnstown alone</t>
  </si>
  <si>
    <t xml:space="preserve">Two thunderheads met over Tribes Hill and circled back onto Johnstown; the Cayadutta became a torrent, taking three mills, ~10 bridges (FJ&amp;G and NY Central bridges at Fonda), Stewart's and McLaren's dams, and the crowded Perry St stone bridge. Village cut off overnight (gas and electric out); NY Central passengers detoured via the West Shore for days. Fonda flooded and a lightning fire; hail and lightning damage across Montgomery Co. farms.</t>
  </si>
  <si>
    <t xml:space="preserve">The Argus (Albany), Jul 11 1889, 'Swept by the Flood' (scan supplied by Laurie; via AP and conductor's account)</t>
  </si>
  <si>
    <t xml:space="preserve">2026-09-23 (v851, atlas session): added per Laurie (scan). Pin candidate: Perry St bridge over the Cayadutta, Johnstown (Places should resolve); Tribes Hill washout is a second locus. Victim names in the article NOT carried.</t>
  </si>
  <si>
    <t xml:space="preserve">Day of the cloudburst (Tues Jul 9); bridge fell that evening</t>
  </si>
  <si>
    <t xml:space="preserve">1891-02-07</t>
  </si>
  <si>
    <t xml:space="preserve">1891-02-08</t>
  </si>
  <si>
    <t xml:space="preserve">February 1891 ice-and-snow storm — Albany wire disaster</t>
  </si>
  <si>
    <t xml:space="preserve">Albany, Greenbush, Kingston, Rondout; telegraph south and west of the city. In core.</t>
  </si>
  <si>
    <t xml:space="preserve">Wet snow/ice on all wires Sat night Feb 7; Western Union 40+ wires down; telephone switchboard burned out, five poles down on Montgomery St; electric light and both electric railways shut off by mayor's order Feb 8; Kingston 5 poles down; Rondout 25 poles two weeks earlier</t>
  </si>
  <si>
    <t xml:space="preserve">Storm born Feb 5 in the Gulf, ran up the St. Lawrence valley and dropped ice on Albany Sat evening Feb 7: telephone poles fell across trolley and light wires, Mayor Manning ordered every electric current cut for public safety, fire-alarm circuits dead, mounted police and horse-and-cutter fire patrols all night; several days to untangle. Same system had paralyzed New York City two weeks earlier.</t>
  </si>
  <si>
    <t xml:space="preserve">The Argus (Albany), Feb 9 1891, 'Clearing Away the Wreck' (scan supplied by Laurie)</t>
  </si>
  <si>
    <t xml:space="preserve">2026-09-23 (v851, atlas session): added per Laurie (scan). Signal-service history of the low in the same article (Gulf Feb 5 → Arkansas Feb 6 → St. Lawrence Feb 7).</t>
  </si>
  <si>
    <t xml:space="preserve">Night the wires came down</t>
  </si>
  <si>
    <t xml:space="preserve">1894-06-16</t>
  </si>
  <si>
    <t xml:space="preserve">Cloudburst / severe thunderstorm</t>
  </si>
  <si>
    <t xml:space="preserve">June 16 1894 Albany cloudburst — 2.12 in in 77 minutes (record)</t>
  </si>
  <si>
    <t xml:space="preserve">Albany (Beaver St, Hudson Ave, North Albany, Washington Park), Troy (Poestenkill), Brunswick &amp; Grafton (Rensselaer Co.). In core.</t>
  </si>
  <si>
    <t xml:space="preserve">2.12 in rain 5:56–7:12 p.m. (1 h 17 m) — heaviest for the duration on Albany record (US Weather Bureau); wind 25 mph; hail; lightning struck St. Luke's M.E. tower and a coal pile at the ballpark; 2 dead in Troy (a 10-yr-old boy swept away in the Poestenkill; a lineman electrocuted/fell four storeys)</t>
  </si>
  <si>
    <t xml:space="preserve">Streets ran as rivers, Beaver St a waterfall into Broadway; granite paving blocks washed down Hawk St; cellars and the City Building flooded roof to cellar; sewers backed up; North Albany tracks under 3 ft of water at the viaduct; a dozen trees uprooted on the Brunswick road; potato and strawberry crops ruined in Brunswick/Grafton.</t>
  </si>
  <si>
    <t xml:space="preserve">The Argus (Albany), Jun 17 1894, 'All Aswim' (scan supplied by Laurie)</t>
  </si>
  <si>
    <t xml:space="preserve">2026-09-23 (v851, atlas session): added per Laurie (scan). Weather Bureau figure quoted in the article; verify against NCEI Albany. Fatalities kept unnamed here.</t>
  </si>
  <si>
    <t xml:space="preserve">Storm day</t>
  </si>
  <si>
    <t xml:space="preserve">1898-08-23</t>
  </si>
  <si>
    <t xml:space="preserve">1898-08-24</t>
  </si>
  <si>
    <t xml:space="preserve">Severe thunderstorm / hail</t>
  </si>
  <si>
    <t xml:space="preserve">August 1898 hail-and-wind storms, Albany (86 mph gust)</t>
  </si>
  <si>
    <t xml:space="preserve">Albany, Castleton, Slingerlands, West Albany, Northumberland, Deerfield, Syracuse. In core.</t>
  </si>
  <si>
    <t xml:space="preserve">Wed Aug 24 ~2:30 p.m.: wind 86 mph at the Federal Building, hail 'from marbles to walnuts', .56 in rain in 15 min; 96.6°F beforehand; 1.45 in for the day; Tue Aug 23: Castleton barns struck and burned (third time), Deerfield cloudburst 4 ft over the road, Syracuse roofs off four factories, a woman killed by lightning at Crawford</t>
  </si>
  <si>
    <t xml:space="preserve">Three days of violent thunderstorms 'unparalleled in the history of the weather bureau': 40 windows out at the South Pearl St hotel and 24 at the Albany Railway power house, orchards stripped, State St a torrent, two men prostrated by a lightning flash through the West Albany shops; washouts on the Mohawk &amp; Malone, Boston &amp; Albany near Chatham, and D&amp;H; Arch St flooded all day.</t>
  </si>
  <si>
    <t xml:space="preserve">The Argus (Albany), Aug 25 1898, 'An August Day Caprice' (scan supplied by Laurie)</t>
  </si>
  <si>
    <t xml:space="preserve">2026-09-23 (v851, atlas session): added per Laurie (scan). Wind figure is the newspaper's from Observer Sims — verify.</t>
  </si>
  <si>
    <t xml:space="preserve">Day of the 86-mph Albany squall</t>
  </si>
  <si>
    <t xml:space="preserve">1899-05-01</t>
  </si>
  <si>
    <t xml:space="preserve">1899-06-30</t>
  </si>
  <si>
    <t xml:space="preserve">Spring 1899 Hudson Valley drought — crops dying (Orange/Ulster)</t>
  </si>
  <si>
    <t xml:space="preserve">Middletown, Newburgh (Orange &amp; Ulster Co.) — ~90 mi S of Westerlo; regional</t>
  </si>
  <si>
    <t xml:space="preserve">Not given — 'meadows burning up', oats, wheat, rye, corn withering; fruit damaged; 'even if rain should come now it will not restore them'</t>
  </si>
  <si>
    <t xml:space="preserve">Hot weather and drought through May 1899 caused great damage to fruit and farm crops in the lower Hudson Valley by mid-June.</t>
  </si>
  <si>
    <t xml:space="preserve">The Argus (Albany), Jun 13 1899, 'Effects of the Drouth' (scan supplied by Laurie)</t>
  </si>
  <si>
    <t xml:space="preserve">2026-09-23 (v851, atlas session): added per Laurie (scan). Needs Albany-area confirmation and Palmer/NCEI grading; region-wide, no pin.</t>
  </si>
  <si>
    <t xml:space="preserve">1899-06-12</t>
  </si>
  <si>
    <t xml:space="preserve">Report date</t>
  </si>
  <si>
    <t xml:space="preserve">1910-05-30</t>
  </si>
  <si>
    <t xml:space="preserve">Memorial Day 1910 hailstorm — Clarksville, Westerlo, Coxsackie</t>
  </si>
  <si>
    <t xml:space="preserve">Clarksville (New Scotland), Westerlo, South Westerlo, Coxsackie, New Baltimore, Ravena/Coeymans. IN CORE (Westerlo).</t>
  </si>
  <si>
    <t xml:space="preserve">Clarksville: hail 'as large as hickory nuts' from ~12:30 p.m. for ~2 hrs, lying on the ground nearly 2 hrs after — 'worst storm of hail ever known in this village'; Westerlo: hail lay 'quite thick', oats damaged, the LaVergne barn above the village struck by lightning (did not burn); Coxsackie: golf-ball hail; New Baltimore: a man knocked down by a lightning strike 150 ft from his kitchen</t>
  </si>
  <si>
    <t xml:space="preserve">A train of thunder showers on Memorial Day afternoon 1910 stripped foliage and ruined gardens and fruit across the Hilltowns edge; the Clarksville–Voorheesville ball game and the Coeymans Memorial Day parade were rained out; South Westerlo reported the worst electric storm of the season, hail heavier to the north.</t>
  </si>
  <si>
    <t xml:space="preserve">The News-Herald (Coeymans/Ravena), Jun 3 1910, 'Hail Stones As Large As Hickorynuts' (scan supplied by Laurie)</t>
  </si>
  <si>
    <t xml:space="preserve">2026-09-23 (v851, atlas session): added per Laurie (scan). Westerlo-specific: 'the barn of Theodore LaVergne, above this village' — a locus if the LaVergne farm can be placed.</t>
  </si>
  <si>
    <t xml:space="preserve">1974-03-10</t>
  </si>
  <si>
    <t xml:space="preserve">March 10 1974 windstorm — Ravena/Coeymans (60+ mph gusts)</t>
  </si>
  <si>
    <t xml:space="preserve">Ravena, Coeymans Hollow, Selkirk, Route 144 corridor (Albany Co.). In core edge.</t>
  </si>
  <si>
    <t xml:space="preserve">Gusts over 60 mph shortly after noon Sunday; 3 trees down at Fonda Del Sol (2 cars hit); roofs off the Ravena Dress Shop and a village building, chimney torn to roof level; $1,000 damage to the Frese bakery; steel roof of the Ralston Purina plant at Selkirk blown into the swamp; 50-in-circumference tree down on wires in Coeymans Hollow; 'biggest blow here since Thanksgiving 1961'</t>
  </si>
  <si>
    <t xml:space="preserve">Sunday windstorm tore roofs and trees across the Ravena–Selkirk corridor; scattered outages (Central Hudson), water plant on manual through four power cutoffs; no widespread failures.</t>
  </si>
  <si>
    <t xml:space="preserve">The News-Herald (Ravena), Mar 14 1974, 'Wind Storm Damage High In Immediate Area' (scan supplied by Laurie)</t>
  </si>
  <si>
    <t xml:space="preserve">2026-09-23 (v851, atlas session): added per Laurie (scan). Also flags a Thanksgiving 1961 windstorm as the prior benchmark — not in the register; date needed (Nov 23 1961?). 2026-09-23 (v854, atlas session): The 'Thanksgiving 1961' benchmark quoted by the 1974 News-Herald is not in NWS Albany's storm history; the Thanksgiving windstorm of record is Nov 24–25 1950 (row 119, 83 mph at Albany) and the Thanksgiving snowstorm is 1971 (row 136). Probable memory slip in the 1974 article — treat 1961 as unverified.</t>
  </si>
  <si>
    <t xml:space="preserve">1990-10-18</t>
  </si>
  <si>
    <t xml:space="preserve">Windstorm / possible downburst</t>
  </si>
  <si>
    <t xml:space="preserve">October 18 1990 windstorm — Westerlo (Routes 403/404/409, Fields Rd)</t>
  </si>
  <si>
    <t xml:space="preserve">Westerlo (Rte 404, Rte 409, Fields Rd, Rte 403), Grapeville (Greene Co.). IN CORE.</t>
  </si>
  <si>
    <t xml:space="preserve">Power out 8:05 p.m.; mature willow onto a Rte 404 home at 8:10; violent phase ~2 minutes 'like a train rushing by'; a 24×30 ft three-sided horse barn on 6×6 posts set 4 ft deep pulled out of the ground on Fields Rd, roof landing on the adjoining Rte 403 property; ancient willows uprooted; ~50 trees down behind a Grapeville house, some sheared mid-trunk</t>
  </si>
  <si>
    <t xml:space="preserve">Thursday-night windstorm after hours of wind and rain; residents believed it a tornado (NWS called it high winds); no injuries; roof/chimney damage to two Fields Rd homes, willow crushed a Rte 404 overhang; sparking wires at Grapeville.</t>
  </si>
  <si>
    <t xml:space="preserve">The Altamont Enterprise, Oct 25 1990, 'Heavens release their fury on the Hilltowns' (Limer; scan supplied by Laurie)</t>
  </si>
  <si>
    <t xml:space="preserve">2026-09-23 (v852, atlas session): added per Laurie (scan). Pin candidates: Fields Rd/Rte 403 Westerlo (barn), Rte 404 (willow) — road-level only; check NCEI Storm Events for Oct 18 1990 Albany Co. thunderstorm wind / downburst rating.</t>
  </si>
  <si>
    <t xml:space="preserve">Storm night</t>
  </si>
  <si>
    <t xml:space="preserve">1996-06-01</t>
  </si>
  <si>
    <t xml:space="preserve">June &amp; July 13 1996 Hilltowns flash floods (7–8 in in 12–13 hrs at Knox)</t>
  </si>
  <si>
    <t xml:space="preserve">Knox, Berne (Irish Hill, Simons Hill, Turner Rd), New Scotland. IN CORE.</t>
  </si>
  <si>
    <t xml:space="preserve">July 13 1996: 7–8 in of rain in 12–13 hours (Knox highway supt.); Irish Hill, Simons Hill and Turner Rds washed out again in June; Knox lost ~3 weeks of road work and an Old Stage Rd project</t>
  </si>
  <si>
    <t xml:space="preserve">Two further floods after the January 1996 thaw flood, on ground 'saturated year-round'; FEMA covered none of the June/July damage. Knox: Cross Lane half washed out, Line Rd heavily damaged.</t>
  </si>
  <si>
    <t xml:space="preserve">The Altamont Enterprise, Oct 10 1996, 'Flood relief money coming in to municipalities, school district' (scan supplied by Laurie)</t>
  </si>
  <si>
    <t xml:space="preserve">2026-09-23 (v852, atlas session): added per Laurie (scan). June 1996 date needed; check NCEI.</t>
  </si>
  <si>
    <t xml:space="preserve">The July 13 deluge (June flood undated in the article)</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</si>
  <si>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</si>
  <si>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</si>
  <si>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</si>
  <si>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</si>
  <si>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</si>
  <si>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</si>
  <si>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</si>
  <si>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</si>
  <si>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</si>
  <si>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</si>
  <si>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</si>
  <si>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</si>
  <si>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</si>
  <si>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</si>
  <si>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</si>
  <si>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</si>
  <si>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</si>
  <si>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</si>
  <si>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</si>
  <si>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</si>
  <si>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</si>
  <si>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</si>
  <si>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</si>
  <si>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</si>
  <si>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</si>
  <si>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</si>
  <si>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</si>
  <si>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</si>
  <si>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</si>
  <si>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</si>
  <si>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</si>
  <si>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</si>
  <si>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</si>
  <si>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</si>
  <si>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</si>
  <si>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</si>
  <si>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</si>
  <si>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</si>
  <si>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</si>
  <si>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</si>
  <si>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</si>
  <si>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</si>
  <si>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</si>
  <si>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</si>
  <si>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</si>
  <si>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</si>
  <si>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</si>
  <si>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</si>
  <si>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</si>
  <si>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</si>
  <si>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</si>
  <si>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</si>
  <si>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</si>
  <si>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</si>
  <si>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</si>
  <si>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</si>
  <si>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</si>
  <si>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</si>
  <si>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</si>
  <si>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</si>
  <si>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</si>
  <si>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</si>
  <si>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</si>
  <si>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</si>
  <si>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</si>
  <si>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</si>
  <si>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</si>
  <si>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</si>
  <si>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</si>
  <si>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</si>
  <si>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</si>
  <si>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</si>
  <si>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</si>
  <si>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</si>
  <si>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</si>
  <si>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</si>
  <si>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</si>
  <si>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</si>
  <si>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</si>
  <si>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</si>
  <si>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</si>
  <si>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</si>
  <si>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</si>
  <si>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</si>
  <si>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</si>
  <si>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</si>
  <si>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</si>
  <si>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</si>
  <si>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</si>
  <si>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</si>
  <si>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</si>
  <si>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</si>
  <si>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</si>
  <si>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</si>
  <si>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</si>
  <si>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</si>
  <si>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</si>
  <si>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</si>
  <si>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</si>
  <si>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</si>
  <si>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</si>
  <si>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</si>
  <si>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</si>
  <si>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</si>
  <si>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</si>
  <si>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</si>
  <si>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</si>
  <si>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</si>
  <si>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</si>
  <si>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</si>
  <si>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</si>
  <si>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</si>
  <si>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</si>
  <si>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</si>
  <si>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</si>
  <si>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</si>
  <si>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</si>
  <si>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</si>
  <si>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</si>
  <si>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</si>
  <si>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</si>
  <si>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</si>
  <si>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</si>
  <si>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</si>
  <si>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</si>
  <si>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</si>
  <si>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</si>
  <si>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</si>
  <si>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</si>
  <si>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</si>
  <si>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</si>
  <si>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</si>
  <si>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</si>
  <si>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</si>
  <si>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</si>
  <si>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</si>
  <si>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</si>
  <si>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</si>
  <si>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</si>
  <si>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</si>
  <si>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</si>
  <si>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</si>
  <si>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</si>
  <si>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</si>
  <si>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</si>
  <si>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</si>
  <si>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</si>
  <si>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 2026-09-23 (v853, atlas session): Enterprise Aug 22 2002 — hit ~3:50 p.m. Wed Aug 14, over in 15 min; NWS (Westergard) microburst, pulse-type storm; helicopter survey showed a 'snow cone' path that touched down and skipped; hardest hit Guilderland Center (highway-garage roof off, poles down on Depot Rd) and the Lone Pine area off Carman Rd (E. Lydius St, Lone Pine St, Spawn Rd, Benjamin) — two homes condemned, 12-in limbs as projectiles; also Fort Hunter, Hemboldt/Curry Rds; state of emergency for Fort Hunter and Guilderland Center; no serious injuries.</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</si>
  <si>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</si>
  <si>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</si>
  <si>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</si>
  <si>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</si>
  <si>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</si>
  <si>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</si>
  <si>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</si>
  <si>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</si>
  <si>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</si>
  <si>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</si>
  <si>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</si>
  <si>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</si>
  <si>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</si>
  <si>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</si>
  <si>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</si>
  <si>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</si>
  <si>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</si>
  <si>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</si>
  <si>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</si>
  <si>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</si>
  <si>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</si>
  <si>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</si>
  <si>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</si>
  <si>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</si>
  <si>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</si>
  <si>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</si>
  <si>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</si>
  <si>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</si>
  <si>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</si>
  <si>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</si>
  <si>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</si>
  <si>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</si>
  <si>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</si>
  <si>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</si>
  <si>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</si>
  <si>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</si>
  <si>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</si>
  <si>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</si>
  <si>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</si>
  <si>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</si>
  <si>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</si>
  <si>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</si>
  <si>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</si>
  <si>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</si>
  <si>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</si>
  <si>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</si>
  <si>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</si>
  <si>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</si>
  <si>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</si>
  <si>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</si>
  <si>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</si>
  <si>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</si>
  <si>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</si>
  <si>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</si>
  <si>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</si>
  <si>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</si>
  <si>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</si>
  <si>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</si>
  <si>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</si>
  <si>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</si>
  <si>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</si>
  <si>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</si>
  <si>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</si>
  <si>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</si>
  <si>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</si>
  <si>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</si>
  <si>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</si>
  <si>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</si>
  <si>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</si>
  <si>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</si>
  <si>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</si>
  <si>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</si>
  <si>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</si>
  <si>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</si>
  <si>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</si>
  <si>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</si>
  <si>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</si>
  <si>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</si>
  <si>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</si>
  <si>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</si>
  <si>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</si>
  <si>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</si>
  <si>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</si>
  <si>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</si>
  <si>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</si>
  <si>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</si>
  <si>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</si>
  <si>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</si>
  <si>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</si>
  <si>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</si>
  <si>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</si>
  <si>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</si>
  <si>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</si>
  <si>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</si>
  <si>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</si>
  <si>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</si>
  <si>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</si>
  <si>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</si>
  <si>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</si>
  <si>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</si>
  <si>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</si>
  <si>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</si>
  <si>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</si>
  <si>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</si>
  <si>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</si>
  <si>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</si>
  <si>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</si>
  <si>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</si>
  <si>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</si>
  <si>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</si>
  <si>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</si>
  <si>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</si>
  <si>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</si>
  <si>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</si>
  <si>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</si>
  <si>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</si>
  <si>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</si>
  <si>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</si>
  <si>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</si>
  <si>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</si>
  <si>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</si>
  <si>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</si>
  <si>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</si>
  <si>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</si>
  <si>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</si>
  <si>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</si>
  <si>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</si>
  <si>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</si>
  <si>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</si>
  <si>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</si>
  <si>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</si>
  <si>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</si>
  <si>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</si>
  <si>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</si>
  <si>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</si>
  <si>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</si>
  <si>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</si>
  <si>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</si>
  <si>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</si>
  <si>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</si>
  <si>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</si>
  <si>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</si>
  <si>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</si>
  <si>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</si>
  <si>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</si>
  <si>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</si>
  <si>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</si>
  <si>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</si>
  <si>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</si>
  <si>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</si>
  <si>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</si>
  <si>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</si>
  <si>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</si>
  <si>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</si>
  <si>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</si>
  <si>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</si>
  <si>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William G. Pomeroy Foundation — Knox Cave historic marker (2025)</t>
  </si>
  <si>
    <t xml:space="preserve">https://www.wgpfoundation.org/historic-markers/knox-cave/</t>
  </si>
  <si>
    <t xml:space="preserve">Knox Cave 1975 collapse — 2nd independent source for March (see Events row 141 note).</t>
  </si>
  <si>
    <t xml:space="preserve">Stone, S. — McFails Cave (2005 National Cave &amp; Karst Management Symposium)</t>
  </si>
  <si>
    <t xml:space="preserve">https://caves.org/wp-content/uploads/2023/03/2005_Stone-McFails.pdf</t>
  </si>
  <si>
    <t xml:space="preserve">Corrects McFail's death to July 1, 1854 (not Roscoe 1882's oft-repeated 1853); traces the pit's early history 1854-1958. Historic-entrance collapse date STILL not found in this pass.</t>
  </si>
  <si>
    <t xml:space="preserve">albanyhilltowns.com (Helderberg Hilltowns local-history wiki)</t>
  </si>
  <si>
    <t xml:space="preserve">https://albanyhilltowns.com/Knox_Cave</t>
  </si>
  <si>
    <t xml:space="preserve">Transcribed period newspaper articles (1933-1991) on Knox Cave — a rich primary-adjacent source not yet systematically mined beyond the 1975 date question.</t>
  </si>
  <si>
    <t xml:space="preserve">NWS Albany — ALB_Extremes.pdf (confirmed 2026-09-21)</t>
  </si>
  <si>
    <t xml:space="preserve">CONFIRMS open item #3: record high 104°F Jul 4 1911, record low -28°F Jan 19 1971 — exactly as the register already had them. Also carries the full extremes table (earliest/latest frost, growing-season length, heat/cold streaks) if useful later.</t>
  </si>
  <si>
    <t xml:space="preserve">USGS — Landslide Inventories across the United States (ver. 3.0, Feb 2025)</t>
  </si>
  <si>
    <t xml:space="preserve">https://doi.org/10.5066/P14AJF8I  (ScienceBase item 671eef1fd34ed0f827ea9f12; ArcGIS feature service e.g. services.arcgis.com/v01gqwM5QqNysAAi/ArcGIS/rest/services/US_Landslide_poly_v2/FeatureServer)</t>
  </si>
  <si>
    <t xml:space="preserve">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</si>
  <si>
    <t xml:space="preserve">The Argus (Albany, N.Y.) — daily newspaper</t>
  </si>
  <si>
    <t xml:space="preserve">(uploaded PDF scans)</t>
  </si>
  <si>
    <t xml:space="preserve">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</si>
  <si>
    <t xml:space="preserve">The Cohoes Republican (Cohoes, N.Y.)</t>
  </si>
  <si>
    <t xml:space="preserve">Capital Region news. Scans used: Mar 11 1903 (Mohawk freshet at Fonda + 50-ft FJ&amp;G track slide), Jan 10 1906 (Haverstraw landslide disaster). Batch 2 scans added: Feb 3 1902 (Feb 1902 blizzard — Mohawk Valley/Capital Region/N NY).</t>
  </si>
  <si>
    <t xml:space="preserve">The News-Herald (Ravena, N.Y.; Southern Albany &amp; Northern Greene Cos.)</t>
  </si>
  <si>
    <t xml:space="preserve">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</si>
  <si>
    <t xml:space="preserve">The Altamont Enterprise (Altamont, N.Y.)</t>
  </si>
  <si>
    <t xml:space="preserve">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</si>
  <si>
    <t xml:space="preserve">The Catskill Mountain News (Margaretville, N.Y.)</t>
  </si>
  <si>
    <t xml:space="preserve">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</si>
  <si>
    <t xml:space="preserve">Helderberg Escarpment Planning Guide (co-eds Driscoll &amp; Lindsay Childs)</t>
  </si>
  <si>
    <t xml:space="preserve">(regional land-use/karst guide; cited in Altamont Enterprise 2002–2004)</t>
  </si>
  <si>
    <t xml:space="preserve">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</si>
  <si>
    <t xml:space="preserve">USGS Landslide Inventories across the United States, v3.0</t>
  </si>
  <si>
    <t xml:space="preserve">https://doi.org/10.5066/P14AJF8I (us_ls_v3_point.csv / us_ls_v3_poly.csv)</t>
  </si>
  <si>
    <t xml:space="preserve">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</si>
  <si>
    <t xml:space="preserve">Frost &amp; Freeze Phenology — Alcove Dam (Coeymans, Albany Co., NOAA co-op station, ~590 ft)</t>
  </si>
  <si>
    <t xml:space="preserve">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</si>
  <si>
    <t xml:space="preserve">Threshold: 32°F daily minimum. Last spring frost = latest such day on/before Jul 1; first fall frost = earliest such day on/after Jul 2.</t>
  </si>
  <si>
    <t xml:space="preserve">Period</t>
  </si>
  <si>
    <t xml:space="preserve">Years used</t>
  </si>
  <si>
    <t xml:space="preserve">Median last spring frost</t>
  </si>
  <si>
    <t xml:space="preserve">Median first fall frost</t>
  </si>
  <si>
    <t xml:space="preserve">Median frost-free season (days)</t>
  </si>
  <si>
    <t xml:space="preserve">Full record</t>
  </si>
  <si>
    <t xml:space="preserve">70 (1943-2025)</t>
  </si>
  <si>
    <t xml:space="preserve">May 13</t>
  </si>
  <si>
    <t xml:space="preserve">Oct 05</t>
  </si>
  <si>
    <t xml:space="preserve">Recent 30 yrs</t>
  </si>
  <si>
    <t xml:space="preserve">29 (1996-2025)</t>
  </si>
  <si>
    <t xml:space="preserve">May 07</t>
  </si>
  <si>
    <t xml:space="preserve">Oct 14</t>
  </si>
  <si>
    <t xml:space="preserve">Year-by-year (last spring frost / first fall frost / season length, days):</t>
  </si>
  <si>
    <t xml:space="preserve">Last spring frost</t>
  </si>
  <si>
    <t xml:space="preserve">First fall frost</t>
  </si>
  <si>
    <t xml:space="preserve">Season length (days)</t>
  </si>
  <si>
    <t xml:space="preserve">May 15</t>
  </si>
  <si>
    <t xml:space="preserve">Oct 06</t>
  </si>
  <si>
    <t xml:space="preserve">May 21</t>
  </si>
  <si>
    <t xml:space="preserve">Sep 25</t>
  </si>
  <si>
    <t xml:space="preserve">May 11</t>
  </si>
  <si>
    <t xml:space="preserve">Sep 30</t>
  </si>
  <si>
    <t xml:space="preserve">May 09</t>
  </si>
  <si>
    <t xml:space="preserve">Oct 03</t>
  </si>
  <si>
    <t xml:space="preserve">May 31</t>
  </si>
  <si>
    <t xml:space="preserve">Sep 23</t>
  </si>
  <si>
    <t xml:space="preserve">May 18</t>
  </si>
  <si>
    <t xml:space="preserve">Oct 09</t>
  </si>
  <si>
    <t xml:space="preserve">Jun 03</t>
  </si>
  <si>
    <t xml:space="preserve">Sep 14</t>
  </si>
  <si>
    <t xml:space="preserve">Apr 24</t>
  </si>
  <si>
    <t xml:space="preserve">May 30</t>
  </si>
  <si>
    <t xml:space="preserve">Sep 11</t>
  </si>
  <si>
    <t xml:space="preserve">May 17</t>
  </si>
  <si>
    <t xml:space="preserve">Sep 27</t>
  </si>
  <si>
    <t xml:space="preserve">May 24</t>
  </si>
  <si>
    <t xml:space="preserve">Oct 02</t>
  </si>
  <si>
    <t xml:space="preserve">Sep 18</t>
  </si>
  <si>
    <t xml:space="preserve">May 04</t>
  </si>
  <si>
    <t xml:space="preserve">May 27</t>
  </si>
  <si>
    <t xml:space="preserve">May 05</t>
  </si>
  <si>
    <t xml:space="preserve">Sep 15</t>
  </si>
  <si>
    <t xml:space="preserve">Aug 30</t>
  </si>
  <si>
    <t xml:space="preserve">May 10</t>
  </si>
  <si>
    <t xml:space="preserve">May 28</t>
  </si>
  <si>
    <t xml:space="preserve">Oct 01</t>
  </si>
  <si>
    <t xml:space="preserve">Sep 21</t>
  </si>
  <si>
    <t xml:space="preserve">May 29</t>
  </si>
  <si>
    <t xml:space="preserve">Jun 01</t>
  </si>
  <si>
    <t xml:space="preserve">Aug 25</t>
  </si>
  <si>
    <t xml:space="preserve">Sep 24</t>
  </si>
  <si>
    <t xml:space="preserve">May 26</t>
  </si>
  <si>
    <t xml:space="preserve">May 08</t>
  </si>
  <si>
    <t xml:space="preserve">Sep 04</t>
  </si>
  <si>
    <t xml:space="preserve">Oct 07</t>
  </si>
  <si>
    <t xml:space="preserve">Sep 10</t>
  </si>
  <si>
    <t xml:space="preserve">May 03</t>
  </si>
  <si>
    <t xml:space="preserve">Sep 20</t>
  </si>
  <si>
    <t xml:space="preserve">Jun 13</t>
  </si>
  <si>
    <t xml:space="preserve">May 20</t>
  </si>
  <si>
    <t xml:space="preserve">Oct 11</t>
  </si>
  <si>
    <t xml:space="preserve">Oct 10</t>
  </si>
  <si>
    <t xml:space="preserve">May 19</t>
  </si>
  <si>
    <t xml:space="preserve">Sep 08</t>
  </si>
  <si>
    <t xml:space="preserve">Oct 08</t>
  </si>
  <si>
    <t xml:space="preserve">May 16</t>
  </si>
  <si>
    <t xml:space="preserve">Oct 13</t>
  </si>
  <si>
    <t xml:space="preserve">Apr 26</t>
  </si>
  <si>
    <t xml:space="preserve">Sep 28</t>
  </si>
  <si>
    <t xml:space="preserve">Apr 29</t>
  </si>
  <si>
    <t xml:space="preserve">May 22</t>
  </si>
  <si>
    <t xml:space="preserve">Oct 15</t>
  </si>
  <si>
    <t xml:space="preserve">May 06</t>
  </si>
  <si>
    <t xml:space="preserve">Oct 21</t>
  </si>
  <si>
    <t xml:space="preserve">Apr 30</t>
  </si>
  <si>
    <t xml:space="preserve">Oct 29</t>
  </si>
  <si>
    <t xml:space="preserve">Oct 19</t>
  </si>
  <si>
    <t xml:space="preserve">Oct 17</t>
  </si>
  <si>
    <t xml:space="preserve">Apr 23</t>
  </si>
  <si>
    <t xml:space="preserve">Oct 28</t>
  </si>
  <si>
    <t xml:space="preserve">May 02</t>
  </si>
  <si>
    <t xml:space="preserve">Oct 23</t>
  </si>
  <si>
    <t xml:space="preserve">Oct 12</t>
  </si>
  <si>
    <t xml:space="preserve">Oct 18</t>
  </si>
  <si>
    <t xml:space="preserve">Apr 16</t>
  </si>
  <si>
    <t xml:space="preserve">Nov 01</t>
  </si>
  <si>
    <t xml:space="preserve">Nov 03</t>
  </si>
  <si>
    <t xml:space="preserve">Oct 31</t>
  </si>
  <si>
    <t xml:space="preserve">Apr 27</t>
  </si>
  <si>
    <t xml:space="preserve">Oct 16</t>
  </si>
  <si>
    <t xml:space="preserve">Apr 22</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</si>
  <si>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</si>
  <si>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</si>
  <si>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</si>
  <si>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</si>
  <si>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</si>
  <si>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</si>
  <si>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</si>
  <si>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</si>
  <si>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</si>
  <si>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</si>
  <si>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</si>
  <si>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</si>
  <si>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</si>
  <si>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</si>
  <si>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</si>
  <si>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</si>
  <si>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</si>
  <si>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</si>
  <si>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</si>
  <si>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</si>
  <si>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</si>
  <si>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</si>
  <si>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</si>
  <si>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</si>
  <si>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</si>
  <si>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</si>
  <si>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</si>
  <si>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</si>
  <si>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</si>
  <si>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</si>
  <si>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</si>
  <si>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</si>
  <si>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</si>
  <si>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</si>
  <si>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</si>
  <si>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</si>
  <si>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</si>
  <si>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</si>
  <si>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</si>
  <si>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</si>
  <si>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</si>
  <si>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</si>
  <si>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</si>
  <si>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</si>
  <si>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</si>
  <si>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</si>
  <si>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</si>
  <si>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</si>
  <si>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</si>
  <si>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</si>
  <si>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</si>
  <si>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</si>
  <si>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</si>
  <si>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</si>
  <si>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</si>
  <si>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</si>
  <si>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</si>
  <si>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</si>
  <si>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</si>
  <si>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</si>
  <si>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</si>
  <si>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</si>
  <si>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</si>
  <si>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</si>
  <si>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</si>
  <si>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</si>
  <si>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</si>
  <si>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</si>
  <si>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</si>
  <si>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</si>
  <si>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</si>
  <si>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</si>
  <si>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</si>
  <si>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</si>
  <si>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</si>
  <si>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</si>
  <si>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</si>
  <si>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</si>
  <si>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</si>
  <si>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</si>
  <si>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</si>
  <si>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</si>
  <si>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</si>
  <si>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</si>
  <si>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</si>
  <si>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</si>
  <si>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</si>
  <si>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</si>
  <si>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</si>
  <si>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</si>
  <si>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</si>
  <si>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</si>
  <si>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</si>
  <si>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</si>
  <si>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</si>
  <si>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</si>
  <si>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</si>
  <si>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</si>
  <si>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</si>
  <si>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</si>
  <si>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</si>
  <si>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</si>
  <si>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</si>
  <si>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</si>
  <si>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</si>
  <si>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</si>
  <si>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</si>
  <si>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</si>
  <si>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</si>
  <si>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</si>
  <si>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</si>
  <si>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</si>
  <si>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</si>
  <si>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</si>
  <si>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</si>
  <si>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</si>
  <si>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</si>
  <si>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</si>
  <si>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</si>
  <si>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</si>
  <si>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</si>
  <si>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</si>
  <si>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</si>
  <si>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</si>
  <si>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</si>
  <si>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</si>
  <si>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</si>
  <si>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</si>
  <si>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</si>
  <si>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</si>
  <si>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</si>
  <si>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</si>
  <si>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</si>
  <si>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</si>
  <si>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</si>
  <si>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</si>
  <si>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</si>
  <si>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</si>
  <si>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</si>
  <si>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</si>
  <si>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</si>
  <si>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</si>
  <si>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</si>
  <si>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</si>
  <si>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</si>
  <si>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</si>
  <si>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</si>
  <si>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</si>
  <si>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</si>
  <si>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</si>
  <si>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</si>
  <si>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</si>
  <si>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</si>
  <si>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</si>
  <si>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</si>
  <si>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</si>
  <si>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</si>
  <si>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</si>
  <si>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</si>
  <si>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</si>
  <si>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</si>
  <si>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</si>
  <si>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</si>
  <si>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</si>
  <si>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</si>
  <si>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</si>
  <si>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</si>
  <si>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</si>
  <si>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</si>
  <si>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</si>
  <si>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</si>
  <si>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</si>
  <si>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</si>
  <si>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</si>
  <si>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</si>
  <si>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</si>
  <si>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</si>
  <si>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</si>
  <si>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</si>
  <si>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</si>
  <si>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</si>
  <si>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</si>
  <si>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</si>
  <si>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</si>
  <si>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</si>
  <si>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</si>
  <si>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</si>
  <si>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</si>
  <si>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</si>
  <si>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</si>
  <si>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</si>
  <si>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</si>
  <si>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</si>
  <si>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</si>
  <si>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</si>
  <si>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</si>
  <si>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</si>
  <si>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</si>
  <si>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</si>
  <si>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</si>
  <si>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</si>
  <si>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</si>
  <si>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</si>
  <si>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</si>
  <si>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</si>
  <si>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</si>
  <si>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</si>
  <si>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</si>
  <si>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</si>
  <si>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</si>
  <si>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</si>
  <si>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</si>
  <si>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</si>
  <si>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</si>
  <si>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</si>
  <si>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</si>
  <si>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</si>
  <si>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</si>
  <si>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</si>
  <si>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</si>
  <si>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</si>
  <si>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</si>
  <si>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</si>
  <si>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</si>
  <si>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</si>
  <si>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</si>
  <si>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</si>
  <si>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</si>
  <si>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</si>
  <si>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</si>
  <si>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</si>
  <si>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</si>
  <si>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</si>
  <si>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</si>
  <si>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</si>
  <si>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</si>
  <si>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</si>
  <si>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</si>
  <si>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</si>
  <si>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</si>
  <si>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</si>
  <si>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</si>
  <si>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</si>
  <si>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</si>
  <si>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</si>
  <si>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</si>
  <si>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</si>
  <si>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</si>
  <si>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</si>
  <si>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</si>
  <si>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</si>
  <si>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</si>
  <si>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</si>
  <si>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</si>
  <si>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</si>
  <si>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</si>
  <si>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</si>
  <si>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</si>
  <si>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</si>
  <si>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</si>
  <si>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</si>
  <si>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</si>
  <si>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</si>
  <si>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</si>
  <si>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</si>
  <si>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</si>
  <si>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</si>
  <si>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</si>
  <si>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</si>
  <si>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</si>
  <si>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</si>
  <si>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</si>
  <si>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</si>
  <si>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</si>
  <si>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</si>
  <si>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</si>
  <si>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</si>
  <si>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</si>
  <si>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</si>
  <si>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</si>
  <si>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</si>
  <si>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</si>
  <si>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</si>
  <si>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</si>
  <si>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</si>
  <si>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</si>
  <si>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</si>
  <si>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</si>
  <si>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</si>
  <si>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</si>
  <si>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</si>
  <si>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</si>
  <si>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</si>
  <si>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</si>
  <si>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</si>
  <si>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</si>
  <si>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</si>
  <si>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</si>
  <si>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</si>
  <si>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</si>
  <si>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</si>
  <si>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</si>
  <si>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</si>
  <si>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</si>
  <si>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</si>
  <si>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</si>
  <si>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</si>
  <si>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</si>
  <si>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</si>
  <si>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</si>
  <si>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</si>
  <si>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</si>
  <si>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</si>
  <si>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</si>
  <si>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</si>
  <si>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</si>
  <si>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</si>
  <si>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</si>
  <si>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</si>
  <si>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</si>
  <si>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</si>
  <si>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</si>
  <si>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</si>
  <si>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</si>
  <si>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</si>
  <si>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</si>
  <si>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</si>
  <si>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</si>
  <si>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</si>
  <si>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</si>
  <si>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</si>
  <si>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</si>
  <si>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</si>
  <si>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</si>
  <si>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</si>
  <si>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</si>
  <si>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</si>
  <si>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</si>
  <si>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</si>
  <si>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</si>
  <si>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</si>
  <si>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</si>
  <si>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</si>
  <si>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</si>
  <si>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</si>
  <si>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</si>
  <si>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</si>
  <si>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</si>
  <si>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</si>
  <si>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</si>
  <si>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</si>
  <si>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</si>
  <si>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</si>
  <si>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</si>
  <si>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</si>
  <si>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</si>
  <si>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</si>
  <si>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</si>
  <si>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</si>
  <si>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</si>
  <si>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</si>
  <si>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</si>
  <si>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</si>
  <si>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</si>
  <si>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</si>
  <si>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</si>
  <si>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</si>
  <si>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</si>
  <si>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</si>
  <si>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</si>
  <si>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</si>
  <si>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</si>
  <si>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</si>
  <si>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</si>
  <si>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</si>
  <si>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</si>
  <si>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</si>
  <si>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</si>
  <si>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</si>
  <si>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</si>
  <si>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</si>
  <si>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</si>
  <si>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</si>
  <si>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</si>
  <si>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</si>
  <si>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</si>
  <si>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</si>
  <si>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</si>
  <si>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</si>
  <si>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</si>
  <si>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</si>
  <si>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</si>
  <si>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</si>
  <si>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</si>
  <si>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</si>
  <si>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</si>
  <si>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</si>
  <si>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</si>
  <si>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</si>
  <si>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</si>
  <si>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</si>
  <si>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</si>
  <si>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</si>
  <si>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</si>
  <si>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</si>
  <si>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</si>
  <si>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</si>
  <si>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</si>
  <si>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</si>
  <si>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</si>
  <si>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</si>
  <si>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</si>
  <si>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</si>
  <si>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</si>
  <si>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</si>
  <si>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</si>
  <si>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</si>
  <si>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</si>
  <si>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</si>
  <si>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</si>
  <si>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</si>
  <si>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</si>
  <si>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</si>
  <si>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</si>
  <si>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</si>
  <si>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</si>
  <si>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</si>
  <si>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</si>
  <si>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</si>
  <si>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</si>
  <si>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</si>
  <si>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</si>
  <si>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</si>
  <si>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</si>
  <si>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</si>
  <si>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</si>
  <si>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</si>
  <si>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</si>
  <si>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</si>
  <si>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</si>
  <si>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</si>
  <si>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</si>
  <si>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</si>
  <si>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</si>
  <si>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</si>
  <si>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</si>
  <si>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</si>
  <si>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</si>
  <si>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</si>
  <si>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</si>
  <si>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</si>
  <si>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</si>
  <si>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</si>
  <si>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</si>
  <si>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</si>
  <si>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</si>
  <si>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</si>
  <si>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</si>
  <si>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</si>
  <si>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</si>
  <si>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</si>
  <si>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</si>
  <si>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</si>
  <si>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</si>
  <si>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</si>
  <si>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</si>
  <si>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</si>
  <si>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</si>
  <si>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</si>
  <si>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</si>
  <si>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</si>
  <si>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</si>
  <si>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</si>
  <si>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</si>
  <si>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</si>
  <si>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</si>
  <si>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</si>
  <si>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</si>
  <si>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</si>
  <si>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</si>
  <si>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</si>
  <si>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</si>
  <si>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</si>
  <si>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</si>
  <si>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</si>
  <si>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</si>
  <si>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</si>
  <si>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</si>
  <si>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</si>
  <si>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</si>
  <si>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</si>
  <si>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</si>
  <si>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</si>
  <si>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</si>
  <si>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</si>
  <si>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</si>
  <si>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</si>
  <si>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</si>
  <si>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</si>
  <si>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</si>
  <si>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</si>
  <si>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</si>
  <si>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</si>
  <si>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</si>
  <si>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</si>
  <si>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</si>
  <si>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</si>
  <si>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</si>
  <si>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</si>
  <si>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</si>
  <si>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</si>
  <si>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</si>
  <si>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</si>
  <si>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</si>
  <si>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</si>
  <si>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</si>
  <si>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</si>
  <si>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</si>
  <si>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</si>
  <si>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</si>
  <si>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</si>
  <si>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</si>
  <si>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</si>
  <si>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</si>
  <si>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</si>
  <si>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</si>
  <si>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</si>
  <si>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</si>
  <si>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</si>
  <si>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</si>
  <si>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</si>
  <si>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</si>
  <si>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</si>
  <si>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</si>
  <si>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</si>
  <si>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</si>
  <si>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</si>
  <si>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</si>
  <si>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</si>
  <si>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</si>
  <si>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</si>
  <si>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</si>
  <si>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</si>
  <si>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</si>
  <si>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</si>
  <si>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</si>
  <si>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</si>
  <si>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</si>
  <si>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</si>
  <si>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</si>
  <si>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</si>
  <si>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</si>
  <si>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</si>
  <si>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</si>
  <si>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</si>
  <si>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</si>
  <si>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</si>
  <si>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</si>
  <si>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</si>
  <si>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</si>
  <si>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</si>
  <si>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</si>
  <si>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</si>
  <si>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</si>
  <si>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</si>
  <si>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</si>
  <si>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</si>
  <si>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</si>
  <si>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</si>
  <si>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</si>
  <si>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</si>
  <si>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</si>
  <si>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</si>
  <si>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</si>
  <si>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</si>
  <si>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</si>
  <si>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</si>
  <si>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</si>
  <si>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</si>
  <si>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</si>
  <si>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</si>
  <si>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</si>
  <si>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</si>
  <si>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</si>
  <si>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</si>
  <si>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</si>
  <si>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</si>
  <si>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</si>
  <si>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</si>
  <si>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</si>
  <si>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</si>
  <si>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</si>
  <si>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</si>
  <si>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</si>
  <si>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</si>
  <si>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</si>
  <si>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</si>
  <si>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</si>
  <si>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</si>
  <si>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</si>
  <si>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</si>
  <si>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</si>
  <si>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</si>
  <si>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</si>
  <si>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</si>
  <si>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</si>
  <si>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</si>
  <si>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</si>
  <si>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</si>
  <si>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</si>
  <si>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</si>
  <si>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</si>
  <si>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</si>
  <si>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</si>
  <si>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</si>
  <si>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</si>
  <si>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</si>
  <si>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</si>
  <si>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</si>
  <si>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</si>
  <si>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</si>
  <si>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</si>
  <si>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</si>
  <si>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</si>
  <si>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</si>
  <si>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</si>
  <si>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</si>
  <si>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</si>
  <si>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</si>
  <si>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</si>
  <si>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</si>
  <si>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</si>
  <si>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</si>
  <si>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</si>
  <si>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</si>
  <si>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</si>
  <si>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</si>
  <si>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</si>
  <si>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</si>
  <si>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</si>
  <si>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</si>
  <si>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</si>
  <si>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</si>
  <si>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</si>
  <si>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</si>
  <si>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</si>
  <si>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</si>
  <si>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</si>
  <si>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</si>
  <si>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</si>
  <si>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</si>
  <si>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</si>
  <si>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</si>
  <si>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</si>
  <si>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</si>
  <si>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</si>
  <si>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</si>
  <si>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</si>
  <si>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</si>
  <si>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</si>
  <si>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</si>
  <si>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</si>
  <si>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</si>
  <si>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</si>
  <si>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</si>
  <si>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</si>
  <si>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</si>
  <si>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</si>
  <si>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</si>
  <si>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</si>
  <si>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</si>
  <si>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</si>
  <si>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</si>
  <si>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</si>
  <si>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</si>
  <si>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</si>
  <si>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</si>
  <si>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</si>
  <si>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</si>
  <si>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</si>
  <si>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</si>
  <si>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</si>
  <si>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</si>
  <si>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</si>
  <si>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</si>
  <si>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</si>
  <si>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</si>
  <si>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</si>
  <si>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</si>
  <si>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</si>
  <si>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</si>
  <si>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</si>
  <si>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</si>
  <si>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</si>
  <si>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</si>
  <si>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</si>
  <si>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</si>
  <si>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</si>
  <si>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</si>
  <si>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</si>
  <si>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</si>
  <si>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</si>
  <si>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</si>
  <si>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</si>
  <si>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</si>
  <si>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</si>
  <si>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</si>
  <si>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</si>
  <si>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</si>
  <si>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</si>
  <si>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</si>
  <si>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</si>
  <si>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</si>
  <si>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</si>
  <si>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</si>
  <si>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</si>
  <si>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</si>
  <si>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</si>
  <si>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</si>
  <si>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</si>
  <si>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</si>
  <si>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</si>
  <si>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</si>
  <si>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</si>
  <si>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</si>
  <si>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</si>
  <si>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</si>
  <si>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</si>
  <si>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</si>
  <si>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</si>
  <si>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</si>
  <si>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</si>
  <si>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</si>
  <si>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</si>
  <si>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</si>
  <si>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</si>
  <si>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</si>
  <si>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</si>
  <si>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</si>
  <si>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</si>
  <si>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</si>
  <si>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</si>
  <si>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</si>
  <si>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</si>
  <si>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</si>
  <si>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</si>
  <si>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</si>
  <si>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</si>
  <si>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</si>
  <si>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</si>
  <si>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</si>
  <si>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</si>
  <si>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</si>
  <si>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</si>
  <si>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</si>
  <si>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</si>
  <si>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</si>
  <si>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</si>
  <si>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</si>
  <si>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</si>
  <si>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</si>
  <si>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</si>
  <si>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</si>
  <si>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</si>
  <si>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</si>
  <si>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</si>
  <si>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</si>
  <si>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</si>
  <si>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</si>
  <si>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</si>
  <si>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</si>
  <si>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</si>
  <si>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</si>
  <si>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</si>
  <si>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</si>
  <si>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</si>
  <si>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</si>
  <si>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</si>
  <si>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</si>
  <si>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</si>
  <si>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</si>
  <si>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</si>
  <si>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</si>
  <si>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</si>
  <si>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</si>
  <si>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</si>
  <si>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</si>
  <si>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</si>
  <si>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</si>
  <si>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</si>
  <si>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</si>
  <si>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</si>
  <si>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</si>
  <si>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</si>
  <si>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</si>
  <si>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</si>
  <si>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</si>
  <si>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</si>
  <si>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</si>
  <si>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</si>
  <si>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</si>
  <si>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</si>
  <si>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</si>
  <si>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</si>
  <si>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</si>
  <si>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</si>
  <si>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</si>
  <si>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</si>
  <si>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</si>
  <si>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</si>
  <si>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</si>
  <si>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</si>
  <si>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</si>
  <si>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</si>
  <si>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</si>
  <si>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</si>
  <si>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</si>
  <si>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</si>
  <si>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</si>
  <si>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</si>
  <si>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</si>
  <si>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</si>
  <si>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</si>
  <si>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</si>
  <si>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</si>
  <si>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</si>
  <si>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</si>
  <si>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</si>
  <si>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</si>
  <si>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</si>
  <si>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</si>
  <si>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</si>
  <si>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</si>
  <si>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</si>
  <si>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</si>
  <si>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</si>
  <si>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</si>
  <si>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</si>
  <si>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</si>
  <si>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</si>
  <si>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</si>
  <si>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</si>
  <si>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</si>
  <si>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</si>
  <si>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</si>
  <si>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</si>
  <si>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</si>
  <si>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</si>
  <si>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</si>
  <si>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</si>
  <si>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</si>
  <si>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</si>
  <si>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</si>
  <si>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</si>
  <si>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</si>
  <si>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</si>
  <si>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</si>
  <si>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</si>
  <si>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</si>
  <si>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</si>
  <si>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</si>
  <si>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</si>
  <si>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</si>
  <si>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</si>
  <si>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</si>
  <si>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</si>
  <si>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</si>
  <si>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</si>
  <si>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</si>
  <si>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</si>
  <si>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</si>
  <si>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</si>
  <si>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</si>
  <si>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</si>
  <si>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</si>
  <si>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</si>
  <si>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</si>
  <si>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</si>
  <si>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</si>
  <si>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</si>
  <si>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</si>
  <si>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</si>
  <si>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</si>
  <si>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</si>
  <si>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</si>
  <si>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</si>
  <si>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</si>
  <si>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</si>
  <si>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</si>
  <si>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</si>
  <si>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</si>
  <si>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</si>
  <si>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</si>
  <si>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</si>
  <si>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</si>
  <si>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</si>
  <si>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</si>
  <si>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</si>
  <si>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</si>
  <si>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</si>
  <si>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</si>
  <si>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</si>
  <si>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</si>
  <si>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</si>
  <si>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</si>
  <si>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</si>
  <si>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</si>
  <si>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</si>
  <si>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</si>
  <si>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</si>
  <si>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</si>
  <si>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</si>
  <si>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</si>
  <si>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</si>
  <si>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</si>
  <si>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</si>
  <si>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</si>
  <si>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</si>
  <si>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</si>
  <si>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</si>
  <si>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</si>
  <si>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</si>
  <si>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</si>
  <si>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</si>
  <si>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</si>
  <si>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</si>
  <si>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</si>
  <si>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</si>
  <si>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</si>
  <si>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</si>
  <si>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</si>
  <si>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</si>
  <si>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</si>
  <si>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</si>
  <si>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</si>
  <si>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</si>
  <si>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</si>
  <si>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</si>
  <si>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</si>
  <si>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</si>
  <si>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</si>
  <si>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</si>
  <si>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</si>
  <si>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</si>
  <si>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</si>
  <si>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</si>
  <si>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</si>
  <si>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</si>
  <si>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</si>
  <si>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</si>
  <si>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</si>
  <si>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</si>
  <si>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</si>
  <si>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</si>
  <si>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</si>
  <si>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</si>
  <si>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</si>
  <si>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</si>
  <si>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</si>
  <si>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</si>
  <si>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</si>
  <si>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</si>
  <si>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</si>
  <si>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</si>
  <si>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</si>
  <si>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</si>
  <si>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</si>
  <si>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</si>
  <si>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</si>
  <si>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</si>
  <si>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</si>
  <si>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</si>
  <si>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</si>
  <si>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</si>
  <si>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</si>
  <si>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</si>
  <si>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</si>
  <si>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</si>
  <si>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</si>
  <si>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</si>
  <si>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</si>
  <si>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</si>
  <si>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</si>
  <si>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</si>
  <si>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</si>
  <si>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</si>
  <si>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</si>
  <si>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</si>
  <si>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</si>
  <si>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</si>
  <si>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</si>
  <si>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</si>
  <si>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</si>
  <si>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</si>
  <si>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</si>
  <si>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</si>
  <si>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</si>
  <si>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</si>
  <si>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</si>
  <si>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</si>
  <si>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</si>
  <si>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</si>
  <si>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</si>
  <si>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</si>
  <si>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</si>
  <si>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</si>
  <si>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</si>
  <si>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</si>
  <si>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</si>
  <si>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</si>
  <si>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</si>
  <si>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</si>
  <si>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</si>
  <si>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</si>
  <si>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</si>
  <si>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</si>
  <si>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</si>
  <si>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</si>
  <si>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</si>
  <si>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</si>
  <si>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</si>
  <si>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</si>
  <si>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</si>
  <si>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</si>
  <si>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</si>
  <si>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</si>
  <si>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</si>
  <si>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</si>
  <si>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</si>
  <si>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</si>
  <si>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</si>
  <si>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</si>
  <si>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</si>
  <si>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</si>
  <si>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</si>
  <si>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</si>
  <si>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</si>
  <si>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</si>
  <si>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</si>
  <si>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</si>
  <si>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</si>
  <si>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</si>
  <si>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</si>
  <si>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</si>
  <si>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</si>
  <si>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</si>
  <si>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</si>
  <si>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</si>
  <si>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</si>
  <si>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</si>
  <si>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</si>
  <si>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</si>
  <si>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</si>
  <si>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</si>
  <si>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</si>
  <si>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</si>
  <si>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</si>
  <si>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</si>
  <si>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</si>
  <si>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</si>
  <si>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</si>
  <si>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</si>
  <si>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</si>
  <si>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</si>
  <si>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</si>
  <si>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</si>
  <si>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</si>
  <si>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</si>
  <si>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</si>
  <si>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</si>
  <si>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</si>
  <si>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</si>
  <si>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</si>
  <si>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</si>
  <si>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</si>
  <si>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</si>
  <si>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</si>
  <si>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</si>
  <si>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</si>
  <si>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</si>
  <si>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</si>
  <si>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</si>
  <si>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</si>
  <si>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</si>
  <si>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</si>
  <si>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</si>
  <si>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</si>
  <si>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</si>
  <si>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</si>
  <si>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</si>
  <si>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</si>
  <si>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</si>
  <si>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</si>
  <si>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</si>
  <si>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</si>
  <si>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</si>
  <si>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</si>
  <si>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</si>
  <si>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</si>
  <si>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</si>
  <si>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</si>
  <si>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</si>
  <si>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</si>
  <si>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</si>
  <si>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</si>
  <si>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</si>
  <si>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</si>
  <si>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</si>
  <si>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</si>
  <si>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</si>
  <si>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</si>
  <si>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</si>
  <si>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</si>
  <si>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</si>
  <si>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</si>
  <si>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</si>
  <si>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</si>
  <si>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</si>
  <si>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</si>
  <si>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</si>
  <si>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</si>
  <si>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</si>
  <si>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</si>
  <si>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</si>
  <si>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</si>
  <si>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</si>
  <si>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</si>
  <si>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</si>
  <si>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</si>
  <si>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</si>
  <si>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</si>
  <si>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</si>
  <si>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</si>
  <si>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</si>
  <si>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</si>
  <si>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</si>
  <si>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</si>
  <si>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</si>
  <si>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</si>
  <si>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</si>
  <si>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</si>
  <si>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</si>
  <si>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</si>
  <si>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</si>
  <si>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</si>
  <si>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</si>
  <si>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</si>
  <si>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</si>
  <si>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</si>
  <si>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</si>
  <si>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</si>
  <si>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</si>
  <si>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</si>
  <si>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</si>
  <si>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</si>
  <si>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</si>
  <si>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</si>
  <si>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Lat</t>
  </si>
  <si>
    <t xml:space="preserve">Lon</t>
  </si>
  <si>
    <t xml:space="preserve">Coord precision</t>
  </si>
  <si>
    <t xml:space="preserve">Coord source / note</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</si>
  <si>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</si>
  <si>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</si>
  <si>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</si>
  <si>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</si>
  <si>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</si>
  <si>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</si>
  <si>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</si>
  <si>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access/marker locus</t>
  </si>
  <si>
    <t xml:space="preserve">2025 Pomeroy/Knox Hist. Soc. marker on Berne-Altamont Rd (Rte 156); cave off Knox Cave Rd, 'located nearby' - NCC permit, exact entrance not published. HMdb/WGP Foundation.</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</si>
  <si>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</si>
  <si>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</si>
  <si>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</si>
  <si>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</si>
  <si>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</si>
  <si>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</si>
  <si>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</si>
  <si>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vicinity (approx)</t>
  </si>
  <si>
    <t xml:space="preserve">Clarksville / New Scotland, ~1 mi SW of Clarksville hamlet; NCC permit-only, floods; exact entrance not published. Approximate - verify.</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</si>
  <si>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</si>
  <si>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</si>
  <si>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</si>
  <si>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</si>
  <si>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</si>
  <si>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</si>
  <si>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</si>
  <si>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hamlet locus</t>
  </si>
  <si>
    <t xml:space="preserve">Clarksville hamlet just off Rte 443; NCC preserve open to public; hamlet-centroid locus (Wikipedia/NCC).</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</si>
  <si>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</si>
  <si>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</si>
  <si>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</si>
  <si>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</si>
  <si>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</si>
  <si>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</si>
  <si>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cluster locus (exact not public)</t>
  </si>
  <si>
    <t xml:space="preserve">Knox cluster, near Knox &amp; Skull caves; NCC; exact entrance not published. Shares Knox-crest locus.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</si>
  <si>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</si>
  <si>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</si>
  <si>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</si>
  <si>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</si>
  <si>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</si>
  <si>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</si>
  <si>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Knox cluster, on Middle Rd near Knox Cave; exact entrance not published. Shares Knox-crest locus.</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</si>
  <si>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</si>
  <si>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</si>
  <si>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</si>
  <si>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</si>
  <si>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</si>
  <si>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bench locus (approx)</t>
  </si>
  <si>
    <t xml:space="preserve">New Scotland Onondaga karst bench, part of the Onesquethaw-Clarksville zone; sinks/resurgences, not a single point. Approximate.</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</si>
  <si>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</si>
  <si>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</si>
  <si>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</si>
  <si>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</si>
  <si>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</si>
  <si>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</si>
  <si>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approx (triangulated)</t>
  </si>
  <si>
    <t xml:space="preserve">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</si>
  <si>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</si>
  <si>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</si>
  <si>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</si>
  <si>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</si>
  <si>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</si>
  <si>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approx</t>
  </si>
  <si>
    <t xml:space="preserve">McFails-system karst resurgence discharging toward Cobleskill Creek, ~2 mi from McFails Hole; approx - verify.</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</si>
  <si>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</si>
  <si>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</si>
  <si>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</si>
  <si>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</si>
  <si>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</si>
  <si>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</si>
  <si>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</si>
  <si>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published point (anchor)</t>
  </si>
  <si>
    <t xml:space="preserve">Anchored at Howe Caverns 42.6965,-74.3986 (255 Discovery Dr, commercial; Wikipedia). Secret Caverns 42.7091,-74.3913 (671 Caverns Rd). Complex spans several km of the Cobleskill plateau.</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</si>
  <si>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</si>
  <si>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</si>
  <si>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</si>
  <si>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</si>
  <si>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</si>
  <si>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</si>
  <si>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</si>
  <si>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USGS NWIS gage locus</t>
  </si>
  <si>
    <t xml:space="preserve">USGS NWIS gage 01351150 'Schoharie Cavern at Shutter Corners' (1:24000, NAD83) - the cave's own stream-monitoring point; best-anchored Barton Hill cave. Entrance at the plateau edge above Fox/Schoharie creeks.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</si>
  <si>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</si>
  <si>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</si>
  <si>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</si>
  <si>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</si>
  <si>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James Gage Karst Preserve, Barton Hill ridge; re-anchored near the Schoharie Cavern USGS gage (Shutters Corners), ~9 mi W of Knox / 12 mi E of McFails per NSS; exact entrance not published. Cluster locus (~2-3 mi ridge spread).</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</si>
  <si>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</si>
  <si>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</si>
  <si>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</si>
  <si>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</si>
  <si>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Barton Hill ridge (NCC), near the Schoharie Cavern USGS gage (Shutters Corners); exact entrance not published. Cluster locus.</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</si>
  <si>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</si>
  <si>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</si>
  <si>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</si>
  <si>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</si>
  <si>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</si>
  <si>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</si>
  <si>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LiDAR depression (probable match)</t>
  </si>
  <si>
    <t xml:space="preserve">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</si>
  <si>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</si>
  <si>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</si>
  <si>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</si>
  <si>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</si>
  <si>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</si>
  <si>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Knox, a few hundred yards from Knox &amp; New Skull; FILLED/erased feature. Knox-crest locus.</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</si>
  <si>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</si>
  <si>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</si>
  <si>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</si>
  <si>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</si>
  <si>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</si>
  <si>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Knox, &lt;1000 ft from Knox Cave; off-limits. Knox-crest locus; exact entrance not published.</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</si>
  <si>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</si>
  <si>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</si>
  <si>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</si>
  <si>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</si>
  <si>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</si>
  <si>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</si>
  <si>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</si>
  <si>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Wright (Schoharie Co.), Middle Rd; large enough to show on topo maps; private land. Approximate - verify from topo. LiDAR inventory: no natural carbonate match within 2 mi (nearest is 2.4 mi E, Albany Co.).</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</si>
  <si>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</si>
  <si>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</si>
  <si>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</si>
  <si>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</si>
  <si>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</si>
  <si>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</si>
  <si>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</si>
  <si>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</si>
  <si>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</si>
  <si>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</si>
  <si>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</si>
  <si>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</si>
  <si>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</si>
  <si>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Barton Hill ridge (Gallupville/Shutters Corners), dip-parallel set; exact entrance not published. Cluster locus.</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</si>
  <si>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</si>
  <si>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</si>
  <si>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</si>
  <si>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</si>
  <si>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Barton Hill ridge (Gallupville/Shutters Corners); exact entrance not published. Cluster locus.</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</si>
  <si>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</si>
  <si>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</si>
  <si>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</si>
  <si>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</si>
  <si>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</si>
  <si>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</si>
  <si>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Barton Hill ridge (Gallupville/Shutters Corners); occluded sinkhole; exact location not published. Cluster locus.</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</si>
  <si>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</si>
  <si>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</si>
  <si>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</si>
  <si>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</si>
  <si>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</si>
  <si>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</si>
  <si>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park locus (approx)</t>
  </si>
  <si>
    <t xml:space="preserve">Joralemon Park, Rte 102 (Starr Rd), Coeymans; lowland Onondaga karst; approximate park locus - verify.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</si>
  <si>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</si>
  <si>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</si>
  <si>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</si>
  <si>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</si>
  <si>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</si>
  <si>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</si>
  <si>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Joralemon Park, E side of Rte 102, Coeymans; approximate park locus - verify. Distinct feature from Hannacroix Maze within the same park.</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</si>
  <si>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</si>
  <si>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</si>
  <si>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</si>
  <si>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</si>
  <si>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</si>
  <si>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Natural Stone Bridge &amp; Caves</t>
  </si>
  <si>
    <t xml:space="preserve">Pottersville (Horicon, Warren Co.) — LOWER ADK</t>
  </si>
  <si>
    <t xml:space="preserve">Grenville MARBLE (~1.1 Ga metamorphic — NOT Helderberg limestone)</t>
  </si>
  <si>
    <t xml:space="preserve">11-cave marble-karst system, potholes &amp; grottos along an E-W fault; 'largest marble cave entrance in the East'</t>
  </si>
  <si>
    <t xml:space="preserve">show trail ~0.75 mi; 43.7475,-73.8523, 929 ft</t>
  </si>
  <si>
    <t xml:space="preserve">Trout Brook sinks, runs underground, resurfaces ~200 m away at 'The Clamshell' pothole</t>
  </si>
  <si>
    <t xml:space="preserve">Commercial show cave (Path Through History). Rapidly dissolved by acidic glacial meltwater. NEW ROCK TYPE for this sheet — marble, not Devonian limestone. Verified (Wikipedia/park).</t>
  </si>
  <si>
    <t xml:space="preserve">published point</t>
  </si>
  <si>
    <t xml:space="preserve">Commercial show cave, Pottersville (Horicon, Warren Co.); published (park/Wikipedia). Grenville marble.</t>
  </si>
  <si>
    <t xml:space="preserve">Bartholomew's Cobble (Eldon's Cave)</t>
  </si>
  <si>
    <t xml:space="preserve">Ashley Falls, Sheffield (Berkshire Co., MA) — TACONIC / BERKSHIRE</t>
  </si>
  <si>
    <t xml:space="preserve">Stockbridge (Cambro-Ordovician) MARBLE</t>
  </si>
  <si>
    <t xml:space="preserve">Two marble-karst knolls ('the Cobbles'); Eldon's Cave is a marble cave with a 'Disappearing Brook'</t>
  </si>
  <si>
    <t xml:space="preserve">329-acre preserve; 42.0572,-73.3508</t>
  </si>
  <si>
    <t xml:space="preserve">Disappearing/resurging brook in the marble; Housatonic/Konkapot floodplain</t>
  </si>
  <si>
    <t xml:space="preserve">Trustees of Reservations; National Natural Landmark (1971). Berkshire marble karst, ACROSS the Hudson in the Housatonic valley. Verified.</t>
  </si>
  <si>
    <t xml:space="preserve">Trustees of Reservations preserve; National Natural Landmark; published point. Stockbridge marble.</t>
  </si>
  <si>
    <t xml:space="preserve">Rosendale karst &amp; cement district (Widow Jane Mine)</t>
  </si>
  <si>
    <t xml:space="preserve">Rosendale (Ulster Co.) — MID-HUDSON</t>
  </si>
  <si>
    <t xml:space="preserve">Rondout dolostone / Onondaga limestone</t>
  </si>
  <si>
    <t xml:space="preserve">Natural karst + the famous Rosendale natural-CEMENT mines (Widow Jane Mine); Binnewater lakes are karst-fed</t>
  </si>
  <si>
    <t xml:space="preserve">Karst springs; the flooded cement mines host bats</t>
  </si>
  <si>
    <t xml:space="preserve">Grade C — the cement MINES are anthropogenic but sit in genuine Rondout/Onondaga karst. POI + karst. Verify extent in a fresh session.</t>
  </si>
  <si>
    <t xml:space="preserve">Widow Jane Mine, Century House Historical District, 668 NY-213, Rosendale; published (showcaves/Backroads). Anchors the Rondout/Onondaga karst + cement district.</t>
  </si>
  <si>
    <t xml:space="preserve">Tory Cave</t>
  </si>
  <si>
    <t xml:space="preserve">Voorheesville / New Scotland (Thacher Park, Albany Co.)</t>
  </si>
  <si>
    <t xml:space="preserve">Coeymans &amp; Manlius Ls (Helderberg Grp)</t>
  </si>
  <si>
    <t xml:space="preserve">Escarpment-top limestone cave near the Indian Ladder Trail; entrance a hidden cleft among the cliffs; a natural chimney/flue rises from the rear chamber to the surface above</t>
  </si>
  <si>
    <t xml:space="preserve">Small single chamber with a rear chimney; most formations stripped by 19th-c. collectors</t>
  </si>
  <si>
    <t xml:space="preserve">Seepage-fed; the chimney vents air so spring meltwater builds unusually large ICE stalagmites (a partial rockfall blocks the drafts that would otherwise prevent them)</t>
  </si>
  <si>
    <t xml:space="preserve">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</si>
  <si>
    <t xml:space="preserve">1994 Tawasentha DAR 'Tory Cave 1777' marker at the Indian Ladder trailhead, Thacher Park (Rte 157); the cave is ~0.3 mi from the marker near the escarpment top. HMdb.</t>
  </si>
  <si>
    <t xml:space="preserve">Wolf Hollow (Hoffmans Fault gorge)</t>
  </si>
  <si>
    <t xml:space="preserve">Glenville (Schenectady Co.), Hoffmans</t>
  </si>
  <si>
    <t xml:space="preserve">FAULT gorge - NOT karst: Hoffmans normal fault juxtaposing Schenectady Fm sandstone/shale (E) against Beekmantown dolostone + Trenton Ls (W)</t>
  </si>
  <si>
    <t xml:space="preserve">~1-mi confined gorge of Chaughtanoonda Creek cut ALONG the fault by differential erosion + glacial meltwater; cliffs to ~200 ft; not a cave or sink</t>
  </si>
  <si>
    <t xml:space="preserve">~1 mi long; ~1000 ft of fault displacement; cliffs ~100-200 ft</t>
  </si>
  <si>
    <t xml:space="preserve">Chaughtanoonda Creek runs the gorge floor from the Glenville Hills to the Mohawk at Hoffmans - surface drainage, not a karst conduit</t>
  </si>
  <si>
    <t xml:space="preserve">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</si>
  <si>
    <t xml:space="preserve">gorge-midpoint locus</t>
  </si>
  <si>
    <t xml:space="preserve">Midpoint of the ~1-mi Wolf Hollow Rd gorge, bracketed by DAR markers at 42.9040,-74.0742 (S) and 42.9175,-74.0697 (N); linear feature, so the point is a placeholder. Access off Rte 5 (Amsterdam Rd). HMdb.</t>
  </si>
  <si>
    <t xml:space="preserve">Stoodley's Cave (1949 tentative name)</t>
  </si>
  <si>
    <t xml:space="preserve">escarpment above Schoharie (Schoharie Co.)</t>
  </si>
  <si>
    <t xml:space="preserve">Entered by a rope drop into a sinkhole ~20 ft deep</t>
  </si>
  <si>
    <t xml:space="preserve">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</si>
  <si>
    <t xml:space="preserve">Coordinates Needed — 1949 discovery, land then held by a real-estate agent, exact location not published. Source: The Altamont Enterprise, May 13 1949 ("Two New Caves Found Near Schoharie").</t>
  </si>
  <si>
    <t xml:space="preserve">Featherstonhaugh's Cave (1949 tentative name)</t>
  </si>
  <si>
    <t xml:space="preserve">A "walk-in" entrance followed by a "crawl-way" of unknown length</t>
  </si>
  <si>
    <t xml:space="preserve">Same 1949 NSS discovery as Stoodley's Cave (above); tentatively named for Duane Featherstonhaugh. CHECK: possible identity with a Featherstonhaugh-area / already-known Schoharie cave.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</si>
  <si>
    <t xml:space="preserve">Coordinates Needed. Source: The Altamont Enterprise, May 13 1949 ("Two New Caves Found Near Schoharie").</t>
  </si>
  <si>
    <t xml:space="preserve">Fox Creek sinkhole (swallow)</t>
  </si>
  <si>
    <t xml:space="preserve">West Berne / Knox (Albany Co.)</t>
  </si>
  <si>
    <t xml:space="preserve">Helderberg-plateau carbonate (karst)</t>
  </si>
  <si>
    <t xml:space="preserve">A large sinkhole/swallow ~50 m wide where the Fox Creek pools and sinks, just below the Bradt Hollow Rd bridge; upstream end in West Berne, the bulk in Knox</t>
  </si>
  <si>
    <t xml:space="preserve">~50 m wide</t>
  </si>
  <si>
    <t xml:space="preserve">The Fox Creek flows through it; nutrients and sediment accumulate in the sink (documented downstream of the Rte 443 bridge during a 1992 NYS DEC biomonitoring stream survey)</t>
  </si>
  <si>
    <t xml:space="preserve">Helderberg-plateau karst swallow on the Fox Creek. Documented in a 1992 Altamont Enterprise report on a DEC biomonitoring survey (biologist Lawrence Abele). Water-quality context (agricultural runoff / septic) in the source is not a geohazard event — the feature itself is the karst record. 2026-09-23 (v852, atlas session): LOCUS FOUND — Altamont Enterprise, Oct 1992, 'Stream sample reveals worms in Fox Creek': DEC biologist Lawrence Abele describes a pool just BELOW the Bradt Hollow Rd bridge where Fox Creek flows through 'a large sinkhole approximately 60 meters wide'; the upstream end of the pool is in West Berne, the bulk in Knox; locally 'the swimming hole', used by children, nutrient-enriched (green algae, filter-feeding caddis larvae), septic effluent and failed leach fields upstream in West Berne (dye test). Places query: Bradt Hollow Rd bridge over Fox Creek. Also: a large sinkhole receiving a natural drainage path under Rte 157A near Sawmill Rd (Berne Conservation Committee, Enterprise Nov 10 1988, Ames Acres subdivision) — separate feature.</t>
  </si>
  <si>
    <t xml:space="preserve">Coordinates Needed — "below the Bradt Hollow Rd bridge," West Berne/Knox; approximate locus. Source: The Altamont Enterprise, 1992 ("Stream sample reveals worms in Fox Creek", Laura Ten Eyck).</t>
  </si>
  <si>
    <t xml:space="preserve">Beaverdam Road natural bridge &amp; sinkhole belt</t>
  </si>
  <si>
    <t xml:space="preserve">Beaverdam Rd above John Boyd Thacher State Park (near Rtes 157 &amp; 157A), Albany Co.</t>
  </si>
  <si>
    <t xml:space="preserve">Onondaga limestone (natural bridge); Helderberg/Onondaga carbonate belt</t>
  </si>
  <si>
    <t xml:space="preserve">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</si>
  <si>
    <t xml:space="preserve">Natural bridge is small; the sink belt spans a stretch of the road</t>
  </si>
  <si>
    <t xml:space="preserve">Small streams sink into the depressions and disappear, resurging as springs in the Helderberg escarpment (dye-traced by geologists; some destinations still unknown)</t>
  </si>
  <si>
    <t xml:space="preserve">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</si>
  <si>
    <t xml:space="preserve">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</si>
  <si>
    <t xml:space="preserve">Becker's Store cellar sinkhole, 125 Maple Ave, Altamont (natural sink in a c.1818 building's cellar)</t>
  </si>
  <si>
    <t xml:space="preserve">Altamont (Guilderland)</t>
  </si>
  <si>
    <t xml:space="preserve">2026-09-23 (v850, atlas session): added per Laurie from the Altamont Enterprise, Feb 17 1983 ('A Tribute to Helen Becker by Barn School Children' — reprinting 'Helen Becker's Store' from the first Barn School Gazette, by Howard Gage and Danny Wellman): the building, ~1818, was moved by horses from Main St to 125 Maple Ave; under Mr. Beebe the cellar was a summer kitchen, then a wine store, then a fish store — 'The cellar has a natural sinkhole. Men washed the fish over it.' Then Minton Becker's harness/shoe-repair shop, later Helen Becker's shoe-repair and candy store. Children's-newspaper account → confidence C for the 'natural' claim; the village sits on Helderberg-foot till over limestone, so a karst drain is plausible but unconfirmed.</t>
  </si>
  <si>
    <t xml:space="preserve">exact (street address; the sink is under the building)</t>
  </si>
  <si>
    <t xml:space="preserve">Places-confirmed 125 Maple Ave, Altamont</t>
  </si>
  <si>
    <t xml:space="preserve">Sinkhole receiving drainage under Rte 157A near Sawmill Rd, Berne</t>
  </si>
  <si>
    <t xml:space="preserve">Berne</t>
  </si>
  <si>
    <t xml:space="preserve">2026-09-23 (v852, atlas session): added per Laurie from the Altamont Enterprise, Nov 10 1988, 'More development bids for the Berne planners': the Berne Conservation Committee opposed a 4-lot subdivision because 'a natural drainage path… flows under Route 157A, towards a large sinkhole', on Vergennes/Ilion silt loam over shale/limestone with poor percolation — septic risk to sinkholes and 'perhaps the aquifer'; Albany Co. Soil Conservation Board concurred. Same theme in the 2002 Helderberg planning guide (Enterprise Jun 27 2002): karst aquifers move contamination hundreds to thousands of feet per day; a small sinkhole opened in a committee member's driveway during editing; Clarksville Cave has 0–32 ft of cover.</t>
  </si>
  <si>
    <t xml:space="preserve">Coordinates Needed — intersection of Rte 157A and Sawmill Rd, Berne; sink is on/near the 4-lot 'Ames Acres' parcel (Henry Whipple, 1988)</t>
  </si>
  <si>
    <t xml:space="preserve">New sinkhole in the Rte 443 drainage ditch, Berne hamlet (spring 2004) — 200 ft W of the BKW bus garage</t>
  </si>
  <si>
    <t xml:space="preserve">2026-09-23 (v853, atlas session): added per Laurie from the Altamont Enterprise, Oct 21 2004, letter 'Mind the karst terrain' (P. David Smith, Berne): 'Just this last spring of 2004, a new sinkhole appeared in the hamlet. The drainage ditch on the southern side of Route 443… used to convey stormwater runoff to the wetland by the town garage. Now… the stormwater runoff channels into the sinkhole where it directly enters the limestone groundwater aquifer.' Cited against siting gas stations in the hamlet; the Helderberg Escarpment Planning Guide (2002, Stolzenburg) recommends a karst-feature inventory for Berne. Conf B (eyewitness resident, dated to the season).</t>
  </si>
  <si>
    <t xml:space="preserve">Coordinates Needed — south-side ditch of Rte 443, ~200 ft west of the Berne-Knox-Westerlo bus garage; Places should resolve the garage</t>
  </si>
  <si>
    <t xml:space="preserve">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</si>
  <si>
    <t xml:space="preserve">GEOLOGICAL SCOPE NOTE — MOHAWK VALLEY karst is LIMITED: the Helderberg/Onondaga carbonate belt thins westward; only minor karst (e.g., Little Falls dolostone). Wolf Hollow (Glenville) is a FAULT gorge, not karst. The dense cave country is the Schoharie/Helderberg belt to the south.</t>
  </si>
  <si>
    <t xml:space="preserve">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</si>
  <si>
    <t xml:space="preserve">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</si>
  <si>
    <t xml:space="preserve">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</si>
  <si>
    <t xml:space="preserve">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</si>
  <si>
    <t xml:space="preserve">FeatID</t>
  </si>
  <si>
    <t xml:space="preserve">Bedrock unit (MapUnit)</t>
  </si>
  <si>
    <t xml:space="preserve">Karst class</t>
  </si>
  <si>
    <t xml:space="preserve">Likely origin</t>
  </si>
  <si>
    <t xml:space="preserve">Description (USGS)</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</si>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</sst>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row r="34" customFormat="false" ht="15" hidden="false" customHeight="true" outlineLevel="0" collapsed="false">
      <c r="A34" s="1" t="s">
        <v>44</v>
      </c>
    </row>
    <row r="35" customFormat="false" ht="15" hidden="false" customHeight="true" outlineLevel="0" collapsed="false">
      <c r="A35" s="1" t="s">
        <v>45</v>
      </c>
    </row>
    <row r="36" customFormat="false" ht="15" hidden="false" customHeight="true" outlineLevel="0" collapsed="false">
      <c r="A36" s="1" t="s">
        <v>46</v>
      </c>
    </row>
    <row r="37" customFormat="false" ht="15" hidden="false" customHeight="true" outlineLevel="0" collapsed="false">
      <c r="A37" s="1" t="s">
        <v>47</v>
      </c>
    </row>
    <row r="38" customFormat="false" ht="15" hidden="false" customHeight="true" outlineLevel="0" collapsed="false">
      <c r="A38" s="1" t="s">
        <v>48</v>
      </c>
    </row>
    <row r="39" customFormat="false" ht="15" hidden="false" customHeight="true" outlineLevel="0" collapsed="false">
      <c r="A39" s="1" t="s">
        <v>49</v>
      </c>
    </row>
    <row r="40" customFormat="false" ht="15" hidden="false" customHeight="true" outlineLevel="0" collapsed="false">
      <c r="A40" s="1" t="s">
        <v>50</v>
      </c>
    </row>
    <row r="41" customFormat="false" ht="15" hidden="false" customHeight="true" outlineLevel="0" collapsed="false">
      <c r="A41" s="1" t="s">
        <v>51</v>
      </c>
    </row>
    <row r="42" customFormat="false" ht="15" hidden="false" customHeight="true" outlineLevel="0" collapsed="false">
      <c r="A42" s="1" t="s">
        <v>52</v>
      </c>
    </row>
    <row r="43" customFormat="false" ht="15" hidden="false" customHeight="true" outlineLevel="0" collapsed="false">
      <c r="A43" s="1" t="s">
        <v>53</v>
      </c>
    </row>
    <row r="45" customFormat="false" ht="15" hidden="false" customHeight="true" outlineLevel="0" collapsed="false">
      <c r="A45" s="1" t="s">
        <v>54</v>
      </c>
    </row>
    <row r="46" customFormat="false" ht="15" hidden="false" customHeight="true" outlineLevel="0" collapsed="false">
      <c r="A46" s="1" t="s">
        <v>55</v>
      </c>
    </row>
    <row r="47" customFormat="false" ht="15" hidden="false" customHeight="true" outlineLevel="0" collapsed="false">
      <c r="A47" s="1" t="s">
        <v>56</v>
      </c>
    </row>
    <row r="48" customFormat="false" ht="15" hidden="false" customHeight="true" outlineLevel="0" collapsed="false">
      <c r="A48" s="1"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58</v>
      </c>
      <c r="B1" s="6" t="s">
        <v>59</v>
      </c>
      <c r="C1" s="6" t="s">
        <v>60</v>
      </c>
      <c r="D1" s="6" t="s">
        <v>61</v>
      </c>
      <c r="E1" s="6" t="s">
        <v>62</v>
      </c>
      <c r="F1" s="6" t="s">
        <v>63</v>
      </c>
      <c r="G1" s="6" t="s">
        <v>64</v>
      </c>
      <c r="H1" s="6" t="s">
        <v>65</v>
      </c>
      <c r="I1" s="6" t="s">
        <v>66</v>
      </c>
      <c r="J1" s="6" t="s">
        <v>67</v>
      </c>
      <c r="K1" s="6" t="s">
        <v>68</v>
      </c>
      <c r="L1" s="6" t="s">
        <v>69</v>
      </c>
      <c r="M1" s="6" t="s">
        <v>70</v>
      </c>
      <c r="N1" s="6" t="s">
        <v>71</v>
      </c>
      <c r="O1" s="6" t="s">
        <v>72</v>
      </c>
      <c r="P1" s="6" t="s">
        <v>73</v>
      </c>
      <c r="Q1" s="6" t="s">
        <v>74</v>
      </c>
      <c r="R1" s="6" t="s">
        <v>75</v>
      </c>
      <c r="S1" s="6" t="s">
        <v>76</v>
      </c>
      <c r="T1" s="6" t="s">
        <v>77</v>
      </c>
      <c r="U1" s="6" t="s">
        <v>78</v>
      </c>
      <c r="V1" s="6" t="s">
        <v>79</v>
      </c>
    </row>
    <row r="2" customFormat="false" ht="34.5" hidden="false" customHeight="true" outlineLevel="0" collapsed="false">
      <c r="A2" s="7" t="n">
        <v>1</v>
      </c>
      <c r="B2" s="7" t="s">
        <v>80</v>
      </c>
      <c r="C2" s="7" t="s">
        <v>80</v>
      </c>
      <c r="D2" s="7" t="n">
        <f aca="false">VALUE(LEFT(B2,4))</f>
        <v>1635</v>
      </c>
      <c r="E2" s="7" t="n">
        <f aca="false">INT((D2-1)/100)+1</f>
        <v>17</v>
      </c>
      <c r="F2" s="7" t="s">
        <v>81</v>
      </c>
      <c r="G2" s="7" t="s">
        <v>82</v>
      </c>
      <c r="H2" s="7" t="s">
        <v>83</v>
      </c>
      <c r="I2" s="7" t="s">
        <v>84</v>
      </c>
      <c r="J2" s="7" t="s">
        <v>85</v>
      </c>
      <c r="K2" s="7" t="s">
        <v>86</v>
      </c>
      <c r="L2" s="7" t="s">
        <v>87</v>
      </c>
      <c r="M2" s="7" t="s">
        <v>88</v>
      </c>
      <c r="N2" s="7" t="s">
        <v>20</v>
      </c>
      <c r="O2" s="7" t="s">
        <v>89</v>
      </c>
      <c r="P2" s="7" t="s">
        <v>90</v>
      </c>
      <c r="Q2" s="7" t="s">
        <v>80</v>
      </c>
      <c r="R2" s="7" t="n">
        <f aca="false">VALUE(LEFT(Q2,4))</f>
        <v>1635</v>
      </c>
      <c r="S2" s="7" t="n">
        <f aca="false">VALUE(MID(Q2,6,2))</f>
        <v>8</v>
      </c>
      <c r="T2" s="7" t="n">
        <f aca="false">VALUE(RIGHT(Q2,2))</f>
        <v>25</v>
      </c>
      <c r="U2" s="7" t="s">
        <v>91</v>
      </c>
      <c r="V2" s="7" t="s">
        <v>92</v>
      </c>
    </row>
    <row r="3" customFormat="false" ht="45.75" hidden="false" customHeight="true" outlineLevel="0" collapsed="false">
      <c r="A3" s="7" t="n">
        <v>2</v>
      </c>
      <c r="B3" s="7" t="s">
        <v>93</v>
      </c>
      <c r="C3" s="7" t="s">
        <v>93</v>
      </c>
      <c r="D3" s="7" t="n">
        <f aca="false">VALUE(LEFT(B3,4))</f>
        <v>1645</v>
      </c>
      <c r="E3" s="7" t="n">
        <f aca="false">INT((D3-1)/100)+1</f>
        <v>17</v>
      </c>
      <c r="F3" s="7" t="s">
        <v>94</v>
      </c>
      <c r="G3" s="7" t="s">
        <v>95</v>
      </c>
      <c r="H3" s="7" t="s">
        <v>96</v>
      </c>
      <c r="I3" s="7" t="s">
        <v>97</v>
      </c>
      <c r="J3" s="7" t="s">
        <v>98</v>
      </c>
      <c r="K3" s="7" t="s">
        <v>99</v>
      </c>
      <c r="L3" s="7" t="s">
        <v>100</v>
      </c>
      <c r="M3" s="7"/>
      <c r="N3" s="7" t="s">
        <v>18</v>
      </c>
      <c r="O3" s="7" t="s">
        <v>89</v>
      </c>
      <c r="P3" s="7" t="s">
        <v>101</v>
      </c>
      <c r="Q3" s="7" t="s">
        <v>93</v>
      </c>
      <c r="R3" s="7" t="n">
        <f aca="false">VALUE(LEFT(Q3,4))</f>
        <v>1645</v>
      </c>
      <c r="S3" s="7" t="n">
        <f aca="false">VALUE(MID(Q3,6,2))</f>
        <v>11</v>
      </c>
      <c r="T3" s="7" t="n">
        <f aca="false">VALUE(RIGHT(Q3,2))</f>
        <v>25</v>
      </c>
      <c r="U3" s="7" t="s">
        <v>91</v>
      </c>
      <c r="V3" s="7" t="s">
        <v>92</v>
      </c>
    </row>
    <row r="4" customFormat="false" ht="34.5" hidden="false" customHeight="true" outlineLevel="0" collapsed="false">
      <c r="A4" s="7" t="n">
        <v>3</v>
      </c>
      <c r="B4" s="7" t="s">
        <v>102</v>
      </c>
      <c r="C4" s="7" t="s">
        <v>102</v>
      </c>
      <c r="D4" s="7" t="n">
        <f aca="false">VALUE(LEFT(B4,4))</f>
        <v>1667</v>
      </c>
      <c r="E4" s="7" t="n">
        <f aca="false">INT((D4-1)/100)+1</f>
        <v>17</v>
      </c>
      <c r="F4" s="7" t="s">
        <v>81</v>
      </c>
      <c r="G4" s="7" t="s">
        <v>103</v>
      </c>
      <c r="H4" s="7" t="s">
        <v>104</v>
      </c>
      <c r="I4" s="7" t="s">
        <v>105</v>
      </c>
      <c r="J4" s="7" t="s">
        <v>106</v>
      </c>
      <c r="K4" s="7" t="s">
        <v>107</v>
      </c>
      <c r="L4" s="7" t="s">
        <v>87</v>
      </c>
      <c r="M4" s="7" t="s">
        <v>88</v>
      </c>
      <c r="N4" s="7" t="s">
        <v>20</v>
      </c>
      <c r="O4" s="7" t="s">
        <v>108</v>
      </c>
      <c r="P4" s="7" t="s">
        <v>109</v>
      </c>
      <c r="Q4" s="7" t="s">
        <v>102</v>
      </c>
      <c r="R4" s="7" t="n">
        <f aca="false">VALUE(LEFT(Q4,4))</f>
        <v>1667</v>
      </c>
      <c r="S4" s="7" t="n">
        <f aca="false">VALUE(MID(Q4,6,2))</f>
        <v>8</v>
      </c>
      <c r="T4" s="7" t="n">
        <f aca="false">VALUE(RIGHT(Q4,2))</f>
        <v>27</v>
      </c>
      <c r="U4" s="7" t="s">
        <v>91</v>
      </c>
      <c r="V4" s="7" t="s">
        <v>92</v>
      </c>
    </row>
    <row r="5" customFormat="false" ht="45.75" hidden="false" customHeight="true" outlineLevel="0" collapsed="false">
      <c r="A5" s="7" t="n">
        <v>4</v>
      </c>
      <c r="B5" s="7" t="s">
        <v>110</v>
      </c>
      <c r="C5" s="7" t="s">
        <v>110</v>
      </c>
      <c r="D5" s="7" t="n">
        <f aca="false">VALUE(LEFT(B5,4))</f>
        <v>1683</v>
      </c>
      <c r="E5" s="7" t="n">
        <f aca="false">INT((D5-1)/100)+1</f>
        <v>17</v>
      </c>
      <c r="F5" s="7" t="s">
        <v>111</v>
      </c>
      <c r="G5" s="7" t="s">
        <v>112</v>
      </c>
      <c r="H5" s="7" t="s">
        <v>113</v>
      </c>
      <c r="I5" s="7" t="s">
        <v>114</v>
      </c>
      <c r="J5" s="7" t="s">
        <v>115</v>
      </c>
      <c r="K5" s="7" t="s">
        <v>116</v>
      </c>
      <c r="L5" s="7" t="s">
        <v>87</v>
      </c>
      <c r="M5" s="7" t="s">
        <v>88</v>
      </c>
      <c r="N5" s="7" t="s">
        <v>20</v>
      </c>
      <c r="O5" s="7" t="s">
        <v>89</v>
      </c>
      <c r="P5" s="7" t="s">
        <v>117</v>
      </c>
      <c r="Q5" s="7" t="s">
        <v>110</v>
      </c>
      <c r="R5" s="7" t="n">
        <f aca="false">VALUE(LEFT(Q5,4))</f>
        <v>1683</v>
      </c>
      <c r="S5" s="7" t="n">
        <f aca="false">VALUE(MID(Q5,6,2))</f>
        <v>8</v>
      </c>
      <c r="T5" s="7" t="n">
        <f aca="false">VALUE(RIGHT(Q5,2))</f>
        <v>23</v>
      </c>
      <c r="U5" s="7" t="s">
        <v>91</v>
      </c>
      <c r="V5" s="7" t="s">
        <v>92</v>
      </c>
    </row>
    <row r="6" customFormat="false" ht="57" hidden="false" customHeight="true" outlineLevel="0" collapsed="false">
      <c r="A6" s="7" t="n">
        <v>5</v>
      </c>
      <c r="B6" s="7" t="s">
        <v>118</v>
      </c>
      <c r="C6" s="7" t="s">
        <v>119</v>
      </c>
      <c r="D6" s="7" t="n">
        <f aca="false">VALUE(LEFT(B6,4))</f>
        <v>1697</v>
      </c>
      <c r="E6" s="7" t="n">
        <f aca="false">INT((D6-1)/100)+1</f>
        <v>17</v>
      </c>
      <c r="F6" s="7" t="s">
        <v>120</v>
      </c>
      <c r="G6" s="7" t="s">
        <v>121</v>
      </c>
      <c r="H6" s="7" t="s">
        <v>122</v>
      </c>
      <c r="I6" s="7" t="s">
        <v>123</v>
      </c>
      <c r="J6" s="7" t="s">
        <v>124</v>
      </c>
      <c r="K6" s="7" t="s">
        <v>125</v>
      </c>
      <c r="L6" s="7" t="s">
        <v>100</v>
      </c>
      <c r="M6" s="7"/>
      <c r="N6" s="7" t="s">
        <v>18</v>
      </c>
      <c r="O6" s="7" t="s">
        <v>89</v>
      </c>
      <c r="P6" s="7" t="s">
        <v>126</v>
      </c>
      <c r="Q6" s="7" t="s">
        <v>127</v>
      </c>
      <c r="R6" s="7" t="n">
        <f aca="false">VALUE(LEFT(Q6,4))</f>
        <v>1698</v>
      </c>
      <c r="S6" s="7" t="n">
        <f aca="false">VALUE(MID(Q6,6,2))</f>
        <v>2</v>
      </c>
      <c r="T6" s="7" t="n">
        <f aca="false">VALUE(RIGHT(Q6,2))</f>
        <v>15</v>
      </c>
      <c r="U6" s="7" t="s">
        <v>128</v>
      </c>
      <c r="V6" s="7" t="s">
        <v>129</v>
      </c>
    </row>
    <row r="7" customFormat="false" ht="34.5" hidden="false" customHeight="true" outlineLevel="0" collapsed="false">
      <c r="A7" s="7" t="n">
        <v>6</v>
      </c>
      <c r="B7" s="7" t="s">
        <v>130</v>
      </c>
      <c r="C7" s="7" t="s">
        <v>131</v>
      </c>
      <c r="D7" s="7" t="n">
        <f aca="false">VALUE(LEFT(B7,4))</f>
        <v>1705</v>
      </c>
      <c r="E7" s="7" t="n">
        <f aca="false">INT((D7-1)/100)+1</f>
        <v>18</v>
      </c>
      <c r="F7" s="7" t="s">
        <v>132</v>
      </c>
      <c r="G7" s="7" t="s">
        <v>133</v>
      </c>
      <c r="H7" s="7" t="s">
        <v>134</v>
      </c>
      <c r="I7" s="7" t="s">
        <v>135</v>
      </c>
      <c r="J7" s="7" t="s">
        <v>136</v>
      </c>
      <c r="K7" s="7" t="s">
        <v>137</v>
      </c>
      <c r="L7" s="7" t="s">
        <v>100</v>
      </c>
      <c r="M7" s="7"/>
      <c r="N7" s="7" t="s">
        <v>18</v>
      </c>
      <c r="O7" s="7" t="s">
        <v>89</v>
      </c>
      <c r="P7" s="7" t="s">
        <v>138</v>
      </c>
      <c r="Q7" s="7" t="s">
        <v>130</v>
      </c>
      <c r="R7" s="7" t="n">
        <f aca="false">VALUE(LEFT(Q7,4))</f>
        <v>1705</v>
      </c>
      <c r="S7" s="7" t="n">
        <f aca="false">VALUE(MID(Q7,6,2))</f>
        <v>12</v>
      </c>
      <c r="T7" s="7" t="n">
        <f aca="false">VALUE(RIGHT(Q7,2))</f>
        <v>30</v>
      </c>
      <c r="U7" s="7" t="s">
        <v>139</v>
      </c>
      <c r="V7" s="7" t="s">
        <v>140</v>
      </c>
    </row>
    <row r="8" customFormat="false" ht="45.75" hidden="false" customHeight="true" outlineLevel="0" collapsed="false">
      <c r="A8" s="7" t="n">
        <v>7</v>
      </c>
      <c r="B8" s="7" t="s">
        <v>141</v>
      </c>
      <c r="C8" s="7" t="s">
        <v>142</v>
      </c>
      <c r="D8" s="7" t="n">
        <f aca="false">VALUE(LEFT(B8,4))</f>
        <v>1706</v>
      </c>
      <c r="E8" s="7" t="n">
        <f aca="false">INT((D8-1)/100)+1</f>
        <v>18</v>
      </c>
      <c r="F8" s="7" t="s">
        <v>143</v>
      </c>
      <c r="G8" s="7" t="s">
        <v>144</v>
      </c>
      <c r="H8" s="7" t="s">
        <v>145</v>
      </c>
      <c r="I8" s="7" t="s">
        <v>146</v>
      </c>
      <c r="J8" s="7" t="s">
        <v>147</v>
      </c>
      <c r="K8" s="7" t="s">
        <v>148</v>
      </c>
      <c r="L8" s="7" t="s">
        <v>87</v>
      </c>
      <c r="M8" s="7" t="s">
        <v>88</v>
      </c>
      <c r="N8" s="7" t="s">
        <v>18</v>
      </c>
      <c r="O8" s="7" t="s">
        <v>89</v>
      </c>
      <c r="P8" s="7" t="s">
        <v>149</v>
      </c>
      <c r="Q8" s="7" t="s">
        <v>141</v>
      </c>
      <c r="R8" s="7" t="n">
        <f aca="false">VALUE(LEFT(Q8,4))</f>
        <v>1706</v>
      </c>
      <c r="S8" s="7" t="n">
        <f aca="false">VALUE(MID(Q8,6,2))</f>
        <v>10</v>
      </c>
      <c r="T8" s="7" t="n">
        <f aca="false">VALUE(RIGHT(Q8,2))</f>
        <v>14</v>
      </c>
      <c r="U8" s="7" t="s">
        <v>139</v>
      </c>
      <c r="V8" s="7" t="s">
        <v>150</v>
      </c>
    </row>
    <row r="9" customFormat="false" ht="45.75" hidden="false" customHeight="true" outlineLevel="0" collapsed="false">
      <c r="A9" s="7" t="n">
        <v>8</v>
      </c>
      <c r="B9" s="7" t="s">
        <v>151</v>
      </c>
      <c r="C9" s="7" t="s">
        <v>152</v>
      </c>
      <c r="D9" s="7" t="n">
        <f aca="false">VALUE(LEFT(B9,4))</f>
        <v>1717</v>
      </c>
      <c r="E9" s="7" t="n">
        <f aca="false">INT((D9-1)/100)+1</f>
        <v>18</v>
      </c>
      <c r="F9" s="7" t="s">
        <v>153</v>
      </c>
      <c r="G9" s="7" t="s">
        <v>154</v>
      </c>
      <c r="H9" s="7" t="s">
        <v>155</v>
      </c>
      <c r="I9" s="7" t="s">
        <v>156</v>
      </c>
      <c r="J9" s="7" t="s">
        <v>157</v>
      </c>
      <c r="K9" s="7" t="s">
        <v>158</v>
      </c>
      <c r="L9" s="7" t="s">
        <v>100</v>
      </c>
      <c r="M9" s="7"/>
      <c r="N9" s="7" t="s">
        <v>18</v>
      </c>
      <c r="O9" s="7" t="s">
        <v>89</v>
      </c>
      <c r="P9" s="7" t="s">
        <v>159</v>
      </c>
      <c r="Q9" s="7" t="s">
        <v>152</v>
      </c>
      <c r="R9" s="7" t="n">
        <f aca="false">VALUE(LEFT(Q9,4))</f>
        <v>1717</v>
      </c>
      <c r="S9" s="7" t="n">
        <f aca="false">VALUE(MID(Q9,6,2))</f>
        <v>3</v>
      </c>
      <c r="T9" s="7" t="n">
        <f aca="false">VALUE(RIGHT(Q9,2))</f>
        <v>7</v>
      </c>
      <c r="U9" s="7" t="s">
        <v>139</v>
      </c>
      <c r="V9" s="7" t="s">
        <v>160</v>
      </c>
    </row>
    <row r="10" customFormat="false" ht="68.25" hidden="false" customHeight="true" outlineLevel="0" collapsed="false">
      <c r="A10" s="7" t="n">
        <v>9</v>
      </c>
      <c r="B10" s="7" t="s">
        <v>161</v>
      </c>
      <c r="C10" s="7" t="s">
        <v>162</v>
      </c>
      <c r="D10" s="7" t="n">
        <f aca="false">VALUE(LEFT(B10,4))</f>
        <v>1740</v>
      </c>
      <c r="E10" s="7" t="n">
        <f aca="false">INT((D10-1)/100)+1</f>
        <v>18</v>
      </c>
      <c r="F10" s="7" t="s">
        <v>120</v>
      </c>
      <c r="G10" s="7" t="s">
        <v>163</v>
      </c>
      <c r="H10" s="7" t="s">
        <v>164</v>
      </c>
      <c r="I10" s="7" t="s">
        <v>165</v>
      </c>
      <c r="J10" s="7" t="s">
        <v>166</v>
      </c>
      <c r="K10" s="7" t="s">
        <v>167</v>
      </c>
      <c r="L10" s="7" t="s">
        <v>100</v>
      </c>
      <c r="M10" s="7"/>
      <c r="N10" s="7" t="s">
        <v>18</v>
      </c>
      <c r="O10" s="7" t="s">
        <v>89</v>
      </c>
      <c r="P10" s="7" t="s">
        <v>168</v>
      </c>
      <c r="Q10" s="7" t="s">
        <v>169</v>
      </c>
      <c r="R10" s="7" t="n">
        <f aca="false">VALUE(LEFT(Q10,4))</f>
        <v>1740</v>
      </c>
      <c r="S10" s="7" t="n">
        <f aca="false">VALUE(MID(Q10,6,2))</f>
        <v>12</v>
      </c>
      <c r="T10" s="7" t="n">
        <f aca="false">VALUE(RIGHT(Q10,2))</f>
        <v>28</v>
      </c>
      <c r="U10" s="7" t="s">
        <v>91</v>
      </c>
      <c r="V10" s="7" t="s">
        <v>170</v>
      </c>
    </row>
    <row r="11" customFormat="false" ht="34.5" hidden="false" customHeight="true" outlineLevel="0" collapsed="false">
      <c r="A11" s="7" t="n">
        <v>10</v>
      </c>
      <c r="B11" s="7" t="s">
        <v>171</v>
      </c>
      <c r="C11" s="7" t="s">
        <v>172</v>
      </c>
      <c r="D11" s="7" t="n">
        <f aca="false">VALUE(LEFT(B11,4))</f>
        <v>1741</v>
      </c>
      <c r="E11" s="7" t="n">
        <f aca="false">INT((D11-1)/100)+1</f>
        <v>18</v>
      </c>
      <c r="F11" s="7" t="s">
        <v>173</v>
      </c>
      <c r="G11" s="7" t="s">
        <v>174</v>
      </c>
      <c r="H11" s="7" t="s">
        <v>175</v>
      </c>
      <c r="I11" s="7" t="s">
        <v>176</v>
      </c>
      <c r="J11" s="7" t="s">
        <v>177</v>
      </c>
      <c r="K11" s="7" t="s">
        <v>178</v>
      </c>
      <c r="L11" s="7" t="s">
        <v>100</v>
      </c>
      <c r="M11" s="7"/>
      <c r="N11" s="7" t="s">
        <v>18</v>
      </c>
      <c r="O11" s="7" t="s">
        <v>89</v>
      </c>
      <c r="P11" s="7" t="s">
        <v>179</v>
      </c>
      <c r="Q11" s="7" t="s">
        <v>171</v>
      </c>
      <c r="R11" s="7" t="n">
        <f aca="false">VALUE(LEFT(Q11,4))</f>
        <v>1741</v>
      </c>
      <c r="S11" s="7" t="n">
        <f aca="false">VALUE(MID(Q11,6,2))</f>
        <v>2</v>
      </c>
      <c r="T11" s="7" t="n">
        <f aca="false">VALUE(RIGHT(Q11,2))</f>
        <v>8</v>
      </c>
      <c r="U11" s="7" t="s">
        <v>139</v>
      </c>
      <c r="V11" s="7" t="s">
        <v>140</v>
      </c>
    </row>
    <row r="12" customFormat="false" ht="23.25" hidden="false" customHeight="true" outlineLevel="0" collapsed="false">
      <c r="A12" s="7" t="n">
        <v>11</v>
      </c>
      <c r="B12" s="7" t="s">
        <v>180</v>
      </c>
      <c r="C12" s="7" t="s">
        <v>180</v>
      </c>
      <c r="D12" s="7" t="n">
        <f aca="false">VALUE(LEFT(B12,4))</f>
        <v>1741</v>
      </c>
      <c r="E12" s="7" t="n">
        <f aca="false">INT((D12-1)/100)+1</f>
        <v>18</v>
      </c>
      <c r="F12" s="7" t="s">
        <v>181</v>
      </c>
      <c r="G12" s="7" t="s">
        <v>182</v>
      </c>
      <c r="H12" s="7" t="s">
        <v>183</v>
      </c>
      <c r="I12" s="7" t="s">
        <v>184</v>
      </c>
      <c r="J12" s="7" t="s">
        <v>185</v>
      </c>
      <c r="K12" s="7" t="s">
        <v>186</v>
      </c>
      <c r="L12" s="7" t="s">
        <v>100</v>
      </c>
      <c r="M12" s="7"/>
      <c r="N12" s="7" t="s">
        <v>18</v>
      </c>
      <c r="O12" s="7" t="s">
        <v>89</v>
      </c>
      <c r="P12" s="7" t="s">
        <v>187</v>
      </c>
      <c r="Q12" s="7" t="s">
        <v>180</v>
      </c>
      <c r="R12" s="7" t="n">
        <f aca="false">VALUE(LEFT(Q12,4))</f>
        <v>1741</v>
      </c>
      <c r="S12" s="7" t="n">
        <f aca="false">VALUE(MID(Q12,6,2))</f>
        <v>4</v>
      </c>
      <c r="T12" s="7" t="n">
        <f aca="false">VALUE(RIGHT(Q12,2))</f>
        <v>1</v>
      </c>
      <c r="U12" s="7" t="s">
        <v>91</v>
      </c>
      <c r="V12" s="7" t="s">
        <v>92</v>
      </c>
    </row>
    <row r="13" customFormat="false" ht="34.5" hidden="false" customHeight="true" outlineLevel="0" collapsed="false">
      <c r="A13" s="7" t="n">
        <v>12</v>
      </c>
      <c r="B13" s="7" t="s">
        <v>188</v>
      </c>
      <c r="C13" s="7" t="s">
        <v>189</v>
      </c>
      <c r="D13" s="7" t="n">
        <f aca="false">VALUE(LEFT(B13,4))</f>
        <v>1764</v>
      </c>
      <c r="E13" s="7" t="n">
        <f aca="false">INT((D13-1)/100)+1</f>
        <v>18</v>
      </c>
      <c r="F13" s="7" t="s">
        <v>190</v>
      </c>
      <c r="G13" s="7" t="s">
        <v>191</v>
      </c>
      <c r="H13" s="7" t="s">
        <v>192</v>
      </c>
      <c r="I13" s="7" t="s">
        <v>193</v>
      </c>
      <c r="J13" s="7" t="s">
        <v>194</v>
      </c>
      <c r="K13" s="7" t="s">
        <v>195</v>
      </c>
      <c r="L13" s="7" t="s">
        <v>100</v>
      </c>
      <c r="M13" s="7"/>
      <c r="N13" s="7" t="s">
        <v>18</v>
      </c>
      <c r="O13" s="7" t="s">
        <v>89</v>
      </c>
      <c r="P13" s="7"/>
      <c r="Q13" s="7" t="s">
        <v>188</v>
      </c>
      <c r="R13" s="7" t="n">
        <f aca="false">VALUE(LEFT(Q13,4))</f>
        <v>1764</v>
      </c>
      <c r="S13" s="7" t="n">
        <f aca="false">VALUE(MID(Q13,6,2))</f>
        <v>12</v>
      </c>
      <c r="T13" s="7" t="n">
        <f aca="false">VALUE(RIGHT(Q13,2))</f>
        <v>25</v>
      </c>
      <c r="U13" s="7" t="s">
        <v>139</v>
      </c>
      <c r="V13" s="7" t="s">
        <v>140</v>
      </c>
    </row>
    <row r="14" customFormat="false" ht="57" hidden="false" customHeight="true" outlineLevel="0" collapsed="false">
      <c r="A14" s="7" t="n">
        <v>13</v>
      </c>
      <c r="B14" s="7" t="s">
        <v>196</v>
      </c>
      <c r="C14" s="7" t="s">
        <v>197</v>
      </c>
      <c r="D14" s="7" t="n">
        <f aca="false">VALUE(LEFT(B14,4))</f>
        <v>1765</v>
      </c>
      <c r="E14" s="7" t="n">
        <f aca="false">INT((D14-1)/100)+1</f>
        <v>18</v>
      </c>
      <c r="F14" s="7" t="s">
        <v>132</v>
      </c>
      <c r="G14" s="7" t="s">
        <v>198</v>
      </c>
      <c r="H14" s="7" t="s">
        <v>134</v>
      </c>
      <c r="I14" s="7" t="s">
        <v>199</v>
      </c>
      <c r="J14" s="7" t="s">
        <v>200</v>
      </c>
      <c r="K14" s="7" t="s">
        <v>201</v>
      </c>
      <c r="L14" s="7" t="s">
        <v>100</v>
      </c>
      <c r="M14" s="7"/>
      <c r="N14" s="7" t="s">
        <v>18</v>
      </c>
      <c r="O14" s="7" t="s">
        <v>89</v>
      </c>
      <c r="P14" s="7"/>
      <c r="Q14" s="7" t="s">
        <v>196</v>
      </c>
      <c r="R14" s="7" t="n">
        <f aca="false">VALUE(LEFT(Q14,4))</f>
        <v>1765</v>
      </c>
      <c r="S14" s="7" t="n">
        <f aca="false">VALUE(MID(Q14,6,2))</f>
        <v>1</v>
      </c>
      <c r="T14" s="7" t="n">
        <f aca="false">VALUE(RIGHT(Q14,2))</f>
        <v>26</v>
      </c>
      <c r="U14" s="7" t="s">
        <v>139</v>
      </c>
      <c r="V14" s="7" t="s">
        <v>140</v>
      </c>
    </row>
    <row r="15" customFormat="false" ht="45.75" hidden="false" customHeight="true" outlineLevel="0" collapsed="false">
      <c r="A15" s="7" t="n">
        <v>14</v>
      </c>
      <c r="B15" s="7" t="s">
        <v>202</v>
      </c>
      <c r="C15" s="7" t="s">
        <v>202</v>
      </c>
      <c r="D15" s="7" t="n">
        <f aca="false">VALUE(LEFT(B15,4))</f>
        <v>1769</v>
      </c>
      <c r="E15" s="7" t="n">
        <f aca="false">INT((D15-1)/100)+1</f>
        <v>18</v>
      </c>
      <c r="F15" s="7" t="s">
        <v>81</v>
      </c>
      <c r="G15" s="7" t="s">
        <v>203</v>
      </c>
      <c r="H15" s="7" t="s">
        <v>204</v>
      </c>
      <c r="I15" s="7" t="s">
        <v>205</v>
      </c>
      <c r="J15" s="7" t="s">
        <v>206</v>
      </c>
      <c r="K15" s="7" t="s">
        <v>207</v>
      </c>
      <c r="L15" s="7" t="s">
        <v>208</v>
      </c>
      <c r="M15" s="7" t="s">
        <v>88</v>
      </c>
      <c r="N15" s="7" t="s">
        <v>20</v>
      </c>
      <c r="O15" s="7" t="s">
        <v>108</v>
      </c>
      <c r="P15" s="7" t="s">
        <v>209</v>
      </c>
      <c r="Q15" s="7" t="s">
        <v>202</v>
      </c>
      <c r="R15" s="7" t="n">
        <f aca="false">VALUE(LEFT(Q15,4))</f>
        <v>1769</v>
      </c>
      <c r="S15" s="7" t="n">
        <f aca="false">VALUE(MID(Q15,6,2))</f>
        <v>9</v>
      </c>
      <c r="T15" s="7" t="n">
        <f aca="false">VALUE(RIGHT(Q15,2))</f>
        <v>8</v>
      </c>
      <c r="U15" s="7" t="s">
        <v>91</v>
      </c>
      <c r="V15" s="7" t="s">
        <v>92</v>
      </c>
    </row>
    <row r="16" customFormat="false" ht="34.5" hidden="false" customHeight="true" outlineLevel="0" collapsed="false">
      <c r="A16" s="7" t="n">
        <v>15</v>
      </c>
      <c r="B16" s="7" t="s">
        <v>210</v>
      </c>
      <c r="C16" s="7" t="s">
        <v>210</v>
      </c>
      <c r="D16" s="7" t="n">
        <f aca="false">VALUE(LEFT(B16,4))</f>
        <v>1775</v>
      </c>
      <c r="E16" s="7" t="n">
        <f aca="false">INT((D16-1)/100)+1</f>
        <v>18</v>
      </c>
      <c r="F16" s="7" t="s">
        <v>81</v>
      </c>
      <c r="G16" s="7" t="s">
        <v>211</v>
      </c>
      <c r="H16" s="7" t="s">
        <v>212</v>
      </c>
      <c r="I16" s="7" t="s">
        <v>213</v>
      </c>
      <c r="J16" s="7" t="s">
        <v>214</v>
      </c>
      <c r="K16" s="7" t="s">
        <v>215</v>
      </c>
      <c r="L16" s="7" t="s">
        <v>208</v>
      </c>
      <c r="M16" s="7" t="s">
        <v>88</v>
      </c>
      <c r="N16" s="7" t="s">
        <v>20</v>
      </c>
      <c r="O16" s="7" t="s">
        <v>108</v>
      </c>
      <c r="P16" s="7" t="s">
        <v>216</v>
      </c>
      <c r="Q16" s="7" t="s">
        <v>210</v>
      </c>
      <c r="R16" s="7" t="n">
        <f aca="false">VALUE(LEFT(Q16,4))</f>
        <v>1775</v>
      </c>
      <c r="S16" s="7" t="n">
        <f aca="false">VALUE(MID(Q16,6,2))</f>
        <v>9</v>
      </c>
      <c r="T16" s="7" t="n">
        <f aca="false">VALUE(RIGHT(Q16,2))</f>
        <v>3</v>
      </c>
      <c r="U16" s="7" t="s">
        <v>91</v>
      </c>
      <c r="V16" s="7" t="s">
        <v>92</v>
      </c>
    </row>
    <row r="17" customFormat="false" ht="45.75" hidden="false" customHeight="true" outlineLevel="0" collapsed="false">
      <c r="A17" s="7" t="n">
        <v>16</v>
      </c>
      <c r="B17" s="7" t="s">
        <v>217</v>
      </c>
      <c r="C17" s="7" t="s">
        <v>217</v>
      </c>
      <c r="D17" s="7" t="n">
        <f aca="false">VALUE(LEFT(B17,4))</f>
        <v>1775</v>
      </c>
      <c r="E17" s="7" t="n">
        <f aca="false">INT((D17-1)/100)+1</f>
        <v>18</v>
      </c>
      <c r="F17" s="7" t="s">
        <v>153</v>
      </c>
      <c r="G17" s="7" t="s">
        <v>218</v>
      </c>
      <c r="H17" s="7" t="s">
        <v>219</v>
      </c>
      <c r="I17" s="7" t="s">
        <v>220</v>
      </c>
      <c r="J17" s="7" t="s">
        <v>221</v>
      </c>
      <c r="K17" s="7" t="s">
        <v>222</v>
      </c>
      <c r="L17" s="7" t="s">
        <v>100</v>
      </c>
      <c r="M17" s="7"/>
      <c r="N17" s="7" t="s">
        <v>18</v>
      </c>
      <c r="O17" s="7" t="s">
        <v>89</v>
      </c>
      <c r="P17" s="7"/>
      <c r="Q17" s="7" t="s">
        <v>217</v>
      </c>
      <c r="R17" s="7" t="n">
        <f aca="false">VALUE(LEFT(Q17,4))</f>
        <v>1775</v>
      </c>
      <c r="S17" s="7" t="n">
        <f aca="false">VALUE(MID(Q17,6,2))</f>
        <v>12</v>
      </c>
      <c r="T17" s="7" t="n">
        <f aca="false">VALUE(RIGHT(Q17,2))</f>
        <v>24</v>
      </c>
      <c r="U17" s="7" t="s">
        <v>91</v>
      </c>
      <c r="V17" s="7" t="s">
        <v>92</v>
      </c>
    </row>
    <row r="18" customFormat="false" ht="45.75" hidden="false" customHeight="true" outlineLevel="0" collapsed="false">
      <c r="A18" s="7" t="n">
        <v>17</v>
      </c>
      <c r="B18" s="7" t="s">
        <v>223</v>
      </c>
      <c r="C18" s="7" t="s">
        <v>224</v>
      </c>
      <c r="D18" s="7" t="n">
        <f aca="false">VALUE(LEFT(B18,4))</f>
        <v>1776</v>
      </c>
      <c r="E18" s="7" t="n">
        <f aca="false">INT((D18-1)/100)+1</f>
        <v>18</v>
      </c>
      <c r="F18" s="7" t="s">
        <v>225</v>
      </c>
      <c r="G18" s="7" t="s">
        <v>226</v>
      </c>
      <c r="H18" s="7" t="s">
        <v>227</v>
      </c>
      <c r="I18" s="7" t="s">
        <v>228</v>
      </c>
      <c r="J18" s="7" t="s">
        <v>229</v>
      </c>
      <c r="K18" s="7" t="s">
        <v>230</v>
      </c>
      <c r="L18" s="7" t="s">
        <v>100</v>
      </c>
      <c r="M18" s="7"/>
      <c r="N18" s="7" t="s">
        <v>18</v>
      </c>
      <c r="O18" s="7" t="s">
        <v>89</v>
      </c>
      <c r="P18" s="7"/>
      <c r="Q18" s="7" t="s">
        <v>223</v>
      </c>
      <c r="R18" s="7" t="n">
        <f aca="false">VALUE(LEFT(Q18,4))</f>
        <v>1776</v>
      </c>
      <c r="S18" s="7" t="n">
        <f aca="false">VALUE(MID(Q18,6,2))</f>
        <v>1</v>
      </c>
      <c r="T18" s="7" t="n">
        <f aca="false">VALUE(RIGHT(Q18,2))</f>
        <v>5</v>
      </c>
      <c r="U18" s="7" t="s">
        <v>139</v>
      </c>
      <c r="V18" s="7" t="s">
        <v>140</v>
      </c>
    </row>
    <row r="19" customFormat="false" ht="57" hidden="false" customHeight="true" outlineLevel="0" collapsed="false">
      <c r="A19" s="7" t="n">
        <v>18</v>
      </c>
      <c r="B19" s="7" t="s">
        <v>231</v>
      </c>
      <c r="C19" s="7" t="s">
        <v>232</v>
      </c>
      <c r="D19" s="7" t="n">
        <f aca="false">VALUE(LEFT(B19,4))</f>
        <v>1780</v>
      </c>
      <c r="E19" s="7" t="n">
        <f aca="false">INT((D19-1)/100)+1</f>
        <v>18</v>
      </c>
      <c r="F19" s="7" t="s">
        <v>233</v>
      </c>
      <c r="G19" s="7" t="s">
        <v>234</v>
      </c>
      <c r="H19" s="7" t="s">
        <v>235</v>
      </c>
      <c r="I19" s="7" t="s">
        <v>236</v>
      </c>
      <c r="J19" s="7" t="s">
        <v>237</v>
      </c>
      <c r="K19" s="7" t="s">
        <v>238</v>
      </c>
      <c r="L19" s="7" t="s">
        <v>100</v>
      </c>
      <c r="M19" s="7" t="s">
        <v>239</v>
      </c>
      <c r="N19" s="7" t="s">
        <v>18</v>
      </c>
      <c r="O19" s="7" t="s">
        <v>89</v>
      </c>
      <c r="P19" s="7" t="s">
        <v>240</v>
      </c>
      <c r="Q19" s="7" t="s">
        <v>231</v>
      </c>
      <c r="R19" s="7" t="n">
        <f aca="false">VALUE(LEFT(Q19,4))</f>
        <v>1780</v>
      </c>
      <c r="S19" s="7" t="n">
        <f aca="false">VALUE(MID(Q19,6,2))</f>
        <v>1</v>
      </c>
      <c r="T19" s="7" t="n">
        <f aca="false">VALUE(RIGHT(Q19,2))</f>
        <v>2</v>
      </c>
      <c r="U19" s="7" t="s">
        <v>139</v>
      </c>
      <c r="V19" s="7" t="s">
        <v>140</v>
      </c>
    </row>
    <row r="20" customFormat="false" ht="68.25" hidden="false" customHeight="true" outlineLevel="0" collapsed="false">
      <c r="A20" s="7" t="n">
        <v>19</v>
      </c>
      <c r="B20" s="7" t="s">
        <v>241</v>
      </c>
      <c r="C20" s="7" t="s">
        <v>242</v>
      </c>
      <c r="D20" s="7" t="n">
        <f aca="false">VALUE(LEFT(B20,4))</f>
        <v>1780</v>
      </c>
      <c r="E20" s="7" t="n">
        <f aca="false">INT((D20-1)/100)+1</f>
        <v>18</v>
      </c>
      <c r="F20" s="7" t="s">
        <v>120</v>
      </c>
      <c r="G20" s="7" t="s">
        <v>243</v>
      </c>
      <c r="H20" s="7" t="s">
        <v>244</v>
      </c>
      <c r="I20" s="7" t="s">
        <v>245</v>
      </c>
      <c r="J20" s="7" t="s">
        <v>246</v>
      </c>
      <c r="K20" s="7" t="s">
        <v>247</v>
      </c>
      <c r="L20" s="7" t="s">
        <v>100</v>
      </c>
      <c r="M20" s="7" t="s">
        <v>239</v>
      </c>
      <c r="N20" s="7" t="s">
        <v>18</v>
      </c>
      <c r="O20" s="7" t="s">
        <v>89</v>
      </c>
      <c r="P20" s="7" t="s">
        <v>248</v>
      </c>
      <c r="Q20" s="7" t="s">
        <v>249</v>
      </c>
      <c r="R20" s="7" t="n">
        <f aca="false">VALUE(LEFT(Q20,4))</f>
        <v>1780</v>
      </c>
      <c r="S20" s="7" t="n">
        <f aca="false">VALUE(MID(Q20,6,2))</f>
        <v>1</v>
      </c>
      <c r="T20" s="7" t="n">
        <f aca="false">VALUE(RIGHT(Q20,2))</f>
        <v>16</v>
      </c>
      <c r="U20" s="7" t="s">
        <v>91</v>
      </c>
      <c r="V20" s="7" t="s">
        <v>250</v>
      </c>
    </row>
    <row r="21" customFormat="false" ht="34.5" hidden="false" customHeight="true" outlineLevel="0" collapsed="false">
      <c r="A21" s="7" t="n">
        <v>20</v>
      </c>
      <c r="B21" s="7" t="s">
        <v>251</v>
      </c>
      <c r="C21" s="7" t="s">
        <v>251</v>
      </c>
      <c r="D21" s="7" t="n">
        <f aca="false">VALUE(LEFT(B21,4))</f>
        <v>1780</v>
      </c>
      <c r="E21" s="7" t="n">
        <f aca="false">INT((D21-1)/100)+1</f>
        <v>18</v>
      </c>
      <c r="F21" s="7" t="s">
        <v>252</v>
      </c>
      <c r="G21" s="7" t="s">
        <v>253</v>
      </c>
      <c r="H21" s="7" t="s">
        <v>254</v>
      </c>
      <c r="I21" s="7" t="s">
        <v>255</v>
      </c>
      <c r="J21" s="7" t="s">
        <v>256</v>
      </c>
      <c r="K21" s="7" t="s">
        <v>257</v>
      </c>
      <c r="L21" s="7" t="s">
        <v>100</v>
      </c>
      <c r="M21" s="7"/>
      <c r="N21" s="7" t="s">
        <v>18</v>
      </c>
      <c r="O21" s="7" t="s">
        <v>89</v>
      </c>
      <c r="P21" s="7"/>
      <c r="Q21" s="7" t="s">
        <v>251</v>
      </c>
      <c r="R21" s="7" t="n">
        <f aca="false">VALUE(LEFT(Q21,4))</f>
        <v>1780</v>
      </c>
      <c r="S21" s="7" t="n">
        <f aca="false">VALUE(MID(Q21,6,2))</f>
        <v>1</v>
      </c>
      <c r="T21" s="7" t="n">
        <f aca="false">VALUE(RIGHT(Q21,2))</f>
        <v>29</v>
      </c>
      <c r="U21" s="7" t="s">
        <v>91</v>
      </c>
      <c r="V21" s="7" t="s">
        <v>92</v>
      </c>
    </row>
    <row r="22" customFormat="false" ht="34.5" hidden="false" customHeight="true" outlineLevel="0" collapsed="false">
      <c r="A22" s="7" t="n">
        <v>21</v>
      </c>
      <c r="B22" s="7" t="s">
        <v>258</v>
      </c>
      <c r="C22" s="7" t="s">
        <v>259</v>
      </c>
      <c r="D22" s="7" t="n">
        <f aca="false">VALUE(LEFT(B22,4))</f>
        <v>1780</v>
      </c>
      <c r="E22" s="7" t="n">
        <f aca="false">INT((D22-1)/100)+1</f>
        <v>18</v>
      </c>
      <c r="F22" s="7" t="s">
        <v>94</v>
      </c>
      <c r="G22" s="7" t="s">
        <v>260</v>
      </c>
      <c r="H22" s="7" t="s">
        <v>261</v>
      </c>
      <c r="I22" s="7" t="s">
        <v>262</v>
      </c>
      <c r="J22" s="7" t="s">
        <v>263</v>
      </c>
      <c r="K22" s="7" t="s">
        <v>264</v>
      </c>
      <c r="L22" s="7" t="s">
        <v>100</v>
      </c>
      <c r="M22" s="7"/>
      <c r="N22" s="7" t="s">
        <v>18</v>
      </c>
      <c r="O22" s="7" t="s">
        <v>89</v>
      </c>
      <c r="P22" s="7"/>
      <c r="Q22" s="7" t="s">
        <v>259</v>
      </c>
      <c r="R22" s="7" t="n">
        <f aca="false">VALUE(LEFT(Q22,4))</f>
        <v>1780</v>
      </c>
      <c r="S22" s="7" t="n">
        <f aca="false">VALUE(MID(Q22,6,2))</f>
        <v>11</v>
      </c>
      <c r="T22" s="7" t="n">
        <f aca="false">VALUE(RIGHT(Q22,2))</f>
        <v>11</v>
      </c>
      <c r="U22" s="7" t="s">
        <v>91</v>
      </c>
      <c r="V22" s="7" t="s">
        <v>265</v>
      </c>
    </row>
    <row r="23" customFormat="false" ht="45.75" hidden="false" customHeight="true" outlineLevel="0" collapsed="false">
      <c r="A23" s="7" t="n">
        <v>22</v>
      </c>
      <c r="B23" s="7" t="s">
        <v>266</v>
      </c>
      <c r="C23" s="7" t="s">
        <v>267</v>
      </c>
      <c r="D23" s="7" t="n">
        <f aca="false">VALUE(LEFT(B23,4))</f>
        <v>1781</v>
      </c>
      <c r="E23" s="7" t="n">
        <f aca="false">INT((D23-1)/100)+1</f>
        <v>18</v>
      </c>
      <c r="F23" s="7" t="s">
        <v>268</v>
      </c>
      <c r="G23" s="7" t="s">
        <v>269</v>
      </c>
      <c r="H23" s="7" t="s">
        <v>270</v>
      </c>
      <c r="I23" s="7" t="s">
        <v>271</v>
      </c>
      <c r="J23" s="7" t="s">
        <v>272</v>
      </c>
      <c r="K23" s="7" t="s">
        <v>273</v>
      </c>
      <c r="L23" s="7" t="s">
        <v>100</v>
      </c>
      <c r="M23" s="7"/>
      <c r="N23" s="7" t="s">
        <v>18</v>
      </c>
      <c r="O23" s="7" t="s">
        <v>89</v>
      </c>
      <c r="P23" s="7"/>
      <c r="Q23" s="7" t="s">
        <v>266</v>
      </c>
      <c r="R23" s="7" t="n">
        <f aca="false">VALUE(LEFT(Q23,4))</f>
        <v>1781</v>
      </c>
      <c r="S23" s="7" t="n">
        <f aca="false">VALUE(MID(Q23,6,2))</f>
        <v>1</v>
      </c>
      <c r="T23" s="7" t="n">
        <f aca="false">VALUE(RIGHT(Q23,2))</f>
        <v>22</v>
      </c>
      <c r="U23" s="7" t="s">
        <v>139</v>
      </c>
      <c r="V23" s="7" t="s">
        <v>140</v>
      </c>
    </row>
    <row r="24" customFormat="false" ht="57" hidden="false" customHeight="true" outlineLevel="0" collapsed="false">
      <c r="A24" s="7" t="n">
        <v>23</v>
      </c>
      <c r="B24" s="7" t="s">
        <v>274</v>
      </c>
      <c r="C24" s="7" t="s">
        <v>275</v>
      </c>
      <c r="D24" s="7" t="n">
        <f aca="false">VALUE(LEFT(B24,4))</f>
        <v>1783</v>
      </c>
      <c r="E24" s="7" t="n">
        <f aca="false">INT((D24-1)/100)+1</f>
        <v>18</v>
      </c>
      <c r="F24" s="7" t="s">
        <v>276</v>
      </c>
      <c r="G24" s="7" t="s">
        <v>277</v>
      </c>
      <c r="H24" s="7" t="s">
        <v>278</v>
      </c>
      <c r="I24" s="7" t="s">
        <v>279</v>
      </c>
      <c r="J24" s="7" t="s">
        <v>280</v>
      </c>
      <c r="K24" s="7" t="s">
        <v>281</v>
      </c>
      <c r="L24" s="7" t="s">
        <v>208</v>
      </c>
      <c r="M24" s="7" t="s">
        <v>88</v>
      </c>
      <c r="N24" s="7" t="s">
        <v>20</v>
      </c>
      <c r="O24" s="7" t="s">
        <v>89</v>
      </c>
      <c r="P24" s="7" t="s">
        <v>282</v>
      </c>
      <c r="Q24" s="7" t="s">
        <v>274</v>
      </c>
      <c r="R24" s="7" t="n">
        <f aca="false">VALUE(LEFT(Q24,4))</f>
        <v>1783</v>
      </c>
      <c r="S24" s="7" t="n">
        <f aca="false">VALUE(MID(Q24,6,2))</f>
        <v>10</v>
      </c>
      <c r="T24" s="7" t="n">
        <f aca="false">VALUE(RIGHT(Q24,2))</f>
        <v>18</v>
      </c>
      <c r="U24" s="7" t="s">
        <v>139</v>
      </c>
      <c r="V24" s="7" t="s">
        <v>283</v>
      </c>
    </row>
    <row r="25" customFormat="false" ht="34.5" hidden="false" customHeight="true" outlineLevel="0" collapsed="false">
      <c r="A25" s="7" t="n">
        <v>24</v>
      </c>
      <c r="B25" s="7" t="s">
        <v>284</v>
      </c>
      <c r="C25" s="7" t="s">
        <v>285</v>
      </c>
      <c r="D25" s="7" t="n">
        <f aca="false">VALUE(LEFT(B25,4))</f>
        <v>1783</v>
      </c>
      <c r="E25" s="7" t="n">
        <f aca="false">INT((D25-1)/100)+1</f>
        <v>18</v>
      </c>
      <c r="F25" s="7" t="s">
        <v>190</v>
      </c>
      <c r="G25" s="7" t="s">
        <v>286</v>
      </c>
      <c r="H25" s="7" t="s">
        <v>287</v>
      </c>
      <c r="I25" s="7" t="s">
        <v>288</v>
      </c>
      <c r="J25" s="7" t="s">
        <v>289</v>
      </c>
      <c r="K25" s="7" t="s">
        <v>290</v>
      </c>
      <c r="L25" s="7" t="s">
        <v>100</v>
      </c>
      <c r="M25" s="7"/>
      <c r="N25" s="7" t="s">
        <v>18</v>
      </c>
      <c r="O25" s="7" t="s">
        <v>89</v>
      </c>
      <c r="P25" s="7"/>
      <c r="Q25" s="7" t="s">
        <v>284</v>
      </c>
      <c r="R25" s="7" t="n">
        <f aca="false">VALUE(LEFT(Q25,4))</f>
        <v>1783</v>
      </c>
      <c r="S25" s="7" t="n">
        <f aca="false">VALUE(MID(Q25,6,2))</f>
        <v>12</v>
      </c>
      <c r="T25" s="7" t="n">
        <f aca="false">VALUE(RIGHT(Q25,2))</f>
        <v>30</v>
      </c>
      <c r="U25" s="7" t="s">
        <v>139</v>
      </c>
      <c r="V25" s="7" t="s">
        <v>140</v>
      </c>
    </row>
    <row r="26" customFormat="false" ht="45.75" hidden="false" customHeight="true" outlineLevel="0" collapsed="false">
      <c r="A26" s="7" t="n">
        <v>25</v>
      </c>
      <c r="B26" s="7" t="s">
        <v>291</v>
      </c>
      <c r="C26" s="7" t="s">
        <v>292</v>
      </c>
      <c r="D26" s="7" t="n">
        <f aca="false">VALUE(LEFT(B26,4))</f>
        <v>1784</v>
      </c>
      <c r="E26" s="7" t="n">
        <f aca="false">INT((D26-1)/100)+1</f>
        <v>18</v>
      </c>
      <c r="F26" s="7" t="s">
        <v>252</v>
      </c>
      <c r="G26" s="7" t="s">
        <v>293</v>
      </c>
      <c r="H26" s="7" t="s">
        <v>294</v>
      </c>
      <c r="I26" s="7" t="s">
        <v>295</v>
      </c>
      <c r="J26" s="7" t="s">
        <v>296</v>
      </c>
      <c r="K26" s="7" t="s">
        <v>297</v>
      </c>
      <c r="L26" s="7" t="s">
        <v>100</v>
      </c>
      <c r="M26" s="7"/>
      <c r="N26" s="7" t="s">
        <v>18</v>
      </c>
      <c r="O26" s="7" t="s">
        <v>89</v>
      </c>
      <c r="P26" s="7" t="s">
        <v>298</v>
      </c>
      <c r="Q26" s="7" t="s">
        <v>291</v>
      </c>
      <c r="R26" s="7" t="n">
        <f aca="false">VALUE(LEFT(Q26,4))</f>
        <v>1784</v>
      </c>
      <c r="S26" s="7" t="n">
        <f aca="false">VALUE(MID(Q26,6,2))</f>
        <v>2</v>
      </c>
      <c r="T26" s="7" t="n">
        <f aca="false">VALUE(RIGHT(Q26,2))</f>
        <v>10</v>
      </c>
      <c r="U26" s="7" t="s">
        <v>139</v>
      </c>
      <c r="V26" s="7" t="s">
        <v>140</v>
      </c>
    </row>
    <row r="27" customFormat="false" ht="90.75" hidden="false" customHeight="true" outlineLevel="0" collapsed="false">
      <c r="A27" s="7" t="n">
        <v>26</v>
      </c>
      <c r="B27" s="7" t="s">
        <v>299</v>
      </c>
      <c r="C27" s="7" t="s">
        <v>299</v>
      </c>
      <c r="D27" s="7" t="n">
        <f aca="false">VALUE(LEFT(B27,4))</f>
        <v>1788</v>
      </c>
      <c r="E27" s="7" t="n">
        <f aca="false">INT((D27-1)/100)+1</f>
        <v>18</v>
      </c>
      <c r="F27" s="7" t="s">
        <v>300</v>
      </c>
      <c r="G27" s="7" t="s">
        <v>301</v>
      </c>
      <c r="H27" s="7" t="s">
        <v>302</v>
      </c>
      <c r="I27" s="7" t="s">
        <v>303</v>
      </c>
      <c r="J27" s="7" t="s">
        <v>304</v>
      </c>
      <c r="K27" s="7" t="s">
        <v>305</v>
      </c>
      <c r="L27" s="7" t="s">
        <v>208</v>
      </c>
      <c r="M27" s="7" t="s">
        <v>88</v>
      </c>
      <c r="N27" s="7" t="s">
        <v>18</v>
      </c>
      <c r="O27" s="7" t="s">
        <v>89</v>
      </c>
      <c r="P27" s="7" t="s">
        <v>306</v>
      </c>
      <c r="Q27" s="7" t="s">
        <v>299</v>
      </c>
      <c r="R27" s="7" t="n">
        <f aca="false">VALUE(LEFT(Q27,4))</f>
        <v>1788</v>
      </c>
      <c r="S27" s="7" t="n">
        <f aca="false">VALUE(MID(Q27,6,2))</f>
        <v>8</v>
      </c>
      <c r="T27" s="7" t="n">
        <f aca="false">VALUE(RIGHT(Q27,2))</f>
        <v>19</v>
      </c>
      <c r="U27" s="7" t="s">
        <v>91</v>
      </c>
      <c r="V27" s="7" t="s">
        <v>92</v>
      </c>
    </row>
    <row r="28" customFormat="false" ht="57" hidden="false" customHeight="true" outlineLevel="0" collapsed="false">
      <c r="A28" s="7" t="n">
        <v>27</v>
      </c>
      <c r="B28" s="7" t="s">
        <v>307</v>
      </c>
      <c r="C28" s="7" t="s">
        <v>308</v>
      </c>
      <c r="D28" s="7" t="n">
        <f aca="false">VALUE(LEFT(B28,4))</f>
        <v>1789</v>
      </c>
      <c r="E28" s="7" t="n">
        <f aca="false">INT((D28-1)/100)+1</f>
        <v>18</v>
      </c>
      <c r="F28" s="7" t="s">
        <v>252</v>
      </c>
      <c r="G28" s="7" t="s">
        <v>309</v>
      </c>
      <c r="H28" s="7" t="s">
        <v>310</v>
      </c>
      <c r="I28" s="7" t="s">
        <v>311</v>
      </c>
      <c r="J28" s="7" t="s">
        <v>312</v>
      </c>
      <c r="K28" s="7" t="s">
        <v>313</v>
      </c>
      <c r="L28" s="7" t="s">
        <v>100</v>
      </c>
      <c r="M28" s="7"/>
      <c r="N28" s="7" t="s">
        <v>18</v>
      </c>
      <c r="O28" s="7" t="s">
        <v>89</v>
      </c>
      <c r="P28" s="7" t="s">
        <v>314</v>
      </c>
      <c r="Q28" s="7" t="s">
        <v>307</v>
      </c>
      <c r="R28" s="7" t="n">
        <f aca="false">VALUE(LEFT(Q28,4))</f>
        <v>1789</v>
      </c>
      <c r="S28" s="7" t="n">
        <f aca="false">VALUE(MID(Q28,6,2))</f>
        <v>1</v>
      </c>
      <c r="T28" s="7" t="n">
        <f aca="false">VALUE(RIGHT(Q28,2))</f>
        <v>30</v>
      </c>
      <c r="U28" s="7" t="s">
        <v>139</v>
      </c>
      <c r="V28" s="7" t="s">
        <v>140</v>
      </c>
    </row>
    <row r="29" customFormat="false" ht="34.5" hidden="false" customHeight="true" outlineLevel="0" collapsed="false">
      <c r="A29" s="7" t="n">
        <v>28</v>
      </c>
      <c r="B29" s="7" t="s">
        <v>315</v>
      </c>
      <c r="C29" s="7" t="s">
        <v>315</v>
      </c>
      <c r="D29" s="7" t="n">
        <f aca="false">VALUE(LEFT(B29,4))</f>
        <v>1795</v>
      </c>
      <c r="E29" s="7" t="n">
        <f aca="false">INT((D29-1)/100)+1</f>
        <v>18</v>
      </c>
      <c r="F29" s="7" t="s">
        <v>81</v>
      </c>
      <c r="G29" s="7" t="s">
        <v>316</v>
      </c>
      <c r="H29" s="7" t="s">
        <v>134</v>
      </c>
      <c r="I29" s="7" t="s">
        <v>317</v>
      </c>
      <c r="J29" s="7" t="s">
        <v>318</v>
      </c>
      <c r="K29" s="7" t="s">
        <v>319</v>
      </c>
      <c r="L29" s="7" t="s">
        <v>208</v>
      </c>
      <c r="M29" s="7" t="s">
        <v>88</v>
      </c>
      <c r="N29" s="7" t="s">
        <v>20</v>
      </c>
      <c r="O29" s="7" t="s">
        <v>108</v>
      </c>
      <c r="P29" s="7" t="s">
        <v>320</v>
      </c>
      <c r="Q29" s="7" t="s">
        <v>315</v>
      </c>
      <c r="R29" s="7" t="n">
        <f aca="false">VALUE(LEFT(Q29,4))</f>
        <v>1795</v>
      </c>
      <c r="S29" s="7" t="n">
        <f aca="false">VALUE(MID(Q29,6,2))</f>
        <v>8</v>
      </c>
      <c r="T29" s="7" t="n">
        <f aca="false">VALUE(RIGHT(Q29,2))</f>
        <v>3</v>
      </c>
      <c r="U29" s="7" t="s">
        <v>91</v>
      </c>
      <c r="V29" s="7" t="s">
        <v>92</v>
      </c>
    </row>
    <row r="30" customFormat="false" ht="90.75" hidden="false" customHeight="true" outlineLevel="0" collapsed="false">
      <c r="A30" s="7" t="n">
        <v>29</v>
      </c>
      <c r="B30" s="7" t="s">
        <v>321</v>
      </c>
      <c r="C30" s="7" t="s">
        <v>322</v>
      </c>
      <c r="D30" s="7" t="n">
        <f aca="false">VALUE(LEFT(B30,4))</f>
        <v>1796</v>
      </c>
      <c r="E30" s="7" t="n">
        <f aca="false">INT((D30-1)/100)+1</f>
        <v>18</v>
      </c>
      <c r="F30" s="7" t="s">
        <v>120</v>
      </c>
      <c r="G30" s="7" t="s">
        <v>323</v>
      </c>
      <c r="H30" s="7" t="s">
        <v>324</v>
      </c>
      <c r="I30" s="7" t="s">
        <v>325</v>
      </c>
      <c r="J30" s="7" t="s">
        <v>326</v>
      </c>
      <c r="K30" s="7" t="s">
        <v>327</v>
      </c>
      <c r="L30" s="7" t="s">
        <v>328</v>
      </c>
      <c r="M30" s="7" t="s">
        <v>329</v>
      </c>
      <c r="N30" s="7" t="s">
        <v>18</v>
      </c>
      <c r="O30" s="7" t="s">
        <v>89</v>
      </c>
      <c r="P30" s="7"/>
      <c r="Q30" s="7" t="s">
        <v>330</v>
      </c>
      <c r="R30" s="7" t="n">
        <f aca="false">VALUE(LEFT(Q30,4))</f>
        <v>1796</v>
      </c>
      <c r="S30" s="7" t="n">
        <f aca="false">VALUE(MID(Q30,6,2))</f>
        <v>12</v>
      </c>
      <c r="T30" s="7" t="n">
        <f aca="false">VALUE(RIGHT(Q30,2))</f>
        <v>20</v>
      </c>
      <c r="U30" s="7" t="s">
        <v>331</v>
      </c>
      <c r="V30" s="7" t="s">
        <v>332</v>
      </c>
    </row>
    <row r="31" customFormat="false" ht="90.75" hidden="false" customHeight="true" outlineLevel="0" collapsed="false">
      <c r="A31" s="7" t="n">
        <v>30</v>
      </c>
      <c r="B31" s="7" t="s">
        <v>333</v>
      </c>
      <c r="C31" s="7" t="s">
        <v>334</v>
      </c>
      <c r="D31" s="7" t="n">
        <f aca="false">VALUE(LEFT(B31,4))</f>
        <v>1797</v>
      </c>
      <c r="E31" s="7" t="n">
        <f aca="false">INT((D31-1)/100)+1</f>
        <v>18</v>
      </c>
      <c r="F31" s="7" t="s">
        <v>120</v>
      </c>
      <c r="G31" s="7" t="s">
        <v>335</v>
      </c>
      <c r="H31" s="7" t="s">
        <v>324</v>
      </c>
      <c r="I31" s="7" t="s">
        <v>336</v>
      </c>
      <c r="J31" s="7" t="s">
        <v>326</v>
      </c>
      <c r="K31" s="7" t="s">
        <v>337</v>
      </c>
      <c r="L31" s="7" t="s">
        <v>328</v>
      </c>
      <c r="M31" s="7" t="s">
        <v>329</v>
      </c>
      <c r="N31" s="7" t="s">
        <v>18</v>
      </c>
      <c r="O31" s="7" t="s">
        <v>89</v>
      </c>
      <c r="P31" s="7"/>
      <c r="Q31" s="7" t="s">
        <v>338</v>
      </c>
      <c r="R31" s="7" t="n">
        <f aca="false">VALUE(LEFT(Q31,4))</f>
        <v>1798</v>
      </c>
      <c r="S31" s="7" t="n">
        <f aca="false">VALUE(MID(Q31,6,2))</f>
        <v>1</v>
      </c>
      <c r="T31" s="7" t="n">
        <f aca="false">VALUE(RIGHT(Q31,2))</f>
        <v>10</v>
      </c>
      <c r="U31" s="7" t="s">
        <v>128</v>
      </c>
      <c r="V31" s="7" t="s">
        <v>339</v>
      </c>
    </row>
    <row r="32" customFormat="false" ht="68.25" hidden="false" customHeight="true" outlineLevel="0" collapsed="false">
      <c r="A32" s="7" t="n">
        <v>31</v>
      </c>
      <c r="B32" s="7" t="s">
        <v>340</v>
      </c>
      <c r="C32" s="7" t="s">
        <v>341</v>
      </c>
      <c r="D32" s="7" t="n">
        <f aca="false">VALUE(LEFT(B32,4))</f>
        <v>1800</v>
      </c>
      <c r="E32" s="7" t="n">
        <f aca="false">INT((D32-1)/100)+1</f>
        <v>18</v>
      </c>
      <c r="F32" s="7" t="s">
        <v>342</v>
      </c>
      <c r="G32" s="7" t="s">
        <v>343</v>
      </c>
      <c r="H32" s="7" t="s">
        <v>344</v>
      </c>
      <c r="I32" s="7" t="s">
        <v>345</v>
      </c>
      <c r="J32" s="7" t="s">
        <v>346</v>
      </c>
      <c r="K32" s="7" t="s">
        <v>347</v>
      </c>
      <c r="L32" s="7" t="s">
        <v>348</v>
      </c>
      <c r="M32" s="7" t="s">
        <v>349</v>
      </c>
      <c r="N32" s="7" t="s">
        <v>18</v>
      </c>
      <c r="O32" s="7" t="s">
        <v>89</v>
      </c>
      <c r="P32" s="7" t="s">
        <v>350</v>
      </c>
      <c r="Q32" s="7" t="s">
        <v>351</v>
      </c>
      <c r="R32" s="7" t="n">
        <f aca="false">VALUE(LEFT(Q32,4))</f>
        <v>1975</v>
      </c>
      <c r="S32" s="7" t="n">
        <f aca="false">VALUE(MID(Q32,6,2))</f>
        <v>5</v>
      </c>
      <c r="T32" s="7" t="n">
        <f aca="false">VALUE(RIGHT(Q32,2))</f>
        <v>15</v>
      </c>
      <c r="U32" s="7" t="s">
        <v>352</v>
      </c>
      <c r="V32" s="7" t="s">
        <v>353</v>
      </c>
    </row>
    <row r="33" customFormat="false" ht="34.5" hidden="false" customHeight="true" outlineLevel="0" collapsed="false">
      <c r="A33" s="7" t="n">
        <v>32</v>
      </c>
      <c r="B33" s="7" t="s">
        <v>354</v>
      </c>
      <c r="C33" s="7" t="s">
        <v>355</v>
      </c>
      <c r="D33" s="7" t="n">
        <f aca="false">VALUE(LEFT(B33,4))</f>
        <v>1801</v>
      </c>
      <c r="E33" s="7" t="n">
        <f aca="false">INT((D33-1)/100)+1</f>
        <v>19</v>
      </c>
      <c r="F33" s="7" t="s">
        <v>356</v>
      </c>
      <c r="G33" s="7" t="s">
        <v>357</v>
      </c>
      <c r="H33" s="7" t="s">
        <v>358</v>
      </c>
      <c r="I33" s="7" t="s">
        <v>359</v>
      </c>
      <c r="J33" s="7" t="s">
        <v>360</v>
      </c>
      <c r="K33" s="7" t="s">
        <v>361</v>
      </c>
      <c r="L33" s="7" t="s">
        <v>100</v>
      </c>
      <c r="M33" s="7"/>
      <c r="N33" s="7" t="s">
        <v>18</v>
      </c>
      <c r="O33" s="7" t="s">
        <v>89</v>
      </c>
      <c r="P33" s="7"/>
      <c r="Q33" s="7" t="s">
        <v>362</v>
      </c>
      <c r="R33" s="7" t="n">
        <f aca="false">VALUE(LEFT(Q33,4))</f>
        <v>1802</v>
      </c>
      <c r="S33" s="7" t="n">
        <f aca="false">VALUE(MID(Q33,6,2))</f>
        <v>1</v>
      </c>
      <c r="T33" s="7" t="n">
        <f aca="false">VALUE(RIGHT(Q33,2))</f>
        <v>15</v>
      </c>
      <c r="U33" s="7" t="s">
        <v>128</v>
      </c>
      <c r="V33" s="7" t="s">
        <v>363</v>
      </c>
    </row>
    <row r="34" customFormat="false" ht="45.75" hidden="false" customHeight="true" outlineLevel="0" collapsed="false">
      <c r="A34" s="7" t="n">
        <v>33</v>
      </c>
      <c r="B34" s="7" t="s">
        <v>364</v>
      </c>
      <c r="C34" s="7" t="s">
        <v>365</v>
      </c>
      <c r="D34" s="7" t="n">
        <f aca="false">VALUE(LEFT(B34,4))</f>
        <v>1802</v>
      </c>
      <c r="E34" s="7" t="n">
        <f aca="false">INT((D34-1)/100)+1</f>
        <v>19</v>
      </c>
      <c r="F34" s="7" t="s">
        <v>173</v>
      </c>
      <c r="G34" s="7" t="s">
        <v>366</v>
      </c>
      <c r="H34" s="7" t="s">
        <v>164</v>
      </c>
      <c r="I34" s="7" t="s">
        <v>367</v>
      </c>
      <c r="J34" s="7" t="s">
        <v>368</v>
      </c>
      <c r="K34" s="7" t="s">
        <v>369</v>
      </c>
      <c r="L34" s="7" t="s">
        <v>100</v>
      </c>
      <c r="M34" s="7"/>
      <c r="N34" s="7" t="s">
        <v>18</v>
      </c>
      <c r="O34" s="7" t="s">
        <v>89</v>
      </c>
      <c r="P34" s="7" t="s">
        <v>370</v>
      </c>
      <c r="Q34" s="7" t="s">
        <v>364</v>
      </c>
      <c r="R34" s="7" t="n">
        <f aca="false">VALUE(LEFT(Q34,4))</f>
        <v>1802</v>
      </c>
      <c r="S34" s="7" t="n">
        <f aca="false">VALUE(MID(Q34,6,2))</f>
        <v>2</v>
      </c>
      <c r="T34" s="7" t="n">
        <f aca="false">VALUE(RIGHT(Q34,2))</f>
        <v>22</v>
      </c>
      <c r="U34" s="7" t="s">
        <v>139</v>
      </c>
      <c r="V34" s="7" t="s">
        <v>140</v>
      </c>
    </row>
    <row r="35" customFormat="false" ht="45.75" hidden="false" customHeight="true" outlineLevel="0" collapsed="false">
      <c r="A35" s="7" t="n">
        <v>34</v>
      </c>
      <c r="B35" s="7" t="s">
        <v>371</v>
      </c>
      <c r="C35" s="7" t="s">
        <v>372</v>
      </c>
      <c r="D35" s="7" t="n">
        <f aca="false">VALUE(LEFT(B35,4))</f>
        <v>1803</v>
      </c>
      <c r="E35" s="7" t="n">
        <f aca="false">INT((D35-1)/100)+1</f>
        <v>19</v>
      </c>
      <c r="F35" s="7" t="s">
        <v>373</v>
      </c>
      <c r="G35" s="7" t="s">
        <v>374</v>
      </c>
      <c r="H35" s="7" t="s">
        <v>375</v>
      </c>
      <c r="I35" s="7" t="s">
        <v>376</v>
      </c>
      <c r="J35" s="7" t="s">
        <v>377</v>
      </c>
      <c r="K35" s="7" t="s">
        <v>378</v>
      </c>
      <c r="L35" s="7" t="s">
        <v>100</v>
      </c>
      <c r="M35" s="7"/>
      <c r="N35" s="7" t="s">
        <v>18</v>
      </c>
      <c r="O35" s="7" t="s">
        <v>89</v>
      </c>
      <c r="P35" s="7" t="s">
        <v>379</v>
      </c>
      <c r="Q35" s="7" t="s">
        <v>371</v>
      </c>
      <c r="R35" s="7" t="n">
        <f aca="false">VALUE(LEFT(Q35,4))</f>
        <v>1803</v>
      </c>
      <c r="S35" s="7" t="n">
        <f aca="false">VALUE(MID(Q35,6,2))</f>
        <v>5</v>
      </c>
      <c r="T35" s="7" t="n">
        <f aca="false">VALUE(RIGHT(Q35,2))</f>
        <v>6</v>
      </c>
      <c r="U35" s="7" t="s">
        <v>139</v>
      </c>
      <c r="V35" s="7" t="s">
        <v>140</v>
      </c>
    </row>
    <row r="36" customFormat="false" ht="45.75" hidden="false" customHeight="true" outlineLevel="0" collapsed="false">
      <c r="A36" s="7" t="n">
        <v>35</v>
      </c>
      <c r="B36" s="7" t="s">
        <v>380</v>
      </c>
      <c r="C36" s="7" t="s">
        <v>381</v>
      </c>
      <c r="D36" s="7" t="n">
        <f aca="false">VALUE(LEFT(B36,4))</f>
        <v>1804</v>
      </c>
      <c r="E36" s="7" t="n">
        <f aca="false">INT((D36-1)/100)+1</f>
        <v>19</v>
      </c>
      <c r="F36" s="7" t="s">
        <v>382</v>
      </c>
      <c r="G36" s="7" t="s">
        <v>383</v>
      </c>
      <c r="H36" s="7" t="s">
        <v>384</v>
      </c>
      <c r="I36" s="7" t="s">
        <v>385</v>
      </c>
      <c r="J36" s="7" t="s">
        <v>386</v>
      </c>
      <c r="K36" s="7" t="s">
        <v>387</v>
      </c>
      <c r="L36" s="7" t="s">
        <v>100</v>
      </c>
      <c r="M36" s="7"/>
      <c r="N36" s="7" t="s">
        <v>18</v>
      </c>
      <c r="O36" s="7" t="s">
        <v>89</v>
      </c>
      <c r="P36" s="7"/>
      <c r="Q36" s="7" t="s">
        <v>388</v>
      </c>
      <c r="R36" s="7" t="n">
        <f aca="false">VALUE(LEFT(Q36,4))</f>
        <v>1804</v>
      </c>
      <c r="S36" s="7" t="n">
        <f aca="false">VALUE(MID(Q36,6,2))</f>
        <v>3</v>
      </c>
      <c r="T36" s="7" t="n">
        <f aca="false">VALUE(RIGHT(Q36,2))</f>
        <v>2</v>
      </c>
      <c r="U36" s="7" t="s">
        <v>91</v>
      </c>
      <c r="V36" s="7" t="s">
        <v>389</v>
      </c>
    </row>
    <row r="37" customFormat="false" ht="79.5" hidden="false" customHeight="true" outlineLevel="0" collapsed="false">
      <c r="A37" s="7" t="n">
        <v>36</v>
      </c>
      <c r="B37" s="7" t="s">
        <v>390</v>
      </c>
      <c r="C37" s="7" t="s">
        <v>390</v>
      </c>
      <c r="D37" s="7" t="n">
        <f aca="false">VALUE(LEFT(B37,4))</f>
        <v>1804</v>
      </c>
      <c r="E37" s="7" t="n">
        <f aca="false">INT((D37-1)/100)+1</f>
        <v>19</v>
      </c>
      <c r="F37" s="7" t="s">
        <v>391</v>
      </c>
      <c r="G37" s="7" t="s">
        <v>392</v>
      </c>
      <c r="H37" s="7" t="s">
        <v>393</v>
      </c>
      <c r="I37" s="7" t="s">
        <v>394</v>
      </c>
      <c r="J37" s="7" t="s">
        <v>395</v>
      </c>
      <c r="K37" s="7" t="s">
        <v>396</v>
      </c>
      <c r="L37" s="7" t="s">
        <v>208</v>
      </c>
      <c r="M37" s="7" t="s">
        <v>88</v>
      </c>
      <c r="N37" s="7" t="s">
        <v>16</v>
      </c>
      <c r="O37" s="7" t="s">
        <v>89</v>
      </c>
      <c r="P37" s="7" t="s">
        <v>397</v>
      </c>
      <c r="Q37" s="7" t="s">
        <v>390</v>
      </c>
      <c r="R37" s="7" t="n">
        <f aca="false">VALUE(LEFT(Q37,4))</f>
        <v>1804</v>
      </c>
      <c r="S37" s="7" t="n">
        <f aca="false">VALUE(MID(Q37,6,2))</f>
        <v>10</v>
      </c>
      <c r="T37" s="7" t="n">
        <f aca="false">VALUE(RIGHT(Q37,2))</f>
        <v>9</v>
      </c>
      <c r="U37" s="7" t="s">
        <v>91</v>
      </c>
      <c r="V37" s="7" t="s">
        <v>92</v>
      </c>
    </row>
    <row r="38" customFormat="false" ht="90.75" hidden="false" customHeight="true" outlineLevel="0" collapsed="false">
      <c r="A38" s="7" t="n">
        <v>37</v>
      </c>
      <c r="B38" s="7" t="s">
        <v>398</v>
      </c>
      <c r="C38" s="7" t="s">
        <v>399</v>
      </c>
      <c r="D38" s="7" t="n">
        <f aca="false">VALUE(LEFT(B38,4))</f>
        <v>1804</v>
      </c>
      <c r="E38" s="7" t="n">
        <f aca="false">INT((D38-1)/100)+1</f>
        <v>19</v>
      </c>
      <c r="F38" s="7" t="s">
        <v>120</v>
      </c>
      <c r="G38" s="7" t="s">
        <v>400</v>
      </c>
      <c r="H38" s="7" t="s">
        <v>324</v>
      </c>
      <c r="I38" s="7" t="s">
        <v>401</v>
      </c>
      <c r="J38" s="7" t="s">
        <v>326</v>
      </c>
      <c r="K38" s="7" t="s">
        <v>402</v>
      </c>
      <c r="L38" s="7" t="s">
        <v>328</v>
      </c>
      <c r="M38" s="7" t="s">
        <v>329</v>
      </c>
      <c r="N38" s="7" t="s">
        <v>18</v>
      </c>
      <c r="O38" s="7" t="s">
        <v>89</v>
      </c>
      <c r="P38" s="7"/>
      <c r="Q38" s="7" t="s">
        <v>403</v>
      </c>
      <c r="R38" s="7" t="n">
        <f aca="false">VALUE(LEFT(Q38,4))</f>
        <v>1805</v>
      </c>
      <c r="S38" s="7" t="n">
        <f aca="false">VALUE(MID(Q38,6,2))</f>
        <v>1</v>
      </c>
      <c r="T38" s="7" t="n">
        <f aca="false">VALUE(RIGHT(Q38,2))</f>
        <v>21</v>
      </c>
      <c r="U38" s="7" t="s">
        <v>128</v>
      </c>
      <c r="V38" s="7" t="s">
        <v>339</v>
      </c>
    </row>
    <row r="39" customFormat="false" ht="34.5" hidden="false" customHeight="true" outlineLevel="0" collapsed="false">
      <c r="A39" s="7" t="n">
        <v>38</v>
      </c>
      <c r="B39" s="7" t="s">
        <v>404</v>
      </c>
      <c r="C39" s="7" t="s">
        <v>405</v>
      </c>
      <c r="D39" s="7" t="n">
        <f aca="false">VALUE(LEFT(B39,4))</f>
        <v>1805</v>
      </c>
      <c r="E39" s="7" t="n">
        <f aca="false">INT((D39-1)/100)+1</f>
        <v>19</v>
      </c>
      <c r="F39" s="7" t="s">
        <v>406</v>
      </c>
      <c r="G39" s="7" t="s">
        <v>407</v>
      </c>
      <c r="H39" s="7" t="s">
        <v>134</v>
      </c>
      <c r="I39" s="7" t="s">
        <v>408</v>
      </c>
      <c r="J39" s="7" t="s">
        <v>409</v>
      </c>
      <c r="K39" s="7" t="s">
        <v>410</v>
      </c>
      <c r="L39" s="7" t="s">
        <v>100</v>
      </c>
      <c r="M39" s="7"/>
      <c r="N39" s="7" t="s">
        <v>18</v>
      </c>
      <c r="O39" s="7" t="s">
        <v>89</v>
      </c>
      <c r="P39" s="7"/>
      <c r="Q39" s="7" t="s">
        <v>404</v>
      </c>
      <c r="R39" s="7" t="n">
        <f aca="false">VALUE(LEFT(Q39,4))</f>
        <v>1805</v>
      </c>
      <c r="S39" s="7" t="n">
        <f aca="false">VALUE(MID(Q39,6,2))</f>
        <v>1</v>
      </c>
      <c r="T39" s="7" t="n">
        <f aca="false">VALUE(RIGHT(Q39,2))</f>
        <v>22</v>
      </c>
      <c r="U39" s="7" t="s">
        <v>139</v>
      </c>
      <c r="V39" s="7" t="s">
        <v>140</v>
      </c>
    </row>
    <row r="40" customFormat="false" ht="34.5" hidden="false" customHeight="true" outlineLevel="0" collapsed="false">
      <c r="A40" s="7" t="n">
        <v>39</v>
      </c>
      <c r="B40" s="7" t="s">
        <v>411</v>
      </c>
      <c r="C40" s="7" t="s">
        <v>412</v>
      </c>
      <c r="D40" s="7" t="n">
        <f aca="false">VALUE(LEFT(B40,4))</f>
        <v>1805</v>
      </c>
      <c r="E40" s="7" t="n">
        <f aca="false">INT((D40-1)/100)+1</f>
        <v>19</v>
      </c>
      <c r="F40" s="7" t="s">
        <v>153</v>
      </c>
      <c r="G40" s="7" t="s">
        <v>413</v>
      </c>
      <c r="H40" s="7" t="s">
        <v>134</v>
      </c>
      <c r="I40" s="7" t="s">
        <v>414</v>
      </c>
      <c r="J40" s="7" t="s">
        <v>415</v>
      </c>
      <c r="K40" s="7" t="s">
        <v>416</v>
      </c>
      <c r="L40" s="7" t="s">
        <v>100</v>
      </c>
      <c r="M40" s="7"/>
      <c r="N40" s="7" t="s">
        <v>18</v>
      </c>
      <c r="O40" s="7" t="s">
        <v>89</v>
      </c>
      <c r="P40" s="7"/>
      <c r="Q40" s="7" t="s">
        <v>411</v>
      </c>
      <c r="R40" s="7" t="n">
        <f aca="false">VALUE(LEFT(Q40,4))</f>
        <v>1805</v>
      </c>
      <c r="S40" s="7" t="n">
        <f aca="false">VALUE(MID(Q40,6,2))</f>
        <v>1</v>
      </c>
      <c r="T40" s="7" t="n">
        <f aca="false">VALUE(RIGHT(Q40,2))</f>
        <v>26</v>
      </c>
      <c r="U40" s="7" t="s">
        <v>139</v>
      </c>
      <c r="V40" s="7" t="s">
        <v>140</v>
      </c>
    </row>
    <row r="41" customFormat="false" ht="34.5" hidden="false" customHeight="true" outlineLevel="0" collapsed="false">
      <c r="A41" s="7" t="n">
        <v>40</v>
      </c>
      <c r="B41" s="7" t="s">
        <v>417</v>
      </c>
      <c r="C41" s="7" t="s">
        <v>417</v>
      </c>
      <c r="D41" s="7" t="n">
        <f aca="false">VALUE(LEFT(B41,4))</f>
        <v>1806</v>
      </c>
      <c r="E41" s="7" t="n">
        <f aca="false">INT((D41-1)/100)+1</f>
        <v>19</v>
      </c>
      <c r="F41" s="7" t="s">
        <v>81</v>
      </c>
      <c r="G41" s="7" t="s">
        <v>418</v>
      </c>
      <c r="H41" s="7" t="s">
        <v>419</v>
      </c>
      <c r="I41" s="7" t="s">
        <v>420</v>
      </c>
      <c r="J41" s="7" t="s">
        <v>421</v>
      </c>
      <c r="K41" s="7" t="s">
        <v>422</v>
      </c>
      <c r="L41" s="7" t="s">
        <v>208</v>
      </c>
      <c r="M41" s="7" t="s">
        <v>88</v>
      </c>
      <c r="N41" s="7" t="s">
        <v>20</v>
      </c>
      <c r="O41" s="7" t="s">
        <v>108</v>
      </c>
      <c r="P41" s="7" t="s">
        <v>423</v>
      </c>
      <c r="Q41" s="7" t="s">
        <v>417</v>
      </c>
      <c r="R41" s="7" t="n">
        <f aca="false">VALUE(LEFT(Q41,4))</f>
        <v>1806</v>
      </c>
      <c r="S41" s="7" t="n">
        <f aca="false">VALUE(MID(Q41,6,2))</f>
        <v>8</v>
      </c>
      <c r="T41" s="7" t="n">
        <f aca="false">VALUE(RIGHT(Q41,2))</f>
        <v>23</v>
      </c>
      <c r="U41" s="7" t="s">
        <v>91</v>
      </c>
      <c r="V41" s="7" t="s">
        <v>92</v>
      </c>
    </row>
    <row r="42" customFormat="false" ht="45.75" hidden="false" customHeight="true" outlineLevel="0" collapsed="false">
      <c r="A42" s="7" t="n">
        <v>41</v>
      </c>
      <c r="B42" s="7" t="s">
        <v>424</v>
      </c>
      <c r="C42" s="7" t="s">
        <v>425</v>
      </c>
      <c r="D42" s="7" t="n">
        <f aca="false">VALUE(LEFT(B42,4))</f>
        <v>1807</v>
      </c>
      <c r="E42" s="7" t="n">
        <f aca="false">INT((D42-1)/100)+1</f>
        <v>19</v>
      </c>
      <c r="F42" s="7" t="s">
        <v>426</v>
      </c>
      <c r="G42" s="7" t="s">
        <v>427</v>
      </c>
      <c r="H42" s="7" t="s">
        <v>428</v>
      </c>
      <c r="I42" s="7" t="s">
        <v>429</v>
      </c>
      <c r="J42" s="7" t="s">
        <v>430</v>
      </c>
      <c r="K42" s="7" t="s">
        <v>431</v>
      </c>
      <c r="L42" s="7" t="s">
        <v>100</v>
      </c>
      <c r="M42" s="7"/>
      <c r="N42" s="7" t="s">
        <v>18</v>
      </c>
      <c r="O42" s="7" t="s">
        <v>89</v>
      </c>
      <c r="P42" s="7" t="s">
        <v>432</v>
      </c>
      <c r="Q42" s="7" t="s">
        <v>424</v>
      </c>
      <c r="R42" s="7" t="n">
        <f aca="false">VALUE(LEFT(Q42,4))</f>
        <v>1807</v>
      </c>
      <c r="S42" s="7" t="n">
        <f aca="false">VALUE(MID(Q42,6,2))</f>
        <v>3</v>
      </c>
      <c r="T42" s="7" t="n">
        <f aca="false">VALUE(RIGHT(Q42,2))</f>
        <v>30</v>
      </c>
      <c r="U42" s="7" t="s">
        <v>139</v>
      </c>
      <c r="V42" s="7" t="s">
        <v>140</v>
      </c>
    </row>
    <row r="43" customFormat="false" ht="34.5" hidden="false" customHeight="true" outlineLevel="0" collapsed="false">
      <c r="A43" s="7" t="n">
        <v>42</v>
      </c>
      <c r="B43" s="7" t="s">
        <v>433</v>
      </c>
      <c r="C43" s="7" t="s">
        <v>433</v>
      </c>
      <c r="D43" s="7" t="n">
        <f aca="false">VALUE(LEFT(B43,4))</f>
        <v>1810</v>
      </c>
      <c r="E43" s="7" t="n">
        <f aca="false">INT((D43-1)/100)+1</f>
        <v>19</v>
      </c>
      <c r="F43" s="7" t="s">
        <v>434</v>
      </c>
      <c r="G43" s="7" t="s">
        <v>435</v>
      </c>
      <c r="H43" s="7" t="s">
        <v>436</v>
      </c>
      <c r="I43" s="7" t="s">
        <v>437</v>
      </c>
      <c r="J43" s="7" t="s">
        <v>346</v>
      </c>
      <c r="K43" s="7" t="s">
        <v>438</v>
      </c>
      <c r="L43" s="7" t="s">
        <v>439</v>
      </c>
      <c r="M43" s="7"/>
      <c r="N43" s="7" t="s">
        <v>20</v>
      </c>
      <c r="O43" s="7" t="s">
        <v>108</v>
      </c>
      <c r="P43" s="7"/>
      <c r="Q43" s="7" t="s">
        <v>433</v>
      </c>
      <c r="R43" s="7" t="n">
        <f aca="false">VALUE(LEFT(Q43,4))</f>
        <v>1810</v>
      </c>
      <c r="S43" s="7" t="n">
        <f aca="false">VALUE(MID(Q43,6,2))</f>
        <v>1</v>
      </c>
      <c r="T43" s="7" t="n">
        <f aca="false">VALUE(RIGHT(Q43,2))</f>
        <v>19</v>
      </c>
      <c r="U43" s="7" t="s">
        <v>91</v>
      </c>
      <c r="V43" s="7" t="s">
        <v>92</v>
      </c>
    </row>
    <row r="44" customFormat="false" ht="23.25" hidden="false" customHeight="true" outlineLevel="0" collapsed="false">
      <c r="A44" s="7" t="n">
        <v>43</v>
      </c>
      <c r="B44" s="7" t="s">
        <v>440</v>
      </c>
      <c r="C44" s="7" t="s">
        <v>441</v>
      </c>
      <c r="D44" s="7" t="n">
        <f aca="false">VALUE(LEFT(B44,4))</f>
        <v>1813</v>
      </c>
      <c r="E44" s="7" t="n">
        <f aca="false">INT((D44-1)/100)+1</f>
        <v>19</v>
      </c>
      <c r="F44" s="7" t="s">
        <v>356</v>
      </c>
      <c r="G44" s="7" t="s">
        <v>442</v>
      </c>
      <c r="H44" s="7" t="s">
        <v>443</v>
      </c>
      <c r="I44" s="7" t="s">
        <v>444</v>
      </c>
      <c r="J44" s="7" t="s">
        <v>445</v>
      </c>
      <c r="K44" s="7" t="s">
        <v>446</v>
      </c>
      <c r="L44" s="7" t="s">
        <v>100</v>
      </c>
      <c r="M44" s="7"/>
      <c r="N44" s="7" t="s">
        <v>18</v>
      </c>
      <c r="O44" s="7" t="s">
        <v>89</v>
      </c>
      <c r="P44" s="7"/>
      <c r="Q44" s="7" t="s">
        <v>447</v>
      </c>
      <c r="R44" s="7" t="n">
        <f aca="false">VALUE(LEFT(Q44,4))</f>
        <v>1814</v>
      </c>
      <c r="S44" s="7" t="n">
        <f aca="false">VALUE(MID(Q44,6,2))</f>
        <v>1</v>
      </c>
      <c r="T44" s="7" t="n">
        <f aca="false">VALUE(RIGHT(Q44,2))</f>
        <v>31</v>
      </c>
      <c r="U44" s="7" t="s">
        <v>91</v>
      </c>
      <c r="V44" s="7" t="s">
        <v>448</v>
      </c>
    </row>
    <row r="45" customFormat="false" ht="23.25" hidden="false" customHeight="true" outlineLevel="0" collapsed="false">
      <c r="A45" s="7" t="n">
        <v>44</v>
      </c>
      <c r="B45" s="7" t="s">
        <v>449</v>
      </c>
      <c r="C45" s="7" t="s">
        <v>450</v>
      </c>
      <c r="D45" s="7" t="n">
        <f aca="false">VALUE(LEFT(B45,4))</f>
        <v>1814</v>
      </c>
      <c r="E45" s="7" t="n">
        <f aca="false">INT((D45-1)/100)+1</f>
        <v>19</v>
      </c>
      <c r="F45" s="7" t="s">
        <v>252</v>
      </c>
      <c r="G45" s="7" t="s">
        <v>451</v>
      </c>
      <c r="H45" s="7" t="s">
        <v>452</v>
      </c>
      <c r="I45" s="7" t="s">
        <v>453</v>
      </c>
      <c r="J45" s="7" t="s">
        <v>445</v>
      </c>
      <c r="K45" s="7" t="s">
        <v>454</v>
      </c>
      <c r="L45" s="7" t="s">
        <v>100</v>
      </c>
      <c r="M45" s="7"/>
      <c r="N45" s="7" t="s">
        <v>18</v>
      </c>
      <c r="O45" s="7" t="s">
        <v>89</v>
      </c>
      <c r="P45" s="7"/>
      <c r="Q45" s="7" t="s">
        <v>449</v>
      </c>
      <c r="R45" s="7" t="n">
        <f aca="false">VALUE(LEFT(Q45,4))</f>
        <v>1814</v>
      </c>
      <c r="S45" s="7" t="n">
        <f aca="false">VALUE(MID(Q45,6,2))</f>
        <v>12</v>
      </c>
      <c r="T45" s="7" t="n">
        <f aca="false">VALUE(RIGHT(Q45,2))</f>
        <v>20</v>
      </c>
      <c r="U45" s="7" t="s">
        <v>139</v>
      </c>
      <c r="V45" s="7" t="s">
        <v>140</v>
      </c>
    </row>
    <row r="46" customFormat="false" ht="57" hidden="false" customHeight="true" outlineLevel="0" collapsed="false">
      <c r="A46" s="7" t="n">
        <v>45</v>
      </c>
      <c r="B46" s="7" t="s">
        <v>455</v>
      </c>
      <c r="C46" s="7" t="s">
        <v>456</v>
      </c>
      <c r="D46" s="7" t="n">
        <f aca="false">VALUE(LEFT(B46,4))</f>
        <v>1815</v>
      </c>
      <c r="E46" s="7" t="n">
        <f aca="false">INT((D46-1)/100)+1</f>
        <v>19</v>
      </c>
      <c r="F46" s="7" t="s">
        <v>252</v>
      </c>
      <c r="G46" s="7" t="s">
        <v>457</v>
      </c>
      <c r="H46" s="7" t="s">
        <v>458</v>
      </c>
      <c r="I46" s="7" t="s">
        <v>459</v>
      </c>
      <c r="J46" s="7" t="s">
        <v>460</v>
      </c>
      <c r="K46" s="7" t="s">
        <v>461</v>
      </c>
      <c r="L46" s="7" t="s">
        <v>100</v>
      </c>
      <c r="M46" s="7"/>
      <c r="N46" s="7" t="s">
        <v>18</v>
      </c>
      <c r="O46" s="7" t="s">
        <v>89</v>
      </c>
      <c r="P46" s="7" t="s">
        <v>462</v>
      </c>
      <c r="Q46" s="7" t="s">
        <v>455</v>
      </c>
      <c r="R46" s="7" t="n">
        <f aca="false">VALUE(LEFT(Q46,4))</f>
        <v>1815</v>
      </c>
      <c r="S46" s="7" t="n">
        <f aca="false">VALUE(MID(Q46,6,2))</f>
        <v>1</v>
      </c>
      <c r="T46" s="7" t="n">
        <f aca="false">VALUE(RIGHT(Q46,2))</f>
        <v>31</v>
      </c>
      <c r="U46" s="7" t="s">
        <v>139</v>
      </c>
      <c r="V46" s="7" t="s">
        <v>140</v>
      </c>
    </row>
    <row r="47" customFormat="false" ht="45.75" hidden="false" customHeight="true" outlineLevel="0" collapsed="false">
      <c r="A47" s="7" t="n">
        <v>46</v>
      </c>
      <c r="B47" s="7" t="s">
        <v>463</v>
      </c>
      <c r="C47" s="7" t="s">
        <v>463</v>
      </c>
      <c r="D47" s="7" t="n">
        <f aca="false">VALUE(LEFT(B47,4))</f>
        <v>1815</v>
      </c>
      <c r="E47" s="7" t="n">
        <f aca="false">INT((D47-1)/100)+1</f>
        <v>19</v>
      </c>
      <c r="F47" s="7" t="s">
        <v>81</v>
      </c>
      <c r="G47" s="7" t="s">
        <v>464</v>
      </c>
      <c r="H47" s="7" t="s">
        <v>465</v>
      </c>
      <c r="I47" s="7" t="s">
        <v>466</v>
      </c>
      <c r="J47" s="7" t="s">
        <v>467</v>
      </c>
      <c r="K47" s="7" t="s">
        <v>468</v>
      </c>
      <c r="L47" s="7" t="s">
        <v>469</v>
      </c>
      <c r="M47" s="7" t="s">
        <v>88</v>
      </c>
      <c r="N47" s="7" t="s">
        <v>20</v>
      </c>
      <c r="O47" s="7" t="s">
        <v>89</v>
      </c>
      <c r="P47" s="7" t="s">
        <v>470</v>
      </c>
      <c r="Q47" s="7" t="s">
        <v>463</v>
      </c>
      <c r="R47" s="7" t="n">
        <f aca="false">VALUE(LEFT(Q47,4))</f>
        <v>1815</v>
      </c>
      <c r="S47" s="7" t="n">
        <f aca="false">VALUE(MID(Q47,6,2))</f>
        <v>9</v>
      </c>
      <c r="T47" s="7" t="n">
        <f aca="false">VALUE(RIGHT(Q47,2))</f>
        <v>23</v>
      </c>
      <c r="U47" s="7" t="s">
        <v>91</v>
      </c>
      <c r="V47" s="7" t="s">
        <v>92</v>
      </c>
    </row>
    <row r="48" customFormat="false" ht="34.5" hidden="false" customHeight="true" outlineLevel="0" collapsed="false">
      <c r="A48" s="7" t="n">
        <v>47</v>
      </c>
      <c r="B48" s="7" t="s">
        <v>471</v>
      </c>
      <c r="C48" s="7" t="s">
        <v>472</v>
      </c>
      <c r="D48" s="7" t="n">
        <f aca="false">VALUE(LEFT(B48,4))</f>
        <v>1816</v>
      </c>
      <c r="E48" s="7" t="n">
        <f aca="false">INT((D48-1)/100)+1</f>
        <v>19</v>
      </c>
      <c r="F48" s="7" t="s">
        <v>473</v>
      </c>
      <c r="G48" s="7" t="s">
        <v>474</v>
      </c>
      <c r="H48" s="7" t="s">
        <v>475</v>
      </c>
      <c r="I48" s="7" t="s">
        <v>476</v>
      </c>
      <c r="J48" s="7" t="s">
        <v>346</v>
      </c>
      <c r="K48" s="7" t="s">
        <v>477</v>
      </c>
      <c r="L48" s="7" t="s">
        <v>439</v>
      </c>
      <c r="M48" s="7"/>
      <c r="N48" s="7" t="s">
        <v>18</v>
      </c>
      <c r="O48" s="7" t="s">
        <v>108</v>
      </c>
      <c r="P48" s="7"/>
      <c r="Q48" s="7" t="s">
        <v>471</v>
      </c>
      <c r="R48" s="7" t="n">
        <f aca="false">VALUE(LEFT(Q48,4))</f>
        <v>1816</v>
      </c>
      <c r="S48" s="7" t="n">
        <f aca="false">VALUE(MID(Q48,6,2))</f>
        <v>5</v>
      </c>
      <c r="T48" s="7" t="n">
        <f aca="false">VALUE(RIGHT(Q48,2))</f>
        <v>12</v>
      </c>
      <c r="U48" s="7" t="s">
        <v>139</v>
      </c>
      <c r="V48" s="7" t="s">
        <v>140</v>
      </c>
    </row>
    <row r="49" customFormat="false" ht="68.25" hidden="false" customHeight="true" outlineLevel="0" collapsed="false">
      <c r="A49" s="7" t="n">
        <v>48</v>
      </c>
      <c r="B49" s="7" t="s">
        <v>478</v>
      </c>
      <c r="C49" s="7" t="s">
        <v>479</v>
      </c>
      <c r="D49" s="7" t="n">
        <f aca="false">VALUE(LEFT(B49,4))</f>
        <v>1816</v>
      </c>
      <c r="E49" s="7" t="n">
        <f aca="false">INT((D49-1)/100)+1</f>
        <v>19</v>
      </c>
      <c r="F49" s="7" t="s">
        <v>480</v>
      </c>
      <c r="G49" s="7" t="s">
        <v>481</v>
      </c>
      <c r="H49" s="7" t="s">
        <v>482</v>
      </c>
      <c r="I49" s="7" t="s">
        <v>483</v>
      </c>
      <c r="J49" s="7" t="s">
        <v>484</v>
      </c>
      <c r="K49" s="7" t="s">
        <v>485</v>
      </c>
      <c r="L49" s="7" t="s">
        <v>100</v>
      </c>
      <c r="M49" s="7" t="s">
        <v>486</v>
      </c>
      <c r="N49" s="7" t="s">
        <v>18</v>
      </c>
      <c r="O49" s="7" t="s">
        <v>89</v>
      </c>
      <c r="P49" s="7" t="s">
        <v>487</v>
      </c>
      <c r="Q49" s="7" t="s">
        <v>478</v>
      </c>
      <c r="R49" s="7" t="n">
        <f aca="false">VALUE(LEFT(Q49,4))</f>
        <v>1816</v>
      </c>
      <c r="S49" s="7" t="n">
        <f aca="false">VALUE(MID(Q49,6,2))</f>
        <v>6</v>
      </c>
      <c r="T49" s="7" t="n">
        <f aca="false">VALUE(RIGHT(Q49,2))</f>
        <v>6</v>
      </c>
      <c r="U49" s="7" t="s">
        <v>139</v>
      </c>
      <c r="V49" s="7" t="s">
        <v>140</v>
      </c>
    </row>
    <row r="50" customFormat="false" ht="34.5" hidden="false" customHeight="true" outlineLevel="0" collapsed="false">
      <c r="A50" s="7" t="n">
        <v>49</v>
      </c>
      <c r="B50" s="7" t="s">
        <v>488</v>
      </c>
      <c r="C50" s="7" t="s">
        <v>489</v>
      </c>
      <c r="D50" s="7" t="n">
        <f aca="false">VALUE(LEFT(B50,4))</f>
        <v>1816</v>
      </c>
      <c r="E50" s="7" t="n">
        <f aca="false">INT((D50-1)/100)+1</f>
        <v>19</v>
      </c>
      <c r="F50" s="7" t="s">
        <v>473</v>
      </c>
      <c r="G50" s="7" t="s">
        <v>490</v>
      </c>
      <c r="H50" s="7" t="s">
        <v>491</v>
      </c>
      <c r="I50" s="7" t="s">
        <v>492</v>
      </c>
      <c r="J50" s="7" t="s">
        <v>493</v>
      </c>
      <c r="K50" s="7"/>
      <c r="L50" s="7" t="s">
        <v>439</v>
      </c>
      <c r="M50" s="7"/>
      <c r="N50" s="7" t="s">
        <v>20</v>
      </c>
      <c r="O50" s="7" t="s">
        <v>108</v>
      </c>
      <c r="P50" s="7" t="s">
        <v>494</v>
      </c>
      <c r="Q50" s="7" t="s">
        <v>488</v>
      </c>
      <c r="R50" s="7" t="n">
        <f aca="false">VALUE(LEFT(Q50,4))</f>
        <v>1816</v>
      </c>
      <c r="S50" s="7" t="n">
        <f aca="false">VALUE(MID(Q50,6,2))</f>
        <v>7</v>
      </c>
      <c r="T50" s="7" t="n">
        <f aca="false">VALUE(RIGHT(Q50,2))</f>
        <v>4</v>
      </c>
      <c r="U50" s="7" t="s">
        <v>139</v>
      </c>
      <c r="V50" s="7" t="s">
        <v>140</v>
      </c>
    </row>
    <row r="51" customFormat="false" ht="23.25" hidden="false" customHeight="true" outlineLevel="0" collapsed="false">
      <c r="A51" s="7" t="n">
        <v>50</v>
      </c>
      <c r="B51" s="7" t="s">
        <v>495</v>
      </c>
      <c r="C51" s="7" t="s">
        <v>495</v>
      </c>
      <c r="D51" s="7" t="n">
        <f aca="false">VALUE(LEFT(B51,4))</f>
        <v>1816</v>
      </c>
      <c r="E51" s="7" t="n">
        <f aca="false">INT((D51-1)/100)+1</f>
        <v>19</v>
      </c>
      <c r="F51" s="7" t="s">
        <v>473</v>
      </c>
      <c r="G51" s="7" t="s">
        <v>496</v>
      </c>
      <c r="H51" s="7" t="s">
        <v>497</v>
      </c>
      <c r="I51" s="7" t="s">
        <v>498</v>
      </c>
      <c r="J51" s="7" t="s">
        <v>499</v>
      </c>
      <c r="K51" s="7" t="s">
        <v>500</v>
      </c>
      <c r="L51" s="7" t="s">
        <v>100</v>
      </c>
      <c r="M51" s="7"/>
      <c r="N51" s="7" t="s">
        <v>18</v>
      </c>
      <c r="O51" s="7" t="s">
        <v>89</v>
      </c>
      <c r="P51" s="7"/>
      <c r="Q51" s="7" t="s">
        <v>495</v>
      </c>
      <c r="R51" s="7" t="n">
        <f aca="false">VALUE(LEFT(Q51,4))</f>
        <v>1816</v>
      </c>
      <c r="S51" s="7" t="n">
        <f aca="false">VALUE(MID(Q51,6,2))</f>
        <v>8</v>
      </c>
      <c r="T51" s="7" t="n">
        <f aca="false">VALUE(RIGHT(Q51,2))</f>
        <v>21</v>
      </c>
      <c r="U51" s="7" t="s">
        <v>91</v>
      </c>
      <c r="V51" s="7" t="s">
        <v>92</v>
      </c>
    </row>
    <row r="52" customFormat="false" ht="23.25" hidden="false" customHeight="true" outlineLevel="0" collapsed="false">
      <c r="A52" s="7" t="n">
        <v>51</v>
      </c>
      <c r="B52" s="7" t="s">
        <v>501</v>
      </c>
      <c r="C52" s="7" t="s">
        <v>501</v>
      </c>
      <c r="D52" s="7" t="n">
        <f aca="false">VALUE(LEFT(B52,4))</f>
        <v>1816</v>
      </c>
      <c r="E52" s="7" t="n">
        <f aca="false">INT((D52-1)/100)+1</f>
        <v>19</v>
      </c>
      <c r="F52" s="7" t="s">
        <v>473</v>
      </c>
      <c r="G52" s="7" t="s">
        <v>502</v>
      </c>
      <c r="H52" s="7" t="s">
        <v>497</v>
      </c>
      <c r="I52" s="7" t="s">
        <v>503</v>
      </c>
      <c r="J52" s="7" t="s">
        <v>499</v>
      </c>
      <c r="K52" s="7" t="s">
        <v>504</v>
      </c>
      <c r="L52" s="7" t="s">
        <v>100</v>
      </c>
      <c r="M52" s="7"/>
      <c r="N52" s="7" t="s">
        <v>18</v>
      </c>
      <c r="O52" s="7" t="s">
        <v>89</v>
      </c>
      <c r="P52" s="7"/>
      <c r="Q52" s="7" t="s">
        <v>501</v>
      </c>
      <c r="R52" s="7" t="n">
        <f aca="false">VALUE(LEFT(Q52,4))</f>
        <v>1816</v>
      </c>
      <c r="S52" s="7" t="n">
        <f aca="false">VALUE(MID(Q52,6,2))</f>
        <v>8</v>
      </c>
      <c r="T52" s="7" t="n">
        <f aca="false">VALUE(RIGHT(Q52,2))</f>
        <v>29</v>
      </c>
      <c r="U52" s="7" t="s">
        <v>91</v>
      </c>
      <c r="V52" s="7" t="s">
        <v>92</v>
      </c>
    </row>
    <row r="53" customFormat="false" ht="23.25" hidden="false" customHeight="true" outlineLevel="0" collapsed="false">
      <c r="A53" s="7" t="n">
        <v>52</v>
      </c>
      <c r="B53" s="7" t="s">
        <v>505</v>
      </c>
      <c r="C53" s="7" t="s">
        <v>505</v>
      </c>
      <c r="D53" s="7" t="n">
        <f aca="false">VALUE(LEFT(B53,4))</f>
        <v>1816</v>
      </c>
      <c r="E53" s="7" t="n">
        <f aca="false">INT((D53-1)/100)+1</f>
        <v>19</v>
      </c>
      <c r="F53" s="7" t="s">
        <v>473</v>
      </c>
      <c r="G53" s="7" t="s">
        <v>506</v>
      </c>
      <c r="H53" s="7" t="s">
        <v>507</v>
      </c>
      <c r="I53" s="7" t="s">
        <v>508</v>
      </c>
      <c r="J53" s="7" t="s">
        <v>499</v>
      </c>
      <c r="K53" s="7" t="s">
        <v>509</v>
      </c>
      <c r="L53" s="7" t="s">
        <v>100</v>
      </c>
      <c r="M53" s="7"/>
      <c r="N53" s="7" t="s">
        <v>18</v>
      </c>
      <c r="O53" s="7" t="s">
        <v>89</v>
      </c>
      <c r="P53" s="7"/>
      <c r="Q53" s="7" t="s">
        <v>505</v>
      </c>
      <c r="R53" s="7" t="n">
        <f aca="false">VALUE(LEFT(Q53,4))</f>
        <v>1816</v>
      </c>
      <c r="S53" s="7" t="n">
        <f aca="false">VALUE(MID(Q53,6,2))</f>
        <v>9</v>
      </c>
      <c r="T53" s="7" t="n">
        <f aca="false">VALUE(RIGHT(Q53,2))</f>
        <v>27</v>
      </c>
      <c r="U53" s="7" t="s">
        <v>91</v>
      </c>
      <c r="V53" s="7" t="s">
        <v>92</v>
      </c>
    </row>
    <row r="54" customFormat="false" ht="34.5" hidden="false" customHeight="true" outlineLevel="0" collapsed="false">
      <c r="A54" s="7" t="n">
        <v>53</v>
      </c>
      <c r="B54" s="7" t="s">
        <v>510</v>
      </c>
      <c r="C54" s="7" t="s">
        <v>511</v>
      </c>
      <c r="D54" s="7" t="n">
        <f aca="false">VALUE(LEFT(B54,4))</f>
        <v>1817</v>
      </c>
      <c r="E54" s="7" t="n">
        <f aca="false">INT((D54-1)/100)+1</f>
        <v>19</v>
      </c>
      <c r="F54" s="7" t="s">
        <v>252</v>
      </c>
      <c r="G54" s="7" t="s">
        <v>512</v>
      </c>
      <c r="H54" s="7" t="s">
        <v>436</v>
      </c>
      <c r="I54" s="7" t="s">
        <v>513</v>
      </c>
      <c r="J54" s="7" t="s">
        <v>514</v>
      </c>
      <c r="K54" s="7" t="s">
        <v>515</v>
      </c>
      <c r="L54" s="7" t="s">
        <v>100</v>
      </c>
      <c r="M54" s="7"/>
      <c r="N54" s="7" t="s">
        <v>18</v>
      </c>
      <c r="O54" s="7" t="s">
        <v>89</v>
      </c>
      <c r="P54" s="7"/>
      <c r="Q54" s="7" t="s">
        <v>510</v>
      </c>
      <c r="R54" s="7" t="n">
        <f aca="false">VALUE(LEFT(Q54,4))</f>
        <v>1817</v>
      </c>
      <c r="S54" s="7" t="n">
        <f aca="false">VALUE(MID(Q54,6,2))</f>
        <v>1</v>
      </c>
      <c r="T54" s="7" t="n">
        <f aca="false">VALUE(RIGHT(Q54,2))</f>
        <v>12</v>
      </c>
      <c r="U54" s="7" t="s">
        <v>139</v>
      </c>
      <c r="V54" s="7" t="s">
        <v>140</v>
      </c>
    </row>
    <row r="55" customFormat="false" ht="45.75" hidden="false" customHeight="true" outlineLevel="0" collapsed="false">
      <c r="A55" s="7" t="n">
        <v>54</v>
      </c>
      <c r="B55" s="7" t="s">
        <v>516</v>
      </c>
      <c r="C55" s="7" t="s">
        <v>516</v>
      </c>
      <c r="D55" s="7" t="n">
        <f aca="false">VALUE(LEFT(B55,4))</f>
        <v>1817</v>
      </c>
      <c r="E55" s="7" t="n">
        <f aca="false">INT((D55-1)/100)+1</f>
        <v>19</v>
      </c>
      <c r="F55" s="7" t="s">
        <v>252</v>
      </c>
      <c r="G55" s="7" t="s">
        <v>517</v>
      </c>
      <c r="H55" s="7" t="s">
        <v>518</v>
      </c>
      <c r="I55" s="7" t="s">
        <v>519</v>
      </c>
      <c r="J55" s="7" t="s">
        <v>520</v>
      </c>
      <c r="K55" s="7" t="s">
        <v>521</v>
      </c>
      <c r="L55" s="7" t="s">
        <v>100</v>
      </c>
      <c r="M55" s="7"/>
      <c r="N55" s="7" t="s">
        <v>18</v>
      </c>
      <c r="O55" s="7" t="s">
        <v>89</v>
      </c>
      <c r="P55" s="7" t="s">
        <v>522</v>
      </c>
      <c r="Q55" s="7" t="s">
        <v>516</v>
      </c>
      <c r="R55" s="7" t="n">
        <f aca="false">VALUE(LEFT(Q55,4))</f>
        <v>1817</v>
      </c>
      <c r="S55" s="7" t="n">
        <f aca="false">VALUE(MID(Q55,6,2))</f>
        <v>2</v>
      </c>
      <c r="T55" s="7" t="n">
        <f aca="false">VALUE(RIGHT(Q55,2))</f>
        <v>15</v>
      </c>
      <c r="U55" s="7" t="s">
        <v>91</v>
      </c>
      <c r="V55" s="7" t="s">
        <v>92</v>
      </c>
    </row>
    <row r="56" customFormat="false" ht="90.75" hidden="false" customHeight="true" outlineLevel="0" collapsed="false">
      <c r="A56" s="7" t="n">
        <v>55</v>
      </c>
      <c r="B56" s="7" t="s">
        <v>516</v>
      </c>
      <c r="C56" s="7" t="s">
        <v>516</v>
      </c>
      <c r="D56" s="7" t="n">
        <f aca="false">VALUE(LEFT(B56,4))</f>
        <v>1817</v>
      </c>
      <c r="E56" s="7" t="n">
        <f aca="false">INT((D56-1)/100)+1</f>
        <v>19</v>
      </c>
      <c r="F56" s="7" t="s">
        <v>252</v>
      </c>
      <c r="G56" s="7" t="s">
        <v>523</v>
      </c>
      <c r="H56" s="7" t="s">
        <v>324</v>
      </c>
      <c r="I56" s="7" t="s">
        <v>524</v>
      </c>
      <c r="J56" s="7" t="s">
        <v>326</v>
      </c>
      <c r="K56" s="7" t="s">
        <v>525</v>
      </c>
      <c r="L56" s="7" t="s">
        <v>328</v>
      </c>
      <c r="M56" s="7" t="s">
        <v>329</v>
      </c>
      <c r="N56" s="7" t="s">
        <v>16</v>
      </c>
      <c r="O56" s="7" t="s">
        <v>89</v>
      </c>
      <c r="P56" s="7" t="s">
        <v>526</v>
      </c>
      <c r="Q56" s="7" t="s">
        <v>516</v>
      </c>
      <c r="R56" s="7" t="n">
        <f aca="false">VALUE(LEFT(Q56,4))</f>
        <v>1817</v>
      </c>
      <c r="S56" s="7" t="n">
        <f aca="false">VALUE(MID(Q56,6,2))</f>
        <v>2</v>
      </c>
      <c r="T56" s="7" t="n">
        <f aca="false">VALUE(RIGHT(Q56,2))</f>
        <v>15</v>
      </c>
      <c r="U56" s="7" t="s">
        <v>91</v>
      </c>
      <c r="V56" s="7" t="s">
        <v>92</v>
      </c>
    </row>
    <row r="57" customFormat="false" ht="34.5" hidden="false" customHeight="true" outlineLevel="0" collapsed="false">
      <c r="A57" s="7" t="n">
        <v>56</v>
      </c>
      <c r="B57" s="7" t="s">
        <v>527</v>
      </c>
      <c r="C57" s="7" t="s">
        <v>528</v>
      </c>
      <c r="D57" s="7" t="n">
        <f aca="false">VALUE(LEFT(B57,4))</f>
        <v>1817</v>
      </c>
      <c r="E57" s="7" t="n">
        <f aca="false">INT((D57-1)/100)+1</f>
        <v>19</v>
      </c>
      <c r="F57" s="7" t="s">
        <v>173</v>
      </c>
      <c r="G57" s="7" t="s">
        <v>529</v>
      </c>
      <c r="H57" s="7" t="s">
        <v>530</v>
      </c>
      <c r="I57" s="7" t="s">
        <v>531</v>
      </c>
      <c r="J57" s="7" t="s">
        <v>532</v>
      </c>
      <c r="K57" s="7" t="s">
        <v>533</v>
      </c>
      <c r="L57" s="7" t="s">
        <v>100</v>
      </c>
      <c r="M57" s="7"/>
      <c r="N57" s="7" t="s">
        <v>18</v>
      </c>
      <c r="O57" s="7" t="s">
        <v>89</v>
      </c>
      <c r="P57" s="7" t="s">
        <v>534</v>
      </c>
      <c r="Q57" s="7" t="s">
        <v>527</v>
      </c>
      <c r="R57" s="7" t="n">
        <f aca="false">VALUE(LEFT(Q57,4))</f>
        <v>1817</v>
      </c>
      <c r="S57" s="7" t="n">
        <f aca="false">VALUE(MID(Q57,6,2))</f>
        <v>2</v>
      </c>
      <c r="T57" s="7" t="n">
        <f aca="false">VALUE(RIGHT(Q57,2))</f>
        <v>24</v>
      </c>
      <c r="U57" s="7" t="s">
        <v>139</v>
      </c>
      <c r="V57" s="7" t="s">
        <v>140</v>
      </c>
    </row>
    <row r="58" customFormat="false" ht="90.75" hidden="false" customHeight="true" outlineLevel="0" collapsed="false">
      <c r="A58" s="7" t="n">
        <v>57</v>
      </c>
      <c r="B58" s="7" t="s">
        <v>535</v>
      </c>
      <c r="C58" s="7" t="s">
        <v>535</v>
      </c>
      <c r="D58" s="7" t="n">
        <f aca="false">VALUE(LEFT(B58,4))</f>
        <v>1821</v>
      </c>
      <c r="E58" s="7" t="n">
        <f aca="false">INT((D58-1)/100)+1</f>
        <v>19</v>
      </c>
      <c r="F58" s="7" t="s">
        <v>132</v>
      </c>
      <c r="G58" s="7" t="s">
        <v>536</v>
      </c>
      <c r="H58" s="7" t="s">
        <v>324</v>
      </c>
      <c r="I58" s="7" t="s">
        <v>537</v>
      </c>
      <c r="J58" s="7" t="s">
        <v>326</v>
      </c>
      <c r="K58" s="7" t="s">
        <v>538</v>
      </c>
      <c r="L58" s="7" t="s">
        <v>328</v>
      </c>
      <c r="M58" s="7" t="s">
        <v>329</v>
      </c>
      <c r="N58" s="7" t="s">
        <v>16</v>
      </c>
      <c r="O58" s="7" t="s">
        <v>89</v>
      </c>
      <c r="P58" s="7" t="s">
        <v>539</v>
      </c>
      <c r="Q58" s="7" t="s">
        <v>535</v>
      </c>
      <c r="R58" s="7" t="n">
        <f aca="false">VALUE(LEFT(Q58,4))</f>
        <v>1821</v>
      </c>
      <c r="S58" s="7" t="n">
        <f aca="false">VALUE(MID(Q58,6,2))</f>
        <v>1</v>
      </c>
      <c r="T58" s="7" t="n">
        <f aca="false">VALUE(RIGHT(Q58,2))</f>
        <v>25</v>
      </c>
      <c r="U58" s="7" t="s">
        <v>91</v>
      </c>
      <c r="V58" s="7" t="s">
        <v>92</v>
      </c>
    </row>
    <row r="59" customFormat="false" ht="34.5" hidden="false" customHeight="true" outlineLevel="0" collapsed="false">
      <c r="A59" s="7" t="n">
        <v>58</v>
      </c>
      <c r="B59" s="7" t="s">
        <v>540</v>
      </c>
      <c r="C59" s="7" t="s">
        <v>540</v>
      </c>
      <c r="D59" s="7" t="n">
        <f aca="false">VALUE(LEFT(B59,4))</f>
        <v>1821</v>
      </c>
      <c r="E59" s="7" t="n">
        <f aca="false">INT((D59-1)/100)+1</f>
        <v>19</v>
      </c>
      <c r="F59" s="7" t="s">
        <v>81</v>
      </c>
      <c r="G59" s="7" t="s">
        <v>541</v>
      </c>
      <c r="H59" s="7" t="s">
        <v>134</v>
      </c>
      <c r="I59" s="7" t="s">
        <v>542</v>
      </c>
      <c r="J59" s="7" t="s">
        <v>346</v>
      </c>
      <c r="K59" s="7" t="s">
        <v>543</v>
      </c>
      <c r="L59" s="7" t="s">
        <v>439</v>
      </c>
      <c r="M59" s="7"/>
      <c r="N59" s="7" t="s">
        <v>20</v>
      </c>
      <c r="O59" s="7" t="s">
        <v>108</v>
      </c>
      <c r="P59" s="7"/>
      <c r="Q59" s="7" t="s">
        <v>540</v>
      </c>
      <c r="R59" s="7" t="n">
        <f aca="false">VALUE(LEFT(Q59,4))</f>
        <v>1821</v>
      </c>
      <c r="S59" s="7" t="n">
        <f aca="false">VALUE(MID(Q59,6,2))</f>
        <v>9</v>
      </c>
      <c r="T59" s="7" t="n">
        <f aca="false">VALUE(RIGHT(Q59,2))</f>
        <v>3</v>
      </c>
      <c r="U59" s="7" t="s">
        <v>91</v>
      </c>
      <c r="V59" s="7" t="s">
        <v>92</v>
      </c>
    </row>
    <row r="60" customFormat="false" ht="79.5" hidden="false" customHeight="true" outlineLevel="0" collapsed="false">
      <c r="A60" s="7" t="n">
        <v>59</v>
      </c>
      <c r="B60" s="7" t="s">
        <v>540</v>
      </c>
      <c r="C60" s="7" t="s">
        <v>540</v>
      </c>
      <c r="D60" s="7" t="n">
        <f aca="false">VALUE(LEFT(B60,4))</f>
        <v>1821</v>
      </c>
      <c r="E60" s="7" t="n">
        <f aca="false">INT((D60-1)/100)+1</f>
        <v>19</v>
      </c>
      <c r="F60" s="7" t="s">
        <v>81</v>
      </c>
      <c r="G60" s="7" t="s">
        <v>544</v>
      </c>
      <c r="H60" s="7" t="s">
        <v>545</v>
      </c>
      <c r="I60" s="7" t="s">
        <v>546</v>
      </c>
      <c r="J60" s="7" t="s">
        <v>547</v>
      </c>
      <c r="K60" s="7" t="s">
        <v>548</v>
      </c>
      <c r="L60" s="7" t="s">
        <v>469</v>
      </c>
      <c r="M60" s="7" t="s">
        <v>88</v>
      </c>
      <c r="N60" s="7" t="s">
        <v>18</v>
      </c>
      <c r="O60" s="7" t="s">
        <v>89</v>
      </c>
      <c r="P60" s="7" t="s">
        <v>549</v>
      </c>
      <c r="Q60" s="7" t="s">
        <v>540</v>
      </c>
      <c r="R60" s="7" t="n">
        <f aca="false">VALUE(LEFT(Q60,4))</f>
        <v>1821</v>
      </c>
      <c r="S60" s="7" t="n">
        <f aca="false">VALUE(MID(Q60,6,2))</f>
        <v>9</v>
      </c>
      <c r="T60" s="7" t="n">
        <f aca="false">VALUE(RIGHT(Q60,2))</f>
        <v>3</v>
      </c>
      <c r="U60" s="7" t="s">
        <v>91</v>
      </c>
      <c r="V60" s="7" t="s">
        <v>92</v>
      </c>
    </row>
    <row r="61" customFormat="false" ht="90.75" hidden="false" customHeight="true" outlineLevel="0" collapsed="false">
      <c r="A61" s="7" t="n">
        <v>60</v>
      </c>
      <c r="B61" s="7" t="s">
        <v>550</v>
      </c>
      <c r="C61" s="7" t="s">
        <v>550</v>
      </c>
      <c r="D61" s="7" t="n">
        <f aca="false">VALUE(LEFT(B61,4))</f>
        <v>1826</v>
      </c>
      <c r="E61" s="7" t="n">
        <f aca="false">INT((D61-1)/100)+1</f>
        <v>19</v>
      </c>
      <c r="F61" s="7" t="s">
        <v>434</v>
      </c>
      <c r="G61" s="7" t="s">
        <v>551</v>
      </c>
      <c r="H61" s="7" t="s">
        <v>324</v>
      </c>
      <c r="I61" s="7" t="s">
        <v>552</v>
      </c>
      <c r="J61" s="7" t="s">
        <v>326</v>
      </c>
      <c r="K61" s="7" t="s">
        <v>553</v>
      </c>
      <c r="L61" s="7" t="s">
        <v>328</v>
      </c>
      <c r="M61" s="7" t="s">
        <v>329</v>
      </c>
      <c r="N61" s="7" t="s">
        <v>18</v>
      </c>
      <c r="O61" s="7" t="s">
        <v>89</v>
      </c>
      <c r="P61" s="7"/>
      <c r="Q61" s="7" t="s">
        <v>550</v>
      </c>
      <c r="R61" s="7" t="n">
        <f aca="false">VALUE(LEFT(Q61,4))</f>
        <v>1826</v>
      </c>
      <c r="S61" s="7" t="n">
        <f aca="false">VALUE(MID(Q61,6,2))</f>
        <v>12</v>
      </c>
      <c r="T61" s="7" t="n">
        <f aca="false">VALUE(RIGHT(Q61,2))</f>
        <v>14</v>
      </c>
      <c r="U61" s="7" t="s">
        <v>91</v>
      </c>
      <c r="V61" s="7" t="s">
        <v>92</v>
      </c>
    </row>
    <row r="62" customFormat="false" ht="90.75" hidden="false" customHeight="true" outlineLevel="0" collapsed="false">
      <c r="A62" s="7" t="n">
        <v>61</v>
      </c>
      <c r="B62" s="7" t="s">
        <v>554</v>
      </c>
      <c r="C62" s="7" t="s">
        <v>555</v>
      </c>
      <c r="D62" s="7" t="n">
        <f aca="false">VALUE(LEFT(B62,4))</f>
        <v>1828</v>
      </c>
      <c r="E62" s="7" t="n">
        <f aca="false">INT((D62-1)/100)+1</f>
        <v>19</v>
      </c>
      <c r="F62" s="7" t="s">
        <v>120</v>
      </c>
      <c r="G62" s="7" t="s">
        <v>556</v>
      </c>
      <c r="H62" s="7" t="s">
        <v>324</v>
      </c>
      <c r="I62" s="7" t="s">
        <v>557</v>
      </c>
      <c r="J62" s="7" t="s">
        <v>326</v>
      </c>
      <c r="K62" s="7" t="s">
        <v>558</v>
      </c>
      <c r="L62" s="7" t="s">
        <v>328</v>
      </c>
      <c r="M62" s="7" t="s">
        <v>329</v>
      </c>
      <c r="N62" s="7" t="s">
        <v>18</v>
      </c>
      <c r="O62" s="7" t="s">
        <v>89</v>
      </c>
      <c r="P62" s="7"/>
      <c r="Q62" s="7" t="s">
        <v>559</v>
      </c>
      <c r="R62" s="7" t="n">
        <f aca="false">VALUE(LEFT(Q62,4))</f>
        <v>1829</v>
      </c>
      <c r="S62" s="7" t="n">
        <f aca="false">VALUE(MID(Q62,6,2))</f>
        <v>1</v>
      </c>
      <c r="T62" s="7" t="n">
        <f aca="false">VALUE(RIGHT(Q62,2))</f>
        <v>29</v>
      </c>
      <c r="U62" s="7" t="s">
        <v>128</v>
      </c>
      <c r="V62" s="7" t="s">
        <v>339</v>
      </c>
    </row>
    <row r="63" customFormat="false" ht="90.75" hidden="false" customHeight="true" outlineLevel="0" collapsed="false">
      <c r="A63" s="7" t="n">
        <v>62</v>
      </c>
      <c r="B63" s="7" t="s">
        <v>560</v>
      </c>
      <c r="C63" s="7" t="s">
        <v>561</v>
      </c>
      <c r="D63" s="7" t="n">
        <f aca="false">VALUE(LEFT(B63,4))</f>
        <v>1830</v>
      </c>
      <c r="E63" s="7" t="n">
        <f aca="false">INT((D63-1)/100)+1</f>
        <v>19</v>
      </c>
      <c r="F63" s="7" t="s">
        <v>120</v>
      </c>
      <c r="G63" s="7" t="s">
        <v>562</v>
      </c>
      <c r="H63" s="7" t="s">
        <v>324</v>
      </c>
      <c r="I63" s="7" t="s">
        <v>563</v>
      </c>
      <c r="J63" s="7" t="s">
        <v>326</v>
      </c>
      <c r="K63" s="7"/>
      <c r="L63" s="7" t="s">
        <v>328</v>
      </c>
      <c r="M63" s="7" t="s">
        <v>329</v>
      </c>
      <c r="N63" s="7" t="s">
        <v>18</v>
      </c>
      <c r="O63" s="7" t="s">
        <v>89</v>
      </c>
      <c r="P63" s="7"/>
      <c r="Q63" s="7" t="s">
        <v>564</v>
      </c>
      <c r="R63" s="7" t="n">
        <f aca="false">VALUE(LEFT(Q63,4))</f>
        <v>1831</v>
      </c>
      <c r="S63" s="7" t="n">
        <f aca="false">VALUE(MID(Q63,6,2))</f>
        <v>1</v>
      </c>
      <c r="T63" s="7" t="n">
        <f aca="false">VALUE(RIGHT(Q63,2))</f>
        <v>25</v>
      </c>
      <c r="U63" s="7" t="s">
        <v>128</v>
      </c>
      <c r="V63" s="7" t="s">
        <v>339</v>
      </c>
    </row>
    <row r="64" customFormat="false" ht="23.25" hidden="false" customHeight="true" outlineLevel="0" collapsed="false">
      <c r="A64" s="7" t="n">
        <v>63</v>
      </c>
      <c r="B64" s="7" t="s">
        <v>565</v>
      </c>
      <c r="C64" s="7" t="s">
        <v>566</v>
      </c>
      <c r="D64" s="7" t="n">
        <f aca="false">VALUE(LEFT(B64,4))</f>
        <v>1832</v>
      </c>
      <c r="E64" s="7" t="n">
        <f aca="false">INT((D64-1)/100)+1</f>
        <v>19</v>
      </c>
      <c r="F64" s="7" t="s">
        <v>567</v>
      </c>
      <c r="G64" s="7" t="s">
        <v>568</v>
      </c>
      <c r="H64" s="7" t="s">
        <v>569</v>
      </c>
      <c r="I64" s="7" t="s">
        <v>570</v>
      </c>
      <c r="J64" s="7" t="s">
        <v>571</v>
      </c>
      <c r="K64" s="7" t="s">
        <v>572</v>
      </c>
      <c r="L64" s="7" t="s">
        <v>573</v>
      </c>
      <c r="M64" s="7" t="s">
        <v>574</v>
      </c>
      <c r="N64" s="7" t="s">
        <v>20</v>
      </c>
      <c r="O64" s="7" t="s">
        <v>89</v>
      </c>
      <c r="P64" s="7" t="s">
        <v>575</v>
      </c>
      <c r="Q64" s="7" t="s">
        <v>576</v>
      </c>
      <c r="R64" s="7" t="n">
        <f aca="false">VALUE(LEFT(Q64,4))</f>
        <v>1832</v>
      </c>
      <c r="S64" s="7" t="n">
        <f aca="false">VALUE(MID(Q64,6,2))</f>
        <v>3</v>
      </c>
      <c r="T64" s="7" t="n">
        <f aca="false">VALUE(RIGHT(Q64,2))</f>
        <v>8</v>
      </c>
      <c r="U64" s="7" t="s">
        <v>331</v>
      </c>
      <c r="V64" s="7" t="s">
        <v>332</v>
      </c>
    </row>
    <row r="65" customFormat="false" ht="23.25" hidden="false" customHeight="true" outlineLevel="0" collapsed="false">
      <c r="A65" s="7" t="n">
        <v>64</v>
      </c>
      <c r="B65" s="7" t="s">
        <v>577</v>
      </c>
      <c r="C65" s="7" t="s">
        <v>578</v>
      </c>
      <c r="D65" s="7" t="n">
        <f aca="false">VALUE(LEFT(B65,4))</f>
        <v>1835</v>
      </c>
      <c r="E65" s="7" t="n">
        <f aca="false">INT((D65-1)/100)+1</f>
        <v>19</v>
      </c>
      <c r="F65" s="7" t="s">
        <v>252</v>
      </c>
      <c r="G65" s="7" t="s">
        <v>579</v>
      </c>
      <c r="H65" s="7" t="s">
        <v>580</v>
      </c>
      <c r="I65" s="7" t="s">
        <v>581</v>
      </c>
      <c r="J65" s="7" t="s">
        <v>346</v>
      </c>
      <c r="K65" s="7" t="s">
        <v>582</v>
      </c>
      <c r="L65" s="7" t="s">
        <v>583</v>
      </c>
      <c r="M65" s="7" t="s">
        <v>584</v>
      </c>
      <c r="N65" s="7" t="s">
        <v>18</v>
      </c>
      <c r="O65" s="7" t="s">
        <v>89</v>
      </c>
      <c r="P65" s="7" t="s">
        <v>585</v>
      </c>
      <c r="Q65" s="7" t="s">
        <v>577</v>
      </c>
      <c r="R65" s="7" t="n">
        <f aca="false">VALUE(LEFT(Q65,4))</f>
        <v>1835</v>
      </c>
      <c r="S65" s="7" t="n">
        <f aca="false">VALUE(MID(Q65,6,2))</f>
        <v>12</v>
      </c>
      <c r="T65" s="7" t="n">
        <f aca="false">VALUE(RIGHT(Q65,2))</f>
        <v>16</v>
      </c>
      <c r="U65" s="7" t="s">
        <v>139</v>
      </c>
      <c r="V65" s="7" t="s">
        <v>140</v>
      </c>
    </row>
    <row r="66" customFormat="false" ht="34.5" hidden="false" customHeight="true" outlineLevel="0" collapsed="false">
      <c r="A66" s="7" t="n">
        <v>65</v>
      </c>
      <c r="B66" s="7" t="s">
        <v>577</v>
      </c>
      <c r="C66" s="7" t="s">
        <v>586</v>
      </c>
      <c r="D66" s="7" t="n">
        <f aca="false">VALUE(LEFT(B66,4))</f>
        <v>1835</v>
      </c>
      <c r="E66" s="7" t="n">
        <f aca="false">INT((D66-1)/100)+1</f>
        <v>19</v>
      </c>
      <c r="F66" s="7" t="s">
        <v>120</v>
      </c>
      <c r="G66" s="7" t="s">
        <v>587</v>
      </c>
      <c r="H66" s="7" t="s">
        <v>588</v>
      </c>
      <c r="I66" s="7" t="s">
        <v>589</v>
      </c>
      <c r="J66" s="7" t="s">
        <v>346</v>
      </c>
      <c r="K66" s="7" t="s">
        <v>590</v>
      </c>
      <c r="L66" s="7" t="s">
        <v>439</v>
      </c>
      <c r="M66" s="7"/>
      <c r="N66" s="7" t="s">
        <v>20</v>
      </c>
      <c r="O66" s="7" t="s">
        <v>108</v>
      </c>
      <c r="P66" s="7" t="s">
        <v>591</v>
      </c>
      <c r="Q66" s="7" t="s">
        <v>592</v>
      </c>
      <c r="R66" s="7" t="n">
        <f aca="false">VALUE(LEFT(Q66,4))</f>
        <v>1836</v>
      </c>
      <c r="S66" s="7" t="n">
        <f aca="false">VALUE(MID(Q66,6,2))</f>
        <v>2</v>
      </c>
      <c r="T66" s="7" t="n">
        <f aca="false">VALUE(RIGHT(Q66,2))</f>
        <v>14</v>
      </c>
      <c r="U66" s="7" t="s">
        <v>128</v>
      </c>
      <c r="V66" s="7" t="s">
        <v>339</v>
      </c>
    </row>
    <row r="67" customFormat="false" ht="34.5" hidden="false" customHeight="true" outlineLevel="0" collapsed="false">
      <c r="A67" s="7" t="n">
        <v>66</v>
      </c>
      <c r="B67" s="7" t="s">
        <v>593</v>
      </c>
      <c r="C67" s="7" t="s">
        <v>593</v>
      </c>
      <c r="D67" s="7" t="n">
        <f aca="false">VALUE(LEFT(B67,4))</f>
        <v>1837</v>
      </c>
      <c r="E67" s="7" t="n">
        <f aca="false">INT((D67-1)/100)+1</f>
        <v>19</v>
      </c>
      <c r="F67" s="7" t="s">
        <v>594</v>
      </c>
      <c r="G67" s="7" t="s">
        <v>595</v>
      </c>
      <c r="H67" s="7" t="s">
        <v>596</v>
      </c>
      <c r="I67" s="7" t="s">
        <v>597</v>
      </c>
      <c r="J67" s="7" t="s">
        <v>346</v>
      </c>
      <c r="K67" s="7" t="s">
        <v>598</v>
      </c>
      <c r="L67" s="7" t="s">
        <v>599</v>
      </c>
      <c r="M67" s="7" t="s">
        <v>600</v>
      </c>
      <c r="N67" s="7" t="s">
        <v>18</v>
      </c>
      <c r="O67" s="7" t="s">
        <v>89</v>
      </c>
      <c r="P67" s="7" t="s">
        <v>601</v>
      </c>
      <c r="Q67" s="7" t="s">
        <v>593</v>
      </c>
      <c r="R67" s="7" t="n">
        <f aca="false">VALUE(LEFT(Q67,4))</f>
        <v>1837</v>
      </c>
      <c r="S67" s="7" t="n">
        <f aca="false">VALUE(MID(Q67,6,2))</f>
        <v>1</v>
      </c>
      <c r="T67" s="7" t="n">
        <f aca="false">VALUE(RIGHT(Q67,2))</f>
        <v>1</v>
      </c>
      <c r="U67" s="7" t="s">
        <v>91</v>
      </c>
      <c r="V67" s="7" t="s">
        <v>92</v>
      </c>
    </row>
    <row r="68" customFormat="false" ht="45.75" hidden="false" customHeight="true" outlineLevel="0" collapsed="false">
      <c r="A68" s="7" t="n">
        <v>67</v>
      </c>
      <c r="B68" s="7" t="s">
        <v>602</v>
      </c>
      <c r="C68" s="7" t="s">
        <v>602</v>
      </c>
      <c r="D68" s="7" t="n">
        <f aca="false">VALUE(LEFT(B68,4))</f>
        <v>1839</v>
      </c>
      <c r="E68" s="7" t="n">
        <f aca="false">INT((D68-1)/100)+1</f>
        <v>19</v>
      </c>
      <c r="F68" s="7" t="s">
        <v>391</v>
      </c>
      <c r="G68" s="7" t="s">
        <v>603</v>
      </c>
      <c r="H68" s="7" t="s">
        <v>604</v>
      </c>
      <c r="I68" s="7" t="s">
        <v>605</v>
      </c>
      <c r="J68" s="7" t="s">
        <v>606</v>
      </c>
      <c r="K68" s="7" t="s">
        <v>607</v>
      </c>
      <c r="L68" s="7" t="s">
        <v>469</v>
      </c>
      <c r="M68" s="7" t="s">
        <v>88</v>
      </c>
      <c r="N68" s="7" t="s">
        <v>20</v>
      </c>
      <c r="O68" s="7" t="s">
        <v>89</v>
      </c>
      <c r="P68" s="7" t="s">
        <v>608</v>
      </c>
      <c r="Q68" s="7" t="s">
        <v>602</v>
      </c>
      <c r="R68" s="7" t="n">
        <f aca="false">VALUE(LEFT(Q68,4))</f>
        <v>1839</v>
      </c>
      <c r="S68" s="7" t="n">
        <f aca="false">VALUE(MID(Q68,6,2))</f>
        <v>8</v>
      </c>
      <c r="T68" s="7" t="n">
        <f aca="false">VALUE(RIGHT(Q68,2))</f>
        <v>30</v>
      </c>
      <c r="U68" s="7" t="s">
        <v>91</v>
      </c>
      <c r="V68" s="7" t="s">
        <v>92</v>
      </c>
    </row>
    <row r="69" customFormat="false" ht="23.25" hidden="false" customHeight="true" outlineLevel="0" collapsed="false">
      <c r="A69" s="7" t="n">
        <v>68</v>
      </c>
      <c r="B69" s="7" t="s">
        <v>609</v>
      </c>
      <c r="C69" s="7" t="s">
        <v>610</v>
      </c>
      <c r="D69" s="7" t="n">
        <f aca="false">VALUE(LEFT(B69,4))</f>
        <v>1848</v>
      </c>
      <c r="E69" s="7" t="n">
        <f aca="false">INT((D69-1)/100)+1</f>
        <v>19</v>
      </c>
      <c r="F69" s="7" t="s">
        <v>567</v>
      </c>
      <c r="G69" s="7" t="s">
        <v>611</v>
      </c>
      <c r="H69" s="7" t="s">
        <v>612</v>
      </c>
      <c r="I69" s="7" t="s">
        <v>613</v>
      </c>
      <c r="J69" s="7" t="s">
        <v>346</v>
      </c>
      <c r="K69" s="7" t="s">
        <v>614</v>
      </c>
      <c r="L69" s="7" t="s">
        <v>583</v>
      </c>
      <c r="M69" s="7" t="s">
        <v>615</v>
      </c>
      <c r="N69" s="7" t="s">
        <v>18</v>
      </c>
      <c r="O69" s="7" t="s">
        <v>108</v>
      </c>
      <c r="P69" s="7" t="s">
        <v>616</v>
      </c>
      <c r="Q69" s="7" t="s">
        <v>609</v>
      </c>
      <c r="R69" s="7" t="n">
        <f aca="false">VALUE(LEFT(Q69,4))</f>
        <v>1848</v>
      </c>
      <c r="S69" s="7" t="n">
        <f aca="false">VALUE(MID(Q69,6,2))</f>
        <v>3</v>
      </c>
      <c r="T69" s="7" t="n">
        <f aca="false">VALUE(RIGHT(Q69,2))</f>
        <v>29</v>
      </c>
      <c r="U69" s="7" t="s">
        <v>139</v>
      </c>
      <c r="V69" s="7" t="s">
        <v>140</v>
      </c>
    </row>
    <row r="70" customFormat="false" ht="57" hidden="false" customHeight="true" outlineLevel="0" collapsed="false">
      <c r="A70" s="7" t="n">
        <v>69</v>
      </c>
      <c r="B70" s="7" t="s">
        <v>617</v>
      </c>
      <c r="C70" s="7" t="s">
        <v>618</v>
      </c>
      <c r="D70" s="7" t="n">
        <f aca="false">VALUE(LEFT(B70,4))</f>
        <v>1850</v>
      </c>
      <c r="E70" s="7" t="n">
        <f aca="false">INT((D70-1)/100)+1</f>
        <v>19</v>
      </c>
      <c r="F70" s="7" t="s">
        <v>81</v>
      </c>
      <c r="G70" s="7" t="s">
        <v>619</v>
      </c>
      <c r="H70" s="7" t="s">
        <v>620</v>
      </c>
      <c r="I70" s="7" t="s">
        <v>621</v>
      </c>
      <c r="J70" s="7" t="s">
        <v>622</v>
      </c>
      <c r="K70" s="7" t="s">
        <v>623</v>
      </c>
      <c r="L70" s="7" t="s">
        <v>624</v>
      </c>
      <c r="M70" s="7" t="s">
        <v>88</v>
      </c>
      <c r="N70" s="7" t="s">
        <v>20</v>
      </c>
      <c r="O70" s="7" t="s">
        <v>108</v>
      </c>
      <c r="P70" s="7" t="s">
        <v>625</v>
      </c>
      <c r="Q70" s="7" t="s">
        <v>617</v>
      </c>
      <c r="R70" s="7" t="n">
        <f aca="false">VALUE(LEFT(Q70,4))</f>
        <v>1850</v>
      </c>
      <c r="S70" s="7" t="n">
        <f aca="false">VALUE(MID(Q70,6,2))</f>
        <v>7</v>
      </c>
      <c r="T70" s="7" t="n">
        <f aca="false">VALUE(RIGHT(Q70,2))</f>
        <v>18</v>
      </c>
      <c r="U70" s="7" t="s">
        <v>139</v>
      </c>
      <c r="V70" s="7" t="s">
        <v>626</v>
      </c>
    </row>
    <row r="71" customFormat="false" ht="34.5" hidden="false" customHeight="true" outlineLevel="0" collapsed="false">
      <c r="A71" s="7" t="n">
        <v>70</v>
      </c>
      <c r="B71" s="7" t="s">
        <v>627</v>
      </c>
      <c r="C71" s="7" t="s">
        <v>628</v>
      </c>
      <c r="D71" s="7" t="n">
        <f aca="false">VALUE(LEFT(B71,4))</f>
        <v>1857</v>
      </c>
      <c r="E71" s="7" t="n">
        <f aca="false">INT((D71-1)/100)+1</f>
        <v>19</v>
      </c>
      <c r="F71" s="7" t="s">
        <v>629</v>
      </c>
      <c r="G71" s="7" t="s">
        <v>630</v>
      </c>
      <c r="H71" s="7" t="s">
        <v>254</v>
      </c>
      <c r="I71" s="7" t="s">
        <v>631</v>
      </c>
      <c r="J71" s="7" t="s">
        <v>346</v>
      </c>
      <c r="K71" s="7" t="s">
        <v>632</v>
      </c>
      <c r="L71" s="7" t="s">
        <v>439</v>
      </c>
      <c r="M71" s="7"/>
      <c r="N71" s="7" t="s">
        <v>20</v>
      </c>
      <c r="O71" s="7" t="s">
        <v>108</v>
      </c>
      <c r="P71" s="7"/>
      <c r="Q71" s="7" t="s">
        <v>627</v>
      </c>
      <c r="R71" s="7" t="n">
        <f aca="false">VALUE(LEFT(Q71,4))</f>
        <v>1857</v>
      </c>
      <c r="S71" s="7" t="n">
        <f aca="false">VALUE(MID(Q71,6,2))</f>
        <v>1</v>
      </c>
      <c r="T71" s="7" t="n">
        <f aca="false">VALUE(RIGHT(Q71,2))</f>
        <v>18</v>
      </c>
      <c r="U71" s="7" t="s">
        <v>139</v>
      </c>
      <c r="V71" s="7" t="s">
        <v>140</v>
      </c>
    </row>
    <row r="72" customFormat="false" ht="23.25" hidden="false" customHeight="true" outlineLevel="0" collapsed="false">
      <c r="A72" s="7" t="n">
        <v>71</v>
      </c>
      <c r="B72" s="7" t="s">
        <v>633</v>
      </c>
      <c r="C72" s="7" t="s">
        <v>634</v>
      </c>
      <c r="D72" s="7" t="n">
        <f aca="false">VALUE(LEFT(B72,4))</f>
        <v>1857</v>
      </c>
      <c r="E72" s="7" t="n">
        <f aca="false">INT((D72-1)/100)+1</f>
        <v>19</v>
      </c>
      <c r="F72" s="7" t="s">
        <v>635</v>
      </c>
      <c r="G72" s="7" t="s">
        <v>636</v>
      </c>
      <c r="H72" s="7" t="s">
        <v>637</v>
      </c>
      <c r="I72" s="7" t="s">
        <v>638</v>
      </c>
      <c r="J72" s="7" t="s">
        <v>639</v>
      </c>
      <c r="K72" s="7" t="s">
        <v>640</v>
      </c>
      <c r="L72" s="7" t="s">
        <v>641</v>
      </c>
      <c r="M72" s="7" t="s">
        <v>642</v>
      </c>
      <c r="N72" s="7" t="s">
        <v>16</v>
      </c>
      <c r="O72" s="7" t="s">
        <v>89</v>
      </c>
      <c r="P72" s="7" t="s">
        <v>643</v>
      </c>
      <c r="Q72" s="7" t="s">
        <v>644</v>
      </c>
      <c r="R72" s="7" t="n">
        <f aca="false">VALUE(LEFT(Q72,4))</f>
        <v>1857</v>
      </c>
      <c r="S72" s="7" t="n">
        <f aca="false">VALUE(MID(Q72,6,2))</f>
        <v>2</v>
      </c>
      <c r="T72" s="7" t="n">
        <f aca="false">VALUE(RIGHT(Q72,2))</f>
        <v>15</v>
      </c>
      <c r="U72" s="7" t="s">
        <v>331</v>
      </c>
      <c r="V72" s="7" t="s">
        <v>645</v>
      </c>
    </row>
    <row r="73" customFormat="false" ht="23.25" hidden="false" customHeight="true" outlineLevel="0" collapsed="false">
      <c r="A73" s="7" t="n">
        <v>72</v>
      </c>
      <c r="B73" s="7" t="s">
        <v>646</v>
      </c>
      <c r="C73" s="7" t="s">
        <v>646</v>
      </c>
      <c r="D73" s="7" t="n">
        <f aca="false">VALUE(LEFT(B73,4))</f>
        <v>1859</v>
      </c>
      <c r="E73" s="7" t="n">
        <f aca="false">INT((D73-1)/100)+1</f>
        <v>19</v>
      </c>
      <c r="F73" s="7" t="s">
        <v>594</v>
      </c>
      <c r="G73" s="7" t="s">
        <v>647</v>
      </c>
      <c r="H73" s="7" t="s">
        <v>648</v>
      </c>
      <c r="I73" s="7" t="s">
        <v>649</v>
      </c>
      <c r="J73" s="7" t="s">
        <v>346</v>
      </c>
      <c r="K73" s="7" t="s">
        <v>650</v>
      </c>
      <c r="L73" s="7" t="s">
        <v>651</v>
      </c>
      <c r="M73" s="7" t="s">
        <v>652</v>
      </c>
      <c r="N73" s="7" t="s">
        <v>18</v>
      </c>
      <c r="O73" s="7" t="s">
        <v>89</v>
      </c>
      <c r="P73" s="7" t="s">
        <v>653</v>
      </c>
      <c r="Q73" s="7" t="s">
        <v>646</v>
      </c>
      <c r="R73" s="7" t="n">
        <f aca="false">VALUE(LEFT(Q73,4))</f>
        <v>1859</v>
      </c>
      <c r="S73" s="7" t="n">
        <f aca="false">VALUE(MID(Q73,6,2))</f>
        <v>3</v>
      </c>
      <c r="T73" s="7" t="n">
        <f aca="false">VALUE(RIGHT(Q73,2))</f>
        <v>17</v>
      </c>
      <c r="U73" s="7" t="s">
        <v>91</v>
      </c>
      <c r="V73" s="7" t="s">
        <v>92</v>
      </c>
    </row>
    <row r="74" customFormat="false" ht="34.5" hidden="false" customHeight="true" outlineLevel="0" collapsed="false">
      <c r="A74" s="7" t="n">
        <v>73</v>
      </c>
      <c r="B74" s="7" t="s">
        <v>654</v>
      </c>
      <c r="C74" s="7" t="s">
        <v>655</v>
      </c>
      <c r="D74" s="7" t="n">
        <f aca="false">VALUE(LEFT(B74,4))</f>
        <v>1859</v>
      </c>
      <c r="E74" s="7" t="n">
        <f aca="false">INT((D74-1)/100)+1</f>
        <v>19</v>
      </c>
      <c r="F74" s="7" t="s">
        <v>473</v>
      </c>
      <c r="G74" s="7" t="s">
        <v>656</v>
      </c>
      <c r="H74" s="7" t="s">
        <v>657</v>
      </c>
      <c r="I74" s="7" t="s">
        <v>658</v>
      </c>
      <c r="J74" s="7" t="s">
        <v>346</v>
      </c>
      <c r="K74" s="7" t="s">
        <v>659</v>
      </c>
      <c r="L74" s="7" t="s">
        <v>439</v>
      </c>
      <c r="M74" s="7"/>
      <c r="N74" s="7" t="s">
        <v>20</v>
      </c>
      <c r="O74" s="7" t="s">
        <v>108</v>
      </c>
      <c r="P74" s="7"/>
      <c r="Q74" s="7" t="s">
        <v>654</v>
      </c>
      <c r="R74" s="7" t="n">
        <f aca="false">VALUE(LEFT(Q74,4))</f>
        <v>1859</v>
      </c>
      <c r="S74" s="7" t="n">
        <f aca="false">VALUE(MID(Q74,6,2))</f>
        <v>6</v>
      </c>
      <c r="T74" s="7" t="n">
        <f aca="false">VALUE(RIGHT(Q74,2))</f>
        <v>4</v>
      </c>
      <c r="U74" s="7" t="s">
        <v>139</v>
      </c>
      <c r="V74" s="7" t="s">
        <v>140</v>
      </c>
    </row>
    <row r="75" customFormat="false" ht="23.25" hidden="false" customHeight="true" outlineLevel="0" collapsed="false">
      <c r="A75" s="7" t="n">
        <v>74</v>
      </c>
      <c r="B75" s="7" t="s">
        <v>660</v>
      </c>
      <c r="C75" s="7" t="s">
        <v>661</v>
      </c>
      <c r="D75" s="7" t="n">
        <f aca="false">VALUE(LEFT(B75,4))</f>
        <v>1865</v>
      </c>
      <c r="E75" s="7" t="n">
        <f aca="false">INT((D75-1)/100)+1</f>
        <v>19</v>
      </c>
      <c r="F75" s="7" t="s">
        <v>567</v>
      </c>
      <c r="G75" s="7" t="s">
        <v>662</v>
      </c>
      <c r="H75" s="7" t="s">
        <v>569</v>
      </c>
      <c r="I75" s="7" t="s">
        <v>570</v>
      </c>
      <c r="J75" s="7" t="s">
        <v>571</v>
      </c>
      <c r="K75" s="7" t="s">
        <v>572</v>
      </c>
      <c r="L75" s="7" t="s">
        <v>573</v>
      </c>
      <c r="M75" s="7" t="s">
        <v>574</v>
      </c>
      <c r="N75" s="7" t="s">
        <v>20</v>
      </c>
      <c r="O75" s="7" t="s">
        <v>89</v>
      </c>
      <c r="P75" s="7" t="s">
        <v>575</v>
      </c>
      <c r="Q75" s="7" t="s">
        <v>663</v>
      </c>
      <c r="R75" s="7" t="n">
        <f aca="false">VALUE(LEFT(Q75,4))</f>
        <v>1865</v>
      </c>
      <c r="S75" s="7" t="n">
        <f aca="false">VALUE(MID(Q75,6,2))</f>
        <v>3</v>
      </c>
      <c r="T75" s="7" t="n">
        <f aca="false">VALUE(RIGHT(Q75,2))</f>
        <v>9</v>
      </c>
      <c r="U75" s="7" t="s">
        <v>331</v>
      </c>
      <c r="V75" s="7" t="s">
        <v>332</v>
      </c>
    </row>
    <row r="76" customFormat="false" ht="34.5" hidden="false" customHeight="true" outlineLevel="0" collapsed="false">
      <c r="A76" s="7" t="n">
        <v>75</v>
      </c>
      <c r="B76" s="7" t="s">
        <v>664</v>
      </c>
      <c r="C76" s="7" t="s">
        <v>665</v>
      </c>
      <c r="D76" s="7" t="n">
        <f aca="false">VALUE(LEFT(B76,4))</f>
        <v>1869</v>
      </c>
      <c r="E76" s="7" t="n">
        <f aca="false">INT((D76-1)/100)+1</f>
        <v>19</v>
      </c>
      <c r="F76" s="7" t="s">
        <v>143</v>
      </c>
      <c r="G76" s="7" t="s">
        <v>666</v>
      </c>
      <c r="H76" s="7" t="s">
        <v>164</v>
      </c>
      <c r="I76" s="7" t="s">
        <v>667</v>
      </c>
      <c r="J76" s="7" t="s">
        <v>346</v>
      </c>
      <c r="K76" s="7" t="s">
        <v>668</v>
      </c>
      <c r="L76" s="7" t="s">
        <v>439</v>
      </c>
      <c r="M76" s="7"/>
      <c r="N76" s="7" t="s">
        <v>20</v>
      </c>
      <c r="O76" s="7" t="s">
        <v>108</v>
      </c>
      <c r="P76" s="7"/>
      <c r="Q76" s="7" t="s">
        <v>664</v>
      </c>
      <c r="R76" s="7" t="n">
        <f aca="false">VALUE(LEFT(Q76,4))</f>
        <v>1869</v>
      </c>
      <c r="S76" s="7" t="n">
        <f aca="false">VALUE(MID(Q76,6,2))</f>
        <v>10</v>
      </c>
      <c r="T76" s="7" t="n">
        <f aca="false">VALUE(RIGHT(Q76,2))</f>
        <v>3</v>
      </c>
      <c r="U76" s="7" t="s">
        <v>139</v>
      </c>
      <c r="V76" s="7" t="s">
        <v>140</v>
      </c>
    </row>
    <row r="77" customFormat="false" ht="68.25" hidden="false" customHeight="true" outlineLevel="0" collapsed="false">
      <c r="A77" s="7" t="n">
        <v>76</v>
      </c>
      <c r="B77" s="7" t="s">
        <v>665</v>
      </c>
      <c r="C77" s="7" t="s">
        <v>665</v>
      </c>
      <c r="D77" s="7" t="n">
        <f aca="false">VALUE(LEFT(B77,4))</f>
        <v>1869</v>
      </c>
      <c r="E77" s="7" t="n">
        <f aca="false">INT((D77-1)/100)+1</f>
        <v>19</v>
      </c>
      <c r="F77" s="7" t="s">
        <v>669</v>
      </c>
      <c r="G77" s="7" t="s">
        <v>670</v>
      </c>
      <c r="H77" s="7" t="s">
        <v>671</v>
      </c>
      <c r="I77" s="7" t="s">
        <v>672</v>
      </c>
      <c r="J77" s="7" t="s">
        <v>673</v>
      </c>
      <c r="K77" s="7" t="s">
        <v>674</v>
      </c>
      <c r="L77" s="7" t="s">
        <v>675</v>
      </c>
      <c r="M77" s="7" t="s">
        <v>88</v>
      </c>
      <c r="N77" s="7" t="s">
        <v>18</v>
      </c>
      <c r="O77" s="7" t="s">
        <v>89</v>
      </c>
      <c r="P77" s="7" t="s">
        <v>676</v>
      </c>
      <c r="Q77" s="7" t="s">
        <v>665</v>
      </c>
      <c r="R77" s="7" t="n">
        <f aca="false">VALUE(LEFT(Q77,4))</f>
        <v>1869</v>
      </c>
      <c r="S77" s="7" t="n">
        <f aca="false">VALUE(MID(Q77,6,2))</f>
        <v>10</v>
      </c>
      <c r="T77" s="7" t="n">
        <f aca="false">VALUE(RIGHT(Q77,2))</f>
        <v>4</v>
      </c>
      <c r="U77" s="7" t="s">
        <v>91</v>
      </c>
      <c r="V77" s="7" t="s">
        <v>92</v>
      </c>
    </row>
    <row r="78" customFormat="false" ht="23.25" hidden="false" customHeight="true" outlineLevel="0" collapsed="false">
      <c r="A78" s="7" t="n">
        <v>77</v>
      </c>
      <c r="B78" s="7" t="s">
        <v>677</v>
      </c>
      <c r="C78" s="7" t="s">
        <v>678</v>
      </c>
      <c r="D78" s="7" t="n">
        <f aca="false">VALUE(LEFT(B78,4))</f>
        <v>1870</v>
      </c>
      <c r="E78" s="7" t="n">
        <f aca="false">INT((D78-1)/100)+1</f>
        <v>19</v>
      </c>
      <c r="F78" s="7" t="s">
        <v>567</v>
      </c>
      <c r="G78" s="7" t="s">
        <v>679</v>
      </c>
      <c r="H78" s="7" t="s">
        <v>569</v>
      </c>
      <c r="I78" s="7" t="s">
        <v>570</v>
      </c>
      <c r="J78" s="7" t="s">
        <v>571</v>
      </c>
      <c r="K78" s="7" t="s">
        <v>572</v>
      </c>
      <c r="L78" s="7" t="s">
        <v>573</v>
      </c>
      <c r="M78" s="7" t="s">
        <v>574</v>
      </c>
      <c r="N78" s="7" t="s">
        <v>20</v>
      </c>
      <c r="O78" s="7" t="s">
        <v>89</v>
      </c>
      <c r="P78" s="7" t="s">
        <v>575</v>
      </c>
      <c r="Q78" s="7" t="s">
        <v>680</v>
      </c>
      <c r="R78" s="7" t="n">
        <f aca="false">VALUE(LEFT(Q78,4))</f>
        <v>1870</v>
      </c>
      <c r="S78" s="7" t="n">
        <f aca="false">VALUE(MID(Q78,6,2))</f>
        <v>3</v>
      </c>
      <c r="T78" s="7" t="n">
        <f aca="false">VALUE(RIGHT(Q78,2))</f>
        <v>9</v>
      </c>
      <c r="U78" s="7" t="s">
        <v>331</v>
      </c>
      <c r="V78" s="7" t="s">
        <v>332</v>
      </c>
    </row>
    <row r="79" customFormat="false" ht="34.5" hidden="false" customHeight="true" outlineLevel="0" collapsed="false">
      <c r="A79" s="7" t="n">
        <v>78</v>
      </c>
      <c r="B79" s="7" t="s">
        <v>681</v>
      </c>
      <c r="C79" s="7" t="s">
        <v>681</v>
      </c>
      <c r="D79" s="7" t="n">
        <f aca="false">VALUE(LEFT(B79,4))</f>
        <v>1878</v>
      </c>
      <c r="E79" s="7" t="n">
        <f aca="false">INT((D79-1)/100)+1</f>
        <v>19</v>
      </c>
      <c r="F79" s="7" t="s">
        <v>81</v>
      </c>
      <c r="G79" s="7" t="s">
        <v>682</v>
      </c>
      <c r="H79" s="7" t="s">
        <v>683</v>
      </c>
      <c r="I79" s="7" t="s">
        <v>684</v>
      </c>
      <c r="J79" s="7" t="s">
        <v>346</v>
      </c>
      <c r="K79" s="7" t="s">
        <v>685</v>
      </c>
      <c r="L79" s="7" t="s">
        <v>439</v>
      </c>
      <c r="M79" s="7"/>
      <c r="N79" s="7" t="s">
        <v>20</v>
      </c>
      <c r="O79" s="7" t="s">
        <v>108</v>
      </c>
      <c r="P79" s="7"/>
      <c r="Q79" s="7" t="s">
        <v>681</v>
      </c>
      <c r="R79" s="7" t="n">
        <f aca="false">VALUE(LEFT(Q79,4))</f>
        <v>1878</v>
      </c>
      <c r="S79" s="7" t="n">
        <f aca="false">VALUE(MID(Q79,6,2))</f>
        <v>10</v>
      </c>
      <c r="T79" s="7" t="n">
        <f aca="false">VALUE(RIGHT(Q79,2))</f>
        <v>23</v>
      </c>
      <c r="U79" s="7" t="s">
        <v>91</v>
      </c>
      <c r="V79" s="7" t="s">
        <v>92</v>
      </c>
    </row>
    <row r="80" customFormat="false" ht="23.25" hidden="false" customHeight="true" outlineLevel="0" collapsed="false">
      <c r="A80" s="7" t="n">
        <v>79</v>
      </c>
      <c r="B80" s="7" t="s">
        <v>686</v>
      </c>
      <c r="C80" s="7" t="s">
        <v>687</v>
      </c>
      <c r="D80" s="7" t="n">
        <f aca="false">VALUE(LEFT(B80,4))</f>
        <v>1886</v>
      </c>
      <c r="E80" s="7" t="n">
        <f aca="false">INT((D80-1)/100)+1</f>
        <v>19</v>
      </c>
      <c r="F80" s="7" t="s">
        <v>567</v>
      </c>
      <c r="G80" s="7" t="s">
        <v>688</v>
      </c>
      <c r="H80" s="7" t="s">
        <v>689</v>
      </c>
      <c r="I80" s="7" t="s">
        <v>690</v>
      </c>
      <c r="J80" s="7" t="s">
        <v>691</v>
      </c>
      <c r="K80" s="7" t="s">
        <v>692</v>
      </c>
      <c r="L80" s="7" t="s">
        <v>573</v>
      </c>
      <c r="M80" s="7" t="s">
        <v>574</v>
      </c>
      <c r="N80" s="7" t="s">
        <v>18</v>
      </c>
      <c r="O80" s="7" t="s">
        <v>89</v>
      </c>
      <c r="P80" s="7"/>
      <c r="Q80" s="7" t="s">
        <v>686</v>
      </c>
      <c r="R80" s="7" t="n">
        <f aca="false">VALUE(LEFT(Q80,4))</f>
        <v>1886</v>
      </c>
      <c r="S80" s="7" t="n">
        <f aca="false">VALUE(MID(Q80,6,2))</f>
        <v>2</v>
      </c>
      <c r="T80" s="7" t="n">
        <f aca="false">VALUE(RIGHT(Q80,2))</f>
        <v>14</v>
      </c>
      <c r="U80" s="7" t="s">
        <v>139</v>
      </c>
      <c r="V80" s="7" t="s">
        <v>140</v>
      </c>
    </row>
    <row r="81" customFormat="false" ht="23.25" hidden="false" customHeight="true" outlineLevel="0" collapsed="false">
      <c r="A81" s="7" t="n">
        <v>80</v>
      </c>
      <c r="B81" s="7" t="s">
        <v>693</v>
      </c>
      <c r="C81" s="7" t="s">
        <v>694</v>
      </c>
      <c r="D81" s="7" t="n">
        <f aca="false">VALUE(LEFT(B81,4))</f>
        <v>1887</v>
      </c>
      <c r="E81" s="7" t="n">
        <f aca="false">INT((D81-1)/100)+1</f>
        <v>19</v>
      </c>
      <c r="F81" s="7" t="s">
        <v>153</v>
      </c>
      <c r="G81" s="7" t="s">
        <v>695</v>
      </c>
      <c r="H81" s="7" t="s">
        <v>696</v>
      </c>
      <c r="I81" s="7" t="s">
        <v>697</v>
      </c>
      <c r="J81" s="7" t="s">
        <v>324</v>
      </c>
      <c r="K81" s="7" t="s">
        <v>698</v>
      </c>
      <c r="L81" s="7" t="s">
        <v>699</v>
      </c>
      <c r="M81" s="7" t="s">
        <v>642</v>
      </c>
      <c r="N81" s="7" t="s">
        <v>16</v>
      </c>
      <c r="O81" s="7" t="s">
        <v>89</v>
      </c>
      <c r="P81" s="7"/>
      <c r="Q81" s="7" t="s">
        <v>693</v>
      </c>
      <c r="R81" s="7" t="n">
        <f aca="false">VALUE(LEFT(Q81,4))</f>
        <v>1887</v>
      </c>
      <c r="S81" s="7" t="n">
        <f aca="false">VALUE(MID(Q81,6,2))</f>
        <v>12</v>
      </c>
      <c r="T81" s="7" t="n">
        <f aca="false">VALUE(RIGHT(Q81,2))</f>
        <v>18</v>
      </c>
      <c r="U81" s="7" t="s">
        <v>139</v>
      </c>
      <c r="V81" s="7" t="s">
        <v>140</v>
      </c>
    </row>
    <row r="82" customFormat="false" ht="23.25" hidden="false" customHeight="true" outlineLevel="0" collapsed="false">
      <c r="A82" s="7" t="n">
        <v>81</v>
      </c>
      <c r="B82" s="7" t="s">
        <v>700</v>
      </c>
      <c r="C82" s="7" t="s">
        <v>701</v>
      </c>
      <c r="D82" s="7" t="n">
        <f aca="false">VALUE(LEFT(B82,4))</f>
        <v>1888</v>
      </c>
      <c r="E82" s="7" t="n">
        <f aca="false">INT((D82-1)/100)+1</f>
        <v>19</v>
      </c>
      <c r="F82" s="7" t="s">
        <v>233</v>
      </c>
      <c r="G82" s="7" t="s">
        <v>702</v>
      </c>
      <c r="H82" s="7" t="s">
        <v>703</v>
      </c>
      <c r="I82" s="7" t="s">
        <v>704</v>
      </c>
      <c r="J82" s="7" t="s">
        <v>324</v>
      </c>
      <c r="K82" s="7" t="s">
        <v>705</v>
      </c>
      <c r="L82" s="7" t="s">
        <v>706</v>
      </c>
      <c r="M82" s="7" t="s">
        <v>642</v>
      </c>
      <c r="N82" s="7" t="s">
        <v>16</v>
      </c>
      <c r="O82" s="7" t="s">
        <v>89</v>
      </c>
      <c r="P82" s="7" t="s">
        <v>707</v>
      </c>
      <c r="Q82" s="7" t="s">
        <v>700</v>
      </c>
      <c r="R82" s="7" t="n">
        <f aca="false">VALUE(LEFT(Q82,4))</f>
        <v>1888</v>
      </c>
      <c r="S82" s="7" t="n">
        <f aca="false">VALUE(MID(Q82,6,2))</f>
        <v>3</v>
      </c>
      <c r="T82" s="7" t="n">
        <f aca="false">VALUE(RIGHT(Q82,2))</f>
        <v>11</v>
      </c>
      <c r="U82" s="7" t="s">
        <v>139</v>
      </c>
      <c r="V82" s="7" t="s">
        <v>140</v>
      </c>
    </row>
    <row r="83" customFormat="false" ht="23.25" hidden="false" customHeight="true" outlineLevel="0" collapsed="false">
      <c r="A83" s="7" t="n">
        <v>82</v>
      </c>
      <c r="B83" s="7" t="s">
        <v>708</v>
      </c>
      <c r="C83" s="7" t="s">
        <v>709</v>
      </c>
      <c r="D83" s="7" t="n">
        <f aca="false">VALUE(LEFT(B83,4))</f>
        <v>1891</v>
      </c>
      <c r="E83" s="7" t="n">
        <f aca="false">INT((D83-1)/100)+1</f>
        <v>19</v>
      </c>
      <c r="F83" s="7" t="s">
        <v>567</v>
      </c>
      <c r="G83" s="7" t="s">
        <v>710</v>
      </c>
      <c r="H83" s="7" t="s">
        <v>569</v>
      </c>
      <c r="I83" s="7" t="s">
        <v>570</v>
      </c>
      <c r="J83" s="7" t="s">
        <v>571</v>
      </c>
      <c r="K83" s="7" t="s">
        <v>572</v>
      </c>
      <c r="L83" s="7" t="s">
        <v>573</v>
      </c>
      <c r="M83" s="7" t="s">
        <v>574</v>
      </c>
      <c r="N83" s="7" t="s">
        <v>20</v>
      </c>
      <c r="O83" s="7" t="s">
        <v>89</v>
      </c>
      <c r="P83" s="7" t="s">
        <v>575</v>
      </c>
      <c r="Q83" s="7" t="s">
        <v>711</v>
      </c>
      <c r="R83" s="7" t="n">
        <f aca="false">VALUE(LEFT(Q83,4))</f>
        <v>1891</v>
      </c>
      <c r="S83" s="7" t="n">
        <f aca="false">VALUE(MID(Q83,6,2))</f>
        <v>3</v>
      </c>
      <c r="T83" s="7" t="n">
        <f aca="false">VALUE(RIGHT(Q83,2))</f>
        <v>9</v>
      </c>
      <c r="U83" s="7" t="s">
        <v>331</v>
      </c>
      <c r="V83" s="7" t="s">
        <v>332</v>
      </c>
    </row>
    <row r="84" customFormat="false" ht="23.25" hidden="false" customHeight="true" outlineLevel="0" collapsed="false">
      <c r="A84" s="7" t="n">
        <v>83</v>
      </c>
      <c r="B84" s="7" t="s">
        <v>712</v>
      </c>
      <c r="C84" s="7" t="s">
        <v>713</v>
      </c>
      <c r="D84" s="7" t="n">
        <f aca="false">VALUE(LEFT(B84,4))</f>
        <v>1893</v>
      </c>
      <c r="E84" s="7" t="n">
        <f aca="false">INT((D84-1)/100)+1</f>
        <v>19</v>
      </c>
      <c r="F84" s="7" t="s">
        <v>567</v>
      </c>
      <c r="G84" s="7" t="s">
        <v>714</v>
      </c>
      <c r="H84" s="7" t="s">
        <v>569</v>
      </c>
      <c r="I84" s="7" t="s">
        <v>570</v>
      </c>
      <c r="J84" s="7" t="s">
        <v>571</v>
      </c>
      <c r="K84" s="7" t="s">
        <v>572</v>
      </c>
      <c r="L84" s="7" t="s">
        <v>573</v>
      </c>
      <c r="M84" s="7" t="s">
        <v>574</v>
      </c>
      <c r="N84" s="7" t="s">
        <v>20</v>
      </c>
      <c r="O84" s="7" t="s">
        <v>89</v>
      </c>
      <c r="P84" s="7" t="s">
        <v>575</v>
      </c>
      <c r="Q84" s="7" t="s">
        <v>715</v>
      </c>
      <c r="R84" s="7" t="n">
        <f aca="false">VALUE(LEFT(Q84,4))</f>
        <v>1893</v>
      </c>
      <c r="S84" s="7" t="n">
        <f aca="false">VALUE(MID(Q84,6,2))</f>
        <v>3</v>
      </c>
      <c r="T84" s="7" t="n">
        <f aca="false">VALUE(RIGHT(Q84,2))</f>
        <v>9</v>
      </c>
      <c r="U84" s="7" t="s">
        <v>331</v>
      </c>
      <c r="V84" s="7" t="s">
        <v>332</v>
      </c>
    </row>
    <row r="85" customFormat="false" ht="34.5" hidden="false" customHeight="true" outlineLevel="0" collapsed="false">
      <c r="A85" s="7" t="n">
        <v>84</v>
      </c>
      <c r="B85" s="7" t="s">
        <v>716</v>
      </c>
      <c r="C85" s="7" t="s">
        <v>716</v>
      </c>
      <c r="D85" s="7" t="n">
        <f aca="false">VALUE(LEFT(B85,4))</f>
        <v>1893</v>
      </c>
      <c r="E85" s="7" t="n">
        <f aca="false">INT((D85-1)/100)+1</f>
        <v>19</v>
      </c>
      <c r="F85" s="7" t="s">
        <v>81</v>
      </c>
      <c r="G85" s="7" t="s">
        <v>717</v>
      </c>
      <c r="H85" s="7" t="s">
        <v>134</v>
      </c>
      <c r="I85" s="7" t="s">
        <v>718</v>
      </c>
      <c r="J85" s="7" t="s">
        <v>346</v>
      </c>
      <c r="K85" s="7" t="s">
        <v>719</v>
      </c>
      <c r="L85" s="7" t="s">
        <v>439</v>
      </c>
      <c r="M85" s="7"/>
      <c r="N85" s="7" t="s">
        <v>20</v>
      </c>
      <c r="O85" s="7" t="s">
        <v>108</v>
      </c>
      <c r="P85" s="7"/>
      <c r="Q85" s="7" t="s">
        <v>716</v>
      </c>
      <c r="R85" s="7" t="n">
        <f aca="false">VALUE(LEFT(Q85,4))</f>
        <v>1893</v>
      </c>
      <c r="S85" s="7" t="n">
        <f aca="false">VALUE(MID(Q85,6,2))</f>
        <v>8</v>
      </c>
      <c r="T85" s="7" t="n">
        <f aca="false">VALUE(RIGHT(Q85,2))</f>
        <v>24</v>
      </c>
      <c r="U85" s="7" t="s">
        <v>91</v>
      </c>
      <c r="V85" s="7" t="s">
        <v>92</v>
      </c>
    </row>
    <row r="86" customFormat="false" ht="23.25" hidden="false" customHeight="true" outlineLevel="0" collapsed="false">
      <c r="A86" s="7" t="n">
        <v>85</v>
      </c>
      <c r="B86" s="7" t="s">
        <v>720</v>
      </c>
      <c r="C86" s="7" t="s">
        <v>721</v>
      </c>
      <c r="D86" s="7" t="n">
        <f aca="false">VALUE(LEFT(B86,4))</f>
        <v>1896</v>
      </c>
      <c r="E86" s="7" t="n">
        <f aca="false">INT((D86-1)/100)+1</f>
        <v>19</v>
      </c>
      <c r="F86" s="7" t="s">
        <v>722</v>
      </c>
      <c r="G86" s="7" t="s">
        <v>723</v>
      </c>
      <c r="H86" s="7" t="s">
        <v>254</v>
      </c>
      <c r="I86" s="7" t="s">
        <v>724</v>
      </c>
      <c r="J86" s="7" t="s">
        <v>725</v>
      </c>
      <c r="K86" s="7" t="s">
        <v>726</v>
      </c>
      <c r="L86" s="7" t="s">
        <v>583</v>
      </c>
      <c r="M86" s="7"/>
      <c r="N86" s="7" t="s">
        <v>18</v>
      </c>
      <c r="O86" s="7" t="s">
        <v>108</v>
      </c>
      <c r="P86" s="7" t="s">
        <v>727</v>
      </c>
      <c r="Q86" s="7" t="s">
        <v>728</v>
      </c>
      <c r="R86" s="7" t="n">
        <f aca="false">VALUE(LEFT(Q86,4))</f>
        <v>1896</v>
      </c>
      <c r="S86" s="7" t="n">
        <f aca="false">VALUE(MID(Q86,6,2))</f>
        <v>8</v>
      </c>
      <c r="T86" s="7" t="n">
        <f aca="false">VALUE(RIGHT(Q86,2))</f>
        <v>10</v>
      </c>
      <c r="U86" s="7" t="s">
        <v>729</v>
      </c>
      <c r="V86" s="7" t="s">
        <v>730</v>
      </c>
    </row>
    <row r="87" customFormat="false" ht="23.25" hidden="false" customHeight="true" outlineLevel="0" collapsed="false">
      <c r="A87" s="7" t="n">
        <v>86</v>
      </c>
      <c r="B87" s="7" t="s">
        <v>731</v>
      </c>
      <c r="C87" s="7" t="s">
        <v>732</v>
      </c>
      <c r="D87" s="7" t="n">
        <f aca="false">VALUE(LEFT(B87,4))</f>
        <v>1899</v>
      </c>
      <c r="E87" s="7" t="n">
        <f aca="false">INT((D87-1)/100)+1</f>
        <v>19</v>
      </c>
      <c r="F87" s="7" t="s">
        <v>733</v>
      </c>
      <c r="G87" s="7" t="s">
        <v>734</v>
      </c>
      <c r="H87" s="7" t="s">
        <v>735</v>
      </c>
      <c r="I87" s="7" t="s">
        <v>736</v>
      </c>
      <c r="J87" s="7" t="s">
        <v>737</v>
      </c>
      <c r="K87" s="7" t="s">
        <v>738</v>
      </c>
      <c r="L87" s="7" t="s">
        <v>739</v>
      </c>
      <c r="M87" s="7"/>
      <c r="N87" s="7" t="s">
        <v>18</v>
      </c>
      <c r="O87" s="7" t="s">
        <v>108</v>
      </c>
      <c r="P87" s="7" t="s">
        <v>740</v>
      </c>
      <c r="Q87" s="7" t="s">
        <v>741</v>
      </c>
      <c r="R87" s="7" t="n">
        <f aca="false">VALUE(LEFT(Q87,4))</f>
        <v>1899</v>
      </c>
      <c r="S87" s="7" t="n">
        <f aca="false">VALUE(MID(Q87,6,2))</f>
        <v>2</v>
      </c>
      <c r="T87" s="7" t="n">
        <f aca="false">VALUE(RIGHT(Q87,2))</f>
        <v>10</v>
      </c>
      <c r="U87" s="7" t="s">
        <v>139</v>
      </c>
      <c r="V87" s="7" t="s">
        <v>742</v>
      </c>
    </row>
    <row r="88" customFormat="false" ht="45.75" hidden="false" customHeight="true" outlineLevel="0" collapsed="false">
      <c r="A88" s="7" t="n">
        <v>87</v>
      </c>
      <c r="B88" s="7" t="s">
        <v>743</v>
      </c>
      <c r="C88" s="7" t="s">
        <v>744</v>
      </c>
      <c r="D88" s="7" t="n">
        <f aca="false">VALUE(LEFT(B88,4))</f>
        <v>1900</v>
      </c>
      <c r="E88" s="7" t="n">
        <f aca="false">INT((D88-1)/100)+1</f>
        <v>19</v>
      </c>
      <c r="F88" s="7" t="s">
        <v>745</v>
      </c>
      <c r="G88" s="7" t="s">
        <v>746</v>
      </c>
      <c r="H88" s="7" t="s">
        <v>747</v>
      </c>
      <c r="I88" s="7" t="s">
        <v>748</v>
      </c>
      <c r="J88" s="7" t="s">
        <v>749</v>
      </c>
      <c r="K88" s="7" t="s">
        <v>750</v>
      </c>
      <c r="L88" s="7" t="s">
        <v>751</v>
      </c>
      <c r="M88" s="7" t="s">
        <v>752</v>
      </c>
      <c r="N88" s="7" t="s">
        <v>20</v>
      </c>
      <c r="O88" s="7" t="s">
        <v>108</v>
      </c>
      <c r="P88" s="7" t="s">
        <v>753</v>
      </c>
      <c r="Q88" s="7" t="s">
        <v>744</v>
      </c>
      <c r="R88" s="7" t="n">
        <f aca="false">VALUE(LEFT(Q88,4))</f>
        <v>2023</v>
      </c>
      <c r="S88" s="7" t="n">
        <f aca="false">VALUE(MID(Q88,6,2))</f>
        <v>3</v>
      </c>
      <c r="T88" s="7" t="n">
        <f aca="false">VALUE(RIGHT(Q88,2))</f>
        <v>10</v>
      </c>
      <c r="U88" s="7" t="s">
        <v>352</v>
      </c>
      <c r="V88" s="7" t="s">
        <v>754</v>
      </c>
    </row>
    <row r="89" customFormat="false" ht="23.25" hidden="false" customHeight="true" outlineLevel="0" collapsed="false">
      <c r="A89" s="7" t="n">
        <v>88</v>
      </c>
      <c r="B89" s="7" t="s">
        <v>755</v>
      </c>
      <c r="C89" s="7" t="s">
        <v>756</v>
      </c>
      <c r="D89" s="7" t="n">
        <f aca="false">VALUE(LEFT(B89,4))</f>
        <v>1903</v>
      </c>
      <c r="E89" s="7" t="n">
        <f aca="false">INT((D89-1)/100)+1</f>
        <v>20</v>
      </c>
      <c r="F89" s="7" t="s">
        <v>567</v>
      </c>
      <c r="G89" s="7" t="s">
        <v>757</v>
      </c>
      <c r="H89" s="7" t="s">
        <v>758</v>
      </c>
      <c r="I89" s="7" t="s">
        <v>759</v>
      </c>
      <c r="J89" s="7" t="s">
        <v>760</v>
      </c>
      <c r="K89" s="7" t="s">
        <v>761</v>
      </c>
      <c r="L89" s="7" t="s">
        <v>762</v>
      </c>
      <c r="M89" s="7" t="s">
        <v>763</v>
      </c>
      <c r="N89" s="7" t="s">
        <v>18</v>
      </c>
      <c r="O89" s="7" t="s">
        <v>89</v>
      </c>
      <c r="P89" s="7"/>
      <c r="Q89" s="7" t="s">
        <v>764</v>
      </c>
      <c r="R89" s="7" t="n">
        <f aca="false">VALUE(LEFT(Q89,4))</f>
        <v>1903</v>
      </c>
      <c r="S89" s="7" t="n">
        <f aca="false">VALUE(MID(Q89,6,2))</f>
        <v>2</v>
      </c>
      <c r="T89" s="7" t="n">
        <f aca="false">VALUE(RIGHT(Q89,2))</f>
        <v>16</v>
      </c>
      <c r="U89" s="7" t="s">
        <v>128</v>
      </c>
      <c r="V89" s="7" t="s">
        <v>339</v>
      </c>
    </row>
    <row r="90" customFormat="false" ht="23.25" hidden="false" customHeight="true" outlineLevel="0" collapsed="false">
      <c r="A90" s="7" t="n">
        <v>89</v>
      </c>
      <c r="B90" s="7" t="s">
        <v>765</v>
      </c>
      <c r="C90" s="7" t="s">
        <v>766</v>
      </c>
      <c r="D90" s="7" t="n">
        <f aca="false">VALUE(LEFT(B90,4))</f>
        <v>1903</v>
      </c>
      <c r="E90" s="7" t="n">
        <f aca="false">INT((D90-1)/100)+1</f>
        <v>20</v>
      </c>
      <c r="F90" s="7" t="s">
        <v>143</v>
      </c>
      <c r="G90" s="7" t="s">
        <v>767</v>
      </c>
      <c r="H90" s="7" t="s">
        <v>768</v>
      </c>
      <c r="I90" s="7" t="s">
        <v>769</v>
      </c>
      <c r="J90" s="7" t="s">
        <v>737</v>
      </c>
      <c r="K90" s="7" t="s">
        <v>770</v>
      </c>
      <c r="L90" s="7" t="s">
        <v>771</v>
      </c>
      <c r="M90" s="7"/>
      <c r="N90" s="7" t="s">
        <v>18</v>
      </c>
      <c r="O90" s="7" t="s">
        <v>89</v>
      </c>
      <c r="P90" s="7" t="s">
        <v>772</v>
      </c>
      <c r="Q90" s="7" t="s">
        <v>765</v>
      </c>
      <c r="R90" s="7" t="n">
        <f aca="false">VALUE(LEFT(Q90,4))</f>
        <v>1903</v>
      </c>
      <c r="S90" s="7" t="n">
        <f aca="false">VALUE(MID(Q90,6,2))</f>
        <v>10</v>
      </c>
      <c r="T90" s="7" t="n">
        <f aca="false">VALUE(RIGHT(Q90,2))</f>
        <v>8</v>
      </c>
      <c r="U90" s="7" t="s">
        <v>139</v>
      </c>
      <c r="V90" s="7" t="s">
        <v>140</v>
      </c>
    </row>
    <row r="91" customFormat="false" ht="23.25" hidden="false" customHeight="true" outlineLevel="0" collapsed="false">
      <c r="A91" s="7" t="n">
        <v>90</v>
      </c>
      <c r="B91" s="7" t="s">
        <v>773</v>
      </c>
      <c r="C91" s="7" t="s">
        <v>774</v>
      </c>
      <c r="D91" s="7" t="n">
        <f aca="false">VALUE(LEFT(B91,4))</f>
        <v>1911</v>
      </c>
      <c r="E91" s="7" t="n">
        <f aca="false">INT((D91-1)/100)+1</f>
        <v>20</v>
      </c>
      <c r="F91" s="7" t="s">
        <v>722</v>
      </c>
      <c r="G91" s="7" t="s">
        <v>775</v>
      </c>
      <c r="H91" s="7" t="s">
        <v>254</v>
      </c>
      <c r="I91" s="7" t="s">
        <v>776</v>
      </c>
      <c r="J91" s="7" t="s">
        <v>324</v>
      </c>
      <c r="K91" s="7" t="s">
        <v>777</v>
      </c>
      <c r="L91" s="7" t="s">
        <v>778</v>
      </c>
      <c r="M91" s="7"/>
      <c r="N91" s="7" t="s">
        <v>16</v>
      </c>
      <c r="O91" s="7" t="s">
        <v>89</v>
      </c>
      <c r="P91" s="7" t="s">
        <v>779</v>
      </c>
      <c r="Q91" s="7" t="s">
        <v>773</v>
      </c>
      <c r="R91" s="7" t="n">
        <f aca="false">VALUE(LEFT(Q91,4))</f>
        <v>1911</v>
      </c>
      <c r="S91" s="7" t="n">
        <f aca="false">VALUE(MID(Q91,6,2))</f>
        <v>7</v>
      </c>
      <c r="T91" s="7" t="n">
        <f aca="false">VALUE(RIGHT(Q91,2))</f>
        <v>3</v>
      </c>
      <c r="U91" s="7" t="s">
        <v>139</v>
      </c>
      <c r="V91" s="7" t="s">
        <v>140</v>
      </c>
    </row>
    <row r="92" customFormat="false" ht="23.25" hidden="false" customHeight="true" outlineLevel="0" collapsed="false">
      <c r="A92" s="7" t="n">
        <v>91</v>
      </c>
      <c r="B92" s="7" t="s">
        <v>780</v>
      </c>
      <c r="C92" s="7" t="s">
        <v>780</v>
      </c>
      <c r="D92" s="7" t="n">
        <f aca="false">VALUE(LEFT(B92,4))</f>
        <v>1912</v>
      </c>
      <c r="E92" s="7" t="n">
        <f aca="false">INT((D92-1)/100)+1</f>
        <v>20</v>
      </c>
      <c r="F92" s="7" t="s">
        <v>567</v>
      </c>
      <c r="G92" s="7" t="s">
        <v>781</v>
      </c>
      <c r="H92" s="7" t="s">
        <v>782</v>
      </c>
      <c r="I92" s="7" t="s">
        <v>783</v>
      </c>
      <c r="J92" s="7" t="s">
        <v>346</v>
      </c>
      <c r="K92" s="7" t="s">
        <v>784</v>
      </c>
      <c r="L92" s="7" t="s">
        <v>583</v>
      </c>
      <c r="M92" s="7"/>
      <c r="N92" s="7" t="s">
        <v>18</v>
      </c>
      <c r="O92" s="7" t="s">
        <v>108</v>
      </c>
      <c r="P92" s="7" t="s">
        <v>785</v>
      </c>
      <c r="Q92" s="7" t="s">
        <v>780</v>
      </c>
      <c r="R92" s="7" t="n">
        <f aca="false">VALUE(LEFT(Q92,4))</f>
        <v>1912</v>
      </c>
      <c r="S92" s="7" t="n">
        <f aca="false">VALUE(MID(Q92,6,2))</f>
        <v>2</v>
      </c>
      <c r="T92" s="7" t="n">
        <f aca="false">VALUE(RIGHT(Q92,2))</f>
        <v>4</v>
      </c>
      <c r="U92" s="7" t="s">
        <v>91</v>
      </c>
      <c r="V92" s="7" t="s">
        <v>92</v>
      </c>
    </row>
    <row r="93" customFormat="false" ht="34.5" hidden="false" customHeight="true" outlineLevel="0" collapsed="false">
      <c r="A93" s="7" t="n">
        <v>92</v>
      </c>
      <c r="B93" s="7" t="s">
        <v>786</v>
      </c>
      <c r="C93" s="7" t="s">
        <v>787</v>
      </c>
      <c r="D93" s="7" t="n">
        <f aca="false">VALUE(LEFT(B93,4))</f>
        <v>1913</v>
      </c>
      <c r="E93" s="7" t="n">
        <f aca="false">INT((D93-1)/100)+1</f>
        <v>20</v>
      </c>
      <c r="F93" s="7" t="s">
        <v>788</v>
      </c>
      <c r="G93" s="7" t="s">
        <v>789</v>
      </c>
      <c r="H93" s="7" t="s">
        <v>790</v>
      </c>
      <c r="I93" s="7" t="s">
        <v>791</v>
      </c>
      <c r="J93" s="7" t="s">
        <v>792</v>
      </c>
      <c r="K93" s="7" t="s">
        <v>793</v>
      </c>
      <c r="L93" s="7" t="s">
        <v>699</v>
      </c>
      <c r="M93" s="7" t="s">
        <v>642</v>
      </c>
      <c r="N93" s="7" t="s">
        <v>16</v>
      </c>
      <c r="O93" s="7" t="s">
        <v>89</v>
      </c>
      <c r="P93" s="7"/>
      <c r="Q93" s="7" t="s">
        <v>786</v>
      </c>
      <c r="R93" s="7" t="n">
        <f aca="false">VALUE(LEFT(Q93,4))</f>
        <v>1913</v>
      </c>
      <c r="S93" s="7" t="n">
        <f aca="false">VALUE(MID(Q93,6,2))</f>
        <v>3</v>
      </c>
      <c r="T93" s="7" t="n">
        <f aca="false">VALUE(RIGHT(Q93,2))</f>
        <v>25</v>
      </c>
      <c r="U93" s="7" t="s">
        <v>139</v>
      </c>
      <c r="V93" s="7" t="s">
        <v>140</v>
      </c>
    </row>
    <row r="94" customFormat="false" ht="23.25" hidden="false" customHeight="true" outlineLevel="0" collapsed="false">
      <c r="A94" s="7" t="n">
        <v>93</v>
      </c>
      <c r="B94" s="7" t="s">
        <v>794</v>
      </c>
      <c r="C94" s="7" t="s">
        <v>794</v>
      </c>
      <c r="D94" s="7" t="n">
        <f aca="false">VALUE(LEFT(B94,4))</f>
        <v>1914</v>
      </c>
      <c r="E94" s="7" t="n">
        <f aca="false">INT((D94-1)/100)+1</f>
        <v>20</v>
      </c>
      <c r="F94" s="7" t="s">
        <v>233</v>
      </c>
      <c r="G94" s="7" t="s">
        <v>795</v>
      </c>
      <c r="H94" s="7" t="s">
        <v>796</v>
      </c>
      <c r="I94" s="7" t="s">
        <v>797</v>
      </c>
      <c r="J94" s="7" t="s">
        <v>324</v>
      </c>
      <c r="K94" s="7" t="s">
        <v>798</v>
      </c>
      <c r="L94" s="7" t="s">
        <v>799</v>
      </c>
      <c r="M94" s="7" t="s">
        <v>642</v>
      </c>
      <c r="N94" s="7" t="s">
        <v>16</v>
      </c>
      <c r="O94" s="7" t="s">
        <v>89</v>
      </c>
      <c r="P94" s="7" t="s">
        <v>800</v>
      </c>
      <c r="Q94" s="7" t="s">
        <v>794</v>
      </c>
      <c r="R94" s="7" t="n">
        <f aca="false">VALUE(LEFT(Q94,4))</f>
        <v>1914</v>
      </c>
      <c r="S94" s="7" t="n">
        <f aca="false">VALUE(MID(Q94,6,2))</f>
        <v>2</v>
      </c>
      <c r="T94" s="7" t="n">
        <f aca="false">VALUE(RIGHT(Q94,2))</f>
        <v>14</v>
      </c>
      <c r="U94" s="7" t="s">
        <v>91</v>
      </c>
      <c r="V94" s="7" t="s">
        <v>92</v>
      </c>
    </row>
    <row r="95" customFormat="false" ht="23.25" hidden="false" customHeight="true" outlineLevel="0" collapsed="false">
      <c r="A95" s="7" t="n">
        <v>94</v>
      </c>
      <c r="B95" s="7" t="s">
        <v>801</v>
      </c>
      <c r="C95" s="7" t="s">
        <v>801</v>
      </c>
      <c r="D95" s="7" t="n">
        <f aca="false">VALUE(LEFT(B95,4))</f>
        <v>1914</v>
      </c>
      <c r="E95" s="7" t="n">
        <f aca="false">INT((D95-1)/100)+1</f>
        <v>20</v>
      </c>
      <c r="F95" s="7" t="s">
        <v>635</v>
      </c>
      <c r="G95" s="7" t="s">
        <v>802</v>
      </c>
      <c r="H95" s="7" t="s">
        <v>803</v>
      </c>
      <c r="I95" s="7" t="s">
        <v>804</v>
      </c>
      <c r="J95" s="7" t="s">
        <v>805</v>
      </c>
      <c r="K95" s="7" t="s">
        <v>806</v>
      </c>
      <c r="L95" s="7" t="s">
        <v>699</v>
      </c>
      <c r="M95" s="7" t="s">
        <v>642</v>
      </c>
      <c r="N95" s="7" t="s">
        <v>16</v>
      </c>
      <c r="O95" s="7" t="s">
        <v>89</v>
      </c>
      <c r="P95" s="7"/>
      <c r="Q95" s="7" t="s">
        <v>801</v>
      </c>
      <c r="R95" s="7" t="n">
        <f aca="false">VALUE(LEFT(Q95,4))</f>
        <v>1914</v>
      </c>
      <c r="S95" s="7" t="n">
        <f aca="false">VALUE(MID(Q95,6,2))</f>
        <v>3</v>
      </c>
      <c r="T95" s="7" t="n">
        <f aca="false">VALUE(RIGHT(Q95,2))</f>
        <v>28</v>
      </c>
      <c r="U95" s="7" t="s">
        <v>91</v>
      </c>
      <c r="V95" s="7" t="s">
        <v>92</v>
      </c>
    </row>
    <row r="96" customFormat="false" ht="23.25" hidden="false" customHeight="true" outlineLevel="0" collapsed="false">
      <c r="A96" s="7" t="n">
        <v>95</v>
      </c>
      <c r="B96" s="7" t="s">
        <v>807</v>
      </c>
      <c r="C96" s="7" t="s">
        <v>808</v>
      </c>
      <c r="D96" s="7" t="n">
        <f aca="false">VALUE(LEFT(B96,4))</f>
        <v>1915</v>
      </c>
      <c r="E96" s="7" t="n">
        <f aca="false">INT((D96-1)/100)+1</f>
        <v>20</v>
      </c>
      <c r="F96" s="7" t="s">
        <v>153</v>
      </c>
      <c r="G96" s="7" t="s">
        <v>809</v>
      </c>
      <c r="H96" s="7" t="s">
        <v>810</v>
      </c>
      <c r="I96" s="7" t="s">
        <v>811</v>
      </c>
      <c r="J96" s="7" t="s">
        <v>324</v>
      </c>
      <c r="K96" s="7" t="s">
        <v>812</v>
      </c>
      <c r="L96" s="7" t="s">
        <v>699</v>
      </c>
      <c r="M96" s="7" t="s">
        <v>642</v>
      </c>
      <c r="N96" s="7" t="s">
        <v>16</v>
      </c>
      <c r="O96" s="7" t="s">
        <v>89</v>
      </c>
      <c r="P96" s="7"/>
      <c r="Q96" s="7" t="s">
        <v>807</v>
      </c>
      <c r="R96" s="7" t="n">
        <f aca="false">VALUE(LEFT(Q96,4))</f>
        <v>1915</v>
      </c>
      <c r="S96" s="7" t="n">
        <f aca="false">VALUE(MID(Q96,6,2))</f>
        <v>12</v>
      </c>
      <c r="T96" s="7" t="n">
        <f aca="false">VALUE(RIGHT(Q96,2))</f>
        <v>13</v>
      </c>
      <c r="U96" s="7" t="s">
        <v>139</v>
      </c>
      <c r="V96" s="7" t="s">
        <v>140</v>
      </c>
    </row>
    <row r="97" customFormat="false" ht="23.25" hidden="false" customHeight="true" outlineLevel="0" collapsed="false">
      <c r="A97" s="7" t="n">
        <v>96</v>
      </c>
      <c r="B97" s="7" t="s">
        <v>813</v>
      </c>
      <c r="C97" s="7" t="s">
        <v>814</v>
      </c>
      <c r="D97" s="7" t="n">
        <f aca="false">VALUE(LEFT(B97,4))</f>
        <v>1917</v>
      </c>
      <c r="E97" s="7" t="n">
        <f aca="false">INT((D97-1)/100)+1</f>
        <v>20</v>
      </c>
      <c r="F97" s="7" t="s">
        <v>120</v>
      </c>
      <c r="G97" s="7" t="s">
        <v>815</v>
      </c>
      <c r="H97" s="7" t="s">
        <v>254</v>
      </c>
      <c r="I97" s="7" t="s">
        <v>816</v>
      </c>
      <c r="J97" s="7" t="s">
        <v>737</v>
      </c>
      <c r="K97" s="7" t="s">
        <v>817</v>
      </c>
      <c r="L97" s="7" t="s">
        <v>583</v>
      </c>
      <c r="M97" s="7"/>
      <c r="N97" s="7" t="s">
        <v>18</v>
      </c>
      <c r="O97" s="7" t="s">
        <v>108</v>
      </c>
      <c r="P97" s="7"/>
      <c r="Q97" s="7" t="s">
        <v>818</v>
      </c>
      <c r="R97" s="7" t="n">
        <f aca="false">VALUE(LEFT(Q97,4))</f>
        <v>1917</v>
      </c>
      <c r="S97" s="7" t="n">
        <f aca="false">VALUE(MID(Q97,6,2))</f>
        <v>12</v>
      </c>
      <c r="T97" s="7" t="n">
        <f aca="false">VALUE(RIGHT(Q97,2))</f>
        <v>30</v>
      </c>
      <c r="U97" s="7" t="s">
        <v>139</v>
      </c>
      <c r="V97" s="7" t="s">
        <v>819</v>
      </c>
    </row>
    <row r="98" customFormat="false" ht="23.25" hidden="false" customHeight="true" outlineLevel="0" collapsed="false">
      <c r="A98" s="7" t="n">
        <v>97</v>
      </c>
      <c r="B98" s="7" t="s">
        <v>820</v>
      </c>
      <c r="C98" s="7" t="s">
        <v>821</v>
      </c>
      <c r="D98" s="7" t="n">
        <f aca="false">VALUE(LEFT(B98,4))</f>
        <v>1920</v>
      </c>
      <c r="E98" s="7" t="n">
        <f aca="false">INT((D98-1)/100)+1</f>
        <v>20</v>
      </c>
      <c r="F98" s="7" t="s">
        <v>173</v>
      </c>
      <c r="G98" s="7" t="s">
        <v>822</v>
      </c>
      <c r="H98" s="7" t="s">
        <v>580</v>
      </c>
      <c r="I98" s="7" t="s">
        <v>823</v>
      </c>
      <c r="J98" s="7" t="s">
        <v>725</v>
      </c>
      <c r="K98" s="7" t="s">
        <v>824</v>
      </c>
      <c r="L98" s="7" t="s">
        <v>583</v>
      </c>
      <c r="M98" s="7"/>
      <c r="N98" s="7" t="s">
        <v>18</v>
      </c>
      <c r="O98" s="7" t="s">
        <v>108</v>
      </c>
      <c r="P98" s="7"/>
      <c r="Q98" s="7" t="s">
        <v>820</v>
      </c>
      <c r="R98" s="7" t="n">
        <f aca="false">VALUE(LEFT(Q98,4))</f>
        <v>1920</v>
      </c>
      <c r="S98" s="7" t="n">
        <f aca="false">VALUE(MID(Q98,6,2))</f>
        <v>2</v>
      </c>
      <c r="T98" s="7" t="n">
        <f aca="false">VALUE(RIGHT(Q98,2))</f>
        <v>4</v>
      </c>
      <c r="U98" s="7" t="s">
        <v>139</v>
      </c>
      <c r="V98" s="7" t="s">
        <v>140</v>
      </c>
    </row>
    <row r="99" customFormat="false" ht="23.25" hidden="false" customHeight="true" outlineLevel="0" collapsed="false">
      <c r="A99" s="7" t="n">
        <v>98</v>
      </c>
      <c r="B99" s="7" t="s">
        <v>825</v>
      </c>
      <c r="C99" s="7" t="s">
        <v>826</v>
      </c>
      <c r="D99" s="7" t="n">
        <f aca="false">VALUE(LEFT(B99,4))</f>
        <v>1927</v>
      </c>
      <c r="E99" s="7" t="n">
        <f aca="false">INT((D99-1)/100)+1</f>
        <v>20</v>
      </c>
      <c r="F99" s="7" t="s">
        <v>669</v>
      </c>
      <c r="G99" s="7" t="s">
        <v>827</v>
      </c>
      <c r="H99" s="7" t="s">
        <v>828</v>
      </c>
      <c r="I99" s="7" t="s">
        <v>829</v>
      </c>
      <c r="J99" s="7" t="s">
        <v>637</v>
      </c>
      <c r="K99" s="7" t="s">
        <v>830</v>
      </c>
      <c r="L99" s="7" t="s">
        <v>699</v>
      </c>
      <c r="M99" s="7" t="s">
        <v>642</v>
      </c>
      <c r="N99" s="7" t="s">
        <v>16</v>
      </c>
      <c r="O99" s="7" t="s">
        <v>89</v>
      </c>
      <c r="P99" s="7"/>
      <c r="Q99" s="7" t="s">
        <v>825</v>
      </c>
      <c r="R99" s="7" t="n">
        <f aca="false">VALUE(LEFT(Q99,4))</f>
        <v>1927</v>
      </c>
      <c r="S99" s="7" t="n">
        <f aca="false">VALUE(MID(Q99,6,2))</f>
        <v>11</v>
      </c>
      <c r="T99" s="7" t="n">
        <f aca="false">VALUE(RIGHT(Q99,2))</f>
        <v>3</v>
      </c>
      <c r="U99" s="7" t="s">
        <v>139</v>
      </c>
      <c r="V99" s="7" t="s">
        <v>140</v>
      </c>
    </row>
    <row r="100" customFormat="false" ht="34.5" hidden="false" customHeight="true" outlineLevel="0" collapsed="false">
      <c r="A100" s="7" t="n">
        <v>99</v>
      </c>
      <c r="B100" s="7" t="s">
        <v>831</v>
      </c>
      <c r="C100" s="7" t="s">
        <v>831</v>
      </c>
      <c r="D100" s="7" t="n">
        <f aca="false">VALUE(LEFT(B100,4))</f>
        <v>1928</v>
      </c>
      <c r="E100" s="7" t="n">
        <f aca="false">INT((D100-1)/100)+1</f>
        <v>20</v>
      </c>
      <c r="F100" s="7" t="s">
        <v>567</v>
      </c>
      <c r="G100" s="7" t="s">
        <v>832</v>
      </c>
      <c r="H100" s="7" t="s">
        <v>833</v>
      </c>
      <c r="I100" s="7" t="s">
        <v>834</v>
      </c>
      <c r="J100" s="7" t="s">
        <v>835</v>
      </c>
      <c r="K100" s="7" t="s">
        <v>836</v>
      </c>
      <c r="L100" s="7" t="s">
        <v>837</v>
      </c>
      <c r="M100" s="7" t="s">
        <v>838</v>
      </c>
      <c r="N100" s="7" t="s">
        <v>20</v>
      </c>
      <c r="O100" s="7" t="s">
        <v>89</v>
      </c>
      <c r="P100" s="7" t="s">
        <v>839</v>
      </c>
      <c r="Q100" s="7" t="s">
        <v>831</v>
      </c>
      <c r="R100" s="7" t="n">
        <f aca="false">VALUE(LEFT(Q100,4))</f>
        <v>1928</v>
      </c>
      <c r="S100" s="7" t="n">
        <f aca="false">VALUE(MID(Q100,6,2))</f>
        <v>1</v>
      </c>
      <c r="T100" s="7" t="n">
        <f aca="false">VALUE(RIGHT(Q100,2))</f>
        <v>31</v>
      </c>
      <c r="U100" s="7" t="s">
        <v>91</v>
      </c>
      <c r="V100" s="7" t="s">
        <v>92</v>
      </c>
    </row>
    <row r="101" customFormat="false" ht="23.25" hidden="false" customHeight="true" outlineLevel="0" collapsed="false">
      <c r="A101" s="7" t="n">
        <v>100</v>
      </c>
      <c r="B101" s="7" t="s">
        <v>840</v>
      </c>
      <c r="C101" s="7" t="s">
        <v>841</v>
      </c>
      <c r="D101" s="7" t="n">
        <f aca="false">VALUE(LEFT(B101,4))</f>
        <v>1929</v>
      </c>
      <c r="E101" s="7" t="n">
        <f aca="false">INT((D101-1)/100)+1</f>
        <v>20</v>
      </c>
      <c r="F101" s="7" t="s">
        <v>842</v>
      </c>
      <c r="G101" s="7" t="s">
        <v>843</v>
      </c>
      <c r="H101" s="7" t="s">
        <v>844</v>
      </c>
      <c r="I101" s="7" t="s">
        <v>845</v>
      </c>
      <c r="J101" s="7" t="s">
        <v>737</v>
      </c>
      <c r="K101" s="7" t="s">
        <v>846</v>
      </c>
      <c r="L101" s="7" t="s">
        <v>699</v>
      </c>
      <c r="M101" s="7" t="s">
        <v>642</v>
      </c>
      <c r="N101" s="7" t="s">
        <v>20</v>
      </c>
      <c r="O101" s="7" t="s">
        <v>89</v>
      </c>
      <c r="P101" s="7" t="s">
        <v>847</v>
      </c>
      <c r="Q101" s="7" t="s">
        <v>848</v>
      </c>
      <c r="R101" s="7" t="n">
        <f aca="false">VALUE(LEFT(Q101,4))</f>
        <v>1929</v>
      </c>
      <c r="S101" s="7" t="n">
        <f aca="false">VALUE(MID(Q101,6,2))</f>
        <v>7</v>
      </c>
      <c r="T101" s="7" t="n">
        <f aca="false">VALUE(RIGHT(Q101,2))</f>
        <v>1</v>
      </c>
      <c r="U101" s="7" t="s">
        <v>352</v>
      </c>
      <c r="V101" s="7" t="s">
        <v>849</v>
      </c>
    </row>
    <row r="102" customFormat="false" ht="23.25" hidden="false" customHeight="true" outlineLevel="0" collapsed="false">
      <c r="A102" s="7" t="n">
        <v>101</v>
      </c>
      <c r="B102" s="7" t="s">
        <v>850</v>
      </c>
      <c r="C102" s="7" t="s">
        <v>851</v>
      </c>
      <c r="D102" s="7" t="n">
        <f aca="false">VALUE(LEFT(B102,4))</f>
        <v>1930</v>
      </c>
      <c r="E102" s="7" t="n">
        <f aca="false">INT((D102-1)/100)+1</f>
        <v>20</v>
      </c>
      <c r="F102" s="7" t="s">
        <v>852</v>
      </c>
      <c r="G102" s="7" t="s">
        <v>853</v>
      </c>
      <c r="H102" s="7" t="s">
        <v>854</v>
      </c>
      <c r="I102" s="7" t="s">
        <v>855</v>
      </c>
      <c r="J102" s="7" t="s">
        <v>737</v>
      </c>
      <c r="K102" s="7" t="s">
        <v>856</v>
      </c>
      <c r="L102" s="7" t="s">
        <v>583</v>
      </c>
      <c r="M102" s="7"/>
      <c r="N102" s="7" t="s">
        <v>18</v>
      </c>
      <c r="O102" s="7" t="s">
        <v>108</v>
      </c>
      <c r="P102" s="7"/>
      <c r="Q102" s="7" t="s">
        <v>857</v>
      </c>
      <c r="R102" s="7" t="n">
        <f aca="false">VALUE(LEFT(Q102,4))</f>
        <v>1930</v>
      </c>
      <c r="S102" s="7" t="n">
        <f aca="false">VALUE(MID(Q102,6,2))</f>
        <v>8</v>
      </c>
      <c r="T102" s="7" t="n">
        <f aca="false">VALUE(RIGHT(Q102,2))</f>
        <v>15</v>
      </c>
      <c r="U102" s="7" t="s">
        <v>128</v>
      </c>
      <c r="V102" s="7" t="s">
        <v>858</v>
      </c>
    </row>
    <row r="103" customFormat="false" ht="23.25" hidden="false" customHeight="true" outlineLevel="0" collapsed="false">
      <c r="A103" s="7" t="n">
        <v>102</v>
      </c>
      <c r="B103" s="7" t="s">
        <v>859</v>
      </c>
      <c r="C103" s="7" t="s">
        <v>859</v>
      </c>
      <c r="D103" s="7" t="n">
        <f aca="false">VALUE(LEFT(B103,4))</f>
        <v>1934</v>
      </c>
      <c r="E103" s="7" t="n">
        <f aca="false">INT((D103-1)/100)+1</f>
        <v>20</v>
      </c>
      <c r="F103" s="7" t="s">
        <v>252</v>
      </c>
      <c r="G103" s="7" t="s">
        <v>860</v>
      </c>
      <c r="H103" s="7" t="s">
        <v>254</v>
      </c>
      <c r="I103" s="7" t="s">
        <v>861</v>
      </c>
      <c r="J103" s="7" t="s">
        <v>862</v>
      </c>
      <c r="K103" s="7" t="s">
        <v>863</v>
      </c>
      <c r="L103" s="7" t="s">
        <v>583</v>
      </c>
      <c r="M103" s="7"/>
      <c r="N103" s="7" t="s">
        <v>18</v>
      </c>
      <c r="O103" s="7" t="s">
        <v>108</v>
      </c>
      <c r="P103" s="7" t="s">
        <v>864</v>
      </c>
      <c r="Q103" s="7" t="s">
        <v>859</v>
      </c>
      <c r="R103" s="7" t="n">
        <f aca="false">VALUE(LEFT(Q103,4))</f>
        <v>1934</v>
      </c>
      <c r="S103" s="7" t="n">
        <f aca="false">VALUE(MID(Q103,6,2))</f>
        <v>2</v>
      </c>
      <c r="T103" s="7" t="n">
        <f aca="false">VALUE(RIGHT(Q103,2))</f>
        <v>9</v>
      </c>
      <c r="U103" s="7" t="s">
        <v>91</v>
      </c>
      <c r="V103" s="7" t="s">
        <v>92</v>
      </c>
    </row>
    <row r="104" customFormat="false" ht="23.25" hidden="false" customHeight="true" outlineLevel="0" collapsed="false">
      <c r="A104" s="7" t="n">
        <v>103</v>
      </c>
      <c r="B104" s="7" t="s">
        <v>865</v>
      </c>
      <c r="C104" s="7" t="s">
        <v>865</v>
      </c>
      <c r="D104" s="7" t="n">
        <f aca="false">VALUE(LEFT(B104,4))</f>
        <v>1935</v>
      </c>
      <c r="E104" s="7" t="n">
        <f aca="false">INT((D104-1)/100)+1</f>
        <v>20</v>
      </c>
      <c r="F104" s="7" t="s">
        <v>866</v>
      </c>
      <c r="G104" s="7" t="s">
        <v>867</v>
      </c>
      <c r="H104" s="7" t="s">
        <v>868</v>
      </c>
      <c r="I104" s="7" t="s">
        <v>869</v>
      </c>
      <c r="J104" s="7" t="s">
        <v>737</v>
      </c>
      <c r="K104" s="7" t="s">
        <v>870</v>
      </c>
      <c r="L104" s="7" t="s">
        <v>583</v>
      </c>
      <c r="M104" s="7"/>
      <c r="N104" s="7" t="s">
        <v>18</v>
      </c>
      <c r="O104" s="7" t="s">
        <v>108</v>
      </c>
      <c r="P104" s="7"/>
      <c r="Q104" s="7" t="s">
        <v>865</v>
      </c>
      <c r="R104" s="7" t="n">
        <f aca="false">VALUE(LEFT(Q104,4))</f>
        <v>1935</v>
      </c>
      <c r="S104" s="7" t="n">
        <f aca="false">VALUE(MID(Q104,6,2))</f>
        <v>7</v>
      </c>
      <c r="T104" s="7" t="n">
        <f aca="false">VALUE(RIGHT(Q104,2))</f>
        <v>8</v>
      </c>
      <c r="U104" s="7" t="s">
        <v>91</v>
      </c>
      <c r="V104" s="7" t="s">
        <v>92</v>
      </c>
    </row>
    <row r="105" customFormat="false" ht="23.25" hidden="false" customHeight="true" outlineLevel="0" collapsed="false">
      <c r="A105" s="7" t="n">
        <v>104</v>
      </c>
      <c r="B105" s="7" t="s">
        <v>871</v>
      </c>
      <c r="C105" s="7" t="s">
        <v>872</v>
      </c>
      <c r="D105" s="7" t="n">
        <f aca="false">VALUE(LEFT(B105,4))</f>
        <v>1936</v>
      </c>
      <c r="E105" s="7" t="n">
        <f aca="false">INT((D105-1)/100)+1</f>
        <v>20</v>
      </c>
      <c r="F105" s="7" t="s">
        <v>788</v>
      </c>
      <c r="G105" s="7" t="s">
        <v>873</v>
      </c>
      <c r="H105" s="7" t="s">
        <v>254</v>
      </c>
      <c r="I105" s="7" t="s">
        <v>874</v>
      </c>
      <c r="J105" s="7" t="s">
        <v>875</v>
      </c>
      <c r="K105" s="7" t="s">
        <v>876</v>
      </c>
      <c r="L105" s="7" t="s">
        <v>699</v>
      </c>
      <c r="M105" s="7" t="s">
        <v>642</v>
      </c>
      <c r="N105" s="7" t="s">
        <v>16</v>
      </c>
      <c r="O105" s="7" t="s">
        <v>89</v>
      </c>
      <c r="P105" s="7"/>
      <c r="Q105" s="7" t="s">
        <v>871</v>
      </c>
      <c r="R105" s="7" t="n">
        <f aca="false">VALUE(LEFT(Q105,4))</f>
        <v>1936</v>
      </c>
      <c r="S105" s="7" t="n">
        <f aca="false">VALUE(MID(Q105,6,2))</f>
        <v>3</v>
      </c>
      <c r="T105" s="7" t="n">
        <f aca="false">VALUE(RIGHT(Q105,2))</f>
        <v>12</v>
      </c>
      <c r="U105" s="7" t="s">
        <v>139</v>
      </c>
      <c r="V105" s="7" t="s">
        <v>140</v>
      </c>
    </row>
    <row r="106" customFormat="false" ht="15" hidden="false" customHeight="true" outlineLevel="0" collapsed="false">
      <c r="A106" s="7" t="n">
        <v>105</v>
      </c>
      <c r="B106" s="7" t="s">
        <v>877</v>
      </c>
      <c r="C106" s="7" t="s">
        <v>878</v>
      </c>
      <c r="D106" s="7" t="n">
        <f aca="false">VALUE(LEFT(B106,4))</f>
        <v>1936</v>
      </c>
      <c r="E106" s="7" t="n">
        <f aca="false">INT((D106-1)/100)+1</f>
        <v>20</v>
      </c>
      <c r="F106" s="7" t="s">
        <v>722</v>
      </c>
      <c r="G106" s="7" t="s">
        <v>879</v>
      </c>
      <c r="H106" s="7" t="s">
        <v>254</v>
      </c>
      <c r="I106" s="7" t="s">
        <v>880</v>
      </c>
      <c r="J106" s="7" t="s">
        <v>737</v>
      </c>
      <c r="K106" s="7" t="s">
        <v>881</v>
      </c>
      <c r="L106" s="7" t="s">
        <v>882</v>
      </c>
      <c r="M106" s="7"/>
      <c r="N106" s="7" t="s">
        <v>16</v>
      </c>
      <c r="O106" s="7" t="s">
        <v>89</v>
      </c>
      <c r="P106" s="7" t="s">
        <v>883</v>
      </c>
      <c r="Q106" s="7" t="s">
        <v>884</v>
      </c>
      <c r="R106" s="7" t="n">
        <f aca="false">VALUE(LEFT(Q106,4))</f>
        <v>1936</v>
      </c>
      <c r="S106" s="7" t="n">
        <f aca="false">VALUE(MID(Q106,6,2))</f>
        <v>7</v>
      </c>
      <c r="T106" s="7" t="n">
        <f aca="false">VALUE(RIGHT(Q106,2))</f>
        <v>16</v>
      </c>
      <c r="U106" s="7" t="s">
        <v>331</v>
      </c>
      <c r="V106" s="7" t="s">
        <v>332</v>
      </c>
    </row>
    <row r="107" customFormat="false" ht="23.25" hidden="false" customHeight="true" outlineLevel="0" collapsed="false">
      <c r="A107" s="7" t="n">
        <v>106</v>
      </c>
      <c r="B107" s="7" t="s">
        <v>885</v>
      </c>
      <c r="C107" s="7" t="s">
        <v>885</v>
      </c>
      <c r="D107" s="7" t="n">
        <f aca="false">VALUE(LEFT(B107,4))</f>
        <v>1938</v>
      </c>
      <c r="E107" s="7" t="n">
        <f aca="false">INT((D107-1)/100)+1</f>
        <v>20</v>
      </c>
      <c r="F107" s="7" t="s">
        <v>567</v>
      </c>
      <c r="G107" s="7" t="s">
        <v>886</v>
      </c>
      <c r="H107" s="7" t="s">
        <v>782</v>
      </c>
      <c r="I107" s="7" t="s">
        <v>887</v>
      </c>
      <c r="J107" s="7" t="s">
        <v>346</v>
      </c>
      <c r="K107" s="7" t="s">
        <v>888</v>
      </c>
      <c r="L107" s="7" t="s">
        <v>583</v>
      </c>
      <c r="M107" s="7"/>
      <c r="N107" s="7" t="s">
        <v>18</v>
      </c>
      <c r="O107" s="7" t="s">
        <v>108</v>
      </c>
      <c r="P107" s="7" t="s">
        <v>785</v>
      </c>
      <c r="Q107" s="7" t="s">
        <v>885</v>
      </c>
      <c r="R107" s="7" t="n">
        <f aca="false">VALUE(LEFT(Q107,4))</f>
        <v>1938</v>
      </c>
      <c r="S107" s="7" t="n">
        <f aca="false">VALUE(MID(Q107,6,2))</f>
        <v>1</v>
      </c>
      <c r="T107" s="7" t="n">
        <f aca="false">VALUE(RIGHT(Q107,2))</f>
        <v>27</v>
      </c>
      <c r="U107" s="7" t="s">
        <v>91</v>
      </c>
      <c r="V107" s="7" t="s">
        <v>92</v>
      </c>
    </row>
    <row r="108" customFormat="false" ht="23.25" hidden="false" customHeight="true" outlineLevel="0" collapsed="false">
      <c r="A108" s="7" t="n">
        <v>107</v>
      </c>
      <c r="B108" s="7" t="s">
        <v>889</v>
      </c>
      <c r="C108" s="7" t="s">
        <v>890</v>
      </c>
      <c r="D108" s="7" t="n">
        <f aca="false">VALUE(LEFT(B108,4))</f>
        <v>1938</v>
      </c>
      <c r="E108" s="7" t="n">
        <f aca="false">INT((D108-1)/100)+1</f>
        <v>20</v>
      </c>
      <c r="F108" s="7" t="s">
        <v>81</v>
      </c>
      <c r="G108" s="7" t="s">
        <v>891</v>
      </c>
      <c r="H108" s="7" t="s">
        <v>892</v>
      </c>
      <c r="I108" s="7" t="s">
        <v>893</v>
      </c>
      <c r="J108" s="7" t="s">
        <v>637</v>
      </c>
      <c r="K108" s="7" t="s">
        <v>894</v>
      </c>
      <c r="L108" s="7" t="s">
        <v>895</v>
      </c>
      <c r="M108" s="7" t="s">
        <v>642</v>
      </c>
      <c r="N108" s="7" t="s">
        <v>16</v>
      </c>
      <c r="O108" s="7" t="s">
        <v>89</v>
      </c>
      <c r="P108" s="7" t="s">
        <v>896</v>
      </c>
      <c r="Q108" s="7" t="s">
        <v>889</v>
      </c>
      <c r="R108" s="7" t="n">
        <f aca="false">VALUE(LEFT(Q108,4))</f>
        <v>1938</v>
      </c>
      <c r="S108" s="7" t="n">
        <f aca="false">VALUE(MID(Q108,6,2))</f>
        <v>9</v>
      </c>
      <c r="T108" s="7" t="n">
        <f aca="false">VALUE(RIGHT(Q108,2))</f>
        <v>21</v>
      </c>
      <c r="U108" s="7" t="s">
        <v>139</v>
      </c>
      <c r="V108" s="7" t="s">
        <v>140</v>
      </c>
    </row>
    <row r="109" customFormat="false" ht="34.5" hidden="false" customHeight="true" outlineLevel="0" collapsed="false">
      <c r="A109" s="7" t="n">
        <v>108</v>
      </c>
      <c r="B109" s="7" t="s">
        <v>897</v>
      </c>
      <c r="C109" s="7" t="s">
        <v>897</v>
      </c>
      <c r="D109" s="7" t="n">
        <f aca="false">VALUE(LEFT(B109,4))</f>
        <v>1939</v>
      </c>
      <c r="E109" s="7" t="n">
        <f aca="false">INT((D109-1)/100)+1</f>
        <v>20</v>
      </c>
      <c r="F109" s="7" t="s">
        <v>567</v>
      </c>
      <c r="G109" s="7" t="s">
        <v>898</v>
      </c>
      <c r="H109" s="7" t="s">
        <v>899</v>
      </c>
      <c r="I109" s="7" t="s">
        <v>900</v>
      </c>
      <c r="J109" s="7" t="s">
        <v>835</v>
      </c>
      <c r="K109" s="7" t="s">
        <v>901</v>
      </c>
      <c r="L109" s="7" t="s">
        <v>837</v>
      </c>
      <c r="M109" s="7" t="s">
        <v>838</v>
      </c>
      <c r="N109" s="7" t="s">
        <v>20</v>
      </c>
      <c r="O109" s="7" t="s">
        <v>89</v>
      </c>
      <c r="P109" s="7"/>
      <c r="Q109" s="7" t="s">
        <v>897</v>
      </c>
      <c r="R109" s="7" t="n">
        <f aca="false">VALUE(LEFT(Q109,4))</f>
        <v>1939</v>
      </c>
      <c r="S109" s="7" t="n">
        <f aca="false">VALUE(MID(Q109,6,2))</f>
        <v>2</v>
      </c>
      <c r="T109" s="7" t="n">
        <f aca="false">VALUE(RIGHT(Q109,2))</f>
        <v>17</v>
      </c>
      <c r="U109" s="7" t="s">
        <v>91</v>
      </c>
      <c r="V109" s="7" t="s">
        <v>92</v>
      </c>
    </row>
    <row r="110" customFormat="false" ht="23.25" hidden="false" customHeight="true" outlineLevel="0" collapsed="false">
      <c r="A110" s="7" t="n">
        <v>109</v>
      </c>
      <c r="B110" s="7" t="s">
        <v>902</v>
      </c>
      <c r="C110" s="7" t="s">
        <v>902</v>
      </c>
      <c r="D110" s="7" t="n">
        <f aca="false">VALUE(LEFT(B110,4))</f>
        <v>1940</v>
      </c>
      <c r="E110" s="7" t="n">
        <f aca="false">INT((D110-1)/100)+1</f>
        <v>20</v>
      </c>
      <c r="F110" s="7" t="s">
        <v>153</v>
      </c>
      <c r="G110" s="7" t="s">
        <v>903</v>
      </c>
      <c r="H110" s="7" t="s">
        <v>254</v>
      </c>
      <c r="I110" s="7" t="s">
        <v>904</v>
      </c>
      <c r="J110" s="7" t="s">
        <v>737</v>
      </c>
      <c r="K110" s="7" t="s">
        <v>905</v>
      </c>
      <c r="L110" s="7" t="s">
        <v>583</v>
      </c>
      <c r="M110" s="7"/>
      <c r="N110" s="7" t="s">
        <v>18</v>
      </c>
      <c r="O110" s="7" t="s">
        <v>108</v>
      </c>
      <c r="P110" s="7"/>
      <c r="Q110" s="7" t="s">
        <v>902</v>
      </c>
      <c r="R110" s="7" t="n">
        <f aca="false">VALUE(LEFT(Q110,4))</f>
        <v>1940</v>
      </c>
      <c r="S110" s="7" t="n">
        <f aca="false">VALUE(MID(Q110,6,2))</f>
        <v>2</v>
      </c>
      <c r="T110" s="7" t="n">
        <f aca="false">VALUE(RIGHT(Q110,2))</f>
        <v>14</v>
      </c>
      <c r="U110" s="7" t="s">
        <v>91</v>
      </c>
      <c r="V110" s="7" t="s">
        <v>92</v>
      </c>
    </row>
    <row r="111" customFormat="false" ht="23.25" hidden="false" customHeight="true" outlineLevel="0" collapsed="false">
      <c r="A111" s="7" t="n">
        <v>110</v>
      </c>
      <c r="B111" s="7" t="s">
        <v>906</v>
      </c>
      <c r="C111" s="7" t="s">
        <v>907</v>
      </c>
      <c r="D111" s="7" t="n">
        <f aca="false">VALUE(LEFT(B111,4))</f>
        <v>1942</v>
      </c>
      <c r="E111" s="7" t="n">
        <f aca="false">INT((D111-1)/100)+1</f>
        <v>20</v>
      </c>
      <c r="F111" s="7" t="s">
        <v>866</v>
      </c>
      <c r="G111" s="7" t="s">
        <v>908</v>
      </c>
      <c r="H111" s="7" t="s">
        <v>909</v>
      </c>
      <c r="I111" s="7" t="s">
        <v>910</v>
      </c>
      <c r="J111" s="7" t="s">
        <v>911</v>
      </c>
      <c r="K111" s="7" t="s">
        <v>912</v>
      </c>
      <c r="L111" s="7" t="s">
        <v>583</v>
      </c>
      <c r="M111" s="7"/>
      <c r="N111" s="7" t="s">
        <v>18</v>
      </c>
      <c r="O111" s="7" t="s">
        <v>108</v>
      </c>
      <c r="P111" s="7"/>
      <c r="Q111" s="7" t="s">
        <v>906</v>
      </c>
      <c r="R111" s="7" t="n">
        <f aca="false">VALUE(LEFT(Q111,4))</f>
        <v>1942</v>
      </c>
      <c r="S111" s="7" t="n">
        <f aca="false">VALUE(MID(Q111,6,2))</f>
        <v>5</v>
      </c>
      <c r="T111" s="7" t="n">
        <f aca="false">VALUE(RIGHT(Q111,2))</f>
        <v>22</v>
      </c>
      <c r="U111" s="7" t="s">
        <v>139</v>
      </c>
      <c r="V111" s="7" t="s">
        <v>140</v>
      </c>
    </row>
    <row r="112" customFormat="false" ht="23.25" hidden="false" customHeight="true" outlineLevel="0" collapsed="false">
      <c r="A112" s="7" t="n">
        <v>111</v>
      </c>
      <c r="B112" s="7" t="s">
        <v>913</v>
      </c>
      <c r="C112" s="7" t="s">
        <v>914</v>
      </c>
      <c r="D112" s="7" t="n">
        <f aca="false">VALUE(LEFT(B112,4))</f>
        <v>1942</v>
      </c>
      <c r="E112" s="7" t="n">
        <f aca="false">INT((D112-1)/100)+1</f>
        <v>20</v>
      </c>
      <c r="F112" s="7" t="s">
        <v>842</v>
      </c>
      <c r="G112" s="7" t="s">
        <v>915</v>
      </c>
      <c r="H112" s="7" t="s">
        <v>683</v>
      </c>
      <c r="I112" s="7" t="s">
        <v>916</v>
      </c>
      <c r="J112" s="7" t="s">
        <v>737</v>
      </c>
      <c r="K112" s="7"/>
      <c r="L112" s="7" t="s">
        <v>699</v>
      </c>
      <c r="M112" s="7" t="s">
        <v>642</v>
      </c>
      <c r="N112" s="7" t="s">
        <v>18</v>
      </c>
      <c r="O112" s="7" t="s">
        <v>89</v>
      </c>
      <c r="P112" s="7"/>
      <c r="Q112" s="7" t="s">
        <v>913</v>
      </c>
      <c r="R112" s="7" t="n">
        <f aca="false">VALUE(LEFT(Q112,4))</f>
        <v>1942</v>
      </c>
      <c r="S112" s="7" t="n">
        <f aca="false">VALUE(MID(Q112,6,2))</f>
        <v>12</v>
      </c>
      <c r="T112" s="7" t="n">
        <f aca="false">VALUE(RIGHT(Q112,2))</f>
        <v>29</v>
      </c>
      <c r="U112" s="7" t="s">
        <v>139</v>
      </c>
      <c r="V112" s="7" t="s">
        <v>140</v>
      </c>
    </row>
    <row r="113" customFormat="false" ht="23.25" hidden="false" customHeight="true" outlineLevel="0" collapsed="false">
      <c r="A113" s="7" t="n">
        <v>112</v>
      </c>
      <c r="B113" s="7" t="s">
        <v>917</v>
      </c>
      <c r="C113" s="7" t="s">
        <v>917</v>
      </c>
      <c r="D113" s="7" t="n">
        <f aca="false">VALUE(LEFT(B113,4))</f>
        <v>1943</v>
      </c>
      <c r="E113" s="7" t="n">
        <f aca="false">INT((D113-1)/100)+1</f>
        <v>20</v>
      </c>
      <c r="F113" s="7" t="s">
        <v>252</v>
      </c>
      <c r="G113" s="7" t="s">
        <v>918</v>
      </c>
      <c r="H113" s="7" t="s">
        <v>696</v>
      </c>
      <c r="I113" s="7" t="s">
        <v>919</v>
      </c>
      <c r="J113" s="7" t="s">
        <v>737</v>
      </c>
      <c r="K113" s="7"/>
      <c r="L113" s="7" t="s">
        <v>583</v>
      </c>
      <c r="M113" s="7"/>
      <c r="N113" s="7" t="s">
        <v>20</v>
      </c>
      <c r="O113" s="7" t="s">
        <v>108</v>
      </c>
      <c r="P113" s="7" t="s">
        <v>920</v>
      </c>
      <c r="Q113" s="7" t="s">
        <v>917</v>
      </c>
      <c r="R113" s="7" t="n">
        <f aca="false">VALUE(LEFT(Q113,4))</f>
        <v>1943</v>
      </c>
      <c r="S113" s="7" t="n">
        <f aca="false">VALUE(MID(Q113,6,2))</f>
        <v>2</v>
      </c>
      <c r="T113" s="7" t="n">
        <f aca="false">VALUE(RIGHT(Q113,2))</f>
        <v>15</v>
      </c>
      <c r="U113" s="7" t="s">
        <v>91</v>
      </c>
      <c r="V113" s="7" t="s">
        <v>92</v>
      </c>
    </row>
    <row r="114" customFormat="false" ht="15" hidden="false" customHeight="true" outlineLevel="0" collapsed="false">
      <c r="A114" s="7" t="n">
        <v>113</v>
      </c>
      <c r="B114" s="7" t="s">
        <v>921</v>
      </c>
      <c r="C114" s="7" t="s">
        <v>921</v>
      </c>
      <c r="D114" s="7" t="n">
        <f aca="false">VALUE(LEFT(B114,4))</f>
        <v>1944</v>
      </c>
      <c r="E114" s="7" t="n">
        <f aca="false">INT((D114-1)/100)+1</f>
        <v>20</v>
      </c>
      <c r="F114" s="7" t="s">
        <v>81</v>
      </c>
      <c r="G114" s="7" t="s">
        <v>922</v>
      </c>
      <c r="H114" s="7" t="s">
        <v>588</v>
      </c>
      <c r="I114" s="7" t="s">
        <v>923</v>
      </c>
      <c r="J114" s="7" t="s">
        <v>737</v>
      </c>
      <c r="K114" s="7"/>
      <c r="L114" s="7" t="s">
        <v>924</v>
      </c>
      <c r="M114" s="7"/>
      <c r="N114" s="7" t="s">
        <v>18</v>
      </c>
      <c r="O114" s="7" t="s">
        <v>108</v>
      </c>
      <c r="P114" s="7"/>
      <c r="Q114" s="7" t="s">
        <v>921</v>
      </c>
      <c r="R114" s="7" t="n">
        <f aca="false">VALUE(LEFT(Q114,4))</f>
        <v>1944</v>
      </c>
      <c r="S114" s="7" t="n">
        <f aca="false">VALUE(MID(Q114,6,2))</f>
        <v>9</v>
      </c>
      <c r="T114" s="7" t="n">
        <f aca="false">VALUE(RIGHT(Q114,2))</f>
        <v>14</v>
      </c>
      <c r="U114" s="7" t="s">
        <v>91</v>
      </c>
      <c r="V114" s="7" t="s">
        <v>92</v>
      </c>
    </row>
    <row r="115" customFormat="false" ht="23.25" hidden="false" customHeight="true" outlineLevel="0" collapsed="false">
      <c r="A115" s="7" t="n">
        <v>114</v>
      </c>
      <c r="B115" s="7" t="s">
        <v>925</v>
      </c>
      <c r="C115" s="7" t="s">
        <v>925</v>
      </c>
      <c r="D115" s="7" t="n">
        <f aca="false">VALUE(LEFT(B115,4))</f>
        <v>1945</v>
      </c>
      <c r="E115" s="7" t="n">
        <f aca="false">INT((D115-1)/100)+1</f>
        <v>20</v>
      </c>
      <c r="F115" s="7" t="s">
        <v>926</v>
      </c>
      <c r="G115" s="7" t="s">
        <v>927</v>
      </c>
      <c r="H115" s="7" t="s">
        <v>844</v>
      </c>
      <c r="I115" s="7" t="s">
        <v>928</v>
      </c>
      <c r="J115" s="7" t="s">
        <v>324</v>
      </c>
      <c r="K115" s="7" t="s">
        <v>929</v>
      </c>
      <c r="L115" s="7" t="s">
        <v>699</v>
      </c>
      <c r="M115" s="7" t="s">
        <v>642</v>
      </c>
      <c r="N115" s="7" t="s">
        <v>16</v>
      </c>
      <c r="O115" s="7" t="s">
        <v>89</v>
      </c>
      <c r="P115" s="7" t="s">
        <v>930</v>
      </c>
      <c r="Q115" s="7" t="s">
        <v>925</v>
      </c>
      <c r="R115" s="7" t="n">
        <f aca="false">VALUE(LEFT(Q115,4))</f>
        <v>1945</v>
      </c>
      <c r="S115" s="7" t="n">
        <f aca="false">VALUE(MID(Q115,6,2))</f>
        <v>5</v>
      </c>
      <c r="T115" s="7" t="n">
        <f aca="false">VALUE(RIGHT(Q115,2))</f>
        <v>10</v>
      </c>
      <c r="U115" s="7" t="s">
        <v>91</v>
      </c>
      <c r="V115" s="7" t="s">
        <v>92</v>
      </c>
    </row>
    <row r="116" customFormat="false" ht="23.25" hidden="false" customHeight="true" outlineLevel="0" collapsed="false">
      <c r="A116" s="7" t="n">
        <v>115</v>
      </c>
      <c r="B116" s="7" t="s">
        <v>931</v>
      </c>
      <c r="C116" s="7" t="s">
        <v>931</v>
      </c>
      <c r="D116" s="7" t="n">
        <f aca="false">VALUE(LEFT(B116,4))</f>
        <v>1945</v>
      </c>
      <c r="E116" s="7" t="n">
        <f aca="false">INT((D116-1)/100)+1</f>
        <v>20</v>
      </c>
      <c r="F116" s="7" t="s">
        <v>866</v>
      </c>
      <c r="G116" s="7" t="s">
        <v>932</v>
      </c>
      <c r="H116" s="7" t="s">
        <v>933</v>
      </c>
      <c r="I116" s="7" t="s">
        <v>934</v>
      </c>
      <c r="J116" s="7" t="s">
        <v>935</v>
      </c>
      <c r="K116" s="7" t="s">
        <v>936</v>
      </c>
      <c r="L116" s="7" t="s">
        <v>699</v>
      </c>
      <c r="M116" s="7" t="s">
        <v>642</v>
      </c>
      <c r="N116" s="7" t="s">
        <v>16</v>
      </c>
      <c r="O116" s="7" t="s">
        <v>89</v>
      </c>
      <c r="P116" s="7"/>
      <c r="Q116" s="7" t="s">
        <v>931</v>
      </c>
      <c r="R116" s="7" t="n">
        <f aca="false">VALUE(LEFT(Q116,4))</f>
        <v>1945</v>
      </c>
      <c r="S116" s="7" t="n">
        <f aca="false">VALUE(MID(Q116,6,2))</f>
        <v>10</v>
      </c>
      <c r="T116" s="7" t="n">
        <f aca="false">VALUE(RIGHT(Q116,2))</f>
        <v>2</v>
      </c>
      <c r="U116" s="7" t="s">
        <v>91</v>
      </c>
      <c r="V116" s="7" t="s">
        <v>92</v>
      </c>
    </row>
    <row r="117" customFormat="false" ht="23.25" hidden="false" customHeight="true" outlineLevel="0" collapsed="false">
      <c r="A117" s="7" t="n">
        <v>116</v>
      </c>
      <c r="B117" s="7" t="s">
        <v>937</v>
      </c>
      <c r="C117" s="7" t="s">
        <v>937</v>
      </c>
      <c r="D117" s="7" t="n">
        <f aca="false">VALUE(LEFT(B117,4))</f>
        <v>1947</v>
      </c>
      <c r="E117" s="7" t="n">
        <f aca="false">INT((D117-1)/100)+1</f>
        <v>20</v>
      </c>
      <c r="F117" s="7" t="s">
        <v>153</v>
      </c>
      <c r="G117" s="7" t="s">
        <v>938</v>
      </c>
      <c r="H117" s="7" t="s">
        <v>134</v>
      </c>
      <c r="I117" s="7" t="s">
        <v>939</v>
      </c>
      <c r="J117" s="7" t="s">
        <v>940</v>
      </c>
      <c r="K117" s="7" t="s">
        <v>941</v>
      </c>
      <c r="L117" s="7" t="s">
        <v>583</v>
      </c>
      <c r="M117" s="7"/>
      <c r="N117" s="7" t="s">
        <v>18</v>
      </c>
      <c r="O117" s="7" t="s">
        <v>108</v>
      </c>
      <c r="P117" s="7"/>
      <c r="Q117" s="7" t="s">
        <v>937</v>
      </c>
      <c r="R117" s="7" t="n">
        <f aca="false">VALUE(LEFT(Q117,4))</f>
        <v>1947</v>
      </c>
      <c r="S117" s="7" t="n">
        <f aca="false">VALUE(MID(Q117,6,2))</f>
        <v>12</v>
      </c>
      <c r="T117" s="7" t="n">
        <f aca="false">VALUE(RIGHT(Q117,2))</f>
        <v>26</v>
      </c>
      <c r="U117" s="7" t="s">
        <v>91</v>
      </c>
      <c r="V117" s="7" t="s">
        <v>92</v>
      </c>
    </row>
    <row r="118" customFormat="false" ht="34.5" hidden="false" customHeight="true" outlineLevel="0" collapsed="false">
      <c r="A118" s="7" t="n">
        <v>117</v>
      </c>
      <c r="B118" s="7" t="s">
        <v>942</v>
      </c>
      <c r="C118" s="7" t="s">
        <v>942</v>
      </c>
      <c r="D118" s="7" t="n">
        <f aca="false">VALUE(LEFT(B118,4))</f>
        <v>1948</v>
      </c>
      <c r="E118" s="7" t="n">
        <f aca="false">INT((D118-1)/100)+1</f>
        <v>20</v>
      </c>
      <c r="F118" s="7" t="s">
        <v>567</v>
      </c>
      <c r="G118" s="7" t="s">
        <v>943</v>
      </c>
      <c r="H118" s="7" t="s">
        <v>944</v>
      </c>
      <c r="I118" s="7" t="s">
        <v>945</v>
      </c>
      <c r="J118" s="7" t="s">
        <v>835</v>
      </c>
      <c r="K118" s="7" t="s">
        <v>946</v>
      </c>
      <c r="L118" s="7" t="s">
        <v>837</v>
      </c>
      <c r="M118" s="7" t="s">
        <v>838</v>
      </c>
      <c r="N118" s="7" t="s">
        <v>20</v>
      </c>
      <c r="O118" s="7" t="s">
        <v>89</v>
      </c>
      <c r="P118" s="7"/>
      <c r="Q118" s="7" t="s">
        <v>942</v>
      </c>
      <c r="R118" s="7" t="n">
        <f aca="false">VALUE(LEFT(Q118,4))</f>
        <v>1948</v>
      </c>
      <c r="S118" s="7" t="n">
        <f aca="false">VALUE(MID(Q118,6,2))</f>
        <v>3</v>
      </c>
      <c r="T118" s="7" t="n">
        <f aca="false">VALUE(RIGHT(Q118,2))</f>
        <v>17</v>
      </c>
      <c r="U118" s="7" t="s">
        <v>91</v>
      </c>
      <c r="V118" s="7" t="s">
        <v>92</v>
      </c>
    </row>
    <row r="119" customFormat="false" ht="23.25" hidden="false" customHeight="true" outlineLevel="0" collapsed="false">
      <c r="A119" s="7" t="n">
        <v>118</v>
      </c>
      <c r="B119" s="7" t="s">
        <v>947</v>
      </c>
      <c r="C119" s="7" t="s">
        <v>948</v>
      </c>
      <c r="D119" s="7" t="n">
        <f aca="false">VALUE(LEFT(B119,4))</f>
        <v>1948</v>
      </c>
      <c r="E119" s="7" t="n">
        <f aca="false">INT((D119-1)/100)+1</f>
        <v>20</v>
      </c>
      <c r="F119" s="7" t="s">
        <v>949</v>
      </c>
      <c r="G119" s="7" t="s">
        <v>950</v>
      </c>
      <c r="H119" s="7" t="s">
        <v>951</v>
      </c>
      <c r="I119" s="7" t="s">
        <v>952</v>
      </c>
      <c r="J119" s="7" t="s">
        <v>637</v>
      </c>
      <c r="K119" s="7" t="s">
        <v>953</v>
      </c>
      <c r="L119" s="7" t="s">
        <v>699</v>
      </c>
      <c r="M119" s="7" t="s">
        <v>642</v>
      </c>
      <c r="N119" s="7" t="s">
        <v>16</v>
      </c>
      <c r="O119" s="7" t="s">
        <v>89</v>
      </c>
      <c r="P119" s="7"/>
      <c r="Q119" s="7" t="s">
        <v>947</v>
      </c>
      <c r="R119" s="7" t="n">
        <f aca="false">VALUE(LEFT(Q119,4))</f>
        <v>1948</v>
      </c>
      <c r="S119" s="7" t="n">
        <f aca="false">VALUE(MID(Q119,6,2))</f>
        <v>12</v>
      </c>
      <c r="T119" s="7" t="n">
        <f aca="false">VALUE(RIGHT(Q119,2))</f>
        <v>31</v>
      </c>
      <c r="U119" s="7" t="s">
        <v>139</v>
      </c>
      <c r="V119" s="7" t="s">
        <v>140</v>
      </c>
    </row>
    <row r="120" customFormat="false" ht="23.25" hidden="false" customHeight="true" outlineLevel="0" collapsed="false">
      <c r="A120" s="7" t="n">
        <v>119</v>
      </c>
      <c r="B120" s="7" t="s">
        <v>954</v>
      </c>
      <c r="C120" s="7" t="s">
        <v>955</v>
      </c>
      <c r="D120" s="7" t="n">
        <f aca="false">VALUE(LEFT(B120,4))</f>
        <v>1950</v>
      </c>
      <c r="E120" s="7" t="n">
        <f aca="false">INT((D120-1)/100)+1</f>
        <v>20</v>
      </c>
      <c r="F120" s="7" t="s">
        <v>956</v>
      </c>
      <c r="G120" s="7" t="s">
        <v>957</v>
      </c>
      <c r="H120" s="7" t="s">
        <v>683</v>
      </c>
      <c r="I120" s="7" t="s">
        <v>958</v>
      </c>
      <c r="J120" s="7" t="s">
        <v>324</v>
      </c>
      <c r="K120" s="7" t="s">
        <v>959</v>
      </c>
      <c r="L120" s="7" t="s">
        <v>699</v>
      </c>
      <c r="M120" s="7" t="s">
        <v>642</v>
      </c>
      <c r="N120" s="7" t="s">
        <v>16</v>
      </c>
      <c r="O120" s="7" t="s">
        <v>89</v>
      </c>
      <c r="P120" s="7" t="s">
        <v>960</v>
      </c>
      <c r="Q120" s="7" t="s">
        <v>954</v>
      </c>
      <c r="R120" s="7" t="n">
        <f aca="false">VALUE(LEFT(Q120,4))</f>
        <v>1950</v>
      </c>
      <c r="S120" s="7" t="n">
        <f aca="false">VALUE(MID(Q120,6,2))</f>
        <v>11</v>
      </c>
      <c r="T120" s="7" t="n">
        <f aca="false">VALUE(RIGHT(Q120,2))</f>
        <v>24</v>
      </c>
      <c r="U120" s="7" t="s">
        <v>139</v>
      </c>
      <c r="V120" s="7" t="s">
        <v>140</v>
      </c>
    </row>
    <row r="121" customFormat="false" ht="15" hidden="false" customHeight="true" outlineLevel="0" collapsed="false">
      <c r="A121" s="7" t="n">
        <v>120</v>
      </c>
      <c r="B121" s="7" t="s">
        <v>961</v>
      </c>
      <c r="C121" s="7" t="s">
        <v>961</v>
      </c>
      <c r="D121" s="7" t="n">
        <f aca="false">VALUE(LEFT(B121,4))</f>
        <v>1954</v>
      </c>
      <c r="E121" s="7" t="n">
        <f aca="false">INT((D121-1)/100)+1</f>
        <v>20</v>
      </c>
      <c r="F121" s="7" t="s">
        <v>81</v>
      </c>
      <c r="G121" s="7" t="s">
        <v>962</v>
      </c>
      <c r="H121" s="7" t="s">
        <v>683</v>
      </c>
      <c r="I121" s="7" t="s">
        <v>963</v>
      </c>
      <c r="J121" s="7" t="s">
        <v>737</v>
      </c>
      <c r="K121" s="7" t="s">
        <v>964</v>
      </c>
      <c r="L121" s="7" t="s">
        <v>924</v>
      </c>
      <c r="M121" s="7"/>
      <c r="N121" s="7" t="s">
        <v>18</v>
      </c>
      <c r="O121" s="7" t="s">
        <v>108</v>
      </c>
      <c r="P121" s="7"/>
      <c r="Q121" s="7" t="s">
        <v>961</v>
      </c>
      <c r="R121" s="7" t="n">
        <f aca="false">VALUE(LEFT(Q121,4))</f>
        <v>1954</v>
      </c>
      <c r="S121" s="7" t="n">
        <f aca="false">VALUE(MID(Q121,6,2))</f>
        <v>10</v>
      </c>
      <c r="T121" s="7" t="n">
        <f aca="false">VALUE(RIGHT(Q121,2))</f>
        <v>15</v>
      </c>
      <c r="U121" s="7" t="s">
        <v>91</v>
      </c>
      <c r="V121" s="7" t="s">
        <v>92</v>
      </c>
    </row>
    <row r="122" customFormat="false" ht="23.25" hidden="false" customHeight="true" outlineLevel="0" collapsed="false">
      <c r="A122" s="7" t="n">
        <v>121</v>
      </c>
      <c r="B122" s="7" t="s">
        <v>965</v>
      </c>
      <c r="C122" s="7" t="s">
        <v>966</v>
      </c>
      <c r="D122" s="7" t="n">
        <f aca="false">VALUE(LEFT(B122,4))</f>
        <v>1955</v>
      </c>
      <c r="E122" s="7" t="n">
        <f aca="false">INT((D122-1)/100)+1</f>
        <v>20</v>
      </c>
      <c r="F122" s="7" t="s">
        <v>111</v>
      </c>
      <c r="G122" s="7" t="s">
        <v>967</v>
      </c>
      <c r="H122" s="7" t="s">
        <v>968</v>
      </c>
      <c r="I122" s="7" t="s">
        <v>969</v>
      </c>
      <c r="J122" s="7" t="s">
        <v>970</v>
      </c>
      <c r="K122" s="7" t="s">
        <v>971</v>
      </c>
      <c r="L122" s="7" t="s">
        <v>699</v>
      </c>
      <c r="M122" s="7" t="s">
        <v>642</v>
      </c>
      <c r="N122" s="7" t="s">
        <v>16</v>
      </c>
      <c r="O122" s="7" t="s">
        <v>89</v>
      </c>
      <c r="P122" s="7"/>
      <c r="Q122" s="7" t="s">
        <v>965</v>
      </c>
      <c r="R122" s="7" t="n">
        <f aca="false">VALUE(LEFT(Q122,4))</f>
        <v>1955</v>
      </c>
      <c r="S122" s="7" t="n">
        <f aca="false">VALUE(MID(Q122,6,2))</f>
        <v>8</v>
      </c>
      <c r="T122" s="7" t="n">
        <f aca="false">VALUE(RIGHT(Q122,2))</f>
        <v>12</v>
      </c>
      <c r="U122" s="7" t="s">
        <v>139</v>
      </c>
      <c r="V122" s="7" t="s">
        <v>140</v>
      </c>
    </row>
    <row r="123" customFormat="false" ht="23.25" hidden="false" customHeight="true" outlineLevel="0" collapsed="false">
      <c r="A123" s="7" t="n">
        <v>122</v>
      </c>
      <c r="B123" s="7" t="s">
        <v>972</v>
      </c>
      <c r="C123" s="7" t="s">
        <v>973</v>
      </c>
      <c r="D123" s="7" t="n">
        <f aca="false">VALUE(LEFT(B123,4))</f>
        <v>1955</v>
      </c>
      <c r="E123" s="7" t="n">
        <f aca="false">INT((D123-1)/100)+1</f>
        <v>20</v>
      </c>
      <c r="F123" s="7" t="s">
        <v>143</v>
      </c>
      <c r="G123" s="7" t="s">
        <v>974</v>
      </c>
      <c r="H123" s="7" t="s">
        <v>975</v>
      </c>
      <c r="I123" s="7" t="s">
        <v>976</v>
      </c>
      <c r="J123" s="7" t="s">
        <v>977</v>
      </c>
      <c r="K123" s="7" t="s">
        <v>978</v>
      </c>
      <c r="L123" s="7" t="s">
        <v>699</v>
      </c>
      <c r="M123" s="7" t="s">
        <v>642</v>
      </c>
      <c r="N123" s="7" t="s">
        <v>16</v>
      </c>
      <c r="O123" s="7" t="s">
        <v>89</v>
      </c>
      <c r="P123" s="7"/>
      <c r="Q123" s="7" t="s">
        <v>972</v>
      </c>
      <c r="R123" s="7" t="n">
        <f aca="false">VALUE(LEFT(Q123,4))</f>
        <v>1955</v>
      </c>
      <c r="S123" s="7" t="n">
        <f aca="false">VALUE(MID(Q123,6,2))</f>
        <v>10</v>
      </c>
      <c r="T123" s="7" t="n">
        <f aca="false">VALUE(RIGHT(Q123,2))</f>
        <v>14</v>
      </c>
      <c r="U123" s="7" t="s">
        <v>139</v>
      </c>
      <c r="V123" s="7" t="s">
        <v>140</v>
      </c>
    </row>
    <row r="124" customFormat="false" ht="23.25" hidden="false" customHeight="true" outlineLevel="0" collapsed="false">
      <c r="A124" s="7" t="n">
        <v>123</v>
      </c>
      <c r="B124" s="7" t="s">
        <v>979</v>
      </c>
      <c r="C124" s="7" t="s">
        <v>980</v>
      </c>
      <c r="D124" s="7" t="n">
        <f aca="false">VALUE(LEFT(B124,4))</f>
        <v>1958</v>
      </c>
      <c r="E124" s="7" t="n">
        <f aca="false">INT((D124-1)/100)+1</f>
        <v>20</v>
      </c>
      <c r="F124" s="7" t="s">
        <v>233</v>
      </c>
      <c r="G124" s="7" t="s">
        <v>981</v>
      </c>
      <c r="H124" s="7" t="s">
        <v>982</v>
      </c>
      <c r="I124" s="7" t="s">
        <v>983</v>
      </c>
      <c r="J124" s="7" t="s">
        <v>324</v>
      </c>
      <c r="K124" s="7" t="s">
        <v>984</v>
      </c>
      <c r="L124" s="7" t="s">
        <v>699</v>
      </c>
      <c r="M124" s="7" t="s">
        <v>642</v>
      </c>
      <c r="N124" s="7" t="s">
        <v>16</v>
      </c>
      <c r="O124" s="7" t="s">
        <v>89</v>
      </c>
      <c r="P124" s="7"/>
      <c r="Q124" s="7" t="s">
        <v>979</v>
      </c>
      <c r="R124" s="7" t="n">
        <f aca="false">VALUE(LEFT(Q124,4))</f>
        <v>1958</v>
      </c>
      <c r="S124" s="7" t="n">
        <f aca="false">VALUE(MID(Q124,6,2))</f>
        <v>2</v>
      </c>
      <c r="T124" s="7" t="n">
        <f aca="false">VALUE(RIGHT(Q124,2))</f>
        <v>15</v>
      </c>
      <c r="U124" s="7" t="s">
        <v>139</v>
      </c>
      <c r="V124" s="7" t="s">
        <v>140</v>
      </c>
    </row>
    <row r="125" customFormat="false" ht="23.25" hidden="false" customHeight="true" outlineLevel="0" collapsed="false">
      <c r="A125" s="7" t="n">
        <v>124</v>
      </c>
      <c r="B125" s="7" t="s">
        <v>985</v>
      </c>
      <c r="C125" s="7" t="s">
        <v>986</v>
      </c>
      <c r="D125" s="7" t="n">
        <f aca="false">VALUE(LEFT(B125,4))</f>
        <v>1958</v>
      </c>
      <c r="E125" s="7" t="n">
        <f aca="false">INT((D125-1)/100)+1</f>
        <v>20</v>
      </c>
      <c r="F125" s="7" t="s">
        <v>987</v>
      </c>
      <c r="G125" s="7" t="s">
        <v>988</v>
      </c>
      <c r="H125" s="7" t="s">
        <v>989</v>
      </c>
      <c r="I125" s="7" t="s">
        <v>990</v>
      </c>
      <c r="J125" s="7" t="s">
        <v>737</v>
      </c>
      <c r="K125" s="7" t="s">
        <v>991</v>
      </c>
      <c r="L125" s="7" t="s">
        <v>583</v>
      </c>
      <c r="M125" s="7"/>
      <c r="N125" s="7" t="s">
        <v>18</v>
      </c>
      <c r="O125" s="7" t="s">
        <v>108</v>
      </c>
      <c r="P125" s="7"/>
      <c r="Q125" s="7" t="s">
        <v>985</v>
      </c>
      <c r="R125" s="7" t="n">
        <f aca="false">VALUE(LEFT(Q125,4))</f>
        <v>1958</v>
      </c>
      <c r="S125" s="7" t="n">
        <f aca="false">VALUE(MID(Q125,6,2))</f>
        <v>3</v>
      </c>
      <c r="T125" s="7" t="n">
        <f aca="false">VALUE(RIGHT(Q125,2))</f>
        <v>19</v>
      </c>
      <c r="U125" s="7" t="s">
        <v>139</v>
      </c>
      <c r="V125" s="7" t="s">
        <v>140</v>
      </c>
    </row>
    <row r="126" customFormat="false" ht="23.25" hidden="false" customHeight="true" outlineLevel="0" collapsed="false">
      <c r="A126" s="7" t="n">
        <v>125</v>
      </c>
      <c r="B126" s="7" t="s">
        <v>992</v>
      </c>
      <c r="C126" s="7" t="s">
        <v>992</v>
      </c>
      <c r="D126" s="7" t="n">
        <f aca="false">VALUE(LEFT(B126,4))</f>
        <v>1960</v>
      </c>
      <c r="E126" s="7" t="n">
        <f aca="false">INT((D126-1)/100)+1</f>
        <v>20</v>
      </c>
      <c r="F126" s="7" t="s">
        <v>788</v>
      </c>
      <c r="G126" s="7" t="s">
        <v>993</v>
      </c>
      <c r="H126" s="7" t="s">
        <v>994</v>
      </c>
      <c r="I126" s="7" t="s">
        <v>995</v>
      </c>
      <c r="J126" s="7" t="s">
        <v>996</v>
      </c>
      <c r="K126" s="7"/>
      <c r="L126" s="7" t="s">
        <v>997</v>
      </c>
      <c r="M126" s="7" t="s">
        <v>998</v>
      </c>
      <c r="N126" s="7" t="s">
        <v>16</v>
      </c>
      <c r="O126" s="7" t="s">
        <v>89</v>
      </c>
      <c r="P126" s="7"/>
      <c r="Q126" s="7" t="s">
        <v>992</v>
      </c>
      <c r="R126" s="7" t="n">
        <f aca="false">VALUE(LEFT(Q126,4))</f>
        <v>1960</v>
      </c>
      <c r="S126" s="7" t="n">
        <f aca="false">VALUE(MID(Q126,6,2))</f>
        <v>4</v>
      </c>
      <c r="T126" s="7" t="n">
        <f aca="false">VALUE(RIGHT(Q126,2))</f>
        <v>5</v>
      </c>
      <c r="U126" s="7" t="s">
        <v>91</v>
      </c>
      <c r="V126" s="7" t="s">
        <v>92</v>
      </c>
    </row>
    <row r="127" customFormat="false" ht="23.25" hidden="false" customHeight="true" outlineLevel="0" collapsed="false">
      <c r="A127" s="7" t="n">
        <v>126</v>
      </c>
      <c r="B127" s="7" t="s">
        <v>999</v>
      </c>
      <c r="C127" s="7" t="s">
        <v>999</v>
      </c>
      <c r="D127" s="7" t="n">
        <f aca="false">VALUE(LEFT(B127,4))</f>
        <v>1960</v>
      </c>
      <c r="E127" s="7" t="n">
        <f aca="false">INT((D127-1)/100)+1</f>
        <v>20</v>
      </c>
      <c r="F127" s="7" t="s">
        <v>1000</v>
      </c>
      <c r="G127" s="7" t="s">
        <v>1001</v>
      </c>
      <c r="H127" s="7" t="s">
        <v>1002</v>
      </c>
      <c r="I127" s="7" t="s">
        <v>1003</v>
      </c>
      <c r="J127" s="7" t="s">
        <v>1004</v>
      </c>
      <c r="K127" s="7" t="s">
        <v>1005</v>
      </c>
      <c r="L127" s="7" t="s">
        <v>1006</v>
      </c>
      <c r="M127" s="7" t="s">
        <v>1007</v>
      </c>
      <c r="N127" s="7" t="s">
        <v>16</v>
      </c>
      <c r="O127" s="7" t="s">
        <v>89</v>
      </c>
      <c r="P127" s="7"/>
      <c r="Q127" s="7" t="s">
        <v>999</v>
      </c>
      <c r="R127" s="7" t="n">
        <f aca="false">VALUE(LEFT(Q127,4))</f>
        <v>1960</v>
      </c>
      <c r="S127" s="7" t="n">
        <f aca="false">VALUE(MID(Q127,6,2))</f>
        <v>6</v>
      </c>
      <c r="T127" s="7" t="n">
        <f aca="false">VALUE(RIGHT(Q127,2))</f>
        <v>24</v>
      </c>
      <c r="U127" s="7" t="s">
        <v>91</v>
      </c>
      <c r="V127" s="7" t="s">
        <v>92</v>
      </c>
    </row>
    <row r="128" customFormat="false" ht="23.25" hidden="false" customHeight="true" outlineLevel="0" collapsed="false">
      <c r="A128" s="7" t="n">
        <v>127</v>
      </c>
      <c r="B128" s="7" t="s">
        <v>1008</v>
      </c>
      <c r="C128" s="7" t="s">
        <v>1009</v>
      </c>
      <c r="D128" s="7" t="n">
        <f aca="false">VALUE(LEFT(B128,4))</f>
        <v>1961</v>
      </c>
      <c r="E128" s="7" t="n">
        <f aca="false">INT((D128-1)/100)+1</f>
        <v>20</v>
      </c>
      <c r="F128" s="7" t="s">
        <v>233</v>
      </c>
      <c r="G128" s="7" t="s">
        <v>1010</v>
      </c>
      <c r="H128" s="7" t="s">
        <v>982</v>
      </c>
      <c r="I128" s="7" t="s">
        <v>1011</v>
      </c>
      <c r="J128" s="7" t="s">
        <v>737</v>
      </c>
      <c r="K128" s="7"/>
      <c r="L128" s="7" t="s">
        <v>583</v>
      </c>
      <c r="M128" s="7"/>
      <c r="N128" s="7" t="s">
        <v>18</v>
      </c>
      <c r="O128" s="7" t="s">
        <v>108</v>
      </c>
      <c r="P128" s="7"/>
      <c r="Q128" s="7" t="s">
        <v>1008</v>
      </c>
      <c r="R128" s="7" t="n">
        <f aca="false">VALUE(LEFT(Q128,4))</f>
        <v>1961</v>
      </c>
      <c r="S128" s="7" t="n">
        <f aca="false">VALUE(MID(Q128,6,2))</f>
        <v>2</v>
      </c>
      <c r="T128" s="7" t="n">
        <f aca="false">VALUE(RIGHT(Q128,2))</f>
        <v>3</v>
      </c>
      <c r="U128" s="7" t="s">
        <v>139</v>
      </c>
      <c r="V128" s="7" t="s">
        <v>140</v>
      </c>
    </row>
    <row r="129" customFormat="false" ht="45.75" hidden="false" customHeight="true" outlineLevel="0" collapsed="false">
      <c r="A129" s="7" t="n">
        <v>128</v>
      </c>
      <c r="B129" s="7" t="s">
        <v>1012</v>
      </c>
      <c r="C129" s="7" t="s">
        <v>1013</v>
      </c>
      <c r="D129" s="7" t="n">
        <f aca="false">VALUE(LEFT(B129,4))</f>
        <v>1962</v>
      </c>
      <c r="E129" s="7" t="n">
        <f aca="false">INT((D129-1)/100)+1</f>
        <v>20</v>
      </c>
      <c r="F129" s="7" t="s">
        <v>852</v>
      </c>
      <c r="G129" s="7" t="s">
        <v>1014</v>
      </c>
      <c r="H129" s="7" t="s">
        <v>254</v>
      </c>
      <c r="I129" s="7" t="s">
        <v>1015</v>
      </c>
      <c r="J129" s="7" t="s">
        <v>737</v>
      </c>
      <c r="K129" s="7" t="s">
        <v>1016</v>
      </c>
      <c r="L129" s="7" t="s">
        <v>583</v>
      </c>
      <c r="M129" s="7"/>
      <c r="N129" s="7" t="s">
        <v>18</v>
      </c>
      <c r="O129" s="7" t="s">
        <v>108</v>
      </c>
      <c r="P129" s="7"/>
      <c r="Q129" s="7" t="s">
        <v>1017</v>
      </c>
      <c r="R129" s="7" t="n">
        <f aca="false">VALUE(LEFT(Q129,4))</f>
        <v>1965</v>
      </c>
      <c r="S129" s="7" t="n">
        <f aca="false">VALUE(MID(Q129,6,2))</f>
        <v>8</v>
      </c>
      <c r="T129" s="7" t="n">
        <f aca="false">VALUE(RIGHT(Q129,2))</f>
        <v>15</v>
      </c>
      <c r="U129" s="7" t="s">
        <v>128</v>
      </c>
      <c r="V129" s="7" t="s">
        <v>1018</v>
      </c>
    </row>
    <row r="130" customFormat="false" ht="23.25" hidden="false" customHeight="true" outlineLevel="0" collapsed="false">
      <c r="A130" s="7" t="n">
        <v>129</v>
      </c>
      <c r="B130" s="7" t="s">
        <v>1019</v>
      </c>
      <c r="C130" s="7" t="s">
        <v>1020</v>
      </c>
      <c r="D130" s="7" t="n">
        <f aca="false">VALUE(LEFT(B130,4))</f>
        <v>1964</v>
      </c>
      <c r="E130" s="7" t="n">
        <f aca="false">INT((D130-1)/100)+1</f>
        <v>20</v>
      </c>
      <c r="F130" s="7" t="s">
        <v>233</v>
      </c>
      <c r="G130" s="7" t="s">
        <v>1021</v>
      </c>
      <c r="H130" s="7" t="s">
        <v>982</v>
      </c>
      <c r="I130" s="7" t="s">
        <v>1022</v>
      </c>
      <c r="J130" s="7" t="s">
        <v>324</v>
      </c>
      <c r="K130" s="7" t="s">
        <v>1023</v>
      </c>
      <c r="L130" s="7" t="s">
        <v>699</v>
      </c>
      <c r="M130" s="7" t="s">
        <v>642</v>
      </c>
      <c r="N130" s="7" t="s">
        <v>16</v>
      </c>
      <c r="O130" s="7" t="s">
        <v>89</v>
      </c>
      <c r="P130" s="7"/>
      <c r="Q130" s="7" t="s">
        <v>1019</v>
      </c>
      <c r="R130" s="7" t="n">
        <f aca="false">VALUE(LEFT(Q130,4))</f>
        <v>1964</v>
      </c>
      <c r="S130" s="7" t="n">
        <f aca="false">VALUE(MID(Q130,6,2))</f>
        <v>1</v>
      </c>
      <c r="T130" s="7" t="n">
        <f aca="false">VALUE(RIGHT(Q130,2))</f>
        <v>13</v>
      </c>
      <c r="U130" s="7" t="s">
        <v>139</v>
      </c>
      <c r="V130" s="7" t="s">
        <v>140</v>
      </c>
    </row>
    <row r="131" customFormat="false" ht="23.25" hidden="false" customHeight="true" outlineLevel="0" collapsed="false">
      <c r="A131" s="7" t="n">
        <v>130</v>
      </c>
      <c r="B131" s="7" t="s">
        <v>1024</v>
      </c>
      <c r="C131" s="7" t="s">
        <v>1024</v>
      </c>
      <c r="D131" s="7" t="n">
        <f aca="false">VALUE(LEFT(B131,4))</f>
        <v>1964</v>
      </c>
      <c r="E131" s="7" t="n">
        <f aca="false">INT((D131-1)/100)+1</f>
        <v>20</v>
      </c>
      <c r="F131" s="7" t="s">
        <v>567</v>
      </c>
      <c r="G131" s="7" t="s">
        <v>1025</v>
      </c>
      <c r="H131" s="7" t="s">
        <v>1026</v>
      </c>
      <c r="I131" s="7" t="s">
        <v>1027</v>
      </c>
      <c r="J131" s="7" t="s">
        <v>1028</v>
      </c>
      <c r="K131" s="7" t="s">
        <v>1029</v>
      </c>
      <c r="L131" s="7" t="s">
        <v>1030</v>
      </c>
      <c r="M131" s="7" t="s">
        <v>1031</v>
      </c>
      <c r="N131" s="7" t="s">
        <v>16</v>
      </c>
      <c r="O131" s="7" t="s">
        <v>89</v>
      </c>
      <c r="P131" s="7" t="s">
        <v>1032</v>
      </c>
      <c r="Q131" s="7" t="s">
        <v>1024</v>
      </c>
      <c r="R131" s="7" t="n">
        <f aca="false">VALUE(LEFT(Q131,4))</f>
        <v>1964</v>
      </c>
      <c r="S131" s="7" t="n">
        <f aca="false">VALUE(MID(Q131,6,2))</f>
        <v>3</v>
      </c>
      <c r="T131" s="7" t="n">
        <f aca="false">VALUE(RIGHT(Q131,2))</f>
        <v>6</v>
      </c>
      <c r="U131" s="7" t="s">
        <v>91</v>
      </c>
      <c r="V131" s="7" t="s">
        <v>92</v>
      </c>
    </row>
    <row r="132" customFormat="false" ht="23.25" hidden="false" customHeight="true" outlineLevel="0" collapsed="false">
      <c r="A132" s="7" t="n">
        <v>131</v>
      </c>
      <c r="B132" s="7" t="s">
        <v>1033</v>
      </c>
      <c r="C132" s="7" t="s">
        <v>1034</v>
      </c>
      <c r="D132" s="7" t="n">
        <f aca="false">VALUE(LEFT(B132,4))</f>
        <v>1964</v>
      </c>
      <c r="E132" s="7" t="n">
        <f aca="false">INT((D132-1)/100)+1</f>
        <v>20</v>
      </c>
      <c r="F132" s="7" t="s">
        <v>842</v>
      </c>
      <c r="G132" s="7" t="s">
        <v>1035</v>
      </c>
      <c r="H132" s="7" t="s">
        <v>1036</v>
      </c>
      <c r="I132" s="7" t="s">
        <v>1037</v>
      </c>
      <c r="J132" s="7" t="s">
        <v>737</v>
      </c>
      <c r="K132" s="7" t="s">
        <v>1038</v>
      </c>
      <c r="L132" s="7" t="s">
        <v>699</v>
      </c>
      <c r="M132" s="7" t="s">
        <v>642</v>
      </c>
      <c r="N132" s="7" t="s">
        <v>16</v>
      </c>
      <c r="O132" s="7" t="s">
        <v>89</v>
      </c>
      <c r="P132" s="7"/>
      <c r="Q132" s="7" t="s">
        <v>1033</v>
      </c>
      <c r="R132" s="7" t="n">
        <f aca="false">VALUE(LEFT(Q132,4))</f>
        <v>1964</v>
      </c>
      <c r="S132" s="7" t="n">
        <f aca="false">VALUE(MID(Q132,6,2))</f>
        <v>12</v>
      </c>
      <c r="T132" s="7" t="n">
        <f aca="false">VALUE(RIGHT(Q132,2))</f>
        <v>4</v>
      </c>
      <c r="U132" s="7" t="s">
        <v>139</v>
      </c>
      <c r="V132" s="7" t="s">
        <v>140</v>
      </c>
    </row>
    <row r="133" customFormat="false" ht="23.25" hidden="false" customHeight="true" outlineLevel="0" collapsed="false">
      <c r="A133" s="7" t="n">
        <v>132</v>
      </c>
      <c r="B133" s="7" t="s">
        <v>1039</v>
      </c>
      <c r="C133" s="7" t="s">
        <v>1040</v>
      </c>
      <c r="D133" s="7" t="n">
        <f aca="false">VALUE(LEFT(B133,4))</f>
        <v>1966</v>
      </c>
      <c r="E133" s="7" t="n">
        <f aca="false">INT((D133-1)/100)+1</f>
        <v>20</v>
      </c>
      <c r="F133" s="7" t="s">
        <v>233</v>
      </c>
      <c r="G133" s="7" t="s">
        <v>1041</v>
      </c>
      <c r="H133" s="7" t="s">
        <v>1042</v>
      </c>
      <c r="I133" s="7" t="s">
        <v>1043</v>
      </c>
      <c r="J133" s="7" t="s">
        <v>324</v>
      </c>
      <c r="K133" s="7" t="s">
        <v>1044</v>
      </c>
      <c r="L133" s="7" t="s">
        <v>699</v>
      </c>
      <c r="M133" s="7" t="s">
        <v>642</v>
      </c>
      <c r="N133" s="7" t="s">
        <v>16</v>
      </c>
      <c r="O133" s="7" t="s">
        <v>89</v>
      </c>
      <c r="P133" s="7"/>
      <c r="Q133" s="7" t="s">
        <v>1039</v>
      </c>
      <c r="R133" s="7" t="n">
        <f aca="false">VALUE(LEFT(Q133,4))</f>
        <v>1966</v>
      </c>
      <c r="S133" s="7" t="n">
        <f aca="false">VALUE(MID(Q133,6,2))</f>
        <v>1</v>
      </c>
      <c r="T133" s="7" t="n">
        <f aca="false">VALUE(RIGHT(Q133,2))</f>
        <v>29</v>
      </c>
      <c r="U133" s="7" t="s">
        <v>139</v>
      </c>
      <c r="V133" s="7" t="s">
        <v>140</v>
      </c>
    </row>
    <row r="134" customFormat="false" ht="23.25" hidden="false" customHeight="true" outlineLevel="0" collapsed="false">
      <c r="A134" s="7" t="n">
        <v>133</v>
      </c>
      <c r="B134" s="7" t="s">
        <v>1045</v>
      </c>
      <c r="C134" s="7" t="s">
        <v>1046</v>
      </c>
      <c r="D134" s="7" t="n">
        <f aca="false">VALUE(LEFT(B134,4))</f>
        <v>1966</v>
      </c>
      <c r="E134" s="7" t="n">
        <f aca="false">INT((D134-1)/100)+1</f>
        <v>20</v>
      </c>
      <c r="F134" s="7" t="s">
        <v>1047</v>
      </c>
      <c r="G134" s="7" t="s">
        <v>1048</v>
      </c>
      <c r="H134" s="7" t="s">
        <v>982</v>
      </c>
      <c r="I134" s="7" t="s">
        <v>1049</v>
      </c>
      <c r="J134" s="7" t="s">
        <v>737</v>
      </c>
      <c r="K134" s="7" t="s">
        <v>1050</v>
      </c>
      <c r="L134" s="7" t="s">
        <v>583</v>
      </c>
      <c r="M134" s="7"/>
      <c r="N134" s="7" t="s">
        <v>18</v>
      </c>
      <c r="O134" s="7" t="s">
        <v>108</v>
      </c>
      <c r="P134" s="7"/>
      <c r="Q134" s="7" t="s">
        <v>1051</v>
      </c>
      <c r="R134" s="7" t="n">
        <f aca="false">VALUE(LEFT(Q134,4))</f>
        <v>1966</v>
      </c>
      <c r="S134" s="7" t="n">
        <f aca="false">VALUE(MID(Q134,6,2))</f>
        <v>7</v>
      </c>
      <c r="T134" s="7" t="n">
        <f aca="false">VALUE(RIGHT(Q134,2))</f>
        <v>3</v>
      </c>
      <c r="U134" s="7" t="s">
        <v>139</v>
      </c>
      <c r="V134" s="7" t="s">
        <v>1052</v>
      </c>
    </row>
    <row r="135" customFormat="false" ht="23.25" hidden="false" customHeight="true" outlineLevel="0" collapsed="false">
      <c r="A135" s="7" t="n">
        <v>134</v>
      </c>
      <c r="B135" s="7" t="s">
        <v>1053</v>
      </c>
      <c r="C135" s="7" t="s">
        <v>1054</v>
      </c>
      <c r="D135" s="7" t="n">
        <f aca="false">VALUE(LEFT(B135,4))</f>
        <v>1969</v>
      </c>
      <c r="E135" s="7" t="n">
        <f aca="false">INT((D135-1)/100)+1</f>
        <v>20</v>
      </c>
      <c r="F135" s="7" t="s">
        <v>153</v>
      </c>
      <c r="G135" s="7" t="s">
        <v>1055</v>
      </c>
      <c r="H135" s="7" t="s">
        <v>982</v>
      </c>
      <c r="I135" s="7" t="s">
        <v>1056</v>
      </c>
      <c r="J135" s="7" t="s">
        <v>324</v>
      </c>
      <c r="K135" s="7" t="s">
        <v>1057</v>
      </c>
      <c r="L135" s="7" t="s">
        <v>1058</v>
      </c>
      <c r="M135" s="7" t="s">
        <v>642</v>
      </c>
      <c r="N135" s="7" t="s">
        <v>16</v>
      </c>
      <c r="O135" s="7" t="s">
        <v>89</v>
      </c>
      <c r="P135" s="7" t="s">
        <v>1059</v>
      </c>
      <c r="Q135" s="7" t="s">
        <v>1053</v>
      </c>
      <c r="R135" s="7" t="n">
        <f aca="false">VALUE(LEFT(Q135,4))</f>
        <v>1969</v>
      </c>
      <c r="S135" s="7" t="n">
        <f aca="false">VALUE(MID(Q135,6,2))</f>
        <v>12</v>
      </c>
      <c r="T135" s="7" t="n">
        <f aca="false">VALUE(RIGHT(Q135,2))</f>
        <v>25</v>
      </c>
      <c r="U135" s="7" t="s">
        <v>139</v>
      </c>
      <c r="V135" s="7" t="s">
        <v>140</v>
      </c>
    </row>
    <row r="136" customFormat="false" ht="23.25" hidden="false" customHeight="true" outlineLevel="0" collapsed="false">
      <c r="A136" s="7" t="n">
        <v>135</v>
      </c>
      <c r="B136" s="7" t="s">
        <v>1060</v>
      </c>
      <c r="C136" s="7" t="s">
        <v>1060</v>
      </c>
      <c r="D136" s="7" t="n">
        <f aca="false">VALUE(LEFT(B136,4))</f>
        <v>1971</v>
      </c>
      <c r="E136" s="7" t="n">
        <f aca="false">INT((D136-1)/100)+1</f>
        <v>20</v>
      </c>
      <c r="F136" s="7" t="s">
        <v>252</v>
      </c>
      <c r="G136" s="7" t="s">
        <v>1061</v>
      </c>
      <c r="H136" s="7" t="s">
        <v>324</v>
      </c>
      <c r="I136" s="7" t="s">
        <v>1062</v>
      </c>
      <c r="J136" s="7" t="s">
        <v>324</v>
      </c>
      <c r="K136" s="7"/>
      <c r="L136" s="7" t="s">
        <v>583</v>
      </c>
      <c r="M136" s="7"/>
      <c r="N136" s="7" t="s">
        <v>18</v>
      </c>
      <c r="O136" s="7" t="s">
        <v>108</v>
      </c>
      <c r="P136" s="7" t="s">
        <v>1063</v>
      </c>
      <c r="Q136" s="7" t="s">
        <v>1060</v>
      </c>
      <c r="R136" s="7" t="n">
        <f aca="false">VALUE(LEFT(Q136,4))</f>
        <v>1971</v>
      </c>
      <c r="S136" s="7" t="n">
        <f aca="false">VALUE(MID(Q136,6,2))</f>
        <v>1</v>
      </c>
      <c r="T136" s="7" t="n">
        <f aca="false">VALUE(RIGHT(Q136,2))</f>
        <v>19</v>
      </c>
      <c r="U136" s="7" t="s">
        <v>91</v>
      </c>
      <c r="V136" s="7" t="s">
        <v>92</v>
      </c>
    </row>
    <row r="137" customFormat="false" ht="23.25" hidden="false" customHeight="true" outlineLevel="0" collapsed="false">
      <c r="A137" s="7" t="n">
        <v>136</v>
      </c>
      <c r="B137" s="7" t="s">
        <v>1064</v>
      </c>
      <c r="C137" s="7" t="s">
        <v>1065</v>
      </c>
      <c r="D137" s="7" t="n">
        <f aca="false">VALUE(LEFT(B137,4))</f>
        <v>1971</v>
      </c>
      <c r="E137" s="7" t="n">
        <f aca="false">INT((D137-1)/100)+1</f>
        <v>20</v>
      </c>
      <c r="F137" s="7" t="s">
        <v>153</v>
      </c>
      <c r="G137" s="7" t="s">
        <v>1066</v>
      </c>
      <c r="H137" s="7" t="s">
        <v>1067</v>
      </c>
      <c r="I137" s="7" t="s">
        <v>1068</v>
      </c>
      <c r="J137" s="7" t="s">
        <v>324</v>
      </c>
      <c r="K137" s="7" t="s">
        <v>1069</v>
      </c>
      <c r="L137" s="7" t="s">
        <v>699</v>
      </c>
      <c r="M137" s="7" t="s">
        <v>642</v>
      </c>
      <c r="N137" s="7" t="s">
        <v>16</v>
      </c>
      <c r="O137" s="7" t="s">
        <v>89</v>
      </c>
      <c r="P137" s="7"/>
      <c r="Q137" s="7" t="s">
        <v>1064</v>
      </c>
      <c r="R137" s="7" t="n">
        <f aca="false">VALUE(LEFT(Q137,4))</f>
        <v>1971</v>
      </c>
      <c r="S137" s="7" t="n">
        <f aca="false">VALUE(MID(Q137,6,2))</f>
        <v>11</v>
      </c>
      <c r="T137" s="7" t="n">
        <f aca="false">VALUE(RIGHT(Q137,2))</f>
        <v>24</v>
      </c>
      <c r="U137" s="7" t="s">
        <v>139</v>
      </c>
      <c r="V137" s="7" t="s">
        <v>140</v>
      </c>
    </row>
    <row r="138" customFormat="false" ht="23.25" hidden="false" customHeight="true" outlineLevel="0" collapsed="false">
      <c r="A138" s="7" t="n">
        <v>137</v>
      </c>
      <c r="B138" s="7" t="s">
        <v>1070</v>
      </c>
      <c r="C138" s="7" t="s">
        <v>1071</v>
      </c>
      <c r="D138" s="7" t="n">
        <f aca="false">VALUE(LEFT(B138,4))</f>
        <v>1972</v>
      </c>
      <c r="E138" s="7" t="n">
        <f aca="false">INT((D138-1)/100)+1</f>
        <v>20</v>
      </c>
      <c r="F138" s="7" t="s">
        <v>111</v>
      </c>
      <c r="G138" s="7" t="s">
        <v>1072</v>
      </c>
      <c r="H138" s="7" t="s">
        <v>1073</v>
      </c>
      <c r="I138" s="7" t="s">
        <v>1074</v>
      </c>
      <c r="J138" s="7" t="s">
        <v>970</v>
      </c>
      <c r="K138" s="7" t="s">
        <v>1075</v>
      </c>
      <c r="L138" s="7" t="s">
        <v>699</v>
      </c>
      <c r="M138" s="7" t="s">
        <v>642</v>
      </c>
      <c r="N138" s="7" t="s">
        <v>16</v>
      </c>
      <c r="O138" s="7" t="s">
        <v>89</v>
      </c>
      <c r="P138" s="7"/>
      <c r="Q138" s="7" t="s">
        <v>1070</v>
      </c>
      <c r="R138" s="7" t="n">
        <f aca="false">VALUE(LEFT(Q138,4))</f>
        <v>1972</v>
      </c>
      <c r="S138" s="7" t="n">
        <f aca="false">VALUE(MID(Q138,6,2))</f>
        <v>6</v>
      </c>
      <c r="T138" s="7" t="n">
        <f aca="false">VALUE(RIGHT(Q138,2))</f>
        <v>19</v>
      </c>
      <c r="U138" s="7" t="s">
        <v>139</v>
      </c>
      <c r="V138" s="7" t="s">
        <v>140</v>
      </c>
    </row>
    <row r="139" customFormat="false" ht="23.25" hidden="false" customHeight="true" outlineLevel="0" collapsed="false">
      <c r="A139" s="7" t="n">
        <v>138</v>
      </c>
      <c r="B139" s="7" t="s">
        <v>1076</v>
      </c>
      <c r="C139" s="7" t="s">
        <v>1076</v>
      </c>
      <c r="D139" s="7" t="n">
        <f aca="false">VALUE(LEFT(B139,4))</f>
        <v>1973</v>
      </c>
      <c r="E139" s="7" t="n">
        <f aca="false">INT((D139-1)/100)+1</f>
        <v>20</v>
      </c>
      <c r="F139" s="7" t="s">
        <v>1000</v>
      </c>
      <c r="G139" s="7" t="s">
        <v>1077</v>
      </c>
      <c r="H139" s="7" t="s">
        <v>1078</v>
      </c>
      <c r="I139" s="7" t="s">
        <v>1079</v>
      </c>
      <c r="J139" s="7" t="s">
        <v>1004</v>
      </c>
      <c r="K139" s="7" t="s">
        <v>1005</v>
      </c>
      <c r="L139" s="7" t="s">
        <v>1006</v>
      </c>
      <c r="M139" s="7" t="s">
        <v>1007</v>
      </c>
      <c r="N139" s="7" t="s">
        <v>16</v>
      </c>
      <c r="O139" s="7" t="s">
        <v>89</v>
      </c>
      <c r="P139" s="7"/>
      <c r="Q139" s="7" t="s">
        <v>1076</v>
      </c>
      <c r="R139" s="7" t="n">
        <f aca="false">VALUE(LEFT(Q139,4))</f>
        <v>1973</v>
      </c>
      <c r="S139" s="7" t="n">
        <f aca="false">VALUE(MID(Q139,6,2))</f>
        <v>8</v>
      </c>
      <c r="T139" s="7" t="n">
        <f aca="false">VALUE(RIGHT(Q139,2))</f>
        <v>28</v>
      </c>
      <c r="U139" s="7" t="s">
        <v>91</v>
      </c>
      <c r="V139" s="7" t="s">
        <v>92</v>
      </c>
    </row>
    <row r="140" customFormat="false" ht="23.25" hidden="false" customHeight="true" outlineLevel="0" collapsed="false">
      <c r="A140" s="7" t="n">
        <v>139</v>
      </c>
      <c r="B140" s="7" t="s">
        <v>1080</v>
      </c>
      <c r="C140" s="7" t="s">
        <v>1081</v>
      </c>
      <c r="D140" s="7" t="n">
        <f aca="false">VALUE(LEFT(B140,4))</f>
        <v>1973</v>
      </c>
      <c r="E140" s="7" t="n">
        <f aca="false">INT((D140-1)/100)+1</f>
        <v>20</v>
      </c>
      <c r="F140" s="7" t="s">
        <v>842</v>
      </c>
      <c r="G140" s="7" t="s">
        <v>1082</v>
      </c>
      <c r="H140" s="7" t="s">
        <v>1083</v>
      </c>
      <c r="I140" s="7" t="s">
        <v>1084</v>
      </c>
      <c r="J140" s="7" t="s">
        <v>737</v>
      </c>
      <c r="K140" s="7"/>
      <c r="L140" s="7" t="s">
        <v>583</v>
      </c>
      <c r="M140" s="7"/>
      <c r="N140" s="7" t="s">
        <v>20</v>
      </c>
      <c r="O140" s="7" t="s">
        <v>108</v>
      </c>
      <c r="P140" s="7" t="s">
        <v>1085</v>
      </c>
      <c r="Q140" s="7" t="s">
        <v>1080</v>
      </c>
      <c r="R140" s="7" t="n">
        <f aca="false">VALUE(LEFT(Q140,4))</f>
        <v>1973</v>
      </c>
      <c r="S140" s="7" t="n">
        <f aca="false">VALUE(MID(Q140,6,2))</f>
        <v>12</v>
      </c>
      <c r="T140" s="7" t="n">
        <f aca="false">VALUE(RIGHT(Q140,2))</f>
        <v>16</v>
      </c>
      <c r="U140" s="7" t="s">
        <v>139</v>
      </c>
      <c r="V140" s="7" t="s">
        <v>140</v>
      </c>
    </row>
    <row r="141" customFormat="false" ht="23.25" hidden="false" customHeight="true" outlineLevel="0" collapsed="false">
      <c r="A141" s="7" t="n">
        <v>140</v>
      </c>
      <c r="B141" s="7" t="s">
        <v>1086</v>
      </c>
      <c r="C141" s="7" t="s">
        <v>1086</v>
      </c>
      <c r="D141" s="7" t="n">
        <f aca="false">VALUE(LEFT(B141,4))</f>
        <v>1974</v>
      </c>
      <c r="E141" s="7" t="n">
        <f aca="false">INT((D141-1)/100)+1</f>
        <v>20</v>
      </c>
      <c r="F141" s="7" t="s">
        <v>1000</v>
      </c>
      <c r="G141" s="7" t="s">
        <v>1087</v>
      </c>
      <c r="H141" s="7" t="s">
        <v>1088</v>
      </c>
      <c r="I141" s="7" t="s">
        <v>1089</v>
      </c>
      <c r="J141" s="7" t="s">
        <v>1004</v>
      </c>
      <c r="K141" s="7" t="s">
        <v>1005</v>
      </c>
      <c r="L141" s="7" t="s">
        <v>1006</v>
      </c>
      <c r="M141" s="7" t="s">
        <v>1007</v>
      </c>
      <c r="N141" s="7" t="s">
        <v>16</v>
      </c>
      <c r="O141" s="7" t="s">
        <v>89</v>
      </c>
      <c r="P141" s="7"/>
      <c r="Q141" s="7" t="s">
        <v>1086</v>
      </c>
      <c r="R141" s="7" t="n">
        <f aca="false">VALUE(LEFT(Q141,4))</f>
        <v>1974</v>
      </c>
      <c r="S141" s="7" t="n">
        <f aca="false">VALUE(MID(Q141,6,2))</f>
        <v>6</v>
      </c>
      <c r="T141" s="7" t="n">
        <f aca="false">VALUE(RIGHT(Q141,2))</f>
        <v>16</v>
      </c>
      <c r="U141" s="7" t="s">
        <v>91</v>
      </c>
      <c r="V141" s="7" t="s">
        <v>92</v>
      </c>
    </row>
    <row r="142" customFormat="false" ht="135.75" hidden="false" customHeight="true" outlineLevel="0" collapsed="false">
      <c r="A142" s="7" t="n">
        <v>141</v>
      </c>
      <c r="B142" s="7" t="s">
        <v>1090</v>
      </c>
      <c r="C142" s="7" t="s">
        <v>1090</v>
      </c>
      <c r="D142" s="7" t="n">
        <f aca="false">VALUE(LEFT(B142,4))</f>
        <v>1975</v>
      </c>
      <c r="E142" s="7" t="n">
        <f aca="false">INT((D142-1)/100)+1</f>
        <v>20</v>
      </c>
      <c r="F142" s="7" t="s">
        <v>745</v>
      </c>
      <c r="G142" s="7" t="s">
        <v>1091</v>
      </c>
      <c r="H142" s="7" t="s">
        <v>1092</v>
      </c>
      <c r="I142" s="7" t="s">
        <v>1093</v>
      </c>
      <c r="J142" s="7" t="s">
        <v>1094</v>
      </c>
      <c r="K142" s="7" t="s">
        <v>1095</v>
      </c>
      <c r="L142" s="7" t="s">
        <v>1096</v>
      </c>
      <c r="M142" s="7" t="s">
        <v>752</v>
      </c>
      <c r="N142" s="7" t="s">
        <v>18</v>
      </c>
      <c r="O142" s="7" t="s">
        <v>89</v>
      </c>
      <c r="P142" s="7" t="s">
        <v>1097</v>
      </c>
      <c r="Q142" s="7" t="s">
        <v>1090</v>
      </c>
      <c r="R142" s="7" t="n">
        <f aca="false">VALUE(LEFT(Q142,4))</f>
        <v>1975</v>
      </c>
      <c r="S142" s="7" t="n">
        <f aca="false">VALUE(MID(Q142,6,2))</f>
        <v>3</v>
      </c>
      <c r="T142" s="7" t="n">
        <f aca="false">VALUE(RIGHT(Q142,2))</f>
        <v>1</v>
      </c>
      <c r="U142" s="7" t="s">
        <v>331</v>
      </c>
      <c r="V142" s="7" t="s">
        <v>92</v>
      </c>
    </row>
    <row r="143" customFormat="false" ht="23.25" hidden="false" customHeight="true" outlineLevel="0" collapsed="false">
      <c r="A143" s="7" t="n">
        <v>142</v>
      </c>
      <c r="B143" s="7" t="s">
        <v>1098</v>
      </c>
      <c r="C143" s="7" t="s">
        <v>1099</v>
      </c>
      <c r="D143" s="7" t="n">
        <f aca="false">VALUE(LEFT(B143,4))</f>
        <v>1975</v>
      </c>
      <c r="E143" s="7" t="n">
        <f aca="false">INT((D143-1)/100)+1</f>
        <v>20</v>
      </c>
      <c r="F143" s="7" t="s">
        <v>111</v>
      </c>
      <c r="G143" s="7" t="s">
        <v>1100</v>
      </c>
      <c r="H143" s="7" t="s">
        <v>1101</v>
      </c>
      <c r="I143" s="7" t="s">
        <v>1102</v>
      </c>
      <c r="J143" s="7" t="s">
        <v>737</v>
      </c>
      <c r="K143" s="7"/>
      <c r="L143" s="7" t="s">
        <v>699</v>
      </c>
      <c r="M143" s="7" t="s">
        <v>642</v>
      </c>
      <c r="N143" s="7" t="s">
        <v>18</v>
      </c>
      <c r="O143" s="7" t="s">
        <v>89</v>
      </c>
      <c r="P143" s="7"/>
      <c r="Q143" s="7" t="s">
        <v>1098</v>
      </c>
      <c r="R143" s="7" t="n">
        <f aca="false">VALUE(LEFT(Q143,4))</f>
        <v>1975</v>
      </c>
      <c r="S143" s="7" t="n">
        <f aca="false">VALUE(MID(Q143,6,2))</f>
        <v>9</v>
      </c>
      <c r="T143" s="7" t="n">
        <f aca="false">VALUE(RIGHT(Q143,2))</f>
        <v>24</v>
      </c>
      <c r="U143" s="7" t="s">
        <v>139</v>
      </c>
      <c r="V143" s="7" t="s">
        <v>140</v>
      </c>
    </row>
    <row r="144" customFormat="false" ht="23.25" hidden="false" customHeight="true" outlineLevel="0" collapsed="false">
      <c r="A144" s="7" t="n">
        <v>143</v>
      </c>
      <c r="B144" s="7" t="s">
        <v>1103</v>
      </c>
      <c r="C144" s="7" t="s">
        <v>1104</v>
      </c>
      <c r="D144" s="7" t="n">
        <f aca="false">VALUE(LEFT(B144,4))</f>
        <v>1976</v>
      </c>
      <c r="E144" s="7" t="n">
        <f aca="false">INT((D144-1)/100)+1</f>
        <v>20</v>
      </c>
      <c r="F144" s="7" t="s">
        <v>567</v>
      </c>
      <c r="G144" s="7" t="s">
        <v>1105</v>
      </c>
      <c r="H144" s="7" t="s">
        <v>1106</v>
      </c>
      <c r="I144" s="7" t="s">
        <v>1107</v>
      </c>
      <c r="J144" s="7" t="s">
        <v>346</v>
      </c>
      <c r="K144" s="7" t="s">
        <v>1108</v>
      </c>
      <c r="L144" s="7" t="s">
        <v>1030</v>
      </c>
      <c r="M144" s="7" t="s">
        <v>1031</v>
      </c>
      <c r="N144" s="7" t="s">
        <v>18</v>
      </c>
      <c r="O144" s="7" t="s">
        <v>89</v>
      </c>
      <c r="P144" s="7" t="s">
        <v>1109</v>
      </c>
      <c r="Q144" s="7" t="s">
        <v>1110</v>
      </c>
      <c r="R144" s="7" t="n">
        <f aca="false">VALUE(LEFT(Q144,4))</f>
        <v>1976</v>
      </c>
      <c r="S144" s="7" t="n">
        <f aca="false">VALUE(MID(Q144,6,2))</f>
        <v>2</v>
      </c>
      <c r="T144" s="7" t="n">
        <f aca="false">VALUE(RIGHT(Q144,2))</f>
        <v>22</v>
      </c>
      <c r="U144" s="7" t="s">
        <v>331</v>
      </c>
      <c r="V144" s="7" t="s">
        <v>332</v>
      </c>
    </row>
    <row r="145" customFormat="false" ht="23.25" hidden="false" customHeight="true" outlineLevel="0" collapsed="false">
      <c r="A145" s="7" t="n">
        <v>144</v>
      </c>
      <c r="B145" s="7" t="s">
        <v>1111</v>
      </c>
      <c r="C145" s="7" t="s">
        <v>1111</v>
      </c>
      <c r="D145" s="7" t="n">
        <f aca="false">VALUE(LEFT(B145,4))</f>
        <v>1976</v>
      </c>
      <c r="E145" s="7" t="n">
        <f aca="false">INT((D145-1)/100)+1</f>
        <v>20</v>
      </c>
      <c r="F145" s="7" t="s">
        <v>1112</v>
      </c>
      <c r="G145" s="7" t="s">
        <v>1113</v>
      </c>
      <c r="H145" s="7" t="s">
        <v>324</v>
      </c>
      <c r="I145" s="7" t="s">
        <v>1114</v>
      </c>
      <c r="J145" s="7" t="s">
        <v>324</v>
      </c>
      <c r="K145" s="7" t="s">
        <v>1115</v>
      </c>
      <c r="L145" s="7" t="s">
        <v>699</v>
      </c>
      <c r="M145" s="7" t="s">
        <v>642</v>
      </c>
      <c r="N145" s="7" t="s">
        <v>16</v>
      </c>
      <c r="O145" s="7" t="s">
        <v>89</v>
      </c>
      <c r="P145" s="7"/>
      <c r="Q145" s="7" t="s">
        <v>1111</v>
      </c>
      <c r="R145" s="7" t="n">
        <f aca="false">VALUE(LEFT(Q145,4))</f>
        <v>1976</v>
      </c>
      <c r="S145" s="7" t="n">
        <f aca="false">VALUE(MID(Q145,6,2))</f>
        <v>2</v>
      </c>
      <c r="T145" s="7" t="n">
        <f aca="false">VALUE(RIGHT(Q145,2))</f>
        <v>2</v>
      </c>
      <c r="U145" s="7" t="s">
        <v>91</v>
      </c>
      <c r="V145" s="7" t="s">
        <v>92</v>
      </c>
    </row>
    <row r="146" customFormat="false" ht="23.25" hidden="false" customHeight="true" outlineLevel="0" collapsed="false">
      <c r="A146" s="7" t="n">
        <v>145</v>
      </c>
      <c r="B146" s="7" t="s">
        <v>1116</v>
      </c>
      <c r="C146" s="7" t="s">
        <v>1117</v>
      </c>
      <c r="D146" s="7" t="n">
        <f aca="false">VALUE(LEFT(B146,4))</f>
        <v>1977</v>
      </c>
      <c r="E146" s="7" t="n">
        <f aca="false">INT((D146-1)/100)+1</f>
        <v>20</v>
      </c>
      <c r="F146" s="7" t="s">
        <v>120</v>
      </c>
      <c r="G146" s="7" t="s">
        <v>1118</v>
      </c>
      <c r="H146" s="7" t="s">
        <v>735</v>
      </c>
      <c r="I146" s="7" t="s">
        <v>1119</v>
      </c>
      <c r="J146" s="7" t="s">
        <v>737</v>
      </c>
      <c r="K146" s="7" t="s">
        <v>1120</v>
      </c>
      <c r="L146" s="7" t="s">
        <v>583</v>
      </c>
      <c r="M146" s="7"/>
      <c r="N146" s="7" t="s">
        <v>18</v>
      </c>
      <c r="O146" s="7" t="s">
        <v>108</v>
      </c>
      <c r="P146" s="7"/>
      <c r="Q146" s="7" t="s">
        <v>1121</v>
      </c>
      <c r="R146" s="7" t="n">
        <f aca="false">VALUE(LEFT(Q146,4))</f>
        <v>1977</v>
      </c>
      <c r="S146" s="7" t="n">
        <f aca="false">VALUE(MID(Q146,6,2))</f>
        <v>1</v>
      </c>
      <c r="T146" s="7" t="n">
        <f aca="false">VALUE(RIGHT(Q146,2))</f>
        <v>17</v>
      </c>
      <c r="U146" s="7" t="s">
        <v>331</v>
      </c>
      <c r="V146" s="7" t="s">
        <v>1122</v>
      </c>
    </row>
    <row r="147" customFormat="false" ht="23.25" hidden="false" customHeight="true" outlineLevel="0" collapsed="false">
      <c r="A147" s="7" t="n">
        <v>146</v>
      </c>
      <c r="B147" s="7" t="s">
        <v>1123</v>
      </c>
      <c r="C147" s="7" t="s">
        <v>1124</v>
      </c>
      <c r="D147" s="7" t="n">
        <f aca="false">VALUE(LEFT(B147,4))</f>
        <v>1977</v>
      </c>
      <c r="E147" s="7" t="n">
        <f aca="false">INT((D147-1)/100)+1</f>
        <v>20</v>
      </c>
      <c r="F147" s="7" t="s">
        <v>788</v>
      </c>
      <c r="G147" s="7" t="s">
        <v>1125</v>
      </c>
      <c r="H147" s="7" t="s">
        <v>1126</v>
      </c>
      <c r="I147" s="7" t="s">
        <v>1127</v>
      </c>
      <c r="J147" s="7" t="s">
        <v>935</v>
      </c>
      <c r="K147" s="7" t="s">
        <v>1128</v>
      </c>
      <c r="L147" s="7" t="s">
        <v>699</v>
      </c>
      <c r="M147" s="7" t="s">
        <v>642</v>
      </c>
      <c r="N147" s="7" t="s">
        <v>16</v>
      </c>
      <c r="O147" s="7" t="s">
        <v>89</v>
      </c>
      <c r="P147" s="7"/>
      <c r="Q147" s="7" t="s">
        <v>1123</v>
      </c>
      <c r="R147" s="7" t="n">
        <f aca="false">VALUE(LEFT(Q147,4))</f>
        <v>1977</v>
      </c>
      <c r="S147" s="7" t="n">
        <f aca="false">VALUE(MID(Q147,6,2))</f>
        <v>3</v>
      </c>
      <c r="T147" s="7" t="n">
        <f aca="false">VALUE(RIGHT(Q147,2))</f>
        <v>13</v>
      </c>
      <c r="U147" s="7" t="s">
        <v>139</v>
      </c>
      <c r="V147" s="7" t="s">
        <v>140</v>
      </c>
    </row>
    <row r="148" customFormat="false" ht="23.25" hidden="false" customHeight="true" outlineLevel="0" collapsed="false">
      <c r="A148" s="7" t="n">
        <v>147</v>
      </c>
      <c r="B148" s="7" t="s">
        <v>1129</v>
      </c>
      <c r="C148" s="7" t="s">
        <v>1130</v>
      </c>
      <c r="D148" s="7" t="n">
        <f aca="false">VALUE(LEFT(B148,4))</f>
        <v>1978</v>
      </c>
      <c r="E148" s="7" t="n">
        <f aca="false">INT((D148-1)/100)+1</f>
        <v>20</v>
      </c>
      <c r="F148" s="7" t="s">
        <v>1131</v>
      </c>
      <c r="G148" s="7" t="s">
        <v>1132</v>
      </c>
      <c r="H148" s="7" t="s">
        <v>1133</v>
      </c>
      <c r="I148" s="7" t="s">
        <v>1134</v>
      </c>
      <c r="J148" s="7" t="s">
        <v>899</v>
      </c>
      <c r="K148" s="7" t="s">
        <v>1135</v>
      </c>
      <c r="L148" s="7" t="s">
        <v>699</v>
      </c>
      <c r="M148" s="7" t="s">
        <v>642</v>
      </c>
      <c r="N148" s="7" t="s">
        <v>16</v>
      </c>
      <c r="O148" s="7" t="s">
        <v>89</v>
      </c>
      <c r="P148" s="7"/>
      <c r="Q148" s="7" t="s">
        <v>1136</v>
      </c>
      <c r="R148" s="7" t="n">
        <f aca="false">VALUE(LEFT(Q148,4))</f>
        <v>1978</v>
      </c>
      <c r="S148" s="7" t="n">
        <f aca="false">VALUE(MID(Q148,6,2))</f>
        <v>1</v>
      </c>
      <c r="T148" s="7" t="n">
        <f aca="false">VALUE(RIGHT(Q148,2))</f>
        <v>16</v>
      </c>
      <c r="U148" s="7" t="s">
        <v>331</v>
      </c>
      <c r="V148" s="7" t="s">
        <v>332</v>
      </c>
    </row>
    <row r="149" customFormat="false" ht="23.25" hidden="false" customHeight="true" outlineLevel="0" collapsed="false">
      <c r="A149" s="7" t="n">
        <v>148</v>
      </c>
      <c r="B149" s="7" t="s">
        <v>1137</v>
      </c>
      <c r="C149" s="7" t="s">
        <v>1138</v>
      </c>
      <c r="D149" s="7" t="n">
        <f aca="false">VALUE(LEFT(B149,4))</f>
        <v>1978</v>
      </c>
      <c r="E149" s="7" t="n">
        <f aca="false">INT((D149-1)/100)+1</f>
        <v>20</v>
      </c>
      <c r="F149" s="7" t="s">
        <v>233</v>
      </c>
      <c r="G149" s="7" t="s">
        <v>1139</v>
      </c>
      <c r="H149" s="7" t="s">
        <v>982</v>
      </c>
      <c r="I149" s="7" t="s">
        <v>1140</v>
      </c>
      <c r="J149" s="7" t="s">
        <v>324</v>
      </c>
      <c r="K149" s="7" t="s">
        <v>1141</v>
      </c>
      <c r="L149" s="7" t="s">
        <v>699</v>
      </c>
      <c r="M149" s="7" t="s">
        <v>642</v>
      </c>
      <c r="N149" s="7" t="s">
        <v>16</v>
      </c>
      <c r="O149" s="7" t="s">
        <v>89</v>
      </c>
      <c r="P149" s="7"/>
      <c r="Q149" s="7" t="s">
        <v>1137</v>
      </c>
      <c r="R149" s="7" t="n">
        <f aca="false">VALUE(LEFT(Q149,4))</f>
        <v>1978</v>
      </c>
      <c r="S149" s="7" t="n">
        <f aca="false">VALUE(MID(Q149,6,2))</f>
        <v>2</v>
      </c>
      <c r="T149" s="7" t="n">
        <f aca="false">VALUE(RIGHT(Q149,2))</f>
        <v>6</v>
      </c>
      <c r="U149" s="7" t="s">
        <v>139</v>
      </c>
      <c r="V149" s="7" t="s">
        <v>140</v>
      </c>
    </row>
    <row r="150" customFormat="false" ht="45.75" hidden="false" customHeight="true" outlineLevel="0" collapsed="false">
      <c r="A150" s="7" t="n">
        <v>149</v>
      </c>
      <c r="B150" s="7" t="s">
        <v>1142</v>
      </c>
      <c r="C150" s="7" t="s">
        <v>1143</v>
      </c>
      <c r="D150" s="7" t="n">
        <f aca="false">VALUE(LEFT(B150,4))</f>
        <v>1979</v>
      </c>
      <c r="E150" s="7" t="n">
        <f aca="false">INT((D150-1)/100)+1</f>
        <v>20</v>
      </c>
      <c r="F150" s="7" t="s">
        <v>567</v>
      </c>
      <c r="G150" s="7" t="s">
        <v>1144</v>
      </c>
      <c r="H150" s="7" t="s">
        <v>1145</v>
      </c>
      <c r="I150" s="7" t="s">
        <v>1146</v>
      </c>
      <c r="J150" s="7" t="s">
        <v>346</v>
      </c>
      <c r="K150" s="7" t="s">
        <v>1147</v>
      </c>
      <c r="L150" s="7" t="s">
        <v>1030</v>
      </c>
      <c r="M150" s="7" t="s">
        <v>1031</v>
      </c>
      <c r="N150" s="7" t="s">
        <v>18</v>
      </c>
      <c r="O150" s="7" t="s">
        <v>89</v>
      </c>
      <c r="P150" s="7" t="s">
        <v>1148</v>
      </c>
      <c r="Q150" s="7" t="s">
        <v>1149</v>
      </c>
      <c r="R150" s="7" t="n">
        <f aca="false">VALUE(LEFT(Q150,4))</f>
        <v>1979</v>
      </c>
      <c r="S150" s="7" t="n">
        <f aca="false">VALUE(MID(Q150,6,2))</f>
        <v>2</v>
      </c>
      <c r="T150" s="7" t="n">
        <f aca="false">VALUE(RIGHT(Q150,2))</f>
        <v>13</v>
      </c>
      <c r="U150" s="7" t="s">
        <v>128</v>
      </c>
      <c r="V150" s="7" t="s">
        <v>339</v>
      </c>
    </row>
    <row r="151" customFormat="false" ht="23.25" hidden="false" customHeight="true" outlineLevel="0" collapsed="false">
      <c r="A151" s="7" t="n">
        <v>150</v>
      </c>
      <c r="B151" s="7" t="s">
        <v>1150</v>
      </c>
      <c r="C151" s="7" t="s">
        <v>1151</v>
      </c>
      <c r="D151" s="7" t="n">
        <f aca="false">VALUE(LEFT(B151,4))</f>
        <v>1979</v>
      </c>
      <c r="E151" s="7" t="n">
        <f aca="false">INT((D151-1)/100)+1</f>
        <v>20</v>
      </c>
      <c r="F151" s="7" t="s">
        <v>1131</v>
      </c>
      <c r="G151" s="7" t="s">
        <v>1152</v>
      </c>
      <c r="H151" s="7" t="s">
        <v>1153</v>
      </c>
      <c r="I151" s="7" t="s">
        <v>1154</v>
      </c>
      <c r="J151" s="7" t="s">
        <v>737</v>
      </c>
      <c r="K151" s="7"/>
      <c r="L151" s="7" t="s">
        <v>699</v>
      </c>
      <c r="M151" s="7" t="s">
        <v>642</v>
      </c>
      <c r="N151" s="7" t="s">
        <v>18</v>
      </c>
      <c r="O151" s="7" t="s">
        <v>89</v>
      </c>
      <c r="P151" s="7"/>
      <c r="Q151" s="7" t="s">
        <v>1155</v>
      </c>
      <c r="R151" s="7" t="n">
        <f aca="false">VALUE(LEFT(Q151,4))</f>
        <v>1979</v>
      </c>
      <c r="S151" s="7" t="n">
        <f aca="false">VALUE(MID(Q151,6,2))</f>
        <v>3</v>
      </c>
      <c r="T151" s="7" t="n">
        <f aca="false">VALUE(RIGHT(Q151,2))</f>
        <v>16</v>
      </c>
      <c r="U151" s="7" t="s">
        <v>331</v>
      </c>
      <c r="V151" s="7" t="s">
        <v>332</v>
      </c>
    </row>
    <row r="152" customFormat="false" ht="23.25" hidden="false" customHeight="true" outlineLevel="0" collapsed="false">
      <c r="A152" s="7" t="n">
        <v>151</v>
      </c>
      <c r="B152" s="7" t="s">
        <v>1156</v>
      </c>
      <c r="C152" s="7" t="s">
        <v>1157</v>
      </c>
      <c r="D152" s="7" t="n">
        <f aca="false">VALUE(LEFT(B152,4))</f>
        <v>1980</v>
      </c>
      <c r="E152" s="7" t="n">
        <f aca="false">INT((D152-1)/100)+1</f>
        <v>20</v>
      </c>
      <c r="F152" s="7" t="s">
        <v>143</v>
      </c>
      <c r="G152" s="7" t="s">
        <v>1158</v>
      </c>
      <c r="H152" s="7" t="s">
        <v>1159</v>
      </c>
      <c r="I152" s="7" t="s">
        <v>1160</v>
      </c>
      <c r="J152" s="7" t="s">
        <v>737</v>
      </c>
      <c r="K152" s="7" t="s">
        <v>1161</v>
      </c>
      <c r="L152" s="7" t="s">
        <v>699</v>
      </c>
      <c r="M152" s="7" t="s">
        <v>642</v>
      </c>
      <c r="N152" s="7" t="s">
        <v>16</v>
      </c>
      <c r="O152" s="7" t="s">
        <v>89</v>
      </c>
      <c r="P152" s="7"/>
      <c r="Q152" s="7" t="s">
        <v>1162</v>
      </c>
      <c r="R152" s="7" t="n">
        <f aca="false">VALUE(LEFT(Q152,4))</f>
        <v>1980</v>
      </c>
      <c r="S152" s="7" t="n">
        <f aca="false">VALUE(MID(Q152,6,2))</f>
        <v>3</v>
      </c>
      <c r="T152" s="7" t="n">
        <f aca="false">VALUE(RIGHT(Q152,2))</f>
        <v>16</v>
      </c>
      <c r="U152" s="7" t="s">
        <v>331</v>
      </c>
      <c r="V152" s="7" t="s">
        <v>332</v>
      </c>
    </row>
    <row r="153" customFormat="false" ht="23.25" hidden="false" customHeight="true" outlineLevel="0" collapsed="false">
      <c r="A153" s="7" t="n">
        <v>152</v>
      </c>
      <c r="B153" s="7" t="s">
        <v>1163</v>
      </c>
      <c r="C153" s="7" t="s">
        <v>1164</v>
      </c>
      <c r="D153" s="7" t="n">
        <f aca="false">VALUE(LEFT(B153,4))</f>
        <v>1980</v>
      </c>
      <c r="E153" s="7" t="n">
        <f aca="false">INT((D153-1)/100)+1</f>
        <v>20</v>
      </c>
      <c r="F153" s="7" t="s">
        <v>852</v>
      </c>
      <c r="G153" s="7" t="s">
        <v>1165</v>
      </c>
      <c r="H153" s="7" t="s">
        <v>1166</v>
      </c>
      <c r="I153" s="7" t="s">
        <v>1167</v>
      </c>
      <c r="J153" s="7" t="s">
        <v>737</v>
      </c>
      <c r="K153" s="7"/>
      <c r="L153" s="7" t="s">
        <v>583</v>
      </c>
      <c r="M153" s="7"/>
      <c r="N153" s="7" t="s">
        <v>18</v>
      </c>
      <c r="O153" s="7" t="s">
        <v>108</v>
      </c>
      <c r="P153" s="7"/>
      <c r="Q153" s="7" t="s">
        <v>1168</v>
      </c>
      <c r="R153" s="7" t="n">
        <f aca="false">VALUE(LEFT(Q153,4))</f>
        <v>1981</v>
      </c>
      <c r="S153" s="7" t="n">
        <f aca="false">VALUE(MID(Q153,6,2))</f>
        <v>1</v>
      </c>
      <c r="T153" s="7" t="n">
        <f aca="false">VALUE(RIGHT(Q153,2))</f>
        <v>15</v>
      </c>
      <c r="U153" s="7" t="s">
        <v>128</v>
      </c>
      <c r="V153" s="7" t="s">
        <v>1169</v>
      </c>
    </row>
    <row r="154" customFormat="false" ht="23.25" hidden="false" customHeight="true" outlineLevel="0" collapsed="false">
      <c r="A154" s="7" t="n">
        <v>153</v>
      </c>
      <c r="B154" s="7" t="s">
        <v>1170</v>
      </c>
      <c r="C154" s="7" t="s">
        <v>1171</v>
      </c>
      <c r="D154" s="7" t="n">
        <f aca="false">VALUE(LEFT(B154,4))</f>
        <v>1981</v>
      </c>
      <c r="E154" s="7" t="n">
        <f aca="false">INT((D154-1)/100)+1</f>
        <v>20</v>
      </c>
      <c r="F154" s="7" t="s">
        <v>1131</v>
      </c>
      <c r="G154" s="7" t="s">
        <v>1172</v>
      </c>
      <c r="H154" s="7" t="s">
        <v>1173</v>
      </c>
      <c r="I154" s="7" t="s">
        <v>1174</v>
      </c>
      <c r="J154" s="7" t="s">
        <v>737</v>
      </c>
      <c r="K154" s="7"/>
      <c r="L154" s="7" t="s">
        <v>699</v>
      </c>
      <c r="M154" s="7" t="s">
        <v>642</v>
      </c>
      <c r="N154" s="7" t="s">
        <v>18</v>
      </c>
      <c r="O154" s="7" t="s">
        <v>89</v>
      </c>
      <c r="P154" s="7"/>
      <c r="Q154" s="7" t="s">
        <v>1175</v>
      </c>
      <c r="R154" s="7" t="n">
        <f aca="false">VALUE(LEFT(Q154,4))</f>
        <v>1981</v>
      </c>
      <c r="S154" s="7" t="n">
        <f aca="false">VALUE(MID(Q154,6,2))</f>
        <v>2</v>
      </c>
      <c r="T154" s="7" t="n">
        <f aca="false">VALUE(RIGHT(Q154,2))</f>
        <v>14</v>
      </c>
      <c r="U154" s="7" t="s">
        <v>331</v>
      </c>
      <c r="V154" s="7" t="s">
        <v>332</v>
      </c>
    </row>
    <row r="155" customFormat="false" ht="23.25" hidden="false" customHeight="true" outlineLevel="0" collapsed="false">
      <c r="A155" s="7" t="n">
        <v>154</v>
      </c>
      <c r="B155" s="7" t="s">
        <v>1176</v>
      </c>
      <c r="C155" s="7" t="s">
        <v>1177</v>
      </c>
      <c r="D155" s="7" t="n">
        <f aca="false">VALUE(LEFT(B155,4))</f>
        <v>1982</v>
      </c>
      <c r="E155" s="7" t="n">
        <f aca="false">INT((D155-1)/100)+1</f>
        <v>20</v>
      </c>
      <c r="F155" s="7" t="s">
        <v>233</v>
      </c>
      <c r="G155" s="7" t="s">
        <v>1178</v>
      </c>
      <c r="H155" s="7" t="s">
        <v>982</v>
      </c>
      <c r="I155" s="7" t="s">
        <v>1179</v>
      </c>
      <c r="J155" s="7" t="s">
        <v>324</v>
      </c>
      <c r="K155" s="7" t="s">
        <v>1180</v>
      </c>
      <c r="L155" s="7" t="s">
        <v>699</v>
      </c>
      <c r="M155" s="7" t="s">
        <v>642</v>
      </c>
      <c r="N155" s="7" t="s">
        <v>16</v>
      </c>
      <c r="O155" s="7" t="s">
        <v>89</v>
      </c>
      <c r="P155" s="7"/>
      <c r="Q155" s="7" t="s">
        <v>1176</v>
      </c>
      <c r="R155" s="7" t="n">
        <f aca="false">VALUE(LEFT(Q155,4))</f>
        <v>1982</v>
      </c>
      <c r="S155" s="7" t="n">
        <f aca="false">VALUE(MID(Q155,6,2))</f>
        <v>4</v>
      </c>
      <c r="T155" s="7" t="n">
        <f aca="false">VALUE(RIGHT(Q155,2))</f>
        <v>6</v>
      </c>
      <c r="U155" s="7" t="s">
        <v>139</v>
      </c>
      <c r="V155" s="7" t="s">
        <v>140</v>
      </c>
    </row>
    <row r="156" customFormat="false" ht="23.25" hidden="false" customHeight="true" outlineLevel="0" collapsed="false">
      <c r="A156" s="7" t="n">
        <v>155</v>
      </c>
      <c r="B156" s="7" t="s">
        <v>1181</v>
      </c>
      <c r="C156" s="7" t="s">
        <v>1182</v>
      </c>
      <c r="D156" s="7" t="n">
        <f aca="false">VALUE(LEFT(B156,4))</f>
        <v>1983</v>
      </c>
      <c r="E156" s="7" t="n">
        <f aca="false">INT((D156-1)/100)+1</f>
        <v>20</v>
      </c>
      <c r="F156" s="7" t="s">
        <v>173</v>
      </c>
      <c r="G156" s="7" t="s">
        <v>1183</v>
      </c>
      <c r="H156" s="7" t="s">
        <v>982</v>
      </c>
      <c r="I156" s="7" t="s">
        <v>1184</v>
      </c>
      <c r="J156" s="7" t="s">
        <v>324</v>
      </c>
      <c r="K156" s="7" t="s">
        <v>1185</v>
      </c>
      <c r="L156" s="7" t="s">
        <v>699</v>
      </c>
      <c r="M156" s="7" t="s">
        <v>642</v>
      </c>
      <c r="N156" s="7" t="s">
        <v>16</v>
      </c>
      <c r="O156" s="7" t="s">
        <v>89</v>
      </c>
      <c r="P156" s="7"/>
      <c r="Q156" s="7" t="s">
        <v>1181</v>
      </c>
      <c r="R156" s="7" t="n">
        <f aca="false">VALUE(LEFT(Q156,4))</f>
        <v>1983</v>
      </c>
      <c r="S156" s="7" t="n">
        <f aca="false">VALUE(MID(Q156,6,2))</f>
        <v>1</v>
      </c>
      <c r="T156" s="7" t="n">
        <f aca="false">VALUE(RIGHT(Q156,2))</f>
        <v>15</v>
      </c>
      <c r="U156" s="7" t="s">
        <v>139</v>
      </c>
      <c r="V156" s="7" t="s">
        <v>140</v>
      </c>
    </row>
    <row r="157" customFormat="false" ht="23.25" hidden="false" customHeight="true" outlineLevel="0" collapsed="false">
      <c r="A157" s="7" t="n">
        <v>156</v>
      </c>
      <c r="B157" s="7" t="s">
        <v>1186</v>
      </c>
      <c r="C157" s="7" t="s">
        <v>1187</v>
      </c>
      <c r="D157" s="7" t="n">
        <f aca="false">VALUE(LEFT(B157,4))</f>
        <v>1983</v>
      </c>
      <c r="E157" s="7" t="n">
        <f aca="false">INT((D157-1)/100)+1</f>
        <v>20</v>
      </c>
      <c r="F157" s="7" t="s">
        <v>143</v>
      </c>
      <c r="G157" s="7" t="s">
        <v>1188</v>
      </c>
      <c r="H157" s="7" t="s">
        <v>982</v>
      </c>
      <c r="I157" s="7" t="s">
        <v>1189</v>
      </c>
      <c r="J157" s="7" t="s">
        <v>1190</v>
      </c>
      <c r="K157" s="7" t="s">
        <v>1191</v>
      </c>
      <c r="L157" s="7" t="s">
        <v>699</v>
      </c>
      <c r="M157" s="7" t="s">
        <v>642</v>
      </c>
      <c r="N157" s="7" t="s">
        <v>16</v>
      </c>
      <c r="O157" s="7" t="s">
        <v>89</v>
      </c>
      <c r="P157" s="7"/>
      <c r="Q157" s="7" t="s">
        <v>1192</v>
      </c>
      <c r="R157" s="7" t="n">
        <f aca="false">VALUE(LEFT(Q157,4))</f>
        <v>1983</v>
      </c>
      <c r="S157" s="7" t="n">
        <f aca="false">VALUE(MID(Q157,6,2))</f>
        <v>5</v>
      </c>
      <c r="T157" s="7" t="n">
        <f aca="false">VALUE(RIGHT(Q157,2))</f>
        <v>1</v>
      </c>
      <c r="U157" s="7" t="s">
        <v>91</v>
      </c>
      <c r="V157" s="7" t="s">
        <v>1193</v>
      </c>
    </row>
    <row r="158" customFormat="false" ht="15" hidden="false" customHeight="true" outlineLevel="0" collapsed="false">
      <c r="A158" s="7" t="n">
        <v>157</v>
      </c>
      <c r="B158" s="7" t="s">
        <v>1194</v>
      </c>
      <c r="C158" s="7" t="s">
        <v>1194</v>
      </c>
      <c r="D158" s="7" t="n">
        <f aca="false">VALUE(LEFT(B158,4))</f>
        <v>1985</v>
      </c>
      <c r="E158" s="7" t="n">
        <f aca="false">INT((D158-1)/100)+1</f>
        <v>20</v>
      </c>
      <c r="F158" s="7" t="s">
        <v>81</v>
      </c>
      <c r="G158" s="7" t="s">
        <v>1195</v>
      </c>
      <c r="H158" s="7" t="s">
        <v>588</v>
      </c>
      <c r="I158" s="7" t="s">
        <v>1196</v>
      </c>
      <c r="J158" s="7" t="s">
        <v>737</v>
      </c>
      <c r="K158" s="7"/>
      <c r="L158" s="7" t="s">
        <v>924</v>
      </c>
      <c r="M158" s="7"/>
      <c r="N158" s="7" t="s">
        <v>18</v>
      </c>
      <c r="O158" s="7" t="s">
        <v>108</v>
      </c>
      <c r="P158" s="7"/>
      <c r="Q158" s="7" t="s">
        <v>1194</v>
      </c>
      <c r="R158" s="7" t="n">
        <f aca="false">VALUE(LEFT(Q158,4))</f>
        <v>1985</v>
      </c>
      <c r="S158" s="7" t="n">
        <f aca="false">VALUE(MID(Q158,6,2))</f>
        <v>9</v>
      </c>
      <c r="T158" s="7" t="n">
        <f aca="false">VALUE(RIGHT(Q158,2))</f>
        <v>27</v>
      </c>
      <c r="U158" s="7" t="s">
        <v>91</v>
      </c>
      <c r="V158" s="7" t="s">
        <v>92</v>
      </c>
    </row>
    <row r="159" customFormat="false" ht="23.25" hidden="false" customHeight="true" outlineLevel="0" collapsed="false">
      <c r="A159" s="7" t="n">
        <v>158</v>
      </c>
      <c r="B159" s="7" t="s">
        <v>1197</v>
      </c>
      <c r="C159" s="7" t="s">
        <v>1198</v>
      </c>
      <c r="D159" s="7" t="n">
        <f aca="false">VALUE(LEFT(B159,4))</f>
        <v>1987</v>
      </c>
      <c r="E159" s="7" t="n">
        <f aca="false">INT((D159-1)/100)+1</f>
        <v>20</v>
      </c>
      <c r="F159" s="7" t="s">
        <v>788</v>
      </c>
      <c r="G159" s="7" t="s">
        <v>1199</v>
      </c>
      <c r="H159" s="7" t="s">
        <v>1200</v>
      </c>
      <c r="I159" s="7" t="s">
        <v>1201</v>
      </c>
      <c r="J159" s="7" t="s">
        <v>737</v>
      </c>
      <c r="K159" s="7" t="s">
        <v>1202</v>
      </c>
      <c r="L159" s="7" t="s">
        <v>699</v>
      </c>
      <c r="M159" s="7" t="s">
        <v>642</v>
      </c>
      <c r="N159" s="7" t="s">
        <v>16</v>
      </c>
      <c r="O159" s="7" t="s">
        <v>89</v>
      </c>
      <c r="P159" s="7" t="s">
        <v>1203</v>
      </c>
      <c r="Q159" s="7" t="s">
        <v>1197</v>
      </c>
      <c r="R159" s="7" t="n">
        <f aca="false">VALUE(LEFT(Q159,4))</f>
        <v>1987</v>
      </c>
      <c r="S159" s="7" t="n">
        <f aca="false">VALUE(MID(Q159,6,2))</f>
        <v>4</v>
      </c>
      <c r="T159" s="7" t="n">
        <f aca="false">VALUE(RIGHT(Q159,2))</f>
        <v>4</v>
      </c>
      <c r="U159" s="7" t="s">
        <v>139</v>
      </c>
      <c r="V159" s="7" t="s">
        <v>140</v>
      </c>
    </row>
    <row r="160" customFormat="false" ht="23.25" hidden="false" customHeight="true" outlineLevel="0" collapsed="false">
      <c r="A160" s="7" t="n">
        <v>159</v>
      </c>
      <c r="B160" s="7" t="s">
        <v>1204</v>
      </c>
      <c r="C160" s="7" t="s">
        <v>1204</v>
      </c>
      <c r="D160" s="7" t="n">
        <f aca="false">VALUE(LEFT(B160,4))</f>
        <v>1987</v>
      </c>
      <c r="E160" s="7" t="n">
        <f aca="false">INT((D160-1)/100)+1</f>
        <v>20</v>
      </c>
      <c r="F160" s="7" t="s">
        <v>480</v>
      </c>
      <c r="G160" s="7" t="s">
        <v>1205</v>
      </c>
      <c r="H160" s="7" t="s">
        <v>1206</v>
      </c>
      <c r="I160" s="7" t="s">
        <v>1207</v>
      </c>
      <c r="J160" s="7" t="s">
        <v>324</v>
      </c>
      <c r="K160" s="7" t="s">
        <v>1208</v>
      </c>
      <c r="L160" s="7" t="s">
        <v>1209</v>
      </c>
      <c r="M160" s="7" t="s">
        <v>642</v>
      </c>
      <c r="N160" s="7" t="s">
        <v>16</v>
      </c>
      <c r="O160" s="7" t="s">
        <v>89</v>
      </c>
      <c r="P160" s="7" t="s">
        <v>1210</v>
      </c>
      <c r="Q160" s="7" t="s">
        <v>1204</v>
      </c>
      <c r="R160" s="7" t="n">
        <f aca="false">VALUE(LEFT(Q160,4))</f>
        <v>1987</v>
      </c>
      <c r="S160" s="7" t="n">
        <f aca="false">VALUE(MID(Q160,6,2))</f>
        <v>10</v>
      </c>
      <c r="T160" s="7" t="n">
        <f aca="false">VALUE(RIGHT(Q160,2))</f>
        <v>4</v>
      </c>
      <c r="U160" s="7" t="s">
        <v>91</v>
      </c>
      <c r="V160" s="7" t="s">
        <v>92</v>
      </c>
    </row>
    <row r="161" customFormat="false" ht="23.25" hidden="false" customHeight="true" outlineLevel="0" collapsed="false">
      <c r="A161" s="7" t="n">
        <v>160</v>
      </c>
      <c r="B161" s="7" t="s">
        <v>1211</v>
      </c>
      <c r="C161" s="7" t="s">
        <v>1212</v>
      </c>
      <c r="D161" s="7" t="n">
        <f aca="false">VALUE(LEFT(B161,4))</f>
        <v>1988</v>
      </c>
      <c r="E161" s="7" t="n">
        <f aca="false">INT((D161-1)/100)+1</f>
        <v>20</v>
      </c>
      <c r="F161" s="7" t="s">
        <v>1213</v>
      </c>
      <c r="G161" s="7" t="s">
        <v>1214</v>
      </c>
      <c r="H161" s="7" t="s">
        <v>982</v>
      </c>
      <c r="I161" s="7" t="s">
        <v>1215</v>
      </c>
      <c r="J161" s="7" t="s">
        <v>737</v>
      </c>
      <c r="K161" s="7" t="s">
        <v>1216</v>
      </c>
      <c r="L161" s="7" t="s">
        <v>1217</v>
      </c>
      <c r="M161" s="7"/>
      <c r="N161" s="7" t="s">
        <v>18</v>
      </c>
      <c r="O161" s="7" t="s">
        <v>89</v>
      </c>
      <c r="P161" s="7" t="s">
        <v>1218</v>
      </c>
      <c r="Q161" s="7" t="s">
        <v>1219</v>
      </c>
      <c r="R161" s="7" t="n">
        <f aca="false">VALUE(LEFT(Q161,4))</f>
        <v>1988</v>
      </c>
      <c r="S161" s="7" t="n">
        <f aca="false">VALUE(MID(Q161,6,2))</f>
        <v>7</v>
      </c>
      <c r="T161" s="7" t="n">
        <f aca="false">VALUE(RIGHT(Q161,2))</f>
        <v>15</v>
      </c>
      <c r="U161" s="7" t="s">
        <v>128</v>
      </c>
      <c r="V161" s="7" t="s">
        <v>1220</v>
      </c>
    </row>
    <row r="162" customFormat="false" ht="34.5" hidden="false" customHeight="true" outlineLevel="0" collapsed="false">
      <c r="A162" s="7" t="n">
        <v>161</v>
      </c>
      <c r="B162" s="7" t="s">
        <v>1221</v>
      </c>
      <c r="C162" s="7" t="s">
        <v>1221</v>
      </c>
      <c r="D162" s="7" t="n">
        <f aca="false">VALUE(LEFT(B162,4))</f>
        <v>1989</v>
      </c>
      <c r="E162" s="7" t="n">
        <f aca="false">INT((D162-1)/100)+1</f>
        <v>20</v>
      </c>
      <c r="F162" s="7" t="s">
        <v>1222</v>
      </c>
      <c r="G162" s="7" t="s">
        <v>1223</v>
      </c>
      <c r="H162" s="7" t="s">
        <v>1224</v>
      </c>
      <c r="I162" s="7" t="s">
        <v>1225</v>
      </c>
      <c r="J162" s="7" t="s">
        <v>1004</v>
      </c>
      <c r="K162" s="7" t="s">
        <v>1226</v>
      </c>
      <c r="L162" s="7" t="s">
        <v>1227</v>
      </c>
      <c r="M162" s="7" t="s">
        <v>1228</v>
      </c>
      <c r="N162" s="7" t="s">
        <v>16</v>
      </c>
      <c r="O162" s="7" t="s">
        <v>89</v>
      </c>
      <c r="P162" s="7" t="s">
        <v>1229</v>
      </c>
      <c r="Q162" s="7" t="s">
        <v>1221</v>
      </c>
      <c r="R162" s="7" t="n">
        <f aca="false">VALUE(LEFT(Q162,4))</f>
        <v>1989</v>
      </c>
      <c r="S162" s="7" t="n">
        <f aca="false">VALUE(MID(Q162,6,2))</f>
        <v>7</v>
      </c>
      <c r="T162" s="7" t="n">
        <f aca="false">VALUE(RIGHT(Q162,2))</f>
        <v>10</v>
      </c>
      <c r="U162" s="7" t="s">
        <v>91</v>
      </c>
      <c r="V162" s="7" t="s">
        <v>92</v>
      </c>
    </row>
    <row r="163" customFormat="false" ht="23.25" hidden="false" customHeight="true" outlineLevel="0" collapsed="false">
      <c r="A163" s="7" t="n">
        <v>162</v>
      </c>
      <c r="B163" s="7" t="s">
        <v>1230</v>
      </c>
      <c r="C163" s="7" t="s">
        <v>1230</v>
      </c>
      <c r="D163" s="7" t="n">
        <f aca="false">VALUE(LEFT(B163,4))</f>
        <v>1989</v>
      </c>
      <c r="E163" s="7" t="n">
        <f aca="false">INT((D163-1)/100)+1</f>
        <v>20</v>
      </c>
      <c r="F163" s="7" t="s">
        <v>1231</v>
      </c>
      <c r="G163" s="7" t="s">
        <v>1232</v>
      </c>
      <c r="H163" s="7" t="s">
        <v>1233</v>
      </c>
      <c r="I163" s="7" t="s">
        <v>1234</v>
      </c>
      <c r="J163" s="7" t="s">
        <v>1004</v>
      </c>
      <c r="K163" s="7" t="s">
        <v>1235</v>
      </c>
      <c r="L163" s="7" t="s">
        <v>1006</v>
      </c>
      <c r="M163" s="7" t="s">
        <v>1007</v>
      </c>
      <c r="N163" s="7" t="s">
        <v>16</v>
      </c>
      <c r="O163" s="7" t="s">
        <v>89</v>
      </c>
      <c r="P163" s="7" t="s">
        <v>1236</v>
      </c>
      <c r="Q163" s="7" t="s">
        <v>1230</v>
      </c>
      <c r="R163" s="7" t="n">
        <f aca="false">VALUE(LEFT(Q163,4))</f>
        <v>1989</v>
      </c>
      <c r="S163" s="7" t="n">
        <f aca="false">VALUE(MID(Q163,6,2))</f>
        <v>11</v>
      </c>
      <c r="T163" s="7" t="n">
        <f aca="false">VALUE(RIGHT(Q163,2))</f>
        <v>16</v>
      </c>
      <c r="U163" s="7" t="s">
        <v>91</v>
      </c>
      <c r="V163" s="7" t="s">
        <v>92</v>
      </c>
    </row>
    <row r="164" customFormat="false" ht="68.25" hidden="false" customHeight="true" outlineLevel="0" collapsed="false">
      <c r="A164" s="7" t="n">
        <v>163</v>
      </c>
      <c r="B164" s="7" t="s">
        <v>1237</v>
      </c>
      <c r="C164" s="7" t="s">
        <v>1238</v>
      </c>
      <c r="D164" s="7" t="n">
        <f aca="false">VALUE(LEFT(B164,4))</f>
        <v>1991</v>
      </c>
      <c r="E164" s="7" t="n">
        <f aca="false">INT((D164-1)/100)+1</f>
        <v>20</v>
      </c>
      <c r="F164" s="7" t="s">
        <v>1239</v>
      </c>
      <c r="G164" s="7" t="s">
        <v>1240</v>
      </c>
      <c r="H164" s="7" t="s">
        <v>1241</v>
      </c>
      <c r="I164" s="7" t="s">
        <v>1242</v>
      </c>
      <c r="J164" s="7" t="s">
        <v>749</v>
      </c>
      <c r="K164" s="7" t="s">
        <v>1243</v>
      </c>
      <c r="L164" s="7" t="s">
        <v>1244</v>
      </c>
      <c r="M164" s="7" t="s">
        <v>752</v>
      </c>
      <c r="N164" s="7" t="s">
        <v>20</v>
      </c>
      <c r="O164" s="7" t="s">
        <v>108</v>
      </c>
      <c r="P164" s="7" t="s">
        <v>1245</v>
      </c>
      <c r="Q164" s="7" t="s">
        <v>1246</v>
      </c>
      <c r="R164" s="7" t="n">
        <f aca="false">VALUE(LEFT(Q164,4))</f>
        <v>1991</v>
      </c>
      <c r="S164" s="7" t="n">
        <f aca="false">VALUE(MID(Q164,6,2))</f>
        <v>7</v>
      </c>
      <c r="T164" s="7" t="n">
        <f aca="false">VALUE(RIGHT(Q164,2))</f>
        <v>1</v>
      </c>
      <c r="U164" s="7" t="s">
        <v>352</v>
      </c>
      <c r="V164" s="7" t="s">
        <v>1247</v>
      </c>
    </row>
    <row r="165" customFormat="false" ht="23.25" hidden="false" customHeight="true" outlineLevel="0" collapsed="false">
      <c r="A165" s="7" t="n">
        <v>164</v>
      </c>
      <c r="B165" s="7" t="s">
        <v>1248</v>
      </c>
      <c r="C165" s="7" t="s">
        <v>1249</v>
      </c>
      <c r="D165" s="7" t="n">
        <f aca="false">VALUE(LEFT(B165,4))</f>
        <v>1992</v>
      </c>
      <c r="E165" s="7" t="n">
        <f aca="false">INT((D165-1)/100)+1</f>
        <v>20</v>
      </c>
      <c r="F165" s="7" t="s">
        <v>1250</v>
      </c>
      <c r="G165" s="7" t="s">
        <v>1251</v>
      </c>
      <c r="H165" s="7" t="s">
        <v>1252</v>
      </c>
      <c r="I165" s="7" t="s">
        <v>1253</v>
      </c>
      <c r="J165" s="7" t="s">
        <v>737</v>
      </c>
      <c r="K165" s="7" t="s">
        <v>1254</v>
      </c>
      <c r="L165" s="7" t="s">
        <v>699</v>
      </c>
      <c r="M165" s="7" t="s">
        <v>642</v>
      </c>
      <c r="N165" s="7" t="s">
        <v>16</v>
      </c>
      <c r="O165" s="7" t="s">
        <v>89</v>
      </c>
      <c r="P165" s="7" t="s">
        <v>1255</v>
      </c>
      <c r="Q165" s="7" t="s">
        <v>1248</v>
      </c>
      <c r="R165" s="7" t="n">
        <f aca="false">VALUE(LEFT(Q165,4))</f>
        <v>1992</v>
      </c>
      <c r="S165" s="7" t="n">
        <f aca="false">VALUE(MID(Q165,6,2))</f>
        <v>12</v>
      </c>
      <c r="T165" s="7" t="n">
        <f aca="false">VALUE(RIGHT(Q165,2))</f>
        <v>10</v>
      </c>
      <c r="U165" s="7" t="s">
        <v>139</v>
      </c>
      <c r="V165" s="7" t="s">
        <v>140</v>
      </c>
    </row>
    <row r="166" customFormat="false" ht="23.25" hidden="false" customHeight="true" outlineLevel="0" collapsed="false">
      <c r="A166" s="7" t="n">
        <v>165</v>
      </c>
      <c r="B166" s="7" t="s">
        <v>1256</v>
      </c>
      <c r="C166" s="7" t="s">
        <v>1257</v>
      </c>
      <c r="D166" s="7" t="n">
        <f aca="false">VALUE(LEFT(B166,4))</f>
        <v>1993</v>
      </c>
      <c r="E166" s="7" t="n">
        <f aca="false">INT((D166-1)/100)+1</f>
        <v>20</v>
      </c>
      <c r="F166" s="7" t="s">
        <v>233</v>
      </c>
      <c r="G166" s="7" t="s">
        <v>1258</v>
      </c>
      <c r="H166" s="7" t="s">
        <v>735</v>
      </c>
      <c r="I166" s="7" t="s">
        <v>1259</v>
      </c>
      <c r="J166" s="7" t="s">
        <v>324</v>
      </c>
      <c r="K166" s="7" t="s">
        <v>1260</v>
      </c>
      <c r="L166" s="7" t="s">
        <v>1261</v>
      </c>
      <c r="M166" s="7" t="s">
        <v>642</v>
      </c>
      <c r="N166" s="7" t="s">
        <v>16</v>
      </c>
      <c r="O166" s="7" t="s">
        <v>89</v>
      </c>
      <c r="P166" s="7" t="s">
        <v>1262</v>
      </c>
      <c r="Q166" s="7" t="s">
        <v>1256</v>
      </c>
      <c r="R166" s="7" t="n">
        <f aca="false">VALUE(LEFT(Q166,4))</f>
        <v>1993</v>
      </c>
      <c r="S166" s="7" t="n">
        <f aca="false">VALUE(MID(Q166,6,2))</f>
        <v>3</v>
      </c>
      <c r="T166" s="7" t="n">
        <f aca="false">VALUE(RIGHT(Q166,2))</f>
        <v>13</v>
      </c>
      <c r="U166" s="7" t="s">
        <v>139</v>
      </c>
      <c r="V166" s="7" t="s">
        <v>140</v>
      </c>
    </row>
    <row r="167" customFormat="false" ht="23.25" hidden="false" customHeight="true" outlineLevel="0" collapsed="false">
      <c r="A167" s="7" t="n">
        <v>166</v>
      </c>
      <c r="B167" s="7" t="s">
        <v>1263</v>
      </c>
      <c r="C167" s="7" t="s">
        <v>1264</v>
      </c>
      <c r="D167" s="7" t="n">
        <f aca="false">VALUE(LEFT(B167,4))</f>
        <v>1994</v>
      </c>
      <c r="E167" s="7" t="n">
        <f aca="false">INT((D167-1)/100)+1</f>
        <v>20</v>
      </c>
      <c r="F167" s="7" t="s">
        <v>1265</v>
      </c>
      <c r="G167" s="7" t="s">
        <v>1266</v>
      </c>
      <c r="H167" s="7" t="s">
        <v>982</v>
      </c>
      <c r="I167" s="7" t="s">
        <v>1267</v>
      </c>
      <c r="J167" s="7" t="s">
        <v>737</v>
      </c>
      <c r="K167" s="7" t="s">
        <v>1268</v>
      </c>
      <c r="L167" s="7" t="s">
        <v>583</v>
      </c>
      <c r="M167" s="7"/>
      <c r="N167" s="7" t="s">
        <v>18</v>
      </c>
      <c r="O167" s="7" t="s">
        <v>108</v>
      </c>
      <c r="P167" s="7"/>
      <c r="Q167" s="7" t="s">
        <v>1269</v>
      </c>
      <c r="R167" s="7" t="n">
        <f aca="false">VALUE(LEFT(Q167,4))</f>
        <v>1994</v>
      </c>
      <c r="S167" s="7" t="n">
        <f aca="false">VALUE(MID(Q167,6,2))</f>
        <v>1</v>
      </c>
      <c r="T167" s="7" t="n">
        <f aca="false">VALUE(RIGHT(Q167,2))</f>
        <v>19</v>
      </c>
      <c r="U167" s="7" t="s">
        <v>139</v>
      </c>
      <c r="V167" s="7" t="s">
        <v>1270</v>
      </c>
    </row>
    <row r="168" customFormat="false" ht="23.25" hidden="false" customHeight="true" outlineLevel="0" collapsed="false">
      <c r="A168" s="7" t="n">
        <v>167</v>
      </c>
      <c r="B168" s="7" t="s">
        <v>1271</v>
      </c>
      <c r="C168" s="7" t="s">
        <v>1271</v>
      </c>
      <c r="D168" s="7" t="n">
        <f aca="false">VALUE(LEFT(B168,4))</f>
        <v>1995</v>
      </c>
      <c r="E168" s="7" t="n">
        <f aca="false">INT((D168-1)/100)+1</f>
        <v>20</v>
      </c>
      <c r="F168" s="7" t="s">
        <v>1272</v>
      </c>
      <c r="G168" s="7" t="s">
        <v>1273</v>
      </c>
      <c r="H168" s="7" t="s">
        <v>1274</v>
      </c>
      <c r="I168" s="7" t="s">
        <v>1275</v>
      </c>
      <c r="J168" s="7" t="s">
        <v>1004</v>
      </c>
      <c r="K168" s="7" t="s">
        <v>1276</v>
      </c>
      <c r="L168" s="7" t="s">
        <v>1277</v>
      </c>
      <c r="M168" s="7" t="s">
        <v>1278</v>
      </c>
      <c r="N168" s="7" t="s">
        <v>16</v>
      </c>
      <c r="O168" s="7" t="s">
        <v>89</v>
      </c>
      <c r="P168" s="7" t="s">
        <v>1279</v>
      </c>
      <c r="Q168" s="7" t="s">
        <v>1271</v>
      </c>
      <c r="R168" s="7" t="n">
        <f aca="false">VALUE(LEFT(Q168,4))</f>
        <v>1995</v>
      </c>
      <c r="S168" s="7" t="n">
        <f aca="false">VALUE(MID(Q168,6,2))</f>
        <v>7</v>
      </c>
      <c r="T168" s="7" t="n">
        <f aca="false">VALUE(RIGHT(Q168,2))</f>
        <v>15</v>
      </c>
      <c r="U168" s="7" t="s">
        <v>91</v>
      </c>
      <c r="V168" s="7" t="s">
        <v>92</v>
      </c>
    </row>
    <row r="169" customFormat="false" ht="23.25" hidden="false" customHeight="true" outlineLevel="0" collapsed="false">
      <c r="A169" s="7" t="n">
        <v>168</v>
      </c>
      <c r="B169" s="7" t="s">
        <v>1280</v>
      </c>
      <c r="C169" s="7" t="s">
        <v>1281</v>
      </c>
      <c r="D169" s="7" t="n">
        <f aca="false">VALUE(LEFT(B169,4))</f>
        <v>1996</v>
      </c>
      <c r="E169" s="7" t="n">
        <f aca="false">INT((D169-1)/100)+1</f>
        <v>20</v>
      </c>
      <c r="F169" s="7" t="s">
        <v>233</v>
      </c>
      <c r="G169" s="7" t="s">
        <v>1282</v>
      </c>
      <c r="H169" s="7" t="s">
        <v>982</v>
      </c>
      <c r="I169" s="7" t="s">
        <v>1283</v>
      </c>
      <c r="J169" s="7" t="s">
        <v>737</v>
      </c>
      <c r="K169" s="7"/>
      <c r="L169" s="7" t="s">
        <v>583</v>
      </c>
      <c r="M169" s="7"/>
      <c r="N169" s="7" t="s">
        <v>18</v>
      </c>
      <c r="O169" s="7" t="s">
        <v>108</v>
      </c>
      <c r="P169" s="7"/>
      <c r="Q169" s="7" t="s">
        <v>1280</v>
      </c>
      <c r="R169" s="7" t="n">
        <f aca="false">VALUE(LEFT(Q169,4))</f>
        <v>1996</v>
      </c>
      <c r="S169" s="7" t="n">
        <f aca="false">VALUE(MID(Q169,6,2))</f>
        <v>1</v>
      </c>
      <c r="T169" s="7" t="n">
        <f aca="false">VALUE(RIGHT(Q169,2))</f>
        <v>7</v>
      </c>
      <c r="U169" s="7" t="s">
        <v>139</v>
      </c>
      <c r="V169" s="7" t="s">
        <v>140</v>
      </c>
    </row>
    <row r="170" customFormat="false" ht="23.25" hidden="false" customHeight="true" outlineLevel="0" collapsed="false">
      <c r="A170" s="7" t="n">
        <v>169</v>
      </c>
      <c r="B170" s="7" t="s">
        <v>1284</v>
      </c>
      <c r="C170" s="7" t="s">
        <v>1285</v>
      </c>
      <c r="D170" s="7" t="n">
        <f aca="false">VALUE(LEFT(B170,4))</f>
        <v>1996</v>
      </c>
      <c r="E170" s="7" t="n">
        <f aca="false">INT((D170-1)/100)+1</f>
        <v>20</v>
      </c>
      <c r="F170" s="7" t="s">
        <v>1286</v>
      </c>
      <c r="G170" s="7" t="s">
        <v>1287</v>
      </c>
      <c r="H170" s="7" t="s">
        <v>1288</v>
      </c>
      <c r="I170" s="7" t="s">
        <v>1289</v>
      </c>
      <c r="J170" s="7" t="s">
        <v>637</v>
      </c>
      <c r="K170" s="7" t="s">
        <v>1290</v>
      </c>
      <c r="L170" s="7" t="s">
        <v>1291</v>
      </c>
      <c r="M170" s="7" t="s">
        <v>642</v>
      </c>
      <c r="N170" s="7" t="s">
        <v>16</v>
      </c>
      <c r="O170" s="7" t="s">
        <v>89</v>
      </c>
      <c r="P170" s="7" t="s">
        <v>1292</v>
      </c>
      <c r="Q170" s="7" t="s">
        <v>1284</v>
      </c>
      <c r="R170" s="7" t="n">
        <f aca="false">VALUE(LEFT(Q170,4))</f>
        <v>1996</v>
      </c>
      <c r="S170" s="7" t="n">
        <f aca="false">VALUE(MID(Q170,6,2))</f>
        <v>1</v>
      </c>
      <c r="T170" s="7" t="n">
        <f aca="false">VALUE(RIGHT(Q170,2))</f>
        <v>19</v>
      </c>
      <c r="U170" s="7" t="s">
        <v>139</v>
      </c>
      <c r="V170" s="7" t="s">
        <v>140</v>
      </c>
    </row>
    <row r="171" customFormat="false" ht="23.25" hidden="false" customHeight="true" outlineLevel="0" collapsed="false">
      <c r="A171" s="7" t="n">
        <v>170</v>
      </c>
      <c r="B171" s="7" t="s">
        <v>1293</v>
      </c>
      <c r="C171" s="7" t="s">
        <v>1294</v>
      </c>
      <c r="D171" s="7" t="n">
        <f aca="false">VALUE(LEFT(B171,4))</f>
        <v>1996</v>
      </c>
      <c r="E171" s="7" t="n">
        <f aca="false">INT((D171-1)/100)+1</f>
        <v>20</v>
      </c>
      <c r="F171" s="7" t="s">
        <v>111</v>
      </c>
      <c r="G171" s="7" t="s">
        <v>1295</v>
      </c>
      <c r="H171" s="7" t="s">
        <v>1296</v>
      </c>
      <c r="I171" s="7" t="s">
        <v>1297</v>
      </c>
      <c r="J171" s="7" t="s">
        <v>737</v>
      </c>
      <c r="K171" s="7" t="s">
        <v>1298</v>
      </c>
      <c r="L171" s="7" t="s">
        <v>699</v>
      </c>
      <c r="M171" s="7" t="s">
        <v>642</v>
      </c>
      <c r="N171" s="7" t="s">
        <v>16</v>
      </c>
      <c r="O171" s="7" t="s">
        <v>89</v>
      </c>
      <c r="P171" s="7" t="s">
        <v>1299</v>
      </c>
      <c r="Q171" s="7" t="s">
        <v>1293</v>
      </c>
      <c r="R171" s="7" t="n">
        <f aca="false">VALUE(LEFT(Q171,4))</f>
        <v>1996</v>
      </c>
      <c r="S171" s="7" t="n">
        <f aca="false">VALUE(MID(Q171,6,2))</f>
        <v>7</v>
      </c>
      <c r="T171" s="7" t="n">
        <f aca="false">VALUE(RIGHT(Q171,2))</f>
        <v>12</v>
      </c>
      <c r="U171" s="7" t="s">
        <v>139</v>
      </c>
      <c r="V171" s="7" t="s">
        <v>140</v>
      </c>
    </row>
    <row r="172" customFormat="false" ht="23.25" hidden="false" customHeight="true" outlineLevel="0" collapsed="false">
      <c r="A172" s="7" t="n">
        <v>171</v>
      </c>
      <c r="B172" s="7" t="s">
        <v>1300</v>
      </c>
      <c r="C172" s="7" t="s">
        <v>1301</v>
      </c>
      <c r="D172" s="7" t="n">
        <f aca="false">VALUE(LEFT(B172,4))</f>
        <v>1998</v>
      </c>
      <c r="E172" s="7" t="n">
        <f aca="false">INT((D172-1)/100)+1</f>
        <v>20</v>
      </c>
      <c r="F172" s="7" t="s">
        <v>842</v>
      </c>
      <c r="G172" s="7" t="s">
        <v>1302</v>
      </c>
      <c r="H172" s="7" t="s">
        <v>518</v>
      </c>
      <c r="I172" s="7" t="s">
        <v>1303</v>
      </c>
      <c r="J172" s="7" t="s">
        <v>737</v>
      </c>
      <c r="K172" s="7" t="s">
        <v>1304</v>
      </c>
      <c r="L172" s="7" t="s">
        <v>699</v>
      </c>
      <c r="M172" s="7" t="s">
        <v>642</v>
      </c>
      <c r="N172" s="7" t="s">
        <v>16</v>
      </c>
      <c r="O172" s="7" t="s">
        <v>89</v>
      </c>
      <c r="P172" s="7"/>
      <c r="Q172" s="7" t="s">
        <v>1300</v>
      </c>
      <c r="R172" s="7" t="n">
        <f aca="false">VALUE(LEFT(Q172,4))</f>
        <v>1998</v>
      </c>
      <c r="S172" s="7" t="n">
        <f aca="false">VALUE(MID(Q172,6,2))</f>
        <v>1</v>
      </c>
      <c r="T172" s="7" t="n">
        <f aca="false">VALUE(RIGHT(Q172,2))</f>
        <v>5</v>
      </c>
      <c r="U172" s="7" t="s">
        <v>139</v>
      </c>
      <c r="V172" s="7" t="s">
        <v>140</v>
      </c>
    </row>
    <row r="173" customFormat="false" ht="23.25" hidden="false" customHeight="true" outlineLevel="0" collapsed="false">
      <c r="A173" s="7" t="n">
        <v>172</v>
      </c>
      <c r="B173" s="7" t="s">
        <v>1305</v>
      </c>
      <c r="C173" s="7" t="s">
        <v>1305</v>
      </c>
      <c r="D173" s="7" t="n">
        <f aca="false">VALUE(LEFT(B173,4))</f>
        <v>1998</v>
      </c>
      <c r="E173" s="7" t="n">
        <f aca="false">INT((D173-1)/100)+1</f>
        <v>20</v>
      </c>
      <c r="F173" s="7" t="s">
        <v>1306</v>
      </c>
      <c r="G173" s="7" t="s">
        <v>1307</v>
      </c>
      <c r="H173" s="7" t="s">
        <v>994</v>
      </c>
      <c r="I173" s="7" t="s">
        <v>1308</v>
      </c>
      <c r="J173" s="7" t="s">
        <v>996</v>
      </c>
      <c r="K173" s="7" t="s">
        <v>1309</v>
      </c>
      <c r="L173" s="7" t="s">
        <v>997</v>
      </c>
      <c r="M173" s="7" t="s">
        <v>998</v>
      </c>
      <c r="N173" s="7" t="s">
        <v>16</v>
      </c>
      <c r="O173" s="7" t="s">
        <v>89</v>
      </c>
      <c r="P173" s="7"/>
      <c r="Q173" s="7" t="s">
        <v>1305</v>
      </c>
      <c r="R173" s="7" t="n">
        <f aca="false">VALUE(LEFT(Q173,4))</f>
        <v>1998</v>
      </c>
      <c r="S173" s="7" t="n">
        <f aca="false">VALUE(MID(Q173,6,2))</f>
        <v>1</v>
      </c>
      <c r="T173" s="7" t="n">
        <f aca="false">VALUE(RIGHT(Q173,2))</f>
        <v>9</v>
      </c>
      <c r="U173" s="7" t="s">
        <v>91</v>
      </c>
      <c r="V173" s="7" t="s">
        <v>92</v>
      </c>
    </row>
    <row r="174" customFormat="false" ht="23.25" hidden="false" customHeight="true" outlineLevel="0" collapsed="false">
      <c r="A174" s="7" t="n">
        <v>173</v>
      </c>
      <c r="B174" s="7" t="s">
        <v>1310</v>
      </c>
      <c r="C174" s="7" t="s">
        <v>1310</v>
      </c>
      <c r="D174" s="7" t="n">
        <f aca="false">VALUE(LEFT(B174,4))</f>
        <v>1998</v>
      </c>
      <c r="E174" s="7" t="n">
        <f aca="false">INT((D174-1)/100)+1</f>
        <v>20</v>
      </c>
      <c r="F174" s="7" t="s">
        <v>1311</v>
      </c>
      <c r="G174" s="7" t="s">
        <v>1312</v>
      </c>
      <c r="H174" s="7" t="s">
        <v>1313</v>
      </c>
      <c r="I174" s="7" t="s">
        <v>1314</v>
      </c>
      <c r="J174" s="7" t="s">
        <v>1004</v>
      </c>
      <c r="K174" s="7" t="s">
        <v>1315</v>
      </c>
      <c r="L174" s="7" t="s">
        <v>1316</v>
      </c>
      <c r="M174" s="7" t="s">
        <v>1007</v>
      </c>
      <c r="N174" s="7" t="s">
        <v>16</v>
      </c>
      <c r="O174" s="7" t="s">
        <v>89</v>
      </c>
      <c r="P174" s="7" t="s">
        <v>1317</v>
      </c>
      <c r="Q174" s="7" t="s">
        <v>1310</v>
      </c>
      <c r="R174" s="7" t="n">
        <f aca="false">VALUE(LEFT(Q174,4))</f>
        <v>1998</v>
      </c>
      <c r="S174" s="7" t="n">
        <f aca="false">VALUE(MID(Q174,6,2))</f>
        <v>5</v>
      </c>
      <c r="T174" s="7" t="n">
        <f aca="false">VALUE(RIGHT(Q174,2))</f>
        <v>31</v>
      </c>
      <c r="U174" s="7" t="s">
        <v>91</v>
      </c>
      <c r="V174" s="7" t="s">
        <v>92</v>
      </c>
    </row>
    <row r="175" customFormat="false" ht="23.25" hidden="false" customHeight="true" outlineLevel="0" collapsed="false">
      <c r="A175" s="7" t="n">
        <v>174</v>
      </c>
      <c r="B175" s="7" t="s">
        <v>1318</v>
      </c>
      <c r="C175" s="7" t="s">
        <v>1319</v>
      </c>
      <c r="D175" s="7" t="n">
        <f aca="false">VALUE(LEFT(B175,4))</f>
        <v>1999</v>
      </c>
      <c r="E175" s="7" t="n">
        <f aca="false">INT((D175-1)/100)+1</f>
        <v>20</v>
      </c>
      <c r="F175" s="7" t="s">
        <v>1213</v>
      </c>
      <c r="G175" s="7" t="s">
        <v>1320</v>
      </c>
      <c r="H175" s="7" t="s">
        <v>982</v>
      </c>
      <c r="I175" s="7" t="s">
        <v>1321</v>
      </c>
      <c r="J175" s="7" t="s">
        <v>737</v>
      </c>
      <c r="K175" s="7" t="s">
        <v>1322</v>
      </c>
      <c r="L175" s="7" t="s">
        <v>1323</v>
      </c>
      <c r="M175" s="7"/>
      <c r="N175" s="7" t="s">
        <v>18</v>
      </c>
      <c r="O175" s="7" t="s">
        <v>89</v>
      </c>
      <c r="P175" s="7" t="s">
        <v>1324</v>
      </c>
      <c r="Q175" s="7" t="s">
        <v>1325</v>
      </c>
      <c r="R175" s="7" t="n">
        <f aca="false">VALUE(LEFT(Q175,4))</f>
        <v>1999</v>
      </c>
      <c r="S175" s="7" t="n">
        <f aca="false">VALUE(MID(Q175,6,2))</f>
        <v>7</v>
      </c>
      <c r="T175" s="7" t="n">
        <f aca="false">VALUE(RIGHT(Q175,2))</f>
        <v>6</v>
      </c>
      <c r="U175" s="7" t="s">
        <v>128</v>
      </c>
      <c r="V175" s="7" t="s">
        <v>1326</v>
      </c>
    </row>
    <row r="176" customFormat="false" ht="23.25" hidden="false" customHeight="true" outlineLevel="0" collapsed="false">
      <c r="A176" s="7" t="n">
        <v>175</v>
      </c>
      <c r="B176" s="7" t="s">
        <v>1327</v>
      </c>
      <c r="C176" s="7" t="s">
        <v>1328</v>
      </c>
      <c r="D176" s="7" t="n">
        <f aca="false">VALUE(LEFT(B176,4))</f>
        <v>1999</v>
      </c>
      <c r="E176" s="7" t="n">
        <f aca="false">INT((D176-1)/100)+1</f>
        <v>20</v>
      </c>
      <c r="F176" s="7" t="s">
        <v>111</v>
      </c>
      <c r="G176" s="7" t="s">
        <v>1329</v>
      </c>
      <c r="H176" s="7" t="s">
        <v>982</v>
      </c>
      <c r="I176" s="7" t="s">
        <v>1330</v>
      </c>
      <c r="J176" s="7" t="s">
        <v>324</v>
      </c>
      <c r="K176" s="7" t="s">
        <v>1331</v>
      </c>
      <c r="L176" s="7" t="s">
        <v>1332</v>
      </c>
      <c r="M176" s="7" t="s">
        <v>642</v>
      </c>
      <c r="N176" s="7" t="s">
        <v>16</v>
      </c>
      <c r="O176" s="7" t="s">
        <v>89</v>
      </c>
      <c r="P176" s="7" t="s">
        <v>1333</v>
      </c>
      <c r="Q176" s="7" t="s">
        <v>1327</v>
      </c>
      <c r="R176" s="7" t="n">
        <f aca="false">VALUE(LEFT(Q176,4))</f>
        <v>1999</v>
      </c>
      <c r="S176" s="7" t="n">
        <f aca="false">VALUE(MID(Q176,6,2))</f>
        <v>9</v>
      </c>
      <c r="T176" s="7" t="n">
        <f aca="false">VALUE(RIGHT(Q176,2))</f>
        <v>16</v>
      </c>
      <c r="U176" s="7" t="s">
        <v>139</v>
      </c>
      <c r="V176" s="7" t="s">
        <v>140</v>
      </c>
    </row>
    <row r="177" customFormat="false" ht="23.25" hidden="false" customHeight="true" outlineLevel="0" collapsed="false">
      <c r="A177" s="7" t="n">
        <v>176</v>
      </c>
      <c r="B177" s="7" t="s">
        <v>1334</v>
      </c>
      <c r="C177" s="7" t="s">
        <v>1334</v>
      </c>
      <c r="D177" s="7" t="n">
        <f aca="false">VALUE(LEFT(B177,4))</f>
        <v>2002</v>
      </c>
      <c r="E177" s="7" t="n">
        <f aca="false">INT((D177-1)/100)+1</f>
        <v>21</v>
      </c>
      <c r="F177" s="7" t="s">
        <v>926</v>
      </c>
      <c r="G177" s="7" t="s">
        <v>1335</v>
      </c>
      <c r="H177" s="7" t="s">
        <v>1336</v>
      </c>
      <c r="I177" s="7" t="s">
        <v>1337</v>
      </c>
      <c r="J177" s="7" t="s">
        <v>324</v>
      </c>
      <c r="K177" s="7" t="s">
        <v>1338</v>
      </c>
      <c r="L177" s="7" t="s">
        <v>699</v>
      </c>
      <c r="M177" s="7" t="s">
        <v>642</v>
      </c>
      <c r="N177" s="7" t="s">
        <v>16</v>
      </c>
      <c r="O177" s="7" t="s">
        <v>89</v>
      </c>
      <c r="P177" s="7"/>
      <c r="Q177" s="7" t="s">
        <v>1334</v>
      </c>
      <c r="R177" s="7" t="n">
        <f aca="false">VALUE(LEFT(Q177,4))</f>
        <v>2002</v>
      </c>
      <c r="S177" s="7" t="n">
        <f aca="false">VALUE(MID(Q177,6,2))</f>
        <v>5</v>
      </c>
      <c r="T177" s="7" t="n">
        <f aca="false">VALUE(RIGHT(Q177,2))</f>
        <v>18</v>
      </c>
      <c r="U177" s="7" t="s">
        <v>91</v>
      </c>
      <c r="V177" s="7" t="s">
        <v>92</v>
      </c>
    </row>
    <row r="178" customFormat="false" ht="23.25" hidden="false" customHeight="true" outlineLevel="0" collapsed="false">
      <c r="A178" s="7" t="n">
        <v>177</v>
      </c>
      <c r="B178" s="7" t="s">
        <v>1339</v>
      </c>
      <c r="C178" s="7" t="s">
        <v>1340</v>
      </c>
      <c r="D178" s="7" t="n">
        <f aca="false">VALUE(LEFT(B178,4))</f>
        <v>2002</v>
      </c>
      <c r="E178" s="7" t="n">
        <f aca="false">INT((D178-1)/100)+1</f>
        <v>21</v>
      </c>
      <c r="F178" s="7" t="s">
        <v>1341</v>
      </c>
      <c r="G178" s="7" t="s">
        <v>1342</v>
      </c>
      <c r="H178" s="7" t="s">
        <v>982</v>
      </c>
      <c r="I178" s="7" t="s">
        <v>1343</v>
      </c>
      <c r="J178" s="7" t="s">
        <v>324</v>
      </c>
      <c r="K178" s="7" t="s">
        <v>1344</v>
      </c>
      <c r="L178" s="7" t="s">
        <v>699</v>
      </c>
      <c r="M178" s="7" t="s">
        <v>642</v>
      </c>
      <c r="N178" s="7" t="s">
        <v>16</v>
      </c>
      <c r="O178" s="7" t="s">
        <v>89</v>
      </c>
      <c r="P178" s="7"/>
      <c r="Q178" s="7" t="s">
        <v>1339</v>
      </c>
      <c r="R178" s="7" t="n">
        <f aca="false">VALUE(LEFT(Q178,4))</f>
        <v>2002</v>
      </c>
      <c r="S178" s="7" t="n">
        <f aca="false">VALUE(MID(Q178,6,2))</f>
        <v>12</v>
      </c>
      <c r="T178" s="7" t="n">
        <f aca="false">VALUE(RIGHT(Q178,2))</f>
        <v>25</v>
      </c>
      <c r="U178" s="7" t="s">
        <v>139</v>
      </c>
      <c r="V178" s="7" t="s">
        <v>140</v>
      </c>
    </row>
    <row r="179" customFormat="false" ht="23.25" hidden="false" customHeight="true" outlineLevel="0" collapsed="false">
      <c r="A179" s="7" t="n">
        <v>178</v>
      </c>
      <c r="B179" s="7" t="s">
        <v>1345</v>
      </c>
      <c r="C179" s="7" t="s">
        <v>1345</v>
      </c>
      <c r="D179" s="7" t="n">
        <f aca="false">VALUE(LEFT(B179,4))</f>
        <v>2003</v>
      </c>
      <c r="E179" s="7" t="n">
        <f aca="false">INT((D179-1)/100)+1</f>
        <v>21</v>
      </c>
      <c r="F179" s="7" t="s">
        <v>173</v>
      </c>
      <c r="G179" s="7" t="s">
        <v>1346</v>
      </c>
      <c r="H179" s="7" t="s">
        <v>982</v>
      </c>
      <c r="I179" s="7" t="s">
        <v>1347</v>
      </c>
      <c r="J179" s="7" t="s">
        <v>737</v>
      </c>
      <c r="K179" s="7" t="s">
        <v>1348</v>
      </c>
      <c r="L179" s="7" t="s">
        <v>699</v>
      </c>
      <c r="M179" s="7" t="s">
        <v>642</v>
      </c>
      <c r="N179" s="7" t="s">
        <v>16</v>
      </c>
      <c r="O179" s="7" t="s">
        <v>89</v>
      </c>
      <c r="P179" s="7"/>
      <c r="Q179" s="7" t="s">
        <v>1345</v>
      </c>
      <c r="R179" s="7" t="n">
        <f aca="false">VALUE(LEFT(Q179,4))</f>
        <v>2003</v>
      </c>
      <c r="S179" s="7" t="n">
        <f aca="false">VALUE(MID(Q179,6,2))</f>
        <v>2</v>
      </c>
      <c r="T179" s="7" t="n">
        <f aca="false">VALUE(RIGHT(Q179,2))</f>
        <v>17</v>
      </c>
      <c r="U179" s="7" t="s">
        <v>91</v>
      </c>
      <c r="V179" s="7" t="s">
        <v>92</v>
      </c>
    </row>
    <row r="180" customFormat="false" ht="23.25" hidden="false" customHeight="true" outlineLevel="0" collapsed="false">
      <c r="A180" s="7" t="n">
        <v>179</v>
      </c>
      <c r="B180" s="7" t="s">
        <v>1349</v>
      </c>
      <c r="C180" s="7" t="s">
        <v>1350</v>
      </c>
      <c r="D180" s="7" t="n">
        <f aca="false">VALUE(LEFT(B180,4))</f>
        <v>2003</v>
      </c>
      <c r="E180" s="7" t="n">
        <f aca="false">INT((D180-1)/100)+1</f>
        <v>21</v>
      </c>
      <c r="F180" s="7" t="s">
        <v>1351</v>
      </c>
      <c r="G180" s="7" t="s">
        <v>1352</v>
      </c>
      <c r="H180" s="7" t="s">
        <v>1353</v>
      </c>
      <c r="I180" s="7" t="s">
        <v>1354</v>
      </c>
      <c r="J180" s="7" t="s">
        <v>737</v>
      </c>
      <c r="K180" s="7" t="s">
        <v>1355</v>
      </c>
      <c r="L180" s="7" t="s">
        <v>1356</v>
      </c>
      <c r="M180" s="7" t="s">
        <v>642</v>
      </c>
      <c r="N180" s="7" t="s">
        <v>16</v>
      </c>
      <c r="O180" s="7" t="s">
        <v>89</v>
      </c>
      <c r="P180" s="7" t="s">
        <v>1357</v>
      </c>
      <c r="Q180" s="7" t="s">
        <v>1349</v>
      </c>
      <c r="R180" s="7" t="n">
        <f aca="false">VALUE(LEFT(Q180,4))</f>
        <v>2003</v>
      </c>
      <c r="S180" s="7" t="n">
        <f aca="false">VALUE(MID(Q180,6,2))</f>
        <v>4</v>
      </c>
      <c r="T180" s="7" t="n">
        <f aca="false">VALUE(RIGHT(Q180,2))</f>
        <v>3</v>
      </c>
      <c r="U180" s="7" t="s">
        <v>139</v>
      </c>
      <c r="V180" s="7" t="s">
        <v>140</v>
      </c>
    </row>
    <row r="181" customFormat="false" ht="23.25" hidden="false" customHeight="true" outlineLevel="0" collapsed="false">
      <c r="A181" s="7" t="n">
        <v>180</v>
      </c>
      <c r="B181" s="7" t="s">
        <v>1358</v>
      </c>
      <c r="C181" s="7" t="s">
        <v>1358</v>
      </c>
      <c r="D181" s="7" t="n">
        <f aca="false">VALUE(LEFT(B181,4))</f>
        <v>2003</v>
      </c>
      <c r="E181" s="7" t="n">
        <f aca="false">INT((D181-1)/100)+1</f>
        <v>21</v>
      </c>
      <c r="F181" s="7" t="s">
        <v>1222</v>
      </c>
      <c r="G181" s="7" t="s">
        <v>1359</v>
      </c>
      <c r="H181" s="7" t="s">
        <v>1360</v>
      </c>
      <c r="I181" s="7" t="s">
        <v>1361</v>
      </c>
      <c r="J181" s="7" t="s">
        <v>1004</v>
      </c>
      <c r="K181" s="7" t="s">
        <v>1005</v>
      </c>
      <c r="L181" s="7" t="s">
        <v>1006</v>
      </c>
      <c r="M181" s="7" t="s">
        <v>1007</v>
      </c>
      <c r="N181" s="7" t="s">
        <v>16</v>
      </c>
      <c r="O181" s="7" t="s">
        <v>89</v>
      </c>
      <c r="P181" s="7"/>
      <c r="Q181" s="7" t="s">
        <v>1358</v>
      </c>
      <c r="R181" s="7" t="n">
        <f aca="false">VALUE(LEFT(Q181,4))</f>
        <v>2003</v>
      </c>
      <c r="S181" s="7" t="n">
        <f aca="false">VALUE(MID(Q181,6,2))</f>
        <v>7</v>
      </c>
      <c r="T181" s="7" t="n">
        <f aca="false">VALUE(RIGHT(Q181,2))</f>
        <v>21</v>
      </c>
      <c r="U181" s="7" t="s">
        <v>91</v>
      </c>
      <c r="V181" s="7" t="s">
        <v>92</v>
      </c>
    </row>
    <row r="182" customFormat="false" ht="23.25" hidden="false" customHeight="true" outlineLevel="0" collapsed="false">
      <c r="A182" s="7" t="n">
        <v>181</v>
      </c>
      <c r="B182" s="7" t="s">
        <v>1362</v>
      </c>
      <c r="C182" s="7" t="s">
        <v>1363</v>
      </c>
      <c r="D182" s="7" t="n">
        <f aca="false">VALUE(LEFT(B182,4))</f>
        <v>2003</v>
      </c>
      <c r="E182" s="7" t="n">
        <f aca="false">INT((D182-1)/100)+1</f>
        <v>21</v>
      </c>
      <c r="F182" s="7" t="s">
        <v>153</v>
      </c>
      <c r="G182" s="7" t="s">
        <v>1364</v>
      </c>
      <c r="H182" s="7" t="s">
        <v>1365</v>
      </c>
      <c r="I182" s="7" t="s">
        <v>1366</v>
      </c>
      <c r="J182" s="7" t="s">
        <v>1190</v>
      </c>
      <c r="K182" s="7" t="s">
        <v>1367</v>
      </c>
      <c r="L182" s="7" t="s">
        <v>699</v>
      </c>
      <c r="M182" s="7" t="s">
        <v>642</v>
      </c>
      <c r="N182" s="7" t="s">
        <v>16</v>
      </c>
      <c r="O182" s="7" t="s">
        <v>89</v>
      </c>
      <c r="P182" s="7"/>
      <c r="Q182" s="7" t="s">
        <v>1362</v>
      </c>
      <c r="R182" s="7" t="n">
        <f aca="false">VALUE(LEFT(Q182,4))</f>
        <v>2003</v>
      </c>
      <c r="S182" s="7" t="n">
        <f aca="false">VALUE(MID(Q182,6,2))</f>
        <v>12</v>
      </c>
      <c r="T182" s="7" t="n">
        <f aca="false">VALUE(RIGHT(Q182,2))</f>
        <v>6</v>
      </c>
      <c r="U182" s="7" t="s">
        <v>139</v>
      </c>
      <c r="V182" s="7" t="s">
        <v>140</v>
      </c>
    </row>
    <row r="183" customFormat="false" ht="23.25" hidden="false" customHeight="true" outlineLevel="0" collapsed="false">
      <c r="A183" s="7" t="n">
        <v>182</v>
      </c>
      <c r="B183" s="7" t="s">
        <v>1368</v>
      </c>
      <c r="C183" s="7" t="s">
        <v>1369</v>
      </c>
      <c r="D183" s="7" t="n">
        <f aca="false">VALUE(LEFT(B183,4))</f>
        <v>2004</v>
      </c>
      <c r="E183" s="7" t="n">
        <f aca="false">INT((D183-1)/100)+1</f>
        <v>21</v>
      </c>
      <c r="F183" s="7" t="s">
        <v>567</v>
      </c>
      <c r="G183" s="7" t="s">
        <v>1370</v>
      </c>
      <c r="H183" s="7" t="s">
        <v>1371</v>
      </c>
      <c r="I183" s="7" t="s">
        <v>1372</v>
      </c>
      <c r="J183" s="7" t="s">
        <v>346</v>
      </c>
      <c r="K183" s="7" t="s">
        <v>1373</v>
      </c>
      <c r="L183" s="7" t="s">
        <v>1030</v>
      </c>
      <c r="M183" s="7" t="s">
        <v>1031</v>
      </c>
      <c r="N183" s="7" t="s">
        <v>18</v>
      </c>
      <c r="O183" s="7" t="s">
        <v>89</v>
      </c>
      <c r="P183" s="7" t="s">
        <v>1374</v>
      </c>
      <c r="Q183" s="7" t="s">
        <v>1375</v>
      </c>
      <c r="R183" s="7" t="n">
        <f aca="false">VALUE(LEFT(Q183,4))</f>
        <v>2004</v>
      </c>
      <c r="S183" s="7" t="n">
        <f aca="false">VALUE(MID(Q183,6,2))</f>
        <v>2</v>
      </c>
      <c r="T183" s="7" t="n">
        <f aca="false">VALUE(RIGHT(Q183,2))</f>
        <v>14</v>
      </c>
      <c r="U183" s="7" t="s">
        <v>331</v>
      </c>
      <c r="V183" s="7" t="s">
        <v>332</v>
      </c>
    </row>
    <row r="184" customFormat="false" ht="23.25" hidden="false" customHeight="true" outlineLevel="0" collapsed="false">
      <c r="A184" s="7" t="n">
        <v>183</v>
      </c>
      <c r="B184" s="7" t="s">
        <v>1376</v>
      </c>
      <c r="C184" s="7" t="s">
        <v>1377</v>
      </c>
      <c r="D184" s="7" t="n">
        <f aca="false">VALUE(LEFT(B184,4))</f>
        <v>2004</v>
      </c>
      <c r="E184" s="7" t="n">
        <f aca="false">INT((D184-1)/100)+1</f>
        <v>21</v>
      </c>
      <c r="F184" s="7" t="s">
        <v>111</v>
      </c>
      <c r="G184" s="7" t="s">
        <v>1378</v>
      </c>
      <c r="H184" s="7" t="s">
        <v>982</v>
      </c>
      <c r="I184" s="7" t="s">
        <v>1379</v>
      </c>
      <c r="J184" s="7" t="s">
        <v>737</v>
      </c>
      <c r="K184" s="7"/>
      <c r="L184" s="7" t="s">
        <v>699</v>
      </c>
      <c r="M184" s="7" t="s">
        <v>642</v>
      </c>
      <c r="N184" s="7" t="s">
        <v>16</v>
      </c>
      <c r="O184" s="7" t="s">
        <v>89</v>
      </c>
      <c r="P184" s="7"/>
      <c r="Q184" s="7" t="s">
        <v>1376</v>
      </c>
      <c r="R184" s="7" t="n">
        <f aca="false">VALUE(LEFT(Q184,4))</f>
        <v>2004</v>
      </c>
      <c r="S184" s="7" t="n">
        <f aca="false">VALUE(MID(Q184,6,2))</f>
        <v>9</v>
      </c>
      <c r="T184" s="7" t="n">
        <f aca="false">VALUE(RIGHT(Q184,2))</f>
        <v>17</v>
      </c>
      <c r="U184" s="7" t="s">
        <v>139</v>
      </c>
      <c r="V184" s="7" t="s">
        <v>140</v>
      </c>
    </row>
    <row r="185" customFormat="false" ht="23.25" hidden="false" customHeight="true" outlineLevel="0" collapsed="false">
      <c r="A185" s="7" t="n">
        <v>184</v>
      </c>
      <c r="B185" s="7" t="s">
        <v>1380</v>
      </c>
      <c r="C185" s="7" t="s">
        <v>1381</v>
      </c>
      <c r="D185" s="7" t="n">
        <f aca="false">VALUE(LEFT(B185,4))</f>
        <v>2005</v>
      </c>
      <c r="E185" s="7" t="n">
        <f aca="false">INT((D185-1)/100)+1</f>
        <v>21</v>
      </c>
      <c r="F185" s="7" t="s">
        <v>1286</v>
      </c>
      <c r="G185" s="7" t="s">
        <v>1382</v>
      </c>
      <c r="H185" s="7" t="s">
        <v>982</v>
      </c>
      <c r="I185" s="7"/>
      <c r="J185" s="7" t="s">
        <v>737</v>
      </c>
      <c r="K185" s="7" t="s">
        <v>1383</v>
      </c>
      <c r="L185" s="7" t="s">
        <v>699</v>
      </c>
      <c r="M185" s="7" t="s">
        <v>642</v>
      </c>
      <c r="N185" s="7" t="s">
        <v>18</v>
      </c>
      <c r="O185" s="7" t="s">
        <v>89</v>
      </c>
      <c r="P185" s="7"/>
      <c r="Q185" s="7" t="s">
        <v>1380</v>
      </c>
      <c r="R185" s="7" t="n">
        <f aca="false">VALUE(LEFT(Q185,4))</f>
        <v>2005</v>
      </c>
      <c r="S185" s="7" t="n">
        <f aca="false">VALUE(MID(Q185,6,2))</f>
        <v>1</v>
      </c>
      <c r="T185" s="7" t="n">
        <f aca="false">VALUE(RIGHT(Q185,2))</f>
        <v>13</v>
      </c>
      <c r="U185" s="7" t="s">
        <v>139</v>
      </c>
      <c r="V185" s="7" t="s">
        <v>140</v>
      </c>
    </row>
    <row r="186" customFormat="false" ht="23.25" hidden="false" customHeight="true" outlineLevel="0" collapsed="false">
      <c r="A186" s="7" t="n">
        <v>185</v>
      </c>
      <c r="B186" s="7" t="s">
        <v>1384</v>
      </c>
      <c r="C186" s="7" t="s">
        <v>1385</v>
      </c>
      <c r="D186" s="7" t="n">
        <f aca="false">VALUE(LEFT(B186,4))</f>
        <v>2005</v>
      </c>
      <c r="E186" s="7" t="n">
        <f aca="false">INT((D186-1)/100)+1</f>
        <v>21</v>
      </c>
      <c r="F186" s="7" t="s">
        <v>143</v>
      </c>
      <c r="G186" s="7" t="s">
        <v>1386</v>
      </c>
      <c r="H186" s="7" t="s">
        <v>1387</v>
      </c>
      <c r="I186" s="7" t="s">
        <v>1388</v>
      </c>
      <c r="J186" s="7" t="s">
        <v>1389</v>
      </c>
      <c r="K186" s="7" t="s">
        <v>1390</v>
      </c>
      <c r="L186" s="7" t="s">
        <v>699</v>
      </c>
      <c r="M186" s="7" t="s">
        <v>642</v>
      </c>
      <c r="N186" s="7" t="s">
        <v>16</v>
      </c>
      <c r="O186" s="7" t="s">
        <v>89</v>
      </c>
      <c r="P186" s="7"/>
      <c r="Q186" s="7" t="s">
        <v>1384</v>
      </c>
      <c r="R186" s="7" t="n">
        <f aca="false">VALUE(LEFT(Q186,4))</f>
        <v>2005</v>
      </c>
      <c r="S186" s="7" t="n">
        <f aca="false">VALUE(MID(Q186,6,2))</f>
        <v>4</v>
      </c>
      <c r="T186" s="7" t="n">
        <f aca="false">VALUE(RIGHT(Q186,2))</f>
        <v>2</v>
      </c>
      <c r="U186" s="7" t="s">
        <v>139</v>
      </c>
      <c r="V186" s="7" t="s">
        <v>140</v>
      </c>
    </row>
    <row r="187" customFormat="false" ht="23.25" hidden="false" customHeight="true" outlineLevel="0" collapsed="false">
      <c r="A187" s="7" t="n">
        <v>186</v>
      </c>
      <c r="B187" s="7" t="s">
        <v>1391</v>
      </c>
      <c r="C187" s="7" t="s">
        <v>1392</v>
      </c>
      <c r="D187" s="7" t="n">
        <f aca="false">VALUE(LEFT(B187,4))</f>
        <v>2005</v>
      </c>
      <c r="E187" s="7" t="n">
        <f aca="false">INT((D187-1)/100)+1</f>
        <v>21</v>
      </c>
      <c r="F187" s="7" t="s">
        <v>143</v>
      </c>
      <c r="G187" s="7" t="s">
        <v>1393</v>
      </c>
      <c r="H187" s="7" t="s">
        <v>1394</v>
      </c>
      <c r="I187" s="7" t="s">
        <v>1395</v>
      </c>
      <c r="J187" s="7" t="s">
        <v>737</v>
      </c>
      <c r="K187" s="7" t="s">
        <v>1396</v>
      </c>
      <c r="L187" s="7" t="s">
        <v>699</v>
      </c>
      <c r="M187" s="7" t="s">
        <v>642</v>
      </c>
      <c r="N187" s="7" t="s">
        <v>16</v>
      </c>
      <c r="O187" s="7" t="s">
        <v>89</v>
      </c>
      <c r="P187" s="7"/>
      <c r="Q187" s="7" t="s">
        <v>1391</v>
      </c>
      <c r="R187" s="7" t="n">
        <f aca="false">VALUE(LEFT(Q187,4))</f>
        <v>2005</v>
      </c>
      <c r="S187" s="7" t="n">
        <f aca="false">VALUE(MID(Q187,6,2))</f>
        <v>10</v>
      </c>
      <c r="T187" s="7" t="n">
        <f aca="false">VALUE(RIGHT(Q187,2))</f>
        <v>7</v>
      </c>
      <c r="U187" s="7" t="s">
        <v>139</v>
      </c>
      <c r="V187" s="7" t="s">
        <v>140</v>
      </c>
    </row>
    <row r="188" customFormat="false" ht="23.25" hidden="false" customHeight="true" outlineLevel="0" collapsed="false">
      <c r="A188" s="7" t="n">
        <v>187</v>
      </c>
      <c r="B188" s="7" t="s">
        <v>1397</v>
      </c>
      <c r="C188" s="7" t="s">
        <v>1398</v>
      </c>
      <c r="D188" s="7" t="n">
        <f aca="false">VALUE(LEFT(B188,4))</f>
        <v>2006</v>
      </c>
      <c r="E188" s="7" t="n">
        <f aca="false">INT((D188-1)/100)+1</f>
        <v>21</v>
      </c>
      <c r="F188" s="7" t="s">
        <v>594</v>
      </c>
      <c r="G188" s="7" t="s">
        <v>1399</v>
      </c>
      <c r="H188" s="7" t="s">
        <v>1400</v>
      </c>
      <c r="I188" s="7" t="s">
        <v>1401</v>
      </c>
      <c r="J188" s="7" t="s">
        <v>346</v>
      </c>
      <c r="K188" s="7" t="s">
        <v>1402</v>
      </c>
      <c r="L188" s="7" t="s">
        <v>583</v>
      </c>
      <c r="M188" s="7" t="s">
        <v>1403</v>
      </c>
      <c r="N188" s="7" t="s">
        <v>18</v>
      </c>
      <c r="O188" s="7" t="s">
        <v>89</v>
      </c>
      <c r="P188" s="7"/>
      <c r="Q188" s="7" t="s">
        <v>1404</v>
      </c>
      <c r="R188" s="7" t="n">
        <f aca="false">VALUE(LEFT(Q188,4))</f>
        <v>2006</v>
      </c>
      <c r="S188" s="7" t="n">
        <f aca="false">VALUE(MID(Q188,6,2))</f>
        <v>7</v>
      </c>
      <c r="T188" s="7" t="n">
        <f aca="false">VALUE(RIGHT(Q188,2))</f>
        <v>16</v>
      </c>
      <c r="U188" s="7" t="s">
        <v>128</v>
      </c>
      <c r="V188" s="7" t="s">
        <v>339</v>
      </c>
    </row>
    <row r="189" customFormat="false" ht="23.25" hidden="false" customHeight="true" outlineLevel="0" collapsed="false">
      <c r="A189" s="7" t="n">
        <v>188</v>
      </c>
      <c r="B189" s="7" t="s">
        <v>1405</v>
      </c>
      <c r="C189" s="7" t="s">
        <v>1406</v>
      </c>
      <c r="D189" s="7" t="n">
        <f aca="false">VALUE(LEFT(B189,4))</f>
        <v>2006</v>
      </c>
      <c r="E189" s="7" t="n">
        <f aca="false">INT((D189-1)/100)+1</f>
        <v>21</v>
      </c>
      <c r="F189" s="7" t="s">
        <v>143</v>
      </c>
      <c r="G189" s="7" t="s">
        <v>1407</v>
      </c>
      <c r="H189" s="7" t="s">
        <v>1408</v>
      </c>
      <c r="I189" s="7" t="s">
        <v>1409</v>
      </c>
      <c r="J189" s="7" t="s">
        <v>737</v>
      </c>
      <c r="K189" s="7" t="s">
        <v>1410</v>
      </c>
      <c r="L189" s="7" t="s">
        <v>699</v>
      </c>
      <c r="M189" s="7" t="s">
        <v>642</v>
      </c>
      <c r="N189" s="7" t="s">
        <v>16</v>
      </c>
      <c r="O189" s="7" t="s">
        <v>89</v>
      </c>
      <c r="P189" s="7"/>
      <c r="Q189" s="7" t="s">
        <v>1405</v>
      </c>
      <c r="R189" s="7" t="n">
        <f aca="false">VALUE(LEFT(Q189,4))</f>
        <v>2006</v>
      </c>
      <c r="S189" s="7" t="n">
        <f aca="false">VALUE(MID(Q189,6,2))</f>
        <v>6</v>
      </c>
      <c r="T189" s="7" t="n">
        <f aca="false">VALUE(RIGHT(Q189,2))</f>
        <v>26</v>
      </c>
      <c r="U189" s="7" t="s">
        <v>139</v>
      </c>
      <c r="V189" s="7" t="s">
        <v>140</v>
      </c>
    </row>
    <row r="190" customFormat="false" ht="23.25" hidden="false" customHeight="true" outlineLevel="0" collapsed="false">
      <c r="A190" s="7" t="n">
        <v>189</v>
      </c>
      <c r="B190" s="7" t="s">
        <v>1411</v>
      </c>
      <c r="C190" s="7" t="s">
        <v>1412</v>
      </c>
      <c r="D190" s="7" t="n">
        <f aca="false">VALUE(LEFT(B190,4))</f>
        <v>2007</v>
      </c>
      <c r="E190" s="7" t="n">
        <f aca="false">INT((D190-1)/100)+1</f>
        <v>21</v>
      </c>
      <c r="F190" s="7" t="s">
        <v>842</v>
      </c>
      <c r="G190" s="7" t="s">
        <v>1413</v>
      </c>
      <c r="H190" s="7" t="s">
        <v>1414</v>
      </c>
      <c r="I190" s="7" t="s">
        <v>1415</v>
      </c>
      <c r="J190" s="7" t="s">
        <v>737</v>
      </c>
      <c r="K190" s="7"/>
      <c r="L190" s="7" t="s">
        <v>699</v>
      </c>
      <c r="M190" s="7" t="s">
        <v>642</v>
      </c>
      <c r="N190" s="7" t="s">
        <v>16</v>
      </c>
      <c r="O190" s="7" t="s">
        <v>89</v>
      </c>
      <c r="P190" s="7"/>
      <c r="Q190" s="7" t="s">
        <v>1411</v>
      </c>
      <c r="R190" s="7" t="n">
        <f aca="false">VALUE(LEFT(Q190,4))</f>
        <v>2007</v>
      </c>
      <c r="S190" s="7" t="n">
        <f aca="false">VALUE(MID(Q190,6,2))</f>
        <v>1</v>
      </c>
      <c r="T190" s="7" t="n">
        <f aca="false">VALUE(RIGHT(Q190,2))</f>
        <v>14</v>
      </c>
      <c r="U190" s="7" t="s">
        <v>139</v>
      </c>
      <c r="V190" s="7" t="s">
        <v>140</v>
      </c>
    </row>
    <row r="191" customFormat="false" ht="23.25" hidden="false" customHeight="true" outlineLevel="0" collapsed="false">
      <c r="A191" s="7" t="n">
        <v>190</v>
      </c>
      <c r="B191" s="7" t="s">
        <v>1416</v>
      </c>
      <c r="C191" s="7" t="s">
        <v>1416</v>
      </c>
      <c r="D191" s="7" t="n">
        <f aca="false">VALUE(LEFT(B191,4))</f>
        <v>2007</v>
      </c>
      <c r="E191" s="7" t="n">
        <f aca="false">INT((D191-1)/100)+1</f>
        <v>21</v>
      </c>
      <c r="F191" s="7" t="s">
        <v>173</v>
      </c>
      <c r="G191" s="7" t="s">
        <v>1417</v>
      </c>
      <c r="H191" s="7" t="s">
        <v>982</v>
      </c>
      <c r="I191" s="7" t="s">
        <v>1418</v>
      </c>
      <c r="J191" s="7" t="s">
        <v>737</v>
      </c>
      <c r="K191" s="7" t="s">
        <v>1044</v>
      </c>
      <c r="L191" s="7" t="s">
        <v>699</v>
      </c>
      <c r="M191" s="7" t="s">
        <v>642</v>
      </c>
      <c r="N191" s="7" t="s">
        <v>16</v>
      </c>
      <c r="O191" s="7" t="s">
        <v>89</v>
      </c>
      <c r="P191" s="7"/>
      <c r="Q191" s="7" t="s">
        <v>1416</v>
      </c>
      <c r="R191" s="7" t="n">
        <f aca="false">VALUE(LEFT(Q191,4))</f>
        <v>2007</v>
      </c>
      <c r="S191" s="7" t="n">
        <f aca="false">VALUE(MID(Q191,6,2))</f>
        <v>2</v>
      </c>
      <c r="T191" s="7" t="n">
        <f aca="false">VALUE(RIGHT(Q191,2))</f>
        <v>14</v>
      </c>
      <c r="U191" s="7" t="s">
        <v>91</v>
      </c>
      <c r="V191" s="7" t="s">
        <v>92</v>
      </c>
    </row>
    <row r="192" customFormat="false" ht="23.25" hidden="false" customHeight="true" outlineLevel="0" collapsed="false">
      <c r="A192" s="7" t="n">
        <v>191</v>
      </c>
      <c r="B192" s="7" t="s">
        <v>1419</v>
      </c>
      <c r="C192" s="7" t="s">
        <v>1420</v>
      </c>
      <c r="D192" s="7" t="n">
        <f aca="false">VALUE(LEFT(B192,4))</f>
        <v>2007</v>
      </c>
      <c r="E192" s="7" t="n">
        <f aca="false">INT((D192-1)/100)+1</f>
        <v>21</v>
      </c>
      <c r="F192" s="7" t="s">
        <v>1421</v>
      </c>
      <c r="G192" s="7" t="s">
        <v>1422</v>
      </c>
      <c r="H192" s="7" t="s">
        <v>1423</v>
      </c>
      <c r="I192" s="7" t="s">
        <v>1424</v>
      </c>
      <c r="J192" s="7" t="s">
        <v>737</v>
      </c>
      <c r="K192" s="7" t="s">
        <v>1425</v>
      </c>
      <c r="L192" s="7" t="s">
        <v>1426</v>
      </c>
      <c r="M192" s="7" t="s">
        <v>642</v>
      </c>
      <c r="N192" s="7" t="s">
        <v>16</v>
      </c>
      <c r="O192" s="7" t="s">
        <v>89</v>
      </c>
      <c r="P192" s="7" t="s">
        <v>1427</v>
      </c>
      <c r="Q192" s="7" t="s">
        <v>1419</v>
      </c>
      <c r="R192" s="7" t="n">
        <f aca="false">VALUE(LEFT(Q192,4))</f>
        <v>2007</v>
      </c>
      <c r="S192" s="7" t="n">
        <f aca="false">VALUE(MID(Q192,6,2))</f>
        <v>4</v>
      </c>
      <c r="T192" s="7" t="n">
        <f aca="false">VALUE(RIGHT(Q192,2))</f>
        <v>15</v>
      </c>
      <c r="U192" s="7" t="s">
        <v>139</v>
      </c>
      <c r="V192" s="7" t="s">
        <v>140</v>
      </c>
    </row>
    <row r="193" customFormat="false" ht="45.75" hidden="false" customHeight="true" outlineLevel="0" collapsed="false">
      <c r="A193" s="7" t="n">
        <v>192</v>
      </c>
      <c r="B193" s="7" t="s">
        <v>1428</v>
      </c>
      <c r="C193" s="7" t="s">
        <v>1429</v>
      </c>
      <c r="D193" s="7" t="n">
        <f aca="false">VALUE(LEFT(B193,4))</f>
        <v>2008</v>
      </c>
      <c r="E193" s="7" t="n">
        <f aca="false">INT((D193-1)/100)+1</f>
        <v>21</v>
      </c>
      <c r="F193" s="7" t="s">
        <v>1430</v>
      </c>
      <c r="G193" s="7" t="s">
        <v>1431</v>
      </c>
      <c r="H193" s="7" t="s">
        <v>1432</v>
      </c>
      <c r="I193" s="7" t="s">
        <v>1433</v>
      </c>
      <c r="J193" s="7" t="s">
        <v>1434</v>
      </c>
      <c r="K193" s="7" t="s">
        <v>1435</v>
      </c>
      <c r="L193" s="7" t="s">
        <v>1436</v>
      </c>
      <c r="M193" s="7" t="s">
        <v>1437</v>
      </c>
      <c r="N193" s="7" t="s">
        <v>20</v>
      </c>
      <c r="O193" s="7" t="s">
        <v>89</v>
      </c>
      <c r="P193" s="7" t="s">
        <v>1438</v>
      </c>
      <c r="Q193" s="7" t="s">
        <v>1439</v>
      </c>
      <c r="R193" s="7" t="n">
        <f aca="false">VALUE(LEFT(Q193,4))</f>
        <v>2008</v>
      </c>
      <c r="S193" s="7" t="n">
        <f aca="false">VALUE(MID(Q193,6,2))</f>
        <v>8</v>
      </c>
      <c r="T193" s="7" t="n">
        <f aca="false">VALUE(RIGHT(Q193,2))</f>
        <v>15</v>
      </c>
      <c r="U193" s="7" t="s">
        <v>331</v>
      </c>
      <c r="V193" s="7" t="s">
        <v>1440</v>
      </c>
    </row>
    <row r="194" customFormat="false" ht="23.25" hidden="false" customHeight="true" outlineLevel="0" collapsed="false">
      <c r="A194" s="7" t="n">
        <v>193</v>
      </c>
      <c r="B194" s="7" t="s">
        <v>1441</v>
      </c>
      <c r="C194" s="7" t="s">
        <v>1442</v>
      </c>
      <c r="D194" s="7" t="n">
        <f aca="false">VALUE(LEFT(B194,4))</f>
        <v>2008</v>
      </c>
      <c r="E194" s="7" t="n">
        <f aca="false">INT((D194-1)/100)+1</f>
        <v>21</v>
      </c>
      <c r="F194" s="7" t="s">
        <v>842</v>
      </c>
      <c r="G194" s="7" t="s">
        <v>1443</v>
      </c>
      <c r="H194" s="7" t="s">
        <v>1444</v>
      </c>
      <c r="I194" s="7" t="s">
        <v>1445</v>
      </c>
      <c r="J194" s="7" t="s">
        <v>737</v>
      </c>
      <c r="K194" s="7" t="s">
        <v>1446</v>
      </c>
      <c r="L194" s="7" t="s">
        <v>699</v>
      </c>
      <c r="M194" s="7" t="s">
        <v>642</v>
      </c>
      <c r="N194" s="7" t="s">
        <v>16</v>
      </c>
      <c r="O194" s="7" t="s">
        <v>89</v>
      </c>
      <c r="P194" s="7"/>
      <c r="Q194" s="7" t="s">
        <v>1441</v>
      </c>
      <c r="R194" s="7" t="n">
        <f aca="false">VALUE(LEFT(Q194,4))</f>
        <v>2008</v>
      </c>
      <c r="S194" s="7" t="n">
        <f aca="false">VALUE(MID(Q194,6,2))</f>
        <v>12</v>
      </c>
      <c r="T194" s="7" t="n">
        <f aca="false">VALUE(RIGHT(Q194,2))</f>
        <v>11</v>
      </c>
      <c r="U194" s="7" t="s">
        <v>139</v>
      </c>
      <c r="V194" s="7" t="s">
        <v>140</v>
      </c>
    </row>
    <row r="195" customFormat="false" ht="57" hidden="false" customHeight="true" outlineLevel="0" collapsed="false">
      <c r="A195" s="7" t="n">
        <v>194</v>
      </c>
      <c r="B195" s="7" t="s">
        <v>1447</v>
      </c>
      <c r="C195" s="7" t="s">
        <v>1448</v>
      </c>
      <c r="D195" s="7" t="n">
        <f aca="false">VALUE(LEFT(B195,4))</f>
        <v>2009</v>
      </c>
      <c r="E195" s="7" t="n">
        <f aca="false">INT((D195-1)/100)+1</f>
        <v>21</v>
      </c>
      <c r="F195" s="7" t="s">
        <v>1449</v>
      </c>
      <c r="G195" s="7" t="s">
        <v>1450</v>
      </c>
      <c r="H195" s="7" t="s">
        <v>1451</v>
      </c>
      <c r="I195" s="7" t="s">
        <v>1452</v>
      </c>
      <c r="J195" s="7" t="s">
        <v>1453</v>
      </c>
      <c r="K195" s="7" t="s">
        <v>1454</v>
      </c>
      <c r="L195" s="7" t="s">
        <v>1436</v>
      </c>
      <c r="M195" s="7" t="s">
        <v>1437</v>
      </c>
      <c r="N195" s="7" t="s">
        <v>20</v>
      </c>
      <c r="O195" s="7" t="s">
        <v>89</v>
      </c>
      <c r="P195" s="7" t="s">
        <v>1455</v>
      </c>
      <c r="Q195" s="7" t="s">
        <v>1456</v>
      </c>
      <c r="R195" s="7" t="n">
        <f aca="false">VALUE(LEFT(Q195,4))</f>
        <v>2009</v>
      </c>
      <c r="S195" s="7" t="n">
        <f aca="false">VALUE(MID(Q195,6,2))</f>
        <v>4</v>
      </c>
      <c r="T195" s="7" t="n">
        <f aca="false">VALUE(RIGHT(Q195,2))</f>
        <v>15</v>
      </c>
      <c r="U195" s="7" t="s">
        <v>331</v>
      </c>
      <c r="V195" s="7" t="s">
        <v>1457</v>
      </c>
    </row>
    <row r="196" customFormat="false" ht="34.5" hidden="false" customHeight="true" outlineLevel="0" collapsed="false">
      <c r="A196" s="7" t="n">
        <v>195</v>
      </c>
      <c r="B196" s="7" t="s">
        <v>1458</v>
      </c>
      <c r="C196" s="7" t="s">
        <v>1459</v>
      </c>
      <c r="D196" s="7" t="n">
        <f aca="false">VALUE(LEFT(B196,4))</f>
        <v>2010</v>
      </c>
      <c r="E196" s="7" t="n">
        <f aca="false">INT((D196-1)/100)+1</f>
        <v>21</v>
      </c>
      <c r="F196" s="7" t="s">
        <v>594</v>
      </c>
      <c r="G196" s="7" t="s">
        <v>1460</v>
      </c>
      <c r="H196" s="7" t="s">
        <v>1461</v>
      </c>
      <c r="I196" s="7" t="s">
        <v>1462</v>
      </c>
      <c r="J196" s="7" t="s">
        <v>346</v>
      </c>
      <c r="K196" s="7" t="s">
        <v>1463</v>
      </c>
      <c r="L196" s="7" t="s">
        <v>1464</v>
      </c>
      <c r="M196" s="7" t="s">
        <v>1465</v>
      </c>
      <c r="N196" s="7" t="s">
        <v>20</v>
      </c>
      <c r="O196" s="7" t="s">
        <v>89</v>
      </c>
      <c r="P196" s="7" t="s">
        <v>1466</v>
      </c>
      <c r="Q196" s="7" t="s">
        <v>1467</v>
      </c>
      <c r="R196" s="7" t="n">
        <f aca="false">VALUE(LEFT(Q196,4))</f>
        <v>2018</v>
      </c>
      <c r="S196" s="7" t="n">
        <f aca="false">VALUE(MID(Q196,6,2))</f>
        <v>2</v>
      </c>
      <c r="T196" s="7" t="n">
        <f aca="false">VALUE(RIGHT(Q196,2))</f>
        <v>22</v>
      </c>
      <c r="U196" s="7" t="s">
        <v>352</v>
      </c>
      <c r="V196" s="7" t="s">
        <v>1468</v>
      </c>
    </row>
    <row r="197" customFormat="false" ht="23.25" hidden="false" customHeight="true" outlineLevel="0" collapsed="false">
      <c r="A197" s="7" t="n">
        <v>196</v>
      </c>
      <c r="B197" s="7" t="s">
        <v>1469</v>
      </c>
      <c r="C197" s="7" t="s">
        <v>1470</v>
      </c>
      <c r="D197" s="7" t="n">
        <f aca="false">VALUE(LEFT(B197,4))</f>
        <v>2010</v>
      </c>
      <c r="E197" s="7" t="n">
        <f aca="false">INT((D197-1)/100)+1</f>
        <v>21</v>
      </c>
      <c r="F197" s="7" t="s">
        <v>1471</v>
      </c>
      <c r="G197" s="7" t="s">
        <v>1472</v>
      </c>
      <c r="H197" s="7" t="s">
        <v>1473</v>
      </c>
      <c r="I197" s="7" t="s">
        <v>1474</v>
      </c>
      <c r="J197" s="7" t="s">
        <v>737</v>
      </c>
      <c r="K197" s="7" t="s">
        <v>1475</v>
      </c>
      <c r="L197" s="7" t="s">
        <v>699</v>
      </c>
      <c r="M197" s="7" t="s">
        <v>642</v>
      </c>
      <c r="N197" s="7" t="s">
        <v>16</v>
      </c>
      <c r="O197" s="7" t="s">
        <v>89</v>
      </c>
      <c r="P197" s="7"/>
      <c r="Q197" s="7" t="s">
        <v>1469</v>
      </c>
      <c r="R197" s="7" t="n">
        <f aca="false">VALUE(LEFT(Q197,4))</f>
        <v>2010</v>
      </c>
      <c r="S197" s="7" t="n">
        <f aca="false">VALUE(MID(Q197,6,2))</f>
        <v>1</v>
      </c>
      <c r="T197" s="7" t="n">
        <f aca="false">VALUE(RIGHT(Q197,2))</f>
        <v>25</v>
      </c>
      <c r="U197" s="7" t="s">
        <v>139</v>
      </c>
      <c r="V197" s="7" t="s">
        <v>140</v>
      </c>
    </row>
    <row r="198" customFormat="false" ht="23.25" hidden="false" customHeight="true" outlineLevel="0" collapsed="false">
      <c r="A198" s="7" t="n">
        <v>197</v>
      </c>
      <c r="B198" s="7" t="s">
        <v>1476</v>
      </c>
      <c r="C198" s="7" t="s">
        <v>1477</v>
      </c>
      <c r="D198" s="7" t="n">
        <f aca="false">VALUE(LEFT(B198,4))</f>
        <v>2010</v>
      </c>
      <c r="E198" s="7" t="n">
        <f aca="false">INT((D198-1)/100)+1</f>
        <v>21</v>
      </c>
      <c r="F198" s="7" t="s">
        <v>1341</v>
      </c>
      <c r="G198" s="7" t="s">
        <v>1478</v>
      </c>
      <c r="H198" s="7" t="s">
        <v>1479</v>
      </c>
      <c r="I198" s="7" t="s">
        <v>1480</v>
      </c>
      <c r="J198" s="7" t="s">
        <v>737</v>
      </c>
      <c r="K198" s="7" t="s">
        <v>1481</v>
      </c>
      <c r="L198" s="7" t="s">
        <v>699</v>
      </c>
      <c r="M198" s="7" t="s">
        <v>642</v>
      </c>
      <c r="N198" s="7" t="s">
        <v>16</v>
      </c>
      <c r="O198" s="7" t="s">
        <v>89</v>
      </c>
      <c r="P198" s="7" t="s">
        <v>1482</v>
      </c>
      <c r="Q198" s="7" t="s">
        <v>1476</v>
      </c>
      <c r="R198" s="7" t="n">
        <f aca="false">VALUE(LEFT(Q198,4))</f>
        <v>2010</v>
      </c>
      <c r="S198" s="7" t="n">
        <f aca="false">VALUE(MID(Q198,6,2))</f>
        <v>2</v>
      </c>
      <c r="T198" s="7" t="n">
        <f aca="false">VALUE(RIGHT(Q198,2))</f>
        <v>23</v>
      </c>
      <c r="U198" s="7" t="s">
        <v>139</v>
      </c>
      <c r="V198" s="7" t="s">
        <v>140</v>
      </c>
    </row>
    <row r="199" customFormat="false" ht="23.25" hidden="false" customHeight="true" outlineLevel="0" collapsed="false">
      <c r="A199" s="7" t="n">
        <v>198</v>
      </c>
      <c r="B199" s="7" t="s">
        <v>1483</v>
      </c>
      <c r="C199" s="7" t="s">
        <v>1484</v>
      </c>
      <c r="D199" s="7" t="n">
        <f aca="false">VALUE(LEFT(B199,4))</f>
        <v>2010</v>
      </c>
      <c r="E199" s="7" t="n">
        <f aca="false">INT((D199-1)/100)+1</f>
        <v>21</v>
      </c>
      <c r="F199" s="7" t="s">
        <v>1485</v>
      </c>
      <c r="G199" s="7" t="s">
        <v>1486</v>
      </c>
      <c r="H199" s="7" t="s">
        <v>982</v>
      </c>
      <c r="I199" s="7" t="s">
        <v>1487</v>
      </c>
      <c r="J199" s="7" t="s">
        <v>324</v>
      </c>
      <c r="K199" s="7" t="s">
        <v>1488</v>
      </c>
      <c r="L199" s="7" t="s">
        <v>699</v>
      </c>
      <c r="M199" s="7" t="s">
        <v>642</v>
      </c>
      <c r="N199" s="7" t="s">
        <v>16</v>
      </c>
      <c r="O199" s="7" t="s">
        <v>89</v>
      </c>
      <c r="P199" s="7"/>
      <c r="Q199" s="7" t="s">
        <v>1483</v>
      </c>
      <c r="R199" s="7" t="n">
        <f aca="false">VALUE(LEFT(Q199,4))</f>
        <v>2010</v>
      </c>
      <c r="S199" s="7" t="n">
        <f aca="false">VALUE(MID(Q199,6,2))</f>
        <v>9</v>
      </c>
      <c r="T199" s="7" t="n">
        <f aca="false">VALUE(RIGHT(Q199,2))</f>
        <v>30</v>
      </c>
      <c r="U199" s="7" t="s">
        <v>139</v>
      </c>
      <c r="V199" s="7" t="s">
        <v>140</v>
      </c>
    </row>
    <row r="200" customFormat="false" ht="23.25" hidden="false" customHeight="true" outlineLevel="0" collapsed="false">
      <c r="A200" s="7" t="n">
        <v>199</v>
      </c>
      <c r="B200" s="7" t="s">
        <v>1489</v>
      </c>
      <c r="C200" s="7" t="s">
        <v>1490</v>
      </c>
      <c r="D200" s="7" t="n">
        <f aca="false">VALUE(LEFT(B200,4))</f>
        <v>2010</v>
      </c>
      <c r="E200" s="7" t="n">
        <f aca="false">INT((D200-1)/100)+1</f>
        <v>21</v>
      </c>
      <c r="F200" s="7" t="s">
        <v>173</v>
      </c>
      <c r="G200" s="7" t="s">
        <v>1491</v>
      </c>
      <c r="H200" s="7" t="s">
        <v>1492</v>
      </c>
      <c r="I200" s="7" t="s">
        <v>1493</v>
      </c>
      <c r="J200" s="7" t="s">
        <v>737</v>
      </c>
      <c r="K200" s="7" t="s">
        <v>1044</v>
      </c>
      <c r="L200" s="7" t="s">
        <v>699</v>
      </c>
      <c r="M200" s="7" t="s">
        <v>642</v>
      </c>
      <c r="N200" s="7" t="s">
        <v>16</v>
      </c>
      <c r="O200" s="7" t="s">
        <v>89</v>
      </c>
      <c r="P200" s="7"/>
      <c r="Q200" s="7" t="s">
        <v>1489</v>
      </c>
      <c r="R200" s="7" t="n">
        <f aca="false">VALUE(LEFT(Q200,4))</f>
        <v>2010</v>
      </c>
      <c r="S200" s="7" t="n">
        <f aca="false">VALUE(MID(Q200,6,2))</f>
        <v>12</v>
      </c>
      <c r="T200" s="7" t="n">
        <f aca="false">VALUE(RIGHT(Q200,2))</f>
        <v>26</v>
      </c>
      <c r="U200" s="7" t="s">
        <v>139</v>
      </c>
      <c r="V200" s="7" t="s">
        <v>140</v>
      </c>
    </row>
    <row r="201" customFormat="false" ht="23.25" hidden="false" customHeight="true" outlineLevel="0" collapsed="false">
      <c r="A201" s="7" t="n">
        <v>200</v>
      </c>
      <c r="B201" s="7" t="s">
        <v>1494</v>
      </c>
      <c r="C201" s="7" t="s">
        <v>1494</v>
      </c>
      <c r="D201" s="7" t="n">
        <f aca="false">VALUE(LEFT(B201,4))</f>
        <v>2011</v>
      </c>
      <c r="E201" s="7" t="n">
        <f aca="false">INT((D201-1)/100)+1</f>
        <v>21</v>
      </c>
      <c r="F201" s="7" t="s">
        <v>173</v>
      </c>
      <c r="G201" s="7" t="s">
        <v>1495</v>
      </c>
      <c r="H201" s="7" t="s">
        <v>982</v>
      </c>
      <c r="I201" s="7" t="s">
        <v>1496</v>
      </c>
      <c r="J201" s="7" t="s">
        <v>737</v>
      </c>
      <c r="K201" s="7"/>
      <c r="L201" s="7" t="s">
        <v>699</v>
      </c>
      <c r="M201" s="7" t="s">
        <v>642</v>
      </c>
      <c r="N201" s="7" t="s">
        <v>16</v>
      </c>
      <c r="O201" s="7" t="s">
        <v>89</v>
      </c>
      <c r="P201" s="7"/>
      <c r="Q201" s="7" t="s">
        <v>1494</v>
      </c>
      <c r="R201" s="7" t="n">
        <f aca="false">VALUE(LEFT(Q201,4))</f>
        <v>2011</v>
      </c>
      <c r="S201" s="7" t="n">
        <f aca="false">VALUE(MID(Q201,6,2))</f>
        <v>1</v>
      </c>
      <c r="T201" s="7" t="n">
        <f aca="false">VALUE(RIGHT(Q201,2))</f>
        <v>12</v>
      </c>
      <c r="U201" s="7" t="s">
        <v>91</v>
      </c>
      <c r="V201" s="7" t="s">
        <v>92</v>
      </c>
    </row>
    <row r="202" customFormat="false" ht="23.25" hidden="false" customHeight="true" outlineLevel="0" collapsed="false">
      <c r="A202" s="7" t="n">
        <v>201</v>
      </c>
      <c r="B202" s="7" t="s">
        <v>1497</v>
      </c>
      <c r="C202" s="7" t="s">
        <v>1498</v>
      </c>
      <c r="D202" s="7" t="n">
        <f aca="false">VALUE(LEFT(B202,4))</f>
        <v>2011</v>
      </c>
      <c r="E202" s="7" t="n">
        <f aca="false">INT((D202-1)/100)+1</f>
        <v>21</v>
      </c>
      <c r="F202" s="7" t="s">
        <v>1471</v>
      </c>
      <c r="G202" s="7" t="s">
        <v>1499</v>
      </c>
      <c r="H202" s="7" t="s">
        <v>1500</v>
      </c>
      <c r="I202" s="7" t="s">
        <v>1501</v>
      </c>
      <c r="J202" s="7" t="s">
        <v>737</v>
      </c>
      <c r="K202" s="7" t="s">
        <v>1502</v>
      </c>
      <c r="L202" s="7" t="s">
        <v>699</v>
      </c>
      <c r="M202" s="7" t="s">
        <v>642</v>
      </c>
      <c r="N202" s="7" t="s">
        <v>16</v>
      </c>
      <c r="O202" s="7" t="s">
        <v>89</v>
      </c>
      <c r="P202" s="7"/>
      <c r="Q202" s="7" t="s">
        <v>1497</v>
      </c>
      <c r="R202" s="7" t="n">
        <f aca="false">VALUE(LEFT(Q202,4))</f>
        <v>2011</v>
      </c>
      <c r="S202" s="7" t="n">
        <f aca="false">VALUE(MID(Q202,6,2))</f>
        <v>3</v>
      </c>
      <c r="T202" s="7" t="n">
        <f aca="false">VALUE(RIGHT(Q202,2))</f>
        <v>6</v>
      </c>
      <c r="U202" s="7" t="s">
        <v>139</v>
      </c>
      <c r="V202" s="7" t="s">
        <v>140</v>
      </c>
    </row>
    <row r="203" customFormat="false" ht="23.25" hidden="false" customHeight="true" outlineLevel="0" collapsed="false">
      <c r="A203" s="7" t="n">
        <v>202</v>
      </c>
      <c r="B203" s="7" t="s">
        <v>1503</v>
      </c>
      <c r="C203" s="7" t="s">
        <v>1504</v>
      </c>
      <c r="D203" s="7" t="n">
        <f aca="false">VALUE(LEFT(B203,4))</f>
        <v>2011</v>
      </c>
      <c r="E203" s="7" t="n">
        <f aca="false">INT((D203-1)/100)+1</f>
        <v>21</v>
      </c>
      <c r="F203" s="7" t="s">
        <v>722</v>
      </c>
      <c r="G203" s="7" t="s">
        <v>1505</v>
      </c>
      <c r="H203" s="7" t="s">
        <v>982</v>
      </c>
      <c r="I203" s="7" t="s">
        <v>1506</v>
      </c>
      <c r="J203" s="7" t="s">
        <v>324</v>
      </c>
      <c r="K203" s="7" t="s">
        <v>1507</v>
      </c>
      <c r="L203" s="7" t="s">
        <v>1508</v>
      </c>
      <c r="M203" s="7" t="s">
        <v>642</v>
      </c>
      <c r="N203" s="7" t="s">
        <v>16</v>
      </c>
      <c r="O203" s="7" t="s">
        <v>89</v>
      </c>
      <c r="P203" s="7" t="s">
        <v>1509</v>
      </c>
      <c r="Q203" s="7" t="s">
        <v>1510</v>
      </c>
      <c r="R203" s="7" t="n">
        <f aca="false">VALUE(LEFT(Q203,4))</f>
        <v>2011</v>
      </c>
      <c r="S203" s="7" t="n">
        <f aca="false">VALUE(MID(Q203,6,2))</f>
        <v>7</v>
      </c>
      <c r="T203" s="7" t="n">
        <f aca="false">VALUE(RIGHT(Q203,2))</f>
        <v>21</v>
      </c>
      <c r="U203" s="7" t="s">
        <v>139</v>
      </c>
      <c r="V203" s="7" t="s">
        <v>1511</v>
      </c>
    </row>
    <row r="204" customFormat="false" ht="23.25" hidden="false" customHeight="true" outlineLevel="0" collapsed="false">
      <c r="A204" s="7" t="n">
        <v>203</v>
      </c>
      <c r="B204" s="7" t="s">
        <v>1512</v>
      </c>
      <c r="C204" s="7" t="s">
        <v>1512</v>
      </c>
      <c r="D204" s="7" t="n">
        <f aca="false">VALUE(LEFT(B204,4))</f>
        <v>2011</v>
      </c>
      <c r="E204" s="7" t="n">
        <f aca="false">INT((D204-1)/100)+1</f>
        <v>21</v>
      </c>
      <c r="F204" s="7" t="s">
        <v>111</v>
      </c>
      <c r="G204" s="7" t="s">
        <v>1513</v>
      </c>
      <c r="H204" s="7" t="s">
        <v>1514</v>
      </c>
      <c r="I204" s="7" t="s">
        <v>1515</v>
      </c>
      <c r="J204" s="7" t="s">
        <v>737</v>
      </c>
      <c r="K204" s="7" t="s">
        <v>1516</v>
      </c>
      <c r="L204" s="7" t="s">
        <v>699</v>
      </c>
      <c r="M204" s="7" t="s">
        <v>642</v>
      </c>
      <c r="N204" s="7" t="s">
        <v>16</v>
      </c>
      <c r="O204" s="7" t="s">
        <v>89</v>
      </c>
      <c r="P204" s="7" t="s">
        <v>1517</v>
      </c>
      <c r="Q204" s="7" t="s">
        <v>1512</v>
      </c>
      <c r="R204" s="7" t="n">
        <f aca="false">VALUE(LEFT(Q204,4))</f>
        <v>2011</v>
      </c>
      <c r="S204" s="7" t="n">
        <f aca="false">VALUE(MID(Q204,6,2))</f>
        <v>8</v>
      </c>
      <c r="T204" s="7" t="n">
        <f aca="false">VALUE(RIGHT(Q204,2))</f>
        <v>28</v>
      </c>
      <c r="U204" s="7" t="s">
        <v>91</v>
      </c>
      <c r="V204" s="7" t="s">
        <v>92</v>
      </c>
    </row>
    <row r="205" customFormat="false" ht="57" hidden="false" customHeight="true" outlineLevel="0" collapsed="false">
      <c r="A205" s="7" t="n">
        <v>204</v>
      </c>
      <c r="B205" s="7" t="s">
        <v>1512</v>
      </c>
      <c r="C205" s="7" t="s">
        <v>1512</v>
      </c>
      <c r="D205" s="7" t="n">
        <f aca="false">VALUE(LEFT(B205,4))</f>
        <v>2011</v>
      </c>
      <c r="E205" s="7" t="n">
        <f aca="false">INT((D205-1)/100)+1</f>
        <v>21</v>
      </c>
      <c r="F205" s="7" t="s">
        <v>745</v>
      </c>
      <c r="G205" s="7" t="s">
        <v>1518</v>
      </c>
      <c r="H205" s="7" t="s">
        <v>1519</v>
      </c>
      <c r="I205" s="7" t="s">
        <v>1520</v>
      </c>
      <c r="J205" s="7" t="s">
        <v>1521</v>
      </c>
      <c r="K205" s="7" t="s">
        <v>1522</v>
      </c>
      <c r="L205" s="7" t="s">
        <v>1096</v>
      </c>
      <c r="M205" s="7" t="s">
        <v>1523</v>
      </c>
      <c r="N205" s="7" t="s">
        <v>18</v>
      </c>
      <c r="O205" s="7" t="s">
        <v>89</v>
      </c>
      <c r="P205" s="7" t="s">
        <v>1524</v>
      </c>
      <c r="Q205" s="7" t="s">
        <v>1512</v>
      </c>
      <c r="R205" s="7" t="n">
        <f aca="false">VALUE(LEFT(Q205,4))</f>
        <v>2011</v>
      </c>
      <c r="S205" s="7" t="n">
        <f aca="false">VALUE(MID(Q205,6,2))</f>
        <v>8</v>
      </c>
      <c r="T205" s="7" t="n">
        <f aca="false">VALUE(RIGHT(Q205,2))</f>
        <v>28</v>
      </c>
      <c r="U205" s="7" t="s">
        <v>91</v>
      </c>
      <c r="V205" s="7" t="s">
        <v>92</v>
      </c>
    </row>
    <row r="206" customFormat="false" ht="57" hidden="false" customHeight="true" outlineLevel="0" collapsed="false">
      <c r="A206" s="7" t="n">
        <v>205</v>
      </c>
      <c r="B206" s="7" t="s">
        <v>1512</v>
      </c>
      <c r="C206" s="7" t="s">
        <v>1512</v>
      </c>
      <c r="D206" s="7" t="n">
        <f aca="false">VALUE(LEFT(B206,4))</f>
        <v>2011</v>
      </c>
      <c r="E206" s="7" t="n">
        <f aca="false">INT((D206-1)/100)+1</f>
        <v>21</v>
      </c>
      <c r="F206" s="7" t="s">
        <v>745</v>
      </c>
      <c r="G206" s="7" t="s">
        <v>1525</v>
      </c>
      <c r="H206" s="7" t="s">
        <v>1526</v>
      </c>
      <c r="I206" s="7" t="s">
        <v>1527</v>
      </c>
      <c r="J206" s="7" t="s">
        <v>1528</v>
      </c>
      <c r="K206" s="7" t="s">
        <v>1529</v>
      </c>
      <c r="L206" s="7" t="s">
        <v>1530</v>
      </c>
      <c r="M206" s="7" t="s">
        <v>1531</v>
      </c>
      <c r="N206" s="7" t="s">
        <v>18</v>
      </c>
      <c r="O206" s="7" t="s">
        <v>89</v>
      </c>
      <c r="P206" s="7" t="s">
        <v>1532</v>
      </c>
      <c r="Q206" s="7" t="s">
        <v>1512</v>
      </c>
      <c r="R206" s="7" t="n">
        <f aca="false">VALUE(LEFT(Q206,4))</f>
        <v>2011</v>
      </c>
      <c r="S206" s="7" t="n">
        <f aca="false">VALUE(MID(Q206,6,2))</f>
        <v>8</v>
      </c>
      <c r="T206" s="7" t="n">
        <f aca="false">VALUE(RIGHT(Q206,2))</f>
        <v>28</v>
      </c>
      <c r="U206" s="7" t="s">
        <v>91</v>
      </c>
      <c r="V206" s="7" t="s">
        <v>92</v>
      </c>
    </row>
    <row r="207" customFormat="false" ht="45.75" hidden="false" customHeight="true" outlineLevel="0" collapsed="false">
      <c r="A207" s="7" t="n">
        <v>206</v>
      </c>
      <c r="B207" s="7" t="s">
        <v>1512</v>
      </c>
      <c r="C207" s="7" t="s">
        <v>1512</v>
      </c>
      <c r="D207" s="7" t="n">
        <f aca="false">VALUE(LEFT(B207,4))</f>
        <v>2011</v>
      </c>
      <c r="E207" s="7" t="n">
        <f aca="false">INT((D207-1)/100)+1</f>
        <v>21</v>
      </c>
      <c r="F207" s="7" t="s">
        <v>1533</v>
      </c>
      <c r="G207" s="7" t="s">
        <v>1534</v>
      </c>
      <c r="H207" s="7" t="s">
        <v>1535</v>
      </c>
      <c r="I207" s="7" t="s">
        <v>1536</v>
      </c>
      <c r="J207" s="7" t="s">
        <v>346</v>
      </c>
      <c r="K207" s="7" t="s">
        <v>1537</v>
      </c>
      <c r="L207" s="7" t="s">
        <v>1538</v>
      </c>
      <c r="M207" s="7" t="s">
        <v>1539</v>
      </c>
      <c r="N207" s="7" t="s">
        <v>16</v>
      </c>
      <c r="O207" s="7" t="s">
        <v>89</v>
      </c>
      <c r="P207" s="7" t="s">
        <v>1540</v>
      </c>
      <c r="Q207" s="7" t="s">
        <v>1512</v>
      </c>
      <c r="R207" s="7" t="n">
        <f aca="false">VALUE(LEFT(Q207,4))</f>
        <v>2011</v>
      </c>
      <c r="S207" s="7" t="n">
        <f aca="false">VALUE(MID(Q207,6,2))</f>
        <v>8</v>
      </c>
      <c r="T207" s="7" t="n">
        <f aca="false">VALUE(RIGHT(Q207,2))</f>
        <v>28</v>
      </c>
      <c r="U207" s="7" t="s">
        <v>91</v>
      </c>
      <c r="V207" s="7" t="s">
        <v>92</v>
      </c>
    </row>
    <row r="208" customFormat="false" ht="23.25" hidden="false" customHeight="true" outlineLevel="0" collapsed="false">
      <c r="A208" s="7" t="n">
        <v>207</v>
      </c>
      <c r="B208" s="7" t="s">
        <v>1541</v>
      </c>
      <c r="C208" s="7" t="s">
        <v>1542</v>
      </c>
      <c r="D208" s="7" t="n">
        <f aca="false">VALUE(LEFT(B208,4))</f>
        <v>2011</v>
      </c>
      <c r="E208" s="7" t="n">
        <f aca="false">INT((D208-1)/100)+1</f>
        <v>21</v>
      </c>
      <c r="F208" s="7" t="s">
        <v>1485</v>
      </c>
      <c r="G208" s="7" t="s">
        <v>1543</v>
      </c>
      <c r="H208" s="7" t="s">
        <v>982</v>
      </c>
      <c r="I208" s="7" t="s">
        <v>1544</v>
      </c>
      <c r="J208" s="7" t="s">
        <v>737</v>
      </c>
      <c r="K208" s="7" t="s">
        <v>1545</v>
      </c>
      <c r="L208" s="7" t="s">
        <v>699</v>
      </c>
      <c r="M208" s="7" t="s">
        <v>642</v>
      </c>
      <c r="N208" s="7" t="s">
        <v>16</v>
      </c>
      <c r="O208" s="7" t="s">
        <v>89</v>
      </c>
      <c r="P208" s="7"/>
      <c r="Q208" s="7" t="s">
        <v>1541</v>
      </c>
      <c r="R208" s="7" t="n">
        <f aca="false">VALUE(LEFT(Q208,4))</f>
        <v>2011</v>
      </c>
      <c r="S208" s="7" t="n">
        <f aca="false">VALUE(MID(Q208,6,2))</f>
        <v>9</v>
      </c>
      <c r="T208" s="7" t="n">
        <f aca="false">VALUE(RIGHT(Q208,2))</f>
        <v>5</v>
      </c>
      <c r="U208" s="7" t="s">
        <v>139</v>
      </c>
      <c r="V208" s="7" t="s">
        <v>140</v>
      </c>
    </row>
    <row r="209" customFormat="false" ht="23.25" hidden="false" customHeight="true" outlineLevel="0" collapsed="false">
      <c r="A209" s="7" t="n">
        <v>208</v>
      </c>
      <c r="B209" s="7" t="s">
        <v>1546</v>
      </c>
      <c r="C209" s="7" t="s">
        <v>1547</v>
      </c>
      <c r="D209" s="7" t="n">
        <f aca="false">VALUE(LEFT(B209,4))</f>
        <v>2011</v>
      </c>
      <c r="E209" s="7" t="n">
        <f aca="false">INT((D209-1)/100)+1</f>
        <v>21</v>
      </c>
      <c r="F209" s="7" t="s">
        <v>1548</v>
      </c>
      <c r="G209" s="7" t="s">
        <v>1549</v>
      </c>
      <c r="H209" s="7" t="s">
        <v>1550</v>
      </c>
      <c r="I209" s="7" t="s">
        <v>1551</v>
      </c>
      <c r="J209" s="7" t="s">
        <v>737</v>
      </c>
      <c r="K209" s="7" t="s">
        <v>1552</v>
      </c>
      <c r="L209" s="7" t="s">
        <v>699</v>
      </c>
      <c r="M209" s="7" t="s">
        <v>642</v>
      </c>
      <c r="N209" s="7" t="s">
        <v>16</v>
      </c>
      <c r="O209" s="7" t="s">
        <v>89</v>
      </c>
      <c r="P209" s="7"/>
      <c r="Q209" s="7" t="s">
        <v>1546</v>
      </c>
      <c r="R209" s="7" t="n">
        <f aca="false">VALUE(LEFT(Q209,4))</f>
        <v>2011</v>
      </c>
      <c r="S209" s="7" t="n">
        <f aca="false">VALUE(MID(Q209,6,2))</f>
        <v>10</v>
      </c>
      <c r="T209" s="7" t="n">
        <f aca="false">VALUE(RIGHT(Q209,2))</f>
        <v>29</v>
      </c>
      <c r="U209" s="7" t="s">
        <v>139</v>
      </c>
      <c r="V209" s="7" t="s">
        <v>140</v>
      </c>
    </row>
    <row r="210" customFormat="false" ht="23.25" hidden="false" customHeight="true" outlineLevel="0" collapsed="false">
      <c r="A210" s="7" t="n">
        <v>209</v>
      </c>
      <c r="B210" s="7" t="s">
        <v>1553</v>
      </c>
      <c r="C210" s="7" t="s">
        <v>1554</v>
      </c>
      <c r="D210" s="7" t="n">
        <f aca="false">VALUE(LEFT(B210,4))</f>
        <v>2012</v>
      </c>
      <c r="E210" s="7" t="n">
        <f aca="false">INT((D210-1)/100)+1</f>
        <v>21</v>
      </c>
      <c r="F210" s="7" t="s">
        <v>722</v>
      </c>
      <c r="G210" s="7" t="s">
        <v>1555</v>
      </c>
      <c r="H210" s="7" t="s">
        <v>854</v>
      </c>
      <c r="I210" s="7" t="s">
        <v>1556</v>
      </c>
      <c r="J210" s="7" t="s">
        <v>737</v>
      </c>
      <c r="K210" s="7" t="s">
        <v>1557</v>
      </c>
      <c r="L210" s="7" t="s">
        <v>583</v>
      </c>
      <c r="M210" s="7"/>
      <c r="N210" s="7" t="s">
        <v>18</v>
      </c>
      <c r="O210" s="7" t="s">
        <v>108</v>
      </c>
      <c r="P210" s="7"/>
      <c r="Q210" s="7" t="s">
        <v>1553</v>
      </c>
      <c r="R210" s="7" t="n">
        <f aca="false">VALUE(LEFT(Q210,4))</f>
        <v>2012</v>
      </c>
      <c r="S210" s="7" t="n">
        <f aca="false">VALUE(MID(Q210,6,2))</f>
        <v>3</v>
      </c>
      <c r="T210" s="7" t="n">
        <f aca="false">VALUE(RIGHT(Q210,2))</f>
        <v>18</v>
      </c>
      <c r="U210" s="7" t="s">
        <v>139</v>
      </c>
      <c r="V210" s="7" t="s">
        <v>140</v>
      </c>
    </row>
    <row r="211" customFormat="false" ht="23.25" hidden="false" customHeight="true" outlineLevel="0" collapsed="false">
      <c r="A211" s="7" t="n">
        <v>210</v>
      </c>
      <c r="B211" s="7" t="s">
        <v>1558</v>
      </c>
      <c r="C211" s="7" t="s">
        <v>1559</v>
      </c>
      <c r="D211" s="7" t="n">
        <f aca="false">VALUE(LEFT(B211,4))</f>
        <v>2012</v>
      </c>
      <c r="E211" s="7" t="n">
        <f aca="false">INT((D211-1)/100)+1</f>
        <v>21</v>
      </c>
      <c r="F211" s="7" t="s">
        <v>473</v>
      </c>
      <c r="G211" s="7" t="s">
        <v>1560</v>
      </c>
      <c r="H211" s="7" t="s">
        <v>854</v>
      </c>
      <c r="I211" s="7" t="s">
        <v>1561</v>
      </c>
      <c r="J211" s="7" t="s">
        <v>737</v>
      </c>
      <c r="K211" s="7" t="s">
        <v>1562</v>
      </c>
      <c r="L211" s="7" t="s">
        <v>583</v>
      </c>
      <c r="M211" s="7"/>
      <c r="N211" s="7" t="s">
        <v>18</v>
      </c>
      <c r="O211" s="7" t="s">
        <v>108</v>
      </c>
      <c r="P211" s="7" t="s">
        <v>1563</v>
      </c>
      <c r="Q211" s="7" t="s">
        <v>1558</v>
      </c>
      <c r="R211" s="7" t="n">
        <f aca="false">VALUE(LEFT(Q211,4))</f>
        <v>2012</v>
      </c>
      <c r="S211" s="7" t="n">
        <f aca="false">VALUE(MID(Q211,6,2))</f>
        <v>4</v>
      </c>
      <c r="T211" s="7" t="n">
        <f aca="false">VALUE(RIGHT(Q211,2))</f>
        <v>27</v>
      </c>
      <c r="U211" s="7" t="s">
        <v>139</v>
      </c>
      <c r="V211" s="7" t="s">
        <v>140</v>
      </c>
    </row>
    <row r="212" customFormat="false" ht="23.25" hidden="false" customHeight="true" outlineLevel="0" collapsed="false">
      <c r="A212" s="7" t="n">
        <v>211</v>
      </c>
      <c r="B212" s="7" t="s">
        <v>1564</v>
      </c>
      <c r="C212" s="7" t="s">
        <v>1564</v>
      </c>
      <c r="D212" s="7" t="n">
        <f aca="false">VALUE(LEFT(B212,4))</f>
        <v>2012</v>
      </c>
      <c r="E212" s="7" t="n">
        <f aca="false">INT((D212-1)/100)+1</f>
        <v>21</v>
      </c>
      <c r="F212" s="7" t="s">
        <v>81</v>
      </c>
      <c r="G212" s="7" t="s">
        <v>1565</v>
      </c>
      <c r="H212" s="7" t="s">
        <v>982</v>
      </c>
      <c r="I212" s="7" t="s">
        <v>1566</v>
      </c>
      <c r="J212" s="7" t="s">
        <v>1567</v>
      </c>
      <c r="K212" s="7" t="s">
        <v>1568</v>
      </c>
      <c r="L212" s="7" t="s">
        <v>699</v>
      </c>
      <c r="M212" s="7" t="s">
        <v>642</v>
      </c>
      <c r="N212" s="7" t="s">
        <v>16</v>
      </c>
      <c r="O212" s="7" t="s">
        <v>89</v>
      </c>
      <c r="P212" s="7"/>
      <c r="Q212" s="7" t="s">
        <v>1564</v>
      </c>
      <c r="R212" s="7" t="n">
        <f aca="false">VALUE(LEFT(Q212,4))</f>
        <v>2012</v>
      </c>
      <c r="S212" s="7" t="n">
        <f aca="false">VALUE(MID(Q212,6,2))</f>
        <v>10</v>
      </c>
      <c r="T212" s="7" t="n">
        <f aca="false">VALUE(RIGHT(Q212,2))</f>
        <v>29</v>
      </c>
      <c r="U212" s="7" t="s">
        <v>91</v>
      </c>
      <c r="V212" s="7" t="s">
        <v>92</v>
      </c>
    </row>
    <row r="213" customFormat="false" ht="23.25" hidden="false" customHeight="true" outlineLevel="0" collapsed="false">
      <c r="A213" s="7" t="n">
        <v>212</v>
      </c>
      <c r="B213" s="7" t="s">
        <v>1569</v>
      </c>
      <c r="C213" s="7" t="s">
        <v>1570</v>
      </c>
      <c r="D213" s="7" t="n">
        <f aca="false">VALUE(LEFT(B213,4))</f>
        <v>2013</v>
      </c>
      <c r="E213" s="7" t="n">
        <f aca="false">INT((D213-1)/100)+1</f>
        <v>21</v>
      </c>
      <c r="F213" s="7" t="s">
        <v>233</v>
      </c>
      <c r="G213" s="7" t="s">
        <v>1571</v>
      </c>
      <c r="H213" s="7" t="s">
        <v>982</v>
      </c>
      <c r="I213" s="7" t="s">
        <v>1496</v>
      </c>
      <c r="J213" s="7" t="s">
        <v>737</v>
      </c>
      <c r="K213" s="7"/>
      <c r="L213" s="7" t="s">
        <v>699</v>
      </c>
      <c r="M213" s="7" t="s">
        <v>642</v>
      </c>
      <c r="N213" s="7" t="s">
        <v>16</v>
      </c>
      <c r="O213" s="7" t="s">
        <v>89</v>
      </c>
      <c r="P213" s="7"/>
      <c r="Q213" s="7" t="s">
        <v>1569</v>
      </c>
      <c r="R213" s="7" t="n">
        <f aca="false">VALUE(LEFT(Q213,4))</f>
        <v>2013</v>
      </c>
      <c r="S213" s="7" t="n">
        <f aca="false">VALUE(MID(Q213,6,2))</f>
        <v>2</v>
      </c>
      <c r="T213" s="7" t="n">
        <f aca="false">VALUE(RIGHT(Q213,2))</f>
        <v>8</v>
      </c>
      <c r="U213" s="7" t="s">
        <v>139</v>
      </c>
      <c r="V213" s="7" t="s">
        <v>140</v>
      </c>
    </row>
    <row r="214" customFormat="false" ht="23.25" hidden="false" customHeight="true" outlineLevel="0" collapsed="false">
      <c r="A214" s="7" t="n">
        <v>213</v>
      </c>
      <c r="B214" s="7" t="s">
        <v>1572</v>
      </c>
      <c r="C214" s="7" t="s">
        <v>1572</v>
      </c>
      <c r="D214" s="7" t="n">
        <f aca="false">VALUE(LEFT(B214,4))</f>
        <v>2013</v>
      </c>
      <c r="E214" s="7" t="n">
        <f aca="false">INT((D214-1)/100)+1</f>
        <v>21</v>
      </c>
      <c r="F214" s="7" t="s">
        <v>1222</v>
      </c>
      <c r="G214" s="7" t="s">
        <v>1573</v>
      </c>
      <c r="H214" s="7" t="s">
        <v>1574</v>
      </c>
      <c r="I214" s="7" t="s">
        <v>1575</v>
      </c>
      <c r="J214" s="7" t="s">
        <v>1004</v>
      </c>
      <c r="K214" s="7" t="s">
        <v>1005</v>
      </c>
      <c r="L214" s="7" t="s">
        <v>699</v>
      </c>
      <c r="M214" s="7" t="s">
        <v>642</v>
      </c>
      <c r="N214" s="7" t="s">
        <v>16</v>
      </c>
      <c r="O214" s="7" t="s">
        <v>89</v>
      </c>
      <c r="P214" s="7"/>
      <c r="Q214" s="7" t="s">
        <v>1572</v>
      </c>
      <c r="R214" s="7" t="n">
        <f aca="false">VALUE(LEFT(Q214,4))</f>
        <v>2013</v>
      </c>
      <c r="S214" s="7" t="n">
        <f aca="false">VALUE(MID(Q214,6,2))</f>
        <v>5</v>
      </c>
      <c r="T214" s="7" t="n">
        <f aca="false">VALUE(RIGHT(Q214,2))</f>
        <v>29</v>
      </c>
      <c r="U214" s="7" t="s">
        <v>91</v>
      </c>
      <c r="V214" s="7" t="s">
        <v>92</v>
      </c>
    </row>
    <row r="215" customFormat="false" ht="23.25" hidden="false" customHeight="true" outlineLevel="0" collapsed="false">
      <c r="A215" s="7" t="n">
        <v>214</v>
      </c>
      <c r="B215" s="7" t="s">
        <v>1576</v>
      </c>
      <c r="C215" s="7" t="s">
        <v>1576</v>
      </c>
      <c r="D215" s="7" t="n">
        <f aca="false">VALUE(LEFT(B215,4))</f>
        <v>2013</v>
      </c>
      <c r="E215" s="7" t="n">
        <f aca="false">INT((D215-1)/100)+1</f>
        <v>21</v>
      </c>
      <c r="F215" s="7" t="s">
        <v>866</v>
      </c>
      <c r="G215" s="7" t="s">
        <v>1577</v>
      </c>
      <c r="H215" s="7" t="s">
        <v>1578</v>
      </c>
      <c r="I215" s="7" t="s">
        <v>1579</v>
      </c>
      <c r="J215" s="7" t="s">
        <v>737</v>
      </c>
      <c r="K215" s="7" t="s">
        <v>1580</v>
      </c>
      <c r="L215" s="7" t="s">
        <v>699</v>
      </c>
      <c r="M215" s="7" t="s">
        <v>642</v>
      </c>
      <c r="N215" s="7" t="s">
        <v>16</v>
      </c>
      <c r="O215" s="7" t="s">
        <v>89</v>
      </c>
      <c r="P215" s="7"/>
      <c r="Q215" s="7" t="s">
        <v>1576</v>
      </c>
      <c r="R215" s="7" t="n">
        <f aca="false">VALUE(LEFT(Q215,4))</f>
        <v>2013</v>
      </c>
      <c r="S215" s="7" t="n">
        <f aca="false">VALUE(MID(Q215,6,2))</f>
        <v>6</v>
      </c>
      <c r="T215" s="7" t="n">
        <f aca="false">VALUE(RIGHT(Q215,2))</f>
        <v>14</v>
      </c>
      <c r="U215" s="7" t="s">
        <v>91</v>
      </c>
      <c r="V215" s="7" t="s">
        <v>92</v>
      </c>
    </row>
    <row r="216" customFormat="false" ht="23.25" hidden="false" customHeight="true" outlineLevel="0" collapsed="false">
      <c r="A216" s="7" t="n">
        <v>215</v>
      </c>
      <c r="B216" s="7" t="s">
        <v>1581</v>
      </c>
      <c r="C216" s="7" t="s">
        <v>1581</v>
      </c>
      <c r="D216" s="7" t="n">
        <f aca="false">VALUE(LEFT(B216,4))</f>
        <v>2013</v>
      </c>
      <c r="E216" s="7" t="n">
        <f aca="false">INT((D216-1)/100)+1</f>
        <v>21</v>
      </c>
      <c r="F216" s="7" t="s">
        <v>866</v>
      </c>
      <c r="G216" s="7" t="s">
        <v>1582</v>
      </c>
      <c r="H216" s="7" t="s">
        <v>1583</v>
      </c>
      <c r="I216" s="7" t="s">
        <v>1584</v>
      </c>
      <c r="J216" s="7" t="s">
        <v>935</v>
      </c>
      <c r="K216" s="7" t="s">
        <v>1585</v>
      </c>
      <c r="L216" s="7" t="s">
        <v>699</v>
      </c>
      <c r="M216" s="7" t="s">
        <v>642</v>
      </c>
      <c r="N216" s="7" t="s">
        <v>16</v>
      </c>
      <c r="O216" s="7" t="s">
        <v>89</v>
      </c>
      <c r="P216" s="7"/>
      <c r="Q216" s="7" t="s">
        <v>1581</v>
      </c>
      <c r="R216" s="7" t="n">
        <f aca="false">VALUE(LEFT(Q216,4))</f>
        <v>2013</v>
      </c>
      <c r="S216" s="7" t="n">
        <f aca="false">VALUE(MID(Q216,6,2))</f>
        <v>6</v>
      </c>
      <c r="T216" s="7" t="n">
        <f aca="false">VALUE(RIGHT(Q216,2))</f>
        <v>28</v>
      </c>
      <c r="U216" s="7" t="s">
        <v>91</v>
      </c>
      <c r="V216" s="7" t="s">
        <v>92</v>
      </c>
    </row>
    <row r="217" customFormat="false" ht="23.25" hidden="false" customHeight="true" outlineLevel="0" collapsed="false">
      <c r="A217" s="7" t="n">
        <v>216</v>
      </c>
      <c r="B217" s="7" t="s">
        <v>1586</v>
      </c>
      <c r="C217" s="7" t="s">
        <v>1587</v>
      </c>
      <c r="D217" s="7" t="n">
        <f aca="false">VALUE(LEFT(B217,4))</f>
        <v>2013</v>
      </c>
      <c r="E217" s="7" t="n">
        <f aca="false">INT((D217-1)/100)+1</f>
        <v>21</v>
      </c>
      <c r="F217" s="7" t="s">
        <v>722</v>
      </c>
      <c r="G217" s="7" t="s">
        <v>1588</v>
      </c>
      <c r="H217" s="7" t="s">
        <v>982</v>
      </c>
      <c r="I217" s="7"/>
      <c r="J217" s="7" t="s">
        <v>324</v>
      </c>
      <c r="K217" s="7"/>
      <c r="L217" s="7" t="s">
        <v>699</v>
      </c>
      <c r="M217" s="7" t="s">
        <v>642</v>
      </c>
      <c r="N217" s="7" t="s">
        <v>16</v>
      </c>
      <c r="O217" s="7" t="s">
        <v>89</v>
      </c>
      <c r="P217" s="7"/>
      <c r="Q217" s="7" t="s">
        <v>1589</v>
      </c>
      <c r="R217" s="7" t="n">
        <f aca="false">VALUE(LEFT(Q217,4))</f>
        <v>2013</v>
      </c>
      <c r="S217" s="7" t="n">
        <f aca="false">VALUE(MID(Q217,6,2))</f>
        <v>7</v>
      </c>
      <c r="T217" s="7" t="n">
        <f aca="false">VALUE(RIGHT(Q217,2))</f>
        <v>18</v>
      </c>
      <c r="U217" s="7" t="s">
        <v>139</v>
      </c>
      <c r="V217" s="7" t="s">
        <v>1590</v>
      </c>
    </row>
    <row r="218" customFormat="false" ht="23.25" hidden="false" customHeight="true" outlineLevel="0" collapsed="false">
      <c r="A218" s="7" t="n">
        <v>217</v>
      </c>
      <c r="B218" s="7" t="s">
        <v>1591</v>
      </c>
      <c r="C218" s="7" t="s">
        <v>1591</v>
      </c>
      <c r="D218" s="7" t="n">
        <f aca="false">VALUE(LEFT(B218,4))</f>
        <v>2014</v>
      </c>
      <c r="E218" s="7" t="n">
        <f aca="false">INT((D218-1)/100)+1</f>
        <v>21</v>
      </c>
      <c r="F218" s="7" t="s">
        <v>1000</v>
      </c>
      <c r="G218" s="7" t="s">
        <v>1592</v>
      </c>
      <c r="H218" s="7" t="s">
        <v>1593</v>
      </c>
      <c r="I218" s="7" t="s">
        <v>1594</v>
      </c>
      <c r="J218" s="7" t="s">
        <v>1004</v>
      </c>
      <c r="K218" s="7" t="s">
        <v>1005</v>
      </c>
      <c r="L218" s="7" t="s">
        <v>699</v>
      </c>
      <c r="M218" s="7" t="s">
        <v>642</v>
      </c>
      <c r="N218" s="7" t="s">
        <v>16</v>
      </c>
      <c r="O218" s="7" t="s">
        <v>89</v>
      </c>
      <c r="P218" s="7"/>
      <c r="Q218" s="7" t="s">
        <v>1591</v>
      </c>
      <c r="R218" s="7" t="n">
        <f aca="false">VALUE(LEFT(Q218,4))</f>
        <v>2014</v>
      </c>
      <c r="S218" s="7" t="n">
        <f aca="false">VALUE(MID(Q218,6,2))</f>
        <v>5</v>
      </c>
      <c r="T218" s="7" t="n">
        <f aca="false">VALUE(RIGHT(Q218,2))</f>
        <v>22</v>
      </c>
      <c r="U218" s="7" t="s">
        <v>91</v>
      </c>
      <c r="V218" s="7" t="s">
        <v>92</v>
      </c>
    </row>
    <row r="219" customFormat="false" ht="23.25" hidden="false" customHeight="true" outlineLevel="0" collapsed="false">
      <c r="A219" s="7" t="n">
        <v>218</v>
      </c>
      <c r="B219" s="7" t="s">
        <v>1595</v>
      </c>
      <c r="C219" s="7" t="s">
        <v>1596</v>
      </c>
      <c r="D219" s="7" t="n">
        <f aca="false">VALUE(LEFT(B219,4))</f>
        <v>2014</v>
      </c>
      <c r="E219" s="7" t="n">
        <f aca="false">INT((D219-1)/100)+1</f>
        <v>21</v>
      </c>
      <c r="F219" s="7" t="s">
        <v>173</v>
      </c>
      <c r="G219" s="7" t="s">
        <v>1597</v>
      </c>
      <c r="H219" s="7" t="s">
        <v>982</v>
      </c>
      <c r="I219" s="7" t="s">
        <v>1598</v>
      </c>
      <c r="J219" s="7" t="s">
        <v>324</v>
      </c>
      <c r="K219" s="7"/>
      <c r="L219" s="7" t="s">
        <v>699</v>
      </c>
      <c r="M219" s="7" t="s">
        <v>642</v>
      </c>
      <c r="N219" s="7" t="s">
        <v>16</v>
      </c>
      <c r="O219" s="7" t="s">
        <v>89</v>
      </c>
      <c r="P219" s="7"/>
      <c r="Q219" s="7" t="s">
        <v>1595</v>
      </c>
      <c r="R219" s="7" t="n">
        <f aca="false">VALUE(LEFT(Q219,4))</f>
        <v>2014</v>
      </c>
      <c r="S219" s="7" t="n">
        <f aca="false">VALUE(MID(Q219,6,2))</f>
        <v>11</v>
      </c>
      <c r="T219" s="7" t="n">
        <f aca="false">VALUE(RIGHT(Q219,2))</f>
        <v>26</v>
      </c>
      <c r="U219" s="7" t="s">
        <v>139</v>
      </c>
      <c r="V219" s="7" t="s">
        <v>140</v>
      </c>
    </row>
    <row r="220" customFormat="false" ht="23.25" hidden="false" customHeight="true" outlineLevel="0" collapsed="false">
      <c r="A220" s="7" t="n">
        <v>219</v>
      </c>
      <c r="B220" s="7" t="s">
        <v>1599</v>
      </c>
      <c r="C220" s="7" t="s">
        <v>1600</v>
      </c>
      <c r="D220" s="7" t="n">
        <f aca="false">VALUE(LEFT(B220,4))</f>
        <v>2015</v>
      </c>
      <c r="E220" s="7" t="n">
        <f aca="false">INT((D220-1)/100)+1</f>
        <v>21</v>
      </c>
      <c r="F220" s="7" t="s">
        <v>1601</v>
      </c>
      <c r="G220" s="7" t="s">
        <v>1602</v>
      </c>
      <c r="H220" s="7" t="s">
        <v>982</v>
      </c>
      <c r="I220" s="7" t="s">
        <v>1603</v>
      </c>
      <c r="J220" s="7" t="s">
        <v>324</v>
      </c>
      <c r="K220" s="7" t="s">
        <v>1604</v>
      </c>
      <c r="L220" s="7" t="s">
        <v>699</v>
      </c>
      <c r="M220" s="7" t="s">
        <v>642</v>
      </c>
      <c r="N220" s="7" t="s">
        <v>16</v>
      </c>
      <c r="O220" s="7" t="s">
        <v>89</v>
      </c>
      <c r="P220" s="7"/>
      <c r="Q220" s="7" t="s">
        <v>1605</v>
      </c>
      <c r="R220" s="7" t="n">
        <f aca="false">VALUE(LEFT(Q220,4))</f>
        <v>2015</v>
      </c>
      <c r="S220" s="7" t="n">
        <f aca="false">VALUE(MID(Q220,6,2))</f>
        <v>2</v>
      </c>
      <c r="T220" s="7" t="n">
        <f aca="false">VALUE(RIGHT(Q220,2))</f>
        <v>15</v>
      </c>
      <c r="U220" s="7" t="s">
        <v>331</v>
      </c>
      <c r="V220" s="7" t="s">
        <v>1606</v>
      </c>
    </row>
    <row r="221" customFormat="false" ht="23.25" hidden="false" customHeight="true" outlineLevel="0" collapsed="false">
      <c r="A221" s="7" t="n">
        <v>220</v>
      </c>
      <c r="B221" s="7" t="s">
        <v>1607</v>
      </c>
      <c r="C221" s="7" t="s">
        <v>1608</v>
      </c>
      <c r="D221" s="7" t="n">
        <f aca="false">VALUE(LEFT(B221,4))</f>
        <v>2016</v>
      </c>
      <c r="E221" s="7" t="n">
        <f aca="false">INT((D221-1)/100)+1</f>
        <v>21</v>
      </c>
      <c r="F221" s="7" t="s">
        <v>252</v>
      </c>
      <c r="G221" s="7" t="s">
        <v>1609</v>
      </c>
      <c r="H221" s="7" t="s">
        <v>982</v>
      </c>
      <c r="I221" s="7" t="s">
        <v>1610</v>
      </c>
      <c r="J221" s="7" t="s">
        <v>737</v>
      </c>
      <c r="K221" s="7"/>
      <c r="L221" s="7" t="s">
        <v>699</v>
      </c>
      <c r="M221" s="7" t="s">
        <v>642</v>
      </c>
      <c r="N221" s="7" t="s">
        <v>16</v>
      </c>
      <c r="O221" s="7" t="s">
        <v>89</v>
      </c>
      <c r="P221" s="7"/>
      <c r="Q221" s="7" t="s">
        <v>1607</v>
      </c>
      <c r="R221" s="7" t="n">
        <f aca="false">VALUE(LEFT(Q221,4))</f>
        <v>2016</v>
      </c>
      <c r="S221" s="7" t="n">
        <f aca="false">VALUE(MID(Q221,6,2))</f>
        <v>2</v>
      </c>
      <c r="T221" s="7" t="n">
        <f aca="false">VALUE(RIGHT(Q221,2))</f>
        <v>12</v>
      </c>
      <c r="U221" s="7" t="s">
        <v>139</v>
      </c>
      <c r="V221" s="7" t="s">
        <v>140</v>
      </c>
    </row>
    <row r="222" customFormat="false" ht="34.5" hidden="false" customHeight="true" outlineLevel="0" collapsed="false">
      <c r="A222" s="7" t="n">
        <v>221</v>
      </c>
      <c r="B222" s="7" t="s">
        <v>1611</v>
      </c>
      <c r="C222" s="7" t="s">
        <v>1611</v>
      </c>
      <c r="D222" s="7" t="n">
        <f aca="false">VALUE(LEFT(B222,4))</f>
        <v>2016</v>
      </c>
      <c r="E222" s="7" t="n">
        <f aca="false">INT((D222-1)/100)+1</f>
        <v>21</v>
      </c>
      <c r="F222" s="7" t="s">
        <v>1612</v>
      </c>
      <c r="G222" s="7" t="s">
        <v>1613</v>
      </c>
      <c r="H222" s="7" t="s">
        <v>1614</v>
      </c>
      <c r="I222" s="7" t="s">
        <v>1615</v>
      </c>
      <c r="J222" s="7" t="s">
        <v>346</v>
      </c>
      <c r="K222" s="7" t="s">
        <v>1616</v>
      </c>
      <c r="L222" s="7" t="s">
        <v>1617</v>
      </c>
      <c r="M222" s="7" t="s">
        <v>1618</v>
      </c>
      <c r="N222" s="7" t="s">
        <v>18</v>
      </c>
      <c r="O222" s="7" t="s">
        <v>89</v>
      </c>
      <c r="P222" s="7" t="s">
        <v>1619</v>
      </c>
      <c r="Q222" s="7" t="s">
        <v>1611</v>
      </c>
      <c r="R222" s="7" t="n">
        <f aca="false">VALUE(LEFT(Q222,4))</f>
        <v>2016</v>
      </c>
      <c r="S222" s="7" t="n">
        <f aca="false">VALUE(MID(Q222,6,2))</f>
        <v>5</v>
      </c>
      <c r="T222" s="7" t="n">
        <f aca="false">VALUE(RIGHT(Q222,2))</f>
        <v>3</v>
      </c>
      <c r="U222" s="7" t="s">
        <v>91</v>
      </c>
      <c r="V222" s="7" t="s">
        <v>92</v>
      </c>
    </row>
    <row r="223" customFormat="false" ht="23.25" hidden="false" customHeight="true" outlineLevel="0" collapsed="false">
      <c r="A223" s="7" t="n">
        <v>222</v>
      </c>
      <c r="B223" s="7" t="s">
        <v>1620</v>
      </c>
      <c r="C223" s="7" t="s">
        <v>1621</v>
      </c>
      <c r="D223" s="7" t="n">
        <f aca="false">VALUE(LEFT(B223,4))</f>
        <v>2016</v>
      </c>
      <c r="E223" s="7" t="n">
        <f aca="false">INT((D223-1)/100)+1</f>
        <v>21</v>
      </c>
      <c r="F223" s="7" t="s">
        <v>852</v>
      </c>
      <c r="G223" s="7" t="s">
        <v>1622</v>
      </c>
      <c r="H223" s="7" t="s">
        <v>1623</v>
      </c>
      <c r="I223" s="7" t="s">
        <v>1624</v>
      </c>
      <c r="J223" s="7" t="s">
        <v>737</v>
      </c>
      <c r="K223" s="7" t="s">
        <v>1625</v>
      </c>
      <c r="L223" s="7" t="s">
        <v>583</v>
      </c>
      <c r="M223" s="7"/>
      <c r="N223" s="7" t="s">
        <v>18</v>
      </c>
      <c r="O223" s="7" t="s">
        <v>108</v>
      </c>
      <c r="P223" s="7" t="s">
        <v>1626</v>
      </c>
      <c r="Q223" s="7" t="s">
        <v>1627</v>
      </c>
      <c r="R223" s="7" t="n">
        <f aca="false">VALUE(LEFT(Q223,4))</f>
        <v>2016</v>
      </c>
      <c r="S223" s="7" t="n">
        <f aca="false">VALUE(MID(Q223,6,2))</f>
        <v>8</v>
      </c>
      <c r="T223" s="7" t="n">
        <f aca="false">VALUE(RIGHT(Q223,2))</f>
        <v>15</v>
      </c>
      <c r="U223" s="7" t="s">
        <v>128</v>
      </c>
      <c r="V223" s="7" t="s">
        <v>1628</v>
      </c>
    </row>
    <row r="224" customFormat="false" ht="23.25" hidden="false" customHeight="true" outlineLevel="0" collapsed="false">
      <c r="A224" s="7" t="n">
        <v>223</v>
      </c>
      <c r="B224" s="7" t="s">
        <v>1629</v>
      </c>
      <c r="C224" s="7" t="s">
        <v>1629</v>
      </c>
      <c r="D224" s="7" t="n">
        <f aca="false">VALUE(LEFT(B224,4))</f>
        <v>2017</v>
      </c>
      <c r="E224" s="7" t="n">
        <f aca="false">INT((D224-1)/100)+1</f>
        <v>21</v>
      </c>
      <c r="F224" s="7" t="s">
        <v>233</v>
      </c>
      <c r="G224" s="7" t="s">
        <v>1630</v>
      </c>
      <c r="H224" s="7" t="s">
        <v>982</v>
      </c>
      <c r="I224" s="7" t="s">
        <v>1631</v>
      </c>
      <c r="J224" s="7" t="s">
        <v>324</v>
      </c>
      <c r="K224" s="7"/>
      <c r="L224" s="7" t="s">
        <v>699</v>
      </c>
      <c r="M224" s="7" t="s">
        <v>642</v>
      </c>
      <c r="N224" s="7" t="s">
        <v>16</v>
      </c>
      <c r="O224" s="7" t="s">
        <v>89</v>
      </c>
      <c r="P224" s="7"/>
      <c r="Q224" s="7" t="s">
        <v>1629</v>
      </c>
      <c r="R224" s="7" t="n">
        <f aca="false">VALUE(LEFT(Q224,4))</f>
        <v>2017</v>
      </c>
      <c r="S224" s="7" t="n">
        <f aca="false">VALUE(MID(Q224,6,2))</f>
        <v>3</v>
      </c>
      <c r="T224" s="7" t="n">
        <f aca="false">VALUE(RIGHT(Q224,2))</f>
        <v>14</v>
      </c>
      <c r="U224" s="7" t="s">
        <v>91</v>
      </c>
      <c r="V224" s="7" t="s">
        <v>92</v>
      </c>
    </row>
    <row r="225" customFormat="false" ht="23.25" hidden="false" customHeight="true" outlineLevel="0" collapsed="false">
      <c r="A225" s="7" t="n">
        <v>224</v>
      </c>
      <c r="B225" s="7" t="s">
        <v>1632</v>
      </c>
      <c r="C225" s="7" t="s">
        <v>1632</v>
      </c>
      <c r="D225" s="7" t="n">
        <f aca="false">VALUE(LEFT(B225,4))</f>
        <v>2017</v>
      </c>
      <c r="E225" s="7" t="n">
        <f aca="false">INT((D225-1)/100)+1</f>
        <v>21</v>
      </c>
      <c r="F225" s="7" t="s">
        <v>866</v>
      </c>
      <c r="G225" s="7" t="s">
        <v>1633</v>
      </c>
      <c r="H225" s="7" t="s">
        <v>1634</v>
      </c>
      <c r="I225" s="7" t="s">
        <v>1635</v>
      </c>
      <c r="J225" s="7" t="s">
        <v>737</v>
      </c>
      <c r="K225" s="7" t="s">
        <v>1636</v>
      </c>
      <c r="L225" s="7" t="s">
        <v>699</v>
      </c>
      <c r="M225" s="7" t="s">
        <v>642</v>
      </c>
      <c r="N225" s="7" t="s">
        <v>16</v>
      </c>
      <c r="O225" s="7" t="s">
        <v>89</v>
      </c>
      <c r="P225" s="7"/>
      <c r="Q225" s="7" t="s">
        <v>1632</v>
      </c>
      <c r="R225" s="7" t="n">
        <f aca="false">VALUE(LEFT(Q225,4))</f>
        <v>2017</v>
      </c>
      <c r="S225" s="7" t="n">
        <f aca="false">VALUE(MID(Q225,6,2))</f>
        <v>7</v>
      </c>
      <c r="T225" s="7" t="n">
        <f aca="false">VALUE(RIGHT(Q225,2))</f>
        <v>1</v>
      </c>
      <c r="U225" s="7" t="s">
        <v>91</v>
      </c>
      <c r="V225" s="7" t="s">
        <v>92</v>
      </c>
    </row>
    <row r="226" customFormat="false" ht="23.25" hidden="false" customHeight="true" outlineLevel="0" collapsed="false">
      <c r="A226" s="7" t="n">
        <v>225</v>
      </c>
      <c r="B226" s="7" t="s">
        <v>1637</v>
      </c>
      <c r="C226" s="7" t="s">
        <v>1638</v>
      </c>
      <c r="D226" s="7" t="n">
        <f aca="false">VALUE(LEFT(B226,4))</f>
        <v>2017</v>
      </c>
      <c r="E226" s="7" t="n">
        <f aca="false">INT((D226-1)/100)+1</f>
        <v>21</v>
      </c>
      <c r="F226" s="7" t="s">
        <v>1639</v>
      </c>
      <c r="G226" s="7" t="s">
        <v>1640</v>
      </c>
      <c r="H226" s="7" t="s">
        <v>982</v>
      </c>
      <c r="I226" s="7" t="s">
        <v>1641</v>
      </c>
      <c r="J226" s="7" t="s">
        <v>737</v>
      </c>
      <c r="K226" s="7"/>
      <c r="L226" s="7" t="s">
        <v>699</v>
      </c>
      <c r="M226" s="7" t="s">
        <v>642</v>
      </c>
      <c r="N226" s="7" t="s">
        <v>16</v>
      </c>
      <c r="O226" s="7" t="s">
        <v>89</v>
      </c>
      <c r="P226" s="7"/>
      <c r="Q226" s="7" t="s">
        <v>1637</v>
      </c>
      <c r="R226" s="7" t="n">
        <f aca="false">VALUE(LEFT(Q226,4))</f>
        <v>2017</v>
      </c>
      <c r="S226" s="7" t="n">
        <f aca="false">VALUE(MID(Q226,6,2))</f>
        <v>10</v>
      </c>
      <c r="T226" s="7" t="n">
        <f aca="false">VALUE(RIGHT(Q226,2))</f>
        <v>29</v>
      </c>
      <c r="U226" s="7" t="s">
        <v>139</v>
      </c>
      <c r="V226" s="7" t="s">
        <v>140</v>
      </c>
    </row>
    <row r="227" customFormat="false" ht="23.25" hidden="false" customHeight="true" outlineLevel="0" collapsed="false">
      <c r="A227" s="7" t="n">
        <v>226</v>
      </c>
      <c r="B227" s="7" t="s">
        <v>1642</v>
      </c>
      <c r="C227" s="7" t="s">
        <v>1643</v>
      </c>
      <c r="D227" s="7" t="n">
        <f aca="false">VALUE(LEFT(B227,4))</f>
        <v>2017</v>
      </c>
      <c r="E227" s="7" t="n">
        <f aca="false">INT((D227-1)/100)+1</f>
        <v>21</v>
      </c>
      <c r="F227" s="7" t="s">
        <v>252</v>
      </c>
      <c r="G227" s="7" t="s">
        <v>1644</v>
      </c>
      <c r="H227" s="7" t="s">
        <v>982</v>
      </c>
      <c r="I227" s="7" t="s">
        <v>1645</v>
      </c>
      <c r="J227" s="7" t="s">
        <v>737</v>
      </c>
      <c r="K227" s="7" t="s">
        <v>1646</v>
      </c>
      <c r="L227" s="7" t="s">
        <v>699</v>
      </c>
      <c r="M227" s="7" t="s">
        <v>642</v>
      </c>
      <c r="N227" s="7" t="s">
        <v>16</v>
      </c>
      <c r="O227" s="7" t="s">
        <v>89</v>
      </c>
      <c r="P227" s="7"/>
      <c r="Q227" s="7" t="s">
        <v>1647</v>
      </c>
      <c r="R227" s="7" t="n">
        <f aca="false">VALUE(LEFT(Q227,4))</f>
        <v>2018</v>
      </c>
      <c r="S227" s="7" t="n">
        <f aca="false">VALUE(MID(Q227,6,2))</f>
        <v>1</v>
      </c>
      <c r="T227" s="7" t="n">
        <f aca="false">VALUE(RIGHT(Q227,2))</f>
        <v>6</v>
      </c>
      <c r="U227" s="7" t="s">
        <v>139</v>
      </c>
      <c r="V227" s="7" t="s">
        <v>1648</v>
      </c>
    </row>
    <row r="228" customFormat="false" ht="23.25" hidden="false" customHeight="true" outlineLevel="0" collapsed="false">
      <c r="A228" s="7" t="n">
        <v>227</v>
      </c>
      <c r="B228" s="7" t="s">
        <v>1649</v>
      </c>
      <c r="C228" s="7" t="s">
        <v>1650</v>
      </c>
      <c r="D228" s="7" t="n">
        <f aca="false">VALUE(LEFT(B228,4))</f>
        <v>2018</v>
      </c>
      <c r="E228" s="7" t="n">
        <f aca="false">INT((D228-1)/100)+1</f>
        <v>21</v>
      </c>
      <c r="F228" s="7" t="s">
        <v>1131</v>
      </c>
      <c r="G228" s="7" t="s">
        <v>1651</v>
      </c>
      <c r="H228" s="7" t="s">
        <v>1652</v>
      </c>
      <c r="I228" s="7" t="s">
        <v>1653</v>
      </c>
      <c r="J228" s="7" t="s">
        <v>737</v>
      </c>
      <c r="K228" s="7" t="s">
        <v>1654</v>
      </c>
      <c r="L228" s="7" t="s">
        <v>699</v>
      </c>
      <c r="M228" s="7" t="s">
        <v>642</v>
      </c>
      <c r="N228" s="7" t="s">
        <v>16</v>
      </c>
      <c r="O228" s="7" t="s">
        <v>89</v>
      </c>
      <c r="P228" s="7"/>
      <c r="Q228" s="7" t="s">
        <v>1649</v>
      </c>
      <c r="R228" s="7" t="n">
        <f aca="false">VALUE(LEFT(Q228,4))</f>
        <v>2018</v>
      </c>
      <c r="S228" s="7" t="n">
        <f aca="false">VALUE(MID(Q228,6,2))</f>
        <v>1</v>
      </c>
      <c r="T228" s="7" t="n">
        <f aca="false">VALUE(RIGHT(Q228,2))</f>
        <v>12</v>
      </c>
      <c r="U228" s="7" t="s">
        <v>91</v>
      </c>
      <c r="V228" s="7" t="s">
        <v>1655</v>
      </c>
    </row>
    <row r="229" customFormat="false" ht="34.5" hidden="false" customHeight="true" outlineLevel="0" collapsed="false">
      <c r="A229" s="7" t="n">
        <v>228</v>
      </c>
      <c r="B229" s="7" t="s">
        <v>1467</v>
      </c>
      <c r="C229" s="7" t="s">
        <v>1467</v>
      </c>
      <c r="D229" s="7" t="n">
        <f aca="false">VALUE(LEFT(B229,4))</f>
        <v>2018</v>
      </c>
      <c r="E229" s="7" t="n">
        <f aca="false">INT((D229-1)/100)+1</f>
        <v>21</v>
      </c>
      <c r="F229" s="7" t="s">
        <v>567</v>
      </c>
      <c r="G229" s="7" t="s">
        <v>1656</v>
      </c>
      <c r="H229" s="7" t="s">
        <v>1657</v>
      </c>
      <c r="I229" s="7" t="s">
        <v>1658</v>
      </c>
      <c r="J229" s="7" t="s">
        <v>935</v>
      </c>
      <c r="K229" s="7" t="s">
        <v>1659</v>
      </c>
      <c r="L229" s="7" t="s">
        <v>1660</v>
      </c>
      <c r="M229" s="7" t="s">
        <v>1661</v>
      </c>
      <c r="N229" s="7" t="s">
        <v>16</v>
      </c>
      <c r="O229" s="7" t="s">
        <v>89</v>
      </c>
      <c r="P229" s="7" t="s">
        <v>1662</v>
      </c>
      <c r="Q229" s="7" t="s">
        <v>1467</v>
      </c>
      <c r="R229" s="7" t="n">
        <f aca="false">VALUE(LEFT(Q229,4))</f>
        <v>2018</v>
      </c>
      <c r="S229" s="7" t="n">
        <f aca="false">VALUE(MID(Q229,6,2))</f>
        <v>2</v>
      </c>
      <c r="T229" s="7" t="n">
        <f aca="false">VALUE(RIGHT(Q229,2))</f>
        <v>22</v>
      </c>
      <c r="U229" s="7" t="s">
        <v>91</v>
      </c>
      <c r="V229" s="7" t="s">
        <v>92</v>
      </c>
    </row>
    <row r="230" customFormat="false" ht="23.25" hidden="false" customHeight="true" outlineLevel="0" collapsed="false">
      <c r="A230" s="7" t="n">
        <v>230</v>
      </c>
      <c r="B230" s="7" t="s">
        <v>1663</v>
      </c>
      <c r="C230" s="7" t="s">
        <v>1664</v>
      </c>
      <c r="D230" s="7" t="n">
        <f aca="false">VALUE(LEFT(B230,4))</f>
        <v>2018</v>
      </c>
      <c r="E230" s="7" t="n">
        <f aca="false">INT((D230-1)/100)+1</f>
        <v>21</v>
      </c>
      <c r="F230" s="7" t="s">
        <v>1341</v>
      </c>
      <c r="G230" s="7" t="s">
        <v>1665</v>
      </c>
      <c r="H230" s="7" t="s">
        <v>982</v>
      </c>
      <c r="I230" s="7" t="s">
        <v>1666</v>
      </c>
      <c r="J230" s="7" t="s">
        <v>737</v>
      </c>
      <c r="K230" s="7"/>
      <c r="L230" s="7" t="s">
        <v>699</v>
      </c>
      <c r="M230" s="7" t="s">
        <v>642</v>
      </c>
      <c r="N230" s="7" t="s">
        <v>16</v>
      </c>
      <c r="O230" s="7" t="s">
        <v>89</v>
      </c>
      <c r="P230" s="7"/>
      <c r="Q230" s="7" t="s">
        <v>1667</v>
      </c>
      <c r="R230" s="7" t="n">
        <f aca="false">VALUE(LEFT(Q230,4))</f>
        <v>2018</v>
      </c>
      <c r="S230" s="7" t="n">
        <f aca="false">VALUE(MID(Q230,6,2))</f>
        <v>3</v>
      </c>
      <c r="T230" s="7" t="n">
        <f aca="false">VALUE(RIGHT(Q230,2))</f>
        <v>13</v>
      </c>
      <c r="U230" s="7" t="s">
        <v>139</v>
      </c>
      <c r="V230" s="7" t="s">
        <v>1668</v>
      </c>
    </row>
    <row r="231" customFormat="false" ht="23.25" hidden="false" customHeight="true" outlineLevel="0" collapsed="false">
      <c r="A231" s="7" t="n">
        <v>231</v>
      </c>
      <c r="B231" s="7" t="s">
        <v>1669</v>
      </c>
      <c r="C231" s="7" t="s">
        <v>1669</v>
      </c>
      <c r="D231" s="7" t="n">
        <f aca="false">VALUE(LEFT(B231,4))</f>
        <v>2018</v>
      </c>
      <c r="E231" s="7" t="n">
        <f aca="false">INT((D231-1)/100)+1</f>
        <v>21</v>
      </c>
      <c r="F231" s="7" t="s">
        <v>1670</v>
      </c>
      <c r="G231" s="7" t="s">
        <v>1671</v>
      </c>
      <c r="H231" s="7" t="s">
        <v>1672</v>
      </c>
      <c r="I231" s="7" t="s">
        <v>1673</v>
      </c>
      <c r="J231" s="7" t="s">
        <v>1004</v>
      </c>
      <c r="K231" s="7" t="s">
        <v>1674</v>
      </c>
      <c r="L231" s="7" t="s">
        <v>699</v>
      </c>
      <c r="M231" s="7" t="s">
        <v>642</v>
      </c>
      <c r="N231" s="7" t="s">
        <v>16</v>
      </c>
      <c r="O231" s="7" t="s">
        <v>89</v>
      </c>
      <c r="P231" s="7" t="s">
        <v>1675</v>
      </c>
      <c r="Q231" s="7" t="s">
        <v>1669</v>
      </c>
      <c r="R231" s="7" t="n">
        <f aca="false">VALUE(LEFT(Q231,4))</f>
        <v>2018</v>
      </c>
      <c r="S231" s="7" t="n">
        <f aca="false">VALUE(MID(Q231,6,2))</f>
        <v>5</v>
      </c>
      <c r="T231" s="7" t="n">
        <f aca="false">VALUE(RIGHT(Q231,2))</f>
        <v>15</v>
      </c>
      <c r="U231" s="7" t="s">
        <v>91</v>
      </c>
      <c r="V231" s="7" t="s">
        <v>92</v>
      </c>
    </row>
    <row r="232" customFormat="false" ht="23.25" hidden="false" customHeight="true" outlineLevel="0" collapsed="false">
      <c r="A232" s="7" t="n">
        <v>232</v>
      </c>
      <c r="B232" s="7" t="s">
        <v>1676</v>
      </c>
      <c r="C232" s="7" t="s">
        <v>1677</v>
      </c>
      <c r="D232" s="7" t="n">
        <f aca="false">VALUE(LEFT(B232,4))</f>
        <v>2018</v>
      </c>
      <c r="E232" s="7" t="n">
        <f aca="false">INT((D232-1)/100)+1</f>
        <v>21</v>
      </c>
      <c r="F232" s="7" t="s">
        <v>1449</v>
      </c>
      <c r="G232" s="7" t="s">
        <v>1678</v>
      </c>
      <c r="H232" s="7" t="s">
        <v>1679</v>
      </c>
      <c r="I232" s="7" t="s">
        <v>1680</v>
      </c>
      <c r="J232" s="7" t="s">
        <v>1681</v>
      </c>
      <c r="K232" s="7" t="s">
        <v>1682</v>
      </c>
      <c r="L232" s="7" t="s">
        <v>1683</v>
      </c>
      <c r="M232" s="7" t="s">
        <v>1437</v>
      </c>
      <c r="N232" s="7" t="s">
        <v>20</v>
      </c>
      <c r="O232" s="7" t="s">
        <v>89</v>
      </c>
      <c r="P232" s="7" t="s">
        <v>1684</v>
      </c>
      <c r="Q232" s="7" t="s">
        <v>1677</v>
      </c>
      <c r="R232" s="7" t="n">
        <f aca="false">VALUE(LEFT(Q232,4))</f>
        <v>2018</v>
      </c>
      <c r="S232" s="7" t="n">
        <f aca="false">VALUE(MID(Q232,6,2))</f>
        <v>8</v>
      </c>
      <c r="T232" s="7" t="n">
        <f aca="false">VALUE(RIGHT(Q232,2))</f>
        <v>22</v>
      </c>
      <c r="U232" s="7" t="s">
        <v>139</v>
      </c>
      <c r="V232" s="7" t="s">
        <v>1685</v>
      </c>
    </row>
    <row r="233" customFormat="false" ht="57" hidden="false" customHeight="true" outlineLevel="0" collapsed="false">
      <c r="A233" s="7" t="n">
        <v>233</v>
      </c>
      <c r="B233" s="7" t="s">
        <v>1686</v>
      </c>
      <c r="C233" s="7" t="s">
        <v>1686</v>
      </c>
      <c r="D233" s="7" t="n">
        <f aca="false">VALUE(LEFT(B233,4))</f>
        <v>2019</v>
      </c>
      <c r="E233" s="7" t="n">
        <f aca="false">INT((D233-1)/100)+1</f>
        <v>21</v>
      </c>
      <c r="F233" s="7" t="s">
        <v>956</v>
      </c>
      <c r="G233" s="7" t="s">
        <v>1687</v>
      </c>
      <c r="H233" s="7" t="s">
        <v>982</v>
      </c>
      <c r="I233" s="7"/>
      <c r="J233" s="7" t="s">
        <v>737</v>
      </c>
      <c r="K233" s="7"/>
      <c r="L233" s="7" t="s">
        <v>699</v>
      </c>
      <c r="M233" s="7" t="s">
        <v>642</v>
      </c>
      <c r="N233" s="7" t="s">
        <v>16</v>
      </c>
      <c r="O233" s="7" t="s">
        <v>89</v>
      </c>
      <c r="P233" s="7"/>
      <c r="Q233" s="7" t="s">
        <v>1686</v>
      </c>
      <c r="R233" s="7" t="n">
        <f aca="false">VALUE(LEFT(Q233,4))</f>
        <v>2019</v>
      </c>
      <c r="S233" s="7" t="n">
        <f aca="false">VALUE(MID(Q233,6,2))</f>
        <v>2</v>
      </c>
      <c r="T233" s="7" t="n">
        <f aca="false">VALUE(RIGHT(Q233,2))</f>
        <v>25</v>
      </c>
      <c r="U233" s="7" t="s">
        <v>91</v>
      </c>
      <c r="V233" s="7" t="s">
        <v>92</v>
      </c>
    </row>
    <row r="234" customFormat="false" ht="23.25" hidden="false" customHeight="true" outlineLevel="0" collapsed="false">
      <c r="A234" s="7" t="n">
        <v>234</v>
      </c>
      <c r="B234" s="7" t="s">
        <v>1688</v>
      </c>
      <c r="C234" s="7" t="s">
        <v>1689</v>
      </c>
      <c r="D234" s="7" t="n">
        <f aca="false">VALUE(LEFT(B234,4))</f>
        <v>2019</v>
      </c>
      <c r="E234" s="7" t="n">
        <f aca="false">INT((D234-1)/100)+1</f>
        <v>21</v>
      </c>
      <c r="F234" s="7" t="s">
        <v>1690</v>
      </c>
      <c r="G234" s="7" t="s">
        <v>1691</v>
      </c>
      <c r="H234" s="7" t="s">
        <v>1692</v>
      </c>
      <c r="I234" s="7" t="s">
        <v>1693</v>
      </c>
      <c r="J234" s="7" t="s">
        <v>935</v>
      </c>
      <c r="K234" s="7" t="s">
        <v>1694</v>
      </c>
      <c r="L234" s="7" t="s">
        <v>699</v>
      </c>
      <c r="M234" s="7" t="s">
        <v>642</v>
      </c>
      <c r="N234" s="7" t="s">
        <v>16</v>
      </c>
      <c r="O234" s="7" t="s">
        <v>89</v>
      </c>
      <c r="P234" s="7"/>
      <c r="Q234" s="7" t="s">
        <v>1688</v>
      </c>
      <c r="R234" s="7" t="n">
        <f aca="false">VALUE(LEFT(Q234,4))</f>
        <v>2019</v>
      </c>
      <c r="S234" s="7" t="n">
        <f aca="false">VALUE(MID(Q234,6,2))</f>
        <v>10</v>
      </c>
      <c r="T234" s="7" t="n">
        <f aca="false">VALUE(RIGHT(Q234,2))</f>
        <v>31</v>
      </c>
      <c r="U234" s="7" t="s">
        <v>139</v>
      </c>
      <c r="V234" s="7" t="s">
        <v>140</v>
      </c>
    </row>
    <row r="235" customFormat="false" ht="34.5" hidden="false" customHeight="true" outlineLevel="0" collapsed="false">
      <c r="A235" s="7" t="n">
        <v>235</v>
      </c>
      <c r="B235" s="7" t="s">
        <v>1695</v>
      </c>
      <c r="C235" s="7" t="s">
        <v>1696</v>
      </c>
      <c r="D235" s="7" t="n">
        <f aca="false">VALUE(LEFT(B235,4))</f>
        <v>2019</v>
      </c>
      <c r="E235" s="7" t="n">
        <f aca="false">INT((D235-1)/100)+1</f>
        <v>21</v>
      </c>
      <c r="F235" s="7" t="s">
        <v>153</v>
      </c>
      <c r="G235" s="7" t="s">
        <v>1697</v>
      </c>
      <c r="H235" s="7" t="s">
        <v>982</v>
      </c>
      <c r="I235" s="7" t="s">
        <v>1698</v>
      </c>
      <c r="J235" s="7" t="s">
        <v>737</v>
      </c>
      <c r="K235" s="7"/>
      <c r="L235" s="7" t="s">
        <v>699</v>
      </c>
      <c r="M235" s="7" t="s">
        <v>642</v>
      </c>
      <c r="N235" s="7" t="s">
        <v>16</v>
      </c>
      <c r="O235" s="7" t="s">
        <v>89</v>
      </c>
      <c r="P235" s="7"/>
      <c r="Q235" s="7" t="s">
        <v>1695</v>
      </c>
      <c r="R235" s="7" t="n">
        <f aca="false">VALUE(LEFT(Q235,4))</f>
        <v>2019</v>
      </c>
      <c r="S235" s="7" t="n">
        <f aca="false">VALUE(MID(Q235,6,2))</f>
        <v>12</v>
      </c>
      <c r="T235" s="7" t="n">
        <f aca="false">VALUE(RIGHT(Q235,2))</f>
        <v>1</v>
      </c>
      <c r="U235" s="7" t="s">
        <v>139</v>
      </c>
      <c r="V235" s="7" t="s">
        <v>140</v>
      </c>
    </row>
    <row r="236" customFormat="false" ht="23.25" hidden="false" customHeight="true" outlineLevel="0" collapsed="false">
      <c r="A236" s="7" t="n">
        <v>236</v>
      </c>
      <c r="B236" s="7" t="s">
        <v>1699</v>
      </c>
      <c r="C236" s="7" t="s">
        <v>1699</v>
      </c>
      <c r="D236" s="7" t="n">
        <f aca="false">VALUE(LEFT(B236,4))</f>
        <v>2020</v>
      </c>
      <c r="E236" s="7" t="n">
        <f aca="false">INT((D236-1)/100)+1</f>
        <v>21</v>
      </c>
      <c r="F236" s="7" t="s">
        <v>1700</v>
      </c>
      <c r="G236" s="7" t="s">
        <v>1701</v>
      </c>
      <c r="H236" s="7" t="s">
        <v>1702</v>
      </c>
      <c r="I236" s="7"/>
      <c r="J236" s="7" t="s">
        <v>1004</v>
      </c>
      <c r="K236" s="7"/>
      <c r="L236" s="7" t="s">
        <v>699</v>
      </c>
      <c r="M236" s="7" t="s">
        <v>642</v>
      </c>
      <c r="N236" s="7" t="s">
        <v>16</v>
      </c>
      <c r="O236" s="7" t="s">
        <v>89</v>
      </c>
      <c r="P236" s="7" t="s">
        <v>1703</v>
      </c>
      <c r="Q236" s="7" t="s">
        <v>1699</v>
      </c>
      <c r="R236" s="7" t="n">
        <f aca="false">VALUE(LEFT(Q236,4))</f>
        <v>2020</v>
      </c>
      <c r="S236" s="7" t="n">
        <f aca="false">VALUE(MID(Q236,6,2))</f>
        <v>5</v>
      </c>
      <c r="T236" s="7" t="n">
        <f aca="false">VALUE(RIGHT(Q236,2))</f>
        <v>15</v>
      </c>
      <c r="U236" s="7" t="s">
        <v>91</v>
      </c>
      <c r="V236" s="7" t="s">
        <v>92</v>
      </c>
    </row>
    <row r="237" customFormat="false" ht="23.25" hidden="false" customHeight="true" outlineLevel="0" collapsed="false">
      <c r="A237" s="7" t="n">
        <v>237</v>
      </c>
      <c r="B237" s="7" t="s">
        <v>1704</v>
      </c>
      <c r="C237" s="7" t="s">
        <v>1704</v>
      </c>
      <c r="D237" s="7" t="n">
        <f aca="false">VALUE(LEFT(B237,4))</f>
        <v>2020</v>
      </c>
      <c r="E237" s="7" t="n">
        <f aca="false">INT((D237-1)/100)+1</f>
        <v>21</v>
      </c>
      <c r="F237" s="7" t="s">
        <v>81</v>
      </c>
      <c r="G237" s="7" t="s">
        <v>1705</v>
      </c>
      <c r="H237" s="7" t="s">
        <v>982</v>
      </c>
      <c r="I237" s="7" t="s">
        <v>1706</v>
      </c>
      <c r="J237" s="7" t="s">
        <v>737</v>
      </c>
      <c r="K237" s="7"/>
      <c r="L237" s="7" t="s">
        <v>699</v>
      </c>
      <c r="M237" s="7" t="s">
        <v>642</v>
      </c>
      <c r="N237" s="7" t="s">
        <v>16</v>
      </c>
      <c r="O237" s="7" t="s">
        <v>89</v>
      </c>
      <c r="P237" s="7"/>
      <c r="Q237" s="7" t="s">
        <v>1704</v>
      </c>
      <c r="R237" s="7" t="n">
        <f aca="false">VALUE(LEFT(Q237,4))</f>
        <v>2020</v>
      </c>
      <c r="S237" s="7" t="n">
        <f aca="false">VALUE(MID(Q237,6,2))</f>
        <v>8</v>
      </c>
      <c r="T237" s="7" t="n">
        <f aca="false">VALUE(RIGHT(Q237,2))</f>
        <v>4</v>
      </c>
      <c r="U237" s="7" t="s">
        <v>91</v>
      </c>
      <c r="V237" s="7" t="s">
        <v>92</v>
      </c>
    </row>
    <row r="238" customFormat="false" ht="23.25" hidden="false" customHeight="true" outlineLevel="0" collapsed="false">
      <c r="A238" s="7" t="n">
        <v>238</v>
      </c>
      <c r="B238" s="7" t="s">
        <v>1707</v>
      </c>
      <c r="C238" s="7" t="s">
        <v>1707</v>
      </c>
      <c r="D238" s="7" t="n">
        <f aca="false">VALUE(LEFT(B238,4))</f>
        <v>2020</v>
      </c>
      <c r="E238" s="7" t="n">
        <f aca="false">INT((D238-1)/100)+1</f>
        <v>21</v>
      </c>
      <c r="F238" s="7" t="s">
        <v>1272</v>
      </c>
      <c r="G238" s="7" t="s">
        <v>1708</v>
      </c>
      <c r="H238" s="7" t="s">
        <v>982</v>
      </c>
      <c r="I238" s="7" t="s">
        <v>1709</v>
      </c>
      <c r="J238" s="7" t="s">
        <v>1004</v>
      </c>
      <c r="K238" s="7"/>
      <c r="L238" s="7" t="s">
        <v>699</v>
      </c>
      <c r="M238" s="7" t="s">
        <v>642</v>
      </c>
      <c r="N238" s="7" t="s">
        <v>16</v>
      </c>
      <c r="O238" s="7" t="s">
        <v>89</v>
      </c>
      <c r="P238" s="7"/>
      <c r="Q238" s="7" t="s">
        <v>1707</v>
      </c>
      <c r="R238" s="7" t="n">
        <f aca="false">VALUE(LEFT(Q238,4))</f>
        <v>2020</v>
      </c>
      <c r="S238" s="7" t="n">
        <f aca="false">VALUE(MID(Q238,6,2))</f>
        <v>10</v>
      </c>
      <c r="T238" s="7" t="n">
        <f aca="false">VALUE(RIGHT(Q238,2))</f>
        <v>7</v>
      </c>
      <c r="U238" s="7" t="s">
        <v>91</v>
      </c>
      <c r="V238" s="7" t="s">
        <v>92</v>
      </c>
    </row>
    <row r="239" customFormat="false" ht="23.25" hidden="false" customHeight="true" outlineLevel="0" collapsed="false">
      <c r="A239" s="7" t="n">
        <v>239</v>
      </c>
      <c r="B239" s="7" t="s">
        <v>1710</v>
      </c>
      <c r="C239" s="7" t="s">
        <v>1711</v>
      </c>
      <c r="D239" s="7" t="n">
        <f aca="false">VALUE(LEFT(B239,4))</f>
        <v>2020</v>
      </c>
      <c r="E239" s="7" t="n">
        <f aca="false">INT((D239-1)/100)+1</f>
        <v>21</v>
      </c>
      <c r="F239" s="7" t="s">
        <v>153</v>
      </c>
      <c r="G239" s="7" t="s">
        <v>1712</v>
      </c>
      <c r="H239" s="7" t="s">
        <v>982</v>
      </c>
      <c r="I239" s="7" t="s">
        <v>1713</v>
      </c>
      <c r="J239" s="7" t="s">
        <v>324</v>
      </c>
      <c r="K239" s="7"/>
      <c r="L239" s="7" t="s">
        <v>699</v>
      </c>
      <c r="M239" s="7" t="s">
        <v>642</v>
      </c>
      <c r="N239" s="7" t="s">
        <v>16</v>
      </c>
      <c r="O239" s="7" t="s">
        <v>89</v>
      </c>
      <c r="P239" s="7" t="s">
        <v>1714</v>
      </c>
      <c r="Q239" s="7" t="s">
        <v>1710</v>
      </c>
      <c r="R239" s="7" t="n">
        <f aca="false">VALUE(LEFT(Q239,4))</f>
        <v>2020</v>
      </c>
      <c r="S239" s="7" t="n">
        <f aca="false">VALUE(MID(Q239,6,2))</f>
        <v>12</v>
      </c>
      <c r="T239" s="7" t="n">
        <f aca="false">VALUE(RIGHT(Q239,2))</f>
        <v>16</v>
      </c>
      <c r="U239" s="7" t="s">
        <v>139</v>
      </c>
      <c r="V239" s="7" t="s">
        <v>140</v>
      </c>
    </row>
    <row r="240" customFormat="false" ht="23.25" hidden="false" customHeight="true" outlineLevel="0" collapsed="false">
      <c r="A240" s="7" t="n">
        <v>240</v>
      </c>
      <c r="B240" s="7" t="s">
        <v>1715</v>
      </c>
      <c r="C240" s="7" t="s">
        <v>1716</v>
      </c>
      <c r="D240" s="7" t="n">
        <f aca="false">VALUE(LEFT(B240,4))</f>
        <v>2020</v>
      </c>
      <c r="E240" s="7" t="n">
        <f aca="false">INT((D240-1)/100)+1</f>
        <v>21</v>
      </c>
      <c r="F240" s="7" t="s">
        <v>1286</v>
      </c>
      <c r="G240" s="7" t="s">
        <v>1717</v>
      </c>
      <c r="H240" s="7" t="s">
        <v>1718</v>
      </c>
      <c r="I240" s="7" t="s">
        <v>1719</v>
      </c>
      <c r="J240" s="7" t="s">
        <v>737</v>
      </c>
      <c r="K240" s="7" t="s">
        <v>1720</v>
      </c>
      <c r="L240" s="7" t="s">
        <v>699</v>
      </c>
      <c r="M240" s="7" t="s">
        <v>642</v>
      </c>
      <c r="N240" s="7" t="s">
        <v>16</v>
      </c>
      <c r="O240" s="7" t="s">
        <v>89</v>
      </c>
      <c r="P240" s="7"/>
      <c r="Q240" s="7" t="s">
        <v>1715</v>
      </c>
      <c r="R240" s="7" t="n">
        <f aca="false">VALUE(LEFT(Q240,4))</f>
        <v>2020</v>
      </c>
      <c r="S240" s="7" t="n">
        <f aca="false">VALUE(MID(Q240,6,2))</f>
        <v>12</v>
      </c>
      <c r="T240" s="7" t="n">
        <f aca="false">VALUE(RIGHT(Q240,2))</f>
        <v>24</v>
      </c>
      <c r="U240" s="7" t="s">
        <v>139</v>
      </c>
      <c r="V240" s="7" t="s">
        <v>140</v>
      </c>
    </row>
    <row r="241" customFormat="false" ht="23.25" hidden="false" customHeight="true" outlineLevel="0" collapsed="false">
      <c r="A241" s="7" t="n">
        <v>241</v>
      </c>
      <c r="B241" s="7" t="s">
        <v>1721</v>
      </c>
      <c r="C241" s="7" t="s">
        <v>1721</v>
      </c>
      <c r="D241" s="7" t="n">
        <f aca="false">VALUE(LEFT(B241,4))</f>
        <v>2021</v>
      </c>
      <c r="E241" s="7" t="n">
        <f aca="false">INT((D241-1)/100)+1</f>
        <v>21</v>
      </c>
      <c r="F241" s="7" t="s">
        <v>1722</v>
      </c>
      <c r="G241" s="7" t="s">
        <v>1723</v>
      </c>
      <c r="H241" s="7" t="s">
        <v>1724</v>
      </c>
      <c r="I241" s="7"/>
      <c r="J241" s="7" t="s">
        <v>1004</v>
      </c>
      <c r="K241" s="7" t="s">
        <v>1725</v>
      </c>
      <c r="L241" s="7" t="s">
        <v>699</v>
      </c>
      <c r="M241" s="7" t="s">
        <v>642</v>
      </c>
      <c r="N241" s="7" t="s">
        <v>18</v>
      </c>
      <c r="O241" s="7" t="s">
        <v>89</v>
      </c>
      <c r="P241" s="7" t="s">
        <v>1726</v>
      </c>
      <c r="Q241" s="7" t="s">
        <v>1721</v>
      </c>
      <c r="R241" s="7" t="n">
        <f aca="false">VALUE(LEFT(Q241,4))</f>
        <v>2021</v>
      </c>
      <c r="S241" s="7" t="n">
        <f aca="false">VALUE(MID(Q241,6,2))</f>
        <v>4</v>
      </c>
      <c r="T241" s="7" t="n">
        <f aca="false">VALUE(RIGHT(Q241,2))</f>
        <v>21</v>
      </c>
      <c r="U241" s="7" t="s">
        <v>91</v>
      </c>
      <c r="V241" s="7" t="s">
        <v>92</v>
      </c>
    </row>
    <row r="242" customFormat="false" ht="23.25" hidden="false" customHeight="true" outlineLevel="0" collapsed="false">
      <c r="A242" s="7" t="n">
        <v>242</v>
      </c>
      <c r="B242" s="7" t="s">
        <v>1727</v>
      </c>
      <c r="C242" s="7" t="s">
        <v>1728</v>
      </c>
      <c r="D242" s="7" t="n">
        <f aca="false">VALUE(LEFT(B242,4))</f>
        <v>2021</v>
      </c>
      <c r="E242" s="7" t="n">
        <f aca="false">INT((D242-1)/100)+1</f>
        <v>21</v>
      </c>
      <c r="F242" s="7" t="s">
        <v>1729</v>
      </c>
      <c r="G242" s="7" t="s">
        <v>1730</v>
      </c>
      <c r="H242" s="7" t="s">
        <v>982</v>
      </c>
      <c r="I242" s="7"/>
      <c r="J242" s="7" t="s">
        <v>737</v>
      </c>
      <c r="K242" s="7"/>
      <c r="L242" s="7" t="s">
        <v>699</v>
      </c>
      <c r="M242" s="7" t="s">
        <v>642</v>
      </c>
      <c r="N242" s="7" t="s">
        <v>16</v>
      </c>
      <c r="O242" s="7" t="s">
        <v>89</v>
      </c>
      <c r="P242" s="7"/>
      <c r="Q242" s="7" t="s">
        <v>1731</v>
      </c>
      <c r="R242" s="7" t="n">
        <f aca="false">VALUE(LEFT(Q242,4))</f>
        <v>2021</v>
      </c>
      <c r="S242" s="7" t="n">
        <f aca="false">VALUE(MID(Q242,6,2))</f>
        <v>7</v>
      </c>
      <c r="T242" s="7" t="n">
        <f aca="false">VALUE(RIGHT(Q242,2))</f>
        <v>15</v>
      </c>
      <c r="U242" s="7" t="s">
        <v>331</v>
      </c>
      <c r="V242" s="7" t="s">
        <v>1732</v>
      </c>
    </row>
    <row r="243" customFormat="false" ht="23.25" hidden="false" customHeight="true" outlineLevel="0" collapsed="false">
      <c r="A243" s="7" t="n">
        <v>243</v>
      </c>
      <c r="B243" s="7" t="s">
        <v>1733</v>
      </c>
      <c r="C243" s="7" t="s">
        <v>1734</v>
      </c>
      <c r="D243" s="7" t="n">
        <f aca="false">VALUE(LEFT(B243,4))</f>
        <v>2021</v>
      </c>
      <c r="E243" s="7" t="n">
        <f aca="false">INT((D243-1)/100)+1</f>
        <v>21</v>
      </c>
      <c r="F243" s="7" t="s">
        <v>1485</v>
      </c>
      <c r="G243" s="7" t="s">
        <v>1735</v>
      </c>
      <c r="H243" s="7" t="s">
        <v>1736</v>
      </c>
      <c r="I243" s="7" t="s">
        <v>1737</v>
      </c>
      <c r="J243" s="7" t="s">
        <v>737</v>
      </c>
      <c r="K243" s="7" t="s">
        <v>1738</v>
      </c>
      <c r="L243" s="7" t="s">
        <v>699</v>
      </c>
      <c r="M243" s="7" t="s">
        <v>642</v>
      </c>
      <c r="N243" s="7" t="s">
        <v>16</v>
      </c>
      <c r="O243" s="7" t="s">
        <v>89</v>
      </c>
      <c r="P243" s="7"/>
      <c r="Q243" s="7" t="s">
        <v>1733</v>
      </c>
      <c r="R243" s="7" t="n">
        <f aca="false">VALUE(LEFT(Q243,4))</f>
        <v>2021</v>
      </c>
      <c r="S243" s="7" t="n">
        <f aca="false">VALUE(MID(Q243,6,2))</f>
        <v>9</v>
      </c>
      <c r="T243" s="7" t="n">
        <f aca="false">VALUE(RIGHT(Q243,2))</f>
        <v>1</v>
      </c>
      <c r="U243" s="7" t="s">
        <v>139</v>
      </c>
      <c r="V243" s="7" t="s">
        <v>140</v>
      </c>
    </row>
    <row r="244" customFormat="false" ht="23.25" hidden="false" customHeight="true" outlineLevel="0" collapsed="false">
      <c r="A244" s="7" t="n">
        <v>244</v>
      </c>
      <c r="B244" s="7" t="s">
        <v>1739</v>
      </c>
      <c r="C244" s="7" t="s">
        <v>1740</v>
      </c>
      <c r="D244" s="7" t="n">
        <f aca="false">VALUE(LEFT(B244,4))</f>
        <v>2022</v>
      </c>
      <c r="E244" s="7" t="n">
        <f aca="false">INT((D244-1)/100)+1</f>
        <v>21</v>
      </c>
      <c r="F244" s="7" t="s">
        <v>842</v>
      </c>
      <c r="G244" s="7" t="s">
        <v>1741</v>
      </c>
      <c r="H244" s="7" t="s">
        <v>982</v>
      </c>
      <c r="I244" s="7"/>
      <c r="J244" s="7" t="s">
        <v>737</v>
      </c>
      <c r="K244" s="7"/>
      <c r="L244" s="7" t="s">
        <v>699</v>
      </c>
      <c r="M244" s="7" t="s">
        <v>642</v>
      </c>
      <c r="N244" s="7" t="s">
        <v>16</v>
      </c>
      <c r="O244" s="7" t="s">
        <v>89</v>
      </c>
      <c r="P244" s="7"/>
      <c r="Q244" s="7" t="s">
        <v>1739</v>
      </c>
      <c r="R244" s="7" t="n">
        <f aca="false">VALUE(LEFT(Q244,4))</f>
        <v>2022</v>
      </c>
      <c r="S244" s="7" t="n">
        <f aca="false">VALUE(MID(Q244,6,2))</f>
        <v>2</v>
      </c>
      <c r="T244" s="7" t="n">
        <f aca="false">VALUE(RIGHT(Q244,2))</f>
        <v>3</v>
      </c>
      <c r="U244" s="7" t="s">
        <v>139</v>
      </c>
      <c r="V244" s="7" t="s">
        <v>140</v>
      </c>
    </row>
    <row r="245" customFormat="false" ht="23.25" hidden="false" customHeight="true" outlineLevel="0" collapsed="false">
      <c r="A245" s="7" t="n">
        <v>245</v>
      </c>
      <c r="B245" s="7" t="s">
        <v>1742</v>
      </c>
      <c r="C245" s="7" t="s">
        <v>1743</v>
      </c>
      <c r="D245" s="7" t="n">
        <f aca="false">VALUE(LEFT(B245,4))</f>
        <v>2022</v>
      </c>
      <c r="E245" s="7" t="n">
        <f aca="false">INT((D245-1)/100)+1</f>
        <v>21</v>
      </c>
      <c r="F245" s="7" t="s">
        <v>926</v>
      </c>
      <c r="G245" s="7" t="s">
        <v>1744</v>
      </c>
      <c r="H245" s="7" t="s">
        <v>982</v>
      </c>
      <c r="I245" s="7"/>
      <c r="J245" s="7" t="s">
        <v>737</v>
      </c>
      <c r="K245" s="7"/>
      <c r="L245" s="7" t="s">
        <v>699</v>
      </c>
      <c r="M245" s="7" t="s">
        <v>642</v>
      </c>
      <c r="N245" s="7" t="s">
        <v>16</v>
      </c>
      <c r="O245" s="7" t="s">
        <v>89</v>
      </c>
      <c r="P245" s="7"/>
      <c r="Q245" s="7" t="s">
        <v>1742</v>
      </c>
      <c r="R245" s="7" t="n">
        <f aca="false">VALUE(LEFT(Q245,4))</f>
        <v>2022</v>
      </c>
      <c r="S245" s="7" t="n">
        <f aca="false">VALUE(MID(Q245,6,2))</f>
        <v>4</v>
      </c>
      <c r="T245" s="7" t="n">
        <f aca="false">VALUE(RIGHT(Q245,2))</f>
        <v>18</v>
      </c>
      <c r="U245" s="7" t="s">
        <v>139</v>
      </c>
      <c r="V245" s="7" t="s">
        <v>140</v>
      </c>
    </row>
    <row r="246" customFormat="false" ht="23.25" hidden="false" customHeight="true" outlineLevel="0" collapsed="false">
      <c r="A246" s="7" t="n">
        <v>246</v>
      </c>
      <c r="B246" s="7" t="s">
        <v>1745</v>
      </c>
      <c r="C246" s="7" t="s">
        <v>1746</v>
      </c>
      <c r="D246" s="7" t="n">
        <f aca="false">VALUE(LEFT(B246,4))</f>
        <v>2022</v>
      </c>
      <c r="E246" s="7" t="n">
        <f aca="false">INT((D246-1)/100)+1</f>
        <v>21</v>
      </c>
      <c r="F246" s="7" t="s">
        <v>173</v>
      </c>
      <c r="G246" s="7" t="s">
        <v>1747</v>
      </c>
      <c r="H246" s="7" t="s">
        <v>982</v>
      </c>
      <c r="I246" s="7"/>
      <c r="J246" s="7" t="s">
        <v>737</v>
      </c>
      <c r="K246" s="7"/>
      <c r="L246" s="7" t="s">
        <v>699</v>
      </c>
      <c r="M246" s="7" t="s">
        <v>642</v>
      </c>
      <c r="N246" s="7" t="s">
        <v>16</v>
      </c>
      <c r="O246" s="7" t="s">
        <v>89</v>
      </c>
      <c r="P246" s="7"/>
      <c r="Q246" s="7" t="s">
        <v>1745</v>
      </c>
      <c r="R246" s="7" t="n">
        <f aca="false">VALUE(LEFT(Q246,4))</f>
        <v>2022</v>
      </c>
      <c r="S246" s="7" t="n">
        <f aca="false">VALUE(MID(Q246,6,2))</f>
        <v>12</v>
      </c>
      <c r="T246" s="7" t="n">
        <f aca="false">VALUE(RIGHT(Q246,2))</f>
        <v>15</v>
      </c>
      <c r="U246" s="7" t="s">
        <v>139</v>
      </c>
      <c r="V246" s="7" t="s">
        <v>140</v>
      </c>
    </row>
    <row r="247" customFormat="false" ht="23.25" hidden="false" customHeight="true" outlineLevel="0" collapsed="false">
      <c r="A247" s="7" t="n">
        <v>247</v>
      </c>
      <c r="B247" s="7" t="s">
        <v>1748</v>
      </c>
      <c r="C247" s="7" t="s">
        <v>1749</v>
      </c>
      <c r="D247" s="7" t="n">
        <f aca="false">VALUE(LEFT(B247,4))</f>
        <v>2023</v>
      </c>
      <c r="E247" s="7" t="n">
        <f aca="false">INT((D247-1)/100)+1</f>
        <v>21</v>
      </c>
      <c r="F247" s="7" t="s">
        <v>252</v>
      </c>
      <c r="G247" s="7" t="s">
        <v>1750</v>
      </c>
      <c r="H247" s="7" t="s">
        <v>982</v>
      </c>
      <c r="I247" s="7" t="s">
        <v>1751</v>
      </c>
      <c r="J247" s="7" t="s">
        <v>737</v>
      </c>
      <c r="K247" s="7"/>
      <c r="L247" s="7" t="s">
        <v>699</v>
      </c>
      <c r="M247" s="7" t="s">
        <v>642</v>
      </c>
      <c r="N247" s="7" t="s">
        <v>16</v>
      </c>
      <c r="O247" s="7" t="s">
        <v>89</v>
      </c>
      <c r="P247" s="7"/>
      <c r="Q247" s="7" t="s">
        <v>1748</v>
      </c>
      <c r="R247" s="7" t="n">
        <f aca="false">VALUE(LEFT(Q247,4))</f>
        <v>2023</v>
      </c>
      <c r="S247" s="7" t="n">
        <f aca="false">VALUE(MID(Q247,6,2))</f>
        <v>2</v>
      </c>
      <c r="T247" s="7" t="n">
        <f aca="false">VALUE(RIGHT(Q247,2))</f>
        <v>3</v>
      </c>
      <c r="U247" s="7" t="s">
        <v>139</v>
      </c>
      <c r="V247" s="7" t="s">
        <v>140</v>
      </c>
    </row>
    <row r="248" customFormat="false" ht="23.25" hidden="false" customHeight="true" outlineLevel="0" collapsed="false">
      <c r="A248" s="7" t="n">
        <v>248</v>
      </c>
      <c r="B248" s="7" t="s">
        <v>1752</v>
      </c>
      <c r="C248" s="7" t="s">
        <v>1753</v>
      </c>
      <c r="D248" s="7" t="n">
        <f aca="false">VALUE(LEFT(B248,4))</f>
        <v>2023</v>
      </c>
      <c r="E248" s="7" t="n">
        <f aca="false">INT((D248-1)/100)+1</f>
        <v>21</v>
      </c>
      <c r="F248" s="7" t="s">
        <v>173</v>
      </c>
      <c r="G248" s="7" t="s">
        <v>1754</v>
      </c>
      <c r="H248" s="7" t="s">
        <v>1755</v>
      </c>
      <c r="I248" s="7" t="s">
        <v>1756</v>
      </c>
      <c r="J248" s="7" t="s">
        <v>737</v>
      </c>
      <c r="K248" s="7"/>
      <c r="L248" s="7" t="s">
        <v>699</v>
      </c>
      <c r="M248" s="7" t="s">
        <v>642</v>
      </c>
      <c r="N248" s="7" t="s">
        <v>16</v>
      </c>
      <c r="O248" s="7" t="s">
        <v>89</v>
      </c>
      <c r="P248" s="7"/>
      <c r="Q248" s="7" t="s">
        <v>1752</v>
      </c>
      <c r="R248" s="7" t="n">
        <f aca="false">VALUE(LEFT(Q248,4))</f>
        <v>2023</v>
      </c>
      <c r="S248" s="7" t="n">
        <f aca="false">VALUE(MID(Q248,6,2))</f>
        <v>3</v>
      </c>
      <c r="T248" s="7" t="n">
        <f aca="false">VALUE(RIGHT(Q248,2))</f>
        <v>13</v>
      </c>
      <c r="U248" s="7" t="s">
        <v>139</v>
      </c>
      <c r="V248" s="7" t="s">
        <v>140</v>
      </c>
    </row>
    <row r="249" customFormat="false" ht="23.25" hidden="false" customHeight="true" outlineLevel="0" collapsed="false">
      <c r="A249" s="7" t="n">
        <v>249</v>
      </c>
      <c r="B249" s="7" t="s">
        <v>1757</v>
      </c>
      <c r="C249" s="7" t="s">
        <v>1757</v>
      </c>
      <c r="D249" s="7" t="n">
        <f aca="false">VALUE(LEFT(B249,4))</f>
        <v>2023</v>
      </c>
      <c r="E249" s="7" t="n">
        <f aca="false">INT((D249-1)/100)+1</f>
        <v>21</v>
      </c>
      <c r="F249" s="7" t="s">
        <v>1612</v>
      </c>
      <c r="G249" s="7" t="s">
        <v>1758</v>
      </c>
      <c r="H249" s="7" t="s">
        <v>1759</v>
      </c>
      <c r="I249" s="7" t="s">
        <v>1760</v>
      </c>
      <c r="J249" s="7" t="s">
        <v>346</v>
      </c>
      <c r="K249" s="7" t="s">
        <v>1761</v>
      </c>
      <c r="L249" s="7" t="s">
        <v>1762</v>
      </c>
      <c r="M249" s="7" t="s">
        <v>1763</v>
      </c>
      <c r="N249" s="7" t="s">
        <v>18</v>
      </c>
      <c r="O249" s="7" t="s">
        <v>89</v>
      </c>
      <c r="P249" s="7"/>
      <c r="Q249" s="7" t="s">
        <v>1757</v>
      </c>
      <c r="R249" s="7" t="n">
        <f aca="false">VALUE(LEFT(Q249,4))</f>
        <v>2023</v>
      </c>
      <c r="S249" s="7" t="n">
        <f aca="false">VALUE(MID(Q249,6,2))</f>
        <v>3</v>
      </c>
      <c r="T249" s="7" t="n">
        <f aca="false">VALUE(RIGHT(Q249,2))</f>
        <v>17</v>
      </c>
      <c r="U249" s="7" t="s">
        <v>91</v>
      </c>
      <c r="V249" s="7" t="s">
        <v>92</v>
      </c>
    </row>
    <row r="250" customFormat="false" ht="15" hidden="false" customHeight="true" outlineLevel="0" collapsed="false">
      <c r="A250" s="7" t="n">
        <v>250</v>
      </c>
      <c r="B250" s="7" t="s">
        <v>1764</v>
      </c>
      <c r="C250" s="7" t="s">
        <v>1764</v>
      </c>
      <c r="D250" s="7" t="n">
        <f aca="false">VALUE(LEFT(B250,4))</f>
        <v>2023</v>
      </c>
      <c r="E250" s="7" t="n">
        <f aca="false">INT((D250-1)/100)+1</f>
        <v>21</v>
      </c>
      <c r="F250" s="7" t="s">
        <v>473</v>
      </c>
      <c r="G250" s="7" t="s">
        <v>1765</v>
      </c>
      <c r="H250" s="7" t="s">
        <v>588</v>
      </c>
      <c r="I250" s="7" t="s">
        <v>1766</v>
      </c>
      <c r="J250" s="7" t="s">
        <v>737</v>
      </c>
      <c r="K250" s="7" t="s">
        <v>1767</v>
      </c>
      <c r="L250" s="7" t="s">
        <v>583</v>
      </c>
      <c r="M250" s="7"/>
      <c r="N250" s="7" t="s">
        <v>18</v>
      </c>
      <c r="O250" s="7" t="s">
        <v>108</v>
      </c>
      <c r="P250" s="7" t="s">
        <v>1768</v>
      </c>
      <c r="Q250" s="7" t="s">
        <v>1764</v>
      </c>
      <c r="R250" s="7" t="n">
        <f aca="false">VALUE(LEFT(Q250,4))</f>
        <v>2023</v>
      </c>
      <c r="S250" s="7" t="n">
        <f aca="false">VALUE(MID(Q250,6,2))</f>
        <v>5</v>
      </c>
      <c r="T250" s="7" t="n">
        <f aca="false">VALUE(RIGHT(Q250,2))</f>
        <v>18</v>
      </c>
      <c r="U250" s="7" t="s">
        <v>91</v>
      </c>
      <c r="V250" s="7" t="s">
        <v>92</v>
      </c>
    </row>
    <row r="251" customFormat="false" ht="23.25" hidden="false" customHeight="true" outlineLevel="0" collapsed="false">
      <c r="A251" s="7" t="n">
        <v>251</v>
      </c>
      <c r="B251" s="7" t="s">
        <v>1769</v>
      </c>
      <c r="C251" s="7" t="s">
        <v>1770</v>
      </c>
      <c r="D251" s="7" t="n">
        <f aca="false">VALUE(LEFT(B251,4))</f>
        <v>2023</v>
      </c>
      <c r="E251" s="7" t="n">
        <f aca="false">INT((D251-1)/100)+1</f>
        <v>21</v>
      </c>
      <c r="F251" s="7" t="s">
        <v>1771</v>
      </c>
      <c r="G251" s="7" t="s">
        <v>1772</v>
      </c>
      <c r="H251" s="7" t="s">
        <v>1773</v>
      </c>
      <c r="I251" s="7" t="s">
        <v>1774</v>
      </c>
      <c r="J251" s="7" t="s">
        <v>737</v>
      </c>
      <c r="K251" s="7" t="s">
        <v>1775</v>
      </c>
      <c r="L251" s="7" t="s">
        <v>699</v>
      </c>
      <c r="M251" s="7" t="s">
        <v>642</v>
      </c>
      <c r="N251" s="7" t="s">
        <v>16</v>
      </c>
      <c r="O251" s="7" t="s">
        <v>89</v>
      </c>
      <c r="P251" s="7"/>
      <c r="Q251" s="7" t="s">
        <v>1769</v>
      </c>
      <c r="R251" s="7" t="n">
        <f aca="false">VALUE(LEFT(Q251,4))</f>
        <v>2023</v>
      </c>
      <c r="S251" s="7" t="n">
        <f aca="false">VALUE(MID(Q251,6,2))</f>
        <v>7</v>
      </c>
      <c r="T251" s="7" t="n">
        <f aca="false">VALUE(RIGHT(Q251,2))</f>
        <v>9</v>
      </c>
      <c r="U251" s="7" t="s">
        <v>139</v>
      </c>
      <c r="V251" s="7" t="s">
        <v>140</v>
      </c>
    </row>
    <row r="252" customFormat="false" ht="23.25" hidden="false" customHeight="true" outlineLevel="0" collapsed="false">
      <c r="A252" s="7" t="n">
        <v>252</v>
      </c>
      <c r="B252" s="7" t="s">
        <v>1776</v>
      </c>
      <c r="C252" s="7" t="s">
        <v>1777</v>
      </c>
      <c r="D252" s="7" t="n">
        <f aca="false">VALUE(LEFT(B252,4))</f>
        <v>2023</v>
      </c>
      <c r="E252" s="7" t="n">
        <f aca="false">INT((D252-1)/100)+1</f>
        <v>21</v>
      </c>
      <c r="F252" s="7" t="s">
        <v>1778</v>
      </c>
      <c r="G252" s="7" t="s">
        <v>1779</v>
      </c>
      <c r="H252" s="7" t="s">
        <v>1780</v>
      </c>
      <c r="I252" s="7" t="s">
        <v>1781</v>
      </c>
      <c r="J252" s="7" t="s">
        <v>1782</v>
      </c>
      <c r="K252" s="7" t="s">
        <v>1783</v>
      </c>
      <c r="L252" s="7" t="s">
        <v>1784</v>
      </c>
      <c r="M252" s="7" t="s">
        <v>1785</v>
      </c>
      <c r="N252" s="7" t="s">
        <v>18</v>
      </c>
      <c r="O252" s="7" t="s">
        <v>89</v>
      </c>
      <c r="P252" s="7" t="s">
        <v>1786</v>
      </c>
      <c r="Q252" s="7" t="s">
        <v>1787</v>
      </c>
      <c r="R252" s="7" t="n">
        <f aca="false">VALUE(LEFT(Q252,4))</f>
        <v>2023</v>
      </c>
      <c r="S252" s="7" t="n">
        <f aca="false">VALUE(MID(Q252,6,2))</f>
        <v>12</v>
      </c>
      <c r="T252" s="7" t="n">
        <f aca="false">VALUE(RIGHT(Q252,2))</f>
        <v>15</v>
      </c>
      <c r="U252" s="7" t="s">
        <v>331</v>
      </c>
      <c r="V252" s="7" t="s">
        <v>1788</v>
      </c>
    </row>
    <row r="253" customFormat="false" ht="57" hidden="false" customHeight="true" outlineLevel="0" collapsed="false">
      <c r="A253" s="7" t="n">
        <v>253</v>
      </c>
      <c r="B253" s="7" t="s">
        <v>1789</v>
      </c>
      <c r="C253" s="7" t="s">
        <v>1789</v>
      </c>
      <c r="D253" s="7" t="n">
        <f aca="false">VALUE(LEFT(B253,4))</f>
        <v>2023</v>
      </c>
      <c r="E253" s="7" t="n">
        <f aca="false">INT((D253-1)/100)+1</f>
        <v>21</v>
      </c>
      <c r="F253" s="7" t="s">
        <v>143</v>
      </c>
      <c r="G253" s="7" t="s">
        <v>1790</v>
      </c>
      <c r="H253" s="7" t="s">
        <v>982</v>
      </c>
      <c r="I253" s="7"/>
      <c r="J253" s="7" t="s">
        <v>737</v>
      </c>
      <c r="K253" s="7"/>
      <c r="L253" s="7" t="s">
        <v>699</v>
      </c>
      <c r="M253" s="7" t="s">
        <v>642</v>
      </c>
      <c r="N253" s="7" t="s">
        <v>16</v>
      </c>
      <c r="O253" s="7" t="s">
        <v>89</v>
      </c>
      <c r="P253" s="7"/>
      <c r="Q253" s="7" t="s">
        <v>1789</v>
      </c>
      <c r="R253" s="7" t="n">
        <f aca="false">VALUE(LEFT(Q253,4))</f>
        <v>2023</v>
      </c>
      <c r="S253" s="7" t="n">
        <f aca="false">VALUE(MID(Q253,6,2))</f>
        <v>12</v>
      </c>
      <c r="T253" s="7" t="n">
        <f aca="false">VALUE(RIGHT(Q253,2))</f>
        <v>18</v>
      </c>
      <c r="U253" s="7" t="s">
        <v>91</v>
      </c>
      <c r="V253" s="7" t="s">
        <v>92</v>
      </c>
    </row>
    <row r="254" customFormat="false" ht="23.25" hidden="false" customHeight="true" outlineLevel="0" collapsed="false">
      <c r="A254" s="7" t="n">
        <v>254</v>
      </c>
      <c r="B254" s="7" t="s">
        <v>1791</v>
      </c>
      <c r="C254" s="7" t="s">
        <v>1791</v>
      </c>
      <c r="D254" s="7" t="n">
        <f aca="false">VALUE(LEFT(B254,4))</f>
        <v>2024</v>
      </c>
      <c r="E254" s="7" t="n">
        <f aca="false">INT((D254-1)/100)+1</f>
        <v>21</v>
      </c>
      <c r="F254" s="7" t="s">
        <v>1792</v>
      </c>
      <c r="G254" s="7" t="s">
        <v>1793</v>
      </c>
      <c r="H254" s="7" t="s">
        <v>1794</v>
      </c>
      <c r="I254" s="7" t="s">
        <v>1795</v>
      </c>
      <c r="J254" s="7" t="s">
        <v>1796</v>
      </c>
      <c r="K254" s="7" t="s">
        <v>1797</v>
      </c>
      <c r="L254" s="7" t="s">
        <v>1784</v>
      </c>
      <c r="M254" s="7" t="s">
        <v>1798</v>
      </c>
      <c r="N254" s="7" t="s">
        <v>18</v>
      </c>
      <c r="O254" s="7" t="s">
        <v>89</v>
      </c>
      <c r="P254" s="7" t="s">
        <v>1799</v>
      </c>
      <c r="Q254" s="7" t="s">
        <v>1791</v>
      </c>
      <c r="R254" s="7" t="n">
        <f aca="false">VALUE(LEFT(Q254,4))</f>
        <v>2024</v>
      </c>
      <c r="S254" s="7" t="n">
        <f aca="false">VALUE(MID(Q254,6,2))</f>
        <v>3</v>
      </c>
      <c r="T254" s="7" t="n">
        <f aca="false">VALUE(RIGHT(Q254,2))</f>
        <v>7</v>
      </c>
      <c r="U254" s="7" t="s">
        <v>91</v>
      </c>
      <c r="V254" s="7" t="s">
        <v>92</v>
      </c>
    </row>
    <row r="255" customFormat="false" ht="45.75" hidden="false" customHeight="true" outlineLevel="0" collapsed="false">
      <c r="A255" s="7" t="n">
        <v>255</v>
      </c>
      <c r="B255" s="7" t="s">
        <v>1800</v>
      </c>
      <c r="C255" s="7" t="s">
        <v>1801</v>
      </c>
      <c r="D255" s="7" t="n">
        <f aca="false">VALUE(LEFT(B255,4))</f>
        <v>2024</v>
      </c>
      <c r="E255" s="7" t="n">
        <f aca="false">INT((D255-1)/100)+1</f>
        <v>21</v>
      </c>
      <c r="F255" s="7" t="s">
        <v>1802</v>
      </c>
      <c r="G255" s="7" t="s">
        <v>1803</v>
      </c>
      <c r="H255" s="7" t="s">
        <v>982</v>
      </c>
      <c r="I255" s="7"/>
      <c r="J255" s="7" t="s">
        <v>737</v>
      </c>
      <c r="K255" s="7"/>
      <c r="L255" s="7" t="s">
        <v>699</v>
      </c>
      <c r="M255" s="7" t="s">
        <v>642</v>
      </c>
      <c r="N255" s="7" t="s">
        <v>16</v>
      </c>
      <c r="O255" s="7" t="s">
        <v>89</v>
      </c>
      <c r="P255" s="7"/>
      <c r="Q255" s="7" t="s">
        <v>1800</v>
      </c>
      <c r="R255" s="7" t="n">
        <f aca="false">VALUE(LEFT(Q255,4))</f>
        <v>2024</v>
      </c>
      <c r="S255" s="7" t="n">
        <f aca="false">VALUE(MID(Q255,6,2))</f>
        <v>3</v>
      </c>
      <c r="T255" s="7" t="n">
        <f aca="false">VALUE(RIGHT(Q255,2))</f>
        <v>22</v>
      </c>
      <c r="U255" s="7" t="s">
        <v>139</v>
      </c>
      <c r="V255" s="7" t="s">
        <v>140</v>
      </c>
    </row>
    <row r="256" customFormat="false" ht="23.25" hidden="false" customHeight="true" outlineLevel="0" collapsed="false">
      <c r="A256" s="7" t="n">
        <v>256</v>
      </c>
      <c r="B256" s="7" t="s">
        <v>1804</v>
      </c>
      <c r="C256" s="7" t="s">
        <v>1805</v>
      </c>
      <c r="D256" s="7" t="n">
        <f aca="false">VALUE(LEFT(B256,4))</f>
        <v>2024</v>
      </c>
      <c r="E256" s="7" t="n">
        <f aca="false">INT((D256-1)/100)+1</f>
        <v>21</v>
      </c>
      <c r="F256" s="7" t="s">
        <v>1806</v>
      </c>
      <c r="G256" s="7" t="s">
        <v>1807</v>
      </c>
      <c r="H256" s="7" t="s">
        <v>982</v>
      </c>
      <c r="I256" s="7"/>
      <c r="J256" s="7" t="s">
        <v>737</v>
      </c>
      <c r="K256" s="7"/>
      <c r="L256" s="7" t="s">
        <v>699</v>
      </c>
      <c r="M256" s="7" t="s">
        <v>642</v>
      </c>
      <c r="N256" s="7" t="s">
        <v>16</v>
      </c>
      <c r="O256" s="7" t="s">
        <v>89</v>
      </c>
      <c r="P256" s="7"/>
      <c r="Q256" s="7" t="s">
        <v>1804</v>
      </c>
      <c r="R256" s="7" t="n">
        <f aca="false">VALUE(LEFT(Q256,4))</f>
        <v>2024</v>
      </c>
      <c r="S256" s="7" t="n">
        <f aca="false">VALUE(MID(Q256,6,2))</f>
        <v>4</v>
      </c>
      <c r="T256" s="7" t="n">
        <f aca="false">VALUE(RIGHT(Q256,2))</f>
        <v>3</v>
      </c>
      <c r="U256" s="7" t="s">
        <v>139</v>
      </c>
      <c r="V256" s="7" t="s">
        <v>140</v>
      </c>
    </row>
    <row r="257" customFormat="false" ht="23.25" hidden="false" customHeight="true" outlineLevel="0" collapsed="false">
      <c r="A257" s="7" t="n">
        <v>257</v>
      </c>
      <c r="B257" s="7" t="s">
        <v>1808</v>
      </c>
      <c r="C257" s="7" t="s">
        <v>1808</v>
      </c>
      <c r="D257" s="7" t="n">
        <f aca="false">VALUE(LEFT(B257,4))</f>
        <v>2024</v>
      </c>
      <c r="E257" s="7" t="n">
        <f aca="false">INT((D257-1)/100)+1</f>
        <v>21</v>
      </c>
      <c r="F257" s="7" t="s">
        <v>594</v>
      </c>
      <c r="G257" s="7" t="s">
        <v>1809</v>
      </c>
      <c r="H257" s="7" t="s">
        <v>1810</v>
      </c>
      <c r="I257" s="7" t="s">
        <v>1811</v>
      </c>
      <c r="J257" s="7" t="s">
        <v>346</v>
      </c>
      <c r="K257" s="7"/>
      <c r="L257" s="7" t="s">
        <v>1812</v>
      </c>
      <c r="M257" s="7" t="s">
        <v>1813</v>
      </c>
      <c r="N257" s="7" t="s">
        <v>18</v>
      </c>
      <c r="O257" s="7" t="s">
        <v>89</v>
      </c>
      <c r="P257" s="7" t="s">
        <v>1814</v>
      </c>
      <c r="Q257" s="7" t="s">
        <v>1808</v>
      </c>
      <c r="R257" s="7" t="n">
        <f aca="false">VALUE(LEFT(Q257,4))</f>
        <v>2024</v>
      </c>
      <c r="S257" s="7" t="n">
        <f aca="false">VALUE(MID(Q257,6,2))</f>
        <v>5</v>
      </c>
      <c r="T257" s="7" t="n">
        <f aca="false">VALUE(RIGHT(Q257,2))</f>
        <v>7</v>
      </c>
      <c r="U257" s="7" t="s">
        <v>91</v>
      </c>
      <c r="V257" s="7" t="s">
        <v>92</v>
      </c>
    </row>
    <row r="258" customFormat="false" ht="23.25" hidden="false" customHeight="true" outlineLevel="0" collapsed="false">
      <c r="A258" s="7" t="n">
        <v>258</v>
      </c>
      <c r="B258" s="7" t="s">
        <v>1815</v>
      </c>
      <c r="C258" s="7" t="s">
        <v>1815</v>
      </c>
      <c r="D258" s="7" t="n">
        <f aca="false">VALUE(LEFT(B258,4))</f>
        <v>2024</v>
      </c>
      <c r="E258" s="7" t="n">
        <f aca="false">INT((D258-1)/100)+1</f>
        <v>21</v>
      </c>
      <c r="F258" s="7" t="s">
        <v>1816</v>
      </c>
      <c r="G258" s="7" t="s">
        <v>1817</v>
      </c>
      <c r="H258" s="7" t="s">
        <v>982</v>
      </c>
      <c r="I258" s="7"/>
      <c r="J258" s="7" t="s">
        <v>737</v>
      </c>
      <c r="K258" s="7"/>
      <c r="L258" s="7" t="s">
        <v>699</v>
      </c>
      <c r="M258" s="7" t="s">
        <v>642</v>
      </c>
      <c r="N258" s="7" t="s">
        <v>16</v>
      </c>
      <c r="O258" s="7" t="s">
        <v>89</v>
      </c>
      <c r="P258" s="7"/>
      <c r="Q258" s="7" t="s">
        <v>1815</v>
      </c>
      <c r="R258" s="7" t="n">
        <f aca="false">VALUE(LEFT(Q258,4))</f>
        <v>2024</v>
      </c>
      <c r="S258" s="7" t="n">
        <f aca="false">VALUE(MID(Q258,6,2))</f>
        <v>7</v>
      </c>
      <c r="T258" s="7" t="n">
        <f aca="false">VALUE(RIGHT(Q258,2))</f>
        <v>16</v>
      </c>
      <c r="U258" s="7" t="s">
        <v>91</v>
      </c>
      <c r="V258" s="7" t="s">
        <v>92</v>
      </c>
    </row>
    <row r="259" customFormat="false" ht="23.25" hidden="false" customHeight="true" outlineLevel="0" collapsed="false">
      <c r="A259" s="7" t="n">
        <v>259</v>
      </c>
      <c r="B259" s="7" t="s">
        <v>1818</v>
      </c>
      <c r="C259" s="7" t="s">
        <v>1818</v>
      </c>
      <c r="D259" s="7" t="n">
        <f aca="false">VALUE(LEFT(B259,4))</f>
        <v>2024</v>
      </c>
      <c r="E259" s="7" t="n">
        <f aca="false">INT((D259-1)/100)+1</f>
        <v>21</v>
      </c>
      <c r="F259" s="7" t="s">
        <v>1485</v>
      </c>
      <c r="G259" s="7" t="s">
        <v>1819</v>
      </c>
      <c r="H259" s="7" t="s">
        <v>982</v>
      </c>
      <c r="I259" s="7"/>
      <c r="J259" s="7" t="s">
        <v>737</v>
      </c>
      <c r="K259" s="7"/>
      <c r="L259" s="7" t="s">
        <v>699</v>
      </c>
      <c r="M259" s="7" t="s">
        <v>642</v>
      </c>
      <c r="N259" s="7" t="s">
        <v>16</v>
      </c>
      <c r="O259" s="7" t="s">
        <v>89</v>
      </c>
      <c r="P259" s="7"/>
      <c r="Q259" s="7" t="s">
        <v>1818</v>
      </c>
      <c r="R259" s="7" t="n">
        <f aca="false">VALUE(LEFT(Q259,4))</f>
        <v>2024</v>
      </c>
      <c r="S259" s="7" t="n">
        <f aca="false">VALUE(MID(Q259,6,2))</f>
        <v>8</v>
      </c>
      <c r="T259" s="7" t="n">
        <f aca="false">VALUE(RIGHT(Q259,2))</f>
        <v>9</v>
      </c>
      <c r="U259" s="7" t="s">
        <v>91</v>
      </c>
      <c r="V259" s="7" t="s">
        <v>92</v>
      </c>
    </row>
    <row r="260" customFormat="false" ht="23.25" hidden="false" customHeight="true" outlineLevel="0" collapsed="false">
      <c r="A260" s="7" t="n">
        <v>260</v>
      </c>
      <c r="B260" s="7" t="s">
        <v>1818</v>
      </c>
      <c r="C260" s="7" t="s">
        <v>1818</v>
      </c>
      <c r="D260" s="7" t="n">
        <f aca="false">VALUE(LEFT(B260,4))</f>
        <v>2024</v>
      </c>
      <c r="E260" s="7" t="n">
        <f aca="false">INT((D260-1)/100)+1</f>
        <v>21</v>
      </c>
      <c r="F260" s="7" t="s">
        <v>1792</v>
      </c>
      <c r="G260" s="7" t="s">
        <v>1820</v>
      </c>
      <c r="H260" s="7" t="s">
        <v>1821</v>
      </c>
      <c r="I260" s="7" t="s">
        <v>1822</v>
      </c>
      <c r="J260" s="7" t="s">
        <v>1823</v>
      </c>
      <c r="K260" s="7" t="s">
        <v>1824</v>
      </c>
      <c r="L260" s="7" t="s">
        <v>1784</v>
      </c>
      <c r="M260" s="7" t="s">
        <v>1798</v>
      </c>
      <c r="N260" s="7" t="s">
        <v>18</v>
      </c>
      <c r="O260" s="7" t="s">
        <v>89</v>
      </c>
      <c r="P260" s="7" t="s">
        <v>1825</v>
      </c>
      <c r="Q260" s="7" t="s">
        <v>1818</v>
      </c>
      <c r="R260" s="7" t="n">
        <f aca="false">VALUE(LEFT(Q260,4))</f>
        <v>2024</v>
      </c>
      <c r="S260" s="7" t="n">
        <f aca="false">VALUE(MID(Q260,6,2))</f>
        <v>8</v>
      </c>
      <c r="T260" s="7" t="n">
        <f aca="false">VALUE(RIGHT(Q260,2))</f>
        <v>9</v>
      </c>
      <c r="U260" s="7" t="s">
        <v>91</v>
      </c>
      <c r="V260" s="7" t="s">
        <v>92</v>
      </c>
    </row>
    <row r="261" customFormat="false" ht="45.75" hidden="false" customHeight="true" outlineLevel="0" collapsed="false">
      <c r="A261" s="7" t="n">
        <v>261</v>
      </c>
      <c r="B261" s="7" t="s">
        <v>1826</v>
      </c>
      <c r="C261" s="7" t="s">
        <v>1827</v>
      </c>
      <c r="D261" s="7" t="n">
        <f aca="false">VALUE(LEFT(B261,4))</f>
        <v>2024</v>
      </c>
      <c r="E261" s="7" t="n">
        <f aca="false">INT((D261-1)/100)+1</f>
        <v>21</v>
      </c>
      <c r="F261" s="7" t="s">
        <v>1828</v>
      </c>
      <c r="G261" s="7" t="s">
        <v>1829</v>
      </c>
      <c r="H261" s="7" t="s">
        <v>588</v>
      </c>
      <c r="I261" s="7" t="s">
        <v>1830</v>
      </c>
      <c r="J261" s="7" t="s">
        <v>737</v>
      </c>
      <c r="K261" s="7" t="s">
        <v>1831</v>
      </c>
      <c r="L261" s="7" t="s">
        <v>583</v>
      </c>
      <c r="M261" s="7"/>
      <c r="N261" s="7" t="s">
        <v>18</v>
      </c>
      <c r="O261" s="7" t="s">
        <v>108</v>
      </c>
      <c r="P261" s="7"/>
      <c r="Q261" s="7" t="s">
        <v>1832</v>
      </c>
      <c r="R261" s="7" t="n">
        <f aca="false">VALUE(LEFT(Q261,4))</f>
        <v>2024</v>
      </c>
      <c r="S261" s="7" t="n">
        <f aca="false">VALUE(MID(Q261,6,2))</f>
        <v>11</v>
      </c>
      <c r="T261" s="7" t="n">
        <f aca="false">VALUE(RIGHT(Q261,2))</f>
        <v>9</v>
      </c>
      <c r="U261" s="7" t="s">
        <v>139</v>
      </c>
      <c r="V261" s="7" t="s">
        <v>1833</v>
      </c>
    </row>
    <row r="262" customFormat="false" ht="23.25" hidden="false" customHeight="true" outlineLevel="0" collapsed="false">
      <c r="A262" s="7" t="n">
        <v>262</v>
      </c>
      <c r="B262" s="7" t="s">
        <v>1834</v>
      </c>
      <c r="C262" s="7" t="s">
        <v>1835</v>
      </c>
      <c r="D262" s="7" t="n">
        <f aca="false">VALUE(LEFT(B262,4))</f>
        <v>2025</v>
      </c>
      <c r="E262" s="7" t="n">
        <f aca="false">INT((D262-1)/100)+1</f>
        <v>21</v>
      </c>
      <c r="F262" s="7" t="s">
        <v>1836</v>
      </c>
      <c r="G262" s="7" t="s">
        <v>1837</v>
      </c>
      <c r="H262" s="7" t="s">
        <v>982</v>
      </c>
      <c r="I262" s="7"/>
      <c r="J262" s="7" t="s">
        <v>737</v>
      </c>
      <c r="K262" s="7"/>
      <c r="L262" s="7" t="s">
        <v>699</v>
      </c>
      <c r="M262" s="7" t="s">
        <v>642</v>
      </c>
      <c r="N262" s="7" t="s">
        <v>16</v>
      </c>
      <c r="O262" s="7" t="s">
        <v>89</v>
      </c>
      <c r="P262" s="7"/>
      <c r="Q262" s="7" t="s">
        <v>1834</v>
      </c>
      <c r="R262" s="7" t="n">
        <f aca="false">VALUE(LEFT(Q262,4))</f>
        <v>2025</v>
      </c>
      <c r="S262" s="7" t="n">
        <f aca="false">VALUE(MID(Q262,6,2))</f>
        <v>1</v>
      </c>
      <c r="T262" s="7" t="n">
        <f aca="false">VALUE(RIGHT(Q262,2))</f>
        <v>1</v>
      </c>
      <c r="U262" s="7" t="s">
        <v>139</v>
      </c>
      <c r="V262" s="7" t="s">
        <v>140</v>
      </c>
    </row>
    <row r="263" customFormat="false" ht="23.25" hidden="false" customHeight="true" outlineLevel="0" collapsed="false">
      <c r="A263" s="7" t="n">
        <v>263</v>
      </c>
      <c r="B263" s="7" t="s">
        <v>1838</v>
      </c>
      <c r="C263" s="7" t="s">
        <v>1839</v>
      </c>
      <c r="D263" s="7" t="n">
        <f aca="false">VALUE(LEFT(B263,4))</f>
        <v>2025</v>
      </c>
      <c r="E263" s="7" t="n">
        <f aca="false">INT((D263-1)/100)+1</f>
        <v>21</v>
      </c>
      <c r="F263" s="7" t="s">
        <v>866</v>
      </c>
      <c r="G263" s="7" t="s">
        <v>1840</v>
      </c>
      <c r="H263" s="7" t="s">
        <v>1841</v>
      </c>
      <c r="I263" s="7" t="s">
        <v>1842</v>
      </c>
      <c r="J263" s="7" t="s">
        <v>1843</v>
      </c>
      <c r="K263" s="7" t="s">
        <v>1844</v>
      </c>
      <c r="L263" s="7" t="s">
        <v>1277</v>
      </c>
      <c r="M263" s="7" t="s">
        <v>1278</v>
      </c>
      <c r="N263" s="7" t="s">
        <v>16</v>
      </c>
      <c r="O263" s="7" t="s">
        <v>89</v>
      </c>
      <c r="P263" s="7" t="s">
        <v>1845</v>
      </c>
      <c r="Q263" s="7" t="s">
        <v>1838</v>
      </c>
      <c r="R263" s="7" t="n">
        <f aca="false">VALUE(LEFT(Q263,4))</f>
        <v>2025</v>
      </c>
      <c r="S263" s="7" t="n">
        <f aca="false">VALUE(MID(Q263,6,2))</f>
        <v>6</v>
      </c>
      <c r="T263" s="7" t="n">
        <f aca="false">VALUE(RIGHT(Q263,2))</f>
        <v>6</v>
      </c>
      <c r="U263" s="7" t="s">
        <v>139</v>
      </c>
      <c r="V263" s="7" t="s">
        <v>140</v>
      </c>
    </row>
    <row r="264" customFormat="false" ht="23.25" hidden="false" customHeight="true" outlineLevel="0" collapsed="false">
      <c r="A264" s="7" t="n">
        <v>264</v>
      </c>
      <c r="B264" s="7" t="s">
        <v>1846</v>
      </c>
      <c r="C264" s="7" t="s">
        <v>1847</v>
      </c>
      <c r="D264" s="7" t="n">
        <f aca="false">VALUE(LEFT(B264,4))</f>
        <v>2026</v>
      </c>
      <c r="E264" s="7" t="n">
        <f aca="false">INT((D264-1)/100)+1</f>
        <v>21</v>
      </c>
      <c r="F264" s="7" t="s">
        <v>866</v>
      </c>
      <c r="G264" s="7" t="s">
        <v>1848</v>
      </c>
      <c r="H264" s="7" t="s">
        <v>1849</v>
      </c>
      <c r="I264" s="7" t="s">
        <v>1850</v>
      </c>
      <c r="J264" s="7" t="s">
        <v>1851</v>
      </c>
      <c r="K264" s="7" t="s">
        <v>1852</v>
      </c>
      <c r="L264" s="7" t="s">
        <v>699</v>
      </c>
      <c r="M264" s="7" t="s">
        <v>1853</v>
      </c>
      <c r="N264" s="7" t="s">
        <v>16</v>
      </c>
      <c r="O264" s="7" t="s">
        <v>89</v>
      </c>
      <c r="P264" s="7" t="s">
        <v>1854</v>
      </c>
      <c r="Q264" s="7" t="s">
        <v>1846</v>
      </c>
      <c r="R264" s="7" t="n">
        <f aca="false">VALUE(LEFT(Q264,4))</f>
        <v>2026</v>
      </c>
      <c r="S264" s="7" t="n">
        <f aca="false">VALUE(MID(Q264,6,2))</f>
        <v>7</v>
      </c>
      <c r="T264" s="7" t="n">
        <f aca="false">VALUE(RIGHT(Q264,2))</f>
        <v>28</v>
      </c>
      <c r="U264" s="7" t="s">
        <v>139</v>
      </c>
      <c r="V264" s="7" t="s">
        <v>140</v>
      </c>
    </row>
    <row r="265" customFormat="false" ht="45.75" hidden="false" customHeight="true" outlineLevel="0" collapsed="false">
      <c r="A265" s="7" t="n">
        <v>265</v>
      </c>
      <c r="B265" s="7" t="s">
        <v>1512</v>
      </c>
      <c r="C265" s="7" t="s">
        <v>1512</v>
      </c>
      <c r="D265" s="7" t="n">
        <f aca="false">VALUE(LEFT(B265,4))</f>
        <v>2011</v>
      </c>
      <c r="E265" s="7" t="n">
        <f aca="false">INT((D265-1)/100)+1</f>
        <v>21</v>
      </c>
      <c r="F265" s="7" t="s">
        <v>1855</v>
      </c>
      <c r="G265" s="7" t="s">
        <v>1856</v>
      </c>
      <c r="H265" s="7" t="s">
        <v>1857</v>
      </c>
      <c r="I265" s="7" t="s">
        <v>1858</v>
      </c>
      <c r="J265" s="7" t="s">
        <v>1859</v>
      </c>
      <c r="K265" s="7" t="s">
        <v>1860</v>
      </c>
      <c r="L265" s="7" t="s">
        <v>1861</v>
      </c>
      <c r="M265" s="7"/>
      <c r="N265" s="7" t="s">
        <v>18</v>
      </c>
      <c r="O265" s="7" t="s">
        <v>89</v>
      </c>
      <c r="P265" s="7" t="s">
        <v>1862</v>
      </c>
      <c r="Q265" s="7" t="s">
        <v>1512</v>
      </c>
      <c r="R265" s="7" t="n">
        <f aca="false">VALUE(LEFT(Q265,4))</f>
        <v>2011</v>
      </c>
      <c r="S265" s="7" t="n">
        <f aca="false">VALUE(MID(Q265,6,2))</f>
        <v>8</v>
      </c>
      <c r="T265" s="7" t="n">
        <f aca="false">VALUE(RIGHT(Q265,2))</f>
        <v>28</v>
      </c>
      <c r="U265" s="7" t="s">
        <v>91</v>
      </c>
      <c r="V265" s="7" t="s">
        <v>92</v>
      </c>
    </row>
    <row r="266" customFormat="false" ht="45.75" hidden="false" customHeight="true" outlineLevel="0" collapsed="false">
      <c r="A266" s="7" t="n">
        <v>266</v>
      </c>
      <c r="B266" s="7" t="s">
        <v>1863</v>
      </c>
      <c r="C266" s="7" t="s">
        <v>1863</v>
      </c>
      <c r="D266" s="7" t="n">
        <f aca="false">VALUE(LEFT(B266,4))</f>
        <v>2011</v>
      </c>
      <c r="E266" s="7" t="n">
        <f aca="false">INT((D266-1)/100)+1</f>
        <v>21</v>
      </c>
      <c r="F266" s="7" t="s">
        <v>1855</v>
      </c>
      <c r="G266" s="7" t="s">
        <v>1864</v>
      </c>
      <c r="H266" s="7" t="s">
        <v>1865</v>
      </c>
      <c r="I266" s="7" t="s">
        <v>1866</v>
      </c>
      <c r="J266" s="7" t="s">
        <v>1859</v>
      </c>
      <c r="K266" s="7" t="s">
        <v>1867</v>
      </c>
      <c r="L266" s="7" t="s">
        <v>1861</v>
      </c>
      <c r="M266" s="7"/>
      <c r="N266" s="7" t="s">
        <v>18</v>
      </c>
      <c r="O266" s="7" t="s">
        <v>89</v>
      </c>
      <c r="P266" s="7" t="s">
        <v>1868</v>
      </c>
      <c r="Q266" s="7" t="s">
        <v>1863</v>
      </c>
      <c r="R266" s="7" t="n">
        <f aca="false">VALUE(LEFT(Q266,4))</f>
        <v>2011</v>
      </c>
      <c r="S266" s="7" t="n">
        <f aca="false">VALUE(MID(Q266,6,2))</f>
        <v>8</v>
      </c>
      <c r="T266" s="7" t="n">
        <f aca="false">VALUE(RIGHT(Q266,2))</f>
        <v>29</v>
      </c>
      <c r="U266" s="7" t="s">
        <v>91</v>
      </c>
      <c r="V266" s="7" t="s">
        <v>92</v>
      </c>
    </row>
    <row r="267" customFormat="false" ht="45.75" hidden="false" customHeight="true" outlineLevel="0" collapsed="false">
      <c r="A267" s="7" t="n">
        <v>267</v>
      </c>
      <c r="B267" s="7" t="s">
        <v>1863</v>
      </c>
      <c r="C267" s="7" t="s">
        <v>1863</v>
      </c>
      <c r="D267" s="7" t="n">
        <f aca="false">VALUE(LEFT(B267,4))</f>
        <v>2011</v>
      </c>
      <c r="E267" s="7" t="n">
        <f aca="false">INT((D267-1)/100)+1</f>
        <v>21</v>
      </c>
      <c r="F267" s="7" t="s">
        <v>1869</v>
      </c>
      <c r="G267" s="7" t="s">
        <v>1870</v>
      </c>
      <c r="H267" s="7" t="s">
        <v>1871</v>
      </c>
      <c r="I267" s="7" t="s">
        <v>1872</v>
      </c>
      <c r="J267" s="7" t="s">
        <v>1859</v>
      </c>
      <c r="K267" s="7" t="s">
        <v>1873</v>
      </c>
      <c r="L267" s="7" t="s">
        <v>1861</v>
      </c>
      <c r="M267" s="7"/>
      <c r="N267" s="7" t="s">
        <v>18</v>
      </c>
      <c r="O267" s="7" t="s">
        <v>89</v>
      </c>
      <c r="P267" s="7" t="s">
        <v>1874</v>
      </c>
      <c r="Q267" s="7" t="s">
        <v>1863</v>
      </c>
      <c r="R267" s="7" t="n">
        <f aca="false">VALUE(LEFT(Q267,4))</f>
        <v>2011</v>
      </c>
      <c r="S267" s="7" t="n">
        <f aca="false">VALUE(MID(Q267,6,2))</f>
        <v>8</v>
      </c>
      <c r="T267" s="7" t="n">
        <f aca="false">VALUE(RIGHT(Q267,2))</f>
        <v>29</v>
      </c>
      <c r="U267" s="7" t="s">
        <v>91</v>
      </c>
      <c r="V267" s="7" t="s">
        <v>92</v>
      </c>
    </row>
    <row r="268" customFormat="false" ht="45.75" hidden="false" customHeight="true" outlineLevel="0" collapsed="false">
      <c r="A268" s="7" t="n">
        <v>268</v>
      </c>
      <c r="B268" s="7" t="s">
        <v>1512</v>
      </c>
      <c r="C268" s="7" t="s">
        <v>1512</v>
      </c>
      <c r="D268" s="7" t="n">
        <f aca="false">VALUE(LEFT(B268,4))</f>
        <v>2011</v>
      </c>
      <c r="E268" s="7" t="n">
        <f aca="false">INT((D268-1)/100)+1</f>
        <v>21</v>
      </c>
      <c r="F268" s="7" t="s">
        <v>1875</v>
      </c>
      <c r="G268" s="7" t="s">
        <v>1876</v>
      </c>
      <c r="H268" s="7" t="s">
        <v>1877</v>
      </c>
      <c r="I268" s="7" t="s">
        <v>1878</v>
      </c>
      <c r="J268" s="7" t="s">
        <v>1859</v>
      </c>
      <c r="K268" s="7" t="s">
        <v>1879</v>
      </c>
      <c r="L268" s="7" t="s">
        <v>1861</v>
      </c>
      <c r="M268" s="7"/>
      <c r="N268" s="7" t="s">
        <v>18</v>
      </c>
      <c r="O268" s="7" t="s">
        <v>89</v>
      </c>
      <c r="P268" s="7" t="s">
        <v>1880</v>
      </c>
      <c r="Q268" s="7" t="s">
        <v>1512</v>
      </c>
      <c r="R268" s="7" t="n">
        <f aca="false">VALUE(LEFT(Q268,4))</f>
        <v>2011</v>
      </c>
      <c r="S268" s="7" t="n">
        <f aca="false">VALUE(MID(Q268,6,2))</f>
        <v>8</v>
      </c>
      <c r="T268" s="7" t="n">
        <f aca="false">VALUE(RIGHT(Q268,2))</f>
        <v>28</v>
      </c>
      <c r="U268" s="7" t="s">
        <v>91</v>
      </c>
      <c r="V268" s="7" t="s">
        <v>92</v>
      </c>
    </row>
    <row r="269" customFormat="false" ht="45.75" hidden="false" customHeight="true" outlineLevel="0" collapsed="false">
      <c r="A269" s="7" t="n">
        <v>269</v>
      </c>
      <c r="B269" s="7" t="s">
        <v>1881</v>
      </c>
      <c r="C269" s="7" t="s">
        <v>341</v>
      </c>
      <c r="D269" s="7" t="n">
        <f aca="false">VALUE(LEFT(B269,4))</f>
        <v>2016</v>
      </c>
      <c r="E269" s="7" t="n">
        <f aca="false">INT((D269-1)/100)+1</f>
        <v>21</v>
      </c>
      <c r="F269" s="7" t="s">
        <v>1882</v>
      </c>
      <c r="G269" s="7" t="s">
        <v>1883</v>
      </c>
      <c r="H269" s="7" t="s">
        <v>1884</v>
      </c>
      <c r="I269" s="7" t="s">
        <v>1885</v>
      </c>
      <c r="J269" s="7" t="s">
        <v>1886</v>
      </c>
      <c r="K269" s="7" t="s">
        <v>1887</v>
      </c>
      <c r="L269" s="7" t="s">
        <v>1888</v>
      </c>
      <c r="M269" s="7"/>
      <c r="N269" s="7" t="s">
        <v>18</v>
      </c>
      <c r="O269" s="7" t="s">
        <v>89</v>
      </c>
      <c r="P269" s="7" t="s">
        <v>1889</v>
      </c>
      <c r="Q269" s="7" t="s">
        <v>1881</v>
      </c>
      <c r="R269" s="7" t="n">
        <f aca="false">VALUE(LEFT(Q269,4))</f>
        <v>2016</v>
      </c>
      <c r="S269" s="7" t="n">
        <f aca="false">VALUE(MID(Q269,6,2))</f>
        <v>4</v>
      </c>
      <c r="T269" s="7" t="n">
        <f aca="false">VALUE(RIGHT(Q269,2))</f>
        <v>21</v>
      </c>
      <c r="U269" s="7" t="s">
        <v>352</v>
      </c>
      <c r="V269" s="7" t="s">
        <v>1890</v>
      </c>
    </row>
    <row r="270" customFormat="false" ht="68.25" hidden="false" customHeight="true" outlineLevel="0" collapsed="false">
      <c r="A270" s="7" t="n">
        <v>270</v>
      </c>
      <c r="B270" s="7" t="s">
        <v>1891</v>
      </c>
      <c r="C270" s="7" t="s">
        <v>1891</v>
      </c>
      <c r="D270" s="7" t="n">
        <f aca="false">VALUE(LEFT(B270,4))</f>
        <v>1926</v>
      </c>
      <c r="E270" s="7" t="n">
        <f aca="false">INT((D270-1)/100)+1</f>
        <v>20</v>
      </c>
      <c r="F270" s="7" t="s">
        <v>1892</v>
      </c>
      <c r="G270" s="7" t="s">
        <v>1893</v>
      </c>
      <c r="H270" s="7" t="s">
        <v>1894</v>
      </c>
      <c r="I270" s="7" t="s">
        <v>1895</v>
      </c>
      <c r="J270" s="7" t="s">
        <v>1896</v>
      </c>
      <c r="K270" s="7" t="s">
        <v>1897</v>
      </c>
      <c r="L270" s="7" t="s">
        <v>1898</v>
      </c>
      <c r="M270" s="7"/>
      <c r="N270" s="7" t="s">
        <v>18</v>
      </c>
      <c r="O270" s="7" t="s">
        <v>89</v>
      </c>
      <c r="P270" s="7" t="s">
        <v>1899</v>
      </c>
      <c r="Q270" s="7" t="s">
        <v>1891</v>
      </c>
      <c r="R270" s="7" t="n">
        <f aca="false">VALUE(LEFT(Q270,4))</f>
        <v>1926</v>
      </c>
      <c r="S270" s="7" t="n">
        <f aca="false">VALUE(MID(Q270,6,2))</f>
        <v>7</v>
      </c>
      <c r="T270" s="7" t="n">
        <f aca="false">VALUE(RIGHT(Q270,2))</f>
        <v>22</v>
      </c>
      <c r="U270" s="7" t="s">
        <v>91</v>
      </c>
      <c r="V270" s="7" t="s">
        <v>1900</v>
      </c>
    </row>
    <row r="271" customFormat="false" ht="68.25" hidden="false" customHeight="true" outlineLevel="0" collapsed="false">
      <c r="A271" s="7" t="n">
        <v>271</v>
      </c>
      <c r="B271" s="7" t="s">
        <v>1901</v>
      </c>
      <c r="C271" s="7" t="s">
        <v>1902</v>
      </c>
      <c r="D271" s="7" t="n">
        <f aca="false">VALUE(LEFT(B271,4))</f>
        <v>1936</v>
      </c>
      <c r="E271" s="7" t="n">
        <f aca="false">INT((D271-1)/100)+1</f>
        <v>20</v>
      </c>
      <c r="F271" s="7" t="s">
        <v>1903</v>
      </c>
      <c r="G271" s="7" t="s">
        <v>1904</v>
      </c>
      <c r="H271" s="7" t="s">
        <v>1905</v>
      </c>
      <c r="I271" s="7" t="s">
        <v>1906</v>
      </c>
      <c r="J271" s="7" t="s">
        <v>1907</v>
      </c>
      <c r="K271" s="7" t="s">
        <v>1908</v>
      </c>
      <c r="L271" s="7" t="s">
        <v>1909</v>
      </c>
      <c r="M271" s="7"/>
      <c r="N271" s="7" t="s">
        <v>20</v>
      </c>
      <c r="O271" s="7" t="s">
        <v>89</v>
      </c>
      <c r="P271" s="7" t="s">
        <v>1910</v>
      </c>
      <c r="Q271" s="7" t="s">
        <v>1901</v>
      </c>
      <c r="R271" s="7" t="n">
        <f aca="false">VALUE(LEFT(Q271,4))</f>
        <v>1936</v>
      </c>
      <c r="S271" s="7" t="n">
        <f aca="false">VALUE(MID(Q271,6,2))</f>
        <v>2</v>
      </c>
      <c r="T271" s="7" t="n">
        <f aca="false">VALUE(RIGHT(Q271,2))</f>
        <v>1</v>
      </c>
      <c r="U271" s="7" t="s">
        <v>331</v>
      </c>
      <c r="V271" s="7" t="s">
        <v>1911</v>
      </c>
    </row>
    <row r="272" customFormat="false" ht="68.25" hidden="false" customHeight="true" outlineLevel="0" collapsed="false">
      <c r="A272" s="7" t="n">
        <v>272</v>
      </c>
      <c r="B272" s="7" t="s">
        <v>1912</v>
      </c>
      <c r="C272" s="7" t="s">
        <v>1913</v>
      </c>
      <c r="D272" s="7" t="n">
        <f aca="false">VALUE(LEFT(B272,4))</f>
        <v>1972</v>
      </c>
      <c r="E272" s="7" t="n">
        <f aca="false">INT((D272-1)/100)+1</f>
        <v>20</v>
      </c>
      <c r="F272" s="7" t="s">
        <v>722</v>
      </c>
      <c r="G272" s="7" t="s">
        <v>1914</v>
      </c>
      <c r="H272" s="7" t="s">
        <v>1915</v>
      </c>
      <c r="I272" s="7" t="s">
        <v>1916</v>
      </c>
      <c r="J272" s="7" t="s">
        <v>1917</v>
      </c>
      <c r="K272" s="7" t="s">
        <v>1918</v>
      </c>
      <c r="L272" s="7" t="s">
        <v>1919</v>
      </c>
      <c r="M272" s="7"/>
      <c r="N272" s="7" t="s">
        <v>18</v>
      </c>
      <c r="O272" s="7" t="s">
        <v>89</v>
      </c>
      <c r="P272" s="7" t="s">
        <v>1920</v>
      </c>
      <c r="Q272" s="7" t="s">
        <v>1912</v>
      </c>
      <c r="R272" s="7" t="n">
        <f aca="false">VALUE(LEFT(Q272,4))</f>
        <v>1972</v>
      </c>
      <c r="S272" s="7" t="n">
        <f aca="false">VALUE(MID(Q272,6,2))</f>
        <v>7</v>
      </c>
      <c r="T272" s="7" t="n">
        <f aca="false">VALUE(RIGHT(Q272,2))</f>
        <v>1</v>
      </c>
      <c r="U272" s="7" t="s">
        <v>331</v>
      </c>
      <c r="V272" s="7" t="s">
        <v>1921</v>
      </c>
    </row>
    <row r="273" customFormat="false" ht="57" hidden="false" customHeight="true" outlineLevel="0" collapsed="false">
      <c r="A273" s="7" t="n">
        <v>273</v>
      </c>
      <c r="B273" s="7" t="s">
        <v>1922</v>
      </c>
      <c r="C273" s="7" t="s">
        <v>1923</v>
      </c>
      <c r="D273" s="7" t="n">
        <f aca="false">VALUE(LEFT(B273,4))</f>
        <v>2001</v>
      </c>
      <c r="E273" s="7" t="n">
        <f aca="false">INT((D273-1)/100)+1</f>
        <v>21</v>
      </c>
      <c r="F273" s="7" t="s">
        <v>722</v>
      </c>
      <c r="G273" s="7" t="s">
        <v>1924</v>
      </c>
      <c r="H273" s="7" t="s">
        <v>1925</v>
      </c>
      <c r="I273" s="7" t="s">
        <v>1926</v>
      </c>
      <c r="J273" s="7" t="s">
        <v>737</v>
      </c>
      <c r="K273" s="7" t="s">
        <v>1927</v>
      </c>
      <c r="L273" s="7" t="s">
        <v>1928</v>
      </c>
      <c r="M273" s="7"/>
      <c r="N273" s="7" t="s">
        <v>18</v>
      </c>
      <c r="O273" s="7" t="s">
        <v>89</v>
      </c>
      <c r="P273" s="7" t="s">
        <v>1929</v>
      </c>
      <c r="Q273" s="7" t="s">
        <v>1930</v>
      </c>
      <c r="R273" s="7" t="n">
        <f aca="false">VALUE(LEFT(Q273,4))</f>
        <v>2001</v>
      </c>
      <c r="S273" s="7" t="n">
        <f aca="false">VALUE(MID(Q273,6,2))</f>
        <v>8</v>
      </c>
      <c r="T273" s="7" t="n">
        <f aca="false">VALUE(RIGHT(Q273,2))</f>
        <v>8</v>
      </c>
      <c r="U273" s="7" t="s">
        <v>139</v>
      </c>
      <c r="V273" s="7" t="s">
        <v>1931</v>
      </c>
    </row>
    <row r="274" customFormat="false" ht="45.75" hidden="false" customHeight="true" outlineLevel="0" collapsed="false">
      <c r="A274" s="7" t="n">
        <v>274</v>
      </c>
      <c r="B274" s="7" t="s">
        <v>1932</v>
      </c>
      <c r="C274" s="7" t="s">
        <v>1933</v>
      </c>
      <c r="D274" s="7" t="n">
        <f aca="false">VALUE(LEFT(B274,4))</f>
        <v>2002</v>
      </c>
      <c r="E274" s="7" t="n">
        <f aca="false">INT((D274-1)/100)+1</f>
        <v>21</v>
      </c>
      <c r="F274" s="7" t="s">
        <v>1934</v>
      </c>
      <c r="G274" s="7" t="s">
        <v>1935</v>
      </c>
      <c r="H274" s="7" t="s">
        <v>735</v>
      </c>
      <c r="I274" s="7" t="s">
        <v>1936</v>
      </c>
      <c r="J274" s="7" t="s">
        <v>737</v>
      </c>
      <c r="K274" s="7" t="s">
        <v>1937</v>
      </c>
      <c r="L274" s="7" t="s">
        <v>1938</v>
      </c>
      <c r="M274" s="7"/>
      <c r="N274" s="7" t="s">
        <v>20</v>
      </c>
      <c r="O274" s="7" t="s">
        <v>108</v>
      </c>
      <c r="P274" s="7" t="s">
        <v>1939</v>
      </c>
      <c r="Q274" s="7" t="s">
        <v>1940</v>
      </c>
      <c r="R274" s="7" t="n">
        <f aca="false">VALUE(LEFT(Q274,4))</f>
        <v>2002</v>
      </c>
      <c r="S274" s="7" t="n">
        <f aca="false">VALUE(MID(Q274,6,2))</f>
        <v>4</v>
      </c>
      <c r="T274" s="7" t="n">
        <f aca="false">VALUE(RIGHT(Q274,2))</f>
        <v>15</v>
      </c>
      <c r="U274" s="7" t="s">
        <v>331</v>
      </c>
      <c r="V274" s="7" t="s">
        <v>1941</v>
      </c>
    </row>
    <row r="275" customFormat="false" ht="45.75" hidden="false" customHeight="true" outlineLevel="0" collapsed="false">
      <c r="A275" s="7" t="n">
        <v>275</v>
      </c>
      <c r="B275" s="7" t="s">
        <v>1942</v>
      </c>
      <c r="C275" s="7" t="s">
        <v>1943</v>
      </c>
      <c r="D275" s="7" t="n">
        <f aca="false">VALUE(LEFT(B275,4))</f>
        <v>2010</v>
      </c>
      <c r="E275" s="7" t="n">
        <f aca="false">INT((D275-1)/100)+1</f>
        <v>21</v>
      </c>
      <c r="F275" s="7" t="s">
        <v>722</v>
      </c>
      <c r="G275" s="7" t="s">
        <v>1944</v>
      </c>
      <c r="H275" s="7" t="s">
        <v>1945</v>
      </c>
      <c r="I275" s="7" t="s">
        <v>1946</v>
      </c>
      <c r="J275" s="7" t="s">
        <v>737</v>
      </c>
      <c r="K275" s="7" t="s">
        <v>1947</v>
      </c>
      <c r="L275" s="7" t="s">
        <v>1948</v>
      </c>
      <c r="M275" s="7"/>
      <c r="N275" s="7" t="s">
        <v>18</v>
      </c>
      <c r="O275" s="7" t="s">
        <v>89</v>
      </c>
      <c r="P275" s="7" t="s">
        <v>1949</v>
      </c>
      <c r="Q275" s="7" t="s">
        <v>1950</v>
      </c>
      <c r="R275" s="7" t="n">
        <f aca="false">VALUE(LEFT(Q275,4))</f>
        <v>2010</v>
      </c>
      <c r="S275" s="7" t="n">
        <f aca="false">VALUE(MID(Q275,6,2))</f>
        <v>7</v>
      </c>
      <c r="T275" s="7" t="n">
        <f aca="false">VALUE(RIGHT(Q275,2))</f>
        <v>7</v>
      </c>
      <c r="U275" s="7" t="s">
        <v>139</v>
      </c>
      <c r="V275" s="7" t="s">
        <v>1951</v>
      </c>
    </row>
    <row r="276" customFormat="false" ht="57" hidden="false" customHeight="true" outlineLevel="0" collapsed="false">
      <c r="A276" s="7" t="n">
        <v>276</v>
      </c>
      <c r="B276" s="7" t="s">
        <v>1952</v>
      </c>
      <c r="C276" s="7" t="s">
        <v>1953</v>
      </c>
      <c r="D276" s="7" t="n">
        <f aca="false">VALUE(LEFT(B276,4))</f>
        <v>2012</v>
      </c>
      <c r="E276" s="7" t="n">
        <f aca="false">INT((D276-1)/100)+1</f>
        <v>21</v>
      </c>
      <c r="F276" s="7" t="s">
        <v>722</v>
      </c>
      <c r="G276" s="7" t="s">
        <v>1954</v>
      </c>
      <c r="H276" s="7" t="s">
        <v>982</v>
      </c>
      <c r="I276" s="7" t="s">
        <v>1955</v>
      </c>
      <c r="J276" s="7" t="s">
        <v>737</v>
      </c>
      <c r="K276" s="7" t="s">
        <v>1956</v>
      </c>
      <c r="L276" s="7" t="s">
        <v>1957</v>
      </c>
      <c r="M276" s="7"/>
      <c r="N276" s="7" t="s">
        <v>18</v>
      </c>
      <c r="O276" s="7" t="s">
        <v>89</v>
      </c>
      <c r="P276" s="7" t="s">
        <v>1958</v>
      </c>
      <c r="Q276" s="7" t="s">
        <v>1959</v>
      </c>
      <c r="R276" s="7" t="n">
        <f aca="false">VALUE(LEFT(Q276,4))</f>
        <v>2012</v>
      </c>
      <c r="S276" s="7" t="n">
        <f aca="false">VALUE(MID(Q276,6,2))</f>
        <v>7</v>
      </c>
      <c r="T276" s="7" t="n">
        <f aca="false">VALUE(RIGHT(Q276,2))</f>
        <v>17</v>
      </c>
      <c r="U276" s="7" t="s">
        <v>139</v>
      </c>
      <c r="V276" s="7" t="s">
        <v>1960</v>
      </c>
    </row>
    <row r="277" customFormat="false" ht="79.5" hidden="false" customHeight="true" outlineLevel="0" collapsed="false">
      <c r="A277" s="7" t="n">
        <v>277</v>
      </c>
      <c r="B277" s="7" t="s">
        <v>1961</v>
      </c>
      <c r="C277" s="7" t="s">
        <v>1962</v>
      </c>
      <c r="D277" s="7" t="n">
        <f aca="false">VALUE(LEFT(B277,4))</f>
        <v>2017</v>
      </c>
      <c r="E277" s="7" t="n">
        <f aca="false">INT((D277-1)/100)+1</f>
        <v>21</v>
      </c>
      <c r="F277" s="7" t="s">
        <v>722</v>
      </c>
      <c r="G277" s="7" t="s">
        <v>1963</v>
      </c>
      <c r="H277" s="7" t="s">
        <v>982</v>
      </c>
      <c r="I277" s="7" t="s">
        <v>1964</v>
      </c>
      <c r="J277" s="7" t="s">
        <v>737</v>
      </c>
      <c r="K277" s="7" t="s">
        <v>1965</v>
      </c>
      <c r="L277" s="7" t="s">
        <v>1966</v>
      </c>
      <c r="M277" s="7"/>
      <c r="N277" s="7" t="s">
        <v>18</v>
      </c>
      <c r="O277" s="7" t="s">
        <v>89</v>
      </c>
      <c r="P277" s="7" t="s">
        <v>1967</v>
      </c>
      <c r="Q277" s="7" t="s">
        <v>1968</v>
      </c>
      <c r="R277" s="7" t="n">
        <f aca="false">VALUE(LEFT(Q277,4))</f>
        <v>2017</v>
      </c>
      <c r="S277" s="7" t="n">
        <f aca="false">VALUE(MID(Q277,6,2))</f>
        <v>9</v>
      </c>
      <c r="T277" s="7" t="n">
        <f aca="false">VALUE(RIGHT(Q277,2))</f>
        <v>25</v>
      </c>
      <c r="U277" s="7" t="s">
        <v>139</v>
      </c>
      <c r="V277" s="7" t="s">
        <v>1969</v>
      </c>
    </row>
    <row r="278" customFormat="false" ht="34.5" hidden="false" customHeight="true" outlineLevel="0" collapsed="false">
      <c r="A278" s="7" t="n">
        <v>278</v>
      </c>
      <c r="B278" s="7" t="s">
        <v>1970</v>
      </c>
      <c r="C278" s="7" t="s">
        <v>1971</v>
      </c>
      <c r="D278" s="7" t="n">
        <f aca="false">VALUE(LEFT(B278,4))</f>
        <v>2018</v>
      </c>
      <c r="E278" s="7" t="n">
        <f aca="false">INT((D278-1)/100)+1</f>
        <v>21</v>
      </c>
      <c r="F278" s="7" t="s">
        <v>722</v>
      </c>
      <c r="G278" s="7" t="s">
        <v>1972</v>
      </c>
      <c r="H278" s="7" t="s">
        <v>982</v>
      </c>
      <c r="I278" s="7" t="s">
        <v>1973</v>
      </c>
      <c r="J278" s="7" t="s">
        <v>737</v>
      </c>
      <c r="K278" s="7" t="s">
        <v>1974</v>
      </c>
      <c r="L278" s="7" t="s">
        <v>1975</v>
      </c>
      <c r="M278" s="7"/>
      <c r="N278" s="7" t="s">
        <v>18</v>
      </c>
      <c r="O278" s="7" t="s">
        <v>89</v>
      </c>
      <c r="P278" s="7" t="s">
        <v>1976</v>
      </c>
      <c r="Q278" s="7" t="s">
        <v>1977</v>
      </c>
      <c r="R278" s="7" t="n">
        <f aca="false">VALUE(LEFT(Q278,4))</f>
        <v>2018</v>
      </c>
      <c r="S278" s="7" t="n">
        <f aca="false">VALUE(MID(Q278,6,2))</f>
        <v>7</v>
      </c>
      <c r="T278" s="7" t="n">
        <f aca="false">VALUE(RIGHT(Q278,2))</f>
        <v>2</v>
      </c>
      <c r="U278" s="7" t="s">
        <v>139</v>
      </c>
      <c r="V278" s="7" t="s">
        <v>1978</v>
      </c>
    </row>
    <row r="279" customFormat="false" ht="34.5" hidden="false" customHeight="true" outlineLevel="0" collapsed="false">
      <c r="A279" s="7" t="n">
        <v>279</v>
      </c>
      <c r="B279" s="7" t="s">
        <v>1979</v>
      </c>
      <c r="C279" s="7" t="s">
        <v>1980</v>
      </c>
      <c r="D279" s="7" t="n">
        <f aca="false">VALUE(LEFT(B279,4))</f>
        <v>2020</v>
      </c>
      <c r="E279" s="7" t="n">
        <f aca="false">INT((D279-1)/100)+1</f>
        <v>21</v>
      </c>
      <c r="F279" s="7" t="s">
        <v>722</v>
      </c>
      <c r="G279" s="7" t="s">
        <v>1981</v>
      </c>
      <c r="H279" s="7" t="s">
        <v>1982</v>
      </c>
      <c r="I279" s="7" t="s">
        <v>1983</v>
      </c>
      <c r="J279" s="7" t="s">
        <v>737</v>
      </c>
      <c r="K279" s="7" t="s">
        <v>1984</v>
      </c>
      <c r="L279" s="7" t="s">
        <v>1975</v>
      </c>
      <c r="M279" s="7"/>
      <c r="N279" s="7" t="s">
        <v>18</v>
      </c>
      <c r="O279" s="7" t="s">
        <v>89</v>
      </c>
      <c r="P279" s="7" t="s">
        <v>1985</v>
      </c>
      <c r="Q279" s="7" t="s">
        <v>1980</v>
      </c>
      <c r="R279" s="7" t="n">
        <f aca="false">VALUE(LEFT(Q279,4))</f>
        <v>2020</v>
      </c>
      <c r="S279" s="7" t="n">
        <f aca="false">VALUE(MID(Q279,6,2))</f>
        <v>6</v>
      </c>
      <c r="T279" s="7" t="n">
        <f aca="false">VALUE(RIGHT(Q279,2))</f>
        <v>22</v>
      </c>
      <c r="U279" s="7" t="s">
        <v>139</v>
      </c>
      <c r="V279" s="7" t="s">
        <v>1986</v>
      </c>
    </row>
    <row r="280" customFormat="false" ht="57" hidden="false" customHeight="true" outlineLevel="0" collapsed="false">
      <c r="A280" s="7" t="n">
        <v>280</v>
      </c>
      <c r="B280" s="7" t="s">
        <v>1987</v>
      </c>
      <c r="C280" s="7" t="s">
        <v>1988</v>
      </c>
      <c r="D280" s="7" t="n">
        <f aca="false">VALUE(LEFT(B280,4))</f>
        <v>2025</v>
      </c>
      <c r="E280" s="7" t="n">
        <f aca="false">INT((D280-1)/100)+1</f>
        <v>21</v>
      </c>
      <c r="F280" s="7" t="s">
        <v>722</v>
      </c>
      <c r="G280" s="7" t="s">
        <v>1989</v>
      </c>
      <c r="H280" s="7" t="s">
        <v>982</v>
      </c>
      <c r="I280" s="7" t="s">
        <v>1990</v>
      </c>
      <c r="J280" s="7" t="s">
        <v>737</v>
      </c>
      <c r="K280" s="7" t="s">
        <v>1991</v>
      </c>
      <c r="L280" s="7" t="s">
        <v>1992</v>
      </c>
      <c r="M280" s="7"/>
      <c r="N280" s="7" t="s">
        <v>16</v>
      </c>
      <c r="O280" s="7" t="s">
        <v>89</v>
      </c>
      <c r="P280" s="7" t="s">
        <v>1993</v>
      </c>
      <c r="Q280" s="7" t="s">
        <v>1994</v>
      </c>
      <c r="R280" s="7" t="n">
        <f aca="false">VALUE(LEFT(Q280,4))</f>
        <v>2025</v>
      </c>
      <c r="S280" s="7" t="n">
        <f aca="false">VALUE(MID(Q280,6,2))</f>
        <v>6</v>
      </c>
      <c r="T280" s="7" t="n">
        <f aca="false">VALUE(RIGHT(Q280,2))</f>
        <v>24</v>
      </c>
      <c r="U280" s="7" t="s">
        <v>139</v>
      </c>
      <c r="V280" s="7" t="s">
        <v>1995</v>
      </c>
    </row>
    <row r="281" customFormat="false" ht="79.5" hidden="false" customHeight="true" outlineLevel="0" collapsed="false">
      <c r="A281" s="7" t="n">
        <v>281</v>
      </c>
      <c r="B281" s="7" t="s">
        <v>1996</v>
      </c>
      <c r="C281" s="7" t="s">
        <v>1997</v>
      </c>
      <c r="D281" s="7" t="n">
        <f aca="false">VALUE(LEFT(B281,4))</f>
        <v>2006</v>
      </c>
      <c r="E281" s="7" t="n">
        <f aca="false">INT((D281-1)/100)+1</f>
        <v>21</v>
      </c>
      <c r="F281" s="7" t="s">
        <v>722</v>
      </c>
      <c r="G281" s="7" t="s">
        <v>1998</v>
      </c>
      <c r="H281" s="7" t="s">
        <v>982</v>
      </c>
      <c r="I281" s="7" t="s">
        <v>1999</v>
      </c>
      <c r="J281" s="7" t="s">
        <v>737</v>
      </c>
      <c r="K281" s="7" t="s">
        <v>2000</v>
      </c>
      <c r="L281" s="7" t="s">
        <v>2001</v>
      </c>
      <c r="M281" s="7"/>
      <c r="N281" s="7" t="s">
        <v>18</v>
      </c>
      <c r="O281" s="7" t="s">
        <v>89</v>
      </c>
      <c r="P281" s="7" t="s">
        <v>2002</v>
      </c>
      <c r="Q281" s="7" t="s">
        <v>2003</v>
      </c>
      <c r="R281" s="7" t="n">
        <f aca="false">VALUE(LEFT(Q281,4))</f>
        <v>2006</v>
      </c>
      <c r="S281" s="7" t="n">
        <f aca="false">VALUE(MID(Q281,6,2))</f>
        <v>8</v>
      </c>
      <c r="T281" s="7" t="n">
        <f aca="false">VALUE(RIGHT(Q281,2))</f>
        <v>1</v>
      </c>
      <c r="U281" s="7" t="s">
        <v>139</v>
      </c>
      <c r="V281" s="7" t="s">
        <v>2004</v>
      </c>
    </row>
    <row r="282" customFormat="false" ht="57" hidden="false" customHeight="true" outlineLevel="0" collapsed="false">
      <c r="A282" s="7" t="n">
        <v>282</v>
      </c>
      <c r="B282" s="7" t="s">
        <v>2005</v>
      </c>
      <c r="C282" s="7" t="s">
        <v>2006</v>
      </c>
      <c r="D282" s="7" t="n">
        <f aca="false">VALUE(LEFT(B282,4))</f>
        <v>1901</v>
      </c>
      <c r="E282" s="7" t="n">
        <f aca="false">INT((D282-1)/100)+1</f>
        <v>20</v>
      </c>
      <c r="F282" s="7" t="s">
        <v>722</v>
      </c>
      <c r="G282" s="7" t="s">
        <v>2007</v>
      </c>
      <c r="H282" s="7" t="s">
        <v>2008</v>
      </c>
      <c r="I282" s="7" t="s">
        <v>2009</v>
      </c>
      <c r="J282" s="7" t="s">
        <v>737</v>
      </c>
      <c r="K282" s="7" t="s">
        <v>2010</v>
      </c>
      <c r="L282" s="7" t="s">
        <v>2011</v>
      </c>
      <c r="M282" s="7"/>
      <c r="N282" s="7" t="s">
        <v>18</v>
      </c>
      <c r="O282" s="7" t="s">
        <v>89</v>
      </c>
      <c r="P282" s="7" t="s">
        <v>2012</v>
      </c>
      <c r="Q282" s="7" t="s">
        <v>2013</v>
      </c>
      <c r="R282" s="7" t="n">
        <f aca="false">VALUE(LEFT(Q282,4))</f>
        <v>1901</v>
      </c>
      <c r="S282" s="7" t="n">
        <f aca="false">VALUE(MID(Q282,6,2))</f>
        <v>7</v>
      </c>
      <c r="T282" s="7" t="n">
        <f aca="false">VALUE(RIGHT(Q282,2))</f>
        <v>2</v>
      </c>
      <c r="U282" s="7" t="s">
        <v>139</v>
      </c>
      <c r="V282" s="7" t="s">
        <v>2014</v>
      </c>
    </row>
    <row r="283" customFormat="false" ht="45.75" hidden="false" customHeight="true" outlineLevel="0" collapsed="false">
      <c r="A283" s="7" t="n">
        <v>283</v>
      </c>
      <c r="B283" s="7" t="s">
        <v>2015</v>
      </c>
      <c r="C283" s="7" t="s">
        <v>2016</v>
      </c>
      <c r="D283" s="7" t="n">
        <f aca="false">VALUE(LEFT(B283,4))</f>
        <v>1903</v>
      </c>
      <c r="E283" s="7" t="n">
        <f aca="false">INT((D283-1)/100)+1</f>
        <v>20</v>
      </c>
      <c r="F283" s="7" t="s">
        <v>594</v>
      </c>
      <c r="G283" s="7" t="s">
        <v>2017</v>
      </c>
      <c r="H283" s="7" t="s">
        <v>2018</v>
      </c>
      <c r="I283" s="7" t="s">
        <v>2019</v>
      </c>
      <c r="J283" s="7" t="s">
        <v>2020</v>
      </c>
      <c r="K283" s="7" t="s">
        <v>2021</v>
      </c>
      <c r="L283" s="7" t="s">
        <v>2022</v>
      </c>
      <c r="M283" s="7"/>
      <c r="N283" s="7" t="s">
        <v>18</v>
      </c>
      <c r="O283" s="7" t="s">
        <v>89</v>
      </c>
      <c r="P283" s="7" t="s">
        <v>2023</v>
      </c>
      <c r="Q283" s="7" t="s">
        <v>2015</v>
      </c>
      <c r="R283" s="7" t="n">
        <f aca="false">VALUE(LEFT(Q283,4))</f>
        <v>1903</v>
      </c>
      <c r="S283" s="7" t="n">
        <f aca="false">VALUE(MID(Q283,6,2))</f>
        <v>1</v>
      </c>
      <c r="T283" s="7" t="n">
        <f aca="false">VALUE(RIGHT(Q283,2))</f>
        <v>29</v>
      </c>
      <c r="U283" s="7" t="s">
        <v>91</v>
      </c>
      <c r="V283" s="7" t="s">
        <v>2024</v>
      </c>
    </row>
    <row r="284" customFormat="false" ht="57" hidden="false" customHeight="true" outlineLevel="0" collapsed="false">
      <c r="A284" s="7" t="n">
        <v>284</v>
      </c>
      <c r="B284" s="7" t="s">
        <v>2025</v>
      </c>
      <c r="C284" s="7" t="s">
        <v>2025</v>
      </c>
      <c r="D284" s="7" t="n">
        <f aca="false">VALUE(LEFT(B284,4))</f>
        <v>1893</v>
      </c>
      <c r="E284" s="7" t="n">
        <f aca="false">INT((D284-1)/100)+1</f>
        <v>19</v>
      </c>
      <c r="F284" s="7" t="s">
        <v>594</v>
      </c>
      <c r="G284" s="7" t="s">
        <v>2026</v>
      </c>
      <c r="H284" s="7" t="s">
        <v>2027</v>
      </c>
      <c r="I284" s="7" t="s">
        <v>2028</v>
      </c>
      <c r="J284" s="7" t="s">
        <v>2029</v>
      </c>
      <c r="K284" s="7" t="s">
        <v>2030</v>
      </c>
      <c r="L284" s="7" t="s">
        <v>2031</v>
      </c>
      <c r="M284" s="7"/>
      <c r="N284" s="7" t="s">
        <v>18</v>
      </c>
      <c r="O284" s="7" t="s">
        <v>89</v>
      </c>
      <c r="P284" s="7" t="s">
        <v>2032</v>
      </c>
      <c r="Q284" s="7" t="s">
        <v>2025</v>
      </c>
      <c r="R284" s="7" t="n">
        <f aca="false">VALUE(LEFT(Q284,4))</f>
        <v>1893</v>
      </c>
      <c r="S284" s="7" t="n">
        <f aca="false">VALUE(MID(Q284,6,2))</f>
        <v>12</v>
      </c>
      <c r="T284" s="7" t="n">
        <f aca="false">VALUE(RIGHT(Q284,2))</f>
        <v>26</v>
      </c>
      <c r="U284" s="7" t="s">
        <v>91</v>
      </c>
      <c r="V284" s="7" t="s">
        <v>2033</v>
      </c>
    </row>
    <row r="285" customFormat="false" ht="34.5" hidden="false" customHeight="true" outlineLevel="0" collapsed="false">
      <c r="A285" s="7" t="n">
        <v>285</v>
      </c>
      <c r="B285" s="7" t="s">
        <v>2034</v>
      </c>
      <c r="C285" s="7" t="s">
        <v>2035</v>
      </c>
      <c r="D285" s="7" t="n">
        <f aca="false">VALUE(LEFT(B285,4))</f>
        <v>1956</v>
      </c>
      <c r="E285" s="7" t="n">
        <f aca="false">INT((D285-1)/100)+1</f>
        <v>20</v>
      </c>
      <c r="F285" s="7" t="s">
        <v>1690</v>
      </c>
      <c r="G285" s="7" t="s">
        <v>2036</v>
      </c>
      <c r="H285" s="7" t="s">
        <v>2037</v>
      </c>
      <c r="I285" s="7" t="s">
        <v>2038</v>
      </c>
      <c r="J285" s="7" t="s">
        <v>2039</v>
      </c>
      <c r="K285" s="7" t="s">
        <v>2040</v>
      </c>
      <c r="L285" s="7" t="s">
        <v>2041</v>
      </c>
      <c r="M285" s="7"/>
      <c r="N285" s="7" t="s">
        <v>18</v>
      </c>
      <c r="O285" s="7" t="s">
        <v>89</v>
      </c>
      <c r="P285" s="7" t="s">
        <v>2042</v>
      </c>
      <c r="Q285" s="7" t="s">
        <v>2034</v>
      </c>
      <c r="R285" s="7" t="n">
        <f aca="false">VALUE(LEFT(Q285,4))</f>
        <v>1956</v>
      </c>
      <c r="S285" s="7" t="n">
        <f aca="false">VALUE(MID(Q285,6,2))</f>
        <v>5</v>
      </c>
      <c r="T285" s="7" t="n">
        <f aca="false">VALUE(RIGHT(Q285,2))</f>
        <v>31</v>
      </c>
      <c r="U285" s="7" t="s">
        <v>139</v>
      </c>
      <c r="V285" s="7" t="s">
        <v>2043</v>
      </c>
    </row>
    <row r="286" customFormat="false" ht="45.75" hidden="false" customHeight="true" outlineLevel="0" collapsed="false">
      <c r="A286" s="7" t="n">
        <v>286</v>
      </c>
      <c r="B286" s="7" t="s">
        <v>2044</v>
      </c>
      <c r="C286" s="7" t="s">
        <v>2045</v>
      </c>
      <c r="D286" s="7" t="n">
        <f aca="false">VALUE(LEFT(B286,4))</f>
        <v>2000</v>
      </c>
      <c r="E286" s="7" t="n">
        <f aca="false">INT((D286-1)/100)+1</f>
        <v>20</v>
      </c>
      <c r="F286" s="7" t="s">
        <v>594</v>
      </c>
      <c r="G286" s="7" t="s">
        <v>2046</v>
      </c>
      <c r="H286" s="7" t="s">
        <v>2047</v>
      </c>
      <c r="I286" s="7" t="s">
        <v>2048</v>
      </c>
      <c r="J286" s="7" t="s">
        <v>346</v>
      </c>
      <c r="K286" s="7" t="s">
        <v>2049</v>
      </c>
      <c r="L286" s="7" t="s">
        <v>2050</v>
      </c>
      <c r="M286" s="7"/>
      <c r="N286" s="7" t="s">
        <v>18</v>
      </c>
      <c r="O286" s="7" t="s">
        <v>89</v>
      </c>
      <c r="P286" s="7" t="s">
        <v>2051</v>
      </c>
      <c r="Q286" s="7" t="s">
        <v>2044</v>
      </c>
      <c r="R286" s="7" t="n">
        <f aca="false">VALUE(LEFT(Q286,4))</f>
        <v>2000</v>
      </c>
      <c r="S286" s="7" t="n">
        <f aca="false">VALUE(MID(Q286,6,2))</f>
        <v>4</v>
      </c>
      <c r="T286" s="7" t="n">
        <f aca="false">VALUE(RIGHT(Q286,2))</f>
        <v>15</v>
      </c>
      <c r="U286" s="7" t="s">
        <v>331</v>
      </c>
      <c r="V286" s="7" t="s">
        <v>2052</v>
      </c>
    </row>
    <row r="287" customFormat="false" ht="45.75" hidden="false" customHeight="true" outlineLevel="0" collapsed="false">
      <c r="A287" s="7" t="n">
        <v>287</v>
      </c>
      <c r="B287" s="7" t="s">
        <v>2053</v>
      </c>
      <c r="C287" s="7" t="s">
        <v>2053</v>
      </c>
      <c r="D287" s="7" t="n">
        <f aca="false">VALUE(LEFT(B287,4))</f>
        <v>2001</v>
      </c>
      <c r="E287" s="7" t="n">
        <f aca="false">INT((D287-1)/100)+1</f>
        <v>21</v>
      </c>
      <c r="F287" s="7" t="s">
        <v>2054</v>
      </c>
      <c r="G287" s="7" t="s">
        <v>2055</v>
      </c>
      <c r="H287" s="7" t="s">
        <v>2056</v>
      </c>
      <c r="I287" s="7" t="s">
        <v>2057</v>
      </c>
      <c r="J287" s="7" t="s">
        <v>346</v>
      </c>
      <c r="K287" s="7" t="s">
        <v>2058</v>
      </c>
      <c r="L287" s="7" t="s">
        <v>2059</v>
      </c>
      <c r="M287" s="7"/>
      <c r="N287" s="7" t="s">
        <v>18</v>
      </c>
      <c r="O287" s="7" t="s">
        <v>89</v>
      </c>
      <c r="P287" s="7" t="s">
        <v>2060</v>
      </c>
      <c r="Q287" s="7" t="s">
        <v>2053</v>
      </c>
      <c r="R287" s="7" t="n">
        <f aca="false">VALUE(LEFT(Q287,4))</f>
        <v>2001</v>
      </c>
      <c r="S287" s="7" t="n">
        <f aca="false">VALUE(MID(Q287,6,2))</f>
        <v>2</v>
      </c>
      <c r="T287" s="7" t="n">
        <f aca="false">VALUE(RIGHT(Q287,2))</f>
        <v>26</v>
      </c>
      <c r="U287" s="7" t="s">
        <v>91</v>
      </c>
      <c r="V287" s="7" t="s">
        <v>2061</v>
      </c>
    </row>
    <row r="288" customFormat="false" ht="34.5" hidden="false" customHeight="true" outlineLevel="0" collapsed="false">
      <c r="A288" s="7" t="n">
        <v>288</v>
      </c>
      <c r="B288" s="7" t="s">
        <v>1834</v>
      </c>
      <c r="C288" s="7" t="s">
        <v>2062</v>
      </c>
      <c r="D288" s="7" t="n">
        <f aca="false">VALUE(LEFT(B288,4))</f>
        <v>2025</v>
      </c>
      <c r="E288" s="7" t="n">
        <f aca="false">INT((D288-1)/100)+1</f>
        <v>21</v>
      </c>
      <c r="F288" s="7" t="s">
        <v>2063</v>
      </c>
      <c r="G288" s="7" t="s">
        <v>2064</v>
      </c>
      <c r="H288" s="7" t="s">
        <v>2065</v>
      </c>
      <c r="I288" s="7" t="s">
        <v>2066</v>
      </c>
      <c r="J288" s="7" t="s">
        <v>346</v>
      </c>
      <c r="K288" s="7" t="s">
        <v>2067</v>
      </c>
      <c r="L288" s="7" t="s">
        <v>2068</v>
      </c>
      <c r="M288" s="7" t="s">
        <v>2069</v>
      </c>
      <c r="N288" s="7" t="s">
        <v>18</v>
      </c>
      <c r="O288" s="7" t="s">
        <v>89</v>
      </c>
      <c r="P288" s="7" t="s">
        <v>2070</v>
      </c>
      <c r="Q288" s="7" t="s">
        <v>2062</v>
      </c>
      <c r="R288" s="7" t="n">
        <f aca="false">VALUE(LEFT(Q288,4))</f>
        <v>2026</v>
      </c>
      <c r="S288" s="7" t="n">
        <f aca="false">VALUE(MID(Q288,6,2))</f>
        <v>8</v>
      </c>
      <c r="T288" s="7" t="n">
        <f aca="false">VALUE(RIGHT(Q288,2))</f>
        <v>7</v>
      </c>
      <c r="U288" s="7" t="s">
        <v>2071</v>
      </c>
      <c r="V288" s="7" t="s">
        <v>2072</v>
      </c>
    </row>
    <row r="289" customFormat="false" ht="68.25" hidden="false" customHeight="true" outlineLevel="0" collapsed="false">
      <c r="A289" s="7" t="n">
        <v>289</v>
      </c>
      <c r="B289" s="7" t="s">
        <v>1284</v>
      </c>
      <c r="C289" s="7" t="s">
        <v>1284</v>
      </c>
      <c r="D289" s="7" t="n">
        <f aca="false">VALUE(LEFT(B289,4))</f>
        <v>1996</v>
      </c>
      <c r="E289" s="7" t="n">
        <f aca="false">INT((D289-1)/100)+1</f>
        <v>20</v>
      </c>
      <c r="F289" s="7" t="s">
        <v>594</v>
      </c>
      <c r="G289" s="7" t="s">
        <v>2073</v>
      </c>
      <c r="H289" s="7" t="s">
        <v>2074</v>
      </c>
      <c r="I289" s="7" t="s">
        <v>2075</v>
      </c>
      <c r="J289" s="7" t="s">
        <v>346</v>
      </c>
      <c r="K289" s="7" t="s">
        <v>2076</v>
      </c>
      <c r="L289" s="7" t="s">
        <v>2077</v>
      </c>
      <c r="M289" s="7" t="s">
        <v>1465</v>
      </c>
      <c r="N289" s="7" t="s">
        <v>18</v>
      </c>
      <c r="O289" s="7" t="s">
        <v>89</v>
      </c>
      <c r="P289" s="7" t="s">
        <v>2078</v>
      </c>
      <c r="Q289" s="7" t="s">
        <v>1284</v>
      </c>
      <c r="R289" s="7" t="n">
        <f aca="false">VALUE(LEFT(Q289,4))</f>
        <v>1996</v>
      </c>
      <c r="S289" s="7" t="n">
        <f aca="false">VALUE(MID(Q289,6,2))</f>
        <v>1</v>
      </c>
      <c r="T289" s="7" t="n">
        <f aca="false">VALUE(RIGHT(Q289,2))</f>
        <v>19</v>
      </c>
      <c r="U289" s="7" t="s">
        <v>331</v>
      </c>
      <c r="V289" s="7" t="s">
        <v>2079</v>
      </c>
    </row>
    <row r="290" customFormat="false" ht="57" hidden="false" customHeight="true" outlineLevel="0" collapsed="false">
      <c r="A290" s="7" t="n">
        <v>290</v>
      </c>
      <c r="B290" s="7" t="s">
        <v>2080</v>
      </c>
      <c r="C290" s="7" t="s">
        <v>2081</v>
      </c>
      <c r="D290" s="7" t="n">
        <f aca="false">VALUE(LEFT(B290,4))</f>
        <v>2004</v>
      </c>
      <c r="E290" s="7" t="n">
        <f aca="false">INT((D290-1)/100)+1</f>
        <v>21</v>
      </c>
      <c r="F290" s="7" t="s">
        <v>594</v>
      </c>
      <c r="G290" s="7" t="s">
        <v>2082</v>
      </c>
      <c r="H290" s="7" t="s">
        <v>2083</v>
      </c>
      <c r="I290" s="7" t="s">
        <v>2084</v>
      </c>
      <c r="J290" s="7" t="s">
        <v>346</v>
      </c>
      <c r="K290" s="7" t="s">
        <v>2085</v>
      </c>
      <c r="L290" s="7" t="s">
        <v>2086</v>
      </c>
      <c r="M290" s="7" t="s">
        <v>1465</v>
      </c>
      <c r="N290" s="7" t="s">
        <v>18</v>
      </c>
      <c r="O290" s="7" t="s">
        <v>89</v>
      </c>
      <c r="P290" s="7" t="s">
        <v>2087</v>
      </c>
      <c r="Q290" s="7" t="s">
        <v>2080</v>
      </c>
      <c r="R290" s="7" t="n">
        <f aca="false">VALUE(LEFT(Q290,4))</f>
        <v>2004</v>
      </c>
      <c r="S290" s="7" t="n">
        <f aca="false">VALUE(MID(Q290,6,2))</f>
        <v>4</v>
      </c>
      <c r="T290" s="7" t="n">
        <f aca="false">VALUE(RIGHT(Q290,2))</f>
        <v>15</v>
      </c>
      <c r="U290" s="7" t="s">
        <v>128</v>
      </c>
      <c r="V290" s="7" t="s">
        <v>2088</v>
      </c>
    </row>
    <row r="291" customFormat="false" ht="45.75" hidden="false" customHeight="true" outlineLevel="0" collapsed="false">
      <c r="A291" s="7" t="n">
        <v>291</v>
      </c>
      <c r="B291" s="7" t="s">
        <v>2089</v>
      </c>
      <c r="C291" s="7" t="s">
        <v>2089</v>
      </c>
      <c r="D291" s="7" t="n">
        <f aca="false">VALUE(LEFT(B291,4))</f>
        <v>2017</v>
      </c>
      <c r="E291" s="7" t="n">
        <f aca="false">INT((D291-1)/100)+1</f>
        <v>21</v>
      </c>
      <c r="F291" s="7" t="s">
        <v>594</v>
      </c>
      <c r="G291" s="7" t="s">
        <v>2090</v>
      </c>
      <c r="H291" s="7" t="s">
        <v>2091</v>
      </c>
      <c r="I291" s="7" t="s">
        <v>2092</v>
      </c>
      <c r="J291" s="7" t="s">
        <v>346</v>
      </c>
      <c r="K291" s="7" t="s">
        <v>2093</v>
      </c>
      <c r="L291" s="7" t="s">
        <v>2094</v>
      </c>
      <c r="M291" s="7" t="s">
        <v>2095</v>
      </c>
      <c r="N291" s="7" t="s">
        <v>18</v>
      </c>
      <c r="O291" s="7" t="s">
        <v>89</v>
      </c>
      <c r="P291" s="7" t="s">
        <v>2096</v>
      </c>
      <c r="Q291" s="7" t="s">
        <v>2089</v>
      </c>
      <c r="R291" s="7" t="n">
        <f aca="false">VALUE(LEFT(Q291,4))</f>
        <v>2017</v>
      </c>
      <c r="S291" s="7" t="n">
        <f aca="false">VALUE(MID(Q291,6,2))</f>
        <v>11</v>
      </c>
      <c r="T291" s="7" t="n">
        <f aca="false">VALUE(RIGHT(Q291,2))</f>
        <v>23</v>
      </c>
      <c r="U291" s="7" t="s">
        <v>331</v>
      </c>
      <c r="V291" s="7" t="s">
        <v>2097</v>
      </c>
    </row>
    <row r="292" customFormat="false" ht="45.75" hidden="false" customHeight="true" outlineLevel="0" collapsed="false">
      <c r="A292" s="7" t="n">
        <v>292</v>
      </c>
      <c r="B292" s="7" t="s">
        <v>1405</v>
      </c>
      <c r="C292" s="7" t="s">
        <v>1405</v>
      </c>
      <c r="D292" s="7" t="n">
        <f aca="false">VALUE(LEFT(B292,4))</f>
        <v>2006</v>
      </c>
      <c r="E292" s="7" t="n">
        <f aca="false">INT((D292-1)/100)+1</f>
        <v>21</v>
      </c>
      <c r="F292" s="7" t="s">
        <v>594</v>
      </c>
      <c r="G292" s="7" t="s">
        <v>2098</v>
      </c>
      <c r="H292" s="7" t="s">
        <v>2099</v>
      </c>
      <c r="I292" s="7" t="s">
        <v>2100</v>
      </c>
      <c r="J292" s="7" t="s">
        <v>346</v>
      </c>
      <c r="K292" s="7" t="s">
        <v>2101</v>
      </c>
      <c r="L292" s="7" t="s">
        <v>2102</v>
      </c>
      <c r="M292" s="7" t="s">
        <v>2095</v>
      </c>
      <c r="N292" s="7" t="s">
        <v>18</v>
      </c>
      <c r="O292" s="7" t="s">
        <v>89</v>
      </c>
      <c r="P292" s="7" t="s">
        <v>2103</v>
      </c>
      <c r="Q292" s="7" t="s">
        <v>1405</v>
      </c>
      <c r="R292" s="7" t="n">
        <f aca="false">VALUE(LEFT(Q292,4))</f>
        <v>2006</v>
      </c>
      <c r="S292" s="7" t="n">
        <f aca="false">VALUE(MID(Q292,6,2))</f>
        <v>6</v>
      </c>
      <c r="T292" s="7" t="n">
        <f aca="false">VALUE(RIGHT(Q292,2))</f>
        <v>26</v>
      </c>
      <c r="U292" s="7" t="s">
        <v>352</v>
      </c>
      <c r="V292" s="7" t="s">
        <v>2104</v>
      </c>
    </row>
    <row r="293" customFormat="false" ht="45.75" hidden="false" customHeight="true" outlineLevel="0" collapsed="false">
      <c r="A293" s="7" t="n">
        <v>293</v>
      </c>
      <c r="B293" s="7" t="s">
        <v>2105</v>
      </c>
      <c r="C293" s="7" t="s">
        <v>2106</v>
      </c>
      <c r="D293" s="7" t="n">
        <f aca="false">VALUE(LEFT(B293,4))</f>
        <v>1906</v>
      </c>
      <c r="E293" s="7" t="n">
        <f aca="false">INT((D293-1)/100)+1</f>
        <v>20</v>
      </c>
      <c r="F293" s="7" t="s">
        <v>594</v>
      </c>
      <c r="G293" s="7" t="s">
        <v>2107</v>
      </c>
      <c r="H293" s="7" t="s">
        <v>2108</v>
      </c>
      <c r="I293" s="7" t="s">
        <v>2109</v>
      </c>
      <c r="J293" s="7" t="s">
        <v>346</v>
      </c>
      <c r="K293" s="7" t="s">
        <v>2110</v>
      </c>
      <c r="L293" s="7" t="s">
        <v>2111</v>
      </c>
      <c r="M293" s="7" t="s">
        <v>2112</v>
      </c>
      <c r="N293" s="7" t="s">
        <v>18</v>
      </c>
      <c r="O293" s="7" t="s">
        <v>89</v>
      </c>
      <c r="P293" s="7" t="s">
        <v>2113</v>
      </c>
      <c r="Q293" s="7" t="s">
        <v>2106</v>
      </c>
      <c r="R293" s="7" t="n">
        <f aca="false">VALUE(LEFT(Q293,4))</f>
        <v>1906</v>
      </c>
      <c r="S293" s="7" t="n">
        <f aca="false">VALUE(MID(Q293,6,2))</f>
        <v>1</v>
      </c>
      <c r="T293" s="7" t="n">
        <f aca="false">VALUE(RIGHT(Q293,2))</f>
        <v>8</v>
      </c>
      <c r="U293" s="7" t="s">
        <v>91</v>
      </c>
      <c r="V293" s="7" t="s">
        <v>2114</v>
      </c>
    </row>
    <row r="294" customFormat="false" ht="79.5" hidden="false" customHeight="true" outlineLevel="0" collapsed="false">
      <c r="A294" s="3" t="n">
        <v>294</v>
      </c>
      <c r="B294" s="3" t="s">
        <v>2115</v>
      </c>
      <c r="C294" s="3" t="s">
        <v>2116</v>
      </c>
      <c r="D294" s="3" t="n">
        <f aca="false">VALUE(LEFT(B294,4))</f>
        <v>2000</v>
      </c>
      <c r="E294" s="3" t="n">
        <f aca="false">INT((D294-1)/100)+1</f>
        <v>20</v>
      </c>
      <c r="F294" s="3" t="s">
        <v>594</v>
      </c>
      <c r="G294" s="3" t="s">
        <v>2117</v>
      </c>
      <c r="H294" s="3" t="s">
        <v>2118</v>
      </c>
      <c r="I294" s="3" t="s">
        <v>2119</v>
      </c>
      <c r="J294" s="3" t="s">
        <v>346</v>
      </c>
      <c r="K294" s="3" t="s">
        <v>2120</v>
      </c>
      <c r="L294" s="3" t="s">
        <v>2121</v>
      </c>
      <c r="M294" s="3" t="s">
        <v>2122</v>
      </c>
      <c r="N294" s="3" t="s">
        <v>16</v>
      </c>
      <c r="O294" s="3" t="s">
        <v>89</v>
      </c>
      <c r="P294" s="3" t="s">
        <v>2123</v>
      </c>
      <c r="Q294" s="3" t="s">
        <v>2115</v>
      </c>
      <c r="R294" s="3" t="n">
        <f aca="false">VALUE(LEFT(Q294,4))</f>
        <v>2000</v>
      </c>
      <c r="S294" s="3" t="n">
        <f aca="false">VALUE(MID(Q294,6,2))</f>
        <v>5</v>
      </c>
      <c r="T294" s="3" t="n">
        <f aca="false">VALUE(RIGHT(Q294,2))</f>
        <v>17</v>
      </c>
      <c r="U294" s="3" t="s">
        <v>139</v>
      </c>
      <c r="V294" s="3" t="s">
        <v>2124</v>
      </c>
    </row>
    <row r="295" customFormat="false" ht="225" hidden="false" customHeight="true" outlineLevel="0" collapsed="false">
      <c r="A295" s="3" t="n">
        <v>295</v>
      </c>
      <c r="B295" s="3" t="s">
        <v>2125</v>
      </c>
      <c r="C295" s="3" t="s">
        <v>2126</v>
      </c>
      <c r="D295" s="3" t="n">
        <f aca="false">VALUE(LEFT(B295,4))</f>
        <v>2025</v>
      </c>
      <c r="E295" s="3" t="n">
        <f aca="false">INT((D295-1)/100)+1</f>
        <v>21</v>
      </c>
      <c r="F295" s="3" t="s">
        <v>594</v>
      </c>
      <c r="G295" s="3" t="s">
        <v>2127</v>
      </c>
      <c r="H295" s="3" t="s">
        <v>2128</v>
      </c>
      <c r="I295" s="3" t="s">
        <v>2129</v>
      </c>
      <c r="J295" s="3" t="s">
        <v>346</v>
      </c>
      <c r="K295" s="3" t="s">
        <v>2130</v>
      </c>
      <c r="L295" s="3" t="s">
        <v>2131</v>
      </c>
      <c r="M295" s="3" t="s">
        <v>2132</v>
      </c>
      <c r="N295" s="3" t="s">
        <v>16</v>
      </c>
      <c r="O295" s="3" t="s">
        <v>89</v>
      </c>
      <c r="P295" s="3" t="s">
        <v>2133</v>
      </c>
      <c r="Q295" s="3" t="s">
        <v>2125</v>
      </c>
      <c r="R295" s="3" t="n">
        <f aca="false">VALUE(LEFT(Q295,4))</f>
        <v>2025</v>
      </c>
      <c r="S295" s="3" t="n">
        <f aca="false">VALUE(MID(Q295,6,2))</f>
        <v>10</v>
      </c>
      <c r="T295" s="3" t="n">
        <f aca="false">VALUE(RIGHT(Q295,2))</f>
        <v>13</v>
      </c>
      <c r="U295" s="3" t="s">
        <v>139</v>
      </c>
      <c r="V295" s="3" t="s">
        <v>2134</v>
      </c>
    </row>
    <row r="296" customFormat="false" ht="258.75" hidden="false" customHeight="true" outlineLevel="0" collapsed="false">
      <c r="A296" s="3" t="n">
        <v>296</v>
      </c>
      <c r="B296" s="3" t="s">
        <v>2135</v>
      </c>
      <c r="C296" s="3" t="s">
        <v>2136</v>
      </c>
      <c r="D296" s="3" t="n">
        <f aca="false">VALUE(LEFT(B296,4))</f>
        <v>2023</v>
      </c>
      <c r="E296" s="3" t="n">
        <f aca="false">INT((D296-1)/100)+1</f>
        <v>21</v>
      </c>
      <c r="F296" s="3" t="s">
        <v>594</v>
      </c>
      <c r="G296" s="3" t="s">
        <v>2137</v>
      </c>
      <c r="H296" s="3" t="s">
        <v>2138</v>
      </c>
      <c r="I296" s="3" t="s">
        <v>2139</v>
      </c>
      <c r="J296" s="3" t="s">
        <v>346</v>
      </c>
      <c r="K296" s="3" t="s">
        <v>2140</v>
      </c>
      <c r="L296" s="3" t="s">
        <v>2141</v>
      </c>
      <c r="M296" s="3" t="s">
        <v>2142</v>
      </c>
      <c r="N296" s="3" t="s">
        <v>16</v>
      </c>
      <c r="O296" s="3" t="s">
        <v>89</v>
      </c>
      <c r="P296" s="3" t="s">
        <v>2143</v>
      </c>
      <c r="Q296" s="3" t="s">
        <v>2135</v>
      </c>
      <c r="R296" s="3" t="n">
        <f aca="false">VALUE(LEFT(Q296,4))</f>
        <v>2023</v>
      </c>
      <c r="S296" s="3" t="n">
        <f aca="false">VALUE(MID(Q296,6,2))</f>
        <v>10</v>
      </c>
      <c r="T296" s="3" t="n">
        <f aca="false">VALUE(RIGHT(Q296,2))</f>
        <v>21</v>
      </c>
      <c r="U296" s="3" t="s">
        <v>139</v>
      </c>
      <c r="V296" s="3" t="s">
        <v>2144</v>
      </c>
    </row>
    <row r="297" customFormat="false" ht="135.75" hidden="false" customHeight="true" outlineLevel="0" collapsed="false">
      <c r="A297" s="3" t="n">
        <v>297</v>
      </c>
      <c r="B297" s="3" t="s">
        <v>2145</v>
      </c>
      <c r="C297" s="3" t="s">
        <v>2145</v>
      </c>
      <c r="D297" s="3" t="n">
        <f aca="false">VALUE(LEFT(B297,4))</f>
        <v>2021</v>
      </c>
      <c r="E297" s="3" t="n">
        <f aca="false">INT((D297-1)/100)+1</f>
        <v>21</v>
      </c>
      <c r="F297" s="3" t="s">
        <v>594</v>
      </c>
      <c r="G297" s="3" t="s">
        <v>2146</v>
      </c>
      <c r="H297" s="3" t="s">
        <v>2147</v>
      </c>
      <c r="I297" s="3" t="s">
        <v>2148</v>
      </c>
      <c r="J297" s="3" t="s">
        <v>346</v>
      </c>
      <c r="K297" s="3" t="s">
        <v>2149</v>
      </c>
      <c r="L297" s="3" t="s">
        <v>2150</v>
      </c>
      <c r="M297" s="3" t="s">
        <v>2122</v>
      </c>
      <c r="N297" s="3" t="s">
        <v>16</v>
      </c>
      <c r="O297" s="3" t="s">
        <v>89</v>
      </c>
      <c r="P297" s="3" t="s">
        <v>2151</v>
      </c>
      <c r="Q297" s="3" t="s">
        <v>2145</v>
      </c>
      <c r="R297" s="3" t="n">
        <f aca="false">VALUE(LEFT(Q297,4))</f>
        <v>2021</v>
      </c>
      <c r="S297" s="3" t="n">
        <f aca="false">VALUE(MID(Q297,6,2))</f>
        <v>5</v>
      </c>
      <c r="T297" s="3" t="n">
        <f aca="false">VALUE(RIGHT(Q297,2))</f>
        <v>13</v>
      </c>
      <c r="U297" s="3" t="s">
        <v>139</v>
      </c>
      <c r="V297" s="3" t="s">
        <v>2152</v>
      </c>
    </row>
    <row r="298" customFormat="false" ht="147" hidden="false" customHeight="true" outlineLevel="0" collapsed="false">
      <c r="A298" s="3" t="n">
        <v>298</v>
      </c>
      <c r="B298" s="3" t="s">
        <v>2153</v>
      </c>
      <c r="C298" s="3" t="s">
        <v>2154</v>
      </c>
      <c r="D298" s="3" t="n">
        <f aca="false">VALUE(LEFT(B298,4))</f>
        <v>2015</v>
      </c>
      <c r="E298" s="3" t="n">
        <f aca="false">INT((D298-1)/100)+1</f>
        <v>21</v>
      </c>
      <c r="F298" s="3" t="s">
        <v>594</v>
      </c>
      <c r="G298" s="3" t="s">
        <v>2155</v>
      </c>
      <c r="H298" s="3" t="s">
        <v>2156</v>
      </c>
      <c r="I298" s="3" t="s">
        <v>2157</v>
      </c>
      <c r="J298" s="3" t="s">
        <v>346</v>
      </c>
      <c r="K298" s="3" t="s">
        <v>2158</v>
      </c>
      <c r="L298" s="3" t="s">
        <v>2159</v>
      </c>
      <c r="M298" s="3" t="s">
        <v>2122</v>
      </c>
      <c r="N298" s="3" t="s">
        <v>16</v>
      </c>
      <c r="O298" s="3" t="s">
        <v>89</v>
      </c>
      <c r="P298" s="3" t="s">
        <v>2160</v>
      </c>
      <c r="Q298" s="3" t="s">
        <v>2153</v>
      </c>
      <c r="R298" s="3" t="n">
        <f aca="false">VALUE(LEFT(Q298,4))</f>
        <v>2015</v>
      </c>
      <c r="S298" s="3" t="n">
        <f aca="false">VALUE(MID(Q298,6,2))</f>
        <v>4</v>
      </c>
      <c r="T298" s="3" t="n">
        <f aca="false">VALUE(RIGHT(Q298,2))</f>
        <v>19</v>
      </c>
      <c r="U298" s="3" t="s">
        <v>139</v>
      </c>
      <c r="V298" s="3" t="s">
        <v>2161</v>
      </c>
    </row>
    <row r="299" customFormat="false" ht="1311.75" hidden="false" customHeight="true" outlineLevel="0" collapsed="false">
      <c r="A299" s="3" t="n">
        <v>299</v>
      </c>
      <c r="B299" s="3" t="s">
        <v>1808</v>
      </c>
      <c r="C299" s="3" t="s">
        <v>1808</v>
      </c>
      <c r="D299" s="3" t="n">
        <f aca="false">VALUE(LEFT(B299,4))</f>
        <v>2024</v>
      </c>
      <c r="E299" s="3" t="n">
        <f aca="false">INT((D299-1)/100)+1</f>
        <v>21</v>
      </c>
      <c r="F299" s="3" t="s">
        <v>594</v>
      </c>
      <c r="G299" s="3" t="s">
        <v>2162</v>
      </c>
      <c r="H299" s="3" t="s">
        <v>2163</v>
      </c>
      <c r="I299" s="3" t="s">
        <v>2164</v>
      </c>
      <c r="J299" s="3" t="s">
        <v>346</v>
      </c>
      <c r="K299" s="3" t="s">
        <v>2165</v>
      </c>
      <c r="L299" s="3" t="s">
        <v>2166</v>
      </c>
      <c r="M299" s="3" t="s">
        <v>2122</v>
      </c>
      <c r="N299" s="3" t="s">
        <v>16</v>
      </c>
      <c r="O299" s="3" t="s">
        <v>89</v>
      </c>
      <c r="P299" s="3" t="s">
        <v>2167</v>
      </c>
      <c r="Q299" s="3" t="s">
        <v>1808</v>
      </c>
      <c r="R299" s="3" t="n">
        <f aca="false">VALUE(LEFT(Q299,4))</f>
        <v>2024</v>
      </c>
      <c r="S299" s="3" t="n">
        <f aca="false">VALUE(MID(Q299,6,2))</f>
        <v>5</v>
      </c>
      <c r="T299" s="3" t="n">
        <f aca="false">VALUE(RIGHT(Q299,2))</f>
        <v>7</v>
      </c>
      <c r="U299" s="3" t="s">
        <v>91</v>
      </c>
      <c r="V299" s="3" t="s">
        <v>2168</v>
      </c>
    </row>
    <row r="300" customFormat="false" ht="135.75" hidden="false" customHeight="true" outlineLevel="0" collapsed="false">
      <c r="A300" s="3" t="n">
        <v>300</v>
      </c>
      <c r="B300" s="3" t="s">
        <v>2169</v>
      </c>
      <c r="C300" s="3" t="s">
        <v>2169</v>
      </c>
      <c r="D300" s="3" t="n">
        <f aca="false">VALUE(LEFT(B300,4))</f>
        <v>2025</v>
      </c>
      <c r="E300" s="3" t="n">
        <f aca="false">INT((D300-1)/100)+1</f>
        <v>21</v>
      </c>
      <c r="F300" s="3" t="s">
        <v>594</v>
      </c>
      <c r="G300" s="3" t="s">
        <v>2170</v>
      </c>
      <c r="H300" s="3" t="s">
        <v>2171</v>
      </c>
      <c r="I300" s="3" t="s">
        <v>2172</v>
      </c>
      <c r="J300" s="3" t="s">
        <v>346</v>
      </c>
      <c r="K300" s="3" t="s">
        <v>2173</v>
      </c>
      <c r="L300" s="3" t="s">
        <v>2174</v>
      </c>
      <c r="M300" s="3" t="s">
        <v>2122</v>
      </c>
      <c r="N300" s="3" t="s">
        <v>16</v>
      </c>
      <c r="O300" s="3" t="s">
        <v>89</v>
      </c>
      <c r="P300" s="3" t="s">
        <v>2175</v>
      </c>
      <c r="Q300" s="3" t="s">
        <v>2169</v>
      </c>
      <c r="R300" s="3" t="n">
        <f aca="false">VALUE(LEFT(Q300,4))</f>
        <v>2025</v>
      </c>
      <c r="S300" s="3" t="n">
        <f aca="false">VALUE(MID(Q300,6,2))</f>
        <v>5</v>
      </c>
      <c r="T300" s="3" t="n">
        <f aca="false">VALUE(RIGHT(Q300,2))</f>
        <v>10</v>
      </c>
      <c r="U300" s="3" t="s">
        <v>91</v>
      </c>
      <c r="V300" s="3" t="s">
        <v>2176</v>
      </c>
    </row>
    <row r="301" customFormat="false" ht="135.75" hidden="false" customHeight="true" outlineLevel="0" collapsed="false">
      <c r="A301" s="3" t="n">
        <v>301</v>
      </c>
      <c r="B301" s="3" t="s">
        <v>2177</v>
      </c>
      <c r="C301" s="3" t="s">
        <v>2177</v>
      </c>
      <c r="D301" s="3" t="n">
        <f aca="false">VALUE(LEFT(B301,4))</f>
        <v>2024</v>
      </c>
      <c r="E301" s="3" t="n">
        <f aca="false">INT((D301-1)/100)+1</f>
        <v>21</v>
      </c>
      <c r="F301" s="3" t="s">
        <v>594</v>
      </c>
      <c r="G301" s="3" t="s">
        <v>2178</v>
      </c>
      <c r="H301" s="3" t="s">
        <v>2179</v>
      </c>
      <c r="I301" s="3" t="s">
        <v>2180</v>
      </c>
      <c r="J301" s="3" t="s">
        <v>346</v>
      </c>
      <c r="K301" s="3" t="s">
        <v>2181</v>
      </c>
      <c r="L301" s="3" t="s">
        <v>2182</v>
      </c>
      <c r="M301" s="3" t="s">
        <v>2122</v>
      </c>
      <c r="N301" s="3" t="s">
        <v>16</v>
      </c>
      <c r="O301" s="3" t="s">
        <v>89</v>
      </c>
      <c r="P301" s="3" t="s">
        <v>2183</v>
      </c>
      <c r="Q301" s="3" t="s">
        <v>2177</v>
      </c>
      <c r="R301" s="3" t="n">
        <f aca="false">VALUE(LEFT(Q301,4))</f>
        <v>2024</v>
      </c>
      <c r="S301" s="3" t="n">
        <f aca="false">VALUE(MID(Q301,6,2))</f>
        <v>3</v>
      </c>
      <c r="T301" s="3" t="n">
        <f aca="false">VALUE(RIGHT(Q301,2))</f>
        <v>11</v>
      </c>
      <c r="U301" s="3" t="s">
        <v>91</v>
      </c>
      <c r="V301" s="3" t="s">
        <v>2184</v>
      </c>
    </row>
    <row r="302" customFormat="false" ht="90.75" hidden="false" customHeight="true" outlineLevel="0" collapsed="false">
      <c r="A302" s="3" t="n">
        <v>302</v>
      </c>
      <c r="B302" s="3" t="s">
        <v>2185</v>
      </c>
      <c r="C302" s="3" t="s">
        <v>2186</v>
      </c>
      <c r="D302" s="3" t="n">
        <f aca="false">VALUE(LEFT(B302,4))</f>
        <v>2020</v>
      </c>
      <c r="E302" s="3" t="n">
        <f aca="false">INT((D302-1)/100)+1</f>
        <v>21</v>
      </c>
      <c r="F302" s="3" t="s">
        <v>594</v>
      </c>
      <c r="G302" s="3" t="s">
        <v>2187</v>
      </c>
      <c r="H302" s="3" t="s">
        <v>2188</v>
      </c>
      <c r="I302" s="3" t="s">
        <v>2189</v>
      </c>
      <c r="J302" s="3" t="s">
        <v>346</v>
      </c>
      <c r="K302" s="3" t="s">
        <v>2190</v>
      </c>
      <c r="L302" s="3" t="s">
        <v>2191</v>
      </c>
      <c r="M302" s="3" t="s">
        <v>2122</v>
      </c>
      <c r="N302" s="3" t="s">
        <v>16</v>
      </c>
      <c r="O302" s="3" t="s">
        <v>89</v>
      </c>
      <c r="P302" s="3" t="s">
        <v>2192</v>
      </c>
      <c r="Q302" s="3" t="s">
        <v>2185</v>
      </c>
      <c r="R302" s="3" t="n">
        <f aca="false">VALUE(LEFT(Q302,4))</f>
        <v>2020</v>
      </c>
      <c r="S302" s="3" t="n">
        <f aca="false">VALUE(MID(Q302,6,2))</f>
        <v>5</v>
      </c>
      <c r="T302" s="3" t="n">
        <f aca="false">VALUE(RIGHT(Q302,2))</f>
        <v>3</v>
      </c>
      <c r="U302" s="3" t="s">
        <v>139</v>
      </c>
      <c r="V302" s="3" t="s">
        <v>2193</v>
      </c>
    </row>
    <row r="303" customFormat="false" ht="784.5" hidden="false" customHeight="true" outlineLevel="0" collapsed="false">
      <c r="A303" s="3" t="n">
        <v>303</v>
      </c>
      <c r="B303" s="3" t="s">
        <v>2194</v>
      </c>
      <c r="C303" s="3" t="s">
        <v>2195</v>
      </c>
      <c r="D303" s="3" t="n">
        <f aca="false">VALUE(LEFT(B303,4))</f>
        <v>2018</v>
      </c>
      <c r="E303" s="3" t="n">
        <f aca="false">INT((D303-1)/100)+1</f>
        <v>21</v>
      </c>
      <c r="F303" s="3" t="s">
        <v>2196</v>
      </c>
      <c r="G303" s="3" t="s">
        <v>2197</v>
      </c>
      <c r="H303" s="3" t="s">
        <v>2198</v>
      </c>
      <c r="I303" s="3" t="s">
        <v>2199</v>
      </c>
      <c r="J303" s="3" t="s">
        <v>346</v>
      </c>
      <c r="K303" s="3" t="s">
        <v>2200</v>
      </c>
      <c r="L303" s="3" t="s">
        <v>2201</v>
      </c>
      <c r="M303" s="3" t="s">
        <v>2122</v>
      </c>
      <c r="N303" s="3" t="s">
        <v>16</v>
      </c>
      <c r="O303" s="3" t="s">
        <v>89</v>
      </c>
      <c r="P303" s="3" t="s">
        <v>2202</v>
      </c>
      <c r="Q303" s="3" t="s">
        <v>2194</v>
      </c>
      <c r="R303" s="3" t="n">
        <f aca="false">VALUE(LEFT(Q303,4))</f>
        <v>2018</v>
      </c>
      <c r="S303" s="3" t="n">
        <f aca="false">VALUE(MID(Q303,6,2))</f>
        <v>1</v>
      </c>
      <c r="T303" s="3" t="n">
        <f aca="false">VALUE(RIGHT(Q303,2))</f>
        <v>28</v>
      </c>
      <c r="U303" s="3" t="s">
        <v>91</v>
      </c>
      <c r="V303" s="3" t="s">
        <v>2203</v>
      </c>
    </row>
    <row r="304" customFormat="false" ht="157.5" hidden="false" customHeight="true" outlineLevel="0" collapsed="false">
      <c r="A304" s="3" t="n">
        <v>304</v>
      </c>
      <c r="B304" s="3" t="s">
        <v>2204</v>
      </c>
      <c r="C304" s="3" t="s">
        <v>2205</v>
      </c>
      <c r="D304" s="3" t="n">
        <f aca="false">VALUE(LEFT(B304,4))</f>
        <v>1968</v>
      </c>
      <c r="E304" s="3" t="n">
        <f aca="false">INT((D304-1)/100)+1</f>
        <v>20</v>
      </c>
      <c r="F304" s="3" t="s">
        <v>594</v>
      </c>
      <c r="G304" s="3" t="s">
        <v>2206</v>
      </c>
      <c r="H304" s="3" t="s">
        <v>2207</v>
      </c>
      <c r="I304" s="3" t="s">
        <v>2208</v>
      </c>
      <c r="J304" s="3" t="s">
        <v>346</v>
      </c>
      <c r="K304" s="3" t="s">
        <v>2209</v>
      </c>
      <c r="L304" s="3" t="s">
        <v>2210</v>
      </c>
      <c r="M304" s="3" t="s">
        <v>2122</v>
      </c>
      <c r="N304" s="3" t="s">
        <v>20</v>
      </c>
      <c r="O304" s="3" t="s">
        <v>89</v>
      </c>
      <c r="P304" s="3" t="s">
        <v>2211</v>
      </c>
      <c r="Q304" s="3" t="s">
        <v>2204</v>
      </c>
      <c r="R304" s="3" t="n">
        <f aca="false">VALUE(LEFT(Q304,4))</f>
        <v>1968</v>
      </c>
      <c r="S304" s="3" t="n">
        <f aca="false">VALUE(MID(Q304,6,2))</f>
        <v>1</v>
      </c>
      <c r="T304" s="3" t="n">
        <f aca="false">VALUE(RIGHT(Q304,2))</f>
        <v>1</v>
      </c>
      <c r="U304" s="3" t="s">
        <v>352</v>
      </c>
      <c r="V304" s="3" t="s">
        <v>2212</v>
      </c>
    </row>
    <row r="305" customFormat="false" ht="102" hidden="false" customHeight="true" outlineLevel="0" collapsed="false">
      <c r="A305" s="3" t="n">
        <v>305</v>
      </c>
      <c r="B305" s="3" t="s">
        <v>2213</v>
      </c>
      <c r="C305" s="3" t="s">
        <v>2214</v>
      </c>
      <c r="D305" s="3" t="n">
        <f aca="false">VALUE(LEFT(B305,4))</f>
        <v>2011</v>
      </c>
      <c r="E305" s="3" t="n">
        <f aca="false">INT((D305-1)/100)+1</f>
        <v>21</v>
      </c>
      <c r="F305" s="3" t="s">
        <v>594</v>
      </c>
      <c r="G305" s="3" t="s">
        <v>2215</v>
      </c>
      <c r="H305" s="3" t="s">
        <v>2216</v>
      </c>
      <c r="I305" s="3" t="s">
        <v>2217</v>
      </c>
      <c r="J305" s="3" t="s">
        <v>2218</v>
      </c>
      <c r="K305" s="3" t="s">
        <v>2219</v>
      </c>
      <c r="L305" s="3" t="s">
        <v>2220</v>
      </c>
      <c r="M305" s="3" t="s">
        <v>2122</v>
      </c>
      <c r="N305" s="3" t="s">
        <v>16</v>
      </c>
      <c r="O305" s="3" t="s">
        <v>89</v>
      </c>
      <c r="P305" s="3" t="s">
        <v>2221</v>
      </c>
      <c r="Q305" s="3" t="s">
        <v>2213</v>
      </c>
      <c r="R305" s="3" t="n">
        <f aca="false">VALUE(LEFT(Q305,4))</f>
        <v>2011</v>
      </c>
      <c r="S305" s="3" t="n">
        <f aca="false">VALUE(MID(Q305,6,2))</f>
        <v>5</v>
      </c>
      <c r="T305" s="3" t="n">
        <f aca="false">VALUE(RIGHT(Q305,2))</f>
        <v>6</v>
      </c>
      <c r="U305" s="3" t="s">
        <v>139</v>
      </c>
      <c r="V305" s="3" t="s">
        <v>2222</v>
      </c>
    </row>
    <row r="306" customFormat="false" ht="684" hidden="false" customHeight="true" outlineLevel="0" collapsed="false">
      <c r="A306" s="3" t="n">
        <v>306</v>
      </c>
      <c r="B306" s="3" t="s">
        <v>2223</v>
      </c>
      <c r="C306" s="3" t="s">
        <v>2224</v>
      </c>
      <c r="D306" s="3" t="n">
        <f aca="false">VALUE(LEFT(B306,4))</f>
        <v>1982</v>
      </c>
      <c r="E306" s="3" t="n">
        <f aca="false">INT((D306-1)/100)+1</f>
        <v>20</v>
      </c>
      <c r="F306" s="3" t="s">
        <v>594</v>
      </c>
      <c r="G306" s="3" t="s">
        <v>2225</v>
      </c>
      <c r="H306" s="3" t="s">
        <v>2226</v>
      </c>
      <c r="I306" s="3" t="s">
        <v>2227</v>
      </c>
      <c r="J306" s="3" t="s">
        <v>346</v>
      </c>
      <c r="K306" s="3" t="s">
        <v>2228</v>
      </c>
      <c r="L306" s="3" t="s">
        <v>2229</v>
      </c>
      <c r="M306" s="3" t="s">
        <v>2122</v>
      </c>
      <c r="N306" s="3" t="s">
        <v>20</v>
      </c>
      <c r="O306" s="3" t="s">
        <v>89</v>
      </c>
      <c r="P306" s="3" t="s">
        <v>2230</v>
      </c>
      <c r="Q306" s="3" t="s">
        <v>2223</v>
      </c>
      <c r="R306" s="3" t="n">
        <f aca="false">VALUE(LEFT(Q306,4))</f>
        <v>1982</v>
      </c>
      <c r="S306" s="3" t="n">
        <f aca="false">VALUE(MID(Q306,6,2))</f>
        <v>1</v>
      </c>
      <c r="T306" s="3" t="n">
        <f aca="false">VALUE(RIGHT(Q306,2))</f>
        <v>1</v>
      </c>
      <c r="U306" s="3" t="s">
        <v>352</v>
      </c>
      <c r="V306" s="3" t="s">
        <v>2231</v>
      </c>
    </row>
    <row r="307" customFormat="false" ht="102" hidden="false" customHeight="true" outlineLevel="0" collapsed="false">
      <c r="A307" s="1" t="n">
        <v>308</v>
      </c>
      <c r="B307" s="1" t="s">
        <v>2232</v>
      </c>
      <c r="C307" s="1" t="s">
        <v>2232</v>
      </c>
      <c r="D307" s="1" t="n">
        <f aca="false">VALUE(LEFT(B307,4))</f>
        <v>1886</v>
      </c>
      <c r="E307" s="1" t="n">
        <f aca="false">INT((D307-1)/100)+1</f>
        <v>19</v>
      </c>
      <c r="F307" s="1" t="s">
        <v>2233</v>
      </c>
      <c r="G307" s="1" t="s">
        <v>2234</v>
      </c>
      <c r="H307" s="1" t="s">
        <v>2235</v>
      </c>
      <c r="I307" s="1" t="s">
        <v>2236</v>
      </c>
      <c r="J307" s="1" t="s">
        <v>346</v>
      </c>
      <c r="K307" s="1" t="s">
        <v>2237</v>
      </c>
      <c r="L307" s="1" t="s">
        <v>2238</v>
      </c>
      <c r="N307" s="1" t="s">
        <v>18</v>
      </c>
      <c r="O307" s="1" t="s">
        <v>89</v>
      </c>
      <c r="P307" s="1" t="s">
        <v>2239</v>
      </c>
      <c r="Q307" s="1" t="s">
        <v>2232</v>
      </c>
      <c r="R307" s="1" t="n">
        <f aca="false">VALUE(LEFT(Q307,4))</f>
        <v>1886</v>
      </c>
      <c r="S307" s="1" t="n">
        <f aca="false">VALUE(MID(Q307,6,2))</f>
        <v>11</v>
      </c>
      <c r="T307" s="1" t="n">
        <f aca="false">VALUE(RIGHT(Q307,2))</f>
        <v>20</v>
      </c>
      <c r="U307" s="1" t="s">
        <v>91</v>
      </c>
      <c r="V307" s="1" t="s">
        <v>2240</v>
      </c>
    </row>
    <row r="308" customFormat="false" ht="15" hidden="false" customHeight="true" outlineLevel="0" collapsed="false">
      <c r="A308" s="1" t="n">
        <v>309</v>
      </c>
      <c r="B308" s="1" t="s">
        <v>2241</v>
      </c>
      <c r="C308" s="1" t="s">
        <v>2241</v>
      </c>
      <c r="D308" s="1" t="n">
        <f aca="false">VALUE(LEFT(B308,4))</f>
        <v>1903</v>
      </c>
      <c r="E308" s="1" t="n">
        <f aca="false">INT((D308-1)/100)+1</f>
        <v>20</v>
      </c>
      <c r="F308" s="1" t="s">
        <v>2233</v>
      </c>
      <c r="G308" s="1" t="s">
        <v>2242</v>
      </c>
      <c r="H308" s="1" t="s">
        <v>2243</v>
      </c>
      <c r="I308" s="1" t="s">
        <v>2244</v>
      </c>
      <c r="J308" s="1" t="s">
        <v>346</v>
      </c>
      <c r="K308" s="1" t="s">
        <v>2245</v>
      </c>
      <c r="L308" s="1" t="s">
        <v>2246</v>
      </c>
      <c r="N308" s="1" t="s">
        <v>18</v>
      </c>
      <c r="O308" s="1" t="s">
        <v>89</v>
      </c>
      <c r="P308" s="1" t="s">
        <v>2247</v>
      </c>
      <c r="Q308" s="1" t="s">
        <v>2241</v>
      </c>
      <c r="R308" s="1" t="n">
        <f aca="false">VALUE(LEFT(Q308,4))</f>
        <v>1903</v>
      </c>
      <c r="S308" s="1" t="n">
        <f aca="false">VALUE(MID(Q308,6,2))</f>
        <v>2</v>
      </c>
      <c r="T308" s="1" t="n">
        <f aca="false">VALUE(RIGHT(Q308,2))</f>
        <v>27</v>
      </c>
      <c r="U308" s="1" t="s">
        <v>91</v>
      </c>
      <c r="V308" s="1" t="s">
        <v>2248</v>
      </c>
    </row>
    <row r="309" customFormat="false" ht="15" hidden="false" customHeight="true" outlineLevel="0" collapsed="false">
      <c r="A309" s="1" t="n">
        <v>310</v>
      </c>
      <c r="B309" s="1" t="s">
        <v>2249</v>
      </c>
      <c r="C309" s="1" t="s">
        <v>2250</v>
      </c>
      <c r="D309" s="1" t="n">
        <f aca="false">VALUE(LEFT(B309,4))</f>
        <v>1903</v>
      </c>
      <c r="E309" s="1" t="n">
        <f aca="false">INT((D309-1)/100)+1</f>
        <v>20</v>
      </c>
      <c r="F309" s="1" t="s">
        <v>788</v>
      </c>
      <c r="G309" s="1" t="s">
        <v>2251</v>
      </c>
      <c r="H309" s="1" t="s">
        <v>2252</v>
      </c>
      <c r="I309" s="1" t="s">
        <v>2253</v>
      </c>
      <c r="J309" s="1" t="s">
        <v>346</v>
      </c>
      <c r="K309" s="1" t="s">
        <v>2254</v>
      </c>
      <c r="L309" s="1" t="s">
        <v>2255</v>
      </c>
      <c r="N309" s="1" t="s">
        <v>18</v>
      </c>
      <c r="O309" s="1" t="s">
        <v>89</v>
      </c>
      <c r="P309" s="1" t="s">
        <v>2256</v>
      </c>
      <c r="Q309" s="1" t="s">
        <v>2249</v>
      </c>
      <c r="R309" s="1" t="n">
        <f aca="false">VALUE(LEFT(Q309,4))</f>
        <v>1903</v>
      </c>
      <c r="S309" s="1" t="n">
        <f aca="false">VALUE(MID(Q309,6,2))</f>
        <v>3</v>
      </c>
      <c r="T309" s="1" t="n">
        <f aca="false">VALUE(RIGHT(Q309,2))</f>
        <v>10</v>
      </c>
      <c r="U309" s="1" t="s">
        <v>139</v>
      </c>
      <c r="V309" s="1" t="s">
        <v>2257</v>
      </c>
    </row>
    <row r="310" customFormat="false" ht="15" hidden="false" customHeight="true" outlineLevel="0" collapsed="false">
      <c r="A310" s="1" t="n">
        <v>311</v>
      </c>
      <c r="B310" s="1" t="s">
        <v>2249</v>
      </c>
      <c r="C310" s="1" t="s">
        <v>2250</v>
      </c>
      <c r="D310" s="1" t="n">
        <f aca="false">VALUE(LEFT(B310,4))</f>
        <v>1903</v>
      </c>
      <c r="E310" s="1" t="n">
        <f aca="false">INT((D310-1)/100)+1</f>
        <v>20</v>
      </c>
      <c r="F310" s="1" t="s">
        <v>2233</v>
      </c>
      <c r="G310" s="1" t="s">
        <v>2258</v>
      </c>
      <c r="H310" s="1" t="s">
        <v>2259</v>
      </c>
      <c r="I310" s="1" t="s">
        <v>2260</v>
      </c>
      <c r="J310" s="1" t="s">
        <v>346</v>
      </c>
      <c r="K310" s="1" t="s">
        <v>2261</v>
      </c>
      <c r="L310" s="1" t="s">
        <v>2255</v>
      </c>
      <c r="N310" s="1" t="s">
        <v>18</v>
      </c>
      <c r="O310" s="1" t="s">
        <v>89</v>
      </c>
      <c r="P310" s="1" t="s">
        <v>2262</v>
      </c>
      <c r="Q310" s="1" t="s">
        <v>2249</v>
      </c>
      <c r="R310" s="1" t="n">
        <f aca="false">VALUE(LEFT(Q310,4))</f>
        <v>1903</v>
      </c>
      <c r="S310" s="1" t="n">
        <f aca="false">VALUE(MID(Q310,6,2))</f>
        <v>3</v>
      </c>
      <c r="T310" s="1" t="n">
        <f aca="false">VALUE(RIGHT(Q310,2))</f>
        <v>10</v>
      </c>
      <c r="U310" s="1" t="s">
        <v>139</v>
      </c>
      <c r="V310" s="1" t="s">
        <v>2263</v>
      </c>
    </row>
    <row r="311" customFormat="false" ht="15" hidden="false" customHeight="true" outlineLevel="0" collapsed="false">
      <c r="A311" s="1" t="n">
        <v>312</v>
      </c>
      <c r="B311" s="1" t="s">
        <v>2264</v>
      </c>
      <c r="C311" s="1" t="s">
        <v>2264</v>
      </c>
      <c r="D311" s="1" t="n">
        <f aca="false">VALUE(LEFT(B311,4))</f>
        <v>1915</v>
      </c>
      <c r="E311" s="1" t="n">
        <f aca="false">INT((D311-1)/100)+1</f>
        <v>20</v>
      </c>
      <c r="F311" s="1" t="s">
        <v>2265</v>
      </c>
      <c r="G311" s="1" t="s">
        <v>2266</v>
      </c>
      <c r="H311" s="1" t="s">
        <v>2267</v>
      </c>
      <c r="I311" s="1" t="s">
        <v>2268</v>
      </c>
      <c r="J311" s="1" t="s">
        <v>346</v>
      </c>
      <c r="K311" s="1" t="s">
        <v>2269</v>
      </c>
      <c r="L311" s="1" t="s">
        <v>2270</v>
      </c>
      <c r="N311" s="1" t="s">
        <v>18</v>
      </c>
      <c r="O311" s="1" t="s">
        <v>89</v>
      </c>
      <c r="P311" s="1" t="s">
        <v>2271</v>
      </c>
      <c r="Q311" s="1" t="s">
        <v>2264</v>
      </c>
      <c r="R311" s="1" t="n">
        <f aca="false">VALUE(LEFT(Q311,4))</f>
        <v>1915</v>
      </c>
      <c r="S311" s="1" t="n">
        <f aca="false">VALUE(MID(Q311,6,2))</f>
        <v>4</v>
      </c>
      <c r="T311" s="1" t="n">
        <f aca="false">VALUE(RIGHT(Q311,2))</f>
        <v>28</v>
      </c>
      <c r="U311" s="1" t="s">
        <v>91</v>
      </c>
      <c r="V311" s="1" t="s">
        <v>2272</v>
      </c>
    </row>
    <row r="312" customFormat="false" ht="15" hidden="false" customHeight="true" outlineLevel="0" collapsed="false">
      <c r="A312" s="1" t="n">
        <v>313</v>
      </c>
      <c r="B312" s="1" t="s">
        <v>2273</v>
      </c>
      <c r="C312" s="1" t="s">
        <v>2273</v>
      </c>
      <c r="D312" s="1" t="n">
        <f aca="false">VALUE(LEFT(B312,4))</f>
        <v>1886</v>
      </c>
      <c r="E312" s="1" t="n">
        <f aca="false">INT((D312-1)/100)+1</f>
        <v>19</v>
      </c>
      <c r="F312" s="1" t="s">
        <v>2274</v>
      </c>
      <c r="G312" s="1" t="s">
        <v>2275</v>
      </c>
      <c r="H312" s="1" t="s">
        <v>2276</v>
      </c>
      <c r="I312" s="1" t="s">
        <v>2277</v>
      </c>
      <c r="J312" s="1" t="s">
        <v>346</v>
      </c>
      <c r="K312" s="1" t="s">
        <v>2278</v>
      </c>
      <c r="L312" s="1" t="s">
        <v>2279</v>
      </c>
      <c r="N312" s="1" t="s">
        <v>20</v>
      </c>
      <c r="O312" s="1" t="s">
        <v>89</v>
      </c>
      <c r="P312" s="1" t="s">
        <v>2280</v>
      </c>
      <c r="Q312" s="1" t="s">
        <v>2273</v>
      </c>
      <c r="R312" s="1" t="n">
        <f aca="false">VALUE(LEFT(Q312,4))</f>
        <v>1886</v>
      </c>
      <c r="S312" s="1" t="n">
        <f aca="false">VALUE(MID(Q312,6,2))</f>
        <v>3</v>
      </c>
      <c r="T312" s="1" t="n">
        <f aca="false">VALUE(RIGHT(Q312,2))</f>
        <v>17</v>
      </c>
      <c r="U312" s="1" t="s">
        <v>91</v>
      </c>
      <c r="V312" s="1" t="s">
        <v>2281</v>
      </c>
    </row>
    <row r="313" customFormat="false" ht="15" hidden="false" customHeight="true" outlineLevel="0" collapsed="false">
      <c r="A313" s="1" t="n">
        <v>314</v>
      </c>
      <c r="B313" s="1" t="s">
        <v>2282</v>
      </c>
      <c r="C313" s="1" t="s">
        <v>2283</v>
      </c>
      <c r="D313" s="1" t="n">
        <f aca="false">VALUE(LEFT(B313,4))</f>
        <v>2000</v>
      </c>
      <c r="E313" s="1" t="n">
        <f aca="false">INT((D313-1)/100)+1</f>
        <v>20</v>
      </c>
      <c r="F313" s="1" t="s">
        <v>1882</v>
      </c>
      <c r="G313" s="1" t="s">
        <v>2284</v>
      </c>
      <c r="H313" s="1" t="s">
        <v>2285</v>
      </c>
      <c r="I313" s="1" t="s">
        <v>2286</v>
      </c>
      <c r="J313" s="1" t="s">
        <v>346</v>
      </c>
      <c r="K313" s="1" t="s">
        <v>2287</v>
      </c>
      <c r="L313" s="1" t="s">
        <v>2288</v>
      </c>
      <c r="N313" s="1" t="s">
        <v>18</v>
      </c>
      <c r="O313" s="1" t="s">
        <v>89</v>
      </c>
      <c r="P313" s="1" t="s">
        <v>2289</v>
      </c>
      <c r="Q313" s="1" t="s">
        <v>2290</v>
      </c>
      <c r="R313" s="1" t="n">
        <f aca="false">VALUE(LEFT(Q313,4))</f>
        <v>2000</v>
      </c>
      <c r="S313" s="1" t="n">
        <f aca="false">VALUE(MID(Q313,6,2))</f>
        <v>6</v>
      </c>
      <c r="T313" s="1" t="n">
        <f aca="false">VALUE(RIGHT(Q313,2))</f>
        <v>1</v>
      </c>
      <c r="U313" s="1" t="s">
        <v>352</v>
      </c>
      <c r="V313" s="1" t="s">
        <v>2291</v>
      </c>
    </row>
    <row r="314" customFormat="false" ht="15" hidden="false" customHeight="true" outlineLevel="0" collapsed="false">
      <c r="A314" s="1" t="n">
        <v>315</v>
      </c>
      <c r="B314" s="1" t="s">
        <v>2292</v>
      </c>
      <c r="C314" s="1" t="s">
        <v>2293</v>
      </c>
      <c r="D314" s="1" t="n">
        <f aca="false">VALUE(LEFT(B314,4))</f>
        <v>1888</v>
      </c>
      <c r="E314" s="1" t="n">
        <f aca="false">INT((D314-1)/100)+1</f>
        <v>19</v>
      </c>
      <c r="F314" s="1" t="s">
        <v>2294</v>
      </c>
      <c r="G314" s="1" t="s">
        <v>2295</v>
      </c>
      <c r="H314" s="1" t="s">
        <v>2296</v>
      </c>
      <c r="I314" s="1" t="s">
        <v>2297</v>
      </c>
      <c r="J314" s="1" t="s">
        <v>346</v>
      </c>
      <c r="K314" s="1" t="s">
        <v>2298</v>
      </c>
      <c r="L314" s="1" t="s">
        <v>2299</v>
      </c>
      <c r="N314" s="1" t="s">
        <v>18</v>
      </c>
      <c r="O314" s="1" t="s">
        <v>89</v>
      </c>
      <c r="P314" s="1" t="s">
        <v>2300</v>
      </c>
      <c r="Q314" s="1" t="s">
        <v>2301</v>
      </c>
      <c r="R314" s="1" t="n">
        <f aca="false">VALUE(LEFT(Q314,4))</f>
        <v>1888</v>
      </c>
      <c r="S314" s="1" t="n">
        <f aca="false">VALUE(MID(Q314,6,2))</f>
        <v>3</v>
      </c>
      <c r="T314" s="1" t="n">
        <f aca="false">VALUE(RIGHT(Q314,2))</f>
        <v>24</v>
      </c>
      <c r="U314" s="1" t="s">
        <v>139</v>
      </c>
      <c r="V314" s="1" t="s">
        <v>2302</v>
      </c>
    </row>
    <row r="315" customFormat="false" ht="15" hidden="false" customHeight="true" outlineLevel="0" collapsed="false">
      <c r="A315" s="1" t="n">
        <v>316</v>
      </c>
      <c r="B315" s="1" t="s">
        <v>2292</v>
      </c>
      <c r="C315" s="1" t="s">
        <v>2293</v>
      </c>
      <c r="D315" s="1" t="n">
        <f aca="false">VALUE(LEFT(B315,4))</f>
        <v>1888</v>
      </c>
      <c r="E315" s="1" t="n">
        <f aca="false">INT((D315-1)/100)+1</f>
        <v>19</v>
      </c>
      <c r="F315" s="1" t="s">
        <v>2233</v>
      </c>
      <c r="G315" s="1" t="s">
        <v>2303</v>
      </c>
      <c r="H315" s="1" t="s">
        <v>2304</v>
      </c>
      <c r="I315" s="1" t="s">
        <v>2305</v>
      </c>
      <c r="J315" s="1" t="s">
        <v>346</v>
      </c>
      <c r="K315" s="1" t="s">
        <v>2306</v>
      </c>
      <c r="L315" s="1" t="s">
        <v>2299</v>
      </c>
      <c r="N315" s="1" t="s">
        <v>18</v>
      </c>
      <c r="O315" s="1" t="s">
        <v>89</v>
      </c>
      <c r="P315" s="1" t="s">
        <v>2307</v>
      </c>
      <c r="Q315" s="1" t="s">
        <v>2301</v>
      </c>
      <c r="R315" s="1" t="n">
        <f aca="false">VALUE(LEFT(Q315,4))</f>
        <v>1888</v>
      </c>
      <c r="S315" s="1" t="n">
        <f aca="false">VALUE(MID(Q315,6,2))</f>
        <v>3</v>
      </c>
      <c r="T315" s="1" t="n">
        <f aca="false">VALUE(RIGHT(Q315,2))</f>
        <v>24</v>
      </c>
      <c r="U315" s="1" t="s">
        <v>139</v>
      </c>
      <c r="V315" s="1" t="s">
        <v>2308</v>
      </c>
    </row>
    <row r="316" customFormat="false" ht="15" hidden="false" customHeight="true" outlineLevel="0" collapsed="false">
      <c r="A316" s="1" t="n">
        <v>317</v>
      </c>
      <c r="B316" s="1" t="s">
        <v>2309</v>
      </c>
      <c r="C316" s="1" t="s">
        <v>2309</v>
      </c>
      <c r="D316" s="1" t="n">
        <f aca="false">VALUE(LEFT(B316,4))</f>
        <v>1890</v>
      </c>
      <c r="E316" s="1" t="n">
        <f aca="false">INT((D316-1)/100)+1</f>
        <v>19</v>
      </c>
      <c r="F316" s="1" t="s">
        <v>2310</v>
      </c>
      <c r="G316" s="1" t="s">
        <v>2311</v>
      </c>
      <c r="H316" s="1" t="s">
        <v>2312</v>
      </c>
      <c r="I316" s="1" t="s">
        <v>2313</v>
      </c>
      <c r="J316" s="1" t="s">
        <v>346</v>
      </c>
      <c r="K316" s="1" t="s">
        <v>2314</v>
      </c>
      <c r="L316" s="1" t="s">
        <v>2315</v>
      </c>
      <c r="N316" s="1" t="s">
        <v>18</v>
      </c>
      <c r="O316" s="1" t="s">
        <v>89</v>
      </c>
      <c r="P316" s="1" t="s">
        <v>2316</v>
      </c>
      <c r="Q316" s="1" t="s">
        <v>2309</v>
      </c>
      <c r="R316" s="1" t="n">
        <f aca="false">VALUE(LEFT(Q316,4))</f>
        <v>1890</v>
      </c>
      <c r="S316" s="1" t="n">
        <f aca="false">VALUE(MID(Q316,6,2))</f>
        <v>9</v>
      </c>
      <c r="T316" s="1" t="n">
        <f aca="false">VALUE(RIGHT(Q316,2))</f>
        <v>21</v>
      </c>
      <c r="U316" s="1" t="s">
        <v>91</v>
      </c>
      <c r="V316" s="1" t="s">
        <v>2317</v>
      </c>
    </row>
    <row r="317" customFormat="false" ht="15" hidden="false" customHeight="true" outlineLevel="0" collapsed="false">
      <c r="A317" s="1" t="n">
        <v>319</v>
      </c>
      <c r="B317" s="1" t="s">
        <v>2318</v>
      </c>
      <c r="C317" s="1" t="s">
        <v>2319</v>
      </c>
      <c r="D317" s="1" t="n">
        <f aca="false">VALUE(LEFT(B317,4))</f>
        <v>1902</v>
      </c>
      <c r="E317" s="1" t="n">
        <f aca="false">INT((D317-1)/100)+1</f>
        <v>20</v>
      </c>
      <c r="F317" s="1" t="s">
        <v>233</v>
      </c>
      <c r="G317" s="1" t="s">
        <v>2320</v>
      </c>
      <c r="H317" s="1" t="s">
        <v>2321</v>
      </c>
      <c r="I317" s="1" t="s">
        <v>2322</v>
      </c>
      <c r="J317" s="1" t="s">
        <v>346</v>
      </c>
      <c r="K317" s="1" t="s">
        <v>2323</v>
      </c>
      <c r="L317" s="1" t="s">
        <v>2324</v>
      </c>
      <c r="N317" s="1" t="s">
        <v>18</v>
      </c>
      <c r="O317" s="1" t="s">
        <v>89</v>
      </c>
      <c r="P317" s="1" t="s">
        <v>2325</v>
      </c>
      <c r="Q317" s="1" t="s">
        <v>2318</v>
      </c>
      <c r="R317" s="1" t="n">
        <f aca="false">VALUE(LEFT(Q317,4))</f>
        <v>1902</v>
      </c>
      <c r="S317" s="1" t="n">
        <f aca="false">VALUE(MID(Q317,6,2))</f>
        <v>2</v>
      </c>
      <c r="T317" s="1" t="n">
        <f aca="false">VALUE(RIGHT(Q317,2))</f>
        <v>2</v>
      </c>
      <c r="U317" s="1" t="s">
        <v>139</v>
      </c>
      <c r="V317" s="1" t="s">
        <v>2326</v>
      </c>
    </row>
    <row r="318" customFormat="false" ht="15" hidden="false" customHeight="true" outlineLevel="0" collapsed="false">
      <c r="A318" s="1" t="n">
        <v>320</v>
      </c>
      <c r="B318" s="1" t="s">
        <v>2327</v>
      </c>
      <c r="C318" s="1" t="s">
        <v>2327</v>
      </c>
      <c r="D318" s="1" t="n">
        <f aca="false">VALUE(LEFT(B318,4))</f>
        <v>1902</v>
      </c>
      <c r="E318" s="1" t="n">
        <f aca="false">INT((D318-1)/100)+1</f>
        <v>20</v>
      </c>
      <c r="F318" s="1" t="s">
        <v>2328</v>
      </c>
      <c r="G318" s="1" t="s">
        <v>2329</v>
      </c>
      <c r="H318" s="1" t="s">
        <v>2330</v>
      </c>
      <c r="I318" s="1" t="s">
        <v>2331</v>
      </c>
      <c r="J318" s="1" t="s">
        <v>346</v>
      </c>
      <c r="K318" s="1" t="s">
        <v>2332</v>
      </c>
      <c r="L318" s="1" t="s">
        <v>2333</v>
      </c>
      <c r="N318" s="1" t="s">
        <v>18</v>
      </c>
      <c r="O318" s="1" t="s">
        <v>89</v>
      </c>
      <c r="P318" s="1" t="s">
        <v>2334</v>
      </c>
      <c r="Q318" s="1" t="s">
        <v>2327</v>
      </c>
      <c r="R318" s="1" t="n">
        <f aca="false">VALUE(LEFT(Q318,4))</f>
        <v>1902</v>
      </c>
      <c r="S318" s="1" t="n">
        <f aca="false">VALUE(MID(Q318,6,2))</f>
        <v>3</v>
      </c>
      <c r="T318" s="1" t="n">
        <f aca="false">VALUE(RIGHT(Q318,2))</f>
        <v>23</v>
      </c>
      <c r="U318" s="1" t="s">
        <v>91</v>
      </c>
      <c r="V318" s="1" t="s">
        <v>2335</v>
      </c>
    </row>
    <row r="319" customFormat="false" ht="15" hidden="false" customHeight="true" outlineLevel="0" collapsed="false">
      <c r="A319" s="1" t="n">
        <v>321</v>
      </c>
      <c r="B319" s="1" t="s">
        <v>2336</v>
      </c>
      <c r="C319" s="1" t="s">
        <v>2337</v>
      </c>
      <c r="D319" s="1" t="n">
        <f aca="false">VALUE(LEFT(B319,4))</f>
        <v>1903</v>
      </c>
      <c r="E319" s="1" t="n">
        <f aca="false">INT((D319-1)/100)+1</f>
        <v>20</v>
      </c>
      <c r="F319" s="1" t="s">
        <v>567</v>
      </c>
      <c r="G319" s="1" t="s">
        <v>2338</v>
      </c>
      <c r="H319" s="1" t="s">
        <v>2339</v>
      </c>
      <c r="I319" s="1" t="s">
        <v>2340</v>
      </c>
      <c r="J319" s="1" t="s">
        <v>346</v>
      </c>
      <c r="K319" s="1" t="s">
        <v>2341</v>
      </c>
      <c r="L319" s="1" t="s">
        <v>2342</v>
      </c>
      <c r="N319" s="1" t="s">
        <v>18</v>
      </c>
      <c r="O319" s="1" t="s">
        <v>89</v>
      </c>
      <c r="P319" s="1" t="s">
        <v>2343</v>
      </c>
      <c r="Q319" s="1" t="s">
        <v>2016</v>
      </c>
      <c r="R319" s="1" t="n">
        <f aca="false">VALUE(LEFT(Q319,4))</f>
        <v>1903</v>
      </c>
      <c r="S319" s="1" t="n">
        <f aca="false">VALUE(MID(Q319,6,2))</f>
        <v>1</v>
      </c>
      <c r="T319" s="1" t="n">
        <f aca="false">VALUE(RIGHT(Q319,2))</f>
        <v>30</v>
      </c>
      <c r="U319" s="1" t="s">
        <v>139</v>
      </c>
      <c r="V319" s="1" t="s">
        <v>2344</v>
      </c>
    </row>
    <row r="320" customFormat="false" ht="15" hidden="false" customHeight="true" outlineLevel="0" collapsed="false">
      <c r="A320" s="1" t="n">
        <v>322</v>
      </c>
      <c r="B320" s="1" t="s">
        <v>2016</v>
      </c>
      <c r="C320" s="1" t="s">
        <v>2016</v>
      </c>
      <c r="D320" s="1" t="n">
        <f aca="false">VALUE(LEFT(B320,4))</f>
        <v>1903</v>
      </c>
      <c r="E320" s="1" t="n">
        <f aca="false">INT((D320-1)/100)+1</f>
        <v>20</v>
      </c>
      <c r="F320" s="1" t="s">
        <v>594</v>
      </c>
      <c r="G320" s="1" t="s">
        <v>2345</v>
      </c>
      <c r="H320" s="1" t="s">
        <v>2346</v>
      </c>
      <c r="I320" s="1" t="s">
        <v>2347</v>
      </c>
      <c r="J320" s="1" t="s">
        <v>346</v>
      </c>
      <c r="K320" s="1" t="s">
        <v>2348</v>
      </c>
      <c r="L320" s="1" t="s">
        <v>2349</v>
      </c>
      <c r="N320" s="1" t="s">
        <v>18</v>
      </c>
      <c r="O320" s="1" t="s">
        <v>89</v>
      </c>
      <c r="P320" s="1" t="s">
        <v>2350</v>
      </c>
      <c r="Q320" s="1" t="s">
        <v>2016</v>
      </c>
      <c r="R320" s="1" t="n">
        <f aca="false">VALUE(LEFT(Q320,4))</f>
        <v>1903</v>
      </c>
      <c r="S320" s="1" t="n">
        <f aca="false">VALUE(MID(Q320,6,2))</f>
        <v>1</v>
      </c>
      <c r="T320" s="1" t="n">
        <f aca="false">VALUE(RIGHT(Q320,2))</f>
        <v>30</v>
      </c>
      <c r="U320" s="1" t="s">
        <v>91</v>
      </c>
      <c r="V320" s="1" t="s">
        <v>2351</v>
      </c>
    </row>
    <row r="321" customFormat="false" ht="15" hidden="false" customHeight="true" outlineLevel="0" collapsed="false">
      <c r="A321" s="1" t="n">
        <v>323</v>
      </c>
      <c r="B321" s="1" t="s">
        <v>2352</v>
      </c>
      <c r="C321" s="1" t="s">
        <v>2352</v>
      </c>
      <c r="D321" s="1" t="n">
        <f aca="false">VALUE(LEFT(B321,4))</f>
        <v>1923</v>
      </c>
      <c r="E321" s="1" t="n">
        <f aca="false">INT((D321-1)/100)+1</f>
        <v>20</v>
      </c>
      <c r="F321" s="1" t="s">
        <v>2233</v>
      </c>
      <c r="G321" s="1" t="s">
        <v>2353</v>
      </c>
      <c r="H321" s="1" t="s">
        <v>2354</v>
      </c>
      <c r="I321" s="1" t="s">
        <v>2355</v>
      </c>
      <c r="J321" s="1" t="s">
        <v>346</v>
      </c>
      <c r="K321" s="1" t="s">
        <v>2356</v>
      </c>
      <c r="L321" s="1" t="s">
        <v>2357</v>
      </c>
      <c r="N321" s="1" t="s">
        <v>18</v>
      </c>
      <c r="O321" s="1" t="s">
        <v>89</v>
      </c>
      <c r="P321" s="1" t="s">
        <v>2358</v>
      </c>
      <c r="Q321" s="1" t="s">
        <v>2352</v>
      </c>
      <c r="R321" s="1" t="n">
        <f aca="false">VALUE(LEFT(Q321,4))</f>
        <v>1923</v>
      </c>
      <c r="S321" s="1" t="n">
        <f aca="false">VALUE(MID(Q321,6,2))</f>
        <v>11</v>
      </c>
      <c r="T321" s="1" t="n">
        <f aca="false">VALUE(RIGHT(Q321,2))</f>
        <v>5</v>
      </c>
      <c r="U321" s="1" t="s">
        <v>91</v>
      </c>
      <c r="V321" s="1" t="s">
        <v>2359</v>
      </c>
    </row>
    <row r="322" customFormat="false" ht="15" hidden="false" customHeight="true" outlineLevel="0" collapsed="false">
      <c r="A322" s="1" t="n">
        <v>324</v>
      </c>
      <c r="B322" s="1" t="s">
        <v>2360</v>
      </c>
      <c r="C322" s="1" t="s">
        <v>2361</v>
      </c>
      <c r="D322" s="1" t="n">
        <f aca="false">VALUE(LEFT(B322,4))</f>
        <v>1949</v>
      </c>
      <c r="E322" s="1" t="n">
        <f aca="false">INT((D322-1)/100)+1</f>
        <v>20</v>
      </c>
      <c r="F322" s="1" t="s">
        <v>2362</v>
      </c>
      <c r="G322" s="1" t="s">
        <v>2363</v>
      </c>
      <c r="H322" s="1" t="s">
        <v>2364</v>
      </c>
      <c r="I322" s="1" t="s">
        <v>2365</v>
      </c>
      <c r="J322" s="1" t="s">
        <v>346</v>
      </c>
      <c r="K322" s="1" t="s">
        <v>2366</v>
      </c>
      <c r="L322" s="1" t="s">
        <v>2367</v>
      </c>
      <c r="N322" s="1" t="s">
        <v>18</v>
      </c>
      <c r="O322" s="1" t="s">
        <v>89</v>
      </c>
      <c r="P322" s="1" t="s">
        <v>2368</v>
      </c>
      <c r="Q322" s="1" t="s">
        <v>2369</v>
      </c>
      <c r="R322" s="1" t="n">
        <f aca="false">VALUE(LEFT(Q322,4))</f>
        <v>1949</v>
      </c>
      <c r="S322" s="1" t="n">
        <f aca="false">VALUE(MID(Q322,6,2))</f>
        <v>5</v>
      </c>
      <c r="T322" s="1" t="n">
        <f aca="false">VALUE(RIGHT(Q322,2))</f>
        <v>6</v>
      </c>
      <c r="U322" s="1" t="s">
        <v>139</v>
      </c>
      <c r="V322" s="1" t="s">
        <v>2370</v>
      </c>
    </row>
    <row r="323" customFormat="false" ht="15" hidden="false" customHeight="true" outlineLevel="0" collapsed="false">
      <c r="A323" s="1" t="n">
        <v>325</v>
      </c>
      <c r="D323" s="1" t="str">
        <f aca="false">IFERROR(VALUE(LEFT(B323,4)),"")</f>
        <v/>
      </c>
      <c r="E323" s="1" t="str">
        <f aca="false">IFERROR(INT((D323-1)/100)+1,"")</f>
        <v/>
      </c>
      <c r="F323" s="1" t="s">
        <v>594</v>
      </c>
      <c r="G323" s="1" t="s">
        <v>2371</v>
      </c>
      <c r="H323" s="1" t="s">
        <v>2372</v>
      </c>
      <c r="I323" s="1" t="s">
        <v>2373</v>
      </c>
      <c r="J323" s="1" t="s">
        <v>346</v>
      </c>
      <c r="K323" s="1" t="s">
        <v>2374</v>
      </c>
      <c r="L323" s="1" t="s">
        <v>2375</v>
      </c>
      <c r="N323" s="1" t="s">
        <v>20</v>
      </c>
      <c r="O323" s="1" t="s">
        <v>89</v>
      </c>
      <c r="P323" s="1" t="s">
        <v>2376</v>
      </c>
      <c r="R323" s="1" t="str">
        <f aca="false">IFERROR(VALUE(LEFT(Q323,4)),"")</f>
        <v/>
      </c>
      <c r="S323" s="1" t="str">
        <f aca="false">IFERROR(VALUE(MID(Q323,6,2)),"")</f>
        <v/>
      </c>
      <c r="T323" s="1" t="str">
        <f aca="false">IFERROR(VALUE(RIGHT(Q323,2)),"")</f>
        <v/>
      </c>
      <c r="V323" s="1" t="s">
        <v>2377</v>
      </c>
    </row>
    <row r="324" customFormat="false" ht="15" hidden="false" customHeight="true" outlineLevel="0" collapsed="false">
      <c r="A324" s="1" t="n">
        <v>327</v>
      </c>
      <c r="B324" s="1" t="s">
        <v>2378</v>
      </c>
      <c r="C324" s="1" t="s">
        <v>2081</v>
      </c>
      <c r="D324" s="1" t="n">
        <f aca="false">VALUE(LEFT(B324,4))</f>
        <v>2004</v>
      </c>
      <c r="E324" s="1" t="n">
        <f aca="false">INT((D324-1)/100)+1</f>
        <v>21</v>
      </c>
      <c r="F324" s="1" t="s">
        <v>745</v>
      </c>
      <c r="G324" s="1" t="s">
        <v>2379</v>
      </c>
      <c r="H324" s="1" t="s">
        <v>2380</v>
      </c>
      <c r="I324" s="1" t="s">
        <v>2381</v>
      </c>
      <c r="J324" s="1" t="s">
        <v>346</v>
      </c>
      <c r="K324" s="1" t="s">
        <v>2382</v>
      </c>
      <c r="L324" s="1" t="s">
        <v>2383</v>
      </c>
      <c r="N324" s="1" t="s">
        <v>18</v>
      </c>
      <c r="O324" s="1" t="s">
        <v>89</v>
      </c>
      <c r="P324" s="1" t="s">
        <v>2384</v>
      </c>
      <c r="Q324" s="1" t="s">
        <v>2385</v>
      </c>
      <c r="R324" s="1" t="n">
        <f aca="false">VALUE(LEFT(Q324,4))</f>
        <v>2004</v>
      </c>
      <c r="S324" s="1" t="n">
        <f aca="false">VALUE(MID(Q324,6,2))</f>
        <v>4</v>
      </c>
      <c r="T324" s="1" t="n">
        <f aca="false">VALUE(RIGHT(Q324,2))</f>
        <v>1</v>
      </c>
      <c r="U324" s="1" t="s">
        <v>128</v>
      </c>
      <c r="V324" s="1" t="s">
        <v>2386</v>
      </c>
    </row>
    <row r="325" customFormat="false" ht="15" hidden="false" customHeight="true" outlineLevel="0" collapsed="false">
      <c r="A325" s="1" t="n">
        <v>328</v>
      </c>
      <c r="B325" s="1" t="s">
        <v>2387</v>
      </c>
      <c r="C325" s="1" t="s">
        <v>2387</v>
      </c>
      <c r="D325" s="1" t="n">
        <f aca="false">VALUE(LEFT(B325,4))</f>
        <v>2016</v>
      </c>
      <c r="E325" s="1" t="n">
        <f aca="false">INT((D325-1)/100)+1</f>
        <v>21</v>
      </c>
      <c r="F325" s="1" t="s">
        <v>2388</v>
      </c>
      <c r="G325" s="1" t="s">
        <v>2389</v>
      </c>
      <c r="H325" s="1" t="s">
        <v>2390</v>
      </c>
      <c r="I325" s="1" t="s">
        <v>2391</v>
      </c>
      <c r="J325" s="1" t="s">
        <v>346</v>
      </c>
      <c r="K325" s="1" t="s">
        <v>2392</v>
      </c>
      <c r="L325" s="1" t="s">
        <v>2393</v>
      </c>
      <c r="N325" s="1" t="s">
        <v>20</v>
      </c>
      <c r="O325" s="1" t="s">
        <v>89</v>
      </c>
      <c r="P325" s="1" t="s">
        <v>2394</v>
      </c>
      <c r="Q325" s="1" t="s">
        <v>2387</v>
      </c>
      <c r="R325" s="1" t="n">
        <f aca="false">VALUE(LEFT(Q325,4))</f>
        <v>2016</v>
      </c>
      <c r="S325" s="1" t="n">
        <f aca="false">VALUE(MID(Q325,6,2))</f>
        <v>6</v>
      </c>
      <c r="T325" s="1" t="n">
        <f aca="false">VALUE(RIGHT(Q325,2))</f>
        <v>8</v>
      </c>
      <c r="U325" s="1" t="s">
        <v>91</v>
      </c>
      <c r="V325" s="1" t="s">
        <v>2395</v>
      </c>
    </row>
    <row r="326" customFormat="false" ht="15" hidden="false" customHeight="true" outlineLevel="0" collapsed="false">
      <c r="A326" s="1" t="n">
        <v>330</v>
      </c>
      <c r="B326" s="1" t="s">
        <v>2396</v>
      </c>
      <c r="C326" s="1" t="s">
        <v>2396</v>
      </c>
      <c r="D326" s="1" t="n">
        <f aca="false">VALUE(LEFT(B326,4))</f>
        <v>2014</v>
      </c>
      <c r="E326" s="1" t="n">
        <f aca="false">INT((D326-1)/100)+1</f>
        <v>21</v>
      </c>
      <c r="F326" s="1" t="s">
        <v>594</v>
      </c>
      <c r="G326" s="1" t="s">
        <v>2397</v>
      </c>
      <c r="H326" s="1" t="s">
        <v>2398</v>
      </c>
      <c r="I326" s="1" t="s">
        <v>2399</v>
      </c>
      <c r="J326" s="1" t="s">
        <v>346</v>
      </c>
      <c r="K326" s="1" t="s">
        <v>2400</v>
      </c>
      <c r="L326" s="1" t="s">
        <v>2401</v>
      </c>
      <c r="N326" s="1" t="s">
        <v>18</v>
      </c>
      <c r="O326" s="1" t="s">
        <v>89</v>
      </c>
      <c r="P326" s="1" t="s">
        <v>2402</v>
      </c>
      <c r="Q326" s="1" t="s">
        <v>2396</v>
      </c>
      <c r="R326" s="1" t="n">
        <f aca="false">VALUE(LEFT(Q326,4))</f>
        <v>2014</v>
      </c>
      <c r="S326" s="1" t="n">
        <f aca="false">VALUE(MID(Q326,6,2))</f>
        <v>5</v>
      </c>
      <c r="T326" s="1" t="n">
        <f aca="false">VALUE(RIGHT(Q326,2))</f>
        <v>15</v>
      </c>
      <c r="U326" s="1" t="s">
        <v>91</v>
      </c>
      <c r="V326" s="1" t="s">
        <v>2403</v>
      </c>
    </row>
    <row r="327" customFormat="false" ht="15" hidden="false" customHeight="true" outlineLevel="0" collapsed="false">
      <c r="A327" s="1" t="n">
        <v>331</v>
      </c>
      <c r="B327" s="1" t="s">
        <v>2404</v>
      </c>
      <c r="C327" s="1" t="s">
        <v>2404</v>
      </c>
      <c r="D327" s="1" t="n">
        <f aca="false">VALUE(LEFT(B327,4))</f>
        <v>2013</v>
      </c>
      <c r="E327" s="1" t="n">
        <f aca="false">INT((D327-1)/100)+1</f>
        <v>21</v>
      </c>
      <c r="F327" s="1" t="s">
        <v>2405</v>
      </c>
      <c r="G327" s="1" t="s">
        <v>2406</v>
      </c>
      <c r="H327" s="1" t="s">
        <v>2407</v>
      </c>
      <c r="I327" s="1" t="s">
        <v>2408</v>
      </c>
      <c r="J327" s="1" t="s">
        <v>346</v>
      </c>
      <c r="K327" s="1" t="s">
        <v>2409</v>
      </c>
      <c r="L327" s="1" t="s">
        <v>2410</v>
      </c>
      <c r="N327" s="1" t="s">
        <v>18</v>
      </c>
      <c r="O327" s="1" t="s">
        <v>89</v>
      </c>
      <c r="P327" s="1" t="s">
        <v>2411</v>
      </c>
      <c r="Q327" s="1" t="s">
        <v>2404</v>
      </c>
      <c r="R327" s="1" t="n">
        <f aca="false">VALUE(LEFT(Q327,4))</f>
        <v>2013</v>
      </c>
      <c r="S327" s="1" t="n">
        <f aca="false">VALUE(MID(Q327,6,2))</f>
        <v>6</v>
      </c>
      <c r="T327" s="1" t="n">
        <f aca="false">VALUE(RIGHT(Q327,2))</f>
        <v>16</v>
      </c>
      <c r="U327" s="1" t="s">
        <v>91</v>
      </c>
      <c r="V327" s="1" t="s">
        <v>2412</v>
      </c>
    </row>
    <row r="328" customFormat="false" ht="15" hidden="false" customHeight="true" outlineLevel="0" collapsed="false">
      <c r="A328" s="1" t="n">
        <v>332</v>
      </c>
      <c r="B328" s="1" t="s">
        <v>2413</v>
      </c>
      <c r="C328" s="1" t="s">
        <v>2413</v>
      </c>
      <c r="D328" s="1" t="n">
        <f aca="false">VALUE(LEFT(B328,4))</f>
        <v>1968</v>
      </c>
      <c r="E328" s="1" t="n">
        <f aca="false">INT((D328-1)/100)+1</f>
        <v>20</v>
      </c>
      <c r="F328" s="1" t="s">
        <v>594</v>
      </c>
      <c r="G328" s="1" t="s">
        <v>2414</v>
      </c>
      <c r="H328" s="1" t="s">
        <v>2415</v>
      </c>
      <c r="I328" s="1" t="s">
        <v>2416</v>
      </c>
      <c r="J328" s="1" t="s">
        <v>346</v>
      </c>
      <c r="K328" s="1" t="s">
        <v>2417</v>
      </c>
      <c r="L328" s="1" t="s">
        <v>2418</v>
      </c>
      <c r="N328" s="1" t="s">
        <v>18</v>
      </c>
      <c r="O328" s="1" t="s">
        <v>89</v>
      </c>
      <c r="P328" s="1" t="s">
        <v>2419</v>
      </c>
      <c r="Q328" s="1" t="s">
        <v>2413</v>
      </c>
      <c r="R328" s="1" t="n">
        <f aca="false">VALUE(LEFT(Q328,4))</f>
        <v>1968</v>
      </c>
      <c r="S328" s="1" t="n">
        <f aca="false">VALUE(MID(Q328,6,2))</f>
        <v>5</v>
      </c>
      <c r="T328" s="1" t="n">
        <f aca="false">VALUE(RIGHT(Q328,2))</f>
        <v>29</v>
      </c>
      <c r="U328" s="1" t="s">
        <v>91</v>
      </c>
      <c r="V328" s="1" t="s">
        <v>2420</v>
      </c>
    </row>
    <row r="329" customFormat="false" ht="15" hidden="false" customHeight="true" outlineLevel="0" collapsed="false">
      <c r="A329" s="1" t="n">
        <v>333</v>
      </c>
      <c r="B329" s="1" t="s">
        <v>2421</v>
      </c>
      <c r="C329" s="1" t="s">
        <v>2421</v>
      </c>
      <c r="D329" s="1" t="n">
        <f aca="false">VALUE(LEFT(B329,4))</f>
        <v>1889</v>
      </c>
      <c r="E329" s="1" t="n">
        <f aca="false">INT((D329-1)/100)+1</f>
        <v>19</v>
      </c>
      <c r="F329" s="1" t="s">
        <v>956</v>
      </c>
      <c r="G329" s="1" t="s">
        <v>2422</v>
      </c>
      <c r="H329" s="1" t="s">
        <v>2423</v>
      </c>
      <c r="I329" s="1" t="s">
        <v>2424</v>
      </c>
      <c r="J329" s="1" t="s">
        <v>2425</v>
      </c>
      <c r="K329" s="1" t="s">
        <v>2426</v>
      </c>
      <c r="L329" s="1" t="s">
        <v>2427</v>
      </c>
      <c r="M329" s="1" t="s">
        <v>2428</v>
      </c>
      <c r="N329" s="1" t="s">
        <v>18</v>
      </c>
      <c r="O329" s="1" t="s">
        <v>89</v>
      </c>
      <c r="P329" s="1" t="s">
        <v>2429</v>
      </c>
      <c r="Q329" s="1" t="s">
        <v>2421</v>
      </c>
      <c r="R329" s="1" t="n">
        <f aca="false">VALUE(LEFT(Q329,4))</f>
        <v>1889</v>
      </c>
      <c r="S329" s="1" t="n">
        <f aca="false">VALUE(MID(Q329,6,2))</f>
        <v>12</v>
      </c>
      <c r="T329" s="1" t="n">
        <f aca="false">VALUE(RIGHT(Q329,2))</f>
        <v>26</v>
      </c>
      <c r="U329" s="1" t="s">
        <v>91</v>
      </c>
      <c r="V329" s="1" t="s">
        <v>2430</v>
      </c>
    </row>
    <row r="330" customFormat="false" ht="15" hidden="false" customHeight="true" outlineLevel="0" collapsed="false">
      <c r="A330" s="1" t="n">
        <v>334</v>
      </c>
      <c r="B330" s="1" t="s">
        <v>2431</v>
      </c>
      <c r="C330" s="1" t="s">
        <v>2432</v>
      </c>
      <c r="D330" s="1" t="n">
        <f aca="false">VALUE(LEFT(B330,4))</f>
        <v>1894</v>
      </c>
      <c r="E330" s="1" t="n">
        <f aca="false">INT((D330-1)/100)+1</f>
        <v>19</v>
      </c>
      <c r="F330" s="1" t="s">
        <v>233</v>
      </c>
      <c r="G330" s="1" t="s">
        <v>2433</v>
      </c>
      <c r="H330" s="1" t="s">
        <v>2434</v>
      </c>
      <c r="I330" s="1" t="s">
        <v>2435</v>
      </c>
      <c r="J330" s="1" t="s">
        <v>324</v>
      </c>
      <c r="K330" s="1" t="s">
        <v>2436</v>
      </c>
      <c r="L330" s="1" t="s">
        <v>2437</v>
      </c>
      <c r="M330" s="1" t="s">
        <v>2428</v>
      </c>
      <c r="N330" s="1" t="s">
        <v>18</v>
      </c>
      <c r="O330" s="1" t="s">
        <v>89</v>
      </c>
      <c r="P330" s="1" t="s">
        <v>2438</v>
      </c>
      <c r="Q330" s="1" t="s">
        <v>2432</v>
      </c>
      <c r="R330" s="1" t="n">
        <f aca="false">VALUE(LEFT(Q330,4))</f>
        <v>1894</v>
      </c>
      <c r="S330" s="1" t="n">
        <f aca="false">VALUE(MID(Q330,6,2))</f>
        <v>1</v>
      </c>
      <c r="T330" s="1" t="n">
        <f aca="false">VALUE(RIGHT(Q330,2))</f>
        <v>30</v>
      </c>
      <c r="U330" s="1" t="s">
        <v>139</v>
      </c>
      <c r="V330" s="1" t="s">
        <v>2439</v>
      </c>
    </row>
    <row r="331" customFormat="false" ht="15" hidden="false" customHeight="true" outlineLevel="0" collapsed="false">
      <c r="A331" s="1" t="n">
        <v>335</v>
      </c>
      <c r="B331" s="1" t="s">
        <v>2440</v>
      </c>
      <c r="C331" s="1" t="s">
        <v>2440</v>
      </c>
      <c r="D331" s="1" t="n">
        <f aca="false">VALUE(LEFT(B331,4))</f>
        <v>1898</v>
      </c>
      <c r="E331" s="1" t="n">
        <f aca="false">INT((D331-1)/100)+1</f>
        <v>19</v>
      </c>
      <c r="F331" s="1" t="s">
        <v>956</v>
      </c>
      <c r="G331" s="1" t="s">
        <v>2441</v>
      </c>
      <c r="H331" s="1" t="s">
        <v>2442</v>
      </c>
      <c r="I331" s="1" t="s">
        <v>2443</v>
      </c>
      <c r="J331" s="1" t="s">
        <v>2444</v>
      </c>
      <c r="K331" s="1" t="s">
        <v>2445</v>
      </c>
      <c r="L331" s="1" t="s">
        <v>2446</v>
      </c>
      <c r="M331" s="1" t="s">
        <v>2428</v>
      </c>
      <c r="N331" s="1" t="s">
        <v>18</v>
      </c>
      <c r="O331" s="1" t="s">
        <v>89</v>
      </c>
      <c r="P331" s="1" t="s">
        <v>2447</v>
      </c>
      <c r="Q331" s="1" t="s">
        <v>2440</v>
      </c>
      <c r="R331" s="1" t="n">
        <f aca="false">VALUE(LEFT(Q331,4))</f>
        <v>1898</v>
      </c>
      <c r="S331" s="1" t="n">
        <f aca="false">VALUE(MID(Q331,6,2))</f>
        <v>12</v>
      </c>
      <c r="T331" s="1" t="n">
        <f aca="false">VALUE(RIGHT(Q331,2))</f>
        <v>5</v>
      </c>
      <c r="U331" s="1" t="s">
        <v>91</v>
      </c>
      <c r="V331" s="1" t="s">
        <v>2448</v>
      </c>
    </row>
    <row r="332" customFormat="false" ht="15" hidden="false" customHeight="true" outlineLevel="0" collapsed="false">
      <c r="A332" s="1" t="n">
        <v>336</v>
      </c>
      <c r="B332" s="1" t="s">
        <v>2449</v>
      </c>
      <c r="C332" s="1" t="s">
        <v>2449</v>
      </c>
      <c r="D332" s="1" t="n">
        <f aca="false">VALUE(LEFT(B332,4))</f>
        <v>1900</v>
      </c>
      <c r="E332" s="1" t="n">
        <f aca="false">INT((D332-1)/100)+1</f>
        <v>19</v>
      </c>
      <c r="F332" s="1" t="s">
        <v>2450</v>
      </c>
      <c r="G332" s="1" t="s">
        <v>2451</v>
      </c>
      <c r="H332" s="1" t="s">
        <v>2452</v>
      </c>
      <c r="I332" s="1" t="s">
        <v>2453</v>
      </c>
      <c r="J332" s="1" t="s">
        <v>2444</v>
      </c>
      <c r="K332" s="1" t="s">
        <v>2454</v>
      </c>
      <c r="L332" s="1" t="s">
        <v>2455</v>
      </c>
      <c r="M332" s="1" t="s">
        <v>2428</v>
      </c>
      <c r="N332" s="1" t="s">
        <v>18</v>
      </c>
      <c r="O332" s="1" t="s">
        <v>89</v>
      </c>
      <c r="P332" s="1" t="s">
        <v>2456</v>
      </c>
      <c r="Q332" s="1" t="s">
        <v>2449</v>
      </c>
      <c r="R332" s="1" t="n">
        <f aca="false">VALUE(LEFT(Q332,4))</f>
        <v>1900</v>
      </c>
      <c r="S332" s="1" t="n">
        <f aca="false">VALUE(MID(Q332,6,2))</f>
        <v>9</v>
      </c>
      <c r="T332" s="1" t="n">
        <f aca="false">VALUE(RIGHT(Q332,2))</f>
        <v>12</v>
      </c>
      <c r="U332" s="1" t="s">
        <v>91</v>
      </c>
      <c r="V332" s="1" t="s">
        <v>2457</v>
      </c>
    </row>
    <row r="333" customFormat="false" ht="15" hidden="false" customHeight="true" outlineLevel="0" collapsed="false">
      <c r="A333" s="1" t="n">
        <v>337</v>
      </c>
      <c r="B333" s="1" t="s">
        <v>2458</v>
      </c>
      <c r="C333" s="1" t="s">
        <v>2458</v>
      </c>
      <c r="D333" s="1" t="n">
        <f aca="false">VALUE(LEFT(B333,4))</f>
        <v>1900</v>
      </c>
      <c r="E333" s="1" t="n">
        <f aca="false">INT((D333-1)/100)+1</f>
        <v>19</v>
      </c>
      <c r="F333" s="1" t="s">
        <v>956</v>
      </c>
      <c r="G333" s="1" t="s">
        <v>2459</v>
      </c>
      <c r="H333" s="1" t="s">
        <v>2460</v>
      </c>
      <c r="I333" s="1" t="s">
        <v>2461</v>
      </c>
      <c r="J333" s="1" t="s">
        <v>2462</v>
      </c>
      <c r="K333" s="1" t="s">
        <v>2463</v>
      </c>
      <c r="L333" s="1" t="s">
        <v>2464</v>
      </c>
      <c r="M333" s="1" t="s">
        <v>2428</v>
      </c>
      <c r="N333" s="1" t="s">
        <v>18</v>
      </c>
      <c r="O333" s="1" t="s">
        <v>89</v>
      </c>
      <c r="P333" s="1" t="s">
        <v>2465</v>
      </c>
      <c r="Q333" s="1" t="s">
        <v>2458</v>
      </c>
      <c r="R333" s="1" t="n">
        <f aca="false">VALUE(LEFT(Q333,4))</f>
        <v>1900</v>
      </c>
      <c r="S333" s="1" t="n">
        <f aca="false">VALUE(MID(Q333,6,2))</f>
        <v>11</v>
      </c>
      <c r="T333" s="1" t="n">
        <f aca="false">VALUE(RIGHT(Q333,2))</f>
        <v>21</v>
      </c>
      <c r="U333" s="1" t="s">
        <v>91</v>
      </c>
      <c r="V333" s="1" t="s">
        <v>2466</v>
      </c>
    </row>
    <row r="334" customFormat="false" ht="15" hidden="false" customHeight="true" outlineLevel="0" collapsed="false">
      <c r="A334" s="1" t="n">
        <v>338</v>
      </c>
      <c r="B334" s="1" t="s">
        <v>2467</v>
      </c>
      <c r="C334" s="1" t="s">
        <v>2467</v>
      </c>
      <c r="D334" s="1" t="n">
        <f aca="false">VALUE(LEFT(B334,4))</f>
        <v>1902</v>
      </c>
      <c r="E334" s="1" t="n">
        <f aca="false">INT((D334-1)/100)+1</f>
        <v>20</v>
      </c>
      <c r="F334" s="1" t="s">
        <v>233</v>
      </c>
      <c r="G334" s="1" t="s">
        <v>2468</v>
      </c>
      <c r="H334" s="1" t="s">
        <v>2469</v>
      </c>
      <c r="I334" s="1" t="s">
        <v>2470</v>
      </c>
      <c r="K334" s="1" t="s">
        <v>2471</v>
      </c>
      <c r="L334" s="1" t="s">
        <v>2472</v>
      </c>
      <c r="M334" s="1" t="s">
        <v>2428</v>
      </c>
      <c r="N334" s="1" t="s">
        <v>18</v>
      </c>
      <c r="O334" s="1" t="s">
        <v>89</v>
      </c>
      <c r="P334" s="1" t="s">
        <v>2473</v>
      </c>
      <c r="Q334" s="1" t="s">
        <v>2467</v>
      </c>
      <c r="R334" s="1" t="n">
        <f aca="false">VALUE(LEFT(Q334,4))</f>
        <v>1902</v>
      </c>
      <c r="S334" s="1" t="n">
        <f aca="false">VALUE(MID(Q334,6,2))</f>
        <v>2</v>
      </c>
      <c r="T334" s="1" t="n">
        <f aca="false">VALUE(RIGHT(Q334,2))</f>
        <v>17</v>
      </c>
      <c r="U334" s="1" t="s">
        <v>91</v>
      </c>
      <c r="V334" s="1" t="s">
        <v>2474</v>
      </c>
    </row>
    <row r="335" customFormat="false" ht="15" hidden="false" customHeight="true" outlineLevel="0" collapsed="false">
      <c r="A335" s="1" t="n">
        <v>339</v>
      </c>
      <c r="B335" s="1" t="s">
        <v>2475</v>
      </c>
      <c r="C335" s="1" t="s">
        <v>2475</v>
      </c>
      <c r="D335" s="1" t="n">
        <f aca="false">VALUE(LEFT(B335,4))</f>
        <v>1903</v>
      </c>
      <c r="E335" s="1" t="n">
        <f aca="false">INT((D335-1)/100)+1</f>
        <v>20</v>
      </c>
      <c r="F335" s="1" t="s">
        <v>2476</v>
      </c>
      <c r="G335" s="1" t="s">
        <v>2477</v>
      </c>
      <c r="H335" s="1" t="s">
        <v>2478</v>
      </c>
      <c r="I335" s="1" t="s">
        <v>2479</v>
      </c>
      <c r="K335" s="1" t="s">
        <v>2480</v>
      </c>
      <c r="L335" s="1" t="s">
        <v>2481</v>
      </c>
      <c r="M335" s="1" t="s">
        <v>2428</v>
      </c>
      <c r="N335" s="1" t="s">
        <v>18</v>
      </c>
      <c r="O335" s="1" t="s">
        <v>89</v>
      </c>
      <c r="P335" s="1" t="s">
        <v>2482</v>
      </c>
      <c r="Q335" s="1" t="s">
        <v>2475</v>
      </c>
      <c r="R335" s="1" t="n">
        <f aca="false">VALUE(LEFT(Q335,4))</f>
        <v>1903</v>
      </c>
      <c r="S335" s="1" t="n">
        <f aca="false">VALUE(MID(Q335,6,2))</f>
        <v>8</v>
      </c>
      <c r="T335" s="1" t="n">
        <f aca="false">VALUE(RIGHT(Q335,2))</f>
        <v>25</v>
      </c>
      <c r="U335" s="1" t="s">
        <v>91</v>
      </c>
      <c r="V335" s="1" t="s">
        <v>2483</v>
      </c>
    </row>
    <row r="336" customFormat="false" ht="15" hidden="false" customHeight="true" outlineLevel="0" collapsed="false">
      <c r="A336" s="1" t="n">
        <v>340</v>
      </c>
      <c r="B336" s="1" t="s">
        <v>2484</v>
      </c>
      <c r="C336" s="1" t="s">
        <v>2484</v>
      </c>
      <c r="D336" s="1" t="n">
        <f aca="false">VALUE(LEFT(B336,4))</f>
        <v>1906</v>
      </c>
      <c r="E336" s="1" t="n">
        <f aca="false">INT((D336-1)/100)+1</f>
        <v>20</v>
      </c>
      <c r="F336" s="1" t="s">
        <v>2485</v>
      </c>
      <c r="G336" s="1" t="s">
        <v>2486</v>
      </c>
      <c r="H336" s="1" t="s">
        <v>2487</v>
      </c>
      <c r="I336" s="1" t="s">
        <v>2488</v>
      </c>
      <c r="K336" s="1" t="s">
        <v>2489</v>
      </c>
      <c r="L336" s="1" t="s">
        <v>2490</v>
      </c>
      <c r="M336" s="1" t="s">
        <v>2428</v>
      </c>
      <c r="N336" s="1" t="s">
        <v>18</v>
      </c>
      <c r="O336" s="1" t="s">
        <v>89</v>
      </c>
      <c r="P336" s="1" t="s">
        <v>2491</v>
      </c>
      <c r="Q336" s="1" t="s">
        <v>2484</v>
      </c>
      <c r="R336" s="1" t="n">
        <f aca="false">VALUE(LEFT(Q336,4))</f>
        <v>1906</v>
      </c>
      <c r="S336" s="1" t="n">
        <f aca="false">VALUE(MID(Q336,6,2))</f>
        <v>6</v>
      </c>
      <c r="T336" s="1" t="n">
        <f aca="false">VALUE(RIGHT(Q336,2))</f>
        <v>8</v>
      </c>
      <c r="U336" s="1" t="s">
        <v>91</v>
      </c>
      <c r="V336" s="1" t="s">
        <v>2492</v>
      </c>
    </row>
    <row r="337" customFormat="false" ht="15" hidden="false" customHeight="true" outlineLevel="0" collapsed="false">
      <c r="A337" s="1" t="n">
        <v>341</v>
      </c>
      <c r="B337" s="1" t="s">
        <v>2493</v>
      </c>
      <c r="C337" s="1" t="s">
        <v>2493</v>
      </c>
      <c r="D337" s="1" t="n">
        <f aca="false">VALUE(LEFT(B337,4))</f>
        <v>1886</v>
      </c>
      <c r="E337" s="1" t="n">
        <f aca="false">INT((D337-1)/100)+1</f>
        <v>19</v>
      </c>
      <c r="F337" s="1" t="s">
        <v>956</v>
      </c>
      <c r="G337" s="1" t="s">
        <v>2494</v>
      </c>
      <c r="H337" s="1" t="s">
        <v>2495</v>
      </c>
      <c r="I337" s="1" t="s">
        <v>2496</v>
      </c>
      <c r="J337" s="1" t="s">
        <v>2497</v>
      </c>
      <c r="K337" s="1" t="s">
        <v>2498</v>
      </c>
      <c r="L337" s="1" t="s">
        <v>2499</v>
      </c>
      <c r="M337" s="1" t="s">
        <v>2428</v>
      </c>
      <c r="N337" s="1" t="s">
        <v>18</v>
      </c>
      <c r="O337" s="1" t="s">
        <v>89</v>
      </c>
      <c r="P337" s="1" t="s">
        <v>2500</v>
      </c>
      <c r="Q337" s="1" t="s">
        <v>2493</v>
      </c>
      <c r="R337" s="1" t="n">
        <f aca="false">VALUE(LEFT(Q337,4))</f>
        <v>1886</v>
      </c>
      <c r="S337" s="1" t="n">
        <f aca="false">VALUE(MID(Q337,6,2))</f>
        <v>2</v>
      </c>
      <c r="T337" s="1" t="n">
        <f aca="false">VALUE(RIGHT(Q337,2))</f>
        <v>26</v>
      </c>
      <c r="U337" s="1" t="s">
        <v>91</v>
      </c>
      <c r="V337" s="1" t="s">
        <v>2501</v>
      </c>
    </row>
    <row r="338" customFormat="false" ht="15" hidden="false" customHeight="true" outlineLevel="0" collapsed="false">
      <c r="A338" s="1" t="n">
        <v>342</v>
      </c>
      <c r="B338" s="1" t="s">
        <v>2502</v>
      </c>
      <c r="C338" s="1" t="s">
        <v>2503</v>
      </c>
      <c r="D338" s="1" t="n">
        <f aca="false">VALUE(LEFT(B338,4))</f>
        <v>1888</v>
      </c>
      <c r="E338" s="1" t="n">
        <f aca="false">INT((D338-1)/100)+1</f>
        <v>19</v>
      </c>
      <c r="F338" s="1" t="s">
        <v>233</v>
      </c>
      <c r="G338" s="1" t="s">
        <v>2504</v>
      </c>
      <c r="H338" s="1" t="s">
        <v>2505</v>
      </c>
      <c r="I338" s="1" t="s">
        <v>2506</v>
      </c>
      <c r="J338" s="1" t="s">
        <v>2425</v>
      </c>
      <c r="K338" s="1" t="s">
        <v>2507</v>
      </c>
      <c r="L338" s="1" t="s">
        <v>2508</v>
      </c>
      <c r="M338" s="1" t="s">
        <v>2428</v>
      </c>
      <c r="N338" s="1" t="s">
        <v>18</v>
      </c>
      <c r="O338" s="1" t="s">
        <v>89</v>
      </c>
      <c r="P338" s="1" t="s">
        <v>2509</v>
      </c>
      <c r="Q338" s="1" t="s">
        <v>2503</v>
      </c>
      <c r="R338" s="1" t="n">
        <f aca="false">VALUE(LEFT(Q338,4))</f>
        <v>1888</v>
      </c>
      <c r="S338" s="1" t="n">
        <f aca="false">VALUE(MID(Q338,6,2))</f>
        <v>1</v>
      </c>
      <c r="T338" s="1" t="n">
        <f aca="false">VALUE(RIGHT(Q338,2))</f>
        <v>26</v>
      </c>
      <c r="U338" s="1" t="s">
        <v>139</v>
      </c>
      <c r="V338" s="1" t="s">
        <v>2510</v>
      </c>
    </row>
    <row r="339" customFormat="false" ht="15" hidden="false" customHeight="true" outlineLevel="0" collapsed="false">
      <c r="A339" s="1" t="n">
        <v>344</v>
      </c>
      <c r="B339" s="1" t="s">
        <v>2511</v>
      </c>
      <c r="C339" s="1" t="s">
        <v>2511</v>
      </c>
      <c r="D339" s="1" t="n">
        <f aca="false">VALUE(LEFT(B339,4))</f>
        <v>1888</v>
      </c>
      <c r="E339" s="1" t="n">
        <f aca="false">INT((D339-1)/100)+1</f>
        <v>19</v>
      </c>
      <c r="F339" s="1" t="s">
        <v>2512</v>
      </c>
      <c r="G339" s="1" t="s">
        <v>2513</v>
      </c>
      <c r="H339" s="1" t="s">
        <v>2514</v>
      </c>
      <c r="I339" s="1" t="s">
        <v>2515</v>
      </c>
      <c r="J339" s="1" t="s">
        <v>2425</v>
      </c>
      <c r="K339" s="1" t="s">
        <v>2516</v>
      </c>
      <c r="L339" s="1" t="s">
        <v>2517</v>
      </c>
      <c r="M339" s="1" t="s">
        <v>2428</v>
      </c>
      <c r="N339" s="1" t="s">
        <v>18</v>
      </c>
      <c r="O339" s="1" t="s">
        <v>89</v>
      </c>
      <c r="P339" s="1" t="s">
        <v>2518</v>
      </c>
      <c r="Q339" s="1" t="s">
        <v>2511</v>
      </c>
      <c r="R339" s="1" t="n">
        <f aca="false">VALUE(LEFT(Q339,4))</f>
        <v>1888</v>
      </c>
      <c r="S339" s="1" t="n">
        <f aca="false">VALUE(MID(Q339,6,2))</f>
        <v>7</v>
      </c>
      <c r="T339" s="1" t="n">
        <f aca="false">VALUE(RIGHT(Q339,2))</f>
        <v>5</v>
      </c>
      <c r="U339" s="1" t="s">
        <v>91</v>
      </c>
      <c r="V339" s="1" t="s">
        <v>2519</v>
      </c>
    </row>
    <row r="340" customFormat="false" ht="15" hidden="false" customHeight="true" outlineLevel="0" collapsed="false">
      <c r="A340" s="1" t="n">
        <v>345</v>
      </c>
      <c r="B340" s="1" t="s">
        <v>2520</v>
      </c>
      <c r="C340" s="1" t="s">
        <v>2521</v>
      </c>
      <c r="D340" s="1" t="n">
        <f aca="false">VALUE(LEFT(B340,4))</f>
        <v>1888</v>
      </c>
      <c r="E340" s="1" t="n">
        <f aca="false">INT((D340-1)/100)+1</f>
        <v>19</v>
      </c>
      <c r="F340" s="1" t="s">
        <v>2522</v>
      </c>
      <c r="G340" s="1" t="s">
        <v>2523</v>
      </c>
      <c r="H340" s="1" t="s">
        <v>2524</v>
      </c>
      <c r="I340" s="1" t="s">
        <v>2525</v>
      </c>
      <c r="J340" s="1" t="s">
        <v>2526</v>
      </c>
      <c r="K340" s="1" t="s">
        <v>2527</v>
      </c>
      <c r="L340" s="1" t="s">
        <v>2528</v>
      </c>
      <c r="M340" s="1" t="s">
        <v>2428</v>
      </c>
      <c r="N340" s="1" t="s">
        <v>18</v>
      </c>
      <c r="O340" s="1" t="s">
        <v>89</v>
      </c>
      <c r="P340" s="1" t="s">
        <v>2529</v>
      </c>
      <c r="Q340" s="1" t="s">
        <v>2520</v>
      </c>
      <c r="R340" s="1" t="n">
        <f aca="false">VALUE(LEFT(Q340,4))</f>
        <v>1888</v>
      </c>
      <c r="S340" s="1" t="n">
        <f aca="false">VALUE(MID(Q340,6,2))</f>
        <v>11</v>
      </c>
      <c r="T340" s="1" t="n">
        <f aca="false">VALUE(RIGHT(Q340,2))</f>
        <v>25</v>
      </c>
      <c r="U340" s="1" t="s">
        <v>91</v>
      </c>
      <c r="V340" s="1" t="s">
        <v>2530</v>
      </c>
    </row>
    <row r="341" customFormat="false" ht="15" hidden="false" customHeight="true" outlineLevel="0" collapsed="false">
      <c r="A341" s="1" t="n">
        <v>346</v>
      </c>
      <c r="B341" s="1" t="s">
        <v>2531</v>
      </c>
      <c r="C341" s="1" t="s">
        <v>2532</v>
      </c>
      <c r="D341" s="1" t="n">
        <f aca="false">VALUE(LEFT(B341,4))</f>
        <v>1913</v>
      </c>
      <c r="E341" s="1" t="n">
        <f aca="false">INT((D341-1)/100)+1</f>
        <v>20</v>
      </c>
      <c r="F341" s="1" t="s">
        <v>2533</v>
      </c>
      <c r="G341" s="1" t="s">
        <v>2534</v>
      </c>
      <c r="H341" s="1" t="s">
        <v>2535</v>
      </c>
      <c r="I341" s="1" t="s">
        <v>2536</v>
      </c>
      <c r="J341" s="1" t="s">
        <v>2537</v>
      </c>
      <c r="K341" s="1" t="s">
        <v>2538</v>
      </c>
      <c r="L341" s="1" t="s">
        <v>2539</v>
      </c>
      <c r="M341" s="1" t="s">
        <v>2428</v>
      </c>
      <c r="N341" s="1" t="s">
        <v>18</v>
      </c>
      <c r="O341" s="1" t="s">
        <v>89</v>
      </c>
      <c r="P341" s="1" t="s">
        <v>2540</v>
      </c>
      <c r="Q341" s="1" t="s">
        <v>2531</v>
      </c>
      <c r="R341" s="1" t="n">
        <f aca="false">VALUE(LEFT(Q341,4))</f>
        <v>1913</v>
      </c>
      <c r="S341" s="1" t="n">
        <f aca="false">VALUE(MID(Q341,6,2))</f>
        <v>1</v>
      </c>
      <c r="T341" s="1" t="n">
        <f aca="false">VALUE(RIGHT(Q341,2))</f>
        <v>3</v>
      </c>
      <c r="U341" s="1" t="s">
        <v>139</v>
      </c>
      <c r="V341" s="1" t="s">
        <v>2541</v>
      </c>
    </row>
    <row r="342" customFormat="false" ht="15" hidden="false" customHeight="true" outlineLevel="0" collapsed="false">
      <c r="A342" s="1" t="n">
        <v>349</v>
      </c>
      <c r="B342" s="1" t="s">
        <v>2542</v>
      </c>
      <c r="C342" s="1" t="s">
        <v>2543</v>
      </c>
      <c r="D342" s="1" t="n">
        <f aca="false">VALUE(LEFT(B342,4))</f>
        <v>1893</v>
      </c>
      <c r="E342" s="1" t="n">
        <f aca="false">INT((D342-1)/100)+1</f>
        <v>19</v>
      </c>
      <c r="F342" s="1" t="s">
        <v>2544</v>
      </c>
      <c r="G342" s="1" t="s">
        <v>2545</v>
      </c>
      <c r="H342" s="1" t="s">
        <v>2546</v>
      </c>
      <c r="I342" s="1" t="s">
        <v>2547</v>
      </c>
      <c r="J342" s="1" t="s">
        <v>324</v>
      </c>
      <c r="K342" s="1" t="s">
        <v>2548</v>
      </c>
      <c r="L342" s="1" t="s">
        <v>2549</v>
      </c>
      <c r="M342" s="1" t="s">
        <v>2428</v>
      </c>
      <c r="N342" s="1" t="s">
        <v>18</v>
      </c>
      <c r="O342" s="1" t="s">
        <v>89</v>
      </c>
      <c r="P342" s="1" t="s">
        <v>2550</v>
      </c>
      <c r="Q342" s="1" t="s">
        <v>2543</v>
      </c>
      <c r="R342" s="1" t="n">
        <f aca="false">VALUE(LEFT(Q342,4))</f>
        <v>1893</v>
      </c>
      <c r="S342" s="1" t="n">
        <f aca="false">VALUE(MID(Q342,6,2))</f>
        <v>5</v>
      </c>
      <c r="T342" s="1" t="n">
        <f aca="false">VALUE(RIGHT(Q342,2))</f>
        <v>4</v>
      </c>
      <c r="U342" s="1" t="s">
        <v>139</v>
      </c>
      <c r="V342" s="1" t="s">
        <v>2551</v>
      </c>
    </row>
    <row r="343" customFormat="false" ht="15" hidden="false" customHeight="true" outlineLevel="0" collapsed="false">
      <c r="A343" s="1" t="n">
        <v>350</v>
      </c>
      <c r="B343" s="1" t="s">
        <v>2552</v>
      </c>
      <c r="C343" s="1" t="s">
        <v>2553</v>
      </c>
      <c r="D343" s="1" t="n">
        <f aca="false">VALUE(LEFT(B343,4))</f>
        <v>1895</v>
      </c>
      <c r="E343" s="1" t="n">
        <f aca="false">INT((D343-1)/100)+1</f>
        <v>19</v>
      </c>
      <c r="F343" s="1" t="s">
        <v>2554</v>
      </c>
      <c r="G343" s="1" t="s">
        <v>2555</v>
      </c>
      <c r="H343" s="1" t="s">
        <v>2556</v>
      </c>
      <c r="I343" s="1" t="s">
        <v>2557</v>
      </c>
      <c r="J343" s="1" t="s">
        <v>324</v>
      </c>
      <c r="K343" s="1" t="s">
        <v>2558</v>
      </c>
      <c r="L343" s="1" t="s">
        <v>2559</v>
      </c>
      <c r="M343" s="1" t="s">
        <v>2428</v>
      </c>
      <c r="N343" s="1" t="s">
        <v>18</v>
      </c>
      <c r="O343" s="1" t="s">
        <v>89</v>
      </c>
      <c r="P343" s="1" t="s">
        <v>2560</v>
      </c>
      <c r="Q343" s="1" t="s">
        <v>2553</v>
      </c>
      <c r="R343" s="1" t="n">
        <f aca="false">VALUE(LEFT(Q343,4))</f>
        <v>1895</v>
      </c>
      <c r="S343" s="1" t="n">
        <f aca="false">VALUE(MID(Q343,6,2))</f>
        <v>4</v>
      </c>
      <c r="T343" s="1" t="n">
        <f aca="false">VALUE(RIGHT(Q343,2))</f>
        <v>9</v>
      </c>
      <c r="U343" s="1" t="s">
        <v>139</v>
      </c>
      <c r="V343" s="1" t="s">
        <v>2561</v>
      </c>
    </row>
    <row r="344" customFormat="false" ht="15" hidden="false" customHeight="true" outlineLevel="0" collapsed="false">
      <c r="A344" s="1" t="n">
        <v>351</v>
      </c>
      <c r="B344" s="1" t="s">
        <v>2562</v>
      </c>
      <c r="C344" s="1" t="s">
        <v>2563</v>
      </c>
      <c r="D344" s="1" t="n">
        <f aca="false">VALUE(LEFT(B344,4))</f>
        <v>1919</v>
      </c>
      <c r="E344" s="1" t="n">
        <f aca="false">INT((D344-1)/100)+1</f>
        <v>20</v>
      </c>
      <c r="F344" s="1" t="s">
        <v>2564</v>
      </c>
      <c r="G344" s="1" t="s">
        <v>2565</v>
      </c>
      <c r="H344" s="1" t="s">
        <v>2566</v>
      </c>
      <c r="I344" s="1" t="s">
        <v>2567</v>
      </c>
      <c r="K344" s="1" t="s">
        <v>2568</v>
      </c>
      <c r="L344" s="1" t="s">
        <v>2569</v>
      </c>
      <c r="M344" s="1" t="s">
        <v>2428</v>
      </c>
      <c r="N344" s="1" t="s">
        <v>18</v>
      </c>
      <c r="O344" s="1" t="s">
        <v>89</v>
      </c>
      <c r="P344" s="1" t="s">
        <v>2570</v>
      </c>
      <c r="Q344" s="1" t="s">
        <v>2562</v>
      </c>
      <c r="R344" s="1" t="n">
        <f aca="false">VALUE(LEFT(Q344,4))</f>
        <v>1919</v>
      </c>
      <c r="S344" s="1" t="n">
        <f aca="false">VALUE(MID(Q344,6,2))</f>
        <v>6</v>
      </c>
      <c r="T344" s="1" t="n">
        <f aca="false">VALUE(RIGHT(Q344,2))</f>
        <v>1</v>
      </c>
      <c r="U344" s="1" t="s">
        <v>2571</v>
      </c>
      <c r="V344" s="1" t="s">
        <v>2572</v>
      </c>
    </row>
    <row r="345" customFormat="false" ht="15" hidden="false" customHeight="true" outlineLevel="0" collapsed="false">
      <c r="A345" s="1" t="n">
        <v>352</v>
      </c>
      <c r="B345" s="1" t="s">
        <v>2573</v>
      </c>
      <c r="C345" s="1" t="s">
        <v>2573</v>
      </c>
      <c r="D345" s="1" t="n">
        <f aca="false">VALUE(LEFT(B345,4))</f>
        <v>1902</v>
      </c>
      <c r="E345" s="1" t="n">
        <f aca="false">INT((D345-1)/100)+1</f>
        <v>20</v>
      </c>
      <c r="F345" s="1" t="s">
        <v>2564</v>
      </c>
      <c r="G345" s="1" t="s">
        <v>2574</v>
      </c>
      <c r="H345" s="1" t="s">
        <v>2575</v>
      </c>
      <c r="I345" s="1" t="s">
        <v>2576</v>
      </c>
      <c r="K345" s="1" t="s">
        <v>2577</v>
      </c>
      <c r="L345" s="1" t="s">
        <v>2578</v>
      </c>
      <c r="M345" s="1" t="s">
        <v>2428</v>
      </c>
      <c r="N345" s="1" t="s">
        <v>20</v>
      </c>
      <c r="O345" s="1" t="s">
        <v>89</v>
      </c>
      <c r="P345" s="1" t="s">
        <v>2579</v>
      </c>
      <c r="Q345" s="1" t="s">
        <v>2573</v>
      </c>
      <c r="R345" s="1" t="n">
        <f aca="false">VALUE(LEFT(Q345,4))</f>
        <v>1902</v>
      </c>
      <c r="S345" s="1" t="n">
        <f aca="false">VALUE(MID(Q345,6,2))</f>
        <v>7</v>
      </c>
      <c r="T345" s="1" t="n">
        <f aca="false">VALUE(RIGHT(Q345,2))</f>
        <v>24</v>
      </c>
      <c r="U345" s="1" t="s">
        <v>91</v>
      </c>
      <c r="V345" s="1" t="s">
        <v>2580</v>
      </c>
    </row>
    <row r="346" customFormat="false" ht="15" hidden="false" customHeight="true" outlineLevel="0" collapsed="false">
      <c r="A346" s="1" t="n">
        <v>353</v>
      </c>
      <c r="B346" s="1" t="s">
        <v>2581</v>
      </c>
      <c r="C346" s="1" t="s">
        <v>2581</v>
      </c>
      <c r="D346" s="1" t="n">
        <f aca="false">VALUE(LEFT(B346,4))</f>
        <v>1839</v>
      </c>
      <c r="E346" s="1" t="n">
        <f aca="false">INT((D346-1)/100)+1</f>
        <v>19</v>
      </c>
      <c r="F346" s="1" t="s">
        <v>2582</v>
      </c>
      <c r="G346" s="1" t="s">
        <v>2583</v>
      </c>
      <c r="H346" s="1" t="s">
        <v>2584</v>
      </c>
      <c r="I346" s="1" t="s">
        <v>2585</v>
      </c>
      <c r="K346" s="1" t="s">
        <v>2586</v>
      </c>
      <c r="L346" s="1" t="s">
        <v>2587</v>
      </c>
      <c r="M346" s="1" t="s">
        <v>2428</v>
      </c>
      <c r="N346" s="1" t="s">
        <v>20</v>
      </c>
      <c r="O346" s="1" t="s">
        <v>89</v>
      </c>
      <c r="P346" s="1" t="s">
        <v>2588</v>
      </c>
      <c r="Q346" s="1" t="s">
        <v>2581</v>
      </c>
      <c r="R346" s="1" t="n">
        <f aca="false">VALUE(LEFT(Q346,4))</f>
        <v>1839</v>
      </c>
      <c r="S346" s="1" t="n">
        <f aca="false">VALUE(MID(Q346,6,2))</f>
        <v>1</v>
      </c>
      <c r="T346" s="1" t="n">
        <f aca="false">VALUE(RIGHT(Q346,2))</f>
        <v>26</v>
      </c>
      <c r="U346" s="1" t="s">
        <v>2589</v>
      </c>
      <c r="V346" s="1" t="s">
        <v>2590</v>
      </c>
    </row>
    <row r="347" customFormat="false" ht="15" hidden="false" customHeight="true" outlineLevel="0" collapsed="false">
      <c r="A347" s="1" t="n">
        <v>355</v>
      </c>
      <c r="B347" s="1" t="s">
        <v>2591</v>
      </c>
      <c r="C347" s="1" t="s">
        <v>2592</v>
      </c>
      <c r="D347" s="1" t="n">
        <f aca="false">VALUE(LEFT(B347,4))</f>
        <v>1869</v>
      </c>
      <c r="E347" s="1" t="n">
        <f aca="false">INT((D347-1)/100)+1</f>
        <v>19</v>
      </c>
      <c r="F347" s="1" t="s">
        <v>2593</v>
      </c>
      <c r="G347" s="1" t="s">
        <v>2594</v>
      </c>
      <c r="H347" s="1" t="s">
        <v>2595</v>
      </c>
      <c r="I347" s="1" t="s">
        <v>2596</v>
      </c>
      <c r="K347" s="1" t="s">
        <v>2597</v>
      </c>
      <c r="L347" s="1" t="s">
        <v>2598</v>
      </c>
      <c r="M347" s="1" t="s">
        <v>2428</v>
      </c>
      <c r="N347" s="1" t="s">
        <v>20</v>
      </c>
      <c r="O347" s="1" t="s">
        <v>89</v>
      </c>
      <c r="P347" s="1" t="s">
        <v>2599</v>
      </c>
      <c r="Q347" s="1" t="s">
        <v>2591</v>
      </c>
      <c r="R347" s="1" t="n">
        <f aca="false">VALUE(LEFT(Q347,4))</f>
        <v>1869</v>
      </c>
      <c r="S347" s="1" t="n">
        <f aca="false">VALUE(MID(Q347,6,2))</f>
        <v>1</v>
      </c>
      <c r="T347" s="1" t="n">
        <f aca="false">VALUE(RIGHT(Q347,2))</f>
        <v>1</v>
      </c>
      <c r="U347" s="1" t="s">
        <v>2571</v>
      </c>
      <c r="V347" s="1" t="s">
        <v>2600</v>
      </c>
    </row>
    <row r="348" customFormat="false" ht="15" hidden="false" customHeight="true" outlineLevel="0" collapsed="false">
      <c r="A348" s="1" t="n">
        <v>356</v>
      </c>
      <c r="B348" s="1" t="s">
        <v>2601</v>
      </c>
      <c r="C348" s="1" t="s">
        <v>2602</v>
      </c>
      <c r="D348" s="1" t="n">
        <f aca="false">VALUE(LEFT(B348,4))</f>
        <v>1900</v>
      </c>
      <c r="E348" s="1" t="n">
        <f aca="false">INT((D348-1)/100)+1</f>
        <v>19</v>
      </c>
      <c r="F348" s="1" t="s">
        <v>2603</v>
      </c>
      <c r="G348" s="1" t="s">
        <v>2604</v>
      </c>
      <c r="H348" s="1" t="s">
        <v>2605</v>
      </c>
      <c r="I348" s="1" t="s">
        <v>2606</v>
      </c>
      <c r="J348" s="1" t="s">
        <v>324</v>
      </c>
      <c r="K348" s="1" t="s">
        <v>2607</v>
      </c>
      <c r="L348" s="1" t="s">
        <v>2608</v>
      </c>
      <c r="M348" s="1" t="s">
        <v>2428</v>
      </c>
      <c r="N348" s="1" t="s">
        <v>18</v>
      </c>
      <c r="O348" s="1" t="s">
        <v>89</v>
      </c>
      <c r="P348" s="1" t="s">
        <v>2609</v>
      </c>
      <c r="Q348" s="1" t="s">
        <v>2601</v>
      </c>
      <c r="R348" s="1" t="n">
        <f aca="false">VALUE(LEFT(Q348,4))</f>
        <v>1900</v>
      </c>
      <c r="S348" s="1" t="n">
        <f aca="false">VALUE(MID(Q348,6,2))</f>
        <v>2</v>
      </c>
      <c r="T348" s="1" t="n">
        <f aca="false">VALUE(RIGHT(Q348,2))</f>
        <v>13</v>
      </c>
      <c r="U348" s="1" t="s">
        <v>139</v>
      </c>
      <c r="V348" s="1" t="s">
        <v>2610</v>
      </c>
    </row>
    <row r="349" customFormat="false" ht="15" hidden="false" customHeight="true" outlineLevel="0" collapsed="false">
      <c r="A349" s="1" t="n">
        <v>357</v>
      </c>
      <c r="B349" s="1" t="s">
        <v>2611</v>
      </c>
      <c r="C349" s="1" t="s">
        <v>2611</v>
      </c>
      <c r="D349" s="1" t="n">
        <f aca="false">VALUE(LEFT(B349,4))</f>
        <v>1908</v>
      </c>
      <c r="E349" s="1" t="n">
        <f aca="false">INT((D349-1)/100)+1</f>
        <v>20</v>
      </c>
      <c r="F349" s="1" t="s">
        <v>2612</v>
      </c>
      <c r="G349" s="1" t="s">
        <v>2613</v>
      </c>
      <c r="H349" s="1" t="s">
        <v>2614</v>
      </c>
      <c r="I349" s="1" t="s">
        <v>2615</v>
      </c>
      <c r="K349" s="1" t="s">
        <v>2616</v>
      </c>
      <c r="L349" s="1" t="s">
        <v>2617</v>
      </c>
      <c r="M349" s="1" t="s">
        <v>2428</v>
      </c>
      <c r="N349" s="1" t="s">
        <v>18</v>
      </c>
      <c r="O349" s="1" t="s">
        <v>89</v>
      </c>
      <c r="P349" s="1" t="s">
        <v>2618</v>
      </c>
      <c r="Q349" s="1" t="s">
        <v>2611</v>
      </c>
      <c r="R349" s="1" t="n">
        <f aca="false">VALUE(LEFT(Q349,4))</f>
        <v>1908</v>
      </c>
      <c r="S349" s="1" t="n">
        <f aca="false">VALUE(MID(Q349,6,2))</f>
        <v>3</v>
      </c>
      <c r="T349" s="1" t="n">
        <f aca="false">VALUE(RIGHT(Q349,2))</f>
        <v>22</v>
      </c>
      <c r="U349" s="1" t="s">
        <v>91</v>
      </c>
      <c r="V349" s="1" t="s">
        <v>2619</v>
      </c>
    </row>
    <row r="350" customFormat="false" ht="15" hidden="false" customHeight="true" outlineLevel="0" collapsed="false">
      <c r="A350" s="1" t="n">
        <v>359</v>
      </c>
      <c r="B350" s="1" t="s">
        <v>2620</v>
      </c>
      <c r="C350" s="1" t="s">
        <v>2621</v>
      </c>
      <c r="D350" s="1" t="n">
        <f aca="false">VALUE(LEFT(B350,4))</f>
        <v>1833</v>
      </c>
      <c r="E350" s="1" t="n">
        <f aca="false">INT((D350-1)/100)+1</f>
        <v>19</v>
      </c>
      <c r="F350" s="1" t="s">
        <v>2554</v>
      </c>
      <c r="G350" s="1" t="s">
        <v>2622</v>
      </c>
      <c r="H350" s="1" t="s">
        <v>2623</v>
      </c>
      <c r="I350" s="1" t="s">
        <v>2624</v>
      </c>
      <c r="K350" s="1" t="s">
        <v>2625</v>
      </c>
      <c r="L350" s="1" t="s">
        <v>2626</v>
      </c>
      <c r="M350" s="1" t="s">
        <v>2428</v>
      </c>
      <c r="N350" s="1" t="s">
        <v>20</v>
      </c>
      <c r="O350" s="1" t="s">
        <v>89</v>
      </c>
      <c r="P350" s="1" t="s">
        <v>2627</v>
      </c>
      <c r="Q350" s="1" t="s">
        <v>2620</v>
      </c>
      <c r="R350" s="1" t="n">
        <f aca="false">VALUE(LEFT(Q350,4))</f>
        <v>1833</v>
      </c>
      <c r="S350" s="1" t="n">
        <f aca="false">VALUE(MID(Q350,6,2))</f>
        <v>5</v>
      </c>
      <c r="T350" s="1" t="n">
        <f aca="false">VALUE(RIGHT(Q350,2))</f>
        <v>1</v>
      </c>
      <c r="U350" s="1" t="s">
        <v>2571</v>
      </c>
      <c r="V350" s="1" t="s">
        <v>2628</v>
      </c>
    </row>
    <row r="351" customFormat="false" ht="15" hidden="false" customHeight="true" outlineLevel="0" collapsed="false">
      <c r="A351" s="1" t="n">
        <v>360</v>
      </c>
      <c r="B351" s="1" t="s">
        <v>2629</v>
      </c>
      <c r="C351" s="1" t="s">
        <v>2630</v>
      </c>
      <c r="D351" s="1" t="n">
        <f aca="false">VALUE(LEFT(B351,4))</f>
        <v>1853</v>
      </c>
      <c r="E351" s="1" t="n">
        <f aca="false">INT((D351-1)/100)+1</f>
        <v>19</v>
      </c>
      <c r="F351" s="1" t="s">
        <v>2631</v>
      </c>
      <c r="G351" s="1" t="s">
        <v>2632</v>
      </c>
      <c r="H351" s="1" t="s">
        <v>324</v>
      </c>
      <c r="I351" s="1" t="s">
        <v>2633</v>
      </c>
      <c r="K351" s="1" t="s">
        <v>2634</v>
      </c>
      <c r="L351" s="1" t="s">
        <v>2626</v>
      </c>
      <c r="M351" s="1" t="s">
        <v>2428</v>
      </c>
      <c r="N351" s="1" t="s">
        <v>20</v>
      </c>
      <c r="O351" s="1" t="s">
        <v>89</v>
      </c>
      <c r="P351" s="1" t="s">
        <v>2635</v>
      </c>
      <c r="Q351" s="1" t="s">
        <v>2629</v>
      </c>
      <c r="R351" s="1" t="n">
        <f aca="false">VALUE(LEFT(Q351,4))</f>
        <v>1853</v>
      </c>
      <c r="S351" s="1" t="n">
        <f aca="false">VALUE(MID(Q351,6,2))</f>
        <v>8</v>
      </c>
      <c r="T351" s="1" t="n">
        <f aca="false">VALUE(RIGHT(Q351,2))</f>
        <v>1</v>
      </c>
      <c r="U351" s="1" t="s">
        <v>2571</v>
      </c>
      <c r="V351" s="1" t="s">
        <v>2636</v>
      </c>
    </row>
    <row r="352" customFormat="false" ht="15" hidden="false" customHeight="true" outlineLevel="0" collapsed="false">
      <c r="A352" s="1" t="n">
        <v>361</v>
      </c>
      <c r="B352" s="1" t="s">
        <v>2637</v>
      </c>
      <c r="C352" s="1" t="s">
        <v>2638</v>
      </c>
      <c r="D352" s="1" t="n">
        <f aca="false">VALUE(LEFT(B352,4))</f>
        <v>1899</v>
      </c>
      <c r="E352" s="1" t="n">
        <f aca="false">INT((D352-1)/100)+1</f>
        <v>19</v>
      </c>
      <c r="F352" s="1" t="s">
        <v>2639</v>
      </c>
      <c r="G352" s="1" t="s">
        <v>2640</v>
      </c>
      <c r="H352" s="1" t="s">
        <v>2641</v>
      </c>
      <c r="I352" s="1" t="s">
        <v>2642</v>
      </c>
      <c r="J352" s="1" t="s">
        <v>324</v>
      </c>
      <c r="K352" s="1" t="s">
        <v>2643</v>
      </c>
      <c r="L352" s="1" t="s">
        <v>2644</v>
      </c>
      <c r="M352" s="1" t="s">
        <v>2428</v>
      </c>
      <c r="N352" s="1" t="s">
        <v>18</v>
      </c>
      <c r="O352" s="1" t="s">
        <v>89</v>
      </c>
      <c r="P352" s="1" t="s">
        <v>2645</v>
      </c>
      <c r="Q352" s="1" t="s">
        <v>2637</v>
      </c>
      <c r="R352" s="1" t="n">
        <f aca="false">VALUE(LEFT(Q352,4))</f>
        <v>1899</v>
      </c>
      <c r="S352" s="1" t="n">
        <f aca="false">VALUE(MID(Q352,6,2))</f>
        <v>3</v>
      </c>
      <c r="T352" s="1" t="n">
        <f aca="false">VALUE(RIGHT(Q352,2))</f>
        <v>6</v>
      </c>
      <c r="U352" s="1" t="s">
        <v>139</v>
      </c>
      <c r="V352" s="1" t="s">
        <v>2646</v>
      </c>
    </row>
    <row r="353" customFormat="false" ht="15" hidden="false" customHeight="true" outlineLevel="0" collapsed="false">
      <c r="A353" s="1" t="n">
        <v>364</v>
      </c>
      <c r="B353" s="1" t="s">
        <v>2647</v>
      </c>
      <c r="C353" s="1" t="s">
        <v>2647</v>
      </c>
      <c r="D353" s="1" t="n">
        <f aca="false">VALUE(LEFT(B353,4))</f>
        <v>1883</v>
      </c>
      <c r="E353" s="1" t="n">
        <f aca="false">INT((D353-1)/100)+1</f>
        <v>19</v>
      </c>
      <c r="F353" s="1" t="s">
        <v>2648</v>
      </c>
      <c r="G353" s="1" t="s">
        <v>2649</v>
      </c>
      <c r="H353" s="1" t="s">
        <v>2650</v>
      </c>
      <c r="I353" s="1" t="s">
        <v>2651</v>
      </c>
      <c r="K353" s="1" t="s">
        <v>2652</v>
      </c>
      <c r="L353" s="1" t="s">
        <v>2653</v>
      </c>
      <c r="M353" s="1" t="s">
        <v>2428</v>
      </c>
      <c r="N353" s="1" t="s">
        <v>18</v>
      </c>
      <c r="O353" s="1" t="s">
        <v>89</v>
      </c>
      <c r="P353" s="1" t="s">
        <v>2654</v>
      </c>
      <c r="Q353" s="1" t="s">
        <v>2647</v>
      </c>
      <c r="R353" s="1" t="n">
        <f aca="false">VALUE(LEFT(Q353,4))</f>
        <v>1883</v>
      </c>
      <c r="S353" s="1" t="n">
        <f aca="false">VALUE(MID(Q353,6,2))</f>
        <v>11</v>
      </c>
      <c r="T353" s="1" t="n">
        <f aca="false">VALUE(RIGHT(Q353,2))</f>
        <v>12</v>
      </c>
      <c r="U353" s="1" t="s">
        <v>91</v>
      </c>
      <c r="V353" s="1" t="s">
        <v>2655</v>
      </c>
    </row>
    <row r="354" customFormat="false" ht="15" hidden="false" customHeight="true" outlineLevel="0" collapsed="false">
      <c r="A354" s="1" t="n">
        <v>365</v>
      </c>
      <c r="B354" s="1" t="s">
        <v>2656</v>
      </c>
      <c r="C354" s="1" t="s">
        <v>2657</v>
      </c>
      <c r="D354" s="1" t="n">
        <f aca="false">VALUE(LEFT(B354,4))</f>
        <v>1902</v>
      </c>
      <c r="E354" s="1" t="n">
        <f aca="false">INT((D354-1)/100)+1</f>
        <v>20</v>
      </c>
      <c r="F354" s="1" t="s">
        <v>2639</v>
      </c>
      <c r="G354" s="1" t="s">
        <v>2658</v>
      </c>
      <c r="H354" s="1" t="s">
        <v>2659</v>
      </c>
      <c r="I354" s="1" t="s">
        <v>2660</v>
      </c>
      <c r="J354" s="1" t="s">
        <v>324</v>
      </c>
      <c r="K354" s="1" t="s">
        <v>2661</v>
      </c>
      <c r="L354" s="1" t="s">
        <v>2662</v>
      </c>
      <c r="M354" s="1" t="s">
        <v>2428</v>
      </c>
      <c r="N354" s="1" t="s">
        <v>18</v>
      </c>
      <c r="O354" s="1" t="s">
        <v>89</v>
      </c>
      <c r="P354" s="1" t="s">
        <v>2663</v>
      </c>
      <c r="Q354" s="1" t="s">
        <v>2656</v>
      </c>
      <c r="R354" s="1" t="n">
        <f aca="false">VALUE(LEFT(Q354,4))</f>
        <v>1902</v>
      </c>
      <c r="S354" s="1" t="n">
        <f aca="false">VALUE(MID(Q354,6,2))</f>
        <v>2</v>
      </c>
      <c r="T354" s="1" t="n">
        <f aca="false">VALUE(RIGHT(Q354,2))</f>
        <v>28</v>
      </c>
      <c r="U354" s="1" t="s">
        <v>139</v>
      </c>
      <c r="V354" s="1" t="s">
        <v>2664</v>
      </c>
    </row>
    <row r="355" customFormat="false" ht="15" hidden="false" customHeight="true" outlineLevel="0" collapsed="false">
      <c r="A355" s="1" t="n">
        <v>366</v>
      </c>
      <c r="B355" s="1" t="s">
        <v>2665</v>
      </c>
      <c r="C355" s="1" t="s">
        <v>2665</v>
      </c>
      <c r="D355" s="1" t="n">
        <f aca="false">VALUE(LEFT(B355,4))</f>
        <v>1905</v>
      </c>
      <c r="E355" s="1" t="n">
        <f aca="false">INT((D355-1)/100)+1</f>
        <v>20</v>
      </c>
      <c r="F355" s="1" t="s">
        <v>2666</v>
      </c>
      <c r="G355" s="1" t="s">
        <v>2667</v>
      </c>
      <c r="H355" s="1" t="s">
        <v>2668</v>
      </c>
      <c r="I355" s="1" t="s">
        <v>2669</v>
      </c>
      <c r="K355" s="1" t="s">
        <v>2670</v>
      </c>
      <c r="L355" s="1" t="s">
        <v>2671</v>
      </c>
      <c r="M355" s="1" t="s">
        <v>2428</v>
      </c>
      <c r="N355" s="1" t="s">
        <v>18</v>
      </c>
      <c r="O355" s="1" t="s">
        <v>89</v>
      </c>
      <c r="P355" s="1" t="s">
        <v>2672</v>
      </c>
      <c r="Q355" s="1" t="s">
        <v>2665</v>
      </c>
      <c r="R355" s="1" t="n">
        <f aca="false">VALUE(LEFT(Q355,4))</f>
        <v>1905</v>
      </c>
      <c r="S355" s="1" t="n">
        <f aca="false">VALUE(MID(Q355,6,2))</f>
        <v>12</v>
      </c>
      <c r="T355" s="1" t="n">
        <f aca="false">VALUE(RIGHT(Q355,2))</f>
        <v>15</v>
      </c>
      <c r="U355" s="1" t="s">
        <v>2589</v>
      </c>
      <c r="V355" s="1" t="s">
        <v>2673</v>
      </c>
    </row>
    <row r="356" customFormat="false" ht="15" hidden="false" customHeight="true" outlineLevel="0" collapsed="false">
      <c r="A356" s="1" t="n">
        <v>367</v>
      </c>
      <c r="B356" s="1" t="s">
        <v>2674</v>
      </c>
      <c r="C356" s="1" t="s">
        <v>2674</v>
      </c>
      <c r="D356" s="1" t="n">
        <f aca="false">VALUE(LEFT(B356,4))</f>
        <v>1938</v>
      </c>
      <c r="E356" s="1" t="n">
        <f aca="false">INT((D356-1)/100)+1</f>
        <v>20</v>
      </c>
      <c r="F356" s="1" t="s">
        <v>2675</v>
      </c>
      <c r="G356" s="1" t="s">
        <v>2676</v>
      </c>
      <c r="H356" s="1" t="s">
        <v>2677</v>
      </c>
      <c r="I356" s="1" t="s">
        <v>2678</v>
      </c>
      <c r="K356" s="1" t="s">
        <v>2679</v>
      </c>
      <c r="L356" s="1" t="s">
        <v>2680</v>
      </c>
      <c r="M356" s="1" t="s">
        <v>2428</v>
      </c>
      <c r="N356" s="1" t="s">
        <v>18</v>
      </c>
      <c r="O356" s="1" t="s">
        <v>89</v>
      </c>
      <c r="P356" s="1" t="s">
        <v>2681</v>
      </c>
      <c r="Q356" s="1" t="s">
        <v>2674</v>
      </c>
      <c r="R356" s="1" t="n">
        <f aca="false">VALUE(LEFT(Q356,4))</f>
        <v>1938</v>
      </c>
      <c r="S356" s="1" t="n">
        <f aca="false">VALUE(MID(Q356,6,2))</f>
        <v>6</v>
      </c>
      <c r="T356" s="1" t="n">
        <f aca="false">VALUE(RIGHT(Q356,2))</f>
        <v>17</v>
      </c>
      <c r="U356" s="1" t="s">
        <v>2589</v>
      </c>
      <c r="V356" s="1" t="s">
        <v>2682</v>
      </c>
    </row>
    <row r="357" customFormat="false" ht="15" hidden="false" customHeight="true" outlineLevel="0" collapsed="false">
      <c r="A357" s="1" t="n">
        <v>368</v>
      </c>
      <c r="B357" s="1" t="s">
        <v>2683</v>
      </c>
      <c r="C357" s="1" t="s">
        <v>2683</v>
      </c>
      <c r="D357" s="1" t="n">
        <f aca="false">VALUE(LEFT(B357,4))</f>
        <v>1950</v>
      </c>
      <c r="E357" s="1" t="n">
        <f aca="false">INT((D357-1)/100)+1</f>
        <v>20</v>
      </c>
      <c r="F357" s="1" t="s">
        <v>2684</v>
      </c>
      <c r="G357" s="1" t="s">
        <v>2685</v>
      </c>
      <c r="H357" s="1" t="s">
        <v>2686</v>
      </c>
      <c r="I357" s="1" t="s">
        <v>2687</v>
      </c>
      <c r="K357" s="1" t="s">
        <v>2688</v>
      </c>
      <c r="L357" s="1" t="s">
        <v>2689</v>
      </c>
      <c r="M357" s="1" t="s">
        <v>2428</v>
      </c>
      <c r="N357" s="1" t="s">
        <v>18</v>
      </c>
      <c r="O357" s="1" t="s">
        <v>89</v>
      </c>
      <c r="P357" s="1" t="s">
        <v>2690</v>
      </c>
      <c r="Q357" s="1" t="s">
        <v>2683</v>
      </c>
      <c r="R357" s="1" t="n">
        <f aca="false">VALUE(LEFT(Q357,4))</f>
        <v>1950</v>
      </c>
      <c r="S357" s="1" t="n">
        <f aca="false">VALUE(MID(Q357,6,2))</f>
        <v>7</v>
      </c>
      <c r="T357" s="1" t="n">
        <f aca="false">VALUE(RIGHT(Q357,2))</f>
        <v>31</v>
      </c>
      <c r="U357" s="1" t="s">
        <v>2589</v>
      </c>
      <c r="V357" s="1" t="s">
        <v>2691</v>
      </c>
    </row>
    <row r="358" customFormat="false" ht="15" hidden="false" customHeight="true" outlineLevel="0" collapsed="false">
      <c r="A358" s="1" t="n">
        <v>369</v>
      </c>
      <c r="B358" s="1" t="s">
        <v>2692</v>
      </c>
      <c r="C358" s="1" t="s">
        <v>2693</v>
      </c>
      <c r="D358" s="1" t="n">
        <f aca="false">VALUE(LEFT(B358,4))</f>
        <v>1925</v>
      </c>
      <c r="E358" s="1" t="n">
        <f aca="false">INT((D358-1)/100)+1</f>
        <v>20</v>
      </c>
      <c r="F358" s="1" t="s">
        <v>2694</v>
      </c>
      <c r="G358" s="1" t="s">
        <v>2695</v>
      </c>
      <c r="H358" s="1" t="s">
        <v>2696</v>
      </c>
      <c r="I358" s="1" t="s">
        <v>2697</v>
      </c>
      <c r="K358" s="1" t="s">
        <v>2698</v>
      </c>
      <c r="L358" s="1" t="s">
        <v>2699</v>
      </c>
      <c r="M358" s="1" t="s">
        <v>2428</v>
      </c>
      <c r="N358" s="1" t="s">
        <v>20</v>
      </c>
      <c r="O358" s="1" t="s">
        <v>89</v>
      </c>
      <c r="P358" s="1" t="s">
        <v>2700</v>
      </c>
      <c r="Q358" s="1" t="s">
        <v>2692</v>
      </c>
      <c r="R358" s="1" t="n">
        <f aca="false">VALUE(LEFT(Q358,4))</f>
        <v>1925</v>
      </c>
      <c r="S358" s="1" t="n">
        <f aca="false">VALUE(MID(Q358,6,2))</f>
        <v>10</v>
      </c>
      <c r="T358" s="1" t="n">
        <f aca="false">VALUE(RIGHT(Q358,2))</f>
        <v>9</v>
      </c>
      <c r="U358" s="1" t="s">
        <v>2701</v>
      </c>
      <c r="V358" s="1" t="s">
        <v>2702</v>
      </c>
    </row>
    <row r="359" customFormat="false" ht="15" hidden="false" customHeight="true" outlineLevel="0" collapsed="false">
      <c r="A359" s="1" t="n">
        <v>370</v>
      </c>
      <c r="B359" s="1" t="s">
        <v>2703</v>
      </c>
      <c r="C359" s="1" t="s">
        <v>2704</v>
      </c>
      <c r="D359" s="1" t="n">
        <f aca="false">VALUE(LEFT(B359,4))</f>
        <v>2025</v>
      </c>
      <c r="E359" s="1" t="n">
        <f aca="false">INT((D359-1)/100)+1</f>
        <v>21</v>
      </c>
      <c r="F359" s="1" t="s">
        <v>594</v>
      </c>
      <c r="G359" s="1" t="s">
        <v>2705</v>
      </c>
      <c r="H359" s="1" t="s">
        <v>2706</v>
      </c>
      <c r="I359" s="1" t="s">
        <v>2707</v>
      </c>
      <c r="K359" s="1" t="s">
        <v>2708</v>
      </c>
      <c r="L359" s="1" t="s">
        <v>2709</v>
      </c>
      <c r="N359" s="1" t="s">
        <v>20</v>
      </c>
      <c r="O359" s="1" t="s">
        <v>108</v>
      </c>
      <c r="P359" s="1" t="s">
        <v>2710</v>
      </c>
      <c r="Q359" s="1" t="s">
        <v>2711</v>
      </c>
      <c r="R359" s="1" t="n">
        <f aca="false">VALUE(LEFT(Q359,4))</f>
        <v>2025</v>
      </c>
      <c r="S359" s="1" t="n">
        <f aca="false">VALUE(MID(Q359,6,2))</f>
        <v>4</v>
      </c>
      <c r="T359" s="1" t="n">
        <f aca="false">VALUE(RIGHT(Q359,2))</f>
        <v>15</v>
      </c>
      <c r="U359" s="1" t="s">
        <v>331</v>
      </c>
      <c r="V359" s="1" t="s">
        <v>2712</v>
      </c>
    </row>
    <row r="360" customFormat="false" ht="15" hidden="false" customHeight="true" outlineLevel="0" collapsed="false">
      <c r="A360" s="1" t="n">
        <v>371</v>
      </c>
      <c r="B360" s="1" t="s">
        <v>2713</v>
      </c>
      <c r="C360" s="1" t="s">
        <v>2714</v>
      </c>
      <c r="D360" s="1" t="n">
        <f aca="false">VALUE(LEFT(B360,4))</f>
        <v>2005</v>
      </c>
      <c r="E360" s="1" t="n">
        <f aca="false">INT((D360-1)/100)+1</f>
        <v>21</v>
      </c>
      <c r="F360" s="1" t="s">
        <v>594</v>
      </c>
      <c r="G360" s="1" t="s">
        <v>2715</v>
      </c>
      <c r="H360" s="1" t="s">
        <v>2716</v>
      </c>
      <c r="I360" s="1" t="s">
        <v>2717</v>
      </c>
      <c r="K360" s="1" t="s">
        <v>2718</v>
      </c>
      <c r="L360" s="1" t="s">
        <v>2719</v>
      </c>
      <c r="N360" s="1" t="s">
        <v>20</v>
      </c>
      <c r="O360" s="1" t="s">
        <v>108</v>
      </c>
      <c r="P360" s="1" t="s">
        <v>2720</v>
      </c>
      <c r="Q360" s="1" t="s">
        <v>2721</v>
      </c>
      <c r="R360" s="1" t="n">
        <f aca="false">VALUE(LEFT(Q360,4))</f>
        <v>2005</v>
      </c>
      <c r="S360" s="1" t="n">
        <f aca="false">VALUE(MID(Q360,6,2))</f>
        <v>6</v>
      </c>
      <c r="T360" s="1" t="n">
        <f aca="false">VALUE(RIGHT(Q360,2))</f>
        <v>24</v>
      </c>
      <c r="U360" s="1" t="s">
        <v>729</v>
      </c>
      <c r="V360" s="1" t="s">
        <v>2722</v>
      </c>
    </row>
    <row r="361" customFormat="false" ht="15" hidden="false" customHeight="true" outlineLevel="0" collapsed="false">
      <c r="A361" s="1" t="n">
        <v>372</v>
      </c>
      <c r="B361" s="1" t="s">
        <v>2723</v>
      </c>
      <c r="C361" s="1" t="s">
        <v>2714</v>
      </c>
      <c r="D361" s="1" t="n">
        <f aca="false">VALUE(LEFT(B361,4))</f>
        <v>2004</v>
      </c>
      <c r="E361" s="1" t="n">
        <f aca="false">INT((D361-1)/100)+1</f>
        <v>21</v>
      </c>
      <c r="F361" s="1" t="s">
        <v>594</v>
      </c>
      <c r="G361" s="1" t="s">
        <v>2724</v>
      </c>
      <c r="H361" s="1" t="s">
        <v>2725</v>
      </c>
      <c r="I361" s="1" t="s">
        <v>2717</v>
      </c>
      <c r="K361" s="1" t="s">
        <v>2726</v>
      </c>
      <c r="L361" s="1" t="s">
        <v>2719</v>
      </c>
      <c r="N361" s="1" t="s">
        <v>20</v>
      </c>
      <c r="O361" s="1" t="s">
        <v>108</v>
      </c>
      <c r="P361" s="1" t="s">
        <v>2727</v>
      </c>
      <c r="Q361" s="1" t="s">
        <v>2728</v>
      </c>
      <c r="R361" s="1" t="n">
        <f aca="false">VALUE(LEFT(Q361,4))</f>
        <v>2005</v>
      </c>
      <c r="S361" s="1" t="n">
        <f aca="false">VALUE(MID(Q361,6,2))</f>
        <v>4</v>
      </c>
      <c r="T361" s="1" t="n">
        <f aca="false">VALUE(RIGHT(Q361,2))</f>
        <v>15</v>
      </c>
      <c r="U361" s="1" t="s">
        <v>128</v>
      </c>
      <c r="V361" s="1" t="s">
        <v>2729</v>
      </c>
    </row>
    <row r="362" customFormat="false" ht="15" hidden="false" customHeight="true" outlineLevel="0" collapsed="false">
      <c r="A362" s="1" t="n">
        <v>375</v>
      </c>
      <c r="B362" s="1" t="s">
        <v>2730</v>
      </c>
      <c r="C362" s="1" t="s">
        <v>2731</v>
      </c>
      <c r="D362" s="1" t="n">
        <f aca="false">VALUE(LEFT(B362,4))</f>
        <v>1889</v>
      </c>
      <c r="E362" s="1" t="n">
        <f aca="false">INT((D362-1)/100)+1</f>
        <v>19</v>
      </c>
      <c r="F362" s="1" t="s">
        <v>2732</v>
      </c>
      <c r="G362" s="1" t="s">
        <v>2733</v>
      </c>
      <c r="H362" s="1" t="s">
        <v>2734</v>
      </c>
      <c r="I362" s="1" t="s">
        <v>2735</v>
      </c>
      <c r="K362" s="1" t="s">
        <v>2736</v>
      </c>
      <c r="L362" s="1" t="s">
        <v>2737</v>
      </c>
      <c r="N362" s="1" t="s">
        <v>18</v>
      </c>
      <c r="O362" s="1" t="s">
        <v>108</v>
      </c>
      <c r="P362" s="1" t="s">
        <v>2738</v>
      </c>
      <c r="Q362" s="1" t="s">
        <v>2730</v>
      </c>
      <c r="R362" s="1" t="n">
        <f aca="false">VALUE(LEFT(Q362,4))</f>
        <v>1889</v>
      </c>
      <c r="S362" s="1" t="n">
        <f aca="false">VALUE(MID(Q362,6,2))</f>
        <v>7</v>
      </c>
      <c r="T362" s="1" t="n">
        <f aca="false">VALUE(RIGHT(Q362,2))</f>
        <v>9</v>
      </c>
      <c r="U362" s="1" t="s">
        <v>139</v>
      </c>
      <c r="V362" s="1" t="s">
        <v>2739</v>
      </c>
    </row>
    <row r="363" customFormat="false" ht="15" hidden="false" customHeight="true" outlineLevel="0" collapsed="false">
      <c r="A363" s="1" t="n">
        <v>376</v>
      </c>
      <c r="B363" s="1" t="s">
        <v>2740</v>
      </c>
      <c r="C363" s="1" t="s">
        <v>2741</v>
      </c>
      <c r="D363" s="1" t="n">
        <f aca="false">VALUE(LEFT(B363,4))</f>
        <v>1891</v>
      </c>
      <c r="E363" s="1" t="n">
        <f aca="false">INT((D363-1)/100)+1</f>
        <v>19</v>
      </c>
      <c r="F363" s="1" t="s">
        <v>842</v>
      </c>
      <c r="G363" s="1" t="s">
        <v>2742</v>
      </c>
      <c r="H363" s="1" t="s">
        <v>2743</v>
      </c>
      <c r="I363" s="1" t="s">
        <v>2744</v>
      </c>
      <c r="K363" s="1" t="s">
        <v>2745</v>
      </c>
      <c r="L363" s="1" t="s">
        <v>2746</v>
      </c>
      <c r="N363" s="1" t="s">
        <v>18</v>
      </c>
      <c r="O363" s="1" t="s">
        <v>108</v>
      </c>
      <c r="P363" s="1" t="s">
        <v>2747</v>
      </c>
      <c r="Q363" s="1" t="s">
        <v>2740</v>
      </c>
      <c r="R363" s="1" t="n">
        <f aca="false">VALUE(LEFT(Q363,4))</f>
        <v>1891</v>
      </c>
      <c r="S363" s="1" t="n">
        <f aca="false">VALUE(MID(Q363,6,2))</f>
        <v>2</v>
      </c>
      <c r="T363" s="1" t="n">
        <f aca="false">VALUE(RIGHT(Q363,2))</f>
        <v>7</v>
      </c>
      <c r="U363" s="1" t="s">
        <v>139</v>
      </c>
      <c r="V363" s="1" t="s">
        <v>2748</v>
      </c>
    </row>
    <row r="364" customFormat="false" ht="15" hidden="false" customHeight="true" outlineLevel="0" collapsed="false">
      <c r="A364" s="1" t="n">
        <v>377</v>
      </c>
      <c r="B364" s="1" t="s">
        <v>2749</v>
      </c>
      <c r="C364" s="1" t="s">
        <v>2749</v>
      </c>
      <c r="D364" s="1" t="n">
        <f aca="false">VALUE(LEFT(B364,4))</f>
        <v>1894</v>
      </c>
      <c r="E364" s="1" t="n">
        <f aca="false">INT((D364-1)/100)+1</f>
        <v>19</v>
      </c>
      <c r="F364" s="1" t="s">
        <v>2750</v>
      </c>
      <c r="G364" s="1" t="s">
        <v>2751</v>
      </c>
      <c r="H364" s="1" t="s">
        <v>2752</v>
      </c>
      <c r="I364" s="1" t="s">
        <v>2753</v>
      </c>
      <c r="K364" s="1" t="s">
        <v>2754</v>
      </c>
      <c r="L364" s="1" t="s">
        <v>2755</v>
      </c>
      <c r="N364" s="1" t="s">
        <v>16</v>
      </c>
      <c r="O364" s="1" t="s">
        <v>108</v>
      </c>
      <c r="P364" s="1" t="s">
        <v>2756</v>
      </c>
      <c r="Q364" s="1" t="s">
        <v>2749</v>
      </c>
      <c r="R364" s="1" t="n">
        <f aca="false">VALUE(LEFT(Q364,4))</f>
        <v>1894</v>
      </c>
      <c r="S364" s="1" t="n">
        <f aca="false">VALUE(MID(Q364,6,2))</f>
        <v>6</v>
      </c>
      <c r="T364" s="1" t="n">
        <f aca="false">VALUE(RIGHT(Q364,2))</f>
        <v>16</v>
      </c>
      <c r="U364" s="1" t="s">
        <v>91</v>
      </c>
      <c r="V364" s="1" t="s">
        <v>2757</v>
      </c>
    </row>
    <row r="365" customFormat="false" ht="15" hidden="false" customHeight="true" outlineLevel="0" collapsed="false">
      <c r="A365" s="1" t="n">
        <v>378</v>
      </c>
      <c r="B365" s="1" t="s">
        <v>2758</v>
      </c>
      <c r="C365" s="1" t="s">
        <v>2759</v>
      </c>
      <c r="D365" s="1" t="n">
        <f aca="false">VALUE(LEFT(B365,4))</f>
        <v>1898</v>
      </c>
      <c r="E365" s="1" t="n">
        <f aca="false">INT((D365-1)/100)+1</f>
        <v>19</v>
      </c>
      <c r="F365" s="1" t="s">
        <v>2760</v>
      </c>
      <c r="G365" s="1" t="s">
        <v>2761</v>
      </c>
      <c r="H365" s="1" t="s">
        <v>2762</v>
      </c>
      <c r="I365" s="1" t="s">
        <v>2763</v>
      </c>
      <c r="K365" s="1" t="s">
        <v>2764</v>
      </c>
      <c r="L365" s="1" t="s">
        <v>2765</v>
      </c>
      <c r="N365" s="1" t="s">
        <v>18</v>
      </c>
      <c r="O365" s="1" t="s">
        <v>108</v>
      </c>
      <c r="P365" s="1" t="s">
        <v>2766</v>
      </c>
      <c r="Q365" s="1" t="s">
        <v>2759</v>
      </c>
      <c r="R365" s="1" t="n">
        <f aca="false">VALUE(LEFT(Q365,4))</f>
        <v>1898</v>
      </c>
      <c r="S365" s="1" t="n">
        <f aca="false">VALUE(MID(Q365,6,2))</f>
        <v>8</v>
      </c>
      <c r="T365" s="1" t="n">
        <f aca="false">VALUE(RIGHT(Q365,2))</f>
        <v>24</v>
      </c>
      <c r="U365" s="1" t="s">
        <v>139</v>
      </c>
      <c r="V365" s="1" t="s">
        <v>2767</v>
      </c>
    </row>
    <row r="366" customFormat="false" ht="15" hidden="false" customHeight="true" outlineLevel="0" collapsed="false">
      <c r="A366" s="1" t="n">
        <v>379</v>
      </c>
      <c r="B366" s="1" t="s">
        <v>2768</v>
      </c>
      <c r="C366" s="1" t="s">
        <v>2769</v>
      </c>
      <c r="D366" s="1" t="n">
        <f aca="false">VALUE(LEFT(B366,4))</f>
        <v>1899</v>
      </c>
      <c r="E366" s="1" t="n">
        <f aca="false">INT((D366-1)/100)+1</f>
        <v>19</v>
      </c>
      <c r="F366" s="1" t="s">
        <v>852</v>
      </c>
      <c r="G366" s="1" t="s">
        <v>2770</v>
      </c>
      <c r="H366" s="1" t="s">
        <v>2771</v>
      </c>
      <c r="I366" s="1" t="s">
        <v>2772</v>
      </c>
      <c r="K366" s="1" t="s">
        <v>2773</v>
      </c>
      <c r="L366" s="1" t="s">
        <v>2774</v>
      </c>
      <c r="N366" s="1" t="s">
        <v>20</v>
      </c>
      <c r="O366" s="1" t="s">
        <v>108</v>
      </c>
      <c r="P366" s="1" t="s">
        <v>2775</v>
      </c>
      <c r="Q366" s="1" t="s">
        <v>2776</v>
      </c>
      <c r="R366" s="1" t="n">
        <f aca="false">VALUE(LEFT(Q366,4))</f>
        <v>1899</v>
      </c>
      <c r="S366" s="1" t="n">
        <f aca="false">VALUE(MID(Q366,6,2))</f>
        <v>6</v>
      </c>
      <c r="T366" s="1" t="n">
        <f aca="false">VALUE(RIGHT(Q366,2))</f>
        <v>12</v>
      </c>
      <c r="U366" s="1" t="s">
        <v>128</v>
      </c>
      <c r="V366" s="1" t="s">
        <v>2777</v>
      </c>
    </row>
    <row r="367" customFormat="false" ht="15" hidden="false" customHeight="true" outlineLevel="0" collapsed="false">
      <c r="A367" s="1" t="n">
        <v>380</v>
      </c>
      <c r="B367" s="1" t="s">
        <v>2778</v>
      </c>
      <c r="C367" s="1" t="s">
        <v>2778</v>
      </c>
      <c r="D367" s="1" t="n">
        <f aca="false">VALUE(LEFT(B367,4))</f>
        <v>1910</v>
      </c>
      <c r="E367" s="1" t="n">
        <f aca="false">INT((D367-1)/100)+1</f>
        <v>20</v>
      </c>
      <c r="F367" s="1" t="s">
        <v>2760</v>
      </c>
      <c r="G367" s="1" t="s">
        <v>2779</v>
      </c>
      <c r="H367" s="1" t="s">
        <v>2780</v>
      </c>
      <c r="I367" s="1" t="s">
        <v>2781</v>
      </c>
      <c r="K367" s="1" t="s">
        <v>2782</v>
      </c>
      <c r="L367" s="1" t="s">
        <v>2783</v>
      </c>
      <c r="N367" s="1" t="s">
        <v>18</v>
      </c>
      <c r="O367" s="1" t="s">
        <v>108</v>
      </c>
      <c r="P367" s="1" t="s">
        <v>2784</v>
      </c>
      <c r="Q367" s="1" t="s">
        <v>2778</v>
      </c>
      <c r="R367" s="1" t="n">
        <f aca="false">VALUE(LEFT(Q367,4))</f>
        <v>1910</v>
      </c>
      <c r="S367" s="1" t="n">
        <f aca="false">VALUE(MID(Q367,6,2))</f>
        <v>5</v>
      </c>
      <c r="T367" s="1" t="n">
        <f aca="false">VALUE(RIGHT(Q367,2))</f>
        <v>30</v>
      </c>
      <c r="U367" s="1" t="s">
        <v>91</v>
      </c>
      <c r="V367" s="1" t="s">
        <v>2757</v>
      </c>
    </row>
    <row r="368" customFormat="false" ht="15" hidden="false" customHeight="true" outlineLevel="0" collapsed="false">
      <c r="A368" s="1" t="n">
        <v>381</v>
      </c>
      <c r="B368" s="1" t="s">
        <v>2785</v>
      </c>
      <c r="C368" s="1" t="s">
        <v>2785</v>
      </c>
      <c r="D368" s="1" t="n">
        <f aca="false">VALUE(LEFT(B368,4))</f>
        <v>1974</v>
      </c>
      <c r="E368" s="1" t="n">
        <f aca="false">INT((D368-1)/100)+1</f>
        <v>20</v>
      </c>
      <c r="F368" s="1" t="s">
        <v>956</v>
      </c>
      <c r="G368" s="1" t="s">
        <v>2786</v>
      </c>
      <c r="H368" s="1" t="s">
        <v>2787</v>
      </c>
      <c r="I368" s="1" t="s">
        <v>2788</v>
      </c>
      <c r="K368" s="1" t="s">
        <v>2789</v>
      </c>
      <c r="L368" s="1" t="s">
        <v>2790</v>
      </c>
      <c r="N368" s="1" t="s">
        <v>18</v>
      </c>
      <c r="O368" s="1" t="s">
        <v>108</v>
      </c>
      <c r="P368" s="1" t="s">
        <v>2791</v>
      </c>
      <c r="Q368" s="1" t="s">
        <v>2785</v>
      </c>
      <c r="R368" s="1" t="n">
        <f aca="false">VALUE(LEFT(Q368,4))</f>
        <v>1974</v>
      </c>
      <c r="S368" s="1" t="n">
        <f aca="false">VALUE(MID(Q368,6,2))</f>
        <v>3</v>
      </c>
      <c r="T368" s="1" t="n">
        <f aca="false">VALUE(RIGHT(Q368,2))</f>
        <v>10</v>
      </c>
      <c r="U368" s="1" t="s">
        <v>91</v>
      </c>
      <c r="V368" s="1" t="s">
        <v>2757</v>
      </c>
    </row>
    <row r="369" customFormat="false" ht="15" hidden="false" customHeight="true" outlineLevel="0" collapsed="false">
      <c r="A369" s="1" t="n">
        <v>382</v>
      </c>
      <c r="B369" s="1" t="s">
        <v>2792</v>
      </c>
      <c r="C369" s="1" t="s">
        <v>2792</v>
      </c>
      <c r="D369" s="1" t="n">
        <f aca="false">VALUE(LEFT(B369,4))</f>
        <v>1990</v>
      </c>
      <c r="E369" s="1" t="n">
        <f aca="false">INT((D369-1)/100)+1</f>
        <v>20</v>
      </c>
      <c r="F369" s="1" t="s">
        <v>2793</v>
      </c>
      <c r="G369" s="1" t="s">
        <v>2794</v>
      </c>
      <c r="H369" s="1" t="s">
        <v>2795</v>
      </c>
      <c r="I369" s="1" t="s">
        <v>2796</v>
      </c>
      <c r="K369" s="1" t="s">
        <v>2797</v>
      </c>
      <c r="L369" s="1" t="s">
        <v>2798</v>
      </c>
      <c r="N369" s="1" t="s">
        <v>18</v>
      </c>
      <c r="O369" s="1" t="s">
        <v>108</v>
      </c>
      <c r="P369" s="1" t="s">
        <v>2799</v>
      </c>
      <c r="Q369" s="1" t="s">
        <v>2792</v>
      </c>
      <c r="R369" s="1" t="n">
        <f aca="false">VALUE(LEFT(Q369,4))</f>
        <v>1990</v>
      </c>
      <c r="S369" s="1" t="n">
        <f aca="false">VALUE(MID(Q369,6,2))</f>
        <v>10</v>
      </c>
      <c r="T369" s="1" t="n">
        <f aca="false">VALUE(RIGHT(Q369,2))</f>
        <v>18</v>
      </c>
      <c r="U369" s="1" t="s">
        <v>91</v>
      </c>
      <c r="V369" s="1" t="s">
        <v>2800</v>
      </c>
    </row>
    <row r="370" customFormat="false" ht="15" hidden="false" customHeight="true" outlineLevel="0" collapsed="false">
      <c r="A370" s="1" t="n">
        <v>383</v>
      </c>
      <c r="B370" s="1" t="s">
        <v>2801</v>
      </c>
      <c r="C370" s="1" t="s">
        <v>1294</v>
      </c>
      <c r="D370" s="1" t="n">
        <f aca="false">VALUE(LEFT(B370,4))</f>
        <v>1996</v>
      </c>
      <c r="E370" s="1" t="n">
        <f aca="false">INT((D370-1)/100)+1</f>
        <v>20</v>
      </c>
      <c r="F370" s="1" t="s">
        <v>866</v>
      </c>
      <c r="G370" s="1" t="s">
        <v>2802</v>
      </c>
      <c r="H370" s="1" t="s">
        <v>2803</v>
      </c>
      <c r="I370" s="1" t="s">
        <v>2804</v>
      </c>
      <c r="K370" s="1" t="s">
        <v>2805</v>
      </c>
      <c r="L370" s="1" t="s">
        <v>2806</v>
      </c>
      <c r="N370" s="1" t="s">
        <v>18</v>
      </c>
      <c r="O370" s="1" t="s">
        <v>108</v>
      </c>
      <c r="P370" s="1" t="s">
        <v>2807</v>
      </c>
      <c r="Q370" s="1" t="s">
        <v>1294</v>
      </c>
      <c r="R370" s="1" t="n">
        <f aca="false">VALUE(LEFT(Q370,4))</f>
        <v>1996</v>
      </c>
      <c r="S370" s="1" t="n">
        <f aca="false">VALUE(MID(Q370,6,2))</f>
        <v>7</v>
      </c>
      <c r="T370" s="1" t="n">
        <f aca="false">VALUE(RIGHT(Q370,2))</f>
        <v>13</v>
      </c>
      <c r="U370" s="1" t="s">
        <v>139</v>
      </c>
      <c r="V370" s="1" t="s">
        <v>2808</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2809</v>
      </c>
      <c r="B1" s="6" t="s">
        <v>2810</v>
      </c>
      <c r="C1" s="6" t="s">
        <v>2811</v>
      </c>
      <c r="D1" s="6" t="s">
        <v>2812</v>
      </c>
      <c r="E1" s="6" t="s">
        <v>2813</v>
      </c>
      <c r="F1" s="6" t="s">
        <v>2814</v>
      </c>
      <c r="G1" s="6" t="s">
        <v>2815</v>
      </c>
      <c r="H1" s="6" t="s">
        <v>2816</v>
      </c>
      <c r="I1" s="6" t="s">
        <v>2817</v>
      </c>
      <c r="J1" s="6" t="s">
        <v>2818</v>
      </c>
      <c r="K1" s="6" t="s">
        <v>2819</v>
      </c>
      <c r="L1" s="6" t="s">
        <v>2820</v>
      </c>
      <c r="M1" s="6" t="s">
        <v>2821</v>
      </c>
      <c r="N1" s="6" t="s">
        <v>2822</v>
      </c>
      <c r="O1" s="6" t="s">
        <v>2823</v>
      </c>
      <c r="P1" s="6" t="s">
        <v>2824</v>
      </c>
      <c r="Q1" s="6" t="s">
        <v>2825</v>
      </c>
      <c r="R1" s="6" t="s">
        <v>2826</v>
      </c>
      <c r="S1" s="6" t="s">
        <v>2827</v>
      </c>
      <c r="T1" s="6" t="s">
        <v>71</v>
      </c>
      <c r="U1" s="6" t="s">
        <v>2828</v>
      </c>
    </row>
    <row r="2" customFormat="false" ht="15" hidden="false" customHeight="true" outlineLevel="0" collapsed="false">
      <c r="A2" s="7" t="s">
        <v>2829</v>
      </c>
      <c r="B2" s="7"/>
      <c r="C2" s="7" t="s">
        <v>2830</v>
      </c>
      <c r="D2" s="7" t="s">
        <v>2831</v>
      </c>
      <c r="E2" s="7" t="s">
        <v>1000</v>
      </c>
      <c r="F2" s="7" t="s">
        <v>2832</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2833</v>
      </c>
      <c r="T2" s="7" t="s">
        <v>20</v>
      </c>
      <c r="U2" s="7" t="s">
        <v>2834</v>
      </c>
    </row>
    <row r="3" customFormat="false" ht="15" hidden="false" customHeight="true" outlineLevel="0" collapsed="false">
      <c r="A3" s="7" t="s">
        <v>2835</v>
      </c>
      <c r="B3" s="7"/>
      <c r="C3" s="7" t="s">
        <v>2830</v>
      </c>
      <c r="D3" s="7" t="s">
        <v>2831</v>
      </c>
      <c r="E3" s="7" t="s">
        <v>1000</v>
      </c>
      <c r="F3" s="7" t="s">
        <v>2832</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2833</v>
      </c>
      <c r="T3" s="7" t="s">
        <v>20</v>
      </c>
      <c r="U3" s="7" t="s">
        <v>2836</v>
      </c>
    </row>
    <row r="4" customFormat="false" ht="15" hidden="false" customHeight="true" outlineLevel="0" collapsed="false">
      <c r="A4" s="7" t="s">
        <v>2837</v>
      </c>
      <c r="B4" s="7" t="s">
        <v>2838</v>
      </c>
      <c r="C4" s="7" t="s">
        <v>324</v>
      </c>
      <c r="D4" s="7" t="s">
        <v>2839</v>
      </c>
      <c r="E4" s="7" t="s">
        <v>1000</v>
      </c>
      <c r="F4" s="7" t="s">
        <v>2840</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2833</v>
      </c>
      <c r="T4" s="7" t="s">
        <v>20</v>
      </c>
      <c r="U4" s="7" t="s">
        <v>2841</v>
      </c>
    </row>
    <row r="5" customFormat="false" ht="15" hidden="false" customHeight="true" outlineLevel="0" collapsed="false">
      <c r="A5" s="7" t="s">
        <v>2842</v>
      </c>
      <c r="B5" s="7" t="s">
        <v>2838</v>
      </c>
      <c r="C5" s="7" t="s">
        <v>2830</v>
      </c>
      <c r="D5" s="7" t="s">
        <v>2831</v>
      </c>
      <c r="E5" s="7" t="s">
        <v>1000</v>
      </c>
      <c r="F5" s="7" t="s">
        <v>2840</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2833</v>
      </c>
      <c r="T5" s="7" t="s">
        <v>20</v>
      </c>
      <c r="U5" s="7" t="s">
        <v>2836</v>
      </c>
    </row>
    <row r="6" customFormat="false" ht="15" hidden="false" customHeight="true" outlineLevel="0" collapsed="false">
      <c r="A6" s="7" t="s">
        <v>2843</v>
      </c>
      <c r="B6" s="7" t="s">
        <v>2844</v>
      </c>
      <c r="C6" s="7" t="s">
        <v>324</v>
      </c>
      <c r="D6" s="7" t="s">
        <v>2839</v>
      </c>
      <c r="E6" s="7" t="s">
        <v>1000</v>
      </c>
      <c r="F6" s="7" t="s">
        <v>2845</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2833</v>
      </c>
      <c r="T6" s="7" t="s">
        <v>20</v>
      </c>
      <c r="U6" s="7" t="s">
        <v>2836</v>
      </c>
    </row>
    <row r="7" customFormat="false" ht="15" hidden="false" customHeight="true" outlineLevel="0" collapsed="false">
      <c r="A7" s="7" t="s">
        <v>2846</v>
      </c>
      <c r="B7" s="7" t="s">
        <v>2847</v>
      </c>
      <c r="C7" s="7" t="s">
        <v>2848</v>
      </c>
      <c r="D7" s="7" t="s">
        <v>2849</v>
      </c>
      <c r="E7" s="7" t="s">
        <v>1000</v>
      </c>
      <c r="F7" s="7" t="s">
        <v>2845</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2833</v>
      </c>
      <c r="T7" s="7" t="s">
        <v>20</v>
      </c>
      <c r="U7" s="7" t="s">
        <v>2836</v>
      </c>
    </row>
    <row r="8" customFormat="false" ht="34.5" hidden="false" customHeight="true" outlineLevel="0" collapsed="false">
      <c r="A8" s="7" t="s">
        <v>954</v>
      </c>
      <c r="B8" s="7" t="s">
        <v>2850</v>
      </c>
      <c r="C8" s="7" t="s">
        <v>324</v>
      </c>
      <c r="D8" s="7" t="s">
        <v>2851</v>
      </c>
      <c r="E8" s="7" t="s">
        <v>2852</v>
      </c>
      <c r="F8" s="7" t="s">
        <v>2853</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699</v>
      </c>
      <c r="T8" s="7" t="s">
        <v>16</v>
      </c>
      <c r="U8" s="7" t="s">
        <v>2854</v>
      </c>
    </row>
    <row r="9" customFormat="false" ht="23.25" hidden="false" customHeight="true" outlineLevel="0" collapsed="false">
      <c r="A9" s="7" t="s">
        <v>999</v>
      </c>
      <c r="B9" s="7" t="s">
        <v>2855</v>
      </c>
      <c r="C9" s="7" t="s">
        <v>689</v>
      </c>
      <c r="D9" s="7" t="s">
        <v>2856</v>
      </c>
      <c r="E9" s="7" t="s">
        <v>1000</v>
      </c>
      <c r="F9" s="7" t="s">
        <v>2857</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1006</v>
      </c>
      <c r="T9" s="7" t="s">
        <v>16</v>
      </c>
      <c r="U9" s="7" t="s">
        <v>2858</v>
      </c>
    </row>
    <row r="10" customFormat="false" ht="34.5" hidden="false" customHeight="true" outlineLevel="0" collapsed="false">
      <c r="A10" s="7" t="s">
        <v>1033</v>
      </c>
      <c r="B10" s="7"/>
      <c r="C10" s="7" t="s">
        <v>982</v>
      </c>
      <c r="D10" s="7" t="s">
        <v>1036</v>
      </c>
      <c r="E10" s="7" t="s">
        <v>2859</v>
      </c>
      <c r="F10" s="7" t="s">
        <v>2860</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699</v>
      </c>
      <c r="T10" s="7" t="s">
        <v>16</v>
      </c>
      <c r="U10" s="7" t="s">
        <v>2861</v>
      </c>
    </row>
    <row r="11" customFormat="false" ht="23.25" hidden="false" customHeight="true" outlineLevel="0" collapsed="false">
      <c r="A11" s="7" t="s">
        <v>2862</v>
      </c>
      <c r="B11" s="7" t="s">
        <v>2863</v>
      </c>
      <c r="C11" s="7" t="s">
        <v>324</v>
      </c>
      <c r="D11" s="7" t="s">
        <v>2864</v>
      </c>
      <c r="E11" s="7" t="s">
        <v>1000</v>
      </c>
      <c r="F11" s="7" t="s">
        <v>2840</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1006</v>
      </c>
      <c r="T11" s="7" t="s">
        <v>16</v>
      </c>
      <c r="U11" s="7" t="s">
        <v>2865</v>
      </c>
    </row>
    <row r="12" customFormat="false" ht="23.25" hidden="false" customHeight="true" outlineLevel="0" collapsed="false">
      <c r="A12" s="7" t="s">
        <v>1076</v>
      </c>
      <c r="B12" s="7" t="s">
        <v>2866</v>
      </c>
      <c r="C12" s="7" t="s">
        <v>2867</v>
      </c>
      <c r="D12" s="7" t="s">
        <v>2868</v>
      </c>
      <c r="E12" s="7" t="s">
        <v>1000</v>
      </c>
      <c r="F12" s="7" t="s">
        <v>2845</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1006</v>
      </c>
      <c r="T12" s="7" t="s">
        <v>16</v>
      </c>
      <c r="U12" s="7" t="s">
        <v>2869</v>
      </c>
    </row>
    <row r="13" customFormat="false" ht="23.25" hidden="false" customHeight="true" outlineLevel="0" collapsed="false">
      <c r="A13" s="7" t="s">
        <v>1076</v>
      </c>
      <c r="B13" s="7" t="s">
        <v>2870</v>
      </c>
      <c r="C13" s="7" t="s">
        <v>2830</v>
      </c>
      <c r="D13" s="7" t="s">
        <v>2871</v>
      </c>
      <c r="E13" s="7" t="s">
        <v>1000</v>
      </c>
      <c r="F13" s="7" t="s">
        <v>2872</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1006</v>
      </c>
      <c r="T13" s="7" t="s">
        <v>16</v>
      </c>
      <c r="U13" s="7" t="s">
        <v>2873</v>
      </c>
    </row>
    <row r="14" customFormat="false" ht="23.25" hidden="false" customHeight="true" outlineLevel="0" collapsed="false">
      <c r="A14" s="7" t="s">
        <v>1086</v>
      </c>
      <c r="B14" s="7" t="s">
        <v>2874</v>
      </c>
      <c r="C14" s="7" t="s">
        <v>2875</v>
      </c>
      <c r="D14" s="7" t="s">
        <v>2876</v>
      </c>
      <c r="E14" s="7" t="s">
        <v>1000</v>
      </c>
      <c r="F14" s="7" t="s">
        <v>2857</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1006</v>
      </c>
      <c r="T14" s="7" t="s">
        <v>16</v>
      </c>
      <c r="U14" s="7" t="s">
        <v>2877</v>
      </c>
    </row>
    <row r="15" customFormat="false" ht="23.25" hidden="false" customHeight="true" outlineLevel="0" collapsed="false">
      <c r="A15" s="7" t="s">
        <v>2878</v>
      </c>
      <c r="B15" s="7" t="s">
        <v>2879</v>
      </c>
      <c r="C15" s="7" t="s">
        <v>2867</v>
      </c>
      <c r="D15" s="7" t="s">
        <v>2868</v>
      </c>
      <c r="E15" s="7" t="s">
        <v>1000</v>
      </c>
      <c r="F15" s="7" t="s">
        <v>2840</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1006</v>
      </c>
      <c r="T15" s="7" t="s">
        <v>16</v>
      </c>
      <c r="U15" s="7"/>
    </row>
    <row r="16" customFormat="false" ht="23.25" hidden="false" customHeight="true" outlineLevel="0" collapsed="false">
      <c r="A16" s="7" t="s">
        <v>2880</v>
      </c>
      <c r="B16" s="7" t="s">
        <v>2855</v>
      </c>
      <c r="C16" s="7" t="s">
        <v>2881</v>
      </c>
      <c r="D16" s="7" t="s">
        <v>2882</v>
      </c>
      <c r="E16" s="7" t="s">
        <v>1000</v>
      </c>
      <c r="F16" s="7" t="s">
        <v>2840</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1006</v>
      </c>
      <c r="T16" s="7" t="s">
        <v>16</v>
      </c>
      <c r="U16" s="7"/>
    </row>
    <row r="17" customFormat="false" ht="34.5" hidden="false" customHeight="true" outlineLevel="0" collapsed="false">
      <c r="A17" s="7" t="s">
        <v>1111</v>
      </c>
      <c r="B17" s="7"/>
      <c r="C17" s="7" t="s">
        <v>324</v>
      </c>
      <c r="D17" s="7" t="s">
        <v>2883</v>
      </c>
      <c r="E17" s="7" t="s">
        <v>2852</v>
      </c>
      <c r="F17" s="7" t="s">
        <v>2884</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699</v>
      </c>
      <c r="T17" s="7" t="s">
        <v>16</v>
      </c>
      <c r="U17" s="7" t="s">
        <v>2885</v>
      </c>
    </row>
    <row r="18" customFormat="false" ht="23.25" hidden="false" customHeight="true" outlineLevel="0" collapsed="false">
      <c r="A18" s="7" t="s">
        <v>2886</v>
      </c>
      <c r="B18" s="7" t="s">
        <v>2887</v>
      </c>
      <c r="C18" s="7" t="s">
        <v>2848</v>
      </c>
      <c r="D18" s="7" t="s">
        <v>2888</v>
      </c>
      <c r="E18" s="7" t="s">
        <v>1000</v>
      </c>
      <c r="F18" s="7" t="s">
        <v>2840</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1006</v>
      </c>
      <c r="T18" s="7" t="s">
        <v>16</v>
      </c>
      <c r="U18" s="7"/>
    </row>
    <row r="19" customFormat="false" ht="23.25" hidden="false" customHeight="true" outlineLevel="0" collapsed="false">
      <c r="A19" s="7" t="s">
        <v>2889</v>
      </c>
      <c r="B19" s="7" t="s">
        <v>2890</v>
      </c>
      <c r="C19" s="7" t="s">
        <v>2830</v>
      </c>
      <c r="D19" s="7" t="s">
        <v>2891</v>
      </c>
      <c r="E19" s="7" t="s">
        <v>1000</v>
      </c>
      <c r="F19" s="7" t="s">
        <v>2840</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1006</v>
      </c>
      <c r="T19" s="7" t="s">
        <v>16</v>
      </c>
      <c r="U19" s="7"/>
    </row>
    <row r="20" customFormat="false" ht="23.25" hidden="false" customHeight="true" outlineLevel="0" collapsed="false">
      <c r="A20" s="7" t="s">
        <v>2892</v>
      </c>
      <c r="B20" s="7" t="s">
        <v>2893</v>
      </c>
      <c r="C20" s="7" t="s">
        <v>324</v>
      </c>
      <c r="D20" s="7" t="s">
        <v>2894</v>
      </c>
      <c r="E20" s="7" t="s">
        <v>1000</v>
      </c>
      <c r="F20" s="7" t="s">
        <v>2895</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1006</v>
      </c>
      <c r="T20" s="7" t="s">
        <v>16</v>
      </c>
      <c r="U20" s="7"/>
    </row>
    <row r="21" customFormat="false" ht="23.25" hidden="false" customHeight="true" outlineLevel="0" collapsed="false">
      <c r="A21" s="7" t="s">
        <v>2896</v>
      </c>
      <c r="B21" s="7" t="s">
        <v>2897</v>
      </c>
      <c r="C21" s="7" t="s">
        <v>324</v>
      </c>
      <c r="D21" s="7" t="s">
        <v>2898</v>
      </c>
      <c r="E21" s="7" t="s">
        <v>1000</v>
      </c>
      <c r="F21" s="7" t="s">
        <v>2895</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1006</v>
      </c>
      <c r="T21" s="7" t="s">
        <v>16</v>
      </c>
      <c r="U21" s="7" t="s">
        <v>2899</v>
      </c>
    </row>
    <row r="22" customFormat="false" ht="23.25" hidden="false" customHeight="true" outlineLevel="0" collapsed="false">
      <c r="A22" s="7" t="s">
        <v>2900</v>
      </c>
      <c r="B22" s="7" t="s">
        <v>2901</v>
      </c>
      <c r="C22" s="7" t="s">
        <v>2902</v>
      </c>
      <c r="D22" s="7" t="s">
        <v>2903</v>
      </c>
      <c r="E22" s="7" t="s">
        <v>1000</v>
      </c>
      <c r="F22" s="7" t="s">
        <v>2845</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1006</v>
      </c>
      <c r="T22" s="7" t="s">
        <v>16</v>
      </c>
      <c r="U22" s="7"/>
    </row>
    <row r="23" customFormat="false" ht="34.5" hidden="false" customHeight="true" outlineLevel="0" collapsed="false">
      <c r="A23" s="7" t="s">
        <v>1204</v>
      </c>
      <c r="B23" s="7"/>
      <c r="C23" s="7" t="s">
        <v>982</v>
      </c>
      <c r="D23" s="7" t="s">
        <v>2904</v>
      </c>
      <c r="E23" s="7" t="s">
        <v>2905</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699</v>
      </c>
      <c r="T23" s="7" t="s">
        <v>16</v>
      </c>
      <c r="U23" s="7" t="s">
        <v>2861</v>
      </c>
    </row>
    <row r="24" customFormat="false" ht="23.25" hidden="false" customHeight="true" outlineLevel="0" collapsed="false">
      <c r="A24" s="7" t="s">
        <v>1221</v>
      </c>
      <c r="B24" s="7" t="s">
        <v>2906</v>
      </c>
      <c r="C24" s="7" t="s">
        <v>2907</v>
      </c>
      <c r="D24" s="7" t="s">
        <v>2908</v>
      </c>
      <c r="E24" s="7" t="s">
        <v>2909</v>
      </c>
      <c r="F24" s="7" t="s">
        <v>2872</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2910</v>
      </c>
      <c r="T24" s="7" t="s">
        <v>16</v>
      </c>
      <c r="U24" s="7" t="s">
        <v>2911</v>
      </c>
    </row>
    <row r="25" customFormat="false" ht="23.25" hidden="false" customHeight="true" outlineLevel="0" collapsed="false">
      <c r="A25" s="7" t="s">
        <v>1230</v>
      </c>
      <c r="B25" s="7" t="s">
        <v>2912</v>
      </c>
      <c r="C25" s="7" t="s">
        <v>2867</v>
      </c>
      <c r="D25" s="7" t="s">
        <v>2868</v>
      </c>
      <c r="E25" s="7" t="s">
        <v>1000</v>
      </c>
      <c r="F25" s="7" t="s">
        <v>2895</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1006</v>
      </c>
      <c r="T25" s="7" t="s">
        <v>16</v>
      </c>
      <c r="U25" s="7" t="s">
        <v>2913</v>
      </c>
    </row>
    <row r="26" customFormat="false" ht="23.25" hidden="false" customHeight="true" outlineLevel="0" collapsed="false">
      <c r="A26" s="7" t="s">
        <v>2914</v>
      </c>
      <c r="B26" s="7" t="s">
        <v>2915</v>
      </c>
      <c r="C26" s="7" t="s">
        <v>2848</v>
      </c>
      <c r="D26" s="7" t="s">
        <v>2916</v>
      </c>
      <c r="E26" s="7" t="s">
        <v>1000</v>
      </c>
      <c r="F26" s="7" t="s">
        <v>2895</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1006</v>
      </c>
      <c r="T26" s="7" t="s">
        <v>16</v>
      </c>
      <c r="U26" s="7"/>
    </row>
    <row r="27" customFormat="false" ht="23.25" hidden="false" customHeight="true" outlineLevel="0" collapsed="false">
      <c r="A27" s="7" t="s">
        <v>2917</v>
      </c>
      <c r="B27" s="7" t="s">
        <v>2847</v>
      </c>
      <c r="C27" s="7" t="s">
        <v>324</v>
      </c>
      <c r="D27" s="7" t="s">
        <v>2918</v>
      </c>
      <c r="E27" s="7" t="s">
        <v>1000</v>
      </c>
      <c r="F27" s="7" t="s">
        <v>2895</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1006</v>
      </c>
      <c r="T27" s="7" t="s">
        <v>16</v>
      </c>
      <c r="U27" s="7" t="s">
        <v>2919</v>
      </c>
    </row>
    <row r="28" customFormat="false" ht="23.25" hidden="false" customHeight="true" outlineLevel="0" collapsed="false">
      <c r="A28" s="7" t="s">
        <v>2920</v>
      </c>
      <c r="B28" s="7" t="s">
        <v>2921</v>
      </c>
      <c r="C28" s="7" t="s">
        <v>2922</v>
      </c>
      <c r="D28" s="7" t="s">
        <v>2923</v>
      </c>
      <c r="E28" s="7" t="s">
        <v>1000</v>
      </c>
      <c r="F28" s="7" t="s">
        <v>2840</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1006</v>
      </c>
      <c r="T28" s="7" t="s">
        <v>16</v>
      </c>
      <c r="U28" s="7"/>
    </row>
    <row r="29" customFormat="false" ht="23.25" hidden="false" customHeight="true" outlineLevel="0" collapsed="false">
      <c r="A29" s="7" t="s">
        <v>2920</v>
      </c>
      <c r="B29" s="7" t="s">
        <v>2924</v>
      </c>
      <c r="C29" s="7" t="s">
        <v>2867</v>
      </c>
      <c r="D29" s="7" t="s">
        <v>2925</v>
      </c>
      <c r="E29" s="7" t="s">
        <v>1000</v>
      </c>
      <c r="F29" s="7" t="s">
        <v>2840</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1006</v>
      </c>
      <c r="T29" s="7" t="s">
        <v>16</v>
      </c>
      <c r="U29" s="7" t="s">
        <v>2926</v>
      </c>
    </row>
    <row r="30" customFormat="false" ht="23.25" hidden="false" customHeight="true" outlineLevel="0" collapsed="false">
      <c r="A30" s="7" t="s">
        <v>2927</v>
      </c>
      <c r="B30" s="7" t="s">
        <v>2928</v>
      </c>
      <c r="C30" s="7" t="s">
        <v>2929</v>
      </c>
      <c r="D30" s="7" t="s">
        <v>2930</v>
      </c>
      <c r="E30" s="7" t="s">
        <v>1000</v>
      </c>
      <c r="F30" s="7" t="s">
        <v>2840</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1006</v>
      </c>
      <c r="T30" s="7" t="s">
        <v>16</v>
      </c>
      <c r="U30" s="7"/>
    </row>
    <row r="31" customFormat="false" ht="23.25" hidden="false" customHeight="true" outlineLevel="0" collapsed="false">
      <c r="A31" s="7" t="s">
        <v>2931</v>
      </c>
      <c r="B31" s="7" t="s">
        <v>2932</v>
      </c>
      <c r="C31" s="7" t="s">
        <v>2933</v>
      </c>
      <c r="D31" s="7" t="s">
        <v>2934</v>
      </c>
      <c r="E31" s="7" t="s">
        <v>1000</v>
      </c>
      <c r="F31" s="7" t="s">
        <v>2840</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1006</v>
      </c>
      <c r="T31" s="7" t="s">
        <v>16</v>
      </c>
      <c r="U31" s="7"/>
    </row>
    <row r="32" customFormat="false" ht="23.25" hidden="false" customHeight="true" outlineLevel="0" collapsed="false">
      <c r="A32" s="7" t="s">
        <v>2935</v>
      </c>
      <c r="B32" s="7" t="s">
        <v>2915</v>
      </c>
      <c r="C32" s="7" t="s">
        <v>2867</v>
      </c>
      <c r="D32" s="7" t="s">
        <v>2868</v>
      </c>
      <c r="E32" s="7" t="s">
        <v>1000</v>
      </c>
      <c r="F32" s="7" t="s">
        <v>2840</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1006</v>
      </c>
      <c r="T32" s="7" t="s">
        <v>16</v>
      </c>
      <c r="U32" s="7"/>
    </row>
    <row r="33" customFormat="false" ht="23.25" hidden="false" customHeight="true" outlineLevel="0" collapsed="false">
      <c r="A33" s="7" t="s">
        <v>2936</v>
      </c>
      <c r="B33" s="7" t="s">
        <v>2937</v>
      </c>
      <c r="C33" s="7" t="s">
        <v>2830</v>
      </c>
      <c r="D33" s="7" t="s">
        <v>2938</v>
      </c>
      <c r="E33" s="7" t="s">
        <v>1000</v>
      </c>
      <c r="F33" s="7" t="s">
        <v>2845</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1006</v>
      </c>
      <c r="T33" s="7" t="s">
        <v>16</v>
      </c>
      <c r="U33" s="7"/>
    </row>
    <row r="34" customFormat="false" ht="15" hidden="false" customHeight="true" outlineLevel="0" collapsed="false">
      <c r="A34" s="7" t="s">
        <v>1271</v>
      </c>
      <c r="B34" s="7"/>
      <c r="C34" s="7" t="s">
        <v>2939</v>
      </c>
      <c r="D34" s="7" t="s">
        <v>1273</v>
      </c>
      <c r="E34" s="7" t="s">
        <v>1272</v>
      </c>
      <c r="F34" s="7" t="s">
        <v>2940</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1277</v>
      </c>
      <c r="T34" s="7" t="s">
        <v>16</v>
      </c>
      <c r="U34" s="7" t="s">
        <v>2941</v>
      </c>
    </row>
    <row r="35" customFormat="false" ht="23.25" hidden="false" customHeight="true" outlineLevel="0" collapsed="false">
      <c r="A35" s="7" t="s">
        <v>2942</v>
      </c>
      <c r="B35" s="7" t="s">
        <v>2943</v>
      </c>
      <c r="C35" s="7" t="s">
        <v>2830</v>
      </c>
      <c r="D35" s="7" t="s">
        <v>2891</v>
      </c>
      <c r="E35" s="7" t="s">
        <v>1000</v>
      </c>
      <c r="F35" s="7" t="s">
        <v>2840</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1006</v>
      </c>
      <c r="T35" s="7" t="s">
        <v>16</v>
      </c>
      <c r="U35" s="7"/>
    </row>
    <row r="36" customFormat="false" ht="23.25" hidden="false" customHeight="true" outlineLevel="0" collapsed="false">
      <c r="A36" s="7" t="s">
        <v>2942</v>
      </c>
      <c r="B36" s="7" t="s">
        <v>2944</v>
      </c>
      <c r="C36" s="7" t="s">
        <v>2830</v>
      </c>
      <c r="D36" s="7" t="s">
        <v>2891</v>
      </c>
      <c r="E36" s="7" t="s">
        <v>1000</v>
      </c>
      <c r="F36" s="7" t="s">
        <v>2840</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1006</v>
      </c>
      <c r="T36" s="7" t="s">
        <v>16</v>
      </c>
      <c r="U36" s="7"/>
    </row>
    <row r="37" customFormat="false" ht="23.25" hidden="false" customHeight="true" outlineLevel="0" collapsed="false">
      <c r="A37" s="7" t="s">
        <v>2942</v>
      </c>
      <c r="B37" s="7" t="s">
        <v>2945</v>
      </c>
      <c r="C37" s="7" t="s">
        <v>2830</v>
      </c>
      <c r="D37" s="7" t="s">
        <v>2946</v>
      </c>
      <c r="E37" s="7" t="s">
        <v>1000</v>
      </c>
      <c r="F37" s="7" t="s">
        <v>2845</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1006</v>
      </c>
      <c r="T37" s="7" t="s">
        <v>16</v>
      </c>
      <c r="U37" s="7"/>
    </row>
    <row r="38" customFormat="false" ht="23.25" hidden="false" customHeight="true" outlineLevel="0" collapsed="false">
      <c r="A38" s="7" t="s">
        <v>1310</v>
      </c>
      <c r="B38" s="7" t="s">
        <v>2947</v>
      </c>
      <c r="C38" s="7" t="s">
        <v>2948</v>
      </c>
      <c r="D38" s="7" t="s">
        <v>2949</v>
      </c>
      <c r="E38" s="7" t="s">
        <v>1000</v>
      </c>
      <c r="F38" s="7" t="s">
        <v>2857</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1006</v>
      </c>
      <c r="T38" s="7" t="s">
        <v>16</v>
      </c>
      <c r="U38" s="7" t="s">
        <v>2950</v>
      </c>
    </row>
    <row r="39" customFormat="false" ht="23.25" hidden="false" customHeight="true" outlineLevel="0" collapsed="false">
      <c r="A39" s="7" t="s">
        <v>1310</v>
      </c>
      <c r="B39" s="7" t="s">
        <v>2951</v>
      </c>
      <c r="C39" s="7" t="s">
        <v>324</v>
      </c>
      <c r="D39" s="7" t="s">
        <v>2894</v>
      </c>
      <c r="E39" s="7" t="s">
        <v>1000</v>
      </c>
      <c r="F39" s="7" t="s">
        <v>2840</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1006</v>
      </c>
      <c r="T39" s="7" t="s">
        <v>16</v>
      </c>
      <c r="U39" s="7"/>
    </row>
    <row r="40" customFormat="false" ht="23.25" hidden="false" customHeight="true" outlineLevel="0" collapsed="false">
      <c r="A40" s="7" t="s">
        <v>1310</v>
      </c>
      <c r="B40" s="7" t="s">
        <v>2952</v>
      </c>
      <c r="C40" s="7" t="s">
        <v>2867</v>
      </c>
      <c r="D40" s="7" t="s">
        <v>2868</v>
      </c>
      <c r="E40" s="7" t="s">
        <v>1000</v>
      </c>
      <c r="F40" s="7" t="s">
        <v>2845</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1006</v>
      </c>
      <c r="T40" s="7" t="s">
        <v>16</v>
      </c>
      <c r="U40" s="7"/>
    </row>
    <row r="41" customFormat="false" ht="15" hidden="false" customHeight="true" outlineLevel="0" collapsed="false">
      <c r="A41" s="7" t="s">
        <v>2953</v>
      </c>
      <c r="B41" s="7"/>
      <c r="C41" s="7" t="s">
        <v>324</v>
      </c>
      <c r="D41" s="7" t="s">
        <v>2954</v>
      </c>
      <c r="E41" s="7" t="s">
        <v>2955</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1277</v>
      </c>
      <c r="T41" s="7" t="s">
        <v>16</v>
      </c>
      <c r="U41" s="7" t="s">
        <v>2956</v>
      </c>
    </row>
    <row r="42" customFormat="false" ht="23.25" hidden="false" customHeight="true" outlineLevel="0" collapsed="false">
      <c r="A42" s="7" t="s">
        <v>1358</v>
      </c>
      <c r="B42" s="7" t="s">
        <v>2957</v>
      </c>
      <c r="C42" s="7" t="s">
        <v>2848</v>
      </c>
      <c r="D42" s="7" t="s">
        <v>2916</v>
      </c>
      <c r="E42" s="7" t="s">
        <v>1000</v>
      </c>
      <c r="F42" s="7" t="s">
        <v>2840</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1006</v>
      </c>
      <c r="T42" s="7" t="s">
        <v>16</v>
      </c>
      <c r="U42" s="7"/>
    </row>
    <row r="43" customFormat="false" ht="23.25" hidden="false" customHeight="true" outlineLevel="0" collapsed="false">
      <c r="A43" s="7" t="s">
        <v>1358</v>
      </c>
      <c r="B43" s="7" t="s">
        <v>2958</v>
      </c>
      <c r="C43" s="7" t="s">
        <v>2848</v>
      </c>
      <c r="D43" s="7" t="s">
        <v>2959</v>
      </c>
      <c r="E43" s="7" t="s">
        <v>1000</v>
      </c>
      <c r="F43" s="7" t="s">
        <v>2845</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1006</v>
      </c>
      <c r="T43" s="7" t="s">
        <v>16</v>
      </c>
      <c r="U43" s="7" t="s">
        <v>2960</v>
      </c>
    </row>
    <row r="44" customFormat="false" ht="23.25" hidden="false" customHeight="true" outlineLevel="0" collapsed="false">
      <c r="A44" s="7" t="s">
        <v>1358</v>
      </c>
      <c r="B44" s="7" t="s">
        <v>2961</v>
      </c>
      <c r="C44" s="7" t="s">
        <v>2848</v>
      </c>
      <c r="D44" s="7" t="s">
        <v>2916</v>
      </c>
      <c r="E44" s="7" t="s">
        <v>1000</v>
      </c>
      <c r="F44" s="7" t="s">
        <v>2840</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1006</v>
      </c>
      <c r="T44" s="7" t="s">
        <v>16</v>
      </c>
      <c r="U44" s="7"/>
    </row>
    <row r="45" customFormat="false" ht="23.25" hidden="false" customHeight="true" outlineLevel="0" collapsed="false">
      <c r="A45" s="7" t="s">
        <v>1358</v>
      </c>
      <c r="B45" s="7" t="s">
        <v>2850</v>
      </c>
      <c r="C45" s="7" t="s">
        <v>2848</v>
      </c>
      <c r="D45" s="7" t="s">
        <v>2916</v>
      </c>
      <c r="E45" s="7" t="s">
        <v>1000</v>
      </c>
      <c r="F45" s="7" t="s">
        <v>2840</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1006</v>
      </c>
      <c r="T45" s="7" t="s">
        <v>16</v>
      </c>
      <c r="U45" s="7"/>
    </row>
    <row r="46" customFormat="false" ht="23.25" hidden="false" customHeight="true" outlineLevel="0" collapsed="false">
      <c r="A46" s="7" t="s">
        <v>1358</v>
      </c>
      <c r="B46" s="7" t="s">
        <v>2962</v>
      </c>
      <c r="C46" s="7" t="s">
        <v>2830</v>
      </c>
      <c r="D46" s="7" t="s">
        <v>2891</v>
      </c>
      <c r="E46" s="7" t="s">
        <v>1000</v>
      </c>
      <c r="F46" s="7" t="s">
        <v>2840</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1006</v>
      </c>
      <c r="T46" s="7" t="s">
        <v>16</v>
      </c>
      <c r="U46" s="7"/>
    </row>
    <row r="47" customFormat="false" ht="23.25" hidden="false" customHeight="true" outlineLevel="0" collapsed="false">
      <c r="A47" s="7" t="s">
        <v>1358</v>
      </c>
      <c r="B47" s="7" t="s">
        <v>2963</v>
      </c>
      <c r="C47" s="7" t="s">
        <v>2830</v>
      </c>
      <c r="D47" s="7" t="s">
        <v>2891</v>
      </c>
      <c r="E47" s="7" t="s">
        <v>1000</v>
      </c>
      <c r="F47" s="7" t="s">
        <v>2895</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1006</v>
      </c>
      <c r="T47" s="7" t="s">
        <v>16</v>
      </c>
      <c r="U47" s="7"/>
    </row>
    <row r="48" customFormat="false" ht="23.25" hidden="false" customHeight="true" outlineLevel="0" collapsed="false">
      <c r="A48" s="7" t="s">
        <v>1358</v>
      </c>
      <c r="B48" s="7" t="s">
        <v>2964</v>
      </c>
      <c r="C48" s="7" t="s">
        <v>2830</v>
      </c>
      <c r="D48" s="7" t="s">
        <v>2891</v>
      </c>
      <c r="E48" s="7" t="s">
        <v>1000</v>
      </c>
      <c r="F48" s="7" t="s">
        <v>2895</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1006</v>
      </c>
      <c r="T48" s="7" t="s">
        <v>16</v>
      </c>
      <c r="U48" s="7"/>
    </row>
    <row r="49" customFormat="false" ht="23.25" hidden="false" customHeight="true" outlineLevel="0" collapsed="false">
      <c r="A49" s="7" t="s">
        <v>1358</v>
      </c>
      <c r="B49" s="7" t="s">
        <v>2965</v>
      </c>
      <c r="C49" s="7" t="s">
        <v>2830</v>
      </c>
      <c r="D49" s="7" t="s">
        <v>2891</v>
      </c>
      <c r="E49" s="7" t="s">
        <v>1000</v>
      </c>
      <c r="F49" s="7" t="s">
        <v>2895</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1006</v>
      </c>
      <c r="T49" s="7" t="s">
        <v>16</v>
      </c>
      <c r="U49" s="7"/>
    </row>
    <row r="50" customFormat="false" ht="23.25" hidden="false" customHeight="true" outlineLevel="0" collapsed="false">
      <c r="A50" s="7" t="s">
        <v>1358</v>
      </c>
      <c r="B50" s="7" t="s">
        <v>2965</v>
      </c>
      <c r="C50" s="7" t="s">
        <v>2830</v>
      </c>
      <c r="D50" s="7" t="s">
        <v>2891</v>
      </c>
      <c r="E50" s="7" t="s">
        <v>1000</v>
      </c>
      <c r="F50" s="7" t="s">
        <v>2895</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1006</v>
      </c>
      <c r="T50" s="7" t="s">
        <v>16</v>
      </c>
      <c r="U50" s="7"/>
    </row>
    <row r="51" customFormat="false" ht="23.25" hidden="false" customHeight="true" outlineLevel="0" collapsed="false">
      <c r="A51" s="7" t="s">
        <v>1358</v>
      </c>
      <c r="B51" s="7" t="s">
        <v>2966</v>
      </c>
      <c r="C51" s="7" t="s">
        <v>2830</v>
      </c>
      <c r="D51" s="7" t="s">
        <v>2891</v>
      </c>
      <c r="E51" s="7" t="s">
        <v>1000</v>
      </c>
      <c r="F51" s="7" t="s">
        <v>2845</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1006</v>
      </c>
      <c r="T51" s="7" t="s">
        <v>16</v>
      </c>
      <c r="U51" s="7"/>
    </row>
    <row r="52" customFormat="false" ht="23.25" hidden="false" customHeight="true" outlineLevel="0" collapsed="false">
      <c r="A52" s="7" t="s">
        <v>1358</v>
      </c>
      <c r="B52" s="7" t="s">
        <v>2967</v>
      </c>
      <c r="C52" s="7" t="s">
        <v>2867</v>
      </c>
      <c r="D52" s="7" t="s">
        <v>2968</v>
      </c>
      <c r="E52" s="7" t="s">
        <v>1000</v>
      </c>
      <c r="F52" s="7" t="s">
        <v>2840</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1006</v>
      </c>
      <c r="T52" s="7" t="s">
        <v>16</v>
      </c>
      <c r="U52" s="7"/>
    </row>
    <row r="53" customFormat="false" ht="23.25" hidden="false" customHeight="true" outlineLevel="0" collapsed="false">
      <c r="A53" s="7" t="s">
        <v>2969</v>
      </c>
      <c r="B53" s="7" t="s">
        <v>2970</v>
      </c>
      <c r="C53" s="7" t="s">
        <v>2830</v>
      </c>
      <c r="D53" s="7" t="s">
        <v>2891</v>
      </c>
      <c r="E53" s="7" t="s">
        <v>1000</v>
      </c>
      <c r="F53" s="7" t="s">
        <v>2971</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1006</v>
      </c>
      <c r="T53" s="7" t="s">
        <v>16</v>
      </c>
      <c r="U53" s="7" t="s">
        <v>2972</v>
      </c>
    </row>
    <row r="54" customFormat="false" ht="23.25" hidden="false" customHeight="true" outlineLevel="0" collapsed="false">
      <c r="A54" s="7" t="s">
        <v>2973</v>
      </c>
      <c r="B54" s="7" t="s">
        <v>2974</v>
      </c>
      <c r="C54" s="7" t="s">
        <v>2975</v>
      </c>
      <c r="D54" s="7" t="s">
        <v>2976</v>
      </c>
      <c r="E54" s="7" t="s">
        <v>1000</v>
      </c>
      <c r="F54" s="7" t="s">
        <v>2971</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1006</v>
      </c>
      <c r="T54" s="7" t="s">
        <v>16</v>
      </c>
      <c r="U54" s="7"/>
    </row>
    <row r="55" customFormat="false" ht="15" hidden="false" customHeight="true" outlineLevel="0" collapsed="false">
      <c r="A55" s="7" t="s">
        <v>1572</v>
      </c>
      <c r="B55" s="7" t="s">
        <v>2977</v>
      </c>
      <c r="C55" s="7" t="s">
        <v>2922</v>
      </c>
      <c r="D55" s="7" t="s">
        <v>2978</v>
      </c>
      <c r="E55" s="7" t="s">
        <v>1000</v>
      </c>
      <c r="F55" s="7" t="s">
        <v>2971</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2979</v>
      </c>
      <c r="T55" s="7" t="s">
        <v>18</v>
      </c>
      <c r="U55" s="7" t="s">
        <v>2980</v>
      </c>
    </row>
    <row r="56" customFormat="false" ht="23.25" hidden="false" customHeight="true" outlineLevel="0" collapsed="false">
      <c r="A56" s="7" t="s">
        <v>1572</v>
      </c>
      <c r="B56" s="7"/>
      <c r="C56" s="7" t="s">
        <v>2975</v>
      </c>
      <c r="D56" s="7" t="s">
        <v>2981</v>
      </c>
      <c r="E56" s="7" t="s">
        <v>1000</v>
      </c>
      <c r="F56" s="7" t="s">
        <v>2982</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2979</v>
      </c>
      <c r="T56" s="7" t="s">
        <v>18</v>
      </c>
      <c r="U56" s="7" t="s">
        <v>2983</v>
      </c>
    </row>
    <row r="57" customFormat="false" ht="15" hidden="false" customHeight="true" outlineLevel="0" collapsed="false">
      <c r="A57" s="7" t="s">
        <v>1572</v>
      </c>
      <c r="B57" s="7"/>
      <c r="C57" s="7" t="s">
        <v>2984</v>
      </c>
      <c r="D57" s="7" t="s">
        <v>2985</v>
      </c>
      <c r="E57" s="7" t="s">
        <v>1000</v>
      </c>
      <c r="F57" s="7" t="s">
        <v>2971</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2979</v>
      </c>
      <c r="T57" s="7" t="s">
        <v>18</v>
      </c>
      <c r="U57" s="7" t="s">
        <v>2986</v>
      </c>
    </row>
    <row r="58" customFormat="false" ht="15" hidden="false" customHeight="true" outlineLevel="0" collapsed="false">
      <c r="A58" s="7" t="s">
        <v>1591</v>
      </c>
      <c r="B58" s="7"/>
      <c r="C58" s="7" t="s">
        <v>324</v>
      </c>
      <c r="D58" s="7" t="s">
        <v>2987</v>
      </c>
      <c r="E58" s="7" t="s">
        <v>1000</v>
      </c>
      <c r="F58" s="7" t="s">
        <v>2971</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2988</v>
      </c>
      <c r="T58" s="7" t="s">
        <v>18</v>
      </c>
      <c r="U58" s="7" t="s">
        <v>2989</v>
      </c>
    </row>
    <row r="59" customFormat="false" ht="15" hidden="false" customHeight="true" outlineLevel="0" collapsed="false">
      <c r="A59" s="7" t="s">
        <v>1591</v>
      </c>
      <c r="B59" s="7" t="s">
        <v>2990</v>
      </c>
      <c r="C59" s="7" t="s">
        <v>689</v>
      </c>
      <c r="D59" s="7" t="s">
        <v>2991</v>
      </c>
      <c r="E59" s="7" t="s">
        <v>1000</v>
      </c>
      <c r="F59" s="7" t="s">
        <v>2992</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2979</v>
      </c>
      <c r="T59" s="7" t="s">
        <v>18</v>
      </c>
      <c r="U59" s="7" t="s">
        <v>2993</v>
      </c>
    </row>
    <row r="60" customFormat="false" ht="34.5" hidden="false" customHeight="true" outlineLevel="0" collapsed="false">
      <c r="A60" s="7" t="s">
        <v>2994</v>
      </c>
      <c r="B60" s="7"/>
      <c r="C60" s="7" t="s">
        <v>982</v>
      </c>
      <c r="D60" s="7" t="s">
        <v>2995</v>
      </c>
      <c r="E60" s="7" t="s">
        <v>2996</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699</v>
      </c>
      <c r="T60" s="7" t="s">
        <v>16</v>
      </c>
      <c r="U60" s="7"/>
    </row>
    <row r="61" customFormat="false" ht="15" hidden="false" customHeight="true" outlineLevel="0" collapsed="false">
      <c r="A61" s="7" t="s">
        <v>2997</v>
      </c>
      <c r="B61" s="7"/>
      <c r="C61" s="7" t="s">
        <v>689</v>
      </c>
      <c r="D61" s="7" t="s">
        <v>2998</v>
      </c>
      <c r="E61" s="7" t="s">
        <v>1000</v>
      </c>
      <c r="F61" s="7" t="s">
        <v>2999</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2979</v>
      </c>
      <c r="T61" s="7" t="s">
        <v>18</v>
      </c>
      <c r="U61" s="7" t="s">
        <v>3000</v>
      </c>
    </row>
    <row r="62" customFormat="false" ht="34.5" hidden="false" customHeight="true" outlineLevel="0" collapsed="false">
      <c r="A62" s="7" t="s">
        <v>3001</v>
      </c>
      <c r="B62" s="7"/>
      <c r="C62" s="7" t="s">
        <v>3002</v>
      </c>
      <c r="D62" s="7" t="s">
        <v>3003</v>
      </c>
      <c r="E62" s="7" t="s">
        <v>2852</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699</v>
      </c>
      <c r="T62" s="7" t="s">
        <v>16</v>
      </c>
      <c r="U62" s="7"/>
    </row>
    <row r="63" customFormat="false" ht="34.5" hidden="false" customHeight="true" outlineLevel="0" collapsed="false">
      <c r="A63" s="7" t="s">
        <v>3004</v>
      </c>
      <c r="B63" s="7"/>
      <c r="C63" s="7" t="s">
        <v>982</v>
      </c>
      <c r="D63" s="7" t="s">
        <v>1816</v>
      </c>
      <c r="E63" s="7" t="s">
        <v>2996</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699</v>
      </c>
      <c r="T63" s="7" t="s">
        <v>16</v>
      </c>
      <c r="U63" s="7" t="s">
        <v>3005</v>
      </c>
    </row>
    <row r="64" customFormat="false" ht="34.5" hidden="false" customHeight="true" outlineLevel="0" collapsed="false">
      <c r="A64" s="7" t="s">
        <v>3006</v>
      </c>
      <c r="B64" s="7"/>
      <c r="C64" s="7" t="s">
        <v>982</v>
      </c>
      <c r="D64" s="7" t="s">
        <v>3007</v>
      </c>
      <c r="E64" s="7" t="s">
        <v>2996</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699</v>
      </c>
      <c r="T64" s="7" t="s">
        <v>16</v>
      </c>
      <c r="U64" s="7" t="s">
        <v>3005</v>
      </c>
    </row>
    <row r="65" customFormat="false" ht="15" hidden="false" customHeight="true" outlineLevel="0" collapsed="false">
      <c r="A65" s="7" t="s">
        <v>3008</v>
      </c>
      <c r="B65" s="7" t="s">
        <v>3009</v>
      </c>
      <c r="C65" s="7" t="s">
        <v>2848</v>
      </c>
      <c r="D65" s="7" t="s">
        <v>2916</v>
      </c>
      <c r="E65" s="7" t="s">
        <v>1000</v>
      </c>
      <c r="F65" s="7" t="s">
        <v>2999</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3010</v>
      </c>
      <c r="T65" s="7" t="s">
        <v>18</v>
      </c>
      <c r="U65" s="7" t="s">
        <v>2836</v>
      </c>
    </row>
    <row r="66" customFormat="false" ht="34.5" hidden="false" customHeight="true" outlineLevel="0" collapsed="false">
      <c r="A66" s="7" t="s">
        <v>1686</v>
      </c>
      <c r="B66" s="7"/>
      <c r="C66" s="7" t="s">
        <v>982</v>
      </c>
      <c r="D66" s="7" t="s">
        <v>3011</v>
      </c>
      <c r="E66" s="7" t="s">
        <v>2852</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699</v>
      </c>
      <c r="T66" s="7" t="s">
        <v>16</v>
      </c>
      <c r="U66" s="7"/>
    </row>
    <row r="67" customFormat="false" ht="34.5" hidden="false" customHeight="true" outlineLevel="0" collapsed="false">
      <c r="A67" s="7" t="s">
        <v>1688</v>
      </c>
      <c r="B67" s="7"/>
      <c r="C67" s="7" t="s">
        <v>982</v>
      </c>
      <c r="D67" s="7" t="s">
        <v>3012</v>
      </c>
      <c r="E67" s="7" t="s">
        <v>2852</v>
      </c>
      <c r="F67" s="7" t="s">
        <v>3013</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699</v>
      </c>
      <c r="T67" s="7" t="s">
        <v>16</v>
      </c>
      <c r="U67" s="7" t="s">
        <v>3014</v>
      </c>
    </row>
    <row r="68" customFormat="false" ht="34.5" hidden="false" customHeight="true" outlineLevel="0" collapsed="false">
      <c r="A68" s="7" t="s">
        <v>1704</v>
      </c>
      <c r="B68" s="7"/>
      <c r="C68" s="7" t="s">
        <v>982</v>
      </c>
      <c r="D68" s="7" t="s">
        <v>1705</v>
      </c>
      <c r="E68" s="7" t="s">
        <v>3015</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699</v>
      </c>
      <c r="T68" s="7" t="s">
        <v>16</v>
      </c>
      <c r="U68" s="7"/>
    </row>
    <row r="69" customFormat="false" ht="15" hidden="false" customHeight="true" outlineLevel="0" collapsed="false">
      <c r="A69" s="7" t="s">
        <v>3016</v>
      </c>
      <c r="B69" s="7"/>
      <c r="C69" s="7" t="s">
        <v>324</v>
      </c>
      <c r="D69" s="7" t="s">
        <v>2894</v>
      </c>
      <c r="E69" s="7" t="s">
        <v>2996</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1277</v>
      </c>
      <c r="T69" s="7" t="s">
        <v>16</v>
      </c>
      <c r="U69" s="7" t="s">
        <v>3017</v>
      </c>
    </row>
    <row r="70" customFormat="false" ht="15" hidden="false" customHeight="true" outlineLevel="0" collapsed="false">
      <c r="A70" s="7" t="s">
        <v>3018</v>
      </c>
      <c r="B70" s="7" t="s">
        <v>3019</v>
      </c>
      <c r="C70" s="7" t="s">
        <v>2848</v>
      </c>
      <c r="D70" s="7" t="s">
        <v>2916</v>
      </c>
      <c r="E70" s="7" t="s">
        <v>1000</v>
      </c>
      <c r="F70" s="7" t="s">
        <v>2971</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3010</v>
      </c>
      <c r="T70" s="7" t="s">
        <v>18</v>
      </c>
      <c r="U70" s="7" t="s">
        <v>2836</v>
      </c>
    </row>
    <row r="71" customFormat="false" ht="15" hidden="false" customHeight="true" outlineLevel="0" collapsed="false">
      <c r="A71" s="7" t="s">
        <v>3020</v>
      </c>
      <c r="B71" s="7" t="s">
        <v>3021</v>
      </c>
      <c r="C71" s="7" t="s">
        <v>2867</v>
      </c>
      <c r="D71" s="7" t="s">
        <v>3022</v>
      </c>
      <c r="E71" s="7" t="s">
        <v>1000</v>
      </c>
      <c r="F71" s="7" t="s">
        <v>2971</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3010</v>
      </c>
      <c r="T71" s="7" t="s">
        <v>16</v>
      </c>
      <c r="U71" s="7"/>
    </row>
    <row r="72" customFormat="false" ht="34.5" hidden="false" customHeight="true" outlineLevel="0" collapsed="false">
      <c r="A72" s="7" t="s">
        <v>1707</v>
      </c>
      <c r="B72" s="7"/>
      <c r="C72" s="7" t="s">
        <v>982</v>
      </c>
      <c r="D72" s="7" t="s">
        <v>3023</v>
      </c>
      <c r="E72" s="7" t="s">
        <v>1272</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699</v>
      </c>
      <c r="T72" s="7" t="s">
        <v>16</v>
      </c>
      <c r="U72" s="7" t="s">
        <v>1709</v>
      </c>
    </row>
    <row r="73" customFormat="false" ht="34.5" hidden="false" customHeight="true" outlineLevel="0" collapsed="false">
      <c r="A73" s="7" t="s">
        <v>1721</v>
      </c>
      <c r="B73" s="7"/>
      <c r="C73" s="7" t="s">
        <v>3024</v>
      </c>
      <c r="D73" s="7" t="s">
        <v>3025</v>
      </c>
      <c r="E73" s="7" t="s">
        <v>1000</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699</v>
      </c>
      <c r="T73" s="7" t="s">
        <v>18</v>
      </c>
      <c r="U73" s="7" t="s">
        <v>3026</v>
      </c>
    </row>
    <row r="74" customFormat="false" ht="34.5" hidden="false" customHeight="true" outlineLevel="0" collapsed="false">
      <c r="A74" s="7" t="s">
        <v>3027</v>
      </c>
      <c r="B74" s="7"/>
      <c r="C74" s="7" t="s">
        <v>982</v>
      </c>
      <c r="D74" s="7" t="s">
        <v>1816</v>
      </c>
      <c r="E74" s="7" t="s">
        <v>2996</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699</v>
      </c>
      <c r="T74" s="7" t="s">
        <v>16</v>
      </c>
      <c r="U74" s="7"/>
    </row>
    <row r="75" customFormat="false" ht="34.5" hidden="false" customHeight="true" outlineLevel="0" collapsed="false">
      <c r="A75" s="7" t="s">
        <v>1815</v>
      </c>
      <c r="B75" s="7"/>
      <c r="C75" s="7" t="s">
        <v>982</v>
      </c>
      <c r="D75" s="7" t="s">
        <v>1816</v>
      </c>
      <c r="E75" s="7" t="s">
        <v>2996</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699</v>
      </c>
      <c r="T75" s="7" t="s">
        <v>16</v>
      </c>
      <c r="U75" s="7"/>
    </row>
    <row r="76" customFormat="false" ht="23.25" hidden="false" customHeight="true" outlineLevel="0" collapsed="false">
      <c r="A76" s="7" t="s">
        <v>3028</v>
      </c>
      <c r="B76" s="7"/>
      <c r="C76" s="7" t="s">
        <v>2984</v>
      </c>
      <c r="D76" s="7" t="s">
        <v>3029</v>
      </c>
      <c r="E76" s="7" t="s">
        <v>1000</v>
      </c>
      <c r="F76" s="7" t="s">
        <v>3030</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3031</v>
      </c>
      <c r="T76" s="7" t="s">
        <v>18</v>
      </c>
      <c r="U76" s="7" t="s">
        <v>3032</v>
      </c>
    </row>
    <row r="78" customFormat="false" ht="15" hidden="false" customHeight="true" outlineLevel="0" collapsed="false">
      <c r="A78" s="8" t="s">
        <v>3033</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3034</v>
      </c>
      <c r="B1" s="10"/>
      <c r="C1" s="10"/>
      <c r="D1" s="9" t="s">
        <v>3035</v>
      </c>
      <c r="E1" s="10"/>
      <c r="F1" s="10"/>
      <c r="G1" s="9" t="s">
        <v>3036</v>
      </c>
      <c r="H1" s="10"/>
      <c r="I1" s="10"/>
      <c r="J1" s="9" t="s">
        <v>3037</v>
      </c>
      <c r="K1" s="10"/>
    </row>
    <row r="2" customFormat="false" ht="15" hidden="false" customHeight="true" outlineLevel="0" collapsed="false">
      <c r="A2" s="10" t="s">
        <v>63</v>
      </c>
      <c r="B2" s="10" t="s">
        <v>3038</v>
      </c>
      <c r="C2" s="10"/>
      <c r="D2" s="10" t="s">
        <v>16</v>
      </c>
      <c r="E2" s="10" t="n">
        <f aca="false">COUNTIF(Events!$N$2:$N$265,D2)</f>
        <v>121</v>
      </c>
      <c r="F2" s="10"/>
      <c r="G2" s="10" t="s">
        <v>3039</v>
      </c>
      <c r="H2" s="10" t="n">
        <f aca="false">COUNTIF(Events!$E$2:$E$265,18)</f>
        <v>26</v>
      </c>
      <c r="I2" s="10"/>
      <c r="J2" s="10" t="s">
        <v>3040</v>
      </c>
      <c r="K2" s="10" t="n">
        <f aca="false">COUNTIF('Wind &amp; Tornadoes'!$E$2:$E$76,"Tornado*")</f>
        <v>58</v>
      </c>
    </row>
    <row r="3" customFormat="false" ht="15" hidden="false" customHeight="true" outlineLevel="0" collapsed="false">
      <c r="A3" s="10" t="s">
        <v>252</v>
      </c>
      <c r="B3" s="10" t="n">
        <f aca="false">COUNTIF(Events!$F$2:$F$265,A3)</f>
        <v>15</v>
      </c>
      <c r="C3" s="10"/>
      <c r="D3" s="10" t="s">
        <v>18</v>
      </c>
      <c r="E3" s="10" t="n">
        <f aca="false">COUNTIF(Events!$N$2:$N$265,D3)</f>
        <v>106</v>
      </c>
      <c r="F3" s="10"/>
      <c r="G3" s="10" t="s">
        <v>3041</v>
      </c>
      <c r="H3" s="10" t="n">
        <f aca="false">COUNTIF(Events!$E$2:$E$265,19)</f>
        <v>56</v>
      </c>
      <c r="I3" s="10"/>
      <c r="J3" s="10" t="s">
        <v>3042</v>
      </c>
      <c r="K3" s="10" t="n">
        <f aca="false">COUNTIFS('Wind &amp; Tornadoes'!$E$2:$E$76,"Tornado*",'Wind &amp; Tornadoes'!$R$2:$R$76,"Yes")</f>
        <v>43</v>
      </c>
    </row>
    <row r="4" customFormat="false" ht="15" hidden="false" customHeight="true" outlineLevel="0" collapsed="false">
      <c r="A4" s="10" t="s">
        <v>733</v>
      </c>
      <c r="B4" s="10" t="n">
        <f aca="false">COUNTIF(Events!$F$2:$F$265,A4)</f>
        <v>1</v>
      </c>
      <c r="C4" s="10"/>
      <c r="D4" s="10" t="s">
        <v>20</v>
      </c>
      <c r="E4" s="10" t="n">
        <f aca="false">COUNTIF(Events!$N$2:$N$265,D4)</f>
        <v>37</v>
      </c>
      <c r="F4" s="10"/>
      <c r="G4" s="10" t="s">
        <v>3043</v>
      </c>
      <c r="H4" s="10" t="n">
        <f aca="false">COUNTIF(Events!$E$2:$E$265,20)</f>
        <v>88</v>
      </c>
      <c r="I4" s="10"/>
      <c r="J4" s="10" t="s">
        <v>3044</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1265</v>
      </c>
      <c r="B5" s="10" t="n">
        <f aca="false">COUNTIF(Events!$F$2:$F$265,A5)</f>
        <v>1</v>
      </c>
      <c r="C5" s="10"/>
      <c r="D5" s="10"/>
      <c r="E5" s="10"/>
      <c r="F5" s="10"/>
      <c r="G5" s="10" t="s">
        <v>3045</v>
      </c>
      <c r="H5" s="10" t="n">
        <f aca="false">COUNTIF(Events!$E$2:$E$265,21)</f>
        <v>89</v>
      </c>
      <c r="I5" s="10"/>
      <c r="J5" s="10" t="s">
        <v>3046</v>
      </c>
      <c r="K5" s="10" t="n">
        <f aca="false">MIN('Wind &amp; Tornadoes'!$Q$2:$Q$76)</f>
        <v>2.3</v>
      </c>
    </row>
    <row r="6" customFormat="false" ht="15" hidden="false" customHeight="true" outlineLevel="0" collapsed="false">
      <c r="A6" s="10" t="s">
        <v>132</v>
      </c>
      <c r="B6" s="10" t="n">
        <f aca="false">COUNTIF(Events!$F$2:$F$265,A6)</f>
        <v>3</v>
      </c>
      <c r="C6" s="10"/>
      <c r="D6" s="10" t="s">
        <v>3047</v>
      </c>
      <c r="E6" s="10" t="n">
        <f aca="false">COUNTIF(Events!$O$2:$O$265,"Y")</f>
        <v>214</v>
      </c>
      <c r="F6" s="10"/>
      <c r="G6" s="10"/>
      <c r="H6" s="10"/>
      <c r="I6" s="10"/>
      <c r="J6" s="10" t="s">
        <v>3048</v>
      </c>
      <c r="K6" s="10" t="n">
        <f aca="false">SUMIFS('Wind &amp; Tornadoes'!$J$2:$J$76,'Wind &amp; Tornadoes'!$E$2:$E$76,"Tornado*",'Wind &amp; Tornadoes'!$R$2:$R$76,"Yes")</f>
        <v>58</v>
      </c>
    </row>
    <row r="7" customFormat="false" ht="15" hidden="false" customHeight="true" outlineLevel="0" collapsed="false">
      <c r="A7" s="10" t="s">
        <v>233</v>
      </c>
      <c r="B7" s="10" t="n">
        <f aca="false">COUNTIF(Events!$F$2:$F$265,A7)</f>
        <v>13</v>
      </c>
      <c r="C7" s="10"/>
      <c r="D7" s="10" t="s">
        <v>3049</v>
      </c>
      <c r="E7" s="10" t="n">
        <f aca="false">COUNTIF(Events!$O$2:$O$265,"N")</f>
        <v>50</v>
      </c>
      <c r="F7" s="10"/>
      <c r="G7" s="10"/>
      <c r="H7" s="10"/>
      <c r="I7" s="10"/>
      <c r="J7" s="10"/>
      <c r="K7" s="10"/>
    </row>
    <row r="8" customFormat="false" ht="15" hidden="false" customHeight="true" outlineLevel="0" collapsed="false">
      <c r="A8" s="10" t="s">
        <v>629</v>
      </c>
      <c r="B8" s="10" t="n">
        <f aca="false">COUNTIF(Events!$F$2:$F$265,A8)</f>
        <v>1</v>
      </c>
      <c r="C8" s="10"/>
      <c r="D8" s="10"/>
      <c r="E8" s="10"/>
      <c r="F8" s="10"/>
      <c r="G8" s="10"/>
      <c r="H8" s="10"/>
      <c r="I8" s="10"/>
      <c r="J8" s="10"/>
      <c r="K8" s="10"/>
    </row>
    <row r="9" customFormat="false" ht="15" hidden="false" customHeight="true" outlineLevel="0" collapsed="false">
      <c r="A9" s="10" t="s">
        <v>190</v>
      </c>
      <c r="B9" s="10" t="n">
        <f aca="false">COUNTIF(Events!$F$2:$F$265,A9)</f>
        <v>2</v>
      </c>
      <c r="C9" s="10"/>
      <c r="D9" s="10"/>
      <c r="E9" s="10"/>
      <c r="F9" s="10"/>
      <c r="G9" s="10"/>
      <c r="H9" s="10"/>
      <c r="I9" s="10"/>
      <c r="J9" s="10"/>
      <c r="K9" s="10"/>
    </row>
    <row r="10" customFormat="false" ht="15" hidden="false" customHeight="true" outlineLevel="0" collapsed="false">
      <c r="A10" s="10" t="s">
        <v>268</v>
      </c>
      <c r="B10" s="10" t="n">
        <f aca="false">COUNTIF(Events!$F$2:$F$265,A10)</f>
        <v>1</v>
      </c>
      <c r="C10" s="10"/>
      <c r="D10" s="10"/>
      <c r="E10" s="10"/>
      <c r="F10" s="10"/>
      <c r="G10" s="10"/>
      <c r="H10" s="10"/>
      <c r="I10" s="10"/>
      <c r="J10" s="10"/>
      <c r="K10" s="10"/>
    </row>
    <row r="11" customFormat="false" ht="15" hidden="false" customHeight="true" outlineLevel="0" collapsed="false">
      <c r="A11" s="10" t="s">
        <v>1601</v>
      </c>
      <c r="B11" s="10" t="n">
        <f aca="false">COUNTIF(Events!$F$2:$F$265,A11)</f>
        <v>1</v>
      </c>
      <c r="C11" s="10"/>
      <c r="D11" s="10"/>
      <c r="E11" s="10"/>
      <c r="F11" s="10"/>
      <c r="G11" s="10"/>
      <c r="H11" s="10"/>
      <c r="I11" s="10"/>
      <c r="J11" s="10"/>
      <c r="K11" s="10"/>
    </row>
    <row r="12" customFormat="false" ht="15" hidden="false" customHeight="true" outlineLevel="0" collapsed="false">
      <c r="A12" s="10" t="s">
        <v>434</v>
      </c>
      <c r="B12" s="10" t="n">
        <f aca="false">COUNTIF(Events!$F$2:$F$265,A12)</f>
        <v>2</v>
      </c>
      <c r="C12" s="10"/>
      <c r="D12" s="10"/>
      <c r="E12" s="10"/>
      <c r="F12" s="10"/>
      <c r="G12" s="10"/>
      <c r="H12" s="10"/>
      <c r="I12" s="10"/>
      <c r="J12" s="10"/>
      <c r="K12" s="10"/>
    </row>
    <row r="13" customFormat="false" ht="15" hidden="false" customHeight="true" outlineLevel="0" collapsed="false">
      <c r="A13" s="10" t="s">
        <v>406</v>
      </c>
      <c r="B13" s="10" t="n">
        <f aca="false">COUNTIF(Events!$F$2:$F$265,A13)</f>
        <v>1</v>
      </c>
      <c r="C13" s="10"/>
      <c r="D13" s="10"/>
      <c r="E13" s="10"/>
      <c r="F13" s="10"/>
      <c r="G13" s="10"/>
      <c r="H13" s="10"/>
      <c r="I13" s="10"/>
      <c r="J13" s="10"/>
      <c r="K13" s="10"/>
    </row>
    <row r="14" customFormat="false" ht="15" hidden="false" customHeight="true" outlineLevel="0" collapsed="false">
      <c r="A14" s="10" t="s">
        <v>120</v>
      </c>
      <c r="B14" s="10" t="n">
        <f aca="false">COUNTIF(Events!$F$2:$F$265,A14)</f>
        <v>11</v>
      </c>
      <c r="C14" s="10"/>
      <c r="D14" s="10"/>
      <c r="E14" s="10"/>
      <c r="F14" s="10"/>
      <c r="G14" s="10"/>
      <c r="H14" s="10"/>
      <c r="I14" s="10"/>
      <c r="J14" s="10"/>
      <c r="K14" s="10"/>
    </row>
    <row r="15" customFormat="false" ht="15" hidden="false" customHeight="true" outlineLevel="0" collapsed="false">
      <c r="A15" s="10" t="s">
        <v>1272</v>
      </c>
      <c r="B15" s="10" t="n">
        <f aca="false">COUNTIF(Events!$F$2:$F$265,A15)</f>
        <v>2</v>
      </c>
      <c r="C15" s="10"/>
      <c r="D15" s="10"/>
      <c r="E15" s="10"/>
      <c r="F15" s="10"/>
      <c r="G15" s="10"/>
      <c r="H15" s="10"/>
      <c r="I15" s="10"/>
      <c r="J15" s="10"/>
      <c r="K15" s="10"/>
    </row>
    <row r="16" customFormat="false" ht="15" hidden="false" customHeight="true" outlineLevel="0" collapsed="false">
      <c r="A16" s="10" t="s">
        <v>1231</v>
      </c>
      <c r="B16" s="10" t="n">
        <f aca="false">COUNTIF(Events!$F$2:$F$265,A16)</f>
        <v>1</v>
      </c>
      <c r="C16" s="10"/>
      <c r="D16" s="10"/>
      <c r="E16" s="10"/>
      <c r="F16" s="10"/>
      <c r="G16" s="10"/>
      <c r="H16" s="10"/>
      <c r="I16" s="10"/>
      <c r="J16" s="10"/>
      <c r="K16" s="10"/>
    </row>
    <row r="17" customFormat="false" ht="15" hidden="false" customHeight="true" outlineLevel="0" collapsed="false">
      <c r="A17" s="10" t="s">
        <v>852</v>
      </c>
      <c r="B17" s="10" t="n">
        <f aca="false">COUNTIF(Events!$F$2:$F$265,A17)</f>
        <v>4</v>
      </c>
      <c r="C17" s="10"/>
      <c r="D17" s="10"/>
      <c r="E17" s="10"/>
      <c r="F17" s="10"/>
      <c r="G17" s="10"/>
      <c r="H17" s="10"/>
      <c r="I17" s="10"/>
      <c r="J17" s="10"/>
      <c r="K17" s="10"/>
    </row>
    <row r="18" customFormat="false" ht="15" hidden="false" customHeight="true" outlineLevel="0" collapsed="false">
      <c r="A18" s="10" t="s">
        <v>1213</v>
      </c>
      <c r="B18" s="10" t="n">
        <f aca="false">COUNTIF(Events!$F$2:$F$265,A18)</f>
        <v>2</v>
      </c>
      <c r="C18" s="10"/>
      <c r="D18" s="10"/>
      <c r="E18" s="10"/>
      <c r="F18" s="10"/>
      <c r="G18" s="10"/>
      <c r="H18" s="10"/>
      <c r="I18" s="10"/>
      <c r="J18" s="10"/>
      <c r="K18" s="10"/>
    </row>
    <row r="19" customFormat="false" ht="15" hidden="false" customHeight="true" outlineLevel="0" collapsed="false">
      <c r="A19" s="10" t="s">
        <v>1828</v>
      </c>
      <c r="B19" s="10" t="n">
        <f aca="false">COUNTIF(Events!$F$2:$F$265,A19)</f>
        <v>1</v>
      </c>
      <c r="C19" s="10"/>
      <c r="D19" s="10"/>
      <c r="E19" s="10"/>
      <c r="F19" s="10"/>
      <c r="G19" s="10"/>
      <c r="H19" s="10"/>
      <c r="I19" s="10"/>
      <c r="J19" s="10"/>
      <c r="K19" s="10"/>
    </row>
    <row r="20" customFormat="false" ht="15" hidden="false" customHeight="true" outlineLevel="0" collapsed="false">
      <c r="A20" s="10" t="s">
        <v>94</v>
      </c>
      <c r="B20" s="10" t="n">
        <f aca="false">COUNTIF(Events!$F$2:$F$265,A20)</f>
        <v>2</v>
      </c>
      <c r="C20" s="10"/>
      <c r="D20" s="10"/>
      <c r="E20" s="10"/>
      <c r="F20" s="10"/>
      <c r="G20" s="10"/>
      <c r="H20" s="10"/>
      <c r="I20" s="10"/>
      <c r="J20" s="10"/>
      <c r="K20" s="10"/>
    </row>
    <row r="21" customFormat="false" ht="15" hidden="false" customHeight="true" outlineLevel="0" collapsed="false">
      <c r="A21" s="10" t="s">
        <v>1548</v>
      </c>
      <c r="B21" s="10" t="n">
        <f aca="false">COUNTIF(Events!$F$2:$F$265,A21)</f>
        <v>1</v>
      </c>
      <c r="C21" s="10"/>
      <c r="D21" s="10"/>
      <c r="E21" s="10"/>
      <c r="F21" s="10"/>
      <c r="G21" s="10"/>
      <c r="H21" s="10"/>
      <c r="I21" s="10"/>
      <c r="J21" s="10"/>
      <c r="K21" s="10"/>
    </row>
    <row r="22" customFormat="false" ht="15" hidden="false" customHeight="true" outlineLevel="0" collapsed="false">
      <c r="A22" s="10" t="s">
        <v>480</v>
      </c>
      <c r="B22" s="10" t="n">
        <f aca="false">COUNTIF(Events!$F$2:$F$265,A22)</f>
        <v>2</v>
      </c>
      <c r="C22" s="10"/>
      <c r="D22" s="10"/>
      <c r="E22" s="10"/>
      <c r="F22" s="10"/>
      <c r="G22" s="10"/>
      <c r="H22" s="10"/>
      <c r="I22" s="10"/>
      <c r="J22" s="10"/>
      <c r="K22" s="10"/>
    </row>
    <row r="23" customFormat="false" ht="15" hidden="false" customHeight="true" outlineLevel="0" collapsed="false">
      <c r="A23" s="10" t="s">
        <v>866</v>
      </c>
      <c r="B23" s="10" t="n">
        <f aca="false">COUNTIF(Events!$F$2:$F$265,A23)</f>
        <v>8</v>
      </c>
      <c r="C23" s="10"/>
      <c r="D23" s="10"/>
      <c r="E23" s="10"/>
      <c r="F23" s="10"/>
      <c r="G23" s="10"/>
      <c r="H23" s="10"/>
      <c r="I23" s="10"/>
      <c r="J23" s="10"/>
      <c r="K23" s="10"/>
    </row>
    <row r="24" customFormat="false" ht="15" hidden="false" customHeight="true" outlineLevel="0" collapsed="false">
      <c r="A24" s="10" t="s">
        <v>1239</v>
      </c>
      <c r="B24" s="10" t="n">
        <f aca="false">COUNTIF(Events!$F$2:$F$265,A24)</f>
        <v>1</v>
      </c>
      <c r="C24" s="10"/>
      <c r="D24" s="10"/>
      <c r="E24" s="10"/>
      <c r="F24" s="10"/>
      <c r="G24" s="10"/>
      <c r="H24" s="10"/>
      <c r="I24" s="10"/>
      <c r="J24" s="10"/>
      <c r="K24" s="10"/>
    </row>
    <row r="25" customFormat="false" ht="15" hidden="false" customHeight="true" outlineLevel="0" collapsed="false">
      <c r="A25" s="10" t="s">
        <v>1792</v>
      </c>
      <c r="B25" s="10" t="n">
        <f aca="false">COUNTIF(Events!$F$2:$F$265,A25)</f>
        <v>2</v>
      </c>
      <c r="C25" s="10"/>
      <c r="D25" s="10"/>
      <c r="E25" s="10"/>
      <c r="F25" s="10"/>
      <c r="G25" s="10"/>
      <c r="H25" s="10"/>
      <c r="I25" s="10"/>
      <c r="J25" s="10"/>
      <c r="K25" s="10"/>
    </row>
    <row r="26" customFormat="false" ht="15" hidden="false" customHeight="true" outlineLevel="0" collapsed="false">
      <c r="A26" s="10" t="s">
        <v>1771</v>
      </c>
      <c r="B26" s="10" t="n">
        <f aca="false">COUNTIF(Events!$F$2:$F$265,A26)</f>
        <v>1</v>
      </c>
      <c r="C26" s="10"/>
      <c r="D26" s="10"/>
      <c r="E26" s="10"/>
      <c r="F26" s="10"/>
      <c r="G26" s="10"/>
      <c r="H26" s="10"/>
      <c r="I26" s="10"/>
      <c r="J26" s="10"/>
      <c r="K26" s="10"/>
    </row>
    <row r="27" customFormat="false" ht="15" hidden="false" customHeight="true" outlineLevel="0" collapsed="false">
      <c r="A27" s="10" t="s">
        <v>1729</v>
      </c>
      <c r="B27" s="10" t="n">
        <f aca="false">COUNTIF(Events!$F$2:$F$265,A27)</f>
        <v>1</v>
      </c>
      <c r="C27" s="10"/>
      <c r="D27" s="10"/>
      <c r="E27" s="10"/>
      <c r="F27" s="10"/>
      <c r="G27" s="10"/>
      <c r="H27" s="10"/>
      <c r="I27" s="10"/>
      <c r="J27" s="10"/>
      <c r="K27" s="10"/>
    </row>
    <row r="28" customFormat="false" ht="15" hidden="false" customHeight="true" outlineLevel="0" collapsed="false">
      <c r="A28" s="10" t="s">
        <v>1112</v>
      </c>
      <c r="B28" s="10" t="n">
        <f aca="false">COUNTIF(Events!$F$2:$F$265,A28)</f>
        <v>1</v>
      </c>
      <c r="C28" s="10"/>
      <c r="D28" s="10"/>
      <c r="E28" s="10"/>
      <c r="F28" s="10"/>
      <c r="G28" s="10"/>
      <c r="H28" s="10"/>
      <c r="I28" s="10"/>
      <c r="J28" s="10"/>
      <c r="K28" s="10"/>
    </row>
    <row r="29" customFormat="false" ht="15" hidden="false" customHeight="true" outlineLevel="0" collapsed="false">
      <c r="A29" s="10" t="s">
        <v>722</v>
      </c>
      <c r="B29" s="10" t="n">
        <f aca="false">COUNTIF(Events!$F$2:$F$265,A29)</f>
        <v>6</v>
      </c>
      <c r="C29" s="10"/>
      <c r="D29" s="10"/>
      <c r="E29" s="10"/>
      <c r="F29" s="10"/>
      <c r="G29" s="10"/>
      <c r="H29" s="10"/>
      <c r="I29" s="10"/>
      <c r="J29" s="10"/>
      <c r="K29" s="10"/>
    </row>
    <row r="30" customFormat="false" ht="15" hidden="false" customHeight="true" outlineLevel="0" collapsed="false">
      <c r="A30" s="10" t="s">
        <v>1047</v>
      </c>
      <c r="B30" s="10" t="n">
        <f aca="false">COUNTIF(Events!$F$2:$F$265,A30)</f>
        <v>1</v>
      </c>
      <c r="C30" s="10"/>
      <c r="D30" s="10"/>
      <c r="E30" s="10"/>
      <c r="F30" s="10"/>
      <c r="G30" s="10"/>
      <c r="H30" s="10"/>
      <c r="I30" s="10"/>
      <c r="J30" s="10"/>
      <c r="K30" s="10"/>
    </row>
    <row r="31" customFormat="false" ht="15" hidden="false" customHeight="true" outlineLevel="0" collapsed="false">
      <c r="A31" s="10" t="s">
        <v>1351</v>
      </c>
      <c r="B31" s="10" t="n">
        <f aca="false">COUNTIF(Events!$F$2:$F$265,A31)</f>
        <v>1</v>
      </c>
      <c r="C31" s="10"/>
      <c r="D31" s="10"/>
      <c r="E31" s="10"/>
      <c r="F31" s="10"/>
      <c r="G31" s="10"/>
      <c r="H31" s="10"/>
      <c r="I31" s="10"/>
      <c r="J31" s="10"/>
      <c r="K31" s="10"/>
    </row>
    <row r="32" customFormat="false" ht="15" hidden="false" customHeight="true" outlineLevel="0" collapsed="false">
      <c r="A32" s="10" t="s">
        <v>567</v>
      </c>
      <c r="B32" s="10" t="n">
        <f aca="false">COUNTIF(Events!$F$2:$F$265,A32)</f>
        <v>18</v>
      </c>
      <c r="C32" s="10"/>
      <c r="D32" s="10"/>
      <c r="E32" s="10"/>
      <c r="F32" s="10"/>
      <c r="G32" s="10"/>
      <c r="H32" s="10"/>
      <c r="I32" s="10"/>
      <c r="J32" s="10"/>
      <c r="K32" s="10"/>
    </row>
    <row r="33" customFormat="false" ht="15" hidden="false" customHeight="true" outlineLevel="0" collapsed="false">
      <c r="A33" s="10" t="s">
        <v>1306</v>
      </c>
      <c r="B33" s="10" t="n">
        <f aca="false">COUNTIF(Events!$F$2:$F$265,A33)</f>
        <v>1</v>
      </c>
      <c r="C33" s="10"/>
      <c r="D33" s="10"/>
      <c r="E33" s="10"/>
      <c r="F33" s="10"/>
      <c r="G33" s="10"/>
      <c r="H33" s="10"/>
      <c r="I33" s="10"/>
      <c r="J33" s="10"/>
      <c r="K33" s="10"/>
    </row>
    <row r="34" customFormat="false" ht="15" hidden="false" customHeight="true" outlineLevel="0" collapsed="false">
      <c r="A34" s="10" t="s">
        <v>842</v>
      </c>
      <c r="B34" s="10" t="n">
        <f aca="false">COUNTIF(Events!$F$2:$F$265,A34)</f>
        <v>8</v>
      </c>
      <c r="C34" s="10"/>
      <c r="D34" s="10"/>
      <c r="E34" s="10"/>
      <c r="F34" s="10"/>
      <c r="G34" s="10"/>
      <c r="H34" s="10"/>
      <c r="I34" s="10"/>
      <c r="J34" s="10"/>
      <c r="K34" s="10"/>
    </row>
    <row r="35" customFormat="false" ht="15" hidden="false" customHeight="true" outlineLevel="0" collapsed="false">
      <c r="A35" s="10" t="s">
        <v>1131</v>
      </c>
      <c r="B35" s="10" t="n">
        <f aca="false">COUNTIF(Events!$F$2:$F$265,A35)</f>
        <v>4</v>
      </c>
      <c r="C35" s="10"/>
      <c r="D35" s="10"/>
      <c r="E35" s="10"/>
      <c r="F35" s="10"/>
      <c r="G35" s="10"/>
      <c r="H35" s="10"/>
      <c r="I35" s="10"/>
      <c r="J35" s="10"/>
      <c r="K35" s="10"/>
    </row>
    <row r="36" customFormat="false" ht="15" hidden="false" customHeight="true" outlineLevel="0" collapsed="false">
      <c r="A36" s="10" t="s">
        <v>1430</v>
      </c>
      <c r="B36" s="10" t="n">
        <f aca="false">COUNTIF(Events!$F$2:$F$265,A36)</f>
        <v>1</v>
      </c>
      <c r="C36" s="10"/>
      <c r="D36" s="10"/>
      <c r="E36" s="10"/>
      <c r="F36" s="10"/>
      <c r="G36" s="10"/>
      <c r="H36" s="10"/>
      <c r="I36" s="10"/>
      <c r="J36" s="10"/>
      <c r="K36" s="10"/>
    </row>
    <row r="37" customFormat="false" ht="15" hidden="false" customHeight="true" outlineLevel="0" collapsed="false">
      <c r="A37" s="10" t="s">
        <v>1778</v>
      </c>
      <c r="B37" s="10" t="n">
        <f aca="false">COUNTIF(Events!$F$2:$F$265,A37)</f>
        <v>1</v>
      </c>
      <c r="C37" s="10"/>
      <c r="D37" s="10"/>
      <c r="E37" s="10"/>
      <c r="F37" s="10"/>
      <c r="G37" s="10"/>
      <c r="H37" s="10"/>
      <c r="I37" s="10"/>
      <c r="J37" s="10"/>
      <c r="K37" s="10"/>
    </row>
    <row r="38" customFormat="false" ht="15" hidden="false" customHeight="true" outlineLevel="0" collapsed="false">
      <c r="A38" s="10" t="s">
        <v>1836</v>
      </c>
      <c r="B38" s="10" t="n">
        <f aca="false">COUNTIF(Events!$F$2:$F$265,A38)</f>
        <v>1</v>
      </c>
      <c r="C38" s="10"/>
      <c r="D38" s="10"/>
      <c r="E38" s="10"/>
      <c r="F38" s="10"/>
      <c r="G38" s="10"/>
      <c r="H38" s="10"/>
      <c r="I38" s="10"/>
      <c r="J38" s="10"/>
      <c r="K38" s="10"/>
    </row>
    <row r="39" customFormat="false" ht="15" hidden="false" customHeight="true" outlineLevel="0" collapsed="false">
      <c r="A39" s="10" t="s">
        <v>594</v>
      </c>
      <c r="B39" s="10" t="n">
        <f aca="false">COUNTIF(Events!$F$2:$F$265,A39)</f>
        <v>5</v>
      </c>
      <c r="C39" s="10"/>
      <c r="D39" s="10"/>
      <c r="E39" s="10"/>
      <c r="F39" s="10"/>
      <c r="G39" s="10"/>
      <c r="H39" s="10"/>
      <c r="I39" s="10"/>
      <c r="J39" s="10"/>
      <c r="K39" s="10"/>
    </row>
    <row r="40" customFormat="false" ht="15" hidden="false" customHeight="true" outlineLevel="0" collapsed="false">
      <c r="A40" s="10" t="s">
        <v>1533</v>
      </c>
      <c r="B40" s="10" t="n">
        <f aca="false">COUNTIF(Events!$F$2:$F$265,A40)</f>
        <v>1</v>
      </c>
      <c r="C40" s="10"/>
      <c r="D40" s="10"/>
      <c r="E40" s="10"/>
      <c r="F40" s="10"/>
      <c r="G40" s="10"/>
      <c r="H40" s="10"/>
      <c r="I40" s="10"/>
      <c r="J40" s="10"/>
      <c r="K40" s="10"/>
    </row>
    <row r="41" customFormat="false" ht="15" hidden="false" customHeight="true" outlineLevel="0" collapsed="false">
      <c r="A41" s="10" t="s">
        <v>473</v>
      </c>
      <c r="B41" s="10" t="n">
        <f aca="false">COUNTIF(Events!$F$2:$F$265,A41)</f>
        <v>8</v>
      </c>
      <c r="C41" s="10"/>
      <c r="D41" s="10"/>
      <c r="E41" s="10"/>
      <c r="F41" s="10"/>
      <c r="G41" s="10"/>
      <c r="H41" s="10"/>
      <c r="I41" s="10"/>
      <c r="J41" s="10"/>
      <c r="K41" s="10"/>
    </row>
    <row r="42" customFormat="false" ht="15" hidden="false" customHeight="true" outlineLevel="0" collapsed="false">
      <c r="A42" s="10" t="s">
        <v>926</v>
      </c>
      <c r="B42" s="10" t="n">
        <f aca="false">COUNTIF(Events!$F$2:$F$265,A42)</f>
        <v>3</v>
      </c>
      <c r="C42" s="10"/>
      <c r="D42" s="10"/>
      <c r="E42" s="10"/>
      <c r="F42" s="10"/>
      <c r="G42" s="10"/>
      <c r="H42" s="10"/>
      <c r="I42" s="10"/>
      <c r="J42" s="10"/>
      <c r="K42" s="10"/>
    </row>
    <row r="43" customFormat="false" ht="15" hidden="false" customHeight="true" outlineLevel="0" collapsed="false">
      <c r="A43" s="10" t="s">
        <v>373</v>
      </c>
      <c r="B43" s="10" t="n">
        <f aca="false">COUNTIF(Events!$F$2:$F$265,A43)</f>
        <v>1</v>
      </c>
      <c r="C43" s="10"/>
      <c r="D43" s="10"/>
      <c r="E43" s="10"/>
      <c r="F43" s="10"/>
      <c r="G43" s="10"/>
      <c r="H43" s="10"/>
      <c r="I43" s="10"/>
      <c r="J43" s="10"/>
      <c r="K43" s="10"/>
    </row>
    <row r="44" customFormat="false" ht="15" hidden="false" customHeight="true" outlineLevel="0" collapsed="false">
      <c r="A44" s="10" t="s">
        <v>426</v>
      </c>
      <c r="B44" s="10" t="n">
        <f aca="false">COUNTIF(Events!$F$2:$F$265,A44)</f>
        <v>1</v>
      </c>
      <c r="C44" s="10"/>
      <c r="D44" s="10"/>
      <c r="E44" s="10"/>
      <c r="F44" s="10"/>
      <c r="G44" s="10"/>
      <c r="H44" s="10"/>
      <c r="I44" s="10"/>
      <c r="J44" s="10"/>
      <c r="K44" s="10"/>
    </row>
    <row r="45" customFormat="false" ht="15" hidden="false" customHeight="true" outlineLevel="0" collapsed="false">
      <c r="A45" s="10" t="s">
        <v>1670</v>
      </c>
      <c r="B45" s="10" t="n">
        <f aca="false">COUNTIF(Events!$F$2:$F$265,A45)</f>
        <v>1</v>
      </c>
      <c r="C45" s="10"/>
      <c r="D45" s="10"/>
      <c r="E45" s="10"/>
      <c r="F45" s="10"/>
      <c r="G45" s="10"/>
      <c r="H45" s="10"/>
      <c r="I45" s="10"/>
      <c r="J45" s="10"/>
      <c r="K45" s="10"/>
    </row>
    <row r="46" customFormat="false" ht="15" hidden="false" customHeight="true" outlineLevel="0" collapsed="false">
      <c r="A46" s="10" t="s">
        <v>356</v>
      </c>
      <c r="B46" s="10" t="n">
        <f aca="false">COUNTIF(Events!$F$2:$F$265,A46)</f>
        <v>2</v>
      </c>
      <c r="C46" s="10"/>
      <c r="D46" s="10"/>
      <c r="E46" s="10"/>
      <c r="F46" s="10"/>
      <c r="G46" s="10"/>
      <c r="H46" s="10"/>
      <c r="I46" s="10"/>
      <c r="J46" s="10"/>
      <c r="K46" s="10"/>
    </row>
    <row r="47" customFormat="false" ht="15" hidden="false" customHeight="true" outlineLevel="0" collapsed="false">
      <c r="A47" s="10" t="s">
        <v>1806</v>
      </c>
      <c r="B47" s="10" t="n">
        <f aca="false">COUNTIF(Events!$F$2:$F$265,A47)</f>
        <v>1</v>
      </c>
      <c r="C47" s="10"/>
      <c r="D47" s="10"/>
      <c r="E47" s="10"/>
      <c r="F47" s="10"/>
      <c r="G47" s="10"/>
      <c r="H47" s="10"/>
      <c r="I47" s="10"/>
      <c r="J47" s="10"/>
      <c r="K47" s="10"/>
    </row>
    <row r="48" customFormat="false" ht="15" hidden="false" customHeight="true" outlineLevel="0" collapsed="false">
      <c r="A48" s="10" t="s">
        <v>173</v>
      </c>
      <c r="B48" s="10" t="n">
        <f aca="false">COUNTIF(Events!$F$2:$F$265,A48)</f>
        <v>12</v>
      </c>
      <c r="C48" s="10"/>
      <c r="D48" s="10"/>
      <c r="E48" s="10"/>
      <c r="F48" s="10"/>
      <c r="G48" s="10"/>
      <c r="H48" s="10"/>
      <c r="I48" s="10"/>
      <c r="J48" s="10"/>
      <c r="K48" s="10"/>
    </row>
    <row r="49" customFormat="false" ht="15" hidden="false" customHeight="true" outlineLevel="0" collapsed="false">
      <c r="A49" s="10" t="s">
        <v>1250</v>
      </c>
      <c r="B49" s="10" t="n">
        <f aca="false">COUNTIF(Events!$F$2:$F$265,A49)</f>
        <v>1</v>
      </c>
      <c r="C49" s="10"/>
      <c r="D49" s="10"/>
      <c r="E49" s="10"/>
      <c r="F49" s="10"/>
      <c r="G49" s="10"/>
      <c r="H49" s="10"/>
      <c r="I49" s="10"/>
      <c r="J49" s="10"/>
      <c r="K49" s="10"/>
    </row>
    <row r="50" customFormat="false" ht="15" hidden="false" customHeight="true" outlineLevel="0" collapsed="false">
      <c r="A50" s="10" t="s">
        <v>1421</v>
      </c>
      <c r="B50" s="10" t="n">
        <f aca="false">COUNTIF(Events!$F$2:$F$265,A50)</f>
        <v>1</v>
      </c>
      <c r="C50" s="10"/>
      <c r="D50" s="10"/>
      <c r="E50" s="10"/>
      <c r="F50" s="10"/>
      <c r="G50" s="10"/>
      <c r="H50" s="10"/>
      <c r="I50" s="10"/>
      <c r="J50" s="10"/>
      <c r="K50" s="10"/>
    </row>
    <row r="51" customFormat="false" ht="15" hidden="false" customHeight="true" outlineLevel="0" collapsed="false">
      <c r="A51" s="10" t="s">
        <v>1341</v>
      </c>
      <c r="B51" s="10" t="n">
        <f aca="false">COUNTIF(Events!$F$2:$F$265,A51)</f>
        <v>3</v>
      </c>
      <c r="C51" s="10"/>
      <c r="D51" s="10"/>
      <c r="E51" s="10"/>
      <c r="F51" s="10"/>
      <c r="G51" s="10"/>
      <c r="H51" s="10"/>
      <c r="I51" s="10"/>
      <c r="J51" s="10"/>
      <c r="K51" s="10"/>
    </row>
    <row r="52" customFormat="false" ht="15" hidden="false" customHeight="true" outlineLevel="0" collapsed="false">
      <c r="A52" s="10" t="s">
        <v>143</v>
      </c>
      <c r="B52" s="10" t="n">
        <f aca="false">COUNTIF(Events!$F$2:$F$265,A52)</f>
        <v>10</v>
      </c>
      <c r="C52" s="10"/>
      <c r="D52" s="10"/>
      <c r="E52" s="10"/>
      <c r="F52" s="10"/>
      <c r="G52" s="10"/>
      <c r="H52" s="10"/>
      <c r="I52" s="10"/>
      <c r="J52" s="10"/>
      <c r="K52" s="10"/>
    </row>
    <row r="53" customFormat="false" ht="15" hidden="false" customHeight="true" outlineLevel="0" collapsed="false">
      <c r="A53" s="10" t="s">
        <v>669</v>
      </c>
      <c r="B53" s="10" t="n">
        <f aca="false">COUNTIF(Events!$F$2:$F$265,A53)</f>
        <v>2</v>
      </c>
      <c r="C53" s="10"/>
      <c r="D53" s="10"/>
      <c r="E53" s="10"/>
      <c r="F53" s="10"/>
      <c r="G53" s="10"/>
      <c r="H53" s="10"/>
      <c r="I53" s="10"/>
      <c r="J53" s="10"/>
      <c r="K53" s="10"/>
    </row>
    <row r="54" customFormat="false" ht="15" hidden="false" customHeight="true" outlineLevel="0" collapsed="false">
      <c r="A54" s="10" t="s">
        <v>1690</v>
      </c>
      <c r="B54" s="10" t="n">
        <f aca="false">COUNTIF(Events!$F$2:$F$265,A54)</f>
        <v>1</v>
      </c>
      <c r="C54" s="10"/>
      <c r="D54" s="10"/>
      <c r="E54" s="10"/>
      <c r="F54" s="10"/>
      <c r="G54" s="10"/>
      <c r="H54" s="10"/>
      <c r="I54" s="10"/>
      <c r="J54" s="10"/>
      <c r="K54" s="10"/>
    </row>
    <row r="55" customFormat="false" ht="15" hidden="false" customHeight="true" outlineLevel="0" collapsed="false">
      <c r="A55" s="10" t="s">
        <v>1286</v>
      </c>
      <c r="B55" s="10" t="n">
        <f aca="false">COUNTIF(Events!$F$2:$F$265,A55)</f>
        <v>3</v>
      </c>
      <c r="C55" s="10"/>
      <c r="D55" s="10"/>
      <c r="E55" s="10"/>
      <c r="F55" s="10"/>
      <c r="G55" s="10"/>
      <c r="H55" s="10"/>
      <c r="I55" s="10"/>
      <c r="J55" s="10"/>
      <c r="K55" s="10"/>
    </row>
    <row r="56" customFormat="false" ht="15" hidden="false" customHeight="true" outlineLevel="0" collapsed="false">
      <c r="A56" s="10" t="s">
        <v>1471</v>
      </c>
      <c r="B56" s="10" t="n">
        <f aca="false">COUNTIF(Events!$F$2:$F$265,A56)</f>
        <v>2</v>
      </c>
      <c r="C56" s="10"/>
      <c r="D56" s="10"/>
      <c r="E56" s="10"/>
      <c r="F56" s="10"/>
      <c r="G56" s="10"/>
      <c r="H56" s="10"/>
      <c r="I56" s="10"/>
      <c r="J56" s="10"/>
      <c r="K56" s="10"/>
    </row>
    <row r="57" customFormat="false" ht="15" hidden="false" customHeight="true" outlineLevel="0" collapsed="false">
      <c r="A57" s="10" t="s">
        <v>788</v>
      </c>
      <c r="B57" s="10" t="n">
        <f aca="false">COUNTIF(Events!$F$2:$F$265,A57)</f>
        <v>5</v>
      </c>
      <c r="C57" s="10"/>
      <c r="D57" s="10"/>
      <c r="E57" s="10"/>
      <c r="F57" s="10"/>
      <c r="G57" s="10"/>
      <c r="H57" s="10"/>
      <c r="I57" s="10"/>
      <c r="J57" s="10"/>
      <c r="K57" s="10"/>
    </row>
    <row r="58" customFormat="false" ht="15" hidden="false" customHeight="true" outlineLevel="0" collapsed="false">
      <c r="A58" s="10" t="s">
        <v>635</v>
      </c>
      <c r="B58" s="10" t="n">
        <f aca="false">COUNTIF(Events!$F$2:$F$265,A58)</f>
        <v>2</v>
      </c>
      <c r="C58" s="10"/>
      <c r="D58" s="10"/>
      <c r="E58" s="10"/>
      <c r="F58" s="10"/>
      <c r="G58" s="10"/>
      <c r="H58" s="10"/>
      <c r="I58" s="10"/>
      <c r="J58" s="10"/>
      <c r="K58" s="10"/>
    </row>
    <row r="59" customFormat="false" ht="15" hidden="false" customHeight="true" outlineLevel="0" collapsed="false">
      <c r="A59" s="10" t="s">
        <v>949</v>
      </c>
      <c r="B59" s="10" t="n">
        <f aca="false">COUNTIF(Events!$F$2:$F$265,A59)</f>
        <v>1</v>
      </c>
      <c r="C59" s="10"/>
      <c r="D59" s="10"/>
      <c r="E59" s="10"/>
      <c r="F59" s="10"/>
      <c r="G59" s="10"/>
      <c r="H59" s="10"/>
      <c r="I59" s="10"/>
      <c r="J59" s="10"/>
      <c r="K59" s="10"/>
    </row>
    <row r="60" customFormat="false" ht="15" hidden="false" customHeight="true" outlineLevel="0" collapsed="false">
      <c r="A60" s="10" t="s">
        <v>181</v>
      </c>
      <c r="B60" s="10" t="n">
        <f aca="false">COUNTIF(Events!$F$2:$F$265,A60)</f>
        <v>1</v>
      </c>
      <c r="C60" s="10"/>
      <c r="D60" s="10"/>
      <c r="E60" s="10"/>
      <c r="F60" s="10"/>
      <c r="G60" s="10"/>
      <c r="H60" s="10"/>
      <c r="I60" s="10"/>
      <c r="J60" s="10"/>
      <c r="K60" s="10"/>
    </row>
    <row r="61" customFormat="false" ht="15" hidden="false" customHeight="true" outlineLevel="0" collapsed="false">
      <c r="A61" s="10" t="s">
        <v>1816</v>
      </c>
      <c r="B61" s="10" t="n">
        <f aca="false">COUNTIF(Events!$F$2:$F$265,A61)</f>
        <v>1</v>
      </c>
      <c r="C61" s="10"/>
      <c r="D61" s="10"/>
      <c r="E61" s="10"/>
      <c r="F61" s="10"/>
      <c r="G61" s="10"/>
      <c r="H61" s="10"/>
      <c r="I61" s="10"/>
      <c r="J61" s="10"/>
      <c r="K61" s="10"/>
    </row>
    <row r="62" customFormat="false" ht="15" hidden="false" customHeight="true" outlineLevel="0" collapsed="false">
      <c r="A62" s="10" t="s">
        <v>1612</v>
      </c>
      <c r="B62" s="10" t="n">
        <f aca="false">COUNTIF(Events!$F$2:$F$265,A62)</f>
        <v>2</v>
      </c>
      <c r="C62" s="10"/>
      <c r="D62" s="10"/>
      <c r="E62" s="10"/>
      <c r="F62" s="10"/>
      <c r="G62" s="10"/>
      <c r="H62" s="10"/>
      <c r="I62" s="10"/>
      <c r="J62" s="10"/>
      <c r="K62" s="10"/>
    </row>
    <row r="63" customFormat="false" ht="15" hidden="false" customHeight="true" outlineLevel="0" collapsed="false">
      <c r="A63" s="10" t="s">
        <v>1449</v>
      </c>
      <c r="B63" s="10" t="n">
        <f aca="false">COUNTIF(Events!$F$2:$F$265,A63)</f>
        <v>2</v>
      </c>
      <c r="C63" s="10"/>
      <c r="D63" s="10"/>
      <c r="E63" s="10"/>
      <c r="F63" s="10"/>
      <c r="G63" s="10"/>
      <c r="H63" s="10"/>
      <c r="I63" s="10"/>
      <c r="J63" s="10"/>
      <c r="K63" s="10"/>
    </row>
    <row r="64" customFormat="false" ht="15" hidden="false" customHeight="true" outlineLevel="0" collapsed="false">
      <c r="A64" s="10" t="s">
        <v>342</v>
      </c>
      <c r="B64" s="10" t="n">
        <f aca="false">COUNTIF(Events!$F$2:$F$265,A64)</f>
        <v>1</v>
      </c>
      <c r="C64" s="10"/>
      <c r="D64" s="10"/>
      <c r="E64" s="10"/>
      <c r="F64" s="10"/>
      <c r="G64" s="10"/>
      <c r="H64" s="10"/>
      <c r="I64" s="10"/>
      <c r="J64" s="10"/>
      <c r="K64" s="10"/>
    </row>
    <row r="65" customFormat="false" ht="15" hidden="false" customHeight="true" outlineLevel="0" collapsed="false">
      <c r="A65" s="10" t="s">
        <v>745</v>
      </c>
      <c r="B65" s="10" t="n">
        <f aca="false">COUNTIF(Events!$F$2:$F$265,A65)</f>
        <v>4</v>
      </c>
      <c r="C65" s="10"/>
      <c r="D65" s="10"/>
      <c r="E65" s="10"/>
      <c r="F65" s="10"/>
      <c r="G65" s="10"/>
      <c r="H65" s="10"/>
      <c r="I65" s="10"/>
      <c r="J65" s="10"/>
      <c r="K65" s="10"/>
    </row>
    <row r="66" customFormat="false" ht="15" hidden="false" customHeight="true" outlineLevel="0" collapsed="false">
      <c r="A66" s="10" t="s">
        <v>1802</v>
      </c>
      <c r="B66" s="10" t="n">
        <f aca="false">COUNTIF(Events!$F$2:$F$265,A66)</f>
        <v>1</v>
      </c>
      <c r="C66" s="10"/>
      <c r="D66" s="10"/>
      <c r="E66" s="10"/>
      <c r="F66" s="10"/>
      <c r="G66" s="10"/>
      <c r="H66" s="10"/>
      <c r="I66" s="10"/>
      <c r="J66" s="10"/>
      <c r="K66" s="10"/>
    </row>
    <row r="67" customFormat="false" ht="15" hidden="false" customHeight="true" outlineLevel="0" collapsed="false">
      <c r="A67" s="10" t="s">
        <v>153</v>
      </c>
      <c r="B67" s="10" t="n">
        <f aca="false">COUNTIF(Events!$F$2:$F$265,A67)</f>
        <v>12</v>
      </c>
      <c r="C67" s="10"/>
      <c r="D67" s="10"/>
      <c r="E67" s="10"/>
      <c r="F67" s="10"/>
      <c r="G67" s="10"/>
      <c r="H67" s="10"/>
      <c r="I67" s="10"/>
      <c r="J67" s="10"/>
      <c r="K67" s="10"/>
    </row>
    <row r="68" customFormat="false" ht="15" hidden="false" customHeight="true" outlineLevel="0" collapsed="false">
      <c r="A68" s="10" t="s">
        <v>382</v>
      </c>
      <c r="B68" s="10" t="n">
        <f aca="false">COUNTIF(Events!$F$2:$F$265,A68)</f>
        <v>1</v>
      </c>
      <c r="C68" s="10"/>
      <c r="D68" s="10"/>
      <c r="E68" s="10"/>
      <c r="F68" s="10"/>
      <c r="G68" s="10"/>
      <c r="H68" s="10"/>
      <c r="I68" s="10"/>
      <c r="J68" s="10"/>
      <c r="K68" s="10"/>
    </row>
    <row r="69" customFormat="false" ht="15" hidden="false" customHeight="true" outlineLevel="0" collapsed="false">
      <c r="A69" s="10" t="s">
        <v>225</v>
      </c>
      <c r="B69" s="10" t="n">
        <f aca="false">COUNTIF(Events!$F$2:$F$265,A69)</f>
        <v>1</v>
      </c>
      <c r="C69" s="10"/>
      <c r="D69" s="10"/>
      <c r="E69" s="10"/>
      <c r="F69" s="10"/>
      <c r="G69" s="10"/>
      <c r="H69" s="10"/>
      <c r="I69" s="10"/>
      <c r="J69" s="10"/>
      <c r="K69" s="10"/>
    </row>
    <row r="70" customFormat="false" ht="15" hidden="false" customHeight="true" outlineLevel="0" collapsed="false">
      <c r="A70" s="10" t="s">
        <v>1000</v>
      </c>
      <c r="B70" s="10" t="n">
        <f aca="false">COUNTIF(Events!$F$2:$F$265,A70)</f>
        <v>4</v>
      </c>
      <c r="C70" s="10"/>
      <c r="D70" s="10"/>
      <c r="E70" s="10"/>
      <c r="F70" s="10"/>
      <c r="G70" s="10"/>
      <c r="H70" s="10"/>
      <c r="I70" s="10"/>
      <c r="J70" s="10"/>
      <c r="K70" s="10"/>
    </row>
    <row r="71" customFormat="false" ht="15" hidden="false" customHeight="true" outlineLevel="0" collapsed="false">
      <c r="A71" s="10" t="s">
        <v>1311</v>
      </c>
      <c r="B71" s="10" t="n">
        <f aca="false">COUNTIF(Events!$F$2:$F$265,A71)</f>
        <v>1</v>
      </c>
      <c r="C71" s="10"/>
      <c r="D71" s="10"/>
      <c r="E71" s="10"/>
      <c r="F71" s="10"/>
      <c r="G71" s="10"/>
      <c r="H71" s="10"/>
      <c r="I71" s="10"/>
      <c r="J71" s="10"/>
      <c r="K71" s="10"/>
    </row>
    <row r="72" customFormat="false" ht="15" hidden="false" customHeight="true" outlineLevel="0" collapsed="false">
      <c r="A72" s="10" t="s">
        <v>1700</v>
      </c>
      <c r="B72" s="10" t="n">
        <f aca="false">COUNTIF(Events!$F$2:$F$265,A72)</f>
        <v>1</v>
      </c>
      <c r="C72" s="10"/>
      <c r="D72" s="10"/>
      <c r="E72" s="10"/>
      <c r="F72" s="10"/>
      <c r="G72" s="10"/>
      <c r="H72" s="10"/>
      <c r="I72" s="10"/>
      <c r="J72" s="10"/>
      <c r="K72" s="10"/>
    </row>
    <row r="73" customFormat="false" ht="15" hidden="false" customHeight="true" outlineLevel="0" collapsed="false">
      <c r="A73" s="10" t="s">
        <v>1222</v>
      </c>
      <c r="B73" s="10" t="n">
        <f aca="false">COUNTIF(Events!$F$2:$F$265,A73)</f>
        <v>3</v>
      </c>
      <c r="C73" s="10"/>
      <c r="D73" s="10"/>
      <c r="E73" s="10"/>
      <c r="F73" s="10"/>
      <c r="G73" s="10"/>
      <c r="H73" s="10"/>
      <c r="I73" s="10"/>
      <c r="J73" s="10"/>
      <c r="K73" s="10"/>
    </row>
    <row r="74" customFormat="false" ht="15" hidden="false" customHeight="true" outlineLevel="0" collapsed="false">
      <c r="A74" s="10" t="s">
        <v>1722</v>
      </c>
      <c r="B74" s="10" t="n">
        <f aca="false">COUNTIF(Events!$F$2:$F$265,A74)</f>
        <v>1</v>
      </c>
      <c r="C74" s="10"/>
      <c r="D74" s="10"/>
      <c r="E74" s="10"/>
      <c r="F74" s="10"/>
      <c r="G74" s="10"/>
      <c r="H74" s="10"/>
      <c r="I74" s="10"/>
      <c r="J74" s="10"/>
      <c r="K74" s="10"/>
    </row>
    <row r="75" customFormat="false" ht="15" hidden="false" customHeight="true" outlineLevel="0" collapsed="false">
      <c r="A75" s="10" t="s">
        <v>81</v>
      </c>
      <c r="B75" s="10" t="n">
        <f aca="false">COUNTIF(Events!$F$2:$F$265,A75)</f>
        <v>18</v>
      </c>
      <c r="C75" s="10"/>
      <c r="D75" s="10"/>
      <c r="E75" s="10"/>
      <c r="F75" s="10"/>
      <c r="G75" s="10"/>
      <c r="H75" s="10"/>
      <c r="I75" s="10"/>
      <c r="J75" s="10"/>
      <c r="K75" s="10"/>
    </row>
    <row r="76" customFormat="false" ht="15" hidden="false" customHeight="true" outlineLevel="0" collapsed="false">
      <c r="A76" s="10" t="s">
        <v>391</v>
      </c>
      <c r="B76" s="10" t="n">
        <f aca="false">COUNTIF(Events!$F$2:$F$265,A76)</f>
        <v>2</v>
      </c>
      <c r="C76" s="10"/>
      <c r="D76" s="10"/>
      <c r="E76" s="10"/>
      <c r="F76" s="10"/>
      <c r="G76" s="10"/>
      <c r="H76" s="10"/>
      <c r="I76" s="10"/>
      <c r="J76" s="10"/>
      <c r="K76" s="10"/>
    </row>
    <row r="77" customFormat="false" ht="15" hidden="false" customHeight="true" outlineLevel="0" collapsed="false">
      <c r="A77" s="10" t="s">
        <v>111</v>
      </c>
      <c r="B77" s="10" t="n">
        <f aca="false">COUNTIF(Events!$F$2:$F$265,A77)</f>
        <v>8</v>
      </c>
      <c r="C77" s="10"/>
      <c r="D77" s="10"/>
      <c r="E77" s="10"/>
      <c r="F77" s="10"/>
      <c r="G77" s="10"/>
      <c r="H77" s="10"/>
      <c r="I77" s="10"/>
      <c r="J77" s="10"/>
      <c r="K77" s="10"/>
    </row>
    <row r="78" customFormat="false" ht="15" hidden="false" customHeight="true" outlineLevel="0" collapsed="false">
      <c r="A78" s="10" t="s">
        <v>300</v>
      </c>
      <c r="B78" s="10" t="n">
        <f aca="false">COUNTIF(Events!$F$2:$F$265,A78)</f>
        <v>1</v>
      </c>
      <c r="C78" s="10"/>
      <c r="D78" s="10"/>
      <c r="E78" s="10"/>
      <c r="F78" s="10"/>
      <c r="G78" s="10"/>
      <c r="H78" s="10"/>
      <c r="I78" s="10"/>
      <c r="J78" s="10"/>
      <c r="K78" s="10"/>
    </row>
    <row r="79" customFormat="false" ht="15" hidden="false" customHeight="true" outlineLevel="0" collapsed="false">
      <c r="A79" s="10" t="s">
        <v>1485</v>
      </c>
      <c r="B79" s="10" t="n">
        <f aca="false">COUNTIF(Events!$F$2:$F$265,A79)</f>
        <v>4</v>
      </c>
      <c r="C79" s="10"/>
      <c r="D79" s="10"/>
      <c r="E79" s="10"/>
      <c r="F79" s="10"/>
      <c r="G79" s="10"/>
      <c r="H79" s="10"/>
      <c r="I79" s="10"/>
      <c r="J79" s="10"/>
      <c r="K79" s="10"/>
    </row>
    <row r="80" customFormat="false" ht="15" hidden="false" customHeight="true" outlineLevel="0" collapsed="false">
      <c r="A80" s="10" t="s">
        <v>276</v>
      </c>
      <c r="B80" s="10" t="n">
        <f aca="false">COUNTIF(Events!$F$2:$F$265,A80)</f>
        <v>1</v>
      </c>
      <c r="C80" s="10"/>
      <c r="D80" s="10"/>
      <c r="E80" s="10"/>
      <c r="F80" s="10"/>
      <c r="G80" s="10"/>
      <c r="H80" s="10"/>
      <c r="I80" s="10"/>
      <c r="J80" s="10"/>
      <c r="K80" s="10"/>
    </row>
    <row r="81" customFormat="false" ht="15" hidden="false" customHeight="true" outlineLevel="0" collapsed="false">
      <c r="A81" s="10" t="s">
        <v>987</v>
      </c>
      <c r="B81" s="10" t="n">
        <f aca="false">COUNTIF(Events!$F$2:$F$265,A81)</f>
        <v>1</v>
      </c>
      <c r="C81" s="10"/>
      <c r="D81" s="10"/>
      <c r="E81" s="10"/>
      <c r="F81" s="10"/>
      <c r="G81" s="10"/>
      <c r="H81" s="10"/>
      <c r="I81" s="10"/>
      <c r="J81" s="10"/>
      <c r="K81" s="10"/>
    </row>
    <row r="82" customFormat="false" ht="15" hidden="false" customHeight="true" outlineLevel="0" collapsed="false">
      <c r="A82" s="10" t="s">
        <v>1639</v>
      </c>
      <c r="B82" s="10" t="n">
        <f aca="false">COUNTIF(Events!$F$2:$F$265,A82)</f>
        <v>1</v>
      </c>
      <c r="C82" s="10"/>
      <c r="D82" s="10"/>
      <c r="E82" s="10"/>
      <c r="F82" s="10"/>
      <c r="G82" s="10"/>
      <c r="H82" s="10"/>
      <c r="I82" s="10"/>
      <c r="J82" s="10"/>
      <c r="K82" s="10"/>
    </row>
    <row r="83" customFormat="false" ht="15" hidden="false" customHeight="true" outlineLevel="0" collapsed="false">
      <c r="A83" s="10" t="s">
        <v>956</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3050</v>
      </c>
      <c r="B85" s="10" t="n">
        <f aca="false">SUM(B3:B84)</f>
        <v>263</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2827</v>
      </c>
      <c r="B1" s="6" t="s">
        <v>3051</v>
      </c>
      <c r="C1" s="6" t="s">
        <v>3052</v>
      </c>
    </row>
    <row r="2" customFormat="false" ht="23.25" hidden="false" customHeight="true" outlineLevel="0" collapsed="false">
      <c r="A2" s="7" t="s">
        <v>699</v>
      </c>
      <c r="B2" s="7" t="s">
        <v>642</v>
      </c>
      <c r="C2" s="7" t="s">
        <v>3053</v>
      </c>
    </row>
    <row r="3" customFormat="false" ht="23.25" hidden="false" customHeight="true" outlineLevel="0" collapsed="false">
      <c r="A3" s="7" t="s">
        <v>3054</v>
      </c>
      <c r="B3" s="7" t="s">
        <v>1853</v>
      </c>
      <c r="C3" s="7" t="s">
        <v>3055</v>
      </c>
    </row>
    <row r="4" customFormat="false" ht="15" hidden="false" customHeight="true" outlineLevel="0" collapsed="false">
      <c r="A4" s="7" t="s">
        <v>3056</v>
      </c>
      <c r="B4" s="7" t="s">
        <v>3057</v>
      </c>
      <c r="C4" s="7" t="s">
        <v>3058</v>
      </c>
    </row>
    <row r="5" customFormat="false" ht="15" hidden="false" customHeight="true" outlineLevel="0" collapsed="false">
      <c r="A5" s="7" t="s">
        <v>1006</v>
      </c>
      <c r="B5" s="7" t="s">
        <v>1007</v>
      </c>
      <c r="C5" s="7" t="s">
        <v>3059</v>
      </c>
    </row>
    <row r="6" customFormat="false" ht="23.25" hidden="false" customHeight="true" outlineLevel="0" collapsed="false">
      <c r="A6" s="7" t="s">
        <v>1277</v>
      </c>
      <c r="B6" s="7" t="s">
        <v>1278</v>
      </c>
      <c r="C6" s="7" t="s">
        <v>3060</v>
      </c>
    </row>
    <row r="7" customFormat="false" ht="23.25" hidden="false" customHeight="true" outlineLevel="0" collapsed="false">
      <c r="A7" s="7" t="s">
        <v>3061</v>
      </c>
      <c r="B7" s="7" t="s">
        <v>642</v>
      </c>
      <c r="C7" s="7" t="s">
        <v>3062</v>
      </c>
    </row>
    <row r="8" customFormat="false" ht="23.25" hidden="false" customHeight="true" outlineLevel="0" collapsed="false">
      <c r="A8" s="7" t="s">
        <v>3063</v>
      </c>
      <c r="B8" s="7" t="s">
        <v>1228</v>
      </c>
      <c r="C8" s="7" t="s">
        <v>3064</v>
      </c>
    </row>
    <row r="9" customFormat="false" ht="68.25" hidden="false" customHeight="true" outlineLevel="0" collapsed="false">
      <c r="A9" s="7" t="s">
        <v>87</v>
      </c>
      <c r="B9" s="7" t="s">
        <v>88</v>
      </c>
      <c r="C9" s="7" t="s">
        <v>3065</v>
      </c>
    </row>
    <row r="10" customFormat="false" ht="34.5" hidden="false" customHeight="true" outlineLevel="0" collapsed="false">
      <c r="A10" s="7" t="s">
        <v>3066</v>
      </c>
      <c r="B10" s="7" t="s">
        <v>3067</v>
      </c>
      <c r="C10" s="7" t="s">
        <v>3068</v>
      </c>
    </row>
    <row r="11" customFormat="false" ht="34.5" hidden="false" customHeight="true" outlineLevel="0" collapsed="false">
      <c r="A11" s="7" t="s">
        <v>3069</v>
      </c>
      <c r="B11" s="7" t="s">
        <v>3070</v>
      </c>
      <c r="C11" s="7" t="s">
        <v>3071</v>
      </c>
    </row>
    <row r="12" customFormat="false" ht="45.75" hidden="false" customHeight="true" outlineLevel="0" collapsed="false">
      <c r="A12" s="7" t="s">
        <v>1096</v>
      </c>
      <c r="B12" s="7" t="s">
        <v>752</v>
      </c>
      <c r="C12" s="7" t="s">
        <v>3072</v>
      </c>
    </row>
    <row r="13" customFormat="false" ht="34.5" hidden="false" customHeight="true" outlineLevel="0" collapsed="false">
      <c r="A13" s="7" t="s">
        <v>837</v>
      </c>
      <c r="B13" s="7" t="s">
        <v>838</v>
      </c>
      <c r="C13" s="7" t="s">
        <v>3073</v>
      </c>
    </row>
    <row r="14" customFormat="false" ht="68.25" hidden="false" customHeight="true" outlineLevel="0" collapsed="false">
      <c r="A14" s="7" t="s">
        <v>328</v>
      </c>
      <c r="B14" s="7" t="s">
        <v>329</v>
      </c>
      <c r="C14" s="7" t="s">
        <v>3074</v>
      </c>
    </row>
    <row r="15" customFormat="false" ht="34.5" hidden="false" customHeight="true" outlineLevel="0" collapsed="false">
      <c r="A15" s="7" t="s">
        <v>3075</v>
      </c>
      <c r="B15" s="7"/>
      <c r="C15" s="7" t="s">
        <v>3076</v>
      </c>
    </row>
    <row r="16" customFormat="false" ht="23.25" hidden="false" customHeight="true" outlineLevel="0" collapsed="false">
      <c r="A16" s="7" t="s">
        <v>3077</v>
      </c>
      <c r="B16" s="7"/>
      <c r="C16" s="7" t="s">
        <v>3078</v>
      </c>
    </row>
    <row r="17" customFormat="false" ht="34.5" hidden="false" customHeight="true" outlineLevel="0" collapsed="false">
      <c r="A17" s="7" t="s">
        <v>3079</v>
      </c>
      <c r="B17" s="7"/>
      <c r="C17" s="7" t="s">
        <v>3080</v>
      </c>
    </row>
    <row r="18" customFormat="false" ht="23.25" hidden="false" customHeight="true" outlineLevel="0" collapsed="false">
      <c r="A18" s="7" t="s">
        <v>3081</v>
      </c>
      <c r="B18" s="7" t="s">
        <v>3082</v>
      </c>
      <c r="C18" s="7" t="s">
        <v>3083</v>
      </c>
    </row>
    <row r="19" customFormat="false" ht="34.5" hidden="false" customHeight="true" outlineLevel="0" collapsed="false">
      <c r="A19" s="7" t="s">
        <v>3084</v>
      </c>
      <c r="B19" s="7"/>
      <c r="C19" s="7" t="s">
        <v>3085</v>
      </c>
    </row>
    <row r="20" customFormat="false" ht="23.25" hidden="false" customHeight="true" outlineLevel="0" collapsed="false">
      <c r="A20" s="7" t="s">
        <v>3086</v>
      </c>
      <c r="B20" s="7" t="s">
        <v>3087</v>
      </c>
      <c r="C20" s="7" t="s">
        <v>3088</v>
      </c>
    </row>
    <row r="21" customFormat="false" ht="23.25" hidden="false" customHeight="true" outlineLevel="0" collapsed="false">
      <c r="A21" s="7" t="s">
        <v>3089</v>
      </c>
      <c r="B21" s="7" t="s">
        <v>3090</v>
      </c>
      <c r="C21" s="7" t="s">
        <v>3091</v>
      </c>
    </row>
    <row r="22" customFormat="false" ht="15" hidden="false" customHeight="true" outlineLevel="0" collapsed="false">
      <c r="A22" s="7" t="s">
        <v>3092</v>
      </c>
      <c r="B22" s="7" t="s">
        <v>3093</v>
      </c>
      <c r="C22" s="7" t="s">
        <v>3094</v>
      </c>
    </row>
    <row r="23" customFormat="false" ht="15" hidden="false" customHeight="true" outlineLevel="0" collapsed="false">
      <c r="A23" s="7" t="s">
        <v>3095</v>
      </c>
      <c r="B23" s="7" t="s">
        <v>3096</v>
      </c>
      <c r="C23" s="7" t="s">
        <v>3097</v>
      </c>
    </row>
    <row r="24" customFormat="false" ht="15" hidden="false" customHeight="true" outlineLevel="0" collapsed="false">
      <c r="A24" s="7" t="s">
        <v>3098</v>
      </c>
      <c r="B24" s="7" t="s">
        <v>3099</v>
      </c>
      <c r="C24" s="7" t="s">
        <v>3100</v>
      </c>
    </row>
    <row r="25" customFormat="false" ht="57" hidden="false" customHeight="true" outlineLevel="0" collapsed="false">
      <c r="A25" s="7" t="s">
        <v>3101</v>
      </c>
      <c r="B25" s="7"/>
      <c r="C25" s="7" t="s">
        <v>3102</v>
      </c>
    </row>
    <row r="26" customFormat="false" ht="45.75" hidden="false" customHeight="true" outlineLevel="0" collapsed="false">
      <c r="A26" s="7" t="s">
        <v>3103</v>
      </c>
      <c r="B26" s="7" t="s">
        <v>3104</v>
      </c>
      <c r="C26" s="7" t="s">
        <v>3105</v>
      </c>
    </row>
    <row r="27" customFormat="false" ht="68.25" hidden="false" customHeight="true" outlineLevel="0" collapsed="false">
      <c r="A27" s="7" t="s">
        <v>3106</v>
      </c>
      <c r="B27" s="7" t="s">
        <v>3107</v>
      </c>
      <c r="C27" s="7" t="s">
        <v>3108</v>
      </c>
    </row>
    <row r="28" customFormat="false" ht="90.75" hidden="false" customHeight="true" outlineLevel="0" collapsed="false">
      <c r="A28" s="7" t="s">
        <v>3109</v>
      </c>
      <c r="B28" s="7"/>
      <c r="C28" s="7" t="s">
        <v>3110</v>
      </c>
    </row>
    <row r="29" customFormat="false" ht="45.75" hidden="false" customHeight="true" outlineLevel="0" collapsed="false">
      <c r="A29" s="7" t="s">
        <v>3111</v>
      </c>
      <c r="B29" s="7" t="s">
        <v>3057</v>
      </c>
      <c r="C29" s="7" t="s">
        <v>3112</v>
      </c>
    </row>
    <row r="30" customFormat="false" ht="23.25" hidden="false" customHeight="true" outlineLevel="0" collapsed="false">
      <c r="A30" s="3" t="s">
        <v>3113</v>
      </c>
      <c r="B30" s="3" t="s">
        <v>3114</v>
      </c>
      <c r="C30" s="3"/>
    </row>
    <row r="31" customFormat="false" ht="23.25" hidden="false" customHeight="true" outlineLevel="0" collapsed="false">
      <c r="A31" s="3" t="s">
        <v>3113</v>
      </c>
      <c r="B31" s="3" t="s">
        <v>3114</v>
      </c>
      <c r="C31" s="3" t="s">
        <v>3115</v>
      </c>
    </row>
    <row r="32" customFormat="false" ht="34.5" hidden="false" customHeight="true" outlineLevel="0" collapsed="false">
      <c r="A32" s="3" t="s">
        <v>3116</v>
      </c>
      <c r="B32" s="3" t="s">
        <v>3117</v>
      </c>
      <c r="C32" s="3" t="s">
        <v>3118</v>
      </c>
    </row>
    <row r="33" customFormat="false" ht="23.25" hidden="false" customHeight="true" outlineLevel="0" collapsed="false">
      <c r="A33" s="3" t="s">
        <v>3119</v>
      </c>
      <c r="B33" s="3" t="s">
        <v>3120</v>
      </c>
      <c r="C33" s="3" t="s">
        <v>3121</v>
      </c>
    </row>
    <row r="34" customFormat="false" ht="34.5" hidden="false" customHeight="true" outlineLevel="0" collapsed="false">
      <c r="A34" s="3" t="s">
        <v>3122</v>
      </c>
      <c r="B34" s="3" t="s">
        <v>3057</v>
      </c>
      <c r="C34" s="3" t="s">
        <v>3123</v>
      </c>
    </row>
    <row r="35" customFormat="false" ht="113.25" hidden="false" customHeight="true" outlineLevel="0" collapsed="false">
      <c r="A35" s="3" t="s">
        <v>3124</v>
      </c>
      <c r="B35" s="3" t="s">
        <v>3125</v>
      </c>
      <c r="C35" s="3" t="s">
        <v>3126</v>
      </c>
    </row>
    <row r="36" customFormat="false" ht="15" hidden="false" customHeight="true" outlineLevel="0" collapsed="false">
      <c r="A36" s="1" t="s">
        <v>3127</v>
      </c>
      <c r="B36" s="1" t="s">
        <v>3128</v>
      </c>
      <c r="C36" s="1" t="s">
        <v>3129</v>
      </c>
    </row>
    <row r="37" customFormat="false" ht="15" hidden="false" customHeight="true" outlineLevel="0" collapsed="false">
      <c r="A37" s="1" t="s">
        <v>3130</v>
      </c>
      <c r="B37" s="1" t="s">
        <v>3128</v>
      </c>
      <c r="C37" s="1" t="s">
        <v>3131</v>
      </c>
    </row>
    <row r="38" customFormat="false" ht="15" hidden="false" customHeight="true" outlineLevel="0" collapsed="false">
      <c r="A38" s="1" t="s">
        <v>3132</v>
      </c>
      <c r="B38" s="1" t="s">
        <v>3128</v>
      </c>
      <c r="C38" s="1" t="s">
        <v>3133</v>
      </c>
    </row>
    <row r="39" customFormat="false" ht="15" hidden="false" customHeight="true" outlineLevel="0" collapsed="false">
      <c r="A39" s="1" t="s">
        <v>3134</v>
      </c>
      <c r="B39" s="1" t="s">
        <v>3128</v>
      </c>
      <c r="C39" s="1" t="s">
        <v>3135</v>
      </c>
    </row>
    <row r="40" customFormat="false" ht="15" hidden="false" customHeight="true" outlineLevel="0" collapsed="false">
      <c r="A40" s="1" t="s">
        <v>3136</v>
      </c>
      <c r="B40" s="1" t="s">
        <v>3128</v>
      </c>
      <c r="C40" s="1" t="s">
        <v>3137</v>
      </c>
    </row>
    <row r="41" customFormat="false" ht="15" hidden="false" customHeight="true" outlineLevel="0" collapsed="false">
      <c r="A41" s="1" t="s">
        <v>3138</v>
      </c>
      <c r="B41" s="1" t="s">
        <v>3139</v>
      </c>
      <c r="C41" s="1" t="s">
        <v>3140</v>
      </c>
    </row>
    <row r="42" customFormat="false" ht="15" hidden="false" customHeight="true" outlineLevel="0" collapsed="false">
      <c r="A42" s="1" t="s">
        <v>3141</v>
      </c>
      <c r="B42" s="1" t="s">
        <v>3142</v>
      </c>
      <c r="C42" s="1" t="s">
        <v>3143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4" min="3" style="1" width="24"/>
    <col collapsed="false" customWidth="true" hidden="false" outlineLevel="0" max="5" min="5" style="1" width="28"/>
  </cols>
  <sheetData>
    <row r="1" customFormat="false" ht="15" hidden="false" customHeight="true" outlineLevel="0" collapsed="false">
      <c r="A1" s="1" t="s">
        <v>3144</v>
      </c>
    </row>
    <row r="2" customFormat="false" ht="15" hidden="false" customHeight="true" outlineLevel="0" collapsed="false">
      <c r="A2" s="1" t="s">
        <v>3145</v>
      </c>
    </row>
    <row r="3" customFormat="false" ht="15" hidden="false" customHeight="true" outlineLevel="0" collapsed="false">
      <c r="A3" s="1" t="s">
        <v>3146</v>
      </c>
    </row>
    <row r="6" customFormat="false" ht="15" hidden="false" customHeight="true" outlineLevel="0" collapsed="false">
      <c r="A6" s="1" t="s">
        <v>3147</v>
      </c>
      <c r="B6" s="1" t="s">
        <v>3148</v>
      </c>
      <c r="C6" s="1" t="s">
        <v>3149</v>
      </c>
      <c r="D6" s="1" t="s">
        <v>3150</v>
      </c>
      <c r="E6" s="1" t="s">
        <v>3151</v>
      </c>
    </row>
    <row r="7" customFormat="false" ht="15" hidden="false" customHeight="true" outlineLevel="0" collapsed="false">
      <c r="A7" s="1" t="s">
        <v>3152</v>
      </c>
      <c r="B7" s="1" t="s">
        <v>3153</v>
      </c>
      <c r="C7" s="1" t="s">
        <v>3154</v>
      </c>
      <c r="D7" s="1" t="s">
        <v>3155</v>
      </c>
      <c r="E7" s="1" t="n">
        <v>146</v>
      </c>
    </row>
    <row r="8" customFormat="false" ht="15" hidden="false" customHeight="true" outlineLevel="0" collapsed="false">
      <c r="A8" s="1" t="s">
        <v>3156</v>
      </c>
      <c r="B8" s="1" t="s">
        <v>3157</v>
      </c>
      <c r="C8" s="1" t="s">
        <v>3158</v>
      </c>
      <c r="D8" s="1" t="s">
        <v>3159</v>
      </c>
      <c r="E8" s="1" t="n">
        <v>161</v>
      </c>
    </row>
    <row r="10" customFormat="false" ht="15" hidden="false" customHeight="true" outlineLevel="0" collapsed="false">
      <c r="A10" s="1" t="s">
        <v>3160</v>
      </c>
    </row>
    <row r="11" customFormat="false" ht="15" hidden="false" customHeight="true" outlineLevel="0" collapsed="false">
      <c r="A11" s="1" t="s">
        <v>61</v>
      </c>
      <c r="B11" s="1" t="s">
        <v>3161</v>
      </c>
      <c r="C11" s="1" t="s">
        <v>3162</v>
      </c>
      <c r="D11" s="1" t="s">
        <v>3163</v>
      </c>
    </row>
    <row r="12" customFormat="false" ht="15" hidden="false" customHeight="true" outlineLevel="0" collapsed="false">
      <c r="A12" s="1" t="n">
        <v>1943</v>
      </c>
      <c r="B12" s="1" t="s">
        <v>3164</v>
      </c>
      <c r="C12" s="1" t="s">
        <v>3165</v>
      </c>
      <c r="D12" s="1" t="n">
        <v>144</v>
      </c>
    </row>
    <row r="13" customFormat="false" ht="15" hidden="false" customHeight="true" outlineLevel="0" collapsed="false">
      <c r="A13" s="1" t="n">
        <v>1944</v>
      </c>
      <c r="B13" s="1" t="s">
        <v>3166</v>
      </c>
      <c r="C13" s="1" t="s">
        <v>3167</v>
      </c>
      <c r="D13" s="1" t="n">
        <v>127</v>
      </c>
    </row>
    <row r="14" customFormat="false" ht="15" hidden="false" customHeight="true" outlineLevel="0" collapsed="false">
      <c r="A14" s="1" t="n">
        <v>1945</v>
      </c>
      <c r="B14" s="1" t="s">
        <v>3168</v>
      </c>
      <c r="C14" s="1" t="s">
        <v>3169</v>
      </c>
      <c r="D14" s="1" t="n">
        <v>142</v>
      </c>
    </row>
    <row r="15" customFormat="false" ht="15" hidden="false" customHeight="true" outlineLevel="0" collapsed="false">
      <c r="A15" s="1" t="n">
        <v>1946</v>
      </c>
      <c r="B15" s="1" t="s">
        <v>3170</v>
      </c>
      <c r="C15" s="1" t="s">
        <v>3171</v>
      </c>
      <c r="D15" s="1" t="n">
        <v>147</v>
      </c>
    </row>
    <row r="16" customFormat="false" ht="15" hidden="false" customHeight="true" outlineLevel="0" collapsed="false">
      <c r="A16" s="1" t="n">
        <v>1947</v>
      </c>
      <c r="B16" s="1" t="s">
        <v>3172</v>
      </c>
      <c r="C16" s="1" t="s">
        <v>3173</v>
      </c>
      <c r="D16" s="1" t="n">
        <v>115</v>
      </c>
    </row>
    <row r="17" customFormat="false" ht="15" hidden="false" customHeight="true" outlineLevel="0" collapsed="false">
      <c r="A17" s="1" t="n">
        <v>1952</v>
      </c>
      <c r="B17" s="1" t="s">
        <v>3174</v>
      </c>
      <c r="C17" s="1" t="s">
        <v>3175</v>
      </c>
      <c r="D17" s="1" t="n">
        <v>144</v>
      </c>
    </row>
    <row r="18" customFormat="false" ht="15" hidden="false" customHeight="true" outlineLevel="0" collapsed="false">
      <c r="A18" s="1" t="n">
        <v>1953</v>
      </c>
      <c r="B18" s="1" t="s">
        <v>3176</v>
      </c>
      <c r="C18" s="1" t="s">
        <v>3177</v>
      </c>
      <c r="D18" s="1" t="n">
        <v>103</v>
      </c>
    </row>
    <row r="19" customFormat="false" ht="15" hidden="false" customHeight="true" outlineLevel="0" collapsed="false">
      <c r="A19" s="1" t="n">
        <v>1955</v>
      </c>
      <c r="B19" s="1" t="s">
        <v>3178</v>
      </c>
      <c r="C19" s="1" t="s">
        <v>3173</v>
      </c>
      <c r="D19" s="1" t="n">
        <v>152</v>
      </c>
    </row>
    <row r="20" customFormat="false" ht="15" hidden="false" customHeight="true" outlineLevel="0" collapsed="false">
      <c r="A20" s="1" t="n">
        <v>1956</v>
      </c>
      <c r="B20" s="1" t="s">
        <v>3179</v>
      </c>
      <c r="C20" s="1" t="s">
        <v>3180</v>
      </c>
      <c r="D20" s="1" t="n">
        <v>104</v>
      </c>
    </row>
    <row r="21" customFormat="false" ht="15" hidden="false" customHeight="true" outlineLevel="0" collapsed="false">
      <c r="A21" s="1" t="n">
        <v>1957</v>
      </c>
      <c r="B21" s="1" t="s">
        <v>3181</v>
      </c>
      <c r="C21" s="1" t="s">
        <v>3182</v>
      </c>
      <c r="D21" s="1" t="n">
        <v>133</v>
      </c>
    </row>
    <row r="22" customFormat="false" ht="15" hidden="false" customHeight="true" outlineLevel="0" collapsed="false">
      <c r="A22" s="1" t="n">
        <v>1958</v>
      </c>
      <c r="B22" s="1" t="s">
        <v>3183</v>
      </c>
      <c r="C22" s="1" t="s">
        <v>3184</v>
      </c>
      <c r="D22" s="1" t="n">
        <v>131</v>
      </c>
    </row>
    <row r="23" customFormat="false" ht="15" hidden="false" customHeight="true" outlineLevel="0" collapsed="false">
      <c r="A23" s="1" t="n">
        <v>1959</v>
      </c>
      <c r="B23" s="1" t="s">
        <v>3174</v>
      </c>
      <c r="C23" s="1" t="s">
        <v>3185</v>
      </c>
      <c r="D23" s="1" t="n">
        <v>123</v>
      </c>
    </row>
    <row r="24" customFormat="false" ht="15" hidden="false" customHeight="true" outlineLevel="0" collapsed="false">
      <c r="A24" s="1" t="n">
        <v>1960</v>
      </c>
      <c r="B24" s="1" t="s">
        <v>3186</v>
      </c>
      <c r="C24" s="1" t="s">
        <v>3171</v>
      </c>
      <c r="D24" s="1" t="n">
        <v>152</v>
      </c>
    </row>
    <row r="25" customFormat="false" ht="15" hidden="false" customHeight="true" outlineLevel="0" collapsed="false">
      <c r="A25" s="1" t="n">
        <v>1961</v>
      </c>
      <c r="B25" s="1" t="s">
        <v>3172</v>
      </c>
      <c r="C25" s="1" t="s">
        <v>3155</v>
      </c>
      <c r="D25" s="1" t="n">
        <v>127</v>
      </c>
    </row>
    <row r="26" customFormat="false" ht="15" hidden="false" customHeight="true" outlineLevel="0" collapsed="false">
      <c r="A26" s="1" t="n">
        <v>1963</v>
      </c>
      <c r="B26" s="1" t="s">
        <v>3187</v>
      </c>
      <c r="C26" s="1" t="s">
        <v>3177</v>
      </c>
      <c r="D26" s="1" t="n">
        <v>110</v>
      </c>
    </row>
    <row r="27" customFormat="false" ht="15" hidden="false" customHeight="true" outlineLevel="0" collapsed="false">
      <c r="A27" s="1" t="n">
        <v>1964</v>
      </c>
      <c r="B27" s="1" t="s">
        <v>3188</v>
      </c>
      <c r="C27" s="1" t="s">
        <v>3189</v>
      </c>
      <c r="D27" s="1" t="n">
        <v>133</v>
      </c>
    </row>
    <row r="28" customFormat="false" ht="15" hidden="false" customHeight="true" outlineLevel="0" collapsed="false">
      <c r="A28" s="1" t="n">
        <v>1965</v>
      </c>
      <c r="B28" s="1" t="s">
        <v>3172</v>
      </c>
      <c r="C28" s="1" t="s">
        <v>3190</v>
      </c>
      <c r="D28" s="1" t="n">
        <v>91</v>
      </c>
    </row>
    <row r="29" customFormat="false" ht="15" hidden="false" customHeight="true" outlineLevel="0" collapsed="false">
      <c r="A29" s="1" t="n">
        <v>1966</v>
      </c>
      <c r="B29" s="1" t="s">
        <v>3191</v>
      </c>
      <c r="C29" s="1" t="s">
        <v>3171</v>
      </c>
      <c r="D29" s="1" t="n">
        <v>146</v>
      </c>
    </row>
    <row r="30" customFormat="false" ht="15" hidden="false" customHeight="true" outlineLevel="0" collapsed="false">
      <c r="A30" s="1" t="n">
        <v>1968</v>
      </c>
      <c r="B30" s="1" t="s">
        <v>3192</v>
      </c>
      <c r="C30" s="1" t="s">
        <v>3193</v>
      </c>
      <c r="D30" s="1" t="n">
        <v>126</v>
      </c>
    </row>
    <row r="31" customFormat="false" ht="15" hidden="false" customHeight="true" outlineLevel="0" collapsed="false">
      <c r="A31" s="1" t="n">
        <v>1969</v>
      </c>
      <c r="B31" s="1" t="s">
        <v>3192</v>
      </c>
      <c r="C31" s="1" t="s">
        <v>3194</v>
      </c>
      <c r="D31" s="1" t="n">
        <v>116</v>
      </c>
    </row>
    <row r="32" customFormat="false" ht="15" hidden="false" customHeight="true" outlineLevel="0" collapsed="false">
      <c r="A32" s="1" t="n">
        <v>1970</v>
      </c>
      <c r="B32" s="1" t="s">
        <v>3195</v>
      </c>
      <c r="C32" s="1" t="s">
        <v>3165</v>
      </c>
      <c r="D32" s="1" t="n">
        <v>130</v>
      </c>
    </row>
    <row r="33" customFormat="false" ht="15" hidden="false" customHeight="true" outlineLevel="0" collapsed="false">
      <c r="A33" s="1" t="n">
        <v>1971</v>
      </c>
      <c r="B33" s="1" t="s">
        <v>3196</v>
      </c>
      <c r="C33" s="1" t="s">
        <v>3197</v>
      </c>
      <c r="D33" s="1" t="n">
        <v>85</v>
      </c>
    </row>
    <row r="34" customFormat="false" ht="15" hidden="false" customHeight="true" outlineLevel="0" collapsed="false">
      <c r="A34" s="1" t="n">
        <v>1972</v>
      </c>
      <c r="B34" s="1" t="s">
        <v>3192</v>
      </c>
      <c r="C34" s="1" t="s">
        <v>3198</v>
      </c>
      <c r="D34" s="1" t="n">
        <v>119</v>
      </c>
    </row>
    <row r="35" customFormat="false" ht="15" hidden="false" customHeight="true" outlineLevel="0" collapsed="false">
      <c r="A35" s="1" t="n">
        <v>1973</v>
      </c>
      <c r="B35" s="1" t="s">
        <v>3176</v>
      </c>
      <c r="C35" s="1" t="s">
        <v>3194</v>
      </c>
      <c r="D35" s="1" t="n">
        <v>110</v>
      </c>
    </row>
    <row r="36" customFormat="false" ht="15" hidden="false" customHeight="true" outlineLevel="0" collapsed="false">
      <c r="A36" s="1" t="n">
        <v>1974</v>
      </c>
      <c r="B36" s="1" t="s">
        <v>3199</v>
      </c>
      <c r="C36" s="1" t="s">
        <v>3198</v>
      </c>
      <c r="D36" s="1" t="n">
        <v>121</v>
      </c>
    </row>
    <row r="37" customFormat="false" ht="15" hidden="false" customHeight="true" outlineLevel="0" collapsed="false">
      <c r="A37" s="1" t="n">
        <v>1975</v>
      </c>
      <c r="B37" s="1" t="s">
        <v>3200</v>
      </c>
      <c r="C37" s="1" t="s">
        <v>3189</v>
      </c>
      <c r="D37" s="1" t="n">
        <v>130</v>
      </c>
    </row>
    <row r="38" customFormat="false" ht="15" hidden="false" customHeight="true" outlineLevel="0" collapsed="false">
      <c r="A38" s="1" t="n">
        <v>1976</v>
      </c>
      <c r="B38" s="1" t="s">
        <v>3183</v>
      </c>
      <c r="C38" s="1" t="s">
        <v>3201</v>
      </c>
      <c r="D38" s="1" t="n">
        <v>103</v>
      </c>
    </row>
    <row r="39" customFormat="false" ht="15" hidden="false" customHeight="true" outlineLevel="0" collapsed="false">
      <c r="A39" s="1" t="n">
        <v>1977</v>
      </c>
      <c r="B39" s="1" t="s">
        <v>3191</v>
      </c>
      <c r="C39" s="1" t="s">
        <v>3202</v>
      </c>
      <c r="D39" s="1" t="n">
        <v>150</v>
      </c>
    </row>
    <row r="40" customFormat="false" ht="15" hidden="false" customHeight="true" outlineLevel="0" collapsed="false">
      <c r="A40" s="1" t="n">
        <v>1978</v>
      </c>
      <c r="B40" s="1" t="s">
        <v>3200</v>
      </c>
      <c r="C40" s="1" t="s">
        <v>3203</v>
      </c>
      <c r="D40" s="1" t="n">
        <v>125</v>
      </c>
    </row>
    <row r="41" customFormat="false" ht="15" hidden="false" customHeight="true" outlineLevel="0" collapsed="false">
      <c r="A41" s="1" t="n">
        <v>1979</v>
      </c>
      <c r="B41" s="1" t="s">
        <v>3204</v>
      </c>
      <c r="C41" s="1" t="s">
        <v>3205</v>
      </c>
      <c r="D41" s="1" t="n">
        <v>140</v>
      </c>
    </row>
    <row r="42" customFormat="false" ht="15" hidden="false" customHeight="true" outlineLevel="0" collapsed="false">
      <c r="A42" s="1" t="n">
        <v>1980</v>
      </c>
      <c r="B42" s="1" t="s">
        <v>3206</v>
      </c>
      <c r="C42" s="1" t="s">
        <v>3169</v>
      </c>
      <c r="D42" s="1" t="n">
        <v>109</v>
      </c>
    </row>
    <row r="43" customFormat="false" ht="15" hidden="false" customHeight="true" outlineLevel="0" collapsed="false">
      <c r="A43" s="1" t="n">
        <v>1981</v>
      </c>
      <c r="B43" s="1" t="s">
        <v>3207</v>
      </c>
      <c r="C43" s="1" t="s">
        <v>3203</v>
      </c>
      <c r="D43" s="1" t="n">
        <v>113</v>
      </c>
    </row>
    <row r="44" customFormat="false" ht="15" hidden="false" customHeight="true" outlineLevel="0" collapsed="false">
      <c r="A44" s="1" t="n">
        <v>1982</v>
      </c>
      <c r="B44" s="1" t="s">
        <v>3188</v>
      </c>
      <c r="C44" s="1" t="s">
        <v>3208</v>
      </c>
      <c r="D44" s="1" t="n">
        <v>159</v>
      </c>
    </row>
    <row r="45" customFormat="false" ht="15" hidden="false" customHeight="true" outlineLevel="0" collapsed="false">
      <c r="A45" s="1" t="n">
        <v>1983</v>
      </c>
      <c r="B45" s="1" t="s">
        <v>3174</v>
      </c>
      <c r="C45" s="1" t="s">
        <v>3209</v>
      </c>
      <c r="D45" s="1" t="n">
        <v>145</v>
      </c>
    </row>
    <row r="46" customFormat="false" ht="15" hidden="false" customHeight="true" outlineLevel="0" collapsed="false">
      <c r="A46" s="1" t="n">
        <v>1984</v>
      </c>
      <c r="B46" s="1" t="s">
        <v>3210</v>
      </c>
      <c r="C46" s="1" t="s">
        <v>3211</v>
      </c>
      <c r="D46" s="1" t="n">
        <v>112</v>
      </c>
    </row>
    <row r="47" customFormat="false" ht="15" hidden="false" customHeight="true" outlineLevel="0" collapsed="false">
      <c r="A47" s="1" t="n">
        <v>1985</v>
      </c>
      <c r="B47" s="1" t="s">
        <v>3170</v>
      </c>
      <c r="C47" s="1" t="s">
        <v>3212</v>
      </c>
      <c r="D47" s="1" t="n">
        <v>152</v>
      </c>
    </row>
    <row r="48" customFormat="false" ht="15" hidden="false" customHeight="true" outlineLevel="0" collapsed="false">
      <c r="A48" s="1" t="n">
        <v>1987</v>
      </c>
      <c r="B48" s="1" t="s">
        <v>3213</v>
      </c>
      <c r="C48" s="1" t="s">
        <v>3214</v>
      </c>
      <c r="D48" s="1" t="n">
        <v>150</v>
      </c>
    </row>
    <row r="49" customFormat="false" ht="15" hidden="false" customHeight="true" outlineLevel="0" collapsed="false">
      <c r="A49" s="1" t="n">
        <v>1989</v>
      </c>
      <c r="B49" s="1" t="s">
        <v>3215</v>
      </c>
      <c r="C49" s="1" t="s">
        <v>3167</v>
      </c>
      <c r="D49" s="1" t="n">
        <v>152</v>
      </c>
    </row>
    <row r="50" customFormat="false" ht="15" hidden="false" customHeight="true" outlineLevel="0" collapsed="false">
      <c r="A50" s="1" t="n">
        <v>1991</v>
      </c>
      <c r="B50" s="1" t="s">
        <v>3178</v>
      </c>
      <c r="C50" s="1" t="s">
        <v>3216</v>
      </c>
      <c r="D50" s="1" t="n">
        <v>157</v>
      </c>
    </row>
    <row r="51" customFormat="false" ht="15" hidden="false" customHeight="true" outlineLevel="0" collapsed="false">
      <c r="A51" s="1" t="n">
        <v>1992</v>
      </c>
      <c r="B51" s="1" t="s">
        <v>3200</v>
      </c>
      <c r="C51" s="1" t="s">
        <v>3184</v>
      </c>
      <c r="D51" s="1" t="n">
        <v>147</v>
      </c>
    </row>
    <row r="52" customFormat="false" ht="15" hidden="false" customHeight="true" outlineLevel="0" collapsed="false">
      <c r="A52" s="1" t="n">
        <v>1993</v>
      </c>
      <c r="B52" s="1" t="s">
        <v>3217</v>
      </c>
      <c r="C52" s="1" t="s">
        <v>3205</v>
      </c>
      <c r="D52" s="1" t="n">
        <v>144</v>
      </c>
    </row>
    <row r="53" customFormat="false" ht="15" hidden="false" customHeight="true" outlineLevel="0" collapsed="false">
      <c r="A53" s="1" t="n">
        <v>1996</v>
      </c>
      <c r="B53" s="1" t="s">
        <v>3174</v>
      </c>
      <c r="C53" s="1" t="s">
        <v>3165</v>
      </c>
      <c r="D53" s="1" t="n">
        <v>141</v>
      </c>
    </row>
    <row r="54" customFormat="false" ht="15" hidden="false" customHeight="true" outlineLevel="0" collapsed="false">
      <c r="A54" s="1" t="n">
        <v>1998</v>
      </c>
      <c r="B54" s="1" t="s">
        <v>3217</v>
      </c>
      <c r="C54" s="1" t="s">
        <v>3202</v>
      </c>
      <c r="D54" s="1" t="n">
        <v>161</v>
      </c>
    </row>
    <row r="55" customFormat="false" ht="15" hidden="false" customHeight="true" outlineLevel="0" collapsed="false">
      <c r="A55" s="1" t="n">
        <v>1999</v>
      </c>
      <c r="B55" s="1" t="s">
        <v>3154</v>
      </c>
      <c r="C55" s="1" t="s">
        <v>3165</v>
      </c>
      <c r="D55" s="1" t="n">
        <v>146</v>
      </c>
    </row>
    <row r="56" customFormat="false" ht="15" hidden="false" customHeight="true" outlineLevel="0" collapsed="false">
      <c r="A56" s="1" t="n">
        <v>2000</v>
      </c>
      <c r="B56" s="1" t="s">
        <v>3181</v>
      </c>
      <c r="C56" s="1" t="s">
        <v>3169</v>
      </c>
      <c r="D56" s="1" t="n">
        <v>136</v>
      </c>
    </row>
    <row r="57" customFormat="false" ht="15" hidden="false" customHeight="true" outlineLevel="0" collapsed="false">
      <c r="A57" s="1" t="n">
        <v>2001</v>
      </c>
      <c r="B57" s="1" t="s">
        <v>3200</v>
      </c>
      <c r="C57" s="1" t="s">
        <v>3175</v>
      </c>
      <c r="D57" s="1" t="n">
        <v>154</v>
      </c>
    </row>
    <row r="58" customFormat="false" ht="15" hidden="false" customHeight="true" outlineLevel="0" collapsed="false">
      <c r="A58" s="1" t="n">
        <v>2002</v>
      </c>
      <c r="B58" s="1" t="s">
        <v>3218</v>
      </c>
      <c r="C58" s="1" t="s">
        <v>3219</v>
      </c>
      <c r="D58" s="1" t="n">
        <v>146</v>
      </c>
    </row>
    <row r="59" customFormat="false" ht="15" hidden="false" customHeight="true" outlineLevel="0" collapsed="false">
      <c r="A59" s="1" t="n">
        <v>2003</v>
      </c>
      <c r="B59" s="1" t="s">
        <v>3186</v>
      </c>
      <c r="C59" s="1" t="s">
        <v>3171</v>
      </c>
      <c r="D59" s="1" t="n">
        <v>152</v>
      </c>
    </row>
    <row r="60" customFormat="false" ht="15" hidden="false" customHeight="true" outlineLevel="0" collapsed="false">
      <c r="A60" s="1" t="n">
        <v>2004</v>
      </c>
      <c r="B60" s="1" t="s">
        <v>3220</v>
      </c>
      <c r="C60" s="1" t="s">
        <v>3202</v>
      </c>
      <c r="D60" s="1" t="n">
        <v>154</v>
      </c>
    </row>
    <row r="61" customFormat="false" ht="15" hidden="false" customHeight="true" outlineLevel="0" collapsed="false">
      <c r="A61" s="1" t="n">
        <v>2005</v>
      </c>
      <c r="B61" s="1" t="s">
        <v>3154</v>
      </c>
      <c r="C61" s="1" t="s">
        <v>3221</v>
      </c>
      <c r="D61" s="1" t="n">
        <v>161</v>
      </c>
    </row>
    <row r="62" customFormat="false" ht="15" hidden="false" customHeight="true" outlineLevel="0" collapsed="false">
      <c r="A62" s="1" t="n">
        <v>2006</v>
      </c>
      <c r="B62" s="1" t="s">
        <v>3222</v>
      </c>
      <c r="C62" s="1" t="s">
        <v>3214</v>
      </c>
      <c r="D62" s="1" t="n">
        <v>166</v>
      </c>
    </row>
    <row r="63" customFormat="false" ht="15" hidden="false" customHeight="true" outlineLevel="0" collapsed="false">
      <c r="A63" s="1" t="n">
        <v>2007</v>
      </c>
      <c r="B63" s="1" t="s">
        <v>3213</v>
      </c>
      <c r="C63" s="1" t="s">
        <v>3223</v>
      </c>
      <c r="D63" s="1" t="n">
        <v>166</v>
      </c>
    </row>
    <row r="64" customFormat="false" ht="15" hidden="false" customHeight="true" outlineLevel="0" collapsed="false">
      <c r="A64" s="1" t="n">
        <v>2008</v>
      </c>
      <c r="B64" s="1" t="s">
        <v>3220</v>
      </c>
      <c r="C64" s="1" t="s">
        <v>3224</v>
      </c>
      <c r="D64" s="1" t="n">
        <v>166</v>
      </c>
    </row>
    <row r="65" customFormat="false" ht="15" hidden="false" customHeight="true" outlineLevel="0" collapsed="false">
      <c r="A65" s="1" t="n">
        <v>2009</v>
      </c>
      <c r="B65" s="1" t="s">
        <v>3210</v>
      </c>
      <c r="C65" s="1" t="s">
        <v>3208</v>
      </c>
      <c r="D65" s="1" t="n">
        <v>145</v>
      </c>
    </row>
    <row r="66" customFormat="false" ht="15" hidden="false" customHeight="true" outlineLevel="0" collapsed="false">
      <c r="A66" s="1" t="n">
        <v>2010</v>
      </c>
      <c r="B66" s="1" t="s">
        <v>3154</v>
      </c>
      <c r="C66" s="1" t="s">
        <v>3225</v>
      </c>
      <c r="D66" s="1" t="n">
        <v>157</v>
      </c>
    </row>
    <row r="67" customFormat="false" ht="15" hidden="false" customHeight="true" outlineLevel="0" collapsed="false">
      <c r="A67" s="1" t="n">
        <v>2011</v>
      </c>
      <c r="B67" s="1" t="s">
        <v>3226</v>
      </c>
      <c r="C67" s="1" t="s">
        <v>3227</v>
      </c>
      <c r="D67" s="1" t="n">
        <v>188</v>
      </c>
    </row>
    <row r="68" customFormat="false" ht="15" hidden="false" customHeight="true" outlineLevel="0" collapsed="false">
      <c r="A68" s="1" t="n">
        <v>2012</v>
      </c>
      <c r="B68" s="1" t="s">
        <v>3228</v>
      </c>
      <c r="C68" s="1" t="s">
        <v>3159</v>
      </c>
      <c r="D68" s="1" t="n">
        <v>165</v>
      </c>
    </row>
    <row r="69" customFormat="false" ht="15" hidden="false" customHeight="true" outlineLevel="0" collapsed="false">
      <c r="A69" s="1" t="n">
        <v>2013</v>
      </c>
      <c r="B69" s="1" t="s">
        <v>3164</v>
      </c>
      <c r="C69" s="1" t="s">
        <v>3229</v>
      </c>
      <c r="D69" s="1" t="n">
        <v>161</v>
      </c>
    </row>
    <row r="70" customFormat="false" ht="15" hidden="false" customHeight="true" outlineLevel="0" collapsed="false">
      <c r="A70" s="1" t="n">
        <v>2014</v>
      </c>
      <c r="B70" s="1" t="s">
        <v>3158</v>
      </c>
      <c r="C70" s="1" t="s">
        <v>3230</v>
      </c>
      <c r="D70" s="1" t="n">
        <v>158</v>
      </c>
    </row>
    <row r="71" customFormat="false" ht="15" hidden="false" customHeight="true" outlineLevel="0" collapsed="false">
      <c r="A71" s="1" t="n">
        <v>2015</v>
      </c>
      <c r="B71" s="1" t="s">
        <v>3215</v>
      </c>
      <c r="C71" s="1" t="s">
        <v>3231</v>
      </c>
      <c r="D71" s="1" t="n">
        <v>175</v>
      </c>
    </row>
    <row r="72" customFormat="false" ht="15" hidden="false" customHeight="true" outlineLevel="0" collapsed="false">
      <c r="A72" s="1" t="n">
        <v>2016</v>
      </c>
      <c r="B72" s="1" t="s">
        <v>3168</v>
      </c>
      <c r="C72" s="1" t="s">
        <v>3230</v>
      </c>
      <c r="D72" s="1" t="n">
        <v>154</v>
      </c>
    </row>
    <row r="73" customFormat="false" ht="15" hidden="false" customHeight="true" outlineLevel="0" collapsed="false">
      <c r="A73" s="1" t="n">
        <v>2017</v>
      </c>
      <c r="B73" s="1" t="s">
        <v>3232</v>
      </c>
      <c r="C73" s="1" t="s">
        <v>3233</v>
      </c>
      <c r="D73" s="1" t="n">
        <v>199</v>
      </c>
    </row>
    <row r="74" customFormat="false" ht="15" hidden="false" customHeight="true" outlineLevel="0" collapsed="false">
      <c r="A74" s="1" t="n">
        <v>2018</v>
      </c>
      <c r="B74" s="1" t="s">
        <v>3226</v>
      </c>
      <c r="C74" s="1" t="s">
        <v>3231</v>
      </c>
      <c r="D74" s="1" t="n">
        <v>178</v>
      </c>
    </row>
    <row r="75" customFormat="false" ht="15" hidden="false" customHeight="true" outlineLevel="0" collapsed="false">
      <c r="A75" s="1" t="n">
        <v>2019</v>
      </c>
      <c r="B75" s="1" t="s">
        <v>3217</v>
      </c>
      <c r="C75" s="1" t="s">
        <v>3155</v>
      </c>
      <c r="D75" s="1" t="n">
        <v>159</v>
      </c>
    </row>
    <row r="76" customFormat="false" ht="15" hidden="false" customHeight="true" outlineLevel="0" collapsed="false">
      <c r="A76" s="1" t="n">
        <v>2020</v>
      </c>
      <c r="B76" s="1" t="s">
        <v>3164</v>
      </c>
      <c r="C76" s="1" t="s">
        <v>3224</v>
      </c>
      <c r="D76" s="1" t="n">
        <v>157</v>
      </c>
    </row>
    <row r="77" customFormat="false" ht="15" hidden="false" customHeight="true" outlineLevel="0" collapsed="false">
      <c r="A77" s="1" t="n">
        <v>2021</v>
      </c>
      <c r="B77" s="1" t="s">
        <v>3226</v>
      </c>
      <c r="C77" s="1" t="s">
        <v>3234</v>
      </c>
      <c r="D77" s="1" t="n">
        <v>194</v>
      </c>
    </row>
    <row r="78" customFormat="false" ht="15" hidden="false" customHeight="true" outlineLevel="0" collapsed="false">
      <c r="A78" s="1" t="n">
        <v>2022</v>
      </c>
      <c r="B78" s="1" t="s">
        <v>3191</v>
      </c>
      <c r="C78" s="1" t="s">
        <v>3175</v>
      </c>
      <c r="D78" s="1" t="n">
        <v>152</v>
      </c>
    </row>
    <row r="79" customFormat="false" ht="15" hidden="false" customHeight="true" outlineLevel="0" collapsed="false">
      <c r="A79" s="1" t="n">
        <v>2023</v>
      </c>
      <c r="B79" s="1" t="s">
        <v>3174</v>
      </c>
      <c r="C79" s="1" t="s">
        <v>3235</v>
      </c>
      <c r="D79" s="1" t="n">
        <v>166</v>
      </c>
    </row>
    <row r="80" customFormat="false" ht="15" hidden="false" customHeight="true" outlineLevel="0" collapsed="false">
      <c r="A80" s="1" t="n">
        <v>2024</v>
      </c>
      <c r="B80" s="1" t="s">
        <v>3236</v>
      </c>
      <c r="C80" s="1" t="s">
        <v>3237</v>
      </c>
      <c r="D80" s="1" t="n">
        <v>172</v>
      </c>
    </row>
    <row r="81" customFormat="false" ht="15" hidden="false" customHeight="true" outlineLevel="0" collapsed="false">
      <c r="A81" s="1" t="n">
        <v>2025</v>
      </c>
      <c r="B81" s="1" t="s">
        <v>3238</v>
      </c>
      <c r="C81" s="1" t="s">
        <v>3209</v>
      </c>
      <c r="D81" s="1" t="n">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3239</v>
      </c>
      <c r="B1" s="6" t="s">
        <v>3240</v>
      </c>
      <c r="C1" s="6" t="s">
        <v>3241</v>
      </c>
      <c r="D1" s="6" t="s">
        <v>3242</v>
      </c>
      <c r="E1" s="6" t="s">
        <v>3243</v>
      </c>
    </row>
    <row r="2" customFormat="false" ht="15" hidden="false" customHeight="true" outlineLevel="0" collapsed="false">
      <c r="A2" s="7" t="s">
        <v>3244</v>
      </c>
      <c r="B2" s="7" t="s">
        <v>3245</v>
      </c>
      <c r="C2" s="7"/>
      <c r="D2" s="7"/>
      <c r="E2" s="7" t="s">
        <v>3246</v>
      </c>
    </row>
    <row r="3" customFormat="false" ht="15" hidden="false" customHeight="true" outlineLevel="0" collapsed="false">
      <c r="A3" s="7" t="s">
        <v>3247</v>
      </c>
      <c r="B3" s="7" t="s">
        <v>3248</v>
      </c>
      <c r="C3" s="7"/>
      <c r="D3" s="7" t="s">
        <v>33</v>
      </c>
      <c r="E3" s="7" t="s">
        <v>3249</v>
      </c>
    </row>
    <row r="4" customFormat="false" ht="15" hidden="false" customHeight="true" outlineLevel="0" collapsed="false">
      <c r="A4" s="7" t="s">
        <v>3250</v>
      </c>
      <c r="B4" s="7" t="s">
        <v>3251</v>
      </c>
      <c r="C4" s="7"/>
      <c r="D4" s="7" t="s">
        <v>25</v>
      </c>
      <c r="E4" s="7" t="s">
        <v>3252</v>
      </c>
    </row>
    <row r="5" customFormat="false" ht="15" hidden="false" customHeight="true" outlineLevel="0" collapsed="false">
      <c r="A5" s="7" t="s">
        <v>3253</v>
      </c>
      <c r="B5" s="7" t="s">
        <v>3254</v>
      </c>
      <c r="C5" s="7"/>
      <c r="D5" s="7"/>
      <c r="E5" s="7" t="s">
        <v>3255</v>
      </c>
    </row>
    <row r="6" customFormat="false" ht="15" hidden="false" customHeight="true" outlineLevel="0" collapsed="false">
      <c r="A6" s="7" t="s">
        <v>3256</v>
      </c>
      <c r="B6" s="7" t="s">
        <v>3257</v>
      </c>
      <c r="C6" s="7"/>
      <c r="D6" s="7"/>
      <c r="E6" s="7" t="s">
        <v>3258</v>
      </c>
    </row>
    <row r="7" customFormat="false" ht="15" hidden="false" customHeight="true" outlineLevel="0" collapsed="false">
      <c r="A7" s="7" t="s">
        <v>3259</v>
      </c>
      <c r="B7" s="7" t="s">
        <v>3260</v>
      </c>
      <c r="C7" s="7"/>
      <c r="D7" s="7"/>
      <c r="E7" s="7" t="s">
        <v>3261</v>
      </c>
    </row>
    <row r="8" customFormat="false" ht="15" hidden="false" customHeight="true" outlineLevel="0" collapsed="false">
      <c r="A8" s="7" t="s">
        <v>3262</v>
      </c>
      <c r="B8" s="7" t="s">
        <v>3263</v>
      </c>
      <c r="C8" s="7" t="s">
        <v>3264</v>
      </c>
      <c r="D8" s="7"/>
      <c r="E8" s="7" t="s">
        <v>3265</v>
      </c>
    </row>
    <row r="9" customFormat="false" ht="15" hidden="false" customHeight="true" outlineLevel="0" collapsed="false">
      <c r="A9" s="7" t="s">
        <v>3266</v>
      </c>
      <c r="B9" s="7" t="s">
        <v>3267</v>
      </c>
      <c r="C9" s="7"/>
      <c r="D9" s="7"/>
      <c r="E9" s="7" t="s">
        <v>3268</v>
      </c>
    </row>
    <row r="10" customFormat="false" ht="15" hidden="false" customHeight="true" outlineLevel="0" collapsed="false">
      <c r="A10" s="7" t="s">
        <v>3269</v>
      </c>
      <c r="B10" s="7" t="s">
        <v>3270</v>
      </c>
      <c r="C10" s="7"/>
      <c r="D10" s="7" t="s">
        <v>27</v>
      </c>
      <c r="E10" s="7" t="s">
        <v>3271</v>
      </c>
    </row>
    <row r="11" customFormat="false" ht="15" hidden="false" customHeight="true" outlineLevel="0" collapsed="false">
      <c r="A11" s="7" t="s">
        <v>3272</v>
      </c>
      <c r="B11" s="7" t="s">
        <v>3270</v>
      </c>
      <c r="C11" s="7"/>
      <c r="D11" s="7" t="s">
        <v>27</v>
      </c>
      <c r="E11" s="7" t="s">
        <v>3273</v>
      </c>
    </row>
    <row r="12" customFormat="false" ht="15" hidden="false" customHeight="true" outlineLevel="0" collapsed="false">
      <c r="A12" s="7" t="s">
        <v>3274</v>
      </c>
      <c r="B12" s="7" t="s">
        <v>3275</v>
      </c>
      <c r="C12" s="7"/>
      <c r="D12" s="7"/>
      <c r="E12" s="7" t="s">
        <v>3276</v>
      </c>
    </row>
    <row r="13" customFormat="false" ht="15" hidden="false" customHeight="true" outlineLevel="0" collapsed="false">
      <c r="A13" s="7" t="s">
        <v>3277</v>
      </c>
      <c r="B13" s="7" t="s">
        <v>3278</v>
      </c>
      <c r="C13" s="7"/>
      <c r="D13" s="7"/>
      <c r="E13" s="7" t="s">
        <v>3279</v>
      </c>
    </row>
    <row r="14" customFormat="false" ht="15" hidden="false" customHeight="true" outlineLevel="0" collapsed="false">
      <c r="A14" s="7" t="s">
        <v>3280</v>
      </c>
      <c r="B14" s="7" t="s">
        <v>3245</v>
      </c>
      <c r="C14" s="7"/>
      <c r="D14" s="7"/>
      <c r="E14" s="7" t="s">
        <v>3281</v>
      </c>
    </row>
    <row r="15" customFormat="false" ht="15" hidden="false" customHeight="true" outlineLevel="0" collapsed="false">
      <c r="A15" s="7" t="s">
        <v>3282</v>
      </c>
      <c r="B15" s="7" t="s">
        <v>3283</v>
      </c>
      <c r="C15" s="7"/>
      <c r="D15" s="7"/>
      <c r="E15" s="7" t="s">
        <v>3284</v>
      </c>
    </row>
    <row r="16" customFormat="false" ht="15" hidden="false" customHeight="true" outlineLevel="0" collapsed="false">
      <c r="A16" s="7" t="s">
        <v>3285</v>
      </c>
      <c r="B16" s="7" t="s">
        <v>3260</v>
      </c>
      <c r="C16" s="7"/>
      <c r="D16" s="7" t="s">
        <v>3286</v>
      </c>
      <c r="E16" s="7" t="s">
        <v>3287</v>
      </c>
    </row>
    <row r="17" customFormat="false" ht="23.25" hidden="false" customHeight="true" outlineLevel="0" collapsed="false">
      <c r="A17" s="7" t="s">
        <v>3288</v>
      </c>
      <c r="B17" s="7" t="s">
        <v>3289</v>
      </c>
      <c r="C17" s="7"/>
      <c r="D17" s="7" t="s">
        <v>27</v>
      </c>
      <c r="E17" s="7" t="s">
        <v>3290</v>
      </c>
    </row>
    <row r="18" customFormat="false" ht="15" hidden="false" customHeight="true" outlineLevel="0" collapsed="false">
      <c r="A18" s="7" t="s">
        <v>3291</v>
      </c>
      <c r="B18" s="7" t="s">
        <v>3292</v>
      </c>
      <c r="C18" s="7" t="s">
        <v>3293</v>
      </c>
      <c r="D18" s="7"/>
      <c r="E18" s="7" t="s">
        <v>3294</v>
      </c>
    </row>
    <row r="19" customFormat="false" ht="15" hidden="false" customHeight="true" outlineLevel="0" collapsed="false">
      <c r="A19" s="7" t="s">
        <v>3295</v>
      </c>
      <c r="B19" s="7" t="s">
        <v>3296</v>
      </c>
      <c r="C19" s="7"/>
      <c r="D19" s="7" t="s">
        <v>31</v>
      </c>
      <c r="E19" s="7" t="s">
        <v>3297</v>
      </c>
    </row>
    <row r="20" customFormat="false" ht="15" hidden="false" customHeight="true" outlineLevel="0" collapsed="false">
      <c r="A20" s="7" t="s">
        <v>3298</v>
      </c>
      <c r="B20" s="7" t="s">
        <v>3299</v>
      </c>
      <c r="C20" s="7"/>
      <c r="D20" s="7"/>
      <c r="E20" s="7" t="s">
        <v>3300</v>
      </c>
    </row>
    <row r="21" customFormat="false" ht="15" hidden="false" customHeight="true" outlineLevel="0" collapsed="false">
      <c r="A21" s="7" t="s">
        <v>3301</v>
      </c>
      <c r="B21" s="7" t="s">
        <v>3251</v>
      </c>
      <c r="C21" s="7"/>
      <c r="D21" s="7" t="s">
        <v>35</v>
      </c>
      <c r="E21" s="7" t="s">
        <v>3302</v>
      </c>
    </row>
    <row r="22" customFormat="false" ht="15" hidden="false" customHeight="true" outlineLevel="0" collapsed="false">
      <c r="A22" s="7" t="s">
        <v>3303</v>
      </c>
      <c r="B22" s="7" t="s">
        <v>3304</v>
      </c>
      <c r="C22" s="7"/>
      <c r="D22" s="7" t="s">
        <v>25</v>
      </c>
      <c r="E22" s="7" t="s">
        <v>3305</v>
      </c>
    </row>
    <row r="23" customFormat="false" ht="15" hidden="false" customHeight="true" outlineLevel="0" collapsed="false">
      <c r="A23" s="7" t="s">
        <v>3306</v>
      </c>
      <c r="B23" s="7" t="s">
        <v>3307</v>
      </c>
      <c r="C23" s="7"/>
      <c r="D23" s="7"/>
      <c r="E23" s="7" t="s">
        <v>3308</v>
      </c>
    </row>
    <row r="24" customFormat="false" ht="15" hidden="false" customHeight="true" outlineLevel="0" collapsed="false">
      <c r="A24" s="7" t="s">
        <v>3309</v>
      </c>
      <c r="B24" s="7" t="s">
        <v>3310</v>
      </c>
      <c r="C24" s="7"/>
      <c r="D24" s="7" t="s">
        <v>27</v>
      </c>
      <c r="E24" s="7" t="s">
        <v>3297</v>
      </c>
    </row>
    <row r="25" customFormat="false" ht="15" hidden="false" customHeight="true" outlineLevel="0" collapsed="false">
      <c r="A25" s="7" t="s">
        <v>3311</v>
      </c>
      <c r="B25" s="7" t="s">
        <v>3263</v>
      </c>
      <c r="C25" s="7"/>
      <c r="D25" s="7" t="s">
        <v>31</v>
      </c>
      <c r="E25" s="7" t="s">
        <v>3297</v>
      </c>
    </row>
    <row r="26" customFormat="false" ht="15" hidden="false" customHeight="true" outlineLevel="0" collapsed="false">
      <c r="A26" s="7" t="s">
        <v>3312</v>
      </c>
      <c r="B26" s="7" t="s">
        <v>3313</v>
      </c>
      <c r="C26" s="7"/>
      <c r="D26" s="7" t="s">
        <v>3314</v>
      </c>
      <c r="E26" s="7" t="s">
        <v>3297</v>
      </c>
    </row>
    <row r="27" customFormat="false" ht="15" hidden="false" customHeight="true" outlineLevel="0" collapsed="false">
      <c r="A27" s="7" t="s">
        <v>3315</v>
      </c>
      <c r="B27" s="7" t="s">
        <v>3316</v>
      </c>
      <c r="C27" s="7"/>
      <c r="D27" s="7" t="s">
        <v>25</v>
      </c>
      <c r="E27" s="7" t="s">
        <v>3317</v>
      </c>
    </row>
    <row r="28" customFormat="false" ht="15" hidden="false" customHeight="true" outlineLevel="0" collapsed="false">
      <c r="A28" s="7" t="s">
        <v>3318</v>
      </c>
      <c r="B28" s="7" t="s">
        <v>3319</v>
      </c>
      <c r="C28" s="7"/>
      <c r="D28" s="7"/>
      <c r="E28" s="7" t="s">
        <v>3320</v>
      </c>
    </row>
    <row r="29" customFormat="false" ht="15" hidden="false" customHeight="true" outlineLevel="0" collapsed="false">
      <c r="A29" s="7" t="s">
        <v>3321</v>
      </c>
      <c r="B29" s="7" t="s">
        <v>3283</v>
      </c>
      <c r="C29" s="7"/>
      <c r="D29" s="7" t="s">
        <v>3322</v>
      </c>
      <c r="E29" s="7" t="s">
        <v>3323</v>
      </c>
    </row>
    <row r="30" customFormat="false" ht="23.25" hidden="false" customHeight="true" outlineLevel="0" collapsed="false">
      <c r="A30" s="7" t="s">
        <v>3324</v>
      </c>
      <c r="B30" s="7" t="s">
        <v>3325</v>
      </c>
      <c r="C30" s="7"/>
      <c r="D30" s="7" t="s">
        <v>3326</v>
      </c>
      <c r="E30" s="7" t="s">
        <v>3327</v>
      </c>
    </row>
    <row r="31" customFormat="false" ht="15" hidden="false" customHeight="true" outlineLevel="0" collapsed="false">
      <c r="A31" s="7" t="s">
        <v>3328</v>
      </c>
      <c r="B31" s="7" t="s">
        <v>3307</v>
      </c>
      <c r="C31" s="7"/>
      <c r="D31" s="7"/>
      <c r="E31" s="7" t="s">
        <v>3329</v>
      </c>
    </row>
    <row r="32" customFormat="false" ht="15" hidden="false" customHeight="true" outlineLevel="0" collapsed="false">
      <c r="A32" s="7" t="s">
        <v>3330</v>
      </c>
      <c r="B32" s="7" t="s">
        <v>3289</v>
      </c>
      <c r="C32" s="7"/>
      <c r="D32" s="7" t="s">
        <v>29</v>
      </c>
      <c r="E32" s="7" t="s">
        <v>3331</v>
      </c>
    </row>
    <row r="33" customFormat="false" ht="23.25" hidden="false" customHeight="true" outlineLevel="0" collapsed="false">
      <c r="A33" s="7" t="s">
        <v>3332</v>
      </c>
      <c r="B33" s="7" t="s">
        <v>3333</v>
      </c>
      <c r="C33" s="7"/>
      <c r="D33" s="7" t="s">
        <v>3334</v>
      </c>
      <c r="E33" s="7" t="s">
        <v>3335</v>
      </c>
    </row>
    <row r="34" customFormat="false" ht="15" hidden="false" customHeight="true" outlineLevel="0" collapsed="false">
      <c r="A34" s="7" t="s">
        <v>3336</v>
      </c>
      <c r="B34" s="7" t="s">
        <v>3289</v>
      </c>
      <c r="C34" s="7"/>
      <c r="D34" s="7" t="s">
        <v>3337</v>
      </c>
      <c r="E34" s="7" t="s">
        <v>3338</v>
      </c>
    </row>
    <row r="35" customFormat="false" ht="15" hidden="false" customHeight="true" outlineLevel="0" collapsed="false">
      <c r="A35" s="7" t="s">
        <v>3339</v>
      </c>
      <c r="B35" s="7" t="s">
        <v>3340</v>
      </c>
      <c r="C35" s="7"/>
      <c r="D35" s="7" t="s">
        <v>29</v>
      </c>
      <c r="E35" s="7" t="s">
        <v>3341</v>
      </c>
    </row>
    <row r="36" customFormat="false" ht="15" hidden="false" customHeight="true" outlineLevel="0" collapsed="false">
      <c r="A36" s="7" t="s">
        <v>3342</v>
      </c>
      <c r="B36" s="7" t="s">
        <v>3283</v>
      </c>
      <c r="C36" s="7" t="s">
        <v>3343</v>
      </c>
      <c r="D36" s="7"/>
      <c r="E36" s="7" t="s">
        <v>3344</v>
      </c>
    </row>
    <row r="37" customFormat="false" ht="15" hidden="false" customHeight="true" outlineLevel="0" collapsed="false">
      <c r="A37" s="7" t="s">
        <v>3345</v>
      </c>
      <c r="B37" s="7" t="s">
        <v>3278</v>
      </c>
      <c r="C37" s="7"/>
      <c r="D37" s="7"/>
      <c r="E37" s="7" t="s">
        <v>3258</v>
      </c>
    </row>
    <row r="38" customFormat="false" ht="15" hidden="false" customHeight="true" outlineLevel="0" collapsed="false">
      <c r="A38" s="7" t="s">
        <v>3346</v>
      </c>
      <c r="B38" s="7" t="s">
        <v>3289</v>
      </c>
      <c r="C38" s="7"/>
      <c r="D38" s="7"/>
      <c r="E38" s="7" t="s">
        <v>3347</v>
      </c>
    </row>
    <row r="39" customFormat="false" ht="15" hidden="false" customHeight="true" outlineLevel="0" collapsed="false">
      <c r="A39" s="7" t="s">
        <v>3348</v>
      </c>
      <c r="B39" s="7" t="s">
        <v>3340</v>
      </c>
      <c r="C39" s="7"/>
      <c r="D39" s="7" t="s">
        <v>29</v>
      </c>
      <c r="E39" s="7" t="s">
        <v>3297</v>
      </c>
    </row>
    <row r="40" customFormat="false" ht="23.25" hidden="false" customHeight="true" outlineLevel="0" collapsed="false">
      <c r="A40" s="7" t="s">
        <v>3349</v>
      </c>
      <c r="B40" s="7" t="s">
        <v>3350</v>
      </c>
      <c r="C40" s="7"/>
      <c r="D40" s="7"/>
      <c r="E40" s="7" t="s">
        <v>3351</v>
      </c>
    </row>
    <row r="41" customFormat="false" ht="15" hidden="false" customHeight="true" outlineLevel="0" collapsed="false">
      <c r="A41" s="7" t="s">
        <v>3352</v>
      </c>
      <c r="B41" s="7" t="s">
        <v>3353</v>
      </c>
      <c r="C41" s="7" t="s">
        <v>3354</v>
      </c>
      <c r="D41" s="7" t="s">
        <v>3322</v>
      </c>
      <c r="E41" s="7" t="s">
        <v>3355</v>
      </c>
    </row>
    <row r="42" customFormat="false" ht="15" hidden="false" customHeight="true" outlineLevel="0" collapsed="false">
      <c r="A42" s="7" t="s">
        <v>3356</v>
      </c>
      <c r="B42" s="7" t="s">
        <v>3357</v>
      </c>
      <c r="C42" s="7"/>
      <c r="D42" s="7" t="s">
        <v>29</v>
      </c>
      <c r="E42" s="7" t="s">
        <v>3358</v>
      </c>
    </row>
    <row r="43" customFormat="false" ht="23.25" hidden="false" customHeight="true" outlineLevel="0" collapsed="false">
      <c r="A43" s="7" t="s">
        <v>3359</v>
      </c>
      <c r="B43" s="7" t="s">
        <v>3360</v>
      </c>
      <c r="C43" s="7"/>
      <c r="D43" s="7" t="s">
        <v>33</v>
      </c>
      <c r="E43" s="7" t="s">
        <v>3361</v>
      </c>
    </row>
    <row r="44" customFormat="false" ht="15" hidden="false" customHeight="true" outlineLevel="0" collapsed="false">
      <c r="A44" s="7" t="s">
        <v>3362</v>
      </c>
      <c r="B44" s="7" t="s">
        <v>3363</v>
      </c>
      <c r="C44" s="7"/>
      <c r="D44" s="7" t="s">
        <v>3364</v>
      </c>
      <c r="E44" s="7" t="s">
        <v>3365</v>
      </c>
    </row>
    <row r="46" customFormat="false" ht="15" hidden="false" customHeight="true" outlineLevel="0" collapsed="false">
      <c r="A46" s="8" t="s">
        <v>3366</v>
      </c>
    </row>
    <row r="47" customFormat="false" ht="15" hidden="false" customHeight="true" outlineLevel="0" collapsed="false">
      <c r="A47" s="8" t="s">
        <v>3367</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3368</v>
      </c>
      <c r="B1" s="6" t="s">
        <v>3369</v>
      </c>
      <c r="C1" s="6" t="s">
        <v>3370</v>
      </c>
      <c r="D1" s="6" t="s">
        <v>2813</v>
      </c>
      <c r="E1" s="6" t="s">
        <v>3371</v>
      </c>
      <c r="F1" s="6" t="s">
        <v>3372</v>
      </c>
    </row>
    <row r="2" customFormat="false" ht="34.5" hidden="false" customHeight="true" outlineLevel="0" collapsed="false">
      <c r="A2" s="7" t="s">
        <v>3373</v>
      </c>
      <c r="B2" s="7" t="s">
        <v>3374</v>
      </c>
      <c r="C2" s="7" t="s">
        <v>3375</v>
      </c>
      <c r="D2" s="7" t="s">
        <v>3376</v>
      </c>
      <c r="E2" s="7" t="n">
        <v>74.4</v>
      </c>
      <c r="F2" s="7" t="s">
        <v>3377</v>
      </c>
    </row>
    <row r="3" customFormat="false" ht="23.25" hidden="false" customHeight="true" outlineLevel="0" collapsed="false">
      <c r="A3" s="7" t="s">
        <v>3378</v>
      </c>
      <c r="B3" s="7" t="s">
        <v>689</v>
      </c>
      <c r="C3" s="7" t="s">
        <v>3379</v>
      </c>
      <c r="D3" s="7" t="s">
        <v>3376</v>
      </c>
      <c r="E3" s="7" t="n">
        <v>24.3</v>
      </c>
      <c r="F3" s="7" t="s">
        <v>3380</v>
      </c>
    </row>
    <row r="4" customFormat="false" ht="15" hidden="false" customHeight="true" outlineLevel="0" collapsed="false">
      <c r="A4" s="7" t="s">
        <v>3381</v>
      </c>
      <c r="B4" s="7" t="s">
        <v>3382</v>
      </c>
      <c r="C4" s="7" t="s">
        <v>3383</v>
      </c>
      <c r="D4" s="7" t="s">
        <v>3384</v>
      </c>
      <c r="E4" s="7" t="n">
        <v>68.1</v>
      </c>
      <c r="F4" s="7" t="s">
        <v>3385</v>
      </c>
    </row>
    <row r="5" customFormat="false" ht="370.5" hidden="false" customHeight="true" outlineLevel="0" collapsed="false">
      <c r="A5" s="7" t="s">
        <v>3386</v>
      </c>
      <c r="B5" s="7" t="s">
        <v>3387</v>
      </c>
      <c r="C5" s="7" t="s">
        <v>3375</v>
      </c>
      <c r="D5" s="7" t="s">
        <v>3388</v>
      </c>
      <c r="E5" s="7" t="n">
        <v>67.5</v>
      </c>
      <c r="F5" s="7" t="s">
        <v>3389</v>
      </c>
    </row>
    <row r="6" customFormat="false" ht="605.25" hidden="false" customHeight="true" outlineLevel="0" collapsed="false">
      <c r="A6" s="7" t="s">
        <v>3390</v>
      </c>
      <c r="B6" s="7" t="s">
        <v>3391</v>
      </c>
      <c r="C6" s="7" t="s">
        <v>3392</v>
      </c>
      <c r="D6" s="7" t="s">
        <v>3376</v>
      </c>
      <c r="E6" s="7" t="n">
        <v>54.2</v>
      </c>
      <c r="F6" s="7" t="s">
        <v>3393</v>
      </c>
    </row>
    <row r="7" customFormat="false" ht="34.5" hidden="false" customHeight="true" outlineLevel="0" collapsed="false">
      <c r="A7" s="7" t="s">
        <v>3394</v>
      </c>
      <c r="B7" s="7" t="s">
        <v>689</v>
      </c>
      <c r="C7" s="7" t="s">
        <v>3379</v>
      </c>
      <c r="D7" s="7" t="s">
        <v>3384</v>
      </c>
      <c r="E7" s="7" t="n">
        <v>21.5</v>
      </c>
      <c r="F7" s="7" t="s">
        <v>3395</v>
      </c>
    </row>
    <row r="8" customFormat="false" ht="15" hidden="false" customHeight="true" outlineLevel="0" collapsed="false">
      <c r="A8" s="7" t="s">
        <v>3396</v>
      </c>
      <c r="B8" s="7" t="s">
        <v>3397</v>
      </c>
      <c r="C8" s="7" t="s">
        <v>3398</v>
      </c>
      <c r="D8" s="7" t="s">
        <v>3376</v>
      </c>
      <c r="E8" s="7" t="n">
        <v>35.5</v>
      </c>
      <c r="F8" s="7"/>
    </row>
    <row r="9" customFormat="false" ht="15" hidden="false" customHeight="true" outlineLevel="0" collapsed="false">
      <c r="A9" s="7" t="s">
        <v>3399</v>
      </c>
      <c r="B9" s="7" t="s">
        <v>3400</v>
      </c>
      <c r="C9" s="7" t="s">
        <v>3379</v>
      </c>
      <c r="D9" s="7" t="s">
        <v>3376</v>
      </c>
      <c r="E9" s="7" t="n">
        <v>23</v>
      </c>
      <c r="F9" s="7"/>
    </row>
    <row r="10" customFormat="false" ht="15" hidden="false" customHeight="true" outlineLevel="0" collapsed="false">
      <c r="A10" s="7" t="s">
        <v>3401</v>
      </c>
      <c r="B10" s="7" t="s">
        <v>324</v>
      </c>
      <c r="C10" s="7" t="s">
        <v>3375</v>
      </c>
      <c r="D10" s="7" t="s">
        <v>3376</v>
      </c>
      <c r="E10" s="7" t="n">
        <v>18.1</v>
      </c>
      <c r="F10" s="7"/>
    </row>
    <row r="11" customFormat="false" ht="23.25" hidden="false" customHeight="true" outlineLevel="0" collapsed="false">
      <c r="A11" s="7" t="s">
        <v>3402</v>
      </c>
      <c r="B11" s="7" t="s">
        <v>3403</v>
      </c>
      <c r="C11" s="7" t="s">
        <v>3404</v>
      </c>
      <c r="D11" s="7" t="s">
        <v>3376</v>
      </c>
      <c r="E11" s="7" t="n">
        <v>45.2</v>
      </c>
      <c r="F11" s="7"/>
    </row>
    <row r="12" customFormat="false" ht="15" hidden="false" customHeight="true" outlineLevel="0" collapsed="false">
      <c r="A12" s="7" t="s">
        <v>3402</v>
      </c>
      <c r="B12" s="7" t="s">
        <v>689</v>
      </c>
      <c r="C12" s="7" t="s">
        <v>3379</v>
      </c>
      <c r="D12" s="7" t="s">
        <v>3376</v>
      </c>
      <c r="E12" s="7" t="n">
        <v>22.4</v>
      </c>
      <c r="F12" s="7"/>
    </row>
    <row r="13" customFormat="false" ht="15" hidden="false" customHeight="true" outlineLevel="0" collapsed="false">
      <c r="A13" s="7" t="s">
        <v>3402</v>
      </c>
      <c r="B13" s="7" t="s">
        <v>3405</v>
      </c>
      <c r="C13" s="7" t="s">
        <v>3406</v>
      </c>
      <c r="D13" s="7" t="s">
        <v>3376</v>
      </c>
      <c r="E13" s="7" t="n">
        <v>44.7</v>
      </c>
      <c r="F13" s="7"/>
    </row>
    <row r="14" customFormat="false" ht="15" hidden="false" customHeight="true" outlineLevel="0" collapsed="false">
      <c r="A14" s="7" t="s">
        <v>3407</v>
      </c>
      <c r="B14" s="7" t="s">
        <v>3408</v>
      </c>
      <c r="C14" s="7" t="s">
        <v>3409</v>
      </c>
      <c r="D14" s="7" t="s">
        <v>3376</v>
      </c>
      <c r="E14" s="7" t="n">
        <v>34.9</v>
      </c>
      <c r="F14" s="7"/>
    </row>
    <row r="15" customFormat="false" ht="15" hidden="false" customHeight="true" outlineLevel="0" collapsed="false">
      <c r="A15" s="7" t="s">
        <v>3410</v>
      </c>
      <c r="B15" s="7" t="s">
        <v>3411</v>
      </c>
      <c r="C15" s="7" t="s">
        <v>3412</v>
      </c>
      <c r="D15" s="7" t="s">
        <v>3376</v>
      </c>
      <c r="E15" s="7" t="n">
        <v>71.5</v>
      </c>
      <c r="F15" s="7"/>
    </row>
    <row r="16" customFormat="false" ht="15" hidden="false" customHeight="true" outlineLevel="0" collapsed="false">
      <c r="A16" s="7" t="s">
        <v>3410</v>
      </c>
      <c r="B16" s="7" t="s">
        <v>689</v>
      </c>
      <c r="C16" s="7" t="s">
        <v>3379</v>
      </c>
      <c r="D16" s="7" t="s">
        <v>3376</v>
      </c>
      <c r="E16" s="7" t="n">
        <v>24.4</v>
      </c>
      <c r="F16" s="7"/>
    </row>
    <row r="17" customFormat="false" ht="15" hidden="false" customHeight="true" outlineLevel="0" collapsed="false">
      <c r="A17" s="7" t="s">
        <v>3410</v>
      </c>
      <c r="B17" s="7" t="s">
        <v>3387</v>
      </c>
      <c r="C17" s="7" t="s">
        <v>3375</v>
      </c>
      <c r="D17" s="7" t="s">
        <v>3376</v>
      </c>
      <c r="E17" s="7" t="n">
        <v>66.4</v>
      </c>
      <c r="F17" s="7"/>
    </row>
    <row r="18" customFormat="false" ht="15" hidden="false" customHeight="true" outlineLevel="0" collapsed="false">
      <c r="A18" s="7" t="s">
        <v>3410</v>
      </c>
      <c r="B18" s="7" t="s">
        <v>3413</v>
      </c>
      <c r="C18" s="7" t="s">
        <v>3406</v>
      </c>
      <c r="D18" s="7" t="s">
        <v>3376</v>
      </c>
      <c r="E18" s="7" t="n">
        <v>43.5</v>
      </c>
      <c r="F18" s="7"/>
    </row>
    <row r="19" customFormat="false" ht="15" hidden="false" customHeight="true" outlineLevel="0" collapsed="false">
      <c r="A19" s="7" t="s">
        <v>1649</v>
      </c>
      <c r="B19" s="7" t="s">
        <v>3414</v>
      </c>
      <c r="C19" s="7" t="s">
        <v>3415</v>
      </c>
      <c r="D19" s="7" t="s">
        <v>3376</v>
      </c>
      <c r="E19" s="7" t="n">
        <v>61.4</v>
      </c>
      <c r="F19" s="7"/>
    </row>
    <row r="20" customFormat="false" ht="15" hidden="false" customHeight="true" outlineLevel="0" collapsed="false">
      <c r="A20" s="7" t="s">
        <v>1649</v>
      </c>
      <c r="B20" s="7" t="s">
        <v>3416</v>
      </c>
      <c r="C20" s="7" t="s">
        <v>3417</v>
      </c>
      <c r="D20" s="7" t="s">
        <v>3376</v>
      </c>
      <c r="E20" s="7" t="n">
        <v>52.1</v>
      </c>
      <c r="F20" s="7"/>
    </row>
    <row r="21" customFormat="false" ht="15" hidden="false" customHeight="true" outlineLevel="0" collapsed="false">
      <c r="A21" s="7" t="s">
        <v>1649</v>
      </c>
      <c r="B21" s="7" t="s">
        <v>3418</v>
      </c>
      <c r="C21" s="7" t="s">
        <v>3419</v>
      </c>
      <c r="D21" s="7" t="s">
        <v>3376</v>
      </c>
      <c r="E21" s="7" t="n">
        <v>74.9</v>
      </c>
      <c r="F21" s="7"/>
    </row>
    <row r="22" customFormat="false" ht="23.25" hidden="false" customHeight="true" outlineLevel="0" collapsed="false">
      <c r="A22" s="7" t="s">
        <v>1649</v>
      </c>
      <c r="B22" s="7" t="s">
        <v>3420</v>
      </c>
      <c r="C22" s="7" t="s">
        <v>3421</v>
      </c>
      <c r="D22" s="7" t="s">
        <v>3376</v>
      </c>
      <c r="E22" s="7" t="n">
        <v>66.4</v>
      </c>
      <c r="F22" s="7"/>
    </row>
    <row r="23" customFormat="false" ht="15" hidden="false" customHeight="true" outlineLevel="0" collapsed="false">
      <c r="A23" s="7" t="s">
        <v>3422</v>
      </c>
      <c r="B23" s="7" t="s">
        <v>689</v>
      </c>
      <c r="C23" s="7" t="s">
        <v>3379</v>
      </c>
      <c r="D23" s="7" t="s">
        <v>3376</v>
      </c>
      <c r="E23" s="7" t="n">
        <v>21.7</v>
      </c>
      <c r="F23" s="7"/>
    </row>
    <row r="24" customFormat="false" ht="102" hidden="false" customHeight="true" outlineLevel="0" collapsed="false">
      <c r="A24" s="7" t="s">
        <v>3423</v>
      </c>
      <c r="B24" s="7" t="s">
        <v>3405</v>
      </c>
      <c r="C24" s="7" t="s">
        <v>3406</v>
      </c>
      <c r="D24" s="7" t="s">
        <v>3384</v>
      </c>
      <c r="E24" s="7" t="n">
        <v>44.7</v>
      </c>
      <c r="F24" s="7" t="s">
        <v>3424</v>
      </c>
    </row>
    <row r="25" customFormat="false" ht="102" hidden="false" customHeight="true" outlineLevel="0" collapsed="false">
      <c r="A25" s="7" t="s">
        <v>3425</v>
      </c>
      <c r="B25" s="7" t="s">
        <v>3426</v>
      </c>
      <c r="C25" s="7" t="s">
        <v>3427</v>
      </c>
      <c r="D25" s="7" t="s">
        <v>3376</v>
      </c>
      <c r="E25" s="7" t="n">
        <v>50.5</v>
      </c>
      <c r="F25" s="7" t="s">
        <v>3428</v>
      </c>
    </row>
    <row r="26" customFormat="false" ht="168.75" hidden="false" customHeight="true" outlineLevel="0" collapsed="false">
      <c r="A26" s="7" t="s">
        <v>3429</v>
      </c>
      <c r="B26" s="7" t="s">
        <v>3430</v>
      </c>
      <c r="C26" s="7" t="s">
        <v>3431</v>
      </c>
      <c r="D26" s="7" t="s">
        <v>3376</v>
      </c>
      <c r="E26" s="7" t="n">
        <v>73.2</v>
      </c>
      <c r="F26" s="7" t="s">
        <v>3432</v>
      </c>
    </row>
    <row r="27" customFormat="false" ht="672.75" hidden="false" customHeight="true" outlineLevel="0" collapsed="false">
      <c r="A27" s="7" t="s">
        <v>3433</v>
      </c>
      <c r="B27" s="7" t="s">
        <v>3434</v>
      </c>
      <c r="C27" s="7" t="s">
        <v>3435</v>
      </c>
      <c r="D27" s="7" t="s">
        <v>3376</v>
      </c>
      <c r="E27" s="7" t="n">
        <v>59.8</v>
      </c>
      <c r="F27" s="7" t="s">
        <v>3436</v>
      </c>
    </row>
    <row r="28" customFormat="false" ht="57" hidden="false" customHeight="true" outlineLevel="0" collapsed="false">
      <c r="A28" s="7" t="s">
        <v>3437</v>
      </c>
      <c r="B28" s="7" t="s">
        <v>3397</v>
      </c>
      <c r="C28" s="7" t="s">
        <v>3398</v>
      </c>
      <c r="D28" s="7" t="s">
        <v>3376</v>
      </c>
      <c r="E28" s="7" t="n">
        <v>35.6</v>
      </c>
      <c r="F28" s="7" t="s">
        <v>3438</v>
      </c>
    </row>
    <row r="29" customFormat="false" ht="157.5" hidden="false" customHeight="true" outlineLevel="0" collapsed="false">
      <c r="A29" s="7" t="s">
        <v>3439</v>
      </c>
      <c r="B29" s="7" t="s">
        <v>3440</v>
      </c>
      <c r="C29" s="7" t="s">
        <v>3441</v>
      </c>
      <c r="D29" s="7" t="s">
        <v>3376</v>
      </c>
      <c r="E29" s="7" t="n">
        <v>72.5</v>
      </c>
      <c r="F29" s="7" t="s">
        <v>3442</v>
      </c>
    </row>
    <row r="30" customFormat="false" ht="102" hidden="false" customHeight="true" outlineLevel="0" collapsed="false">
      <c r="A30" s="7" t="s">
        <v>3443</v>
      </c>
      <c r="B30" s="7" t="s">
        <v>3405</v>
      </c>
      <c r="C30" s="7" t="s">
        <v>3406</v>
      </c>
      <c r="D30" s="7" t="s">
        <v>3376</v>
      </c>
      <c r="E30" s="7" t="n">
        <v>44.7</v>
      </c>
      <c r="F30" s="7" t="s">
        <v>3444</v>
      </c>
    </row>
    <row r="31" customFormat="false" ht="57" hidden="false" customHeight="true" outlineLevel="0" collapsed="false">
      <c r="A31" s="7" t="s">
        <v>3445</v>
      </c>
      <c r="B31" s="7" t="s">
        <v>3446</v>
      </c>
      <c r="C31" s="7" t="s">
        <v>3447</v>
      </c>
      <c r="D31" s="7" t="s">
        <v>3376</v>
      </c>
      <c r="E31" s="7" t="n">
        <v>46.3</v>
      </c>
      <c r="F31" s="7" t="s">
        <v>3448</v>
      </c>
    </row>
    <row r="32" customFormat="false" ht="706.5" hidden="false" customHeight="true" outlineLevel="0" collapsed="false">
      <c r="A32" s="7" t="s">
        <v>3449</v>
      </c>
      <c r="B32" s="7" t="s">
        <v>3450</v>
      </c>
      <c r="C32" s="7" t="s">
        <v>3451</v>
      </c>
      <c r="D32" s="7" t="s">
        <v>3376</v>
      </c>
      <c r="E32" s="7" t="n">
        <v>60.6</v>
      </c>
      <c r="F32" s="7" t="s">
        <v>3452</v>
      </c>
    </row>
    <row r="33" customFormat="false" ht="157.5" hidden="false" customHeight="true" outlineLevel="0" collapsed="false">
      <c r="A33" s="7" t="s">
        <v>3453</v>
      </c>
      <c r="B33" s="7" t="s">
        <v>3413</v>
      </c>
      <c r="C33" s="7" t="s">
        <v>3454</v>
      </c>
      <c r="D33" s="7" t="s">
        <v>3376</v>
      </c>
      <c r="E33" s="7" t="n">
        <v>41.8</v>
      </c>
      <c r="F33" s="7" t="s">
        <v>3455</v>
      </c>
    </row>
    <row r="34" customFormat="false" ht="102" hidden="false" customHeight="true" outlineLevel="0" collapsed="false">
      <c r="A34" s="7" t="s">
        <v>3456</v>
      </c>
      <c r="B34" s="7" t="s">
        <v>3440</v>
      </c>
      <c r="C34" s="7" t="s">
        <v>3375</v>
      </c>
      <c r="D34" s="7" t="s">
        <v>3376</v>
      </c>
      <c r="E34" s="7" t="n">
        <v>68.1</v>
      </c>
      <c r="F34" s="7" t="s">
        <v>3457</v>
      </c>
    </row>
    <row r="35" customFormat="false" ht="102" hidden="false" customHeight="true" outlineLevel="0" collapsed="false">
      <c r="A35" s="7" t="s">
        <v>3458</v>
      </c>
      <c r="B35" s="7" t="s">
        <v>3391</v>
      </c>
      <c r="C35" s="7" t="s">
        <v>3392</v>
      </c>
      <c r="D35" s="7" t="s">
        <v>3376</v>
      </c>
      <c r="E35" s="7" t="n">
        <v>54.6</v>
      </c>
      <c r="F35" s="7" t="s">
        <v>3459</v>
      </c>
    </row>
    <row r="36" customFormat="false" ht="57" hidden="false" customHeight="true" outlineLevel="0" collapsed="false">
      <c r="A36" s="7" t="s">
        <v>3460</v>
      </c>
      <c r="B36" s="7" t="s">
        <v>3461</v>
      </c>
      <c r="C36" s="7" t="s">
        <v>3462</v>
      </c>
      <c r="D36" s="7" t="s">
        <v>3376</v>
      </c>
      <c r="E36" s="7" t="n">
        <v>74.8</v>
      </c>
      <c r="F36" s="7" t="s">
        <v>3463</v>
      </c>
    </row>
    <row r="37" customFormat="false" ht="34.5" hidden="false" customHeight="true" outlineLevel="0" collapsed="false">
      <c r="A37" s="7" t="s">
        <v>3464</v>
      </c>
      <c r="B37" s="7" t="s">
        <v>3465</v>
      </c>
      <c r="C37" s="7" t="s">
        <v>3466</v>
      </c>
      <c r="D37" s="7" t="s">
        <v>3467</v>
      </c>
      <c r="E37" s="7" t="n">
        <v>37.7</v>
      </c>
      <c r="F37" s="7" t="s">
        <v>3468</v>
      </c>
    </row>
    <row r="38" customFormat="false" ht="45.75" hidden="false" customHeight="true" outlineLevel="0" collapsed="false">
      <c r="A38" s="7" t="s">
        <v>3464</v>
      </c>
      <c r="B38" s="7" t="s">
        <v>3469</v>
      </c>
      <c r="C38" s="7" t="s">
        <v>3470</v>
      </c>
      <c r="D38" s="7" t="s">
        <v>3388</v>
      </c>
      <c r="E38" s="7" t="n">
        <v>59.9</v>
      </c>
      <c r="F38" s="7" t="s">
        <v>3471</v>
      </c>
    </row>
    <row r="39" customFormat="false" ht="90.75" hidden="false" customHeight="true" outlineLevel="0" collapsed="false">
      <c r="A39" s="7" t="s">
        <v>3472</v>
      </c>
      <c r="B39" s="7" t="s">
        <v>3473</v>
      </c>
      <c r="C39" s="7" t="s">
        <v>3417</v>
      </c>
      <c r="D39" s="7" t="s">
        <v>3376</v>
      </c>
      <c r="E39" s="7" t="n">
        <v>58.9</v>
      </c>
      <c r="F39" s="7" t="s">
        <v>3474</v>
      </c>
    </row>
    <row r="40" customFormat="false" ht="348" hidden="false" customHeight="true" outlineLevel="0" collapsed="false">
      <c r="A40" s="7" t="s">
        <v>3472</v>
      </c>
      <c r="B40" s="7" t="s">
        <v>689</v>
      </c>
      <c r="C40" s="7" t="s">
        <v>3379</v>
      </c>
      <c r="D40" s="7" t="s">
        <v>3376</v>
      </c>
      <c r="E40" s="7" t="n">
        <v>22.4</v>
      </c>
      <c r="F40" s="7" t="s">
        <v>3475</v>
      </c>
    </row>
    <row r="41" customFormat="false" ht="292.5" hidden="false" customHeight="true" outlineLevel="0" collapsed="false">
      <c r="A41" s="7" t="s">
        <v>3476</v>
      </c>
      <c r="B41" s="7" t="s">
        <v>3477</v>
      </c>
      <c r="C41" s="7" t="s">
        <v>3478</v>
      </c>
      <c r="D41" s="7" t="s">
        <v>3376</v>
      </c>
      <c r="E41" s="7" t="n">
        <v>57.7</v>
      </c>
      <c r="F41" s="7" t="s">
        <v>3479</v>
      </c>
    </row>
    <row r="42" customFormat="false" ht="34.5" hidden="false" customHeight="true" outlineLevel="0" collapsed="false">
      <c r="A42" s="7" t="s">
        <v>3480</v>
      </c>
      <c r="B42" s="7" t="s">
        <v>3465</v>
      </c>
      <c r="C42" s="7" t="s">
        <v>3466</v>
      </c>
      <c r="D42" s="7" t="s">
        <v>3467</v>
      </c>
      <c r="E42" s="7" t="n">
        <v>37.7</v>
      </c>
      <c r="F42" s="7" t="s">
        <v>3481</v>
      </c>
    </row>
    <row r="43" customFormat="false" ht="15" hidden="false" customHeight="true" outlineLevel="0" collapsed="false">
      <c r="A43" s="7" t="s">
        <v>3482</v>
      </c>
      <c r="B43" s="7" t="s">
        <v>3414</v>
      </c>
      <c r="C43" s="7" t="s">
        <v>3415</v>
      </c>
      <c r="D43" s="7" t="s">
        <v>3384</v>
      </c>
      <c r="E43" s="7" t="n">
        <v>61.5</v>
      </c>
      <c r="F43" s="7"/>
    </row>
    <row r="44" customFormat="false" ht="34.5" hidden="false" customHeight="true" outlineLevel="0" collapsed="false">
      <c r="A44" s="7" t="s">
        <v>3483</v>
      </c>
      <c r="B44" s="7" t="s">
        <v>3484</v>
      </c>
      <c r="C44" s="7" t="s">
        <v>3485</v>
      </c>
      <c r="D44" s="7" t="s">
        <v>3467</v>
      </c>
      <c r="E44" s="7" t="n">
        <v>20.7</v>
      </c>
      <c r="F44" s="7" t="s">
        <v>3486</v>
      </c>
    </row>
    <row r="45" customFormat="false" ht="34.5" hidden="false" customHeight="true" outlineLevel="0" collapsed="false">
      <c r="A45" s="7" t="s">
        <v>3487</v>
      </c>
      <c r="B45" s="7" t="s">
        <v>3403</v>
      </c>
      <c r="C45" s="7" t="s">
        <v>3488</v>
      </c>
      <c r="D45" s="7" t="s">
        <v>3384</v>
      </c>
      <c r="E45" s="7" t="n">
        <v>47.4</v>
      </c>
      <c r="F45" s="7" t="s">
        <v>3489</v>
      </c>
    </row>
    <row r="46" customFormat="false" ht="135.75" hidden="false" customHeight="true" outlineLevel="0" collapsed="false">
      <c r="A46" s="7" t="s">
        <v>1470</v>
      </c>
      <c r="B46" s="7" t="s">
        <v>689</v>
      </c>
      <c r="C46" s="7" t="s">
        <v>3379</v>
      </c>
      <c r="D46" s="7" t="s">
        <v>3376</v>
      </c>
      <c r="E46" s="7" t="n">
        <v>23.1</v>
      </c>
      <c r="F46" s="7" t="s">
        <v>3490</v>
      </c>
    </row>
    <row r="47" customFormat="false" ht="68.25" hidden="false" customHeight="true" outlineLevel="0" collapsed="false">
      <c r="A47" s="7" t="s">
        <v>1469</v>
      </c>
      <c r="B47" s="7" t="s">
        <v>3491</v>
      </c>
      <c r="C47" s="7" t="s">
        <v>3492</v>
      </c>
      <c r="D47" s="7" t="s">
        <v>3376</v>
      </c>
      <c r="E47" s="7" t="n">
        <v>11.5</v>
      </c>
      <c r="F47" s="7" t="s">
        <v>3493</v>
      </c>
    </row>
    <row r="48" customFormat="false" ht="225" hidden="false" customHeight="true" outlineLevel="0" collapsed="false">
      <c r="A48" s="7" t="s">
        <v>1469</v>
      </c>
      <c r="B48" s="7" t="s">
        <v>3391</v>
      </c>
      <c r="C48" s="7" t="s">
        <v>3392</v>
      </c>
      <c r="D48" s="7" t="s">
        <v>3376</v>
      </c>
      <c r="E48" s="7" t="n">
        <v>54.6</v>
      </c>
      <c r="F48" s="7" t="s">
        <v>3494</v>
      </c>
    </row>
    <row r="49" customFormat="false" ht="34.5" hidden="false" customHeight="true" outlineLevel="0" collapsed="false">
      <c r="A49" s="7" t="s">
        <v>1469</v>
      </c>
      <c r="B49" s="7" t="s">
        <v>3465</v>
      </c>
      <c r="C49" s="7" t="s">
        <v>3466</v>
      </c>
      <c r="D49" s="7" t="s">
        <v>3467</v>
      </c>
      <c r="E49" s="7" t="n">
        <v>37.7</v>
      </c>
      <c r="F49" s="7" t="s">
        <v>3495</v>
      </c>
    </row>
    <row r="50" customFormat="false" ht="57" hidden="false" customHeight="true" outlineLevel="0" collapsed="false">
      <c r="A50" s="7" t="s">
        <v>3496</v>
      </c>
      <c r="B50" s="7" t="s">
        <v>3391</v>
      </c>
      <c r="C50" s="7" t="s">
        <v>3392</v>
      </c>
      <c r="D50" s="7" t="s">
        <v>3497</v>
      </c>
      <c r="E50" s="7" t="n">
        <v>54.6</v>
      </c>
      <c r="F50" s="7" t="s">
        <v>3498</v>
      </c>
    </row>
    <row r="51" customFormat="false" ht="124.5" hidden="false" customHeight="true" outlineLevel="0" collapsed="false">
      <c r="A51" s="7" t="s">
        <v>3499</v>
      </c>
      <c r="B51" s="7" t="s">
        <v>3391</v>
      </c>
      <c r="C51" s="7" t="s">
        <v>3392</v>
      </c>
      <c r="D51" s="7" t="s">
        <v>3376</v>
      </c>
      <c r="E51" s="7" t="n">
        <v>54.9</v>
      </c>
      <c r="F51" s="7" t="s">
        <v>3500</v>
      </c>
    </row>
    <row r="52" customFormat="false" ht="102" hidden="false" customHeight="true" outlineLevel="0" collapsed="false">
      <c r="A52" s="7" t="s">
        <v>3501</v>
      </c>
      <c r="B52" s="7" t="s">
        <v>689</v>
      </c>
      <c r="C52" s="7" t="s">
        <v>3379</v>
      </c>
      <c r="D52" s="7" t="s">
        <v>3376</v>
      </c>
      <c r="E52" s="7" t="n">
        <v>21.3</v>
      </c>
      <c r="F52" s="7" t="s">
        <v>3502</v>
      </c>
    </row>
    <row r="53" customFormat="false" ht="79.5" hidden="false" customHeight="true" outlineLevel="0" collapsed="false">
      <c r="A53" s="7" t="s">
        <v>3503</v>
      </c>
      <c r="B53" s="7" t="s">
        <v>3426</v>
      </c>
      <c r="C53" s="7" t="s">
        <v>3427</v>
      </c>
      <c r="D53" s="7" t="s">
        <v>3376</v>
      </c>
      <c r="E53" s="7" t="n">
        <v>50.6</v>
      </c>
      <c r="F53" s="7" t="s">
        <v>3504</v>
      </c>
    </row>
    <row r="54" customFormat="false" ht="68.25" hidden="false" customHeight="true" outlineLevel="0" collapsed="false">
      <c r="A54" s="7" t="s">
        <v>3505</v>
      </c>
      <c r="B54" s="7" t="s">
        <v>3405</v>
      </c>
      <c r="C54" s="7" t="s">
        <v>3406</v>
      </c>
      <c r="D54" s="7" t="s">
        <v>3376</v>
      </c>
      <c r="E54" s="7" t="n">
        <v>44.7</v>
      </c>
      <c r="F54" s="7" t="s">
        <v>3506</v>
      </c>
    </row>
    <row r="55" customFormat="false" ht="90.75" hidden="false" customHeight="true" outlineLevel="0" collapsed="false">
      <c r="A55" s="7" t="s">
        <v>3505</v>
      </c>
      <c r="B55" s="7" t="s">
        <v>3477</v>
      </c>
      <c r="C55" s="7" t="s">
        <v>3478</v>
      </c>
      <c r="D55" s="7" t="s">
        <v>3376</v>
      </c>
      <c r="E55" s="7" t="n">
        <v>57.7</v>
      </c>
      <c r="F55" s="7" t="s">
        <v>3507</v>
      </c>
    </row>
    <row r="56" customFormat="false" ht="79.5" hidden="false" customHeight="true" outlineLevel="0" collapsed="false">
      <c r="A56" s="7" t="s">
        <v>3508</v>
      </c>
      <c r="B56" s="7" t="s">
        <v>3509</v>
      </c>
      <c r="C56" s="7" t="s">
        <v>1133</v>
      </c>
      <c r="D56" s="7" t="s">
        <v>3376</v>
      </c>
      <c r="E56" s="7" t="n">
        <v>30.9</v>
      </c>
      <c r="F56" s="7" t="s">
        <v>3510</v>
      </c>
    </row>
    <row r="57" customFormat="false" ht="102" hidden="false" customHeight="true" outlineLevel="0" collapsed="false">
      <c r="A57" s="7" t="s">
        <v>3508</v>
      </c>
      <c r="B57" s="7" t="s">
        <v>3511</v>
      </c>
      <c r="C57" s="7" t="s">
        <v>3512</v>
      </c>
      <c r="D57" s="7" t="s">
        <v>3376</v>
      </c>
      <c r="E57" s="7" t="n">
        <v>59.2</v>
      </c>
      <c r="F57" s="7" t="s">
        <v>3513</v>
      </c>
    </row>
    <row r="58" customFormat="false" ht="102" hidden="false" customHeight="true" outlineLevel="0" collapsed="false">
      <c r="A58" s="7" t="s">
        <v>3514</v>
      </c>
      <c r="B58" s="7" t="s">
        <v>3515</v>
      </c>
      <c r="C58" s="7" t="s">
        <v>3516</v>
      </c>
      <c r="D58" s="7" t="s">
        <v>3384</v>
      </c>
      <c r="E58" s="7" t="n">
        <v>32.1</v>
      </c>
      <c r="F58" s="7" t="s">
        <v>3517</v>
      </c>
    </row>
    <row r="59" customFormat="false" ht="15" hidden="false" customHeight="true" outlineLevel="0" collapsed="false">
      <c r="A59" s="7" t="s">
        <v>3518</v>
      </c>
      <c r="B59" s="7" t="s">
        <v>689</v>
      </c>
      <c r="C59" s="7" t="s">
        <v>3379</v>
      </c>
      <c r="D59" s="7" t="s">
        <v>3388</v>
      </c>
      <c r="E59" s="7" t="n">
        <v>21.4</v>
      </c>
      <c r="F59" s="7"/>
    </row>
    <row r="60" customFormat="false" ht="124.5" hidden="false" customHeight="true" outlineLevel="0" collapsed="false">
      <c r="A60" s="7" t="s">
        <v>3519</v>
      </c>
      <c r="B60" s="7" t="s">
        <v>3413</v>
      </c>
      <c r="C60" s="7" t="s">
        <v>3406</v>
      </c>
      <c r="D60" s="7" t="s">
        <v>3384</v>
      </c>
      <c r="E60" s="7" t="n">
        <v>43.5</v>
      </c>
      <c r="F60" s="7" t="s">
        <v>3520</v>
      </c>
    </row>
    <row r="61" customFormat="false" ht="90.75" hidden="false" customHeight="true" outlineLevel="0" collapsed="false">
      <c r="A61" s="7" t="s">
        <v>3521</v>
      </c>
      <c r="B61" s="7" t="s">
        <v>994</v>
      </c>
      <c r="C61" s="7" t="s">
        <v>3375</v>
      </c>
      <c r="D61" s="7" t="s">
        <v>3522</v>
      </c>
      <c r="E61" s="7" t="n">
        <v>24.3</v>
      </c>
      <c r="F61" s="7" t="s">
        <v>3523</v>
      </c>
    </row>
    <row r="62" customFormat="false" ht="90.75" hidden="false" customHeight="true" outlineLevel="0" collapsed="false">
      <c r="A62" s="7" t="s">
        <v>3524</v>
      </c>
      <c r="B62" s="7" t="s">
        <v>3465</v>
      </c>
      <c r="C62" s="7" t="s">
        <v>3379</v>
      </c>
      <c r="D62" s="7" t="s">
        <v>3522</v>
      </c>
      <c r="E62" s="7" t="n">
        <v>38</v>
      </c>
      <c r="F62" s="7" t="s">
        <v>3525</v>
      </c>
    </row>
    <row r="63" customFormat="false" ht="90.75" hidden="false" customHeight="true" outlineLevel="0" collapsed="false">
      <c r="A63" s="7" t="s">
        <v>3524</v>
      </c>
      <c r="B63" s="7" t="s">
        <v>3526</v>
      </c>
      <c r="C63" s="7" t="s">
        <v>3379</v>
      </c>
      <c r="D63" s="7" t="s">
        <v>3522</v>
      </c>
      <c r="E63" s="7" t="n">
        <v>41</v>
      </c>
      <c r="F63" s="7" t="s">
        <v>3527</v>
      </c>
    </row>
    <row r="64" customFormat="false" ht="180" hidden="false" customHeight="true" outlineLevel="0" collapsed="false">
      <c r="A64" s="7" t="s">
        <v>3524</v>
      </c>
      <c r="B64" s="7" t="s">
        <v>689</v>
      </c>
      <c r="C64" s="7" t="s">
        <v>3379</v>
      </c>
      <c r="D64" s="7" t="s">
        <v>3522</v>
      </c>
      <c r="E64" s="7" t="n">
        <v>21.4</v>
      </c>
      <c r="F64" s="7" t="s">
        <v>3528</v>
      </c>
    </row>
    <row r="65" customFormat="false" ht="90.75" hidden="false" customHeight="true" outlineLevel="0" collapsed="false">
      <c r="A65" s="7" t="s">
        <v>3524</v>
      </c>
      <c r="B65" s="7" t="s">
        <v>3529</v>
      </c>
      <c r="C65" s="7" t="s">
        <v>3379</v>
      </c>
      <c r="D65" s="7" t="s">
        <v>3522</v>
      </c>
      <c r="E65" s="7" t="n">
        <v>35.5</v>
      </c>
      <c r="F65" s="7" t="s">
        <v>3530</v>
      </c>
    </row>
    <row r="66" customFormat="false" ht="113.25" hidden="false" customHeight="true" outlineLevel="0" collapsed="false">
      <c r="A66" s="7" t="s">
        <v>3531</v>
      </c>
      <c r="B66" s="7" t="s">
        <v>3477</v>
      </c>
      <c r="C66" s="7" t="s">
        <v>3478</v>
      </c>
      <c r="D66" s="7" t="s">
        <v>3522</v>
      </c>
      <c r="E66" s="7" t="n">
        <v>57.7</v>
      </c>
      <c r="F66" s="7" t="s">
        <v>3532</v>
      </c>
    </row>
    <row r="67" customFormat="false" ht="68.25" hidden="false" customHeight="true" outlineLevel="0" collapsed="false">
      <c r="A67" s="7" t="s">
        <v>3533</v>
      </c>
      <c r="B67" s="7" t="s">
        <v>3534</v>
      </c>
      <c r="C67" s="7" t="s">
        <v>3375</v>
      </c>
      <c r="D67" s="7" t="s">
        <v>3522</v>
      </c>
      <c r="E67" s="7" t="n">
        <v>45.8</v>
      </c>
      <c r="F67" s="7" t="s">
        <v>3535</v>
      </c>
    </row>
    <row r="68" customFormat="false" ht="68.25" hidden="false" customHeight="true" outlineLevel="0" collapsed="false">
      <c r="A68" s="7" t="s">
        <v>3536</v>
      </c>
      <c r="B68" s="7" t="s">
        <v>3469</v>
      </c>
      <c r="C68" s="7" t="s">
        <v>3470</v>
      </c>
      <c r="D68" s="7" t="s">
        <v>3376</v>
      </c>
      <c r="E68" s="7" t="n">
        <v>59.9</v>
      </c>
      <c r="F68" s="7" t="s">
        <v>3537</v>
      </c>
    </row>
    <row r="69" customFormat="false" ht="102" hidden="false" customHeight="true" outlineLevel="0" collapsed="false">
      <c r="A69" s="7" t="s">
        <v>3538</v>
      </c>
      <c r="B69" s="7" t="s">
        <v>2998</v>
      </c>
      <c r="C69" s="7" t="s">
        <v>3379</v>
      </c>
      <c r="D69" s="7" t="s">
        <v>3384</v>
      </c>
      <c r="E69" s="7" t="n">
        <v>23.1</v>
      </c>
      <c r="F69" s="7" t="s">
        <v>3539</v>
      </c>
    </row>
    <row r="70" customFormat="false" ht="57" hidden="false" customHeight="true" outlineLevel="0" collapsed="false">
      <c r="A70" s="7" t="s">
        <v>3540</v>
      </c>
      <c r="B70" s="7" t="s">
        <v>3440</v>
      </c>
      <c r="C70" s="7" t="s">
        <v>3375</v>
      </c>
      <c r="D70" s="7" t="s">
        <v>3376</v>
      </c>
      <c r="E70" s="7" t="n">
        <v>70</v>
      </c>
      <c r="F70" s="7" t="s">
        <v>3541</v>
      </c>
    </row>
    <row r="71" customFormat="false" ht="34.5" hidden="false" customHeight="true" outlineLevel="0" collapsed="false">
      <c r="A71" s="7" t="s">
        <v>3542</v>
      </c>
      <c r="B71" s="7" t="s">
        <v>3543</v>
      </c>
      <c r="C71" s="7" t="s">
        <v>3379</v>
      </c>
      <c r="D71" s="7" t="s">
        <v>3376</v>
      </c>
      <c r="E71" s="7" t="n">
        <v>72.9</v>
      </c>
      <c r="F71" s="7" t="s">
        <v>3544</v>
      </c>
    </row>
    <row r="72" customFormat="false" ht="57" hidden="false" customHeight="true" outlineLevel="0" collapsed="false">
      <c r="A72" s="7" t="s">
        <v>3545</v>
      </c>
      <c r="B72" s="7" t="s">
        <v>3473</v>
      </c>
      <c r="C72" s="7" t="s">
        <v>3417</v>
      </c>
      <c r="D72" s="7" t="s">
        <v>3388</v>
      </c>
      <c r="E72" s="7" t="n">
        <v>55.3</v>
      </c>
      <c r="F72" s="7" t="s">
        <v>3546</v>
      </c>
    </row>
    <row r="73" customFormat="false" ht="34.5" hidden="false" customHeight="true" outlineLevel="0" collapsed="false">
      <c r="A73" s="7" t="s">
        <v>3545</v>
      </c>
      <c r="B73" s="7" t="s">
        <v>2985</v>
      </c>
      <c r="C73" s="7" t="s">
        <v>3379</v>
      </c>
      <c r="D73" s="7" t="s">
        <v>3388</v>
      </c>
      <c r="E73" s="7" t="n">
        <v>22.5</v>
      </c>
      <c r="F73" s="7" t="s">
        <v>3547</v>
      </c>
    </row>
    <row r="74" customFormat="false" ht="34.5" hidden="false" customHeight="true" outlineLevel="0" collapsed="false">
      <c r="A74" s="7" t="s">
        <v>3545</v>
      </c>
      <c r="B74" s="7" t="s">
        <v>3484</v>
      </c>
      <c r="C74" s="7" t="s">
        <v>3379</v>
      </c>
      <c r="D74" s="7" t="s">
        <v>3388</v>
      </c>
      <c r="E74" s="7" t="n">
        <v>22.2</v>
      </c>
      <c r="F74" s="7" t="s">
        <v>3548</v>
      </c>
    </row>
    <row r="75" customFormat="false" ht="68.25" hidden="false" customHeight="true" outlineLevel="0" collapsed="false">
      <c r="A75" s="7" t="s">
        <v>3545</v>
      </c>
      <c r="B75" s="7" t="s">
        <v>3549</v>
      </c>
      <c r="C75" s="7" t="s">
        <v>3379</v>
      </c>
      <c r="D75" s="7" t="s">
        <v>3376</v>
      </c>
      <c r="E75" s="7" t="n">
        <v>24.5</v>
      </c>
      <c r="F75" s="7" t="s">
        <v>3550</v>
      </c>
    </row>
    <row r="76" customFormat="false" ht="90.75" hidden="false" customHeight="true" outlineLevel="0" collapsed="false">
      <c r="A76" s="7" t="s">
        <v>3551</v>
      </c>
      <c r="B76" s="7" t="s">
        <v>689</v>
      </c>
      <c r="C76" s="7" t="s">
        <v>3379</v>
      </c>
      <c r="D76" s="7" t="s">
        <v>3376</v>
      </c>
      <c r="E76" s="7" t="n">
        <v>21.2</v>
      </c>
      <c r="F76" s="7" t="s">
        <v>3552</v>
      </c>
    </row>
    <row r="77" customFormat="false" ht="68.25" hidden="false" customHeight="true" outlineLevel="0" collapsed="false">
      <c r="A77" s="7" t="s">
        <v>3551</v>
      </c>
      <c r="B77" s="7" t="s">
        <v>3509</v>
      </c>
      <c r="C77" s="7" t="s">
        <v>1133</v>
      </c>
      <c r="D77" s="7" t="s">
        <v>3376</v>
      </c>
      <c r="E77" s="7" t="n">
        <v>30.9</v>
      </c>
      <c r="F77" s="7" t="s">
        <v>3553</v>
      </c>
    </row>
    <row r="78" customFormat="false" ht="68.25" hidden="false" customHeight="true" outlineLevel="0" collapsed="false">
      <c r="A78" s="7" t="s">
        <v>3551</v>
      </c>
      <c r="B78" s="7" t="s">
        <v>899</v>
      </c>
      <c r="C78" s="7" t="s">
        <v>1133</v>
      </c>
      <c r="D78" s="7" t="s">
        <v>3384</v>
      </c>
      <c r="E78" s="7" t="n">
        <v>24.2</v>
      </c>
      <c r="F78" s="7" t="s">
        <v>3554</v>
      </c>
    </row>
    <row r="79" customFormat="false" ht="57" hidden="false" customHeight="true" outlineLevel="0" collapsed="false">
      <c r="A79" s="7" t="s">
        <v>3555</v>
      </c>
      <c r="B79" s="7" t="s">
        <v>3556</v>
      </c>
      <c r="C79" s="7" t="s">
        <v>1133</v>
      </c>
      <c r="D79" s="7" t="s">
        <v>3376</v>
      </c>
      <c r="E79" s="7" t="n">
        <v>24.5</v>
      </c>
      <c r="F79" s="7" t="s">
        <v>3557</v>
      </c>
    </row>
    <row r="80" customFormat="false" ht="1053" hidden="false" customHeight="true" outlineLevel="0" collapsed="false">
      <c r="A80" s="7" t="s">
        <v>3558</v>
      </c>
      <c r="B80" s="7" t="s">
        <v>3469</v>
      </c>
      <c r="C80" s="7" t="s">
        <v>3470</v>
      </c>
      <c r="D80" s="7" t="s">
        <v>3376</v>
      </c>
      <c r="E80" s="7" t="n">
        <v>59.5</v>
      </c>
      <c r="F80" s="7" t="s">
        <v>3559</v>
      </c>
    </row>
    <row r="81" customFormat="false" ht="57" hidden="false" customHeight="true" outlineLevel="0" collapsed="false">
      <c r="A81" s="7" t="s">
        <v>3560</v>
      </c>
      <c r="B81" s="7" t="s">
        <v>3561</v>
      </c>
      <c r="C81" s="7" t="s">
        <v>1133</v>
      </c>
      <c r="D81" s="7" t="s">
        <v>3376</v>
      </c>
      <c r="E81" s="7" t="n">
        <v>22.6</v>
      </c>
      <c r="F81" s="7" t="s">
        <v>3562</v>
      </c>
    </row>
    <row r="82" customFormat="false" ht="57" hidden="false" customHeight="true" outlineLevel="0" collapsed="false">
      <c r="A82" s="7" t="s">
        <v>3560</v>
      </c>
      <c r="B82" s="7" t="s">
        <v>3563</v>
      </c>
      <c r="C82" s="7" t="s">
        <v>1133</v>
      </c>
      <c r="D82" s="7" t="s">
        <v>3376</v>
      </c>
      <c r="E82" s="7" t="n">
        <v>22.6</v>
      </c>
      <c r="F82" s="7" t="s">
        <v>3564</v>
      </c>
    </row>
    <row r="83" customFormat="false" ht="45.75" hidden="false" customHeight="true" outlineLevel="0" collapsed="false">
      <c r="A83" s="7" t="s">
        <v>3560</v>
      </c>
      <c r="B83" s="7" t="s">
        <v>3565</v>
      </c>
      <c r="C83" s="7" t="s">
        <v>1133</v>
      </c>
      <c r="D83" s="7" t="s">
        <v>3376</v>
      </c>
      <c r="E83" s="7" t="n">
        <v>25.7</v>
      </c>
      <c r="F83" s="7" t="s">
        <v>3566</v>
      </c>
    </row>
    <row r="84" customFormat="false" ht="90.75" hidden="false" customHeight="true" outlineLevel="0" collapsed="false">
      <c r="A84" s="7" t="s">
        <v>3560</v>
      </c>
      <c r="B84" s="7" t="s">
        <v>3567</v>
      </c>
      <c r="C84" s="7" t="s">
        <v>1133</v>
      </c>
      <c r="D84" s="7" t="s">
        <v>3376</v>
      </c>
      <c r="E84" s="7" t="n">
        <v>30.9</v>
      </c>
      <c r="F84" s="7" t="s">
        <v>3568</v>
      </c>
    </row>
    <row r="85" customFormat="false" ht="45.75" hidden="false" customHeight="true" outlineLevel="0" collapsed="false">
      <c r="A85" s="7" t="s">
        <v>3560</v>
      </c>
      <c r="B85" s="7" t="s">
        <v>3434</v>
      </c>
      <c r="C85" s="7" t="s">
        <v>3379</v>
      </c>
      <c r="D85" s="7" t="s">
        <v>3388</v>
      </c>
      <c r="E85" s="7" t="n">
        <v>59.4</v>
      </c>
      <c r="F85" s="7" t="s">
        <v>3569</v>
      </c>
    </row>
    <row r="86" customFormat="false" ht="79.5" hidden="false" customHeight="true" outlineLevel="0" collapsed="false">
      <c r="A86" s="7" t="s">
        <v>3570</v>
      </c>
      <c r="B86" s="7" t="s">
        <v>3571</v>
      </c>
      <c r="C86" s="7" t="s">
        <v>1133</v>
      </c>
      <c r="D86" s="7" t="s">
        <v>3376</v>
      </c>
      <c r="E86" s="7" t="n">
        <v>22.5</v>
      </c>
      <c r="F86" s="7" t="s">
        <v>3572</v>
      </c>
    </row>
    <row r="87" customFormat="false" ht="45.75" hidden="false" customHeight="true" outlineLevel="0" collapsed="false">
      <c r="A87" s="7" t="s">
        <v>3573</v>
      </c>
      <c r="B87" s="7" t="s">
        <v>3574</v>
      </c>
      <c r="C87" s="7" t="s">
        <v>3575</v>
      </c>
      <c r="D87" s="7" t="s">
        <v>3388</v>
      </c>
      <c r="E87" s="7" t="n">
        <v>44.7</v>
      </c>
      <c r="F87" s="7" t="s">
        <v>3576</v>
      </c>
    </row>
    <row r="88" customFormat="false" ht="57" hidden="false" customHeight="true" outlineLevel="0" collapsed="false">
      <c r="A88" s="7" t="s">
        <v>3577</v>
      </c>
      <c r="B88" s="7" t="s">
        <v>899</v>
      </c>
      <c r="C88" s="7" t="s">
        <v>1133</v>
      </c>
      <c r="D88" s="7" t="s">
        <v>3384</v>
      </c>
      <c r="E88" s="7" t="n">
        <v>24.5</v>
      </c>
      <c r="F88" s="7" t="s">
        <v>3578</v>
      </c>
    </row>
    <row r="89" customFormat="false" ht="45.75" hidden="false" customHeight="true" outlineLevel="0" collapsed="false">
      <c r="A89" s="7" t="s">
        <v>3577</v>
      </c>
      <c r="B89" s="7" t="s">
        <v>3579</v>
      </c>
      <c r="C89" s="7" t="s">
        <v>3580</v>
      </c>
      <c r="D89" s="7" t="s">
        <v>3384</v>
      </c>
      <c r="E89" s="7" t="n">
        <v>50.6</v>
      </c>
      <c r="F89" s="7" t="s">
        <v>3581</v>
      </c>
    </row>
    <row r="90" customFormat="false" ht="34.5" hidden="false" customHeight="true" outlineLevel="0" collapsed="false">
      <c r="A90" s="7" t="s">
        <v>3577</v>
      </c>
      <c r="B90" s="7" t="s">
        <v>3387</v>
      </c>
      <c r="C90" s="7" t="s">
        <v>3375</v>
      </c>
      <c r="D90" s="7" t="s">
        <v>3384</v>
      </c>
      <c r="E90" s="7" t="n">
        <v>69</v>
      </c>
      <c r="F90" s="7" t="s">
        <v>3582</v>
      </c>
    </row>
    <row r="91" customFormat="false" ht="79.5" hidden="false" customHeight="true" outlineLevel="0" collapsed="false">
      <c r="A91" s="7" t="s">
        <v>3583</v>
      </c>
      <c r="B91" s="7" t="s">
        <v>3584</v>
      </c>
      <c r="C91" s="7" t="s">
        <v>3375</v>
      </c>
      <c r="D91" s="7" t="s">
        <v>3384</v>
      </c>
      <c r="E91" s="7" t="n">
        <v>51.4</v>
      </c>
      <c r="F91" s="7" t="s">
        <v>3585</v>
      </c>
    </row>
    <row r="92" customFormat="false" ht="68.25" hidden="false" customHeight="true" outlineLevel="0" collapsed="false">
      <c r="A92" s="7" t="s">
        <v>3586</v>
      </c>
      <c r="B92" s="7" t="s">
        <v>3587</v>
      </c>
      <c r="C92" s="7" t="s">
        <v>3375</v>
      </c>
      <c r="D92" s="7" t="s">
        <v>3376</v>
      </c>
      <c r="E92" s="7" t="n">
        <v>56.4</v>
      </c>
      <c r="F92" s="7" t="s">
        <v>3588</v>
      </c>
    </row>
    <row r="93" customFormat="false" ht="57" hidden="false" customHeight="true" outlineLevel="0" collapsed="false">
      <c r="A93" s="7" t="s">
        <v>3589</v>
      </c>
      <c r="B93" s="7" t="s">
        <v>3590</v>
      </c>
      <c r="C93" s="7" t="s">
        <v>3379</v>
      </c>
      <c r="D93" s="7" t="s">
        <v>3376</v>
      </c>
      <c r="E93" s="7" t="n">
        <v>26</v>
      </c>
      <c r="F93" s="7" t="s">
        <v>3591</v>
      </c>
    </row>
    <row r="94" customFormat="false" ht="147" hidden="false" customHeight="true" outlineLevel="0" collapsed="false">
      <c r="A94" s="7" t="s">
        <v>3589</v>
      </c>
      <c r="B94" s="7" t="s">
        <v>3592</v>
      </c>
      <c r="C94" s="7" t="s">
        <v>3375</v>
      </c>
      <c r="D94" s="7" t="s">
        <v>3376</v>
      </c>
      <c r="E94" s="7" t="n">
        <v>67.6</v>
      </c>
      <c r="F94" s="7" t="s">
        <v>3593</v>
      </c>
    </row>
    <row r="95" customFormat="false" ht="102" hidden="false" customHeight="true" outlineLevel="0" collapsed="false">
      <c r="A95" s="7" t="s">
        <v>3594</v>
      </c>
      <c r="B95" s="7" t="s">
        <v>3549</v>
      </c>
      <c r="C95" s="7" t="s">
        <v>3379</v>
      </c>
      <c r="D95" s="7" t="s">
        <v>3376</v>
      </c>
      <c r="E95" s="7" t="n">
        <v>24.5</v>
      </c>
      <c r="F95" s="7" t="s">
        <v>3595</v>
      </c>
    </row>
    <row r="96" customFormat="false" ht="68.25" hidden="false" customHeight="true" outlineLevel="0" collapsed="false">
      <c r="A96" s="7" t="s">
        <v>3596</v>
      </c>
      <c r="B96" s="7" t="s">
        <v>2985</v>
      </c>
      <c r="C96" s="7" t="s">
        <v>3379</v>
      </c>
      <c r="D96" s="7" t="s">
        <v>3376</v>
      </c>
      <c r="E96" s="7" t="n">
        <v>22.5</v>
      </c>
      <c r="F96" s="7" t="s">
        <v>3597</v>
      </c>
    </row>
    <row r="97" customFormat="false" ht="57" hidden="false" customHeight="true" outlineLevel="0" collapsed="false">
      <c r="A97" s="7" t="s">
        <v>3596</v>
      </c>
      <c r="B97" s="7" t="s">
        <v>2998</v>
      </c>
      <c r="C97" s="7" t="s">
        <v>3379</v>
      </c>
      <c r="D97" s="7" t="s">
        <v>3376</v>
      </c>
      <c r="E97" s="7" t="n">
        <v>21.8</v>
      </c>
      <c r="F97" s="7" t="s">
        <v>3598</v>
      </c>
    </row>
    <row r="98" customFormat="false" ht="45.75" hidden="false" customHeight="true" outlineLevel="0" collapsed="false">
      <c r="A98" s="7" t="s">
        <v>3599</v>
      </c>
      <c r="B98" s="7" t="s">
        <v>3465</v>
      </c>
      <c r="C98" s="7" t="s">
        <v>3466</v>
      </c>
      <c r="D98" s="7" t="s">
        <v>3388</v>
      </c>
      <c r="E98" s="7" t="n">
        <v>37.7</v>
      </c>
      <c r="F98" s="7" t="s">
        <v>3600</v>
      </c>
    </row>
    <row r="99" customFormat="false" ht="34.5" hidden="false" customHeight="true" outlineLevel="0" collapsed="false">
      <c r="A99" s="7" t="s">
        <v>3599</v>
      </c>
      <c r="B99" s="7" t="s">
        <v>3601</v>
      </c>
      <c r="C99" s="7" t="s">
        <v>3602</v>
      </c>
      <c r="D99" s="7" t="s">
        <v>3376</v>
      </c>
      <c r="E99" s="7" t="n">
        <v>63.3</v>
      </c>
      <c r="F99" s="7" t="s">
        <v>3603</v>
      </c>
    </row>
    <row r="100" customFormat="false" ht="45.75" hidden="false" customHeight="true" outlineLevel="0" collapsed="false">
      <c r="A100" s="7" t="s">
        <v>3599</v>
      </c>
      <c r="B100" s="7" t="s">
        <v>3604</v>
      </c>
      <c r="C100" s="7" t="s">
        <v>3379</v>
      </c>
      <c r="D100" s="7" t="s">
        <v>3376</v>
      </c>
      <c r="E100" s="7" t="n">
        <v>30</v>
      </c>
      <c r="F100" s="7" t="s">
        <v>3605</v>
      </c>
    </row>
    <row r="101" customFormat="false" ht="34.5" hidden="false" customHeight="true" outlineLevel="0" collapsed="false">
      <c r="A101" s="7" t="s">
        <v>3599</v>
      </c>
      <c r="B101" s="7" t="s">
        <v>3465</v>
      </c>
      <c r="C101" s="7" t="s">
        <v>3379</v>
      </c>
      <c r="D101" s="7" t="s">
        <v>3376</v>
      </c>
      <c r="E101" s="7" t="n">
        <v>37.9</v>
      </c>
      <c r="F101" s="7" t="s">
        <v>3606</v>
      </c>
    </row>
    <row r="102" customFormat="false" ht="202.5" hidden="false" customHeight="true" outlineLevel="0" collapsed="false">
      <c r="A102" s="7" t="s">
        <v>3599</v>
      </c>
      <c r="B102" s="7" t="s">
        <v>689</v>
      </c>
      <c r="C102" s="7" t="s">
        <v>3379</v>
      </c>
      <c r="D102" s="7" t="s">
        <v>3376</v>
      </c>
      <c r="E102" s="7" t="n">
        <v>21.2</v>
      </c>
      <c r="F102" s="7" t="s">
        <v>3607</v>
      </c>
    </row>
    <row r="103" customFormat="false" ht="45.75" hidden="false" customHeight="true" outlineLevel="0" collapsed="false">
      <c r="A103" s="7" t="s">
        <v>3608</v>
      </c>
      <c r="B103" s="7" t="s">
        <v>899</v>
      </c>
      <c r="C103" s="7" t="s">
        <v>1133</v>
      </c>
      <c r="D103" s="7" t="s">
        <v>3388</v>
      </c>
      <c r="E103" s="7" t="n">
        <v>24.2</v>
      </c>
      <c r="F103" s="7" t="s">
        <v>3609</v>
      </c>
    </row>
    <row r="104" customFormat="false" ht="68.25" hidden="false" customHeight="true" outlineLevel="0" collapsed="false">
      <c r="A104" s="7" t="s">
        <v>3608</v>
      </c>
      <c r="B104" s="7" t="s">
        <v>3610</v>
      </c>
      <c r="C104" s="7" t="s">
        <v>3611</v>
      </c>
      <c r="D104" s="7" t="s">
        <v>3376</v>
      </c>
      <c r="E104" s="7" t="n">
        <v>73.2</v>
      </c>
      <c r="F104" s="7" t="s">
        <v>3612</v>
      </c>
    </row>
    <row r="105" customFormat="false" ht="45.75" hidden="false" customHeight="true" outlineLevel="0" collapsed="false">
      <c r="A105" s="7" t="s">
        <v>3613</v>
      </c>
      <c r="B105" s="7" t="s">
        <v>3614</v>
      </c>
      <c r="C105" s="7" t="s">
        <v>3615</v>
      </c>
      <c r="D105" s="7" t="s">
        <v>3388</v>
      </c>
      <c r="E105" s="7" t="n">
        <v>40.2</v>
      </c>
      <c r="F105" s="7" t="s">
        <v>3616</v>
      </c>
    </row>
    <row r="106" customFormat="false" ht="45.75" hidden="false" customHeight="true" outlineLevel="0" collapsed="false">
      <c r="A106" s="7" t="s">
        <v>3617</v>
      </c>
      <c r="B106" s="7" t="s">
        <v>3618</v>
      </c>
      <c r="C106" s="7" t="s">
        <v>3619</v>
      </c>
      <c r="D106" s="7" t="s">
        <v>3388</v>
      </c>
      <c r="E106" s="7" t="n">
        <v>51</v>
      </c>
      <c r="F106" s="7" t="s">
        <v>3620</v>
      </c>
    </row>
    <row r="107" customFormat="false" ht="90.75" hidden="false" customHeight="true" outlineLevel="0" collapsed="false">
      <c r="A107" s="7" t="s">
        <v>3621</v>
      </c>
      <c r="B107" s="7" t="s">
        <v>3477</v>
      </c>
      <c r="C107" s="7" t="s">
        <v>3478</v>
      </c>
      <c r="D107" s="7" t="s">
        <v>3376</v>
      </c>
      <c r="E107" s="7" t="n">
        <v>58.1</v>
      </c>
      <c r="F107" s="7" t="s">
        <v>3622</v>
      </c>
    </row>
    <row r="108" customFormat="false" ht="90.75" hidden="false" customHeight="true" outlineLevel="0" collapsed="false">
      <c r="A108" s="7" t="s">
        <v>3621</v>
      </c>
      <c r="B108" s="7" t="s">
        <v>3623</v>
      </c>
      <c r="C108" s="7" t="s">
        <v>3624</v>
      </c>
      <c r="D108" s="7" t="s">
        <v>3384</v>
      </c>
      <c r="E108" s="7" t="n">
        <v>46.6</v>
      </c>
      <c r="F108" s="7" t="s">
        <v>3625</v>
      </c>
    </row>
    <row r="109" customFormat="false" ht="45.75" hidden="false" customHeight="true" outlineLevel="0" collapsed="false">
      <c r="A109" s="7" t="s">
        <v>3626</v>
      </c>
      <c r="B109" s="7" t="s">
        <v>3627</v>
      </c>
      <c r="C109" s="7" t="s">
        <v>3628</v>
      </c>
      <c r="D109" s="7" t="s">
        <v>3388</v>
      </c>
      <c r="E109" s="7" t="n">
        <v>74.2</v>
      </c>
      <c r="F109" s="7" t="s">
        <v>3629</v>
      </c>
    </row>
    <row r="110" customFormat="false" ht="68.25" hidden="false" customHeight="true" outlineLevel="0" collapsed="false">
      <c r="A110" s="7" t="s">
        <v>3630</v>
      </c>
      <c r="B110" s="7" t="s">
        <v>3434</v>
      </c>
      <c r="C110" s="7" t="s">
        <v>3383</v>
      </c>
      <c r="D110" s="7" t="s">
        <v>3376</v>
      </c>
      <c r="E110" s="7" t="n">
        <v>58.2</v>
      </c>
      <c r="F110" s="7" t="s">
        <v>3631</v>
      </c>
    </row>
    <row r="111" customFormat="false" ht="45.75" hidden="false" customHeight="true" outlineLevel="0" collapsed="false">
      <c r="A111" s="7" t="s">
        <v>3632</v>
      </c>
      <c r="B111" s="7" t="s">
        <v>3618</v>
      </c>
      <c r="C111" s="7" t="s">
        <v>3633</v>
      </c>
      <c r="D111" s="7" t="s">
        <v>3384</v>
      </c>
      <c r="E111" s="7" t="n">
        <v>22.4</v>
      </c>
      <c r="F111" s="7" t="s">
        <v>3634</v>
      </c>
    </row>
    <row r="112" customFormat="false" ht="135.75" hidden="false" customHeight="true" outlineLevel="0" collapsed="false">
      <c r="A112" s="7" t="s">
        <v>3632</v>
      </c>
      <c r="B112" s="7" t="s">
        <v>3414</v>
      </c>
      <c r="C112" s="7" t="s">
        <v>3415</v>
      </c>
      <c r="D112" s="7" t="s">
        <v>3384</v>
      </c>
      <c r="E112" s="7" t="n">
        <v>61.5</v>
      </c>
      <c r="F112" s="7" t="s">
        <v>3635</v>
      </c>
    </row>
    <row r="113" customFormat="false" ht="45.75" hidden="false" customHeight="true" outlineLevel="0" collapsed="false">
      <c r="A113" s="7" t="s">
        <v>3636</v>
      </c>
      <c r="B113" s="7" t="s">
        <v>899</v>
      </c>
      <c r="C113" s="7" t="s">
        <v>1133</v>
      </c>
      <c r="D113" s="7" t="s">
        <v>3384</v>
      </c>
      <c r="E113" s="7" t="n">
        <v>24.5</v>
      </c>
      <c r="F113" s="7" t="s">
        <v>3637</v>
      </c>
    </row>
    <row r="114" customFormat="false" ht="34.5" hidden="false" customHeight="true" outlineLevel="0" collapsed="false">
      <c r="A114" s="7" t="s">
        <v>3638</v>
      </c>
      <c r="B114" s="7" t="s">
        <v>3639</v>
      </c>
      <c r="C114" s="7" t="s">
        <v>3640</v>
      </c>
      <c r="D114" s="7" t="s">
        <v>3388</v>
      </c>
      <c r="E114" s="7" t="n">
        <v>51</v>
      </c>
      <c r="F114" s="7" t="s">
        <v>3641</v>
      </c>
    </row>
    <row r="115" customFormat="false" ht="34.5" hidden="false" customHeight="true" outlineLevel="0" collapsed="false">
      <c r="A115" s="7" t="s">
        <v>3642</v>
      </c>
      <c r="B115" s="7" t="s">
        <v>3618</v>
      </c>
      <c r="C115" s="7" t="s">
        <v>3643</v>
      </c>
      <c r="D115" s="7" t="s">
        <v>3388</v>
      </c>
      <c r="E115" s="7" t="n">
        <v>21.9</v>
      </c>
      <c r="F115" s="7" t="s">
        <v>3644</v>
      </c>
    </row>
    <row r="116" customFormat="false" ht="45.75" hidden="false" customHeight="true" outlineLevel="0" collapsed="false">
      <c r="A116" s="7" t="s">
        <v>3645</v>
      </c>
      <c r="B116" s="7" t="s">
        <v>3646</v>
      </c>
      <c r="C116" s="7" t="s">
        <v>3647</v>
      </c>
      <c r="D116" s="7" t="s">
        <v>3384</v>
      </c>
      <c r="E116" s="7" t="n">
        <v>67.5</v>
      </c>
      <c r="F116" s="7" t="s">
        <v>3648</v>
      </c>
    </row>
    <row r="117" customFormat="false" ht="45.75" hidden="false" customHeight="true" outlineLevel="0" collapsed="false">
      <c r="A117" s="7" t="s">
        <v>3649</v>
      </c>
      <c r="B117" s="7" t="s">
        <v>3650</v>
      </c>
      <c r="C117" s="7" t="s">
        <v>3651</v>
      </c>
      <c r="D117" s="7" t="s">
        <v>3467</v>
      </c>
      <c r="E117" s="7" t="n">
        <v>26.2</v>
      </c>
      <c r="F117" s="7" t="s">
        <v>3652</v>
      </c>
    </row>
    <row r="118" customFormat="false" ht="113.25" hidden="false" customHeight="true" outlineLevel="0" collapsed="false">
      <c r="A118" s="7" t="s">
        <v>3653</v>
      </c>
      <c r="B118" s="7" t="s">
        <v>3571</v>
      </c>
      <c r="C118" s="7" t="s">
        <v>1133</v>
      </c>
      <c r="D118" s="7" t="s">
        <v>3376</v>
      </c>
      <c r="E118" s="7" t="n">
        <v>22.7</v>
      </c>
      <c r="F118" s="7" t="s">
        <v>3654</v>
      </c>
    </row>
    <row r="119" customFormat="false" ht="34.5" hidden="false" customHeight="true" outlineLevel="0" collapsed="false">
      <c r="A119" s="7" t="s">
        <v>3653</v>
      </c>
      <c r="B119" s="7" t="s">
        <v>3526</v>
      </c>
      <c r="C119" s="7" t="s">
        <v>3379</v>
      </c>
      <c r="D119" s="7" t="s">
        <v>3467</v>
      </c>
      <c r="E119" s="7" t="n">
        <v>41</v>
      </c>
      <c r="F119" s="7" t="s">
        <v>3655</v>
      </c>
    </row>
    <row r="120" customFormat="false" ht="45.75" hidden="false" customHeight="true" outlineLevel="0" collapsed="false">
      <c r="A120" s="7" t="s">
        <v>3656</v>
      </c>
      <c r="B120" s="7" t="s">
        <v>3403</v>
      </c>
      <c r="C120" s="7" t="s">
        <v>3488</v>
      </c>
      <c r="D120" s="7" t="s">
        <v>3467</v>
      </c>
      <c r="E120" s="7" t="n">
        <v>47.4</v>
      </c>
      <c r="F120" s="7" t="s">
        <v>3657</v>
      </c>
    </row>
    <row r="121" customFormat="false" ht="34.5" hidden="false" customHeight="true" outlineLevel="0" collapsed="false">
      <c r="A121" s="7" t="s">
        <v>3658</v>
      </c>
      <c r="B121" s="7" t="s">
        <v>3618</v>
      </c>
      <c r="C121" s="7" t="s">
        <v>3643</v>
      </c>
      <c r="D121" s="7" t="s">
        <v>3467</v>
      </c>
      <c r="E121" s="7" t="n">
        <v>21.9</v>
      </c>
      <c r="F121" s="7" t="s">
        <v>3659</v>
      </c>
    </row>
    <row r="122" customFormat="false" ht="34.5" hidden="false" customHeight="true" outlineLevel="0" collapsed="false">
      <c r="A122" s="7" t="s">
        <v>3660</v>
      </c>
      <c r="B122" s="7" t="s">
        <v>3473</v>
      </c>
      <c r="C122" s="7" t="s">
        <v>3417</v>
      </c>
      <c r="D122" s="7" t="s">
        <v>3376</v>
      </c>
      <c r="E122" s="7" t="n">
        <v>55.6</v>
      </c>
      <c r="F122" s="7" t="s">
        <v>3661</v>
      </c>
    </row>
    <row r="123" customFormat="false" ht="113.25" hidden="false" customHeight="true" outlineLevel="0" collapsed="false">
      <c r="A123" s="7" t="s">
        <v>3662</v>
      </c>
      <c r="B123" s="7" t="s">
        <v>3387</v>
      </c>
      <c r="C123" s="7" t="s">
        <v>3375</v>
      </c>
      <c r="D123" s="7" t="s">
        <v>3467</v>
      </c>
      <c r="E123" s="7" t="n">
        <v>69</v>
      </c>
      <c r="F123" s="7" t="s">
        <v>3663</v>
      </c>
    </row>
    <row r="124" customFormat="false" ht="102" hidden="false" customHeight="true" outlineLevel="0" collapsed="false">
      <c r="A124" s="7" t="s">
        <v>3662</v>
      </c>
      <c r="B124" s="7" t="s">
        <v>3664</v>
      </c>
      <c r="C124" s="7" t="s">
        <v>3379</v>
      </c>
      <c r="D124" s="7" t="s">
        <v>3376</v>
      </c>
      <c r="E124" s="7" t="n">
        <v>25.2</v>
      </c>
      <c r="F124" s="7" t="s">
        <v>3665</v>
      </c>
    </row>
    <row r="125" customFormat="false" ht="79.5" hidden="false" customHeight="true" outlineLevel="0" collapsed="false">
      <c r="A125" s="7" t="s">
        <v>3662</v>
      </c>
      <c r="B125" s="7" t="s">
        <v>3590</v>
      </c>
      <c r="C125" s="7" t="s">
        <v>3379</v>
      </c>
      <c r="D125" s="7" t="s">
        <v>3467</v>
      </c>
      <c r="E125" s="7" t="n">
        <v>26.5</v>
      </c>
      <c r="F125" s="7" t="s">
        <v>3666</v>
      </c>
    </row>
    <row r="126" customFormat="false" ht="45.75" hidden="false" customHeight="true" outlineLevel="0" collapsed="false">
      <c r="A126" s="7" t="s">
        <v>3662</v>
      </c>
      <c r="B126" s="7" t="s">
        <v>3667</v>
      </c>
      <c r="C126" s="7" t="s">
        <v>3375</v>
      </c>
      <c r="D126" s="7" t="s">
        <v>3467</v>
      </c>
      <c r="E126" s="7" t="n">
        <v>24.3</v>
      </c>
      <c r="F126" s="7" t="s">
        <v>3668</v>
      </c>
    </row>
    <row r="127" customFormat="false" ht="45.75" hidden="false" customHeight="true" outlineLevel="0" collapsed="false">
      <c r="A127" s="7" t="s">
        <v>3669</v>
      </c>
      <c r="B127" s="7" t="s">
        <v>3403</v>
      </c>
      <c r="C127" s="7" t="s">
        <v>3488</v>
      </c>
      <c r="D127" s="7" t="s">
        <v>3467</v>
      </c>
      <c r="E127" s="7" t="n">
        <v>47.4</v>
      </c>
      <c r="F127" s="7" t="s">
        <v>3670</v>
      </c>
    </row>
    <row r="128" customFormat="false" ht="124.5" hidden="false" customHeight="true" outlineLevel="0" collapsed="false">
      <c r="A128" s="7" t="s">
        <v>3671</v>
      </c>
      <c r="B128" s="7" t="s">
        <v>689</v>
      </c>
      <c r="C128" s="7" t="s">
        <v>3379</v>
      </c>
      <c r="D128" s="7" t="s">
        <v>3467</v>
      </c>
      <c r="E128" s="7" t="n">
        <v>21.2</v>
      </c>
      <c r="F128" s="7" t="s">
        <v>3672</v>
      </c>
    </row>
    <row r="129" customFormat="false" ht="45.75" hidden="false" customHeight="true" outlineLevel="0" collapsed="false">
      <c r="A129" s="7" t="s">
        <v>3673</v>
      </c>
      <c r="B129" s="7" t="s">
        <v>899</v>
      </c>
      <c r="C129" s="7" t="s">
        <v>1133</v>
      </c>
      <c r="D129" s="7" t="s">
        <v>3467</v>
      </c>
      <c r="E129" s="7" t="n">
        <v>24.5</v>
      </c>
      <c r="F129" s="7" t="s">
        <v>3674</v>
      </c>
    </row>
    <row r="130" customFormat="false" ht="68.25" hidden="false" customHeight="true" outlineLevel="0" collapsed="false">
      <c r="A130" s="7" t="s">
        <v>3675</v>
      </c>
      <c r="B130" s="7" t="s">
        <v>3477</v>
      </c>
      <c r="C130" s="7" t="s">
        <v>3478</v>
      </c>
      <c r="D130" s="7" t="s">
        <v>3467</v>
      </c>
      <c r="E130" s="7" t="n">
        <v>58.1</v>
      </c>
      <c r="F130" s="7" t="s">
        <v>3676</v>
      </c>
    </row>
    <row r="131" customFormat="false" ht="45.75" hidden="false" customHeight="true" outlineLevel="0" collapsed="false">
      <c r="A131" s="7" t="s">
        <v>3677</v>
      </c>
      <c r="B131" s="7" t="s">
        <v>3627</v>
      </c>
      <c r="C131" s="7" t="s">
        <v>3628</v>
      </c>
      <c r="D131" s="7" t="s">
        <v>3467</v>
      </c>
      <c r="E131" s="7" t="n">
        <v>74.2</v>
      </c>
      <c r="F131" s="7" t="s">
        <v>3678</v>
      </c>
    </row>
    <row r="132" customFormat="false" ht="45.75" hidden="false" customHeight="true" outlineLevel="0" collapsed="false">
      <c r="A132" s="7" t="s">
        <v>3677</v>
      </c>
      <c r="B132" s="7" t="s">
        <v>3650</v>
      </c>
      <c r="C132" s="7" t="s">
        <v>3651</v>
      </c>
      <c r="D132" s="7" t="s">
        <v>3467</v>
      </c>
      <c r="E132" s="7" t="n">
        <v>26.2</v>
      </c>
      <c r="F132" s="7" t="s">
        <v>3679</v>
      </c>
    </row>
    <row r="133" customFormat="false" ht="68.25" hidden="false" customHeight="true" outlineLevel="0" collapsed="false">
      <c r="A133" s="7" t="s">
        <v>3680</v>
      </c>
      <c r="B133" s="7" t="s">
        <v>3681</v>
      </c>
      <c r="C133" s="7" t="s">
        <v>3682</v>
      </c>
      <c r="D133" s="7" t="s">
        <v>3467</v>
      </c>
      <c r="E133" s="7" t="n">
        <v>42</v>
      </c>
      <c r="F133" s="7" t="s">
        <v>3683</v>
      </c>
    </row>
    <row r="134" customFormat="false" ht="45.75" hidden="false" customHeight="true" outlineLevel="0" collapsed="false">
      <c r="A134" s="7" t="s">
        <v>3684</v>
      </c>
      <c r="B134" s="7" t="s">
        <v>3473</v>
      </c>
      <c r="C134" s="7" t="s">
        <v>3417</v>
      </c>
      <c r="D134" s="7" t="s">
        <v>3467</v>
      </c>
      <c r="E134" s="7" t="n">
        <v>58.9</v>
      </c>
      <c r="F134" s="7" t="s">
        <v>3685</v>
      </c>
    </row>
    <row r="135" customFormat="false" ht="57" hidden="false" customHeight="true" outlineLevel="0" collapsed="false">
      <c r="A135" s="7" t="s">
        <v>3686</v>
      </c>
      <c r="B135" s="7" t="s">
        <v>3549</v>
      </c>
      <c r="C135" s="7" t="s">
        <v>3379</v>
      </c>
      <c r="D135" s="7" t="s">
        <v>3384</v>
      </c>
      <c r="E135" s="7" t="n">
        <v>24.5</v>
      </c>
      <c r="F135" s="7" t="s">
        <v>3687</v>
      </c>
    </row>
    <row r="136" customFormat="false" ht="45.75" hidden="false" customHeight="true" outlineLevel="0" collapsed="false">
      <c r="A136" s="7" t="s">
        <v>3688</v>
      </c>
      <c r="B136" s="7" t="s">
        <v>3465</v>
      </c>
      <c r="C136" s="7" t="s">
        <v>3379</v>
      </c>
      <c r="D136" s="7" t="s">
        <v>3689</v>
      </c>
      <c r="E136" s="7" t="n">
        <v>37.9</v>
      </c>
      <c r="F136" s="7" t="s">
        <v>3690</v>
      </c>
    </row>
    <row r="137" customFormat="false" ht="79.5" hidden="false" customHeight="true" outlineLevel="0" collapsed="false">
      <c r="A137" s="7" t="s">
        <v>3691</v>
      </c>
      <c r="B137" s="7" t="s">
        <v>689</v>
      </c>
      <c r="C137" s="7" t="s">
        <v>3379</v>
      </c>
      <c r="D137" s="7" t="s">
        <v>3467</v>
      </c>
      <c r="E137" s="7" t="n">
        <v>21.2</v>
      </c>
      <c r="F137" s="7" t="s">
        <v>3692</v>
      </c>
    </row>
    <row r="138" customFormat="false" ht="202.5" hidden="false" customHeight="true" outlineLevel="0" collapsed="false">
      <c r="A138" s="7" t="s">
        <v>3691</v>
      </c>
      <c r="B138" s="7" t="s">
        <v>3693</v>
      </c>
      <c r="C138" s="7" t="s">
        <v>3478</v>
      </c>
      <c r="D138" s="7" t="s">
        <v>3467</v>
      </c>
      <c r="E138" s="7" t="n">
        <v>57.4</v>
      </c>
      <c r="F138" s="7" t="s">
        <v>3694</v>
      </c>
    </row>
    <row r="139" customFormat="false" ht="79.5" hidden="false" customHeight="true" outlineLevel="0" collapsed="false">
      <c r="A139" s="7" t="s">
        <v>3691</v>
      </c>
      <c r="B139" s="7" t="s">
        <v>3695</v>
      </c>
      <c r="C139" s="7" t="s">
        <v>3379</v>
      </c>
      <c r="D139" s="7" t="s">
        <v>3467</v>
      </c>
      <c r="E139" s="7" t="n">
        <v>34</v>
      </c>
      <c r="F139" s="7" t="s">
        <v>3696</v>
      </c>
    </row>
    <row r="140" customFormat="false" ht="102" hidden="false" customHeight="true" outlineLevel="0" collapsed="false">
      <c r="A140" s="7" t="s">
        <v>3697</v>
      </c>
      <c r="B140" s="7" t="s">
        <v>3698</v>
      </c>
      <c r="C140" s="7" t="s">
        <v>3699</v>
      </c>
      <c r="D140" s="7" t="s">
        <v>3467</v>
      </c>
      <c r="E140" s="7" t="n">
        <v>64.8</v>
      </c>
      <c r="F140" s="7" t="s">
        <v>3700</v>
      </c>
    </row>
    <row r="141" customFormat="false" ht="34.5" hidden="false" customHeight="true" outlineLevel="0" collapsed="false">
      <c r="A141" s="7" t="s">
        <v>3697</v>
      </c>
      <c r="B141" s="7" t="s">
        <v>3701</v>
      </c>
      <c r="C141" s="7" t="s">
        <v>3379</v>
      </c>
      <c r="D141" s="7" t="s">
        <v>3467</v>
      </c>
      <c r="E141" s="7" t="n">
        <v>44.5</v>
      </c>
      <c r="F141" s="7" t="s">
        <v>3702</v>
      </c>
    </row>
    <row r="142" customFormat="false" ht="57" hidden="false" customHeight="true" outlineLevel="0" collapsed="false">
      <c r="A142" s="7" t="s">
        <v>3703</v>
      </c>
      <c r="B142" s="7" t="s">
        <v>3639</v>
      </c>
      <c r="C142" s="7" t="s">
        <v>3640</v>
      </c>
      <c r="D142" s="7" t="s">
        <v>3467</v>
      </c>
      <c r="E142" s="7" t="n">
        <v>47.3</v>
      </c>
      <c r="F142" s="7" t="s">
        <v>3704</v>
      </c>
    </row>
    <row r="143" customFormat="false" ht="258.75" hidden="false" customHeight="true" outlineLevel="0" collapsed="false">
      <c r="A143" s="7" t="s">
        <v>3705</v>
      </c>
      <c r="B143" s="7" t="s">
        <v>3413</v>
      </c>
      <c r="C143" s="7" t="s">
        <v>3406</v>
      </c>
      <c r="D143" s="7" t="s">
        <v>3467</v>
      </c>
      <c r="E143" s="7" t="n">
        <v>41.4</v>
      </c>
      <c r="F143" s="7" t="s">
        <v>3706</v>
      </c>
    </row>
    <row r="144" customFormat="false" ht="79.5" hidden="false" customHeight="true" outlineLevel="0" collapsed="false">
      <c r="A144" s="7" t="s">
        <v>3705</v>
      </c>
      <c r="B144" s="7" t="s">
        <v>3707</v>
      </c>
      <c r="C144" s="7" t="s">
        <v>3708</v>
      </c>
      <c r="D144" s="7" t="s">
        <v>3467</v>
      </c>
      <c r="E144" s="7" t="n">
        <v>33.2</v>
      </c>
      <c r="F144" s="7" t="s">
        <v>3709</v>
      </c>
    </row>
    <row r="145" customFormat="false" ht="90.75" hidden="false" customHeight="true" outlineLevel="0" collapsed="false">
      <c r="A145" s="7" t="s">
        <v>3710</v>
      </c>
      <c r="B145" s="7" t="s">
        <v>3711</v>
      </c>
      <c r="C145" s="7" t="s">
        <v>3712</v>
      </c>
      <c r="D145" s="7" t="s">
        <v>3467</v>
      </c>
      <c r="E145" s="7" t="n">
        <v>52.4</v>
      </c>
      <c r="F145" s="7" t="s">
        <v>3713</v>
      </c>
    </row>
    <row r="146" customFormat="false" ht="34.5" hidden="false" customHeight="true" outlineLevel="0" collapsed="false">
      <c r="A146" s="7" t="s">
        <v>3714</v>
      </c>
      <c r="B146" s="7" t="s">
        <v>3646</v>
      </c>
      <c r="C146" s="7" t="s">
        <v>3647</v>
      </c>
      <c r="D146" s="7" t="s">
        <v>3384</v>
      </c>
      <c r="E146" s="7" t="n">
        <v>67.5</v>
      </c>
      <c r="F146" s="7" t="s">
        <v>3715</v>
      </c>
    </row>
    <row r="147" customFormat="false" ht="135.75" hidden="false" customHeight="true" outlineLevel="0" collapsed="false">
      <c r="A147" s="7" t="s">
        <v>3716</v>
      </c>
      <c r="B147" s="7" t="s">
        <v>3473</v>
      </c>
      <c r="C147" s="7" t="s">
        <v>3417</v>
      </c>
      <c r="D147" s="7" t="s">
        <v>3376</v>
      </c>
      <c r="E147" s="7" t="n">
        <v>55.6</v>
      </c>
      <c r="F147" s="7" t="s">
        <v>3717</v>
      </c>
    </row>
    <row r="148" customFormat="false" ht="57" hidden="false" customHeight="true" outlineLevel="0" collapsed="false">
      <c r="A148" s="7" t="s">
        <v>3718</v>
      </c>
      <c r="B148" s="7" t="s">
        <v>3391</v>
      </c>
      <c r="C148" s="7" t="s">
        <v>3392</v>
      </c>
      <c r="D148" s="7" t="s">
        <v>3467</v>
      </c>
      <c r="E148" s="7" t="n">
        <v>54.8</v>
      </c>
      <c r="F148" s="7" t="s">
        <v>3719</v>
      </c>
    </row>
    <row r="149" customFormat="false" ht="34.5" hidden="false" customHeight="true" outlineLevel="0" collapsed="false">
      <c r="A149" s="7" t="s">
        <v>3720</v>
      </c>
      <c r="B149" s="7" t="s">
        <v>2985</v>
      </c>
      <c r="C149" s="7" t="s">
        <v>3379</v>
      </c>
      <c r="D149" s="7" t="s">
        <v>3467</v>
      </c>
      <c r="E149" s="7" t="n">
        <v>22.5</v>
      </c>
      <c r="F149" s="7" t="s">
        <v>3721</v>
      </c>
    </row>
    <row r="150" customFormat="false" ht="57" hidden="false" customHeight="true" outlineLevel="0" collapsed="false">
      <c r="A150" s="7" t="s">
        <v>3720</v>
      </c>
      <c r="B150" s="7" t="s">
        <v>689</v>
      </c>
      <c r="C150" s="7" t="s">
        <v>3379</v>
      </c>
      <c r="D150" s="7" t="s">
        <v>3467</v>
      </c>
      <c r="E150" s="7" t="n">
        <v>21.2</v>
      </c>
      <c r="F150" s="7" t="s">
        <v>3722</v>
      </c>
    </row>
    <row r="151" customFormat="false" ht="68.25" hidden="false" customHeight="true" outlineLevel="0" collapsed="false">
      <c r="A151" s="7" t="s">
        <v>3723</v>
      </c>
      <c r="B151" s="7" t="s">
        <v>3590</v>
      </c>
      <c r="C151" s="7" t="s">
        <v>3379</v>
      </c>
      <c r="D151" s="7" t="s">
        <v>3467</v>
      </c>
      <c r="E151" s="7" t="n">
        <v>26.5</v>
      </c>
      <c r="F151" s="7" t="s">
        <v>3724</v>
      </c>
    </row>
    <row r="152" customFormat="false" ht="68.25" hidden="false" customHeight="true" outlineLevel="0" collapsed="false">
      <c r="A152" s="7" t="s">
        <v>3725</v>
      </c>
      <c r="B152" s="7" t="s">
        <v>3579</v>
      </c>
      <c r="C152" s="7" t="s">
        <v>3379</v>
      </c>
      <c r="D152" s="7" t="s">
        <v>3467</v>
      </c>
      <c r="E152" s="7" t="n">
        <v>50.6</v>
      </c>
      <c r="F152" s="7" t="s">
        <v>3726</v>
      </c>
    </row>
    <row r="153" customFormat="false" ht="45.75" hidden="false" customHeight="true" outlineLevel="0" collapsed="false">
      <c r="A153" s="7" t="s">
        <v>3725</v>
      </c>
      <c r="B153" s="7" t="s">
        <v>3727</v>
      </c>
      <c r="C153" s="7" t="s">
        <v>1133</v>
      </c>
      <c r="D153" s="7" t="s">
        <v>3376</v>
      </c>
      <c r="E153" s="7" t="n">
        <v>34.2</v>
      </c>
      <c r="F153" s="7" t="s">
        <v>3728</v>
      </c>
    </row>
    <row r="154" customFormat="false" ht="57" hidden="false" customHeight="true" outlineLevel="0" collapsed="false">
      <c r="A154" s="7" t="s">
        <v>3725</v>
      </c>
      <c r="B154" s="7" t="s">
        <v>3664</v>
      </c>
      <c r="C154" s="7" t="s">
        <v>3379</v>
      </c>
      <c r="D154" s="7" t="s">
        <v>3467</v>
      </c>
      <c r="E154" s="7" t="n">
        <v>25.3</v>
      </c>
      <c r="F154" s="7" t="s">
        <v>3729</v>
      </c>
    </row>
    <row r="155" customFormat="false" ht="57" hidden="false" customHeight="true" outlineLevel="0" collapsed="false">
      <c r="A155" s="7" t="s">
        <v>3730</v>
      </c>
      <c r="B155" s="7" t="s">
        <v>3414</v>
      </c>
      <c r="C155" s="7" t="s">
        <v>3415</v>
      </c>
      <c r="D155" s="7" t="s">
        <v>3467</v>
      </c>
      <c r="E155" s="7" t="n">
        <v>61.5</v>
      </c>
      <c r="F155" s="7" t="s">
        <v>3731</v>
      </c>
    </row>
    <row r="156" customFormat="false" ht="45.75" hidden="false" customHeight="true" outlineLevel="0" collapsed="false">
      <c r="A156" s="7" t="s">
        <v>3732</v>
      </c>
      <c r="B156" s="7" t="s">
        <v>2998</v>
      </c>
      <c r="C156" s="7" t="s">
        <v>3379</v>
      </c>
      <c r="D156" s="7" t="s">
        <v>3376</v>
      </c>
      <c r="E156" s="7" t="n">
        <v>21.8</v>
      </c>
      <c r="F156" s="7" t="s">
        <v>3733</v>
      </c>
    </row>
    <row r="157" customFormat="false" ht="68.25" hidden="false" customHeight="true" outlineLevel="0" collapsed="false">
      <c r="A157" s="7" t="s">
        <v>3732</v>
      </c>
      <c r="B157" s="7" t="s">
        <v>3734</v>
      </c>
      <c r="C157" s="7" t="s">
        <v>3735</v>
      </c>
      <c r="D157" s="7" t="s">
        <v>3376</v>
      </c>
      <c r="E157" s="7" t="n">
        <v>27.2</v>
      </c>
      <c r="F157" s="7" t="s">
        <v>3736</v>
      </c>
    </row>
    <row r="158" customFormat="false" ht="57" hidden="false" customHeight="true" outlineLevel="0" collapsed="false">
      <c r="A158" s="7" t="s">
        <v>3737</v>
      </c>
      <c r="B158" s="7" t="s">
        <v>3469</v>
      </c>
      <c r="C158" s="7" t="s">
        <v>3470</v>
      </c>
      <c r="D158" s="7" t="s">
        <v>3376</v>
      </c>
      <c r="E158" s="7" t="n">
        <v>35.3</v>
      </c>
      <c r="F158" s="7" t="s">
        <v>3738</v>
      </c>
    </row>
    <row r="159" customFormat="false" ht="68.25" hidden="false" customHeight="true" outlineLevel="0" collapsed="false">
      <c r="A159" s="7" t="s">
        <v>3739</v>
      </c>
      <c r="B159" s="7" t="s">
        <v>3391</v>
      </c>
      <c r="C159" s="7" t="s">
        <v>3392</v>
      </c>
      <c r="D159" s="7" t="s">
        <v>3376</v>
      </c>
      <c r="E159" s="7" t="n">
        <v>54.8</v>
      </c>
      <c r="F159" s="7" t="s">
        <v>3740</v>
      </c>
    </row>
    <row r="160" customFormat="false" ht="45.75" hidden="false" customHeight="true" outlineLevel="0" collapsed="false">
      <c r="A160" s="7" t="s">
        <v>3741</v>
      </c>
      <c r="B160" s="7" t="s">
        <v>3742</v>
      </c>
      <c r="C160" s="7" t="s">
        <v>3478</v>
      </c>
      <c r="D160" s="7" t="s">
        <v>3376</v>
      </c>
      <c r="E160" s="7" t="n">
        <v>55.1</v>
      </c>
      <c r="F160" s="7" t="s">
        <v>3743</v>
      </c>
    </row>
    <row r="161" customFormat="false" ht="45.75" hidden="false" customHeight="true" outlineLevel="0" collapsed="false">
      <c r="A161" s="7" t="s">
        <v>3744</v>
      </c>
      <c r="B161" s="7" t="s">
        <v>3477</v>
      </c>
      <c r="C161" s="7" t="s">
        <v>3478</v>
      </c>
      <c r="D161" s="7" t="s">
        <v>3376</v>
      </c>
      <c r="E161" s="7" t="n">
        <v>58.1</v>
      </c>
      <c r="F161" s="7" t="s">
        <v>3745</v>
      </c>
    </row>
    <row r="162" customFormat="false" ht="34.5" hidden="false" customHeight="true" outlineLevel="0" collapsed="false">
      <c r="A162" s="7" t="s">
        <v>3746</v>
      </c>
      <c r="B162" s="7" t="s">
        <v>3747</v>
      </c>
      <c r="C162" s="7" t="s">
        <v>3375</v>
      </c>
      <c r="D162" s="7" t="s">
        <v>3376</v>
      </c>
      <c r="E162" s="7" t="n">
        <v>22.7</v>
      </c>
      <c r="F162" s="7" t="s">
        <v>3748</v>
      </c>
    </row>
    <row r="163" customFormat="false" ht="45.75" hidden="false" customHeight="true" outlineLevel="0" collapsed="false">
      <c r="A163" s="7" t="s">
        <v>1285</v>
      </c>
      <c r="B163" s="7" t="s">
        <v>3749</v>
      </c>
      <c r="C163" s="7" t="s">
        <v>3750</v>
      </c>
      <c r="D163" s="7" t="s">
        <v>3388</v>
      </c>
      <c r="E163" s="7" t="n">
        <v>66.4</v>
      </c>
      <c r="F163" s="7" t="s">
        <v>3751</v>
      </c>
    </row>
    <row r="164" customFormat="false" ht="34.5" hidden="false" customHeight="true" outlineLevel="0" collapsed="false">
      <c r="A164" s="7" t="s">
        <v>1285</v>
      </c>
      <c r="B164" s="7" t="s">
        <v>3752</v>
      </c>
      <c r="C164" s="7" t="s">
        <v>3412</v>
      </c>
      <c r="D164" s="7" t="s">
        <v>3388</v>
      </c>
      <c r="E164" s="7" t="n">
        <v>74.7</v>
      </c>
      <c r="F164" s="7" t="s">
        <v>3753</v>
      </c>
    </row>
    <row r="165" customFormat="false" ht="45.75" hidden="false" customHeight="true" outlineLevel="0" collapsed="false">
      <c r="A165" s="7" t="s">
        <v>1284</v>
      </c>
      <c r="B165" s="7" t="s">
        <v>899</v>
      </c>
      <c r="C165" s="7" t="s">
        <v>1133</v>
      </c>
      <c r="D165" s="7" t="s">
        <v>3376</v>
      </c>
      <c r="E165" s="7" t="n">
        <v>23.8</v>
      </c>
      <c r="F165" s="7" t="s">
        <v>3754</v>
      </c>
    </row>
    <row r="166" customFormat="false" ht="68.25" hidden="false" customHeight="true" outlineLevel="0" collapsed="false">
      <c r="A166" s="7" t="s">
        <v>1284</v>
      </c>
      <c r="B166" s="7" t="s">
        <v>3469</v>
      </c>
      <c r="C166" s="7" t="s">
        <v>3379</v>
      </c>
      <c r="D166" s="7" t="s">
        <v>3376</v>
      </c>
      <c r="E166" s="7" t="n">
        <v>35.3</v>
      </c>
      <c r="F166" s="7" t="s">
        <v>3755</v>
      </c>
    </row>
    <row r="167" customFormat="false" ht="79.5" hidden="false" customHeight="true" outlineLevel="0" collapsed="false">
      <c r="A167" s="7" t="s">
        <v>1284</v>
      </c>
      <c r="B167" s="7" t="s">
        <v>3756</v>
      </c>
      <c r="C167" s="7" t="s">
        <v>3379</v>
      </c>
      <c r="D167" s="7" t="s">
        <v>3376</v>
      </c>
      <c r="E167" s="7" t="n">
        <v>60.2</v>
      </c>
      <c r="F167" s="7" t="s">
        <v>3757</v>
      </c>
    </row>
    <row r="168" customFormat="false" ht="68.25" hidden="false" customHeight="true" outlineLevel="0" collapsed="false">
      <c r="A168" s="7" t="s">
        <v>1284</v>
      </c>
      <c r="B168" s="7" t="s">
        <v>3434</v>
      </c>
      <c r="C168" s="7" t="s">
        <v>3379</v>
      </c>
      <c r="D168" s="7" t="s">
        <v>3376</v>
      </c>
      <c r="E168" s="7" t="n">
        <v>59.4</v>
      </c>
      <c r="F168" s="7" t="s">
        <v>3758</v>
      </c>
    </row>
    <row r="169" customFormat="false" ht="45.75" hidden="false" customHeight="true" outlineLevel="0" collapsed="false">
      <c r="A169" s="7" t="s">
        <v>1284</v>
      </c>
      <c r="B169" s="7" t="s">
        <v>3484</v>
      </c>
      <c r="C169" s="7" t="s">
        <v>3485</v>
      </c>
      <c r="D169" s="7" t="s">
        <v>3388</v>
      </c>
      <c r="E169" s="7" t="n">
        <v>20.7</v>
      </c>
      <c r="F169" s="7" t="s">
        <v>3759</v>
      </c>
    </row>
    <row r="170" customFormat="false" ht="34.5" hidden="false" customHeight="true" outlineLevel="0" collapsed="false">
      <c r="A170" s="7" t="s">
        <v>1284</v>
      </c>
      <c r="B170" s="7" t="s">
        <v>3760</v>
      </c>
      <c r="C170" s="7" t="s">
        <v>3406</v>
      </c>
      <c r="D170" s="7" t="s">
        <v>3376</v>
      </c>
      <c r="E170" s="7" t="n">
        <v>31.7</v>
      </c>
      <c r="F170" s="7" t="s">
        <v>3761</v>
      </c>
    </row>
    <row r="171" customFormat="false" ht="168.75" hidden="false" customHeight="true" outlineLevel="0" collapsed="false">
      <c r="A171" s="7" t="s">
        <v>3762</v>
      </c>
      <c r="B171" s="7" t="s">
        <v>3469</v>
      </c>
      <c r="C171" s="7" t="s">
        <v>3470</v>
      </c>
      <c r="D171" s="7" t="s">
        <v>3376</v>
      </c>
      <c r="E171" s="7" t="n">
        <v>59.5</v>
      </c>
      <c r="F171" s="7" t="s">
        <v>3763</v>
      </c>
    </row>
    <row r="172" customFormat="false" ht="90.75" hidden="false" customHeight="true" outlineLevel="0" collapsed="false">
      <c r="A172" s="7" t="s">
        <v>3764</v>
      </c>
      <c r="B172" s="7" t="s">
        <v>3579</v>
      </c>
      <c r="C172" s="7" t="s">
        <v>3379</v>
      </c>
      <c r="D172" s="7" t="s">
        <v>3376</v>
      </c>
      <c r="E172" s="7" t="n">
        <v>50.6</v>
      </c>
      <c r="F172" s="7" t="s">
        <v>3765</v>
      </c>
    </row>
    <row r="173" customFormat="false" ht="34.5" hidden="false" customHeight="true" outlineLevel="0" collapsed="false">
      <c r="A173" s="7" t="s">
        <v>3764</v>
      </c>
      <c r="B173" s="7" t="s">
        <v>2998</v>
      </c>
      <c r="C173" s="7" t="s">
        <v>3379</v>
      </c>
      <c r="D173" s="7" t="s">
        <v>3376</v>
      </c>
      <c r="E173" s="7" t="n">
        <v>21.8</v>
      </c>
      <c r="F173" s="7" t="s">
        <v>3766</v>
      </c>
    </row>
    <row r="174" customFormat="false" ht="34.5" hidden="false" customHeight="true" outlineLevel="0" collapsed="false">
      <c r="A174" s="7" t="s">
        <v>3767</v>
      </c>
      <c r="B174" s="7" t="s">
        <v>3477</v>
      </c>
      <c r="C174" s="7" t="s">
        <v>3478</v>
      </c>
      <c r="D174" s="7" t="s">
        <v>3467</v>
      </c>
      <c r="E174" s="7" t="n">
        <v>57.7</v>
      </c>
      <c r="F174" s="7" t="s">
        <v>3768</v>
      </c>
    </row>
    <row r="175" customFormat="false" ht="57" hidden="false" customHeight="true" outlineLevel="0" collapsed="false">
      <c r="A175" s="7" t="s">
        <v>3769</v>
      </c>
      <c r="B175" s="7" t="s">
        <v>3770</v>
      </c>
      <c r="C175" s="7" t="s">
        <v>3771</v>
      </c>
      <c r="D175" s="7" t="s">
        <v>3467</v>
      </c>
      <c r="E175" s="7" t="n">
        <v>42.9</v>
      </c>
      <c r="F175" s="7" t="s">
        <v>3772</v>
      </c>
    </row>
    <row r="176" customFormat="false" ht="45.75" hidden="false" customHeight="true" outlineLevel="0" collapsed="false">
      <c r="A176" s="7" t="s">
        <v>3769</v>
      </c>
      <c r="B176" s="7" t="s">
        <v>3623</v>
      </c>
      <c r="C176" s="7" t="s">
        <v>3624</v>
      </c>
      <c r="D176" s="7" t="s">
        <v>3467</v>
      </c>
      <c r="E176" s="7" t="n">
        <v>46.6</v>
      </c>
      <c r="F176" s="7" t="s">
        <v>3773</v>
      </c>
    </row>
    <row r="177" customFormat="false" ht="45.75" hidden="false" customHeight="true" outlineLevel="0" collapsed="false">
      <c r="A177" s="7" t="s">
        <v>3769</v>
      </c>
      <c r="B177" s="7" t="s">
        <v>3405</v>
      </c>
      <c r="C177" s="7" t="s">
        <v>3406</v>
      </c>
      <c r="D177" s="7" t="s">
        <v>3467</v>
      </c>
      <c r="E177" s="7" t="n">
        <v>44.7</v>
      </c>
      <c r="F177" s="7" t="s">
        <v>3774</v>
      </c>
    </row>
    <row r="178" customFormat="false" ht="57" hidden="false" customHeight="true" outlineLevel="0" collapsed="false">
      <c r="A178" s="7" t="s">
        <v>3775</v>
      </c>
      <c r="B178" s="7" t="s">
        <v>3469</v>
      </c>
      <c r="C178" s="7" t="s">
        <v>3470</v>
      </c>
      <c r="D178" s="7" t="s">
        <v>3376</v>
      </c>
      <c r="E178" s="7" t="n">
        <v>35.3</v>
      </c>
      <c r="F178" s="7" t="s">
        <v>3776</v>
      </c>
    </row>
    <row r="179" customFormat="false" ht="34.5" hidden="false" customHeight="true" outlineLevel="0" collapsed="false">
      <c r="A179" s="7" t="s">
        <v>3777</v>
      </c>
      <c r="B179" s="7" t="s">
        <v>3778</v>
      </c>
      <c r="C179" s="7" t="s">
        <v>3779</v>
      </c>
      <c r="D179" s="7" t="s">
        <v>3467</v>
      </c>
      <c r="E179" s="7" t="n">
        <v>48.1</v>
      </c>
      <c r="F179" s="7" t="s">
        <v>3780</v>
      </c>
    </row>
    <row r="180" customFormat="false" ht="34.5" hidden="false" customHeight="true" outlineLevel="0" collapsed="false">
      <c r="A180" s="7" t="s">
        <v>3781</v>
      </c>
      <c r="B180" s="7" t="s">
        <v>3450</v>
      </c>
      <c r="C180" s="7" t="s">
        <v>3782</v>
      </c>
      <c r="D180" s="7" t="s">
        <v>3467</v>
      </c>
      <c r="E180" s="7" t="n">
        <v>56.1</v>
      </c>
      <c r="F180" s="7" t="s">
        <v>3783</v>
      </c>
    </row>
    <row r="181" customFormat="false" ht="34.5" hidden="false" customHeight="true" outlineLevel="0" collapsed="false">
      <c r="A181" s="7" t="s">
        <v>3784</v>
      </c>
      <c r="B181" s="7" t="s">
        <v>3618</v>
      </c>
      <c r="C181" s="7" t="s">
        <v>3643</v>
      </c>
      <c r="D181" s="7" t="s">
        <v>3467</v>
      </c>
      <c r="E181" s="7" t="n">
        <v>21.9</v>
      </c>
      <c r="F181" s="7" t="s">
        <v>3785</v>
      </c>
    </row>
    <row r="182" customFormat="false" ht="45.75" hidden="false" customHeight="true" outlineLevel="0" collapsed="false">
      <c r="A182" s="7" t="s">
        <v>3786</v>
      </c>
      <c r="B182" s="7" t="s">
        <v>3787</v>
      </c>
      <c r="C182" s="7" t="s">
        <v>3788</v>
      </c>
      <c r="D182" s="7" t="s">
        <v>3467</v>
      </c>
      <c r="E182" s="7" t="n">
        <v>39.8</v>
      </c>
      <c r="F182" s="7" t="s">
        <v>3789</v>
      </c>
    </row>
    <row r="183" customFormat="false" ht="45.75" hidden="false" customHeight="true" outlineLevel="0" collapsed="false">
      <c r="A183" s="7" t="s">
        <v>3790</v>
      </c>
      <c r="B183" s="7" t="s">
        <v>3770</v>
      </c>
      <c r="C183" s="7" t="s">
        <v>3791</v>
      </c>
      <c r="D183" s="7" t="s">
        <v>3467</v>
      </c>
      <c r="E183" s="7" t="n">
        <v>44.6</v>
      </c>
      <c r="F183" s="7" t="s">
        <v>3792</v>
      </c>
    </row>
    <row r="184" customFormat="false" ht="34.5" hidden="false" customHeight="true" outlineLevel="0" collapsed="false">
      <c r="A184" s="7" t="s">
        <v>3793</v>
      </c>
      <c r="B184" s="7" t="s">
        <v>3794</v>
      </c>
      <c r="C184" s="7" t="s">
        <v>3795</v>
      </c>
      <c r="D184" s="7" t="s">
        <v>3467</v>
      </c>
      <c r="E184" s="7" t="n">
        <v>45.1</v>
      </c>
      <c r="F184" s="7" t="s">
        <v>3796</v>
      </c>
    </row>
    <row r="185" customFormat="false" ht="57" hidden="false" customHeight="true" outlineLevel="0" collapsed="false">
      <c r="A185" s="7" t="s">
        <v>3797</v>
      </c>
      <c r="B185" s="7" t="s">
        <v>3798</v>
      </c>
      <c r="C185" s="7" t="s">
        <v>1133</v>
      </c>
      <c r="D185" s="7" t="s">
        <v>3467</v>
      </c>
      <c r="E185" s="7" t="n">
        <v>27.4</v>
      </c>
      <c r="F185" s="7" t="s">
        <v>3799</v>
      </c>
    </row>
    <row r="186" customFormat="false" ht="45.75" hidden="false" customHeight="true" outlineLevel="0" collapsed="false">
      <c r="A186" s="7" t="s">
        <v>1257</v>
      </c>
      <c r="B186" s="7" t="s">
        <v>3800</v>
      </c>
      <c r="C186" s="7" t="s">
        <v>3647</v>
      </c>
      <c r="D186" s="7" t="s">
        <v>3384</v>
      </c>
      <c r="E186" s="7" t="n">
        <v>49.4</v>
      </c>
      <c r="F186" s="7" t="s">
        <v>3801</v>
      </c>
    </row>
    <row r="187" customFormat="false" ht="34.5" hidden="false" customHeight="true" outlineLevel="0" collapsed="false">
      <c r="A187" s="7" t="s">
        <v>3802</v>
      </c>
      <c r="B187" s="7" t="s">
        <v>3414</v>
      </c>
      <c r="C187" s="7" t="s">
        <v>3415</v>
      </c>
      <c r="D187" s="7" t="s">
        <v>3376</v>
      </c>
      <c r="E187" s="7" t="n">
        <v>61.5</v>
      </c>
      <c r="F187" s="7" t="s">
        <v>3803</v>
      </c>
    </row>
    <row r="188" customFormat="false" ht="34.5" hidden="false" customHeight="true" outlineLevel="0" collapsed="false">
      <c r="A188" s="7" t="s">
        <v>3804</v>
      </c>
      <c r="B188" s="7" t="s">
        <v>3584</v>
      </c>
      <c r="C188" s="7" t="s">
        <v>3375</v>
      </c>
      <c r="D188" s="7" t="s">
        <v>3805</v>
      </c>
      <c r="E188" s="7" t="n">
        <v>51.4</v>
      </c>
      <c r="F188" s="7" t="s">
        <v>3806</v>
      </c>
    </row>
    <row r="189" customFormat="false" ht="57" hidden="false" customHeight="true" outlineLevel="0" collapsed="false">
      <c r="A189" s="7" t="s">
        <v>3807</v>
      </c>
      <c r="B189" s="7" t="s">
        <v>3808</v>
      </c>
      <c r="C189" s="7" t="s">
        <v>3809</v>
      </c>
      <c r="D189" s="7" t="s">
        <v>3467</v>
      </c>
      <c r="E189" s="7" t="n">
        <v>65.5</v>
      </c>
      <c r="F189" s="7" t="s">
        <v>3810</v>
      </c>
    </row>
    <row r="190" customFormat="false" ht="45.75" hidden="false" customHeight="true" outlineLevel="0" collapsed="false">
      <c r="A190" s="7" t="s">
        <v>3811</v>
      </c>
      <c r="B190" s="7" t="s">
        <v>3618</v>
      </c>
      <c r="C190" s="7" t="s">
        <v>3643</v>
      </c>
      <c r="D190" s="7" t="s">
        <v>3467</v>
      </c>
      <c r="E190" s="7" t="n">
        <v>21.9</v>
      </c>
      <c r="F190" s="7" t="s">
        <v>3812</v>
      </c>
    </row>
    <row r="191" customFormat="false" ht="45.75" hidden="false" customHeight="true" outlineLevel="0" collapsed="false">
      <c r="A191" s="7" t="s">
        <v>3813</v>
      </c>
      <c r="B191" s="7" t="s">
        <v>3430</v>
      </c>
      <c r="C191" s="7" t="s">
        <v>3431</v>
      </c>
      <c r="D191" s="7" t="s">
        <v>3467</v>
      </c>
      <c r="E191" s="7" t="n">
        <v>73.8</v>
      </c>
      <c r="F191" s="7" t="s">
        <v>3814</v>
      </c>
    </row>
    <row r="192" customFormat="false" ht="68.25" hidden="false" customHeight="true" outlineLevel="0" collapsed="false">
      <c r="A192" s="7" t="s">
        <v>3813</v>
      </c>
      <c r="B192" s="7" t="s">
        <v>3815</v>
      </c>
      <c r="C192" s="7" t="s">
        <v>3404</v>
      </c>
      <c r="D192" s="7" t="s">
        <v>3467</v>
      </c>
      <c r="E192" s="7" t="n">
        <v>61</v>
      </c>
      <c r="F192" s="7" t="s">
        <v>3816</v>
      </c>
    </row>
    <row r="193" customFormat="false" ht="34.5" hidden="false" customHeight="true" outlineLevel="0" collapsed="false">
      <c r="A193" s="7" t="s">
        <v>3813</v>
      </c>
      <c r="B193" s="7" t="s">
        <v>3477</v>
      </c>
      <c r="C193" s="7" t="s">
        <v>3478</v>
      </c>
      <c r="D193" s="7" t="s">
        <v>3467</v>
      </c>
      <c r="E193" s="7" t="n">
        <v>57.7</v>
      </c>
      <c r="F193" s="7" t="s">
        <v>3817</v>
      </c>
    </row>
    <row r="194" customFormat="false" ht="45.75" hidden="false" customHeight="true" outlineLevel="0" collapsed="false">
      <c r="A194" s="7" t="s">
        <v>3813</v>
      </c>
      <c r="B194" s="7" t="s">
        <v>3571</v>
      </c>
      <c r="C194" s="7" t="s">
        <v>1133</v>
      </c>
      <c r="D194" s="7" t="s">
        <v>3467</v>
      </c>
      <c r="E194" s="7" t="n">
        <v>22.5</v>
      </c>
      <c r="F194" s="7" t="s">
        <v>3818</v>
      </c>
    </row>
    <row r="195" customFormat="false" ht="45.75" hidden="false" customHeight="true" outlineLevel="0" collapsed="false">
      <c r="A195" s="7" t="s">
        <v>3813</v>
      </c>
      <c r="B195" s="7" t="s">
        <v>3623</v>
      </c>
      <c r="C195" s="7" t="s">
        <v>3624</v>
      </c>
      <c r="D195" s="7" t="s">
        <v>3467</v>
      </c>
      <c r="E195" s="7" t="n">
        <v>46.6</v>
      </c>
      <c r="F195" s="7" t="s">
        <v>3819</v>
      </c>
    </row>
    <row r="196" customFormat="false" ht="68.25" hidden="false" customHeight="true" outlineLevel="0" collapsed="false">
      <c r="A196" s="7" t="s">
        <v>3813</v>
      </c>
      <c r="B196" s="7" t="s">
        <v>3820</v>
      </c>
      <c r="C196" s="7" t="s">
        <v>3821</v>
      </c>
      <c r="D196" s="7" t="s">
        <v>3467</v>
      </c>
      <c r="E196" s="7" t="n">
        <v>15.7</v>
      </c>
      <c r="F196" s="7" t="s">
        <v>3822</v>
      </c>
    </row>
    <row r="197" customFormat="false" ht="45.75" hidden="false" customHeight="true" outlineLevel="0" collapsed="false">
      <c r="A197" s="7" t="s">
        <v>3813</v>
      </c>
      <c r="B197" s="7" t="s">
        <v>3823</v>
      </c>
      <c r="C197" s="7" t="s">
        <v>3421</v>
      </c>
      <c r="D197" s="7" t="s">
        <v>3467</v>
      </c>
      <c r="E197" s="7" t="n">
        <v>68.9</v>
      </c>
      <c r="F197" s="7" t="s">
        <v>3824</v>
      </c>
    </row>
    <row r="198" customFormat="false" ht="57" hidden="false" customHeight="true" outlineLevel="0" collapsed="false">
      <c r="A198" s="7" t="s">
        <v>3825</v>
      </c>
      <c r="B198" s="7" t="s">
        <v>899</v>
      </c>
      <c r="C198" s="7" t="s">
        <v>1133</v>
      </c>
      <c r="D198" s="7" t="s">
        <v>3467</v>
      </c>
      <c r="E198" s="7" t="n">
        <v>24.2</v>
      </c>
      <c r="F198" s="7" t="s">
        <v>3826</v>
      </c>
    </row>
    <row r="199" customFormat="false" ht="34.5" hidden="false" customHeight="true" outlineLevel="0" collapsed="false">
      <c r="A199" s="7" t="s">
        <v>3827</v>
      </c>
      <c r="B199" s="7" t="s">
        <v>3461</v>
      </c>
      <c r="C199" s="7" t="s">
        <v>3462</v>
      </c>
      <c r="D199" s="7" t="s">
        <v>3467</v>
      </c>
      <c r="E199" s="7" t="n">
        <v>68.7</v>
      </c>
      <c r="F199" s="7" t="s">
        <v>3828</v>
      </c>
    </row>
    <row r="200" customFormat="false" ht="57" hidden="false" customHeight="true" outlineLevel="0" collapsed="false">
      <c r="A200" s="7" t="s">
        <v>3829</v>
      </c>
      <c r="B200" s="7" t="s">
        <v>3473</v>
      </c>
      <c r="C200" s="7" t="s">
        <v>3417</v>
      </c>
      <c r="D200" s="7" t="s">
        <v>3467</v>
      </c>
      <c r="E200" s="7" t="n">
        <v>58.9</v>
      </c>
      <c r="F200" s="7" t="s">
        <v>3830</v>
      </c>
    </row>
    <row r="201" customFormat="false" ht="57" hidden="false" customHeight="true" outlineLevel="0" collapsed="false">
      <c r="A201" s="7" t="s">
        <v>3831</v>
      </c>
      <c r="B201" s="7" t="s">
        <v>3430</v>
      </c>
      <c r="C201" s="7" t="s">
        <v>3431</v>
      </c>
      <c r="D201" s="7" t="s">
        <v>3467</v>
      </c>
      <c r="E201" s="7" t="n">
        <v>73.8</v>
      </c>
      <c r="F201" s="7" t="s">
        <v>3832</v>
      </c>
    </row>
    <row r="202" customFormat="false" ht="57" hidden="false" customHeight="true" outlineLevel="0" collapsed="false">
      <c r="A202" s="7" t="s">
        <v>3831</v>
      </c>
      <c r="B202" s="7" t="s">
        <v>3477</v>
      </c>
      <c r="C202" s="7" t="s">
        <v>3478</v>
      </c>
      <c r="D202" s="7" t="s">
        <v>3467</v>
      </c>
      <c r="E202" s="7" t="n">
        <v>57.7</v>
      </c>
      <c r="F202" s="7" t="s">
        <v>3833</v>
      </c>
    </row>
    <row r="203" customFormat="false" ht="57" hidden="false" customHeight="true" outlineLevel="0" collapsed="false">
      <c r="A203" s="7" t="s">
        <v>3831</v>
      </c>
      <c r="B203" s="7" t="s">
        <v>3473</v>
      </c>
      <c r="C203" s="7" t="s">
        <v>3417</v>
      </c>
      <c r="D203" s="7" t="s">
        <v>3467</v>
      </c>
      <c r="E203" s="7" t="n">
        <v>58.9</v>
      </c>
      <c r="F203" s="7" t="s">
        <v>3834</v>
      </c>
    </row>
    <row r="204" customFormat="false" ht="34.5" hidden="false" customHeight="true" outlineLevel="0" collapsed="false">
      <c r="A204" s="7" t="s">
        <v>3831</v>
      </c>
      <c r="B204" s="7" t="s">
        <v>324</v>
      </c>
      <c r="C204" s="7" t="s">
        <v>3835</v>
      </c>
      <c r="D204" s="7" t="s">
        <v>3467</v>
      </c>
      <c r="E204" s="7" t="n">
        <v>14.6</v>
      </c>
      <c r="F204" s="7" t="s">
        <v>3836</v>
      </c>
    </row>
    <row r="205" customFormat="false" ht="34.5" hidden="false" customHeight="true" outlineLevel="0" collapsed="false">
      <c r="A205" s="7" t="s">
        <v>3831</v>
      </c>
      <c r="B205" s="7" t="s">
        <v>3405</v>
      </c>
      <c r="C205" s="7" t="s">
        <v>3406</v>
      </c>
      <c r="D205" s="7" t="s">
        <v>3467</v>
      </c>
      <c r="E205" s="7" t="n">
        <v>44.7</v>
      </c>
      <c r="F205" s="7" t="s">
        <v>3837</v>
      </c>
    </row>
    <row r="206" customFormat="false" ht="45.75" hidden="false" customHeight="true" outlineLevel="0" collapsed="false">
      <c r="A206" s="7" t="s">
        <v>3838</v>
      </c>
      <c r="B206" s="7" t="s">
        <v>3839</v>
      </c>
      <c r="C206" s="7" t="s">
        <v>3840</v>
      </c>
      <c r="D206" s="7" t="s">
        <v>3467</v>
      </c>
      <c r="E206" s="7" t="n">
        <v>60</v>
      </c>
      <c r="F206" s="7" t="s">
        <v>3841</v>
      </c>
    </row>
    <row r="207" customFormat="false" ht="45.75" hidden="false" customHeight="true" outlineLevel="0" collapsed="false">
      <c r="A207" s="7" t="s">
        <v>3838</v>
      </c>
      <c r="B207" s="7" t="s">
        <v>3842</v>
      </c>
      <c r="C207" s="7" t="s">
        <v>3383</v>
      </c>
      <c r="D207" s="7" t="s">
        <v>3467</v>
      </c>
      <c r="E207" s="7" t="n">
        <v>61.2</v>
      </c>
      <c r="F207" s="7" t="s">
        <v>3843</v>
      </c>
    </row>
    <row r="208" customFormat="false" ht="45.75" hidden="false" customHeight="true" outlineLevel="0" collapsed="false">
      <c r="A208" s="7" t="s">
        <v>3838</v>
      </c>
      <c r="B208" s="7" t="s">
        <v>3778</v>
      </c>
      <c r="C208" s="7" t="s">
        <v>3779</v>
      </c>
      <c r="D208" s="7" t="s">
        <v>3467</v>
      </c>
      <c r="E208" s="7" t="n">
        <v>48.1</v>
      </c>
      <c r="F208" s="7" t="s">
        <v>3844</v>
      </c>
    </row>
    <row r="209" customFormat="false" ht="34.5" hidden="false" customHeight="true" outlineLevel="0" collapsed="false">
      <c r="A209" s="7" t="s">
        <v>3838</v>
      </c>
      <c r="B209" s="7" t="s">
        <v>899</v>
      </c>
      <c r="C209" s="7" t="s">
        <v>1133</v>
      </c>
      <c r="D209" s="7" t="s">
        <v>3467</v>
      </c>
      <c r="E209" s="7" t="n">
        <v>24.2</v>
      </c>
      <c r="F209" s="7" t="s">
        <v>3845</v>
      </c>
    </row>
    <row r="210" customFormat="false" ht="45.75" hidden="false" customHeight="true" outlineLevel="0" collapsed="false">
      <c r="A210" s="7" t="s">
        <v>3838</v>
      </c>
      <c r="B210" s="7" t="s">
        <v>3618</v>
      </c>
      <c r="C210" s="7" t="s">
        <v>3643</v>
      </c>
      <c r="D210" s="7" t="s">
        <v>3467</v>
      </c>
      <c r="E210" s="7" t="n">
        <v>21.9</v>
      </c>
      <c r="F210" s="7" t="s">
        <v>3846</v>
      </c>
    </row>
    <row r="211" customFormat="false" ht="34.5" hidden="false" customHeight="true" outlineLevel="0" collapsed="false">
      <c r="A211" s="7" t="s">
        <v>3838</v>
      </c>
      <c r="B211" s="7" t="s">
        <v>3847</v>
      </c>
      <c r="C211" s="7" t="s">
        <v>3848</v>
      </c>
      <c r="D211" s="7" t="s">
        <v>3467</v>
      </c>
      <c r="E211" s="7" t="n">
        <v>22.7</v>
      </c>
      <c r="F211" s="7" t="s">
        <v>3849</v>
      </c>
    </row>
    <row r="212" customFormat="false" ht="34.5" hidden="false" customHeight="true" outlineLevel="0" collapsed="false">
      <c r="A212" s="7" t="s">
        <v>3838</v>
      </c>
      <c r="B212" s="7" t="s">
        <v>3787</v>
      </c>
      <c r="C212" s="7" t="s">
        <v>3788</v>
      </c>
      <c r="D212" s="7" t="s">
        <v>3467</v>
      </c>
      <c r="E212" s="7" t="n">
        <v>39.8</v>
      </c>
      <c r="F212" s="7" t="s">
        <v>3850</v>
      </c>
    </row>
    <row r="213" customFormat="false" ht="45.75" hidden="false" customHeight="true" outlineLevel="0" collapsed="false">
      <c r="A213" s="7" t="s">
        <v>3838</v>
      </c>
      <c r="B213" s="7" t="s">
        <v>3851</v>
      </c>
      <c r="C213" s="7" t="s">
        <v>3852</v>
      </c>
      <c r="D213" s="7" t="s">
        <v>3467</v>
      </c>
      <c r="E213" s="7" t="n">
        <v>32.8</v>
      </c>
      <c r="F213" s="7" t="s">
        <v>3853</v>
      </c>
    </row>
    <row r="214" customFormat="false" ht="45.75" hidden="false" customHeight="true" outlineLevel="0" collapsed="false">
      <c r="A214" s="7" t="s">
        <v>3838</v>
      </c>
      <c r="B214" s="7" t="s">
        <v>3808</v>
      </c>
      <c r="C214" s="7" t="s">
        <v>3809</v>
      </c>
      <c r="D214" s="7" t="s">
        <v>3467</v>
      </c>
      <c r="E214" s="7" t="n">
        <v>65.5</v>
      </c>
      <c r="F214" s="7" t="s">
        <v>3854</v>
      </c>
    </row>
    <row r="215" customFormat="false" ht="45.75" hidden="false" customHeight="true" outlineLevel="0" collapsed="false">
      <c r="A215" s="7" t="s">
        <v>3855</v>
      </c>
      <c r="B215" s="7" t="s">
        <v>3851</v>
      </c>
      <c r="C215" s="7" t="s">
        <v>3852</v>
      </c>
      <c r="D215" s="7" t="s">
        <v>3467</v>
      </c>
      <c r="E215" s="7" t="n">
        <v>32.8</v>
      </c>
      <c r="F215" s="7" t="s">
        <v>3856</v>
      </c>
    </row>
    <row r="216" customFormat="false" ht="45.75" hidden="false" customHeight="true" outlineLevel="0" collapsed="false">
      <c r="A216" s="7" t="s">
        <v>3855</v>
      </c>
      <c r="B216" s="7" t="s">
        <v>3815</v>
      </c>
      <c r="C216" s="7" t="s">
        <v>3404</v>
      </c>
      <c r="D216" s="7" t="s">
        <v>3467</v>
      </c>
      <c r="E216" s="7" t="n">
        <v>61</v>
      </c>
      <c r="F216" s="7" t="s">
        <v>3857</v>
      </c>
    </row>
    <row r="217" customFormat="false" ht="57" hidden="false" customHeight="true" outlineLevel="0" collapsed="false">
      <c r="A217" s="7" t="s">
        <v>3855</v>
      </c>
      <c r="B217" s="7" t="s">
        <v>3477</v>
      </c>
      <c r="C217" s="7" t="s">
        <v>3478</v>
      </c>
      <c r="D217" s="7" t="s">
        <v>3467</v>
      </c>
      <c r="E217" s="7" t="n">
        <v>57.7</v>
      </c>
      <c r="F217" s="7" t="s">
        <v>3858</v>
      </c>
    </row>
    <row r="218" customFormat="false" ht="34.5" hidden="false" customHeight="true" outlineLevel="0" collapsed="false">
      <c r="A218" s="7" t="s">
        <v>3855</v>
      </c>
      <c r="B218" s="7" t="s">
        <v>3618</v>
      </c>
      <c r="C218" s="7" t="s">
        <v>3643</v>
      </c>
      <c r="D218" s="7" t="s">
        <v>3467</v>
      </c>
      <c r="E218" s="7" t="n">
        <v>21.9</v>
      </c>
      <c r="F218" s="7" t="s">
        <v>3859</v>
      </c>
    </row>
    <row r="219" customFormat="false" ht="45.75" hidden="false" customHeight="true" outlineLevel="0" collapsed="false">
      <c r="A219" s="7" t="s">
        <v>3855</v>
      </c>
      <c r="B219" s="7" t="s">
        <v>3847</v>
      </c>
      <c r="C219" s="7" t="s">
        <v>3848</v>
      </c>
      <c r="D219" s="7" t="s">
        <v>3467</v>
      </c>
      <c r="E219" s="7" t="n">
        <v>22.7</v>
      </c>
      <c r="F219" s="7" t="s">
        <v>3860</v>
      </c>
    </row>
    <row r="220" customFormat="false" ht="34.5" hidden="false" customHeight="true" outlineLevel="0" collapsed="false">
      <c r="A220" s="7" t="s">
        <v>3855</v>
      </c>
      <c r="B220" s="7" t="s">
        <v>3787</v>
      </c>
      <c r="C220" s="7" t="s">
        <v>3788</v>
      </c>
      <c r="D220" s="7" t="s">
        <v>3467</v>
      </c>
      <c r="E220" s="7" t="n">
        <v>39.8</v>
      </c>
      <c r="F220" s="7" t="s">
        <v>3861</v>
      </c>
    </row>
    <row r="221" customFormat="false" ht="34.5" hidden="false" customHeight="true" outlineLevel="0" collapsed="false">
      <c r="A221" s="7" t="s">
        <v>3855</v>
      </c>
      <c r="B221" s="7" t="s">
        <v>3405</v>
      </c>
      <c r="C221" s="7" t="s">
        <v>3406</v>
      </c>
      <c r="D221" s="7" t="s">
        <v>3467</v>
      </c>
      <c r="E221" s="7" t="n">
        <v>44.7</v>
      </c>
      <c r="F221" s="7" t="s">
        <v>3862</v>
      </c>
    </row>
    <row r="222" customFormat="false" ht="34.5" hidden="false" customHeight="true" outlineLevel="0" collapsed="false">
      <c r="A222" s="7" t="s">
        <v>3863</v>
      </c>
      <c r="B222" s="7" t="s">
        <v>3618</v>
      </c>
      <c r="C222" s="7" t="s">
        <v>3643</v>
      </c>
      <c r="D222" s="7" t="s">
        <v>3384</v>
      </c>
      <c r="E222" s="7" t="n">
        <v>21.9</v>
      </c>
      <c r="F222" s="7" t="s">
        <v>3864</v>
      </c>
    </row>
    <row r="223" customFormat="false" ht="34.5" hidden="false" customHeight="true" outlineLevel="0" collapsed="false">
      <c r="A223" s="7" t="s">
        <v>3863</v>
      </c>
      <c r="B223" s="7" t="s">
        <v>3618</v>
      </c>
      <c r="C223" s="7" t="s">
        <v>3643</v>
      </c>
      <c r="D223" s="7" t="s">
        <v>3384</v>
      </c>
      <c r="E223" s="7" t="n">
        <v>21.9</v>
      </c>
      <c r="F223" s="7" t="s">
        <v>3865</v>
      </c>
    </row>
    <row r="224" customFormat="false" ht="45.75" hidden="false" customHeight="true" outlineLevel="0" collapsed="false">
      <c r="A224" s="7" t="s">
        <v>3866</v>
      </c>
      <c r="B224" s="7" t="s">
        <v>3867</v>
      </c>
      <c r="C224" s="7" t="s">
        <v>3398</v>
      </c>
      <c r="D224" s="7" t="s">
        <v>3467</v>
      </c>
      <c r="E224" s="7" t="n">
        <v>36.7</v>
      </c>
      <c r="F224" s="7" t="s">
        <v>3868</v>
      </c>
    </row>
    <row r="225" customFormat="false" ht="102" hidden="false" customHeight="true" outlineLevel="0" collapsed="false">
      <c r="A225" s="7" t="s">
        <v>3869</v>
      </c>
      <c r="B225" s="7" t="s">
        <v>899</v>
      </c>
      <c r="C225" s="7" t="s">
        <v>1133</v>
      </c>
      <c r="D225" s="7" t="s">
        <v>3467</v>
      </c>
      <c r="E225" s="7" t="n">
        <v>24.1</v>
      </c>
      <c r="F225" s="7" t="s">
        <v>3870</v>
      </c>
    </row>
    <row r="226" customFormat="false" ht="34.5" hidden="false" customHeight="true" outlineLevel="0" collapsed="false">
      <c r="A226" s="7" t="s">
        <v>3869</v>
      </c>
      <c r="B226" s="7" t="s">
        <v>3526</v>
      </c>
      <c r="C226" s="7" t="s">
        <v>3447</v>
      </c>
      <c r="D226" s="7" t="s">
        <v>3467</v>
      </c>
      <c r="E226" s="7" t="n">
        <v>41</v>
      </c>
      <c r="F226" s="7" t="s">
        <v>3871</v>
      </c>
    </row>
    <row r="227" customFormat="false" ht="34.5" hidden="false" customHeight="true" outlineLevel="0" collapsed="false">
      <c r="A227" s="7" t="s">
        <v>3869</v>
      </c>
      <c r="B227" s="7" t="s">
        <v>3872</v>
      </c>
      <c r="C227" s="7" t="s">
        <v>3795</v>
      </c>
      <c r="D227" s="7" t="s">
        <v>3467</v>
      </c>
      <c r="E227" s="7" t="n">
        <v>65.7</v>
      </c>
      <c r="F227" s="7" t="s">
        <v>3873</v>
      </c>
    </row>
    <row r="228" customFormat="false" ht="45.75" hidden="false" customHeight="true" outlineLevel="0" collapsed="false">
      <c r="A228" s="7" t="s">
        <v>3874</v>
      </c>
      <c r="B228" s="7" t="s">
        <v>3820</v>
      </c>
      <c r="C228" s="7" t="s">
        <v>3821</v>
      </c>
      <c r="D228" s="7" t="s">
        <v>3467</v>
      </c>
      <c r="E228" s="7" t="n">
        <v>15.7</v>
      </c>
      <c r="F228" s="7" t="s">
        <v>3875</v>
      </c>
    </row>
    <row r="229" customFormat="false" ht="90.75" hidden="false" customHeight="true" outlineLevel="0" collapsed="false">
      <c r="A229" s="7" t="s">
        <v>3876</v>
      </c>
      <c r="B229" s="7" t="s">
        <v>3477</v>
      </c>
      <c r="C229" s="7" t="s">
        <v>3478</v>
      </c>
      <c r="D229" s="7" t="s">
        <v>3467</v>
      </c>
      <c r="E229" s="7" t="n">
        <v>57.7</v>
      </c>
      <c r="F229" s="7" t="s">
        <v>3877</v>
      </c>
    </row>
    <row r="230" customFormat="false" ht="68.25" hidden="false" customHeight="true" outlineLevel="0" collapsed="false">
      <c r="A230" s="7" t="s">
        <v>3878</v>
      </c>
      <c r="B230" s="7" t="s">
        <v>3820</v>
      </c>
      <c r="C230" s="7" t="s">
        <v>3821</v>
      </c>
      <c r="D230" s="7" t="s">
        <v>3467</v>
      </c>
      <c r="E230" s="7" t="n">
        <v>15.7</v>
      </c>
      <c r="F230" s="7" t="s">
        <v>3879</v>
      </c>
    </row>
    <row r="231" customFormat="false" ht="102" hidden="false" customHeight="true" outlineLevel="0" collapsed="false">
      <c r="A231" s="7" t="s">
        <v>3880</v>
      </c>
      <c r="B231" s="7" t="s">
        <v>3477</v>
      </c>
      <c r="C231" s="7" t="s">
        <v>3478</v>
      </c>
      <c r="D231" s="7" t="s">
        <v>3467</v>
      </c>
      <c r="E231" s="7" t="n">
        <v>57.7</v>
      </c>
      <c r="F231" s="7" t="s">
        <v>3881</v>
      </c>
    </row>
    <row r="232" customFormat="false" ht="68.25" hidden="false" customHeight="true" outlineLevel="0" collapsed="false">
      <c r="A232" s="7" t="s">
        <v>3882</v>
      </c>
      <c r="B232" s="7" t="s">
        <v>3820</v>
      </c>
      <c r="C232" s="7" t="s">
        <v>3821</v>
      </c>
      <c r="D232" s="7" t="s">
        <v>3467</v>
      </c>
      <c r="E232" s="7" t="n">
        <v>15.7</v>
      </c>
      <c r="F232" s="7" t="s">
        <v>3883</v>
      </c>
    </row>
    <row r="233" customFormat="false" ht="45.75" hidden="false" customHeight="true" outlineLevel="0" collapsed="false">
      <c r="A233" s="7" t="s">
        <v>3884</v>
      </c>
      <c r="B233" s="7" t="s">
        <v>3823</v>
      </c>
      <c r="C233" s="7" t="s">
        <v>3421</v>
      </c>
      <c r="D233" s="7" t="s">
        <v>3467</v>
      </c>
      <c r="E233" s="7" t="n">
        <v>68.9</v>
      </c>
      <c r="F233" s="7" t="s">
        <v>3885</v>
      </c>
    </row>
    <row r="234" customFormat="false" ht="34.5" hidden="false" customHeight="true" outlineLevel="0" collapsed="false">
      <c r="A234" s="7" t="s">
        <v>3884</v>
      </c>
      <c r="B234" s="7" t="s">
        <v>3847</v>
      </c>
      <c r="C234" s="7" t="s">
        <v>3886</v>
      </c>
      <c r="D234" s="7" t="s">
        <v>3467</v>
      </c>
      <c r="E234" s="7" t="n">
        <v>21.4</v>
      </c>
      <c r="F234" s="7" t="s">
        <v>3887</v>
      </c>
    </row>
    <row r="235" customFormat="false" ht="57" hidden="false" customHeight="true" outlineLevel="0" collapsed="false">
      <c r="A235" s="7" t="s">
        <v>3884</v>
      </c>
      <c r="B235" s="7" t="s">
        <v>3405</v>
      </c>
      <c r="C235" s="7" t="s">
        <v>3406</v>
      </c>
      <c r="D235" s="7" t="s">
        <v>3467</v>
      </c>
      <c r="E235" s="7" t="n">
        <v>44.7</v>
      </c>
      <c r="F235" s="7" t="s">
        <v>3888</v>
      </c>
    </row>
    <row r="236" customFormat="false" ht="90.75" hidden="false" customHeight="true" outlineLevel="0" collapsed="false">
      <c r="A236" s="7" t="s">
        <v>3889</v>
      </c>
      <c r="B236" s="7" t="s">
        <v>899</v>
      </c>
      <c r="C236" s="7" t="s">
        <v>1133</v>
      </c>
      <c r="D236" s="7" t="s">
        <v>3467</v>
      </c>
      <c r="E236" s="7" t="n">
        <v>24.1</v>
      </c>
      <c r="F236" s="7" t="s">
        <v>3890</v>
      </c>
    </row>
    <row r="237" customFormat="false" ht="34.5" hidden="false" customHeight="true" outlineLevel="0" collapsed="false">
      <c r="A237" s="7" t="s">
        <v>3889</v>
      </c>
      <c r="B237" s="7" t="s">
        <v>3778</v>
      </c>
      <c r="C237" s="7" t="s">
        <v>3779</v>
      </c>
      <c r="D237" s="7" t="s">
        <v>3467</v>
      </c>
      <c r="E237" s="7" t="n">
        <v>48.1</v>
      </c>
      <c r="F237" s="7" t="s">
        <v>3891</v>
      </c>
    </row>
    <row r="238" customFormat="false" ht="90.75" hidden="false" customHeight="true" outlineLevel="0" collapsed="false">
      <c r="A238" s="7" t="s">
        <v>3892</v>
      </c>
      <c r="B238" s="7" t="s">
        <v>3477</v>
      </c>
      <c r="C238" s="7" t="s">
        <v>3478</v>
      </c>
      <c r="D238" s="7" t="s">
        <v>3467</v>
      </c>
      <c r="E238" s="7" t="n">
        <v>57.7</v>
      </c>
      <c r="F238" s="7" t="s">
        <v>3893</v>
      </c>
    </row>
    <row r="239" customFormat="false" ht="57" hidden="false" customHeight="true" outlineLevel="0" collapsed="false">
      <c r="A239" s="7" t="s">
        <v>3894</v>
      </c>
      <c r="B239" s="7" t="s">
        <v>3405</v>
      </c>
      <c r="C239" s="7" t="s">
        <v>3406</v>
      </c>
      <c r="D239" s="7" t="s">
        <v>3467</v>
      </c>
      <c r="E239" s="7" t="n">
        <v>44.7</v>
      </c>
      <c r="F239" s="7" t="s">
        <v>3895</v>
      </c>
    </row>
    <row r="240" customFormat="false" ht="34.5" hidden="false" customHeight="true" outlineLevel="0" collapsed="false">
      <c r="A240" s="7" t="s">
        <v>3896</v>
      </c>
      <c r="B240" s="7" t="s">
        <v>3430</v>
      </c>
      <c r="C240" s="7" t="s">
        <v>3431</v>
      </c>
      <c r="D240" s="7" t="s">
        <v>3467</v>
      </c>
      <c r="E240" s="7" t="n">
        <v>73.9</v>
      </c>
      <c r="F240" s="7" t="s">
        <v>3897</v>
      </c>
    </row>
    <row r="241" customFormat="false" ht="68.25" hidden="false" customHeight="true" outlineLevel="0" collapsed="false">
      <c r="A241" s="7" t="s">
        <v>3898</v>
      </c>
      <c r="B241" s="7" t="s">
        <v>3820</v>
      </c>
      <c r="C241" s="7" t="s">
        <v>3821</v>
      </c>
      <c r="D241" s="7" t="s">
        <v>3467</v>
      </c>
      <c r="E241" s="7" t="n">
        <v>15.7</v>
      </c>
      <c r="F241" s="7" t="s">
        <v>3899</v>
      </c>
    </row>
    <row r="242" customFormat="false" ht="79.5" hidden="false" customHeight="true" outlineLevel="0" collapsed="false">
      <c r="A242" s="7" t="s">
        <v>3900</v>
      </c>
      <c r="B242" s="7" t="s">
        <v>3618</v>
      </c>
      <c r="C242" s="7" t="s">
        <v>3643</v>
      </c>
      <c r="D242" s="7" t="s">
        <v>3467</v>
      </c>
      <c r="E242" s="7" t="n">
        <v>21.7</v>
      </c>
      <c r="F242" s="7" t="s">
        <v>3901</v>
      </c>
    </row>
    <row r="243" customFormat="false" ht="34.5" hidden="false" customHeight="true" outlineLevel="0" collapsed="false">
      <c r="A243" s="7" t="s">
        <v>3902</v>
      </c>
      <c r="B243" s="7" t="s">
        <v>3903</v>
      </c>
      <c r="C243" s="7" t="s">
        <v>3904</v>
      </c>
      <c r="D243" s="7" t="s">
        <v>3467</v>
      </c>
      <c r="E243" s="7" t="n">
        <v>52.9</v>
      </c>
      <c r="F243" s="7" t="s">
        <v>3905</v>
      </c>
    </row>
    <row r="244" customFormat="false" ht="79.5" hidden="false" customHeight="true" outlineLevel="0" collapsed="false">
      <c r="A244" s="7" t="s">
        <v>3906</v>
      </c>
      <c r="B244" s="7" t="s">
        <v>899</v>
      </c>
      <c r="C244" s="7" t="s">
        <v>1133</v>
      </c>
      <c r="D244" s="7" t="s">
        <v>3467</v>
      </c>
      <c r="E244" s="7" t="n">
        <v>24.1</v>
      </c>
      <c r="F244" s="7" t="s">
        <v>3907</v>
      </c>
    </row>
    <row r="245" customFormat="false" ht="34.5" hidden="false" customHeight="true" outlineLevel="0" collapsed="false">
      <c r="A245" s="7" t="s">
        <v>3906</v>
      </c>
      <c r="B245" s="7" t="s">
        <v>3526</v>
      </c>
      <c r="C245" s="7" t="s">
        <v>3447</v>
      </c>
      <c r="D245" s="7" t="s">
        <v>3467</v>
      </c>
      <c r="E245" s="7" t="n">
        <v>41</v>
      </c>
      <c r="F245" s="7" t="s">
        <v>3908</v>
      </c>
    </row>
    <row r="246" customFormat="false" ht="45.75" hidden="false" customHeight="true" outlineLevel="0" collapsed="false">
      <c r="A246" s="7" t="s">
        <v>3909</v>
      </c>
      <c r="B246" s="7" t="s">
        <v>3477</v>
      </c>
      <c r="C246" s="7" t="s">
        <v>3478</v>
      </c>
      <c r="D246" s="7" t="s">
        <v>3467</v>
      </c>
      <c r="E246" s="7" t="n">
        <v>57.7</v>
      </c>
      <c r="F246" s="7" t="s">
        <v>3910</v>
      </c>
    </row>
    <row r="247" customFormat="false" ht="34.5" hidden="false" customHeight="true" outlineLevel="0" collapsed="false">
      <c r="A247" s="7" t="s">
        <v>3911</v>
      </c>
      <c r="B247" s="7" t="s">
        <v>3794</v>
      </c>
      <c r="C247" s="7" t="s">
        <v>3795</v>
      </c>
      <c r="D247" s="7" t="s">
        <v>3467</v>
      </c>
      <c r="E247" s="7" t="n">
        <v>45.1</v>
      </c>
      <c r="F247" s="7" t="s">
        <v>3912</v>
      </c>
    </row>
    <row r="248" customFormat="false" ht="34.5" hidden="false" customHeight="true" outlineLevel="0" collapsed="false">
      <c r="A248" s="7" t="s">
        <v>3913</v>
      </c>
      <c r="B248" s="7" t="s">
        <v>3618</v>
      </c>
      <c r="C248" s="7" t="s">
        <v>3643</v>
      </c>
      <c r="D248" s="7" t="s">
        <v>3467</v>
      </c>
      <c r="E248" s="7" t="n">
        <v>21.7</v>
      </c>
      <c r="F248" s="7" t="s">
        <v>3914</v>
      </c>
    </row>
    <row r="249" customFormat="false" ht="34.5" hidden="false" customHeight="true" outlineLevel="0" collapsed="false">
      <c r="A249" s="7" t="s">
        <v>3915</v>
      </c>
      <c r="B249" s="7" t="s">
        <v>3794</v>
      </c>
      <c r="C249" s="7" t="s">
        <v>3795</v>
      </c>
      <c r="D249" s="7" t="s">
        <v>3467</v>
      </c>
      <c r="E249" s="7" t="n">
        <v>45.1</v>
      </c>
      <c r="F249" s="7" t="s">
        <v>3916</v>
      </c>
    </row>
    <row r="250" customFormat="false" ht="34.5" hidden="false" customHeight="true" outlineLevel="0" collapsed="false">
      <c r="A250" s="7" t="s">
        <v>3915</v>
      </c>
      <c r="B250" s="7" t="s">
        <v>3847</v>
      </c>
      <c r="C250" s="7" t="s">
        <v>3886</v>
      </c>
      <c r="D250" s="7" t="s">
        <v>3467</v>
      </c>
      <c r="E250" s="7" t="n">
        <v>21.4</v>
      </c>
      <c r="F250" s="7" t="s">
        <v>3917</v>
      </c>
    </row>
    <row r="251" customFormat="false" ht="34.5" hidden="false" customHeight="true" outlineLevel="0" collapsed="false">
      <c r="A251" s="7" t="s">
        <v>3918</v>
      </c>
      <c r="B251" s="7" t="s">
        <v>3430</v>
      </c>
      <c r="C251" s="7" t="s">
        <v>3919</v>
      </c>
      <c r="D251" s="7" t="s">
        <v>3467</v>
      </c>
      <c r="E251" s="7" t="n">
        <v>73.3</v>
      </c>
      <c r="F251" s="7" t="s">
        <v>3920</v>
      </c>
    </row>
    <row r="252" customFormat="false" ht="34.5" hidden="false" customHeight="true" outlineLevel="0" collapsed="false">
      <c r="A252" s="7" t="s">
        <v>3918</v>
      </c>
      <c r="B252" s="7" t="s">
        <v>3477</v>
      </c>
      <c r="C252" s="7" t="s">
        <v>3478</v>
      </c>
      <c r="D252" s="7" t="s">
        <v>3467</v>
      </c>
      <c r="E252" s="7" t="n">
        <v>57.7</v>
      </c>
      <c r="F252" s="7" t="s">
        <v>3921</v>
      </c>
    </row>
    <row r="253" customFormat="false" ht="90.75" hidden="false" customHeight="true" outlineLevel="0" collapsed="false">
      <c r="A253" s="7" t="s">
        <v>3918</v>
      </c>
      <c r="B253" s="7" t="s">
        <v>899</v>
      </c>
      <c r="C253" s="7" t="s">
        <v>1133</v>
      </c>
      <c r="D253" s="7" t="s">
        <v>3384</v>
      </c>
      <c r="E253" s="7" t="n">
        <v>24.5</v>
      </c>
      <c r="F253" s="7" t="s">
        <v>3922</v>
      </c>
    </row>
    <row r="254" customFormat="false" ht="34.5" hidden="false" customHeight="true" outlineLevel="0" collapsed="false">
      <c r="A254" s="7" t="s">
        <v>3918</v>
      </c>
      <c r="B254" s="7" t="s">
        <v>3618</v>
      </c>
      <c r="C254" s="7" t="s">
        <v>3643</v>
      </c>
      <c r="D254" s="7" t="s">
        <v>3467</v>
      </c>
      <c r="E254" s="7" t="n">
        <v>21.7</v>
      </c>
      <c r="F254" s="7" t="s">
        <v>3923</v>
      </c>
    </row>
    <row r="255" customFormat="false" ht="45.75" hidden="false" customHeight="true" outlineLevel="0" collapsed="false">
      <c r="A255" s="7" t="s">
        <v>3918</v>
      </c>
      <c r="B255" s="7" t="s">
        <v>3820</v>
      </c>
      <c r="C255" s="7" t="s">
        <v>3821</v>
      </c>
      <c r="D255" s="7" t="s">
        <v>3467</v>
      </c>
      <c r="E255" s="7" t="n">
        <v>15.7</v>
      </c>
      <c r="F255" s="7" t="s">
        <v>3924</v>
      </c>
    </row>
    <row r="256" customFormat="false" ht="34.5" hidden="false" customHeight="true" outlineLevel="0" collapsed="false">
      <c r="A256" s="7" t="s">
        <v>3918</v>
      </c>
      <c r="B256" s="7" t="s">
        <v>3794</v>
      </c>
      <c r="C256" s="7" t="s">
        <v>3795</v>
      </c>
      <c r="D256" s="7" t="s">
        <v>3467</v>
      </c>
      <c r="E256" s="7" t="n">
        <v>45.1</v>
      </c>
      <c r="F256" s="7" t="s">
        <v>3925</v>
      </c>
    </row>
    <row r="257" customFormat="false" ht="45.75" hidden="false" customHeight="true" outlineLevel="0" collapsed="false">
      <c r="A257" s="7" t="s">
        <v>3926</v>
      </c>
      <c r="B257" s="7" t="s">
        <v>3927</v>
      </c>
      <c r="C257" s="7" t="s">
        <v>3375</v>
      </c>
      <c r="D257" s="7" t="s">
        <v>3467</v>
      </c>
      <c r="E257" s="7" t="n">
        <v>56.7</v>
      </c>
      <c r="F257" s="7" t="s">
        <v>3928</v>
      </c>
    </row>
    <row r="258" customFormat="false" ht="34.5" hidden="false" customHeight="true" outlineLevel="0" collapsed="false">
      <c r="A258" s="7" t="s">
        <v>3929</v>
      </c>
      <c r="B258" s="7" t="s">
        <v>3430</v>
      </c>
      <c r="C258" s="7" t="s">
        <v>3919</v>
      </c>
      <c r="D258" s="7" t="s">
        <v>3467</v>
      </c>
      <c r="E258" s="7" t="n">
        <v>73.3</v>
      </c>
      <c r="F258" s="7" t="s">
        <v>3930</v>
      </c>
    </row>
    <row r="259" customFormat="false" ht="34.5" hidden="false" customHeight="true" outlineLevel="0" collapsed="false">
      <c r="A259" s="7" t="s">
        <v>3929</v>
      </c>
      <c r="B259" s="7" t="s">
        <v>3405</v>
      </c>
      <c r="C259" s="7" t="s">
        <v>3406</v>
      </c>
      <c r="D259" s="7" t="s">
        <v>3467</v>
      </c>
      <c r="E259" s="7" t="n">
        <v>44.7</v>
      </c>
      <c r="F259" s="7" t="s">
        <v>3931</v>
      </c>
    </row>
    <row r="260" customFormat="false" ht="45.75" hidden="false" customHeight="true" outlineLevel="0" collapsed="false">
      <c r="A260" s="7" t="s">
        <v>3932</v>
      </c>
      <c r="B260" s="7" t="s">
        <v>899</v>
      </c>
      <c r="C260" s="7" t="s">
        <v>1133</v>
      </c>
      <c r="D260" s="7" t="s">
        <v>3467</v>
      </c>
      <c r="E260" s="7" t="n">
        <v>24.1</v>
      </c>
      <c r="F260" s="7" t="s">
        <v>3933</v>
      </c>
    </row>
    <row r="261" customFormat="false" ht="34.5" hidden="false" customHeight="true" outlineLevel="0" collapsed="false">
      <c r="A261" s="7" t="s">
        <v>3934</v>
      </c>
      <c r="B261" s="7" t="s">
        <v>3820</v>
      </c>
      <c r="C261" s="7" t="s">
        <v>3821</v>
      </c>
      <c r="D261" s="7" t="s">
        <v>3467</v>
      </c>
      <c r="E261" s="7" t="n">
        <v>15.7</v>
      </c>
      <c r="F261" s="7" t="s">
        <v>3935</v>
      </c>
    </row>
    <row r="262" customFormat="false" ht="34.5" hidden="false" customHeight="true" outlineLevel="0" collapsed="false">
      <c r="A262" s="7" t="s">
        <v>3936</v>
      </c>
      <c r="B262" s="7" t="s">
        <v>3778</v>
      </c>
      <c r="C262" s="7" t="s">
        <v>3779</v>
      </c>
      <c r="D262" s="7" t="s">
        <v>3467</v>
      </c>
      <c r="E262" s="7" t="n">
        <v>48.1</v>
      </c>
      <c r="F262" s="7" t="s">
        <v>3937</v>
      </c>
    </row>
    <row r="263" customFormat="false" ht="45.75" hidden="false" customHeight="true" outlineLevel="0" collapsed="false">
      <c r="A263" s="7" t="s">
        <v>1024</v>
      </c>
      <c r="B263" s="7" t="s">
        <v>3664</v>
      </c>
      <c r="C263" s="7" t="s">
        <v>3379</v>
      </c>
      <c r="D263" s="7" t="s">
        <v>3388</v>
      </c>
      <c r="E263" s="7" t="n">
        <v>25.2</v>
      </c>
      <c r="F263" s="7" t="s">
        <v>3938</v>
      </c>
    </row>
    <row r="264" customFormat="false" ht="45.75" hidden="false" customHeight="true" outlineLevel="0" collapsed="false">
      <c r="A264" s="7" t="s">
        <v>1024</v>
      </c>
      <c r="B264" s="7" t="s">
        <v>3664</v>
      </c>
      <c r="C264" s="7" t="s">
        <v>3379</v>
      </c>
      <c r="D264" s="7" t="s">
        <v>3467</v>
      </c>
      <c r="E264" s="7" t="n">
        <v>25.2</v>
      </c>
      <c r="F264" s="7" t="s">
        <v>3939</v>
      </c>
    </row>
    <row r="265" customFormat="false" ht="45.75" hidden="false" customHeight="true" outlineLevel="0" collapsed="false">
      <c r="A265" s="7" t="s">
        <v>3940</v>
      </c>
      <c r="B265" s="7" t="s">
        <v>3839</v>
      </c>
      <c r="C265" s="7" t="s">
        <v>3840</v>
      </c>
      <c r="D265" s="7" t="s">
        <v>3467</v>
      </c>
      <c r="E265" s="7" t="n">
        <v>60</v>
      </c>
      <c r="F265" s="7" t="s">
        <v>3941</v>
      </c>
    </row>
    <row r="266" customFormat="false" ht="57" hidden="false" customHeight="true" outlineLevel="0" collapsed="false">
      <c r="A266" s="7" t="s">
        <v>3942</v>
      </c>
      <c r="B266" s="7" t="s">
        <v>3477</v>
      </c>
      <c r="C266" s="7" t="s">
        <v>3478</v>
      </c>
      <c r="D266" s="7" t="s">
        <v>3467</v>
      </c>
      <c r="E266" s="7" t="n">
        <v>57.7</v>
      </c>
      <c r="F266" s="7" t="s">
        <v>3943</v>
      </c>
    </row>
    <row r="267" customFormat="false" ht="45.75" hidden="false" customHeight="true" outlineLevel="0" collapsed="false">
      <c r="A267" s="7" t="s">
        <v>3944</v>
      </c>
      <c r="B267" s="7" t="s">
        <v>3945</v>
      </c>
      <c r="C267" s="7" t="s">
        <v>3946</v>
      </c>
      <c r="D267" s="7" t="s">
        <v>3467</v>
      </c>
      <c r="E267" s="7" t="n">
        <v>57.1</v>
      </c>
      <c r="F267" s="7" t="s">
        <v>3947</v>
      </c>
    </row>
    <row r="268" customFormat="false" ht="45.75" hidden="false" customHeight="true" outlineLevel="0" collapsed="false">
      <c r="A268" s="7" t="s">
        <v>3944</v>
      </c>
      <c r="B268" s="7" t="s">
        <v>3948</v>
      </c>
      <c r="C268" s="7" t="s">
        <v>3949</v>
      </c>
      <c r="D268" s="7" t="s">
        <v>3467</v>
      </c>
      <c r="E268" s="7" t="n">
        <v>63.4</v>
      </c>
      <c r="F268" s="7" t="s">
        <v>3950</v>
      </c>
    </row>
    <row r="269" customFormat="false" ht="45.75" hidden="false" customHeight="true" outlineLevel="0" collapsed="false">
      <c r="A269" s="7" t="s">
        <v>3944</v>
      </c>
      <c r="B269" s="7" t="s">
        <v>899</v>
      </c>
      <c r="C269" s="7" t="s">
        <v>1133</v>
      </c>
      <c r="D269" s="7" t="s">
        <v>3467</v>
      </c>
      <c r="E269" s="7" t="n">
        <v>24.2</v>
      </c>
      <c r="F269" s="7" t="s">
        <v>3951</v>
      </c>
    </row>
    <row r="270" customFormat="false" ht="34.5" hidden="false" customHeight="true" outlineLevel="0" collapsed="false">
      <c r="A270" s="7" t="s">
        <v>3944</v>
      </c>
      <c r="B270" s="7" t="s">
        <v>994</v>
      </c>
      <c r="C270" s="7" t="s">
        <v>3952</v>
      </c>
      <c r="D270" s="7" t="s">
        <v>3467</v>
      </c>
      <c r="E270" s="7" t="n">
        <v>25.7</v>
      </c>
      <c r="F270" s="7" t="s">
        <v>3953</v>
      </c>
    </row>
    <row r="271" customFormat="false" ht="45.75" hidden="false" customHeight="true" outlineLevel="0" collapsed="false">
      <c r="A271" s="7" t="s">
        <v>3944</v>
      </c>
      <c r="B271" s="7" t="s">
        <v>3954</v>
      </c>
      <c r="C271" s="7" t="s">
        <v>3421</v>
      </c>
      <c r="D271" s="7" t="s">
        <v>3467</v>
      </c>
      <c r="E271" s="7" t="n">
        <v>64.7</v>
      </c>
      <c r="F271" s="7" t="s">
        <v>3955</v>
      </c>
    </row>
    <row r="272" customFormat="false" ht="45.75" hidden="false" customHeight="true" outlineLevel="0" collapsed="false">
      <c r="A272" s="7" t="s">
        <v>3944</v>
      </c>
      <c r="B272" s="7" t="s">
        <v>3430</v>
      </c>
      <c r="C272" s="7" t="s">
        <v>3919</v>
      </c>
      <c r="D272" s="7" t="s">
        <v>3467</v>
      </c>
      <c r="E272" s="7" t="n">
        <v>73.3</v>
      </c>
      <c r="F272" s="7" t="s">
        <v>3956</v>
      </c>
    </row>
    <row r="273" customFormat="false" ht="45.75" hidden="false" customHeight="true" outlineLevel="0" collapsed="false">
      <c r="A273" s="7" t="s">
        <v>3957</v>
      </c>
      <c r="B273" s="7" t="s">
        <v>3749</v>
      </c>
      <c r="C273" s="7" t="s">
        <v>3750</v>
      </c>
      <c r="D273" s="7" t="s">
        <v>3467</v>
      </c>
      <c r="E273" s="7" t="n">
        <v>66.4</v>
      </c>
      <c r="F273" s="7" t="s">
        <v>3958</v>
      </c>
    </row>
    <row r="274" customFormat="false" ht="45.75" hidden="false" customHeight="true" outlineLevel="0" collapsed="false">
      <c r="A274" s="7" t="s">
        <v>1019</v>
      </c>
      <c r="B274" s="7" t="s">
        <v>3959</v>
      </c>
      <c r="C274" s="7" t="s">
        <v>3960</v>
      </c>
      <c r="D274" s="7" t="s">
        <v>3467</v>
      </c>
      <c r="E274" s="7" t="n">
        <v>57.8</v>
      </c>
      <c r="F274" s="7" t="s">
        <v>3961</v>
      </c>
    </row>
    <row r="275" customFormat="false" ht="45.75" hidden="false" customHeight="true" outlineLevel="0" collapsed="false">
      <c r="A275" s="7" t="s">
        <v>3962</v>
      </c>
      <c r="B275" s="7" t="s">
        <v>3571</v>
      </c>
      <c r="C275" s="7" t="s">
        <v>1133</v>
      </c>
      <c r="D275" s="7" t="s">
        <v>3467</v>
      </c>
      <c r="E275" s="7" t="n">
        <v>22.5</v>
      </c>
      <c r="F275" s="7" t="s">
        <v>3963</v>
      </c>
    </row>
    <row r="276" customFormat="false" ht="45.75" hidden="false" customHeight="true" outlineLevel="0" collapsed="false">
      <c r="A276" s="7" t="s">
        <v>3962</v>
      </c>
      <c r="B276" s="7" t="s">
        <v>3526</v>
      </c>
      <c r="C276" s="7" t="s">
        <v>3447</v>
      </c>
      <c r="D276" s="7" t="s">
        <v>3467</v>
      </c>
      <c r="E276" s="7" t="n">
        <v>41</v>
      </c>
      <c r="F276" s="7" t="s">
        <v>3964</v>
      </c>
    </row>
    <row r="277" customFormat="false" ht="45.75" hidden="false" customHeight="true" outlineLevel="0" collapsed="false">
      <c r="A277" s="7" t="s">
        <v>3965</v>
      </c>
      <c r="B277" s="7" t="s">
        <v>3477</v>
      </c>
      <c r="C277" s="7" t="s">
        <v>3478</v>
      </c>
      <c r="D277" s="7" t="s">
        <v>3467</v>
      </c>
      <c r="E277" s="7" t="n">
        <v>57.7</v>
      </c>
      <c r="F277" s="7" t="s">
        <v>3966</v>
      </c>
    </row>
    <row r="278" customFormat="false" ht="45.75" hidden="false" customHeight="true" outlineLevel="0" collapsed="false">
      <c r="A278" s="7" t="s">
        <v>3965</v>
      </c>
      <c r="B278" s="7" t="s">
        <v>3948</v>
      </c>
      <c r="C278" s="7" t="s">
        <v>3949</v>
      </c>
      <c r="D278" s="7" t="s">
        <v>3467</v>
      </c>
      <c r="E278" s="7" t="n">
        <v>63.4</v>
      </c>
      <c r="F278" s="7" t="s">
        <v>3967</v>
      </c>
    </row>
    <row r="279" customFormat="false" ht="34.5" hidden="false" customHeight="true" outlineLevel="0" collapsed="false">
      <c r="A279" s="7" t="s">
        <v>3968</v>
      </c>
      <c r="B279" s="7" t="s">
        <v>3477</v>
      </c>
      <c r="C279" s="7" t="s">
        <v>3478</v>
      </c>
      <c r="D279" s="7" t="s">
        <v>3467</v>
      </c>
      <c r="E279" s="7" t="n">
        <v>57.7</v>
      </c>
      <c r="F279" s="7" t="s">
        <v>3969</v>
      </c>
    </row>
    <row r="280" customFormat="false" ht="34.5" hidden="false" customHeight="true" outlineLevel="0" collapsed="false">
      <c r="A280" s="7" t="s">
        <v>3968</v>
      </c>
      <c r="B280" s="7" t="s">
        <v>3623</v>
      </c>
      <c r="C280" s="7" t="s">
        <v>3624</v>
      </c>
      <c r="D280" s="7" t="s">
        <v>3467</v>
      </c>
      <c r="E280" s="7" t="n">
        <v>46.6</v>
      </c>
      <c r="F280" s="7" t="s">
        <v>3970</v>
      </c>
    </row>
    <row r="281" customFormat="false" ht="34.5" hidden="false" customHeight="true" outlineLevel="0" collapsed="false">
      <c r="A281" s="7" t="s">
        <v>3968</v>
      </c>
      <c r="B281" s="7" t="s">
        <v>3971</v>
      </c>
      <c r="C281" s="7" t="s">
        <v>3647</v>
      </c>
      <c r="D281" s="7" t="s">
        <v>3467</v>
      </c>
      <c r="E281" s="7" t="n">
        <v>59.7</v>
      </c>
      <c r="F281" s="7" t="s">
        <v>3972</v>
      </c>
    </row>
    <row r="282" customFormat="false" ht="57" hidden="false" customHeight="true" outlineLevel="0" collapsed="false">
      <c r="A282" s="7" t="s">
        <v>3973</v>
      </c>
      <c r="B282" s="7" t="s">
        <v>3477</v>
      </c>
      <c r="C282" s="7" t="s">
        <v>3478</v>
      </c>
      <c r="D282" s="7" t="s">
        <v>3467</v>
      </c>
      <c r="E282" s="7" t="n">
        <v>57.4</v>
      </c>
      <c r="F282" s="7" t="s">
        <v>3974</v>
      </c>
    </row>
    <row r="283" customFormat="false" ht="34.5" hidden="false" customHeight="true" outlineLevel="0" collapsed="false">
      <c r="A283" s="7" t="s">
        <v>3975</v>
      </c>
      <c r="B283" s="7" t="s">
        <v>3639</v>
      </c>
      <c r="C283" s="7" t="s">
        <v>3640</v>
      </c>
      <c r="D283" s="7" t="s">
        <v>3467</v>
      </c>
      <c r="E283" s="7" t="n">
        <v>51</v>
      </c>
      <c r="F283" s="7" t="s">
        <v>3976</v>
      </c>
    </row>
    <row r="284" customFormat="false" ht="45.75" hidden="false" customHeight="true" outlineLevel="0" collapsed="false">
      <c r="A284" s="7" t="s">
        <v>3975</v>
      </c>
      <c r="B284" s="7" t="s">
        <v>3842</v>
      </c>
      <c r="C284" s="7" t="s">
        <v>3383</v>
      </c>
      <c r="D284" s="7" t="s">
        <v>3467</v>
      </c>
      <c r="E284" s="7" t="n">
        <v>61.6</v>
      </c>
      <c r="F284" s="7" t="s">
        <v>3977</v>
      </c>
    </row>
    <row r="285" customFormat="false" ht="45.75" hidden="false" customHeight="true" outlineLevel="0" collapsed="false">
      <c r="A285" s="7" t="s">
        <v>3975</v>
      </c>
      <c r="B285" s="7" t="s">
        <v>3948</v>
      </c>
      <c r="C285" s="7" t="s">
        <v>3949</v>
      </c>
      <c r="D285" s="7" t="s">
        <v>3467</v>
      </c>
      <c r="E285" s="7" t="n">
        <v>63.4</v>
      </c>
      <c r="F285" s="7" t="s">
        <v>3978</v>
      </c>
    </row>
    <row r="286" customFormat="false" ht="34.5" hidden="false" customHeight="true" outlineLevel="0" collapsed="false">
      <c r="A286" s="7" t="s">
        <v>3975</v>
      </c>
      <c r="B286" s="7" t="s">
        <v>3473</v>
      </c>
      <c r="C286" s="7" t="s">
        <v>3417</v>
      </c>
      <c r="D286" s="7" t="s">
        <v>3467</v>
      </c>
      <c r="E286" s="7" t="n">
        <v>58.9</v>
      </c>
      <c r="F286" s="7" t="s">
        <v>3979</v>
      </c>
    </row>
    <row r="287" customFormat="false" ht="34.5" hidden="false" customHeight="true" outlineLevel="0" collapsed="false">
      <c r="A287" s="7" t="s">
        <v>3975</v>
      </c>
      <c r="B287" s="7" t="s">
        <v>3980</v>
      </c>
      <c r="C287" s="7" t="s">
        <v>3708</v>
      </c>
      <c r="D287" s="7" t="s">
        <v>3467</v>
      </c>
      <c r="E287" s="7" t="n">
        <v>20</v>
      </c>
      <c r="F287" s="7" t="s">
        <v>3981</v>
      </c>
    </row>
    <row r="288" customFormat="false" ht="34.5" hidden="false" customHeight="true" outlineLevel="0" collapsed="false">
      <c r="A288" s="7" t="s">
        <v>3982</v>
      </c>
      <c r="B288" s="7" t="s">
        <v>3794</v>
      </c>
      <c r="C288" s="7" t="s">
        <v>3983</v>
      </c>
      <c r="D288" s="7" t="s">
        <v>3467</v>
      </c>
      <c r="E288" s="7" t="n">
        <v>42.2</v>
      </c>
      <c r="F288" s="7" t="s">
        <v>3984</v>
      </c>
    </row>
    <row r="289" customFormat="false" ht="34.5" hidden="false" customHeight="true" outlineLevel="0" collapsed="false">
      <c r="A289" s="7" t="s">
        <v>3982</v>
      </c>
      <c r="B289" s="7" t="s">
        <v>3787</v>
      </c>
      <c r="C289" s="7" t="s">
        <v>3788</v>
      </c>
      <c r="D289" s="7" t="s">
        <v>3467</v>
      </c>
      <c r="E289" s="7" t="n">
        <v>40</v>
      </c>
      <c r="F289" s="7" t="s">
        <v>3985</v>
      </c>
    </row>
    <row r="290" customFormat="false" ht="34.5" hidden="false" customHeight="true" outlineLevel="0" collapsed="false">
      <c r="A290" s="7" t="s">
        <v>3986</v>
      </c>
      <c r="B290" s="7" t="s">
        <v>3987</v>
      </c>
      <c r="C290" s="7" t="s">
        <v>3795</v>
      </c>
      <c r="D290" s="7" t="s">
        <v>3467</v>
      </c>
      <c r="E290" s="7" t="n">
        <v>44.9</v>
      </c>
      <c r="F290" s="7" t="s">
        <v>3988</v>
      </c>
    </row>
    <row r="291" customFormat="false" ht="45.75" hidden="false" customHeight="true" outlineLevel="0" collapsed="false">
      <c r="A291" s="7" t="s">
        <v>3989</v>
      </c>
      <c r="B291" s="7" t="s">
        <v>899</v>
      </c>
      <c r="C291" s="7" t="s">
        <v>1133</v>
      </c>
      <c r="D291" s="7" t="s">
        <v>3467</v>
      </c>
      <c r="E291" s="7" t="n">
        <v>24.5</v>
      </c>
      <c r="F291" s="7" t="s">
        <v>3990</v>
      </c>
    </row>
    <row r="292" customFormat="false" ht="34.5" hidden="false" customHeight="true" outlineLevel="0" collapsed="false">
      <c r="A292" s="7" t="s">
        <v>3989</v>
      </c>
      <c r="B292" s="7" t="s">
        <v>3526</v>
      </c>
      <c r="C292" s="7" t="s">
        <v>3447</v>
      </c>
      <c r="D292" s="7" t="s">
        <v>3467</v>
      </c>
      <c r="E292" s="7" t="n">
        <v>41.1</v>
      </c>
      <c r="F292" s="7" t="s">
        <v>3991</v>
      </c>
    </row>
    <row r="293" customFormat="false" ht="45.75" hidden="false" customHeight="true" outlineLevel="0" collapsed="false">
      <c r="A293" s="7" t="s">
        <v>3992</v>
      </c>
      <c r="B293" s="7" t="s">
        <v>3571</v>
      </c>
      <c r="C293" s="7" t="s">
        <v>1133</v>
      </c>
      <c r="D293" s="7" t="s">
        <v>3467</v>
      </c>
      <c r="E293" s="7" t="n">
        <v>22.5</v>
      </c>
      <c r="F293" s="7" t="s">
        <v>3993</v>
      </c>
    </row>
    <row r="294" customFormat="false" ht="45.75" hidden="false" customHeight="true" outlineLevel="0" collapsed="false">
      <c r="A294" s="7" t="s">
        <v>3994</v>
      </c>
      <c r="B294" s="7" t="s">
        <v>3995</v>
      </c>
      <c r="C294" s="7" t="s">
        <v>3996</v>
      </c>
      <c r="D294" s="7" t="s">
        <v>3467</v>
      </c>
      <c r="E294" s="7" t="n">
        <v>66.7</v>
      </c>
      <c r="F294" s="7" t="s">
        <v>3997</v>
      </c>
    </row>
    <row r="295" customFormat="false" ht="34.5" hidden="false" customHeight="true" outlineLevel="0" collapsed="false">
      <c r="A295" s="7" t="s">
        <v>3998</v>
      </c>
      <c r="B295" s="7" t="s">
        <v>3839</v>
      </c>
      <c r="C295" s="7" t="s">
        <v>3840</v>
      </c>
      <c r="D295" s="7" t="s">
        <v>3467</v>
      </c>
      <c r="E295" s="7" t="n">
        <v>60.3</v>
      </c>
      <c r="F295" s="7" t="s">
        <v>3999</v>
      </c>
    </row>
    <row r="296" customFormat="false" ht="34.5" hidden="false" customHeight="true" outlineLevel="0" collapsed="false">
      <c r="A296" s="7" t="s">
        <v>4000</v>
      </c>
      <c r="B296" s="7" t="s">
        <v>4001</v>
      </c>
      <c r="C296" s="7" t="s">
        <v>4002</v>
      </c>
      <c r="D296" s="7" t="s">
        <v>3467</v>
      </c>
      <c r="E296" s="7" t="n">
        <v>58.2</v>
      </c>
      <c r="F296" s="7" t="s">
        <v>4003</v>
      </c>
    </row>
    <row r="297" customFormat="false" ht="34.5" hidden="false" customHeight="true" outlineLevel="0" collapsed="false">
      <c r="A297" s="7" t="s">
        <v>4004</v>
      </c>
      <c r="B297" s="7" t="s">
        <v>994</v>
      </c>
      <c r="C297" s="7" t="s">
        <v>3952</v>
      </c>
      <c r="D297" s="7" t="s">
        <v>3467</v>
      </c>
      <c r="E297" s="7" t="n">
        <v>25.2</v>
      </c>
      <c r="F297" s="7" t="s">
        <v>4005</v>
      </c>
    </row>
    <row r="298" customFormat="false" ht="34.5" hidden="false" customHeight="true" outlineLevel="0" collapsed="false">
      <c r="A298" s="7" t="s">
        <v>4006</v>
      </c>
      <c r="B298" s="7" t="s">
        <v>3987</v>
      </c>
      <c r="C298" s="7" t="s">
        <v>3795</v>
      </c>
      <c r="D298" s="7" t="s">
        <v>3467</v>
      </c>
      <c r="E298" s="7" t="n">
        <v>44.9</v>
      </c>
      <c r="F298" s="7" t="s">
        <v>4007</v>
      </c>
    </row>
    <row r="299" customFormat="false" ht="45.75" hidden="false" customHeight="true" outlineLevel="0" collapsed="false">
      <c r="A299" s="7" t="s">
        <v>4006</v>
      </c>
      <c r="B299" s="7" t="s">
        <v>3477</v>
      </c>
      <c r="C299" s="7" t="s">
        <v>3478</v>
      </c>
      <c r="D299" s="7" t="s">
        <v>3467</v>
      </c>
      <c r="E299" s="7" t="n">
        <v>57.4</v>
      </c>
      <c r="F299" s="7" t="s">
        <v>4008</v>
      </c>
    </row>
    <row r="300" customFormat="false" ht="34.5" hidden="false" customHeight="true" outlineLevel="0" collapsed="false">
      <c r="A300" s="7" t="s">
        <v>4009</v>
      </c>
      <c r="B300" s="7" t="s">
        <v>3959</v>
      </c>
      <c r="C300" s="7" t="s">
        <v>3960</v>
      </c>
      <c r="D300" s="7" t="s">
        <v>3467</v>
      </c>
      <c r="E300" s="7" t="n">
        <v>57.8</v>
      </c>
      <c r="F300" s="7" t="s">
        <v>4010</v>
      </c>
    </row>
    <row r="301" customFormat="false" ht="34.5" hidden="false" customHeight="true" outlineLevel="0" collapsed="false">
      <c r="A301" s="7" t="s">
        <v>4009</v>
      </c>
      <c r="B301" s="7" t="s">
        <v>4011</v>
      </c>
      <c r="C301" s="7" t="s">
        <v>3412</v>
      </c>
      <c r="D301" s="7" t="s">
        <v>3467</v>
      </c>
      <c r="E301" s="7" t="n">
        <v>66.9</v>
      </c>
      <c r="F301" s="7" t="s">
        <v>4012</v>
      </c>
    </row>
    <row r="302" customFormat="false" ht="34.5" hidden="false" customHeight="true" outlineLevel="0" collapsed="false">
      <c r="A302" s="7" t="s">
        <v>4009</v>
      </c>
      <c r="B302" s="7" t="s">
        <v>3948</v>
      </c>
      <c r="C302" s="7" t="s">
        <v>3949</v>
      </c>
      <c r="D302" s="7" t="s">
        <v>3467</v>
      </c>
      <c r="E302" s="7" t="n">
        <v>63.4</v>
      </c>
      <c r="F302" s="7" t="s">
        <v>4013</v>
      </c>
    </row>
    <row r="303" customFormat="false" ht="34.5" hidden="false" customHeight="true" outlineLevel="0" collapsed="false">
      <c r="A303" s="7" t="s">
        <v>4009</v>
      </c>
      <c r="B303" s="7" t="s">
        <v>3473</v>
      </c>
      <c r="C303" s="7" t="s">
        <v>3417</v>
      </c>
      <c r="D303" s="7" t="s">
        <v>3467</v>
      </c>
      <c r="E303" s="7" t="n">
        <v>58.9</v>
      </c>
      <c r="F303" s="7" t="s">
        <v>4014</v>
      </c>
    </row>
    <row r="304" customFormat="false" ht="45.75" hidden="false" customHeight="true" outlineLevel="0" collapsed="false">
      <c r="A304" s="7" t="s">
        <v>4009</v>
      </c>
      <c r="B304" s="7" t="s">
        <v>3623</v>
      </c>
      <c r="C304" s="7" t="s">
        <v>3624</v>
      </c>
      <c r="D304" s="7" t="s">
        <v>3467</v>
      </c>
      <c r="E304" s="7" t="n">
        <v>46.6</v>
      </c>
      <c r="F304" s="7" t="s">
        <v>4015</v>
      </c>
    </row>
    <row r="305" customFormat="false" ht="34.5" hidden="false" customHeight="true" outlineLevel="0" collapsed="false">
      <c r="A305" s="7" t="s">
        <v>4009</v>
      </c>
      <c r="B305" s="7" t="s">
        <v>4016</v>
      </c>
      <c r="C305" s="7" t="s">
        <v>4017</v>
      </c>
      <c r="D305" s="7" t="s">
        <v>3467</v>
      </c>
      <c r="E305" s="7" t="n">
        <v>55.3</v>
      </c>
      <c r="F305" s="7" t="s">
        <v>4018</v>
      </c>
    </row>
    <row r="306" customFormat="false" ht="34.5" hidden="false" customHeight="true" outlineLevel="0" collapsed="false">
      <c r="A306" s="7" t="s">
        <v>4009</v>
      </c>
      <c r="B306" s="7" t="s">
        <v>4019</v>
      </c>
      <c r="C306" s="7" t="s">
        <v>4020</v>
      </c>
      <c r="D306" s="7" t="s">
        <v>3467</v>
      </c>
      <c r="E306" s="7" t="n">
        <v>51.4</v>
      </c>
      <c r="F306" s="7" t="s">
        <v>4021</v>
      </c>
    </row>
    <row r="307" customFormat="false" ht="34.5" hidden="false" customHeight="true" outlineLevel="0" collapsed="false">
      <c r="A307" s="7" t="s">
        <v>4009</v>
      </c>
      <c r="B307" s="7" t="s">
        <v>3945</v>
      </c>
      <c r="C307" s="7" t="s">
        <v>3946</v>
      </c>
      <c r="D307" s="7" t="s">
        <v>3467</v>
      </c>
      <c r="E307" s="7" t="n">
        <v>57.1</v>
      </c>
      <c r="F307" s="7" t="s">
        <v>4022</v>
      </c>
    </row>
    <row r="308" customFormat="false" ht="34.5" hidden="false" customHeight="true" outlineLevel="0" collapsed="false">
      <c r="A308" s="7" t="s">
        <v>4009</v>
      </c>
      <c r="B308" s="7" t="s">
        <v>4023</v>
      </c>
      <c r="C308" s="7" t="s">
        <v>3946</v>
      </c>
      <c r="D308" s="7" t="s">
        <v>3467</v>
      </c>
      <c r="E308" s="7" t="n">
        <v>48.2</v>
      </c>
      <c r="F308" s="7" t="s">
        <v>4024</v>
      </c>
    </row>
    <row r="309" customFormat="false" ht="45.75" hidden="false" customHeight="true" outlineLevel="0" collapsed="false">
      <c r="A309" s="7" t="s">
        <v>4009</v>
      </c>
      <c r="B309" s="7" t="s">
        <v>3639</v>
      </c>
      <c r="C309" s="7" t="s">
        <v>3640</v>
      </c>
      <c r="D309" s="7" t="s">
        <v>3467</v>
      </c>
      <c r="E309" s="7" t="n">
        <v>51</v>
      </c>
      <c r="F309" s="7" t="s">
        <v>4025</v>
      </c>
    </row>
    <row r="310" customFormat="false" ht="34.5" hidden="false" customHeight="true" outlineLevel="0" collapsed="false">
      <c r="A310" s="7" t="s">
        <v>4026</v>
      </c>
      <c r="B310" s="7" t="s">
        <v>4027</v>
      </c>
      <c r="C310" s="7" t="s">
        <v>4028</v>
      </c>
      <c r="D310" s="7" t="s">
        <v>3467</v>
      </c>
      <c r="E310" s="7" t="n">
        <v>62.5</v>
      </c>
      <c r="F310" s="7" t="s">
        <v>4029</v>
      </c>
    </row>
    <row r="311" customFormat="false" ht="34.5" hidden="false" customHeight="true" outlineLevel="0" collapsed="false">
      <c r="A311" s="7" t="s">
        <v>4026</v>
      </c>
      <c r="B311" s="7" t="s">
        <v>3959</v>
      </c>
      <c r="C311" s="7" t="s">
        <v>4030</v>
      </c>
      <c r="D311" s="7" t="s">
        <v>3467</v>
      </c>
      <c r="E311" s="7" t="n">
        <v>58.8</v>
      </c>
      <c r="F311" s="7" t="s">
        <v>4031</v>
      </c>
    </row>
    <row r="312" customFormat="false" ht="34.5" hidden="false" customHeight="true" outlineLevel="0" collapsed="false">
      <c r="A312" s="7" t="s">
        <v>4026</v>
      </c>
      <c r="B312" s="7" t="s">
        <v>3980</v>
      </c>
      <c r="C312" s="7" t="s">
        <v>3708</v>
      </c>
      <c r="D312" s="7" t="s">
        <v>3467</v>
      </c>
      <c r="E312" s="7" t="n">
        <v>20</v>
      </c>
      <c r="F312" s="7" t="s">
        <v>4032</v>
      </c>
    </row>
    <row r="313" customFormat="false" ht="45.75" hidden="false" customHeight="true" outlineLevel="0" collapsed="false">
      <c r="A313" s="7" t="s">
        <v>4026</v>
      </c>
      <c r="B313" s="7" t="s">
        <v>3405</v>
      </c>
      <c r="C313" s="7" t="s">
        <v>3406</v>
      </c>
      <c r="D313" s="7" t="s">
        <v>3467</v>
      </c>
      <c r="E313" s="7" t="n">
        <v>44.9</v>
      </c>
      <c r="F313" s="7" t="s">
        <v>4033</v>
      </c>
    </row>
    <row r="314" customFormat="false" ht="34.5" hidden="false" customHeight="true" outlineLevel="0" collapsed="false">
      <c r="A314" s="7" t="s">
        <v>4034</v>
      </c>
      <c r="B314" s="7" t="s">
        <v>3842</v>
      </c>
      <c r="C314" s="7" t="s">
        <v>3383</v>
      </c>
      <c r="D314" s="7" t="s">
        <v>3467</v>
      </c>
      <c r="E314" s="7" t="n">
        <v>61.6</v>
      </c>
      <c r="F314" s="7" t="s">
        <v>4035</v>
      </c>
    </row>
    <row r="315" customFormat="false" ht="34.5" hidden="false" customHeight="true" outlineLevel="0" collapsed="false">
      <c r="A315" s="7" t="s">
        <v>4036</v>
      </c>
      <c r="B315" s="7" t="s">
        <v>3867</v>
      </c>
      <c r="C315" s="7" t="s">
        <v>3398</v>
      </c>
      <c r="D315" s="7" t="s">
        <v>3467</v>
      </c>
      <c r="E315" s="7" t="n">
        <v>36.6</v>
      </c>
      <c r="F315" s="7" t="s">
        <v>4037</v>
      </c>
    </row>
    <row r="316" customFormat="false" ht="57" hidden="false" customHeight="true" outlineLevel="0" collapsed="false">
      <c r="A316" s="7" t="s">
        <v>4038</v>
      </c>
      <c r="B316" s="7" t="s">
        <v>3477</v>
      </c>
      <c r="C316" s="7" t="s">
        <v>3478</v>
      </c>
      <c r="D316" s="7" t="s">
        <v>3467</v>
      </c>
      <c r="E316" s="7" t="n">
        <v>57.4</v>
      </c>
      <c r="F316" s="7" t="s">
        <v>4039</v>
      </c>
    </row>
    <row r="317" customFormat="false" ht="34.5" hidden="false" customHeight="true" outlineLevel="0" collapsed="false">
      <c r="A317" s="7" t="s">
        <v>4040</v>
      </c>
      <c r="B317" s="7" t="s">
        <v>4001</v>
      </c>
      <c r="C317" s="7" t="s">
        <v>4002</v>
      </c>
      <c r="D317" s="7" t="s">
        <v>3467</v>
      </c>
      <c r="E317" s="7" t="n">
        <v>58.2</v>
      </c>
      <c r="F317" s="7" t="s">
        <v>4041</v>
      </c>
    </row>
    <row r="318" customFormat="false" ht="34.5" hidden="false" customHeight="true" outlineLevel="0" collapsed="false">
      <c r="A318" s="7" t="s">
        <v>4042</v>
      </c>
      <c r="B318" s="7" t="s">
        <v>3526</v>
      </c>
      <c r="C318" s="7" t="s">
        <v>3447</v>
      </c>
      <c r="D318" s="7" t="s">
        <v>3467</v>
      </c>
      <c r="E318" s="7" t="n">
        <v>41.1</v>
      </c>
      <c r="F318" s="7" t="s">
        <v>4043</v>
      </c>
    </row>
    <row r="319" customFormat="false" ht="34.5" hidden="false" customHeight="true" outlineLevel="0" collapsed="false">
      <c r="A319" s="7" t="s">
        <v>4044</v>
      </c>
      <c r="B319" s="7" t="s">
        <v>3959</v>
      </c>
      <c r="C319" s="7" t="s">
        <v>3960</v>
      </c>
      <c r="D319" s="7" t="s">
        <v>3467</v>
      </c>
      <c r="E319" s="7" t="n">
        <v>57.8</v>
      </c>
      <c r="F319" s="7" t="s">
        <v>4045</v>
      </c>
    </row>
    <row r="320" customFormat="false" ht="34.5" hidden="false" customHeight="true" outlineLevel="0" collapsed="false">
      <c r="A320" s="7" t="s">
        <v>4044</v>
      </c>
      <c r="B320" s="7" t="s">
        <v>3477</v>
      </c>
      <c r="C320" s="7" t="s">
        <v>3478</v>
      </c>
      <c r="D320" s="7" t="s">
        <v>3467</v>
      </c>
      <c r="E320" s="7" t="n">
        <v>57.4</v>
      </c>
      <c r="F320" s="7" t="s">
        <v>4046</v>
      </c>
    </row>
    <row r="321" customFormat="false" ht="34.5" hidden="false" customHeight="true" outlineLevel="0" collapsed="false">
      <c r="A321" s="7" t="s">
        <v>4044</v>
      </c>
      <c r="B321" s="7" t="s">
        <v>4047</v>
      </c>
      <c r="C321" s="7" t="s">
        <v>4048</v>
      </c>
      <c r="D321" s="7" t="s">
        <v>3467</v>
      </c>
      <c r="E321" s="7" t="n">
        <v>70.3</v>
      </c>
      <c r="F321" s="7" t="s">
        <v>4049</v>
      </c>
    </row>
    <row r="322" customFormat="false" ht="45.75" hidden="false" customHeight="true" outlineLevel="0" collapsed="false">
      <c r="A322" s="7" t="s">
        <v>4044</v>
      </c>
      <c r="B322" s="7" t="s">
        <v>3571</v>
      </c>
      <c r="C322" s="7" t="s">
        <v>1133</v>
      </c>
      <c r="D322" s="7" t="s">
        <v>3467</v>
      </c>
      <c r="E322" s="7" t="n">
        <v>22.5</v>
      </c>
      <c r="F322" s="7" t="s">
        <v>4050</v>
      </c>
    </row>
    <row r="323" customFormat="false" ht="45.75" hidden="false" customHeight="true" outlineLevel="0" collapsed="false">
      <c r="A323" s="7" t="s">
        <v>4044</v>
      </c>
      <c r="B323" s="7" t="s">
        <v>899</v>
      </c>
      <c r="C323" s="7" t="s">
        <v>1133</v>
      </c>
      <c r="D323" s="7" t="s">
        <v>3467</v>
      </c>
      <c r="E323" s="7" t="n">
        <v>24.5</v>
      </c>
      <c r="F323" s="7" t="s">
        <v>4051</v>
      </c>
    </row>
    <row r="324" customFormat="false" ht="34.5" hidden="false" customHeight="true" outlineLevel="0" collapsed="false">
      <c r="A324" s="7" t="s">
        <v>4044</v>
      </c>
      <c r="B324" s="7" t="s">
        <v>3473</v>
      </c>
      <c r="C324" s="7" t="s">
        <v>3417</v>
      </c>
      <c r="D324" s="7" t="s">
        <v>3467</v>
      </c>
      <c r="E324" s="7" t="n">
        <v>58.9</v>
      </c>
      <c r="F324" s="7" t="s">
        <v>4052</v>
      </c>
    </row>
    <row r="325" customFormat="false" ht="34.5" hidden="false" customHeight="true" outlineLevel="0" collapsed="false">
      <c r="A325" s="7" t="s">
        <v>4044</v>
      </c>
      <c r="B325" s="7" t="s">
        <v>4053</v>
      </c>
      <c r="C325" s="7" t="s">
        <v>4054</v>
      </c>
      <c r="D325" s="7" t="s">
        <v>3467</v>
      </c>
      <c r="E325" s="7" t="n">
        <v>47.8</v>
      </c>
      <c r="F325" s="7" t="s">
        <v>4055</v>
      </c>
    </row>
    <row r="326" customFormat="false" ht="34.5" hidden="false" customHeight="true" outlineLevel="0" collapsed="false">
      <c r="A326" s="7" t="s">
        <v>4044</v>
      </c>
      <c r="B326" s="7" t="s">
        <v>3579</v>
      </c>
      <c r="C326" s="7" t="s">
        <v>3379</v>
      </c>
      <c r="D326" s="7" t="s">
        <v>3467</v>
      </c>
      <c r="E326" s="7" t="n">
        <v>50.6</v>
      </c>
      <c r="F326" s="7" t="s">
        <v>4056</v>
      </c>
    </row>
    <row r="327" customFormat="false" ht="34.5" hidden="false" customHeight="true" outlineLevel="0" collapsed="false">
      <c r="A327" s="7" t="s">
        <v>4044</v>
      </c>
      <c r="B327" s="7" t="s">
        <v>3867</v>
      </c>
      <c r="C327" s="7" t="s">
        <v>3398</v>
      </c>
      <c r="D327" s="7" t="s">
        <v>3467</v>
      </c>
      <c r="E327" s="7" t="n">
        <v>36.6</v>
      </c>
      <c r="F327" s="7" t="s">
        <v>4057</v>
      </c>
    </row>
    <row r="328" customFormat="false" ht="45.75" hidden="false" customHeight="true" outlineLevel="0" collapsed="false">
      <c r="A328" s="7" t="s">
        <v>4044</v>
      </c>
      <c r="B328" s="7" t="s">
        <v>3405</v>
      </c>
      <c r="C328" s="7" t="s">
        <v>3406</v>
      </c>
      <c r="D328" s="7" t="s">
        <v>3467</v>
      </c>
      <c r="E328" s="7" t="n">
        <v>44.9</v>
      </c>
      <c r="F328" s="7" t="s">
        <v>4058</v>
      </c>
    </row>
    <row r="329" customFormat="false" ht="34.5" hidden="false" customHeight="true" outlineLevel="0" collapsed="false">
      <c r="A329" s="7" t="s">
        <v>4044</v>
      </c>
      <c r="B329" s="7" t="s">
        <v>3995</v>
      </c>
      <c r="C329" s="7" t="s">
        <v>3996</v>
      </c>
      <c r="D329" s="7" t="s">
        <v>3467</v>
      </c>
      <c r="E329" s="7" t="n">
        <v>66.7</v>
      </c>
      <c r="F329" s="7" t="s">
        <v>4059</v>
      </c>
    </row>
    <row r="330" customFormat="false" ht="34.5" hidden="false" customHeight="true" outlineLevel="0" collapsed="false">
      <c r="A330" s="7" t="s">
        <v>4044</v>
      </c>
      <c r="B330" s="7" t="s">
        <v>4060</v>
      </c>
      <c r="C330" s="7" t="s">
        <v>3946</v>
      </c>
      <c r="D330" s="7" t="s">
        <v>3467</v>
      </c>
      <c r="E330" s="7" t="n">
        <v>62</v>
      </c>
      <c r="F330" s="7" t="s">
        <v>4061</v>
      </c>
    </row>
    <row r="331" customFormat="false" ht="34.5" hidden="false" customHeight="true" outlineLevel="0" collapsed="false">
      <c r="A331" s="7" t="s">
        <v>4044</v>
      </c>
      <c r="B331" s="7" t="s">
        <v>3945</v>
      </c>
      <c r="C331" s="7" t="s">
        <v>3946</v>
      </c>
      <c r="D331" s="7" t="s">
        <v>3467</v>
      </c>
      <c r="E331" s="7" t="n">
        <v>57.1</v>
      </c>
      <c r="F331" s="7" t="s">
        <v>4062</v>
      </c>
    </row>
    <row r="332" customFormat="false" ht="34.5" hidden="false" customHeight="true" outlineLevel="0" collapsed="false">
      <c r="A332" s="7" t="s">
        <v>4044</v>
      </c>
      <c r="B332" s="7" t="s">
        <v>4023</v>
      </c>
      <c r="C332" s="7" t="s">
        <v>3946</v>
      </c>
      <c r="D332" s="7" t="s">
        <v>3467</v>
      </c>
      <c r="E332" s="7" t="n">
        <v>48.2</v>
      </c>
      <c r="F332" s="7" t="s">
        <v>4063</v>
      </c>
    </row>
    <row r="333" customFormat="false" ht="57" hidden="false" customHeight="true" outlineLevel="0" collapsed="false">
      <c r="A333" s="7" t="s">
        <v>4044</v>
      </c>
      <c r="B333" s="7" t="s">
        <v>3639</v>
      </c>
      <c r="C333" s="7" t="s">
        <v>3640</v>
      </c>
      <c r="D333" s="7" t="s">
        <v>3467</v>
      </c>
      <c r="E333" s="7" t="n">
        <v>51</v>
      </c>
      <c r="F333" s="7" t="s">
        <v>4064</v>
      </c>
    </row>
    <row r="334" customFormat="false" ht="34.5" hidden="false" customHeight="true" outlineLevel="0" collapsed="false">
      <c r="A334" s="7" t="s">
        <v>4065</v>
      </c>
      <c r="B334" s="7" t="s">
        <v>3794</v>
      </c>
      <c r="C334" s="7" t="s">
        <v>3983</v>
      </c>
      <c r="D334" s="7" t="s">
        <v>3467</v>
      </c>
      <c r="E334" s="7" t="n">
        <v>42.2</v>
      </c>
      <c r="F334" s="7" t="s">
        <v>4066</v>
      </c>
    </row>
    <row r="335" customFormat="false" ht="34.5" hidden="false" customHeight="true" outlineLevel="0" collapsed="false">
      <c r="A335" s="7" t="s">
        <v>4067</v>
      </c>
      <c r="B335" s="7" t="s">
        <v>4068</v>
      </c>
      <c r="C335" s="7" t="s">
        <v>4069</v>
      </c>
      <c r="D335" s="7" t="s">
        <v>3467</v>
      </c>
      <c r="E335" s="7" t="n">
        <v>67.2</v>
      </c>
      <c r="F335" s="7" t="s">
        <v>4070</v>
      </c>
    </row>
    <row r="336" customFormat="false" ht="34.5" hidden="false" customHeight="true" outlineLevel="0" collapsed="false">
      <c r="A336" s="7" t="s">
        <v>4071</v>
      </c>
      <c r="B336" s="7" t="s">
        <v>3639</v>
      </c>
      <c r="C336" s="7" t="s">
        <v>3640</v>
      </c>
      <c r="D336" s="7" t="s">
        <v>3467</v>
      </c>
      <c r="E336" s="7" t="n">
        <v>51</v>
      </c>
      <c r="F336" s="7" t="s">
        <v>4072</v>
      </c>
    </row>
    <row r="337" customFormat="false" ht="34.5" hidden="false" customHeight="true" outlineLevel="0" collapsed="false">
      <c r="A337" s="7" t="s">
        <v>4073</v>
      </c>
      <c r="B337" s="7" t="s">
        <v>3867</v>
      </c>
      <c r="C337" s="7" t="s">
        <v>4074</v>
      </c>
      <c r="D337" s="7" t="s">
        <v>3467</v>
      </c>
      <c r="E337" s="7" t="n">
        <v>35.9</v>
      </c>
      <c r="F337" s="7" t="s">
        <v>4075</v>
      </c>
    </row>
    <row r="338" customFormat="false" ht="57" hidden="false" customHeight="true" outlineLevel="0" collapsed="false">
      <c r="A338" s="7" t="s">
        <v>4076</v>
      </c>
      <c r="B338" s="7" t="s">
        <v>3473</v>
      </c>
      <c r="C338" s="7" t="s">
        <v>3417</v>
      </c>
      <c r="D338" s="7" t="s">
        <v>3467</v>
      </c>
      <c r="E338" s="7" t="n">
        <v>58.9</v>
      </c>
      <c r="F338" s="7" t="s">
        <v>4077</v>
      </c>
    </row>
    <row r="339" customFormat="false" ht="34.5" hidden="false" customHeight="true" outlineLevel="0" collapsed="false">
      <c r="A339" s="7" t="s">
        <v>4076</v>
      </c>
      <c r="B339" s="7" t="s">
        <v>3867</v>
      </c>
      <c r="C339" s="7" t="s">
        <v>3398</v>
      </c>
      <c r="D339" s="7" t="s">
        <v>3467</v>
      </c>
      <c r="E339" s="7" t="n">
        <v>36.6</v>
      </c>
      <c r="F339" s="7" t="s">
        <v>4078</v>
      </c>
    </row>
    <row r="340" customFormat="false" ht="34.5" hidden="false" customHeight="true" outlineLevel="0" collapsed="false">
      <c r="A340" s="7" t="s">
        <v>4079</v>
      </c>
      <c r="B340" s="7" t="s">
        <v>3639</v>
      </c>
      <c r="C340" s="7" t="s">
        <v>3640</v>
      </c>
      <c r="D340" s="7" t="s">
        <v>3467</v>
      </c>
      <c r="E340" s="7" t="n">
        <v>51</v>
      </c>
      <c r="F340" s="7" t="s">
        <v>4080</v>
      </c>
    </row>
    <row r="341" customFormat="false" ht="57" hidden="false" customHeight="true" outlineLevel="0" collapsed="false">
      <c r="A341" s="7" t="s">
        <v>4079</v>
      </c>
      <c r="B341" s="7" t="s">
        <v>3526</v>
      </c>
      <c r="C341" s="7" t="s">
        <v>3447</v>
      </c>
      <c r="D341" s="7" t="s">
        <v>3467</v>
      </c>
      <c r="E341" s="7" t="n">
        <v>41.1</v>
      </c>
      <c r="F341" s="7" t="s">
        <v>4081</v>
      </c>
    </row>
    <row r="342" customFormat="false" ht="34.5" hidden="false" customHeight="true" outlineLevel="0" collapsed="false">
      <c r="A342" s="7" t="s">
        <v>4082</v>
      </c>
      <c r="B342" s="7" t="s">
        <v>4083</v>
      </c>
      <c r="C342" s="7" t="s">
        <v>4069</v>
      </c>
      <c r="D342" s="7" t="s">
        <v>3467</v>
      </c>
      <c r="E342" s="7" t="n">
        <v>71.9</v>
      </c>
      <c r="F342" s="7" t="s">
        <v>4084</v>
      </c>
    </row>
    <row r="343" customFormat="false" ht="45.75" hidden="false" customHeight="true" outlineLevel="0" collapsed="false">
      <c r="A343" s="7" t="s">
        <v>4085</v>
      </c>
      <c r="B343" s="7" t="s">
        <v>3405</v>
      </c>
      <c r="C343" s="7" t="s">
        <v>3406</v>
      </c>
      <c r="D343" s="7" t="s">
        <v>3467</v>
      </c>
      <c r="E343" s="7" t="n">
        <v>44.9</v>
      </c>
      <c r="F343" s="7" t="s">
        <v>4086</v>
      </c>
    </row>
    <row r="344" customFormat="false" ht="34.5" hidden="false" customHeight="true" outlineLevel="0" collapsed="false">
      <c r="A344" s="7" t="s">
        <v>4085</v>
      </c>
      <c r="B344" s="7" t="s">
        <v>3787</v>
      </c>
      <c r="C344" s="7" t="s">
        <v>3788</v>
      </c>
      <c r="D344" s="7" t="s">
        <v>3467</v>
      </c>
      <c r="E344" s="7" t="n">
        <v>40</v>
      </c>
      <c r="F344" s="7" t="s">
        <v>4087</v>
      </c>
    </row>
    <row r="345" customFormat="false" ht="34.5" hidden="false" customHeight="true" outlineLevel="0" collapsed="false">
      <c r="A345" s="7" t="s">
        <v>4088</v>
      </c>
      <c r="B345" s="7" t="s">
        <v>3867</v>
      </c>
      <c r="C345" s="7" t="s">
        <v>3398</v>
      </c>
      <c r="D345" s="7" t="s">
        <v>3467</v>
      </c>
      <c r="E345" s="7" t="n">
        <v>36.6</v>
      </c>
      <c r="F345" s="7" t="s">
        <v>4089</v>
      </c>
    </row>
    <row r="346" customFormat="false" ht="34.5" hidden="false" customHeight="true" outlineLevel="0" collapsed="false">
      <c r="A346" s="7" t="s">
        <v>4090</v>
      </c>
      <c r="B346" s="7" t="s">
        <v>3639</v>
      </c>
      <c r="C346" s="7" t="s">
        <v>3640</v>
      </c>
      <c r="D346" s="7" t="s">
        <v>3467</v>
      </c>
      <c r="E346" s="7" t="n">
        <v>51</v>
      </c>
      <c r="F346" s="7" t="s">
        <v>4091</v>
      </c>
    </row>
    <row r="347" customFormat="false" ht="34.5" hidden="false" customHeight="true" outlineLevel="0" collapsed="false">
      <c r="A347" s="7" t="s">
        <v>4090</v>
      </c>
      <c r="B347" s="7" t="s">
        <v>3473</v>
      </c>
      <c r="C347" s="7" t="s">
        <v>3417</v>
      </c>
      <c r="D347" s="7" t="s">
        <v>3467</v>
      </c>
      <c r="E347" s="7" t="n">
        <v>58.9</v>
      </c>
      <c r="F347" s="7" t="s">
        <v>4092</v>
      </c>
    </row>
    <row r="348" customFormat="false" ht="34.5" hidden="false" customHeight="true" outlineLevel="0" collapsed="false">
      <c r="A348" s="7" t="s">
        <v>4090</v>
      </c>
      <c r="B348" s="7" t="s">
        <v>4053</v>
      </c>
      <c r="C348" s="7" t="s">
        <v>4054</v>
      </c>
      <c r="D348" s="7" t="s">
        <v>3467</v>
      </c>
      <c r="E348" s="7" t="n">
        <v>47.8</v>
      </c>
      <c r="F348" s="7" t="s">
        <v>4093</v>
      </c>
    </row>
    <row r="349" customFormat="false" ht="34.5" hidden="false" customHeight="true" outlineLevel="0" collapsed="false">
      <c r="A349" s="7" t="s">
        <v>4090</v>
      </c>
      <c r="B349" s="7" t="s">
        <v>3839</v>
      </c>
      <c r="C349" s="7" t="s">
        <v>3840</v>
      </c>
      <c r="D349" s="7" t="s">
        <v>3467</v>
      </c>
      <c r="E349" s="7" t="n">
        <v>60.3</v>
      </c>
      <c r="F349" s="7" t="s">
        <v>4094</v>
      </c>
    </row>
    <row r="350" customFormat="false" ht="34.5" hidden="false" customHeight="true" outlineLevel="0" collapsed="false">
      <c r="A350" s="7" t="s">
        <v>4095</v>
      </c>
      <c r="B350" s="7" t="s">
        <v>4060</v>
      </c>
      <c r="C350" s="7" t="s">
        <v>3946</v>
      </c>
      <c r="D350" s="7" t="s">
        <v>3467</v>
      </c>
      <c r="E350" s="7" t="n">
        <v>62</v>
      </c>
      <c r="F350" s="7" t="s">
        <v>4096</v>
      </c>
    </row>
    <row r="351" customFormat="false" ht="34.5" hidden="false" customHeight="true" outlineLevel="0" collapsed="false">
      <c r="A351" s="7" t="s">
        <v>4095</v>
      </c>
      <c r="B351" s="7" t="s">
        <v>3959</v>
      </c>
      <c r="C351" s="7" t="s">
        <v>3960</v>
      </c>
      <c r="D351" s="7" t="s">
        <v>3467</v>
      </c>
      <c r="E351" s="7" t="n">
        <v>57.8</v>
      </c>
      <c r="F351" s="7" t="s">
        <v>4097</v>
      </c>
    </row>
    <row r="352" customFormat="false" ht="34.5" hidden="false" customHeight="true" outlineLevel="0" collapsed="false">
      <c r="A352" s="7" t="s">
        <v>4095</v>
      </c>
      <c r="B352" s="7" t="s">
        <v>3430</v>
      </c>
      <c r="C352" s="7" t="s">
        <v>3919</v>
      </c>
      <c r="D352" s="7" t="s">
        <v>3467</v>
      </c>
      <c r="E352" s="7" t="n">
        <v>73</v>
      </c>
      <c r="F352" s="7" t="s">
        <v>4098</v>
      </c>
    </row>
    <row r="353" customFormat="false" ht="45.75" hidden="false" customHeight="true" outlineLevel="0" collapsed="false">
      <c r="A353" s="7" t="s">
        <v>4099</v>
      </c>
      <c r="B353" s="7" t="s">
        <v>3571</v>
      </c>
      <c r="C353" s="7" t="s">
        <v>1133</v>
      </c>
      <c r="D353" s="7" t="s">
        <v>3467</v>
      </c>
      <c r="E353" s="7" t="n">
        <v>22.5</v>
      </c>
      <c r="F353" s="7" t="s">
        <v>4100</v>
      </c>
    </row>
    <row r="354" customFormat="false" ht="57" hidden="false" customHeight="true" outlineLevel="0" collapsed="false">
      <c r="A354" s="7" t="s">
        <v>4101</v>
      </c>
      <c r="B354" s="7" t="s">
        <v>3526</v>
      </c>
      <c r="C354" s="7" t="s">
        <v>3447</v>
      </c>
      <c r="D354" s="7" t="s">
        <v>3467</v>
      </c>
      <c r="E354" s="7" t="n">
        <v>41.1</v>
      </c>
      <c r="F354" s="7" t="s">
        <v>4102</v>
      </c>
    </row>
    <row r="355" customFormat="false" ht="34.5" hidden="false" customHeight="true" outlineLevel="0" collapsed="false">
      <c r="A355" s="7" t="s">
        <v>4103</v>
      </c>
      <c r="B355" s="7" t="s">
        <v>3959</v>
      </c>
      <c r="C355" s="7" t="s">
        <v>4030</v>
      </c>
      <c r="D355" s="7" t="s">
        <v>3467</v>
      </c>
      <c r="E355" s="7" t="n">
        <v>58.8</v>
      </c>
      <c r="F355" s="7" t="s">
        <v>4104</v>
      </c>
    </row>
    <row r="356" customFormat="false" ht="34.5" hidden="false" customHeight="true" outlineLevel="0" collapsed="false">
      <c r="A356" s="7" t="s">
        <v>4105</v>
      </c>
      <c r="B356" s="7" t="s">
        <v>3639</v>
      </c>
      <c r="C356" s="7" t="s">
        <v>3640</v>
      </c>
      <c r="D356" s="7" t="s">
        <v>3467</v>
      </c>
      <c r="E356" s="7" t="n">
        <v>51</v>
      </c>
      <c r="F356" s="7" t="s">
        <v>4106</v>
      </c>
    </row>
    <row r="357" customFormat="false" ht="45.75" hidden="false" customHeight="true" outlineLevel="0" collapsed="false">
      <c r="A357" s="7" t="s">
        <v>4107</v>
      </c>
      <c r="B357" s="7" t="s">
        <v>899</v>
      </c>
      <c r="C357" s="7" t="s">
        <v>1133</v>
      </c>
      <c r="D357" s="7" t="s">
        <v>3467</v>
      </c>
      <c r="E357" s="7" t="n">
        <v>24.5</v>
      </c>
      <c r="F357" s="7" t="s">
        <v>4108</v>
      </c>
    </row>
    <row r="358" customFormat="false" ht="34.5" hidden="false" customHeight="true" outlineLevel="0" collapsed="false">
      <c r="A358" s="7" t="s">
        <v>4109</v>
      </c>
      <c r="B358" s="7" t="s">
        <v>3839</v>
      </c>
      <c r="C358" s="7" t="s">
        <v>3840</v>
      </c>
      <c r="D358" s="7" t="s">
        <v>3467</v>
      </c>
      <c r="E358" s="7" t="n">
        <v>60.3</v>
      </c>
      <c r="F358" s="7" t="s">
        <v>4110</v>
      </c>
    </row>
    <row r="359" customFormat="false" ht="34.5" hidden="false" customHeight="true" outlineLevel="0" collapsed="false">
      <c r="A359" s="7" t="s">
        <v>4111</v>
      </c>
      <c r="B359" s="7" t="s">
        <v>899</v>
      </c>
      <c r="C359" s="7" t="s">
        <v>1133</v>
      </c>
      <c r="D359" s="7" t="s">
        <v>3467</v>
      </c>
      <c r="E359" s="7" t="n">
        <v>24.5</v>
      </c>
      <c r="F359" s="7" t="s">
        <v>4112</v>
      </c>
    </row>
    <row r="360" customFormat="false" ht="34.5" hidden="false" customHeight="true" outlineLevel="0" collapsed="false">
      <c r="A360" s="7" t="s">
        <v>4113</v>
      </c>
      <c r="B360" s="7" t="s">
        <v>3477</v>
      </c>
      <c r="C360" s="7" t="s">
        <v>3478</v>
      </c>
      <c r="D360" s="7" t="s">
        <v>3467</v>
      </c>
      <c r="E360" s="7" t="n">
        <v>57.4</v>
      </c>
      <c r="F360" s="7" t="s">
        <v>4114</v>
      </c>
    </row>
    <row r="361" customFormat="false" ht="45.75" hidden="false" customHeight="true" outlineLevel="0" collapsed="false">
      <c r="A361" s="7" t="s">
        <v>4115</v>
      </c>
      <c r="B361" s="7" t="s">
        <v>3571</v>
      </c>
      <c r="C361" s="7" t="s">
        <v>1133</v>
      </c>
      <c r="D361" s="7" t="s">
        <v>3467</v>
      </c>
      <c r="E361" s="7" t="n">
        <v>22.5</v>
      </c>
      <c r="F361" s="7" t="s">
        <v>4116</v>
      </c>
    </row>
    <row r="362" customFormat="false" ht="34.5" hidden="false" customHeight="true" outlineLevel="0" collapsed="false">
      <c r="A362" s="7" t="s">
        <v>4117</v>
      </c>
      <c r="B362" s="7" t="s">
        <v>3403</v>
      </c>
      <c r="C362" s="7" t="s">
        <v>3404</v>
      </c>
      <c r="D362" s="7" t="s">
        <v>3467</v>
      </c>
      <c r="E362" s="7" t="n">
        <v>48.3</v>
      </c>
      <c r="F362" s="7" t="s">
        <v>4118</v>
      </c>
    </row>
    <row r="363" customFormat="false" ht="34.5" hidden="false" customHeight="true" outlineLevel="0" collapsed="false">
      <c r="A363" s="7" t="s">
        <v>4117</v>
      </c>
      <c r="B363" s="7" t="s">
        <v>3477</v>
      </c>
      <c r="C363" s="7" t="s">
        <v>3478</v>
      </c>
      <c r="D363" s="7" t="s">
        <v>3467</v>
      </c>
      <c r="E363" s="7" t="n">
        <v>57.4</v>
      </c>
      <c r="F363" s="7" t="s">
        <v>4119</v>
      </c>
    </row>
    <row r="364" customFormat="false" ht="34.5" hidden="false" customHeight="true" outlineLevel="0" collapsed="false">
      <c r="A364" s="7" t="s">
        <v>4117</v>
      </c>
      <c r="B364" s="7" t="s">
        <v>3954</v>
      </c>
      <c r="C364" s="7" t="s">
        <v>3421</v>
      </c>
      <c r="D364" s="7" t="s">
        <v>3467</v>
      </c>
      <c r="E364" s="7" t="n">
        <v>65</v>
      </c>
      <c r="F364" s="7" t="s">
        <v>4120</v>
      </c>
    </row>
    <row r="365" customFormat="false" ht="34.5" hidden="false" customHeight="true" outlineLevel="0" collapsed="false">
      <c r="A365" s="7" t="s">
        <v>4121</v>
      </c>
      <c r="B365" s="7" t="s">
        <v>994</v>
      </c>
      <c r="C365" s="7" t="s">
        <v>3952</v>
      </c>
      <c r="D365" s="7" t="s">
        <v>3467</v>
      </c>
      <c r="E365" s="7" t="n">
        <v>25.2</v>
      </c>
      <c r="F365" s="7" t="s">
        <v>4122</v>
      </c>
    </row>
    <row r="366" customFormat="false" ht="34.5" hidden="false" customHeight="true" outlineLevel="0" collapsed="false">
      <c r="A366" s="7" t="s">
        <v>4121</v>
      </c>
      <c r="B366" s="7" t="s">
        <v>3794</v>
      </c>
      <c r="C366" s="7" t="s">
        <v>3983</v>
      </c>
      <c r="D366" s="7" t="s">
        <v>3467</v>
      </c>
      <c r="E366" s="7" t="n">
        <v>42.2</v>
      </c>
      <c r="F366" s="7" t="s">
        <v>4123</v>
      </c>
    </row>
    <row r="367" customFormat="false" ht="34.5" hidden="false" customHeight="true" outlineLevel="0" collapsed="false">
      <c r="A367" s="7" t="s">
        <v>4121</v>
      </c>
      <c r="B367" s="7" t="s">
        <v>3987</v>
      </c>
      <c r="C367" s="7" t="s">
        <v>3795</v>
      </c>
      <c r="D367" s="7" t="s">
        <v>3467</v>
      </c>
      <c r="E367" s="7" t="n">
        <v>44.9</v>
      </c>
      <c r="F367" s="7" t="s">
        <v>4124</v>
      </c>
    </row>
    <row r="368" customFormat="false" ht="34.5" hidden="false" customHeight="true" outlineLevel="0" collapsed="false">
      <c r="A368" s="7" t="s">
        <v>4125</v>
      </c>
      <c r="B368" s="7" t="s">
        <v>3867</v>
      </c>
      <c r="C368" s="7" t="s">
        <v>4074</v>
      </c>
      <c r="D368" s="7" t="s">
        <v>3467</v>
      </c>
      <c r="E368" s="7" t="n">
        <v>35.9</v>
      </c>
      <c r="F368" s="7" t="s">
        <v>4126</v>
      </c>
    </row>
    <row r="369" customFormat="false" ht="34.5" hidden="false" customHeight="true" outlineLevel="0" collapsed="false">
      <c r="A369" s="7" t="s">
        <v>4127</v>
      </c>
      <c r="B369" s="7" t="s">
        <v>3587</v>
      </c>
      <c r="C369" s="7" t="s">
        <v>3375</v>
      </c>
      <c r="D369" s="7" t="s">
        <v>3467</v>
      </c>
      <c r="E369" s="7" t="n">
        <v>56.4</v>
      </c>
      <c r="F369" s="7" t="s">
        <v>4128</v>
      </c>
    </row>
    <row r="370" customFormat="false" ht="34.5" hidden="false" customHeight="true" outlineLevel="0" collapsed="false">
      <c r="A370" s="7" t="s">
        <v>942</v>
      </c>
      <c r="B370" s="7" t="s">
        <v>3477</v>
      </c>
      <c r="C370" s="7" t="s">
        <v>3478</v>
      </c>
      <c r="D370" s="7" t="s">
        <v>3467</v>
      </c>
      <c r="E370" s="7" t="n">
        <v>57.4</v>
      </c>
      <c r="F370" s="7" t="s">
        <v>4129</v>
      </c>
    </row>
    <row r="371" customFormat="false" ht="34.5" hidden="false" customHeight="true" outlineLevel="0" collapsed="false">
      <c r="A371" s="7" t="s">
        <v>942</v>
      </c>
      <c r="B371" s="7" t="s">
        <v>3980</v>
      </c>
      <c r="C371" s="7" t="s">
        <v>3708</v>
      </c>
      <c r="D371" s="7" t="s">
        <v>3467</v>
      </c>
      <c r="E371" s="7" t="n">
        <v>20</v>
      </c>
      <c r="F371" s="7" t="s">
        <v>4130</v>
      </c>
    </row>
    <row r="372" customFormat="false" ht="34.5" hidden="false" customHeight="true" outlineLevel="0" collapsed="false">
      <c r="A372" s="7" t="s">
        <v>4131</v>
      </c>
      <c r="B372" s="7" t="s">
        <v>3945</v>
      </c>
      <c r="C372" s="7" t="s">
        <v>3946</v>
      </c>
      <c r="D372" s="7" t="s">
        <v>3467</v>
      </c>
      <c r="E372" s="7" t="n">
        <v>57.1</v>
      </c>
      <c r="F372" s="7" t="s">
        <v>4132</v>
      </c>
    </row>
    <row r="373" customFormat="false" ht="45.75" hidden="false" customHeight="true" outlineLevel="0" collapsed="false">
      <c r="A373" s="7" t="s">
        <v>4131</v>
      </c>
      <c r="B373" s="7" t="s">
        <v>3571</v>
      </c>
      <c r="C373" s="7" t="s">
        <v>1133</v>
      </c>
      <c r="D373" s="7" t="s">
        <v>3467</v>
      </c>
      <c r="E373" s="7" t="n">
        <v>22.5</v>
      </c>
      <c r="F373" s="7" t="s">
        <v>4133</v>
      </c>
    </row>
    <row r="374" customFormat="false" ht="45.75" hidden="false" customHeight="true" outlineLevel="0" collapsed="false">
      <c r="A374" s="7" t="s">
        <v>4131</v>
      </c>
      <c r="B374" s="7" t="s">
        <v>3623</v>
      </c>
      <c r="C374" s="7" t="s">
        <v>3624</v>
      </c>
      <c r="D374" s="7" t="s">
        <v>3467</v>
      </c>
      <c r="E374" s="7" t="n">
        <v>46.6</v>
      </c>
      <c r="F374" s="7" t="s">
        <v>4134</v>
      </c>
    </row>
    <row r="375" customFormat="false" ht="34.5" hidden="false" customHeight="true" outlineLevel="0" collapsed="false">
      <c r="A375" s="7" t="s">
        <v>4131</v>
      </c>
      <c r="B375" s="7" t="s">
        <v>3794</v>
      </c>
      <c r="C375" s="7" t="s">
        <v>3983</v>
      </c>
      <c r="D375" s="7" t="s">
        <v>3467</v>
      </c>
      <c r="E375" s="7" t="n">
        <v>42.2</v>
      </c>
      <c r="F375" s="7" t="s">
        <v>4135</v>
      </c>
    </row>
    <row r="376" customFormat="false" ht="34.5" hidden="false" customHeight="true" outlineLevel="0" collapsed="false">
      <c r="A376" s="7" t="s">
        <v>4136</v>
      </c>
      <c r="B376" s="7" t="s">
        <v>3954</v>
      </c>
      <c r="C376" s="7" t="s">
        <v>3421</v>
      </c>
      <c r="D376" s="7" t="s">
        <v>3467</v>
      </c>
      <c r="E376" s="7" t="n">
        <v>65</v>
      </c>
      <c r="F376" s="7" t="s">
        <v>4137</v>
      </c>
    </row>
    <row r="377" customFormat="false" ht="34.5" hidden="false" customHeight="true" outlineLevel="0" collapsed="false">
      <c r="A377" s="7" t="s">
        <v>4138</v>
      </c>
      <c r="B377" s="7" t="s">
        <v>3903</v>
      </c>
      <c r="C377" s="7" t="s">
        <v>3904</v>
      </c>
      <c r="D377" s="7" t="s">
        <v>3467</v>
      </c>
      <c r="E377" s="7" t="n">
        <v>52.9</v>
      </c>
      <c r="F377" s="7" t="s">
        <v>4139</v>
      </c>
    </row>
    <row r="378" customFormat="false" ht="45.75" hidden="false" customHeight="true" outlineLevel="0" collapsed="false">
      <c r="A378" s="7" t="s">
        <v>4138</v>
      </c>
      <c r="B378" s="7" t="s">
        <v>899</v>
      </c>
      <c r="C378" s="7" t="s">
        <v>1133</v>
      </c>
      <c r="D378" s="7" t="s">
        <v>3467</v>
      </c>
      <c r="E378" s="7" t="n">
        <v>24.5</v>
      </c>
      <c r="F378" s="7" t="s">
        <v>4140</v>
      </c>
    </row>
    <row r="379" customFormat="false" ht="34.5" hidden="false" customHeight="true" outlineLevel="0" collapsed="false">
      <c r="A379" s="7" t="s">
        <v>4138</v>
      </c>
      <c r="B379" s="7" t="s">
        <v>4141</v>
      </c>
      <c r="C379" s="7" t="s">
        <v>3647</v>
      </c>
      <c r="D379" s="7" t="s">
        <v>3467</v>
      </c>
      <c r="E379" s="7" t="n">
        <v>52.7</v>
      </c>
      <c r="F379" s="7" t="s">
        <v>4142</v>
      </c>
    </row>
    <row r="380" customFormat="false" ht="34.5" hidden="false" customHeight="true" outlineLevel="0" collapsed="false">
      <c r="A380" s="7" t="s">
        <v>4138</v>
      </c>
      <c r="B380" s="7" t="s">
        <v>4143</v>
      </c>
      <c r="C380" s="7" t="s">
        <v>4144</v>
      </c>
      <c r="D380" s="7" t="s">
        <v>3467</v>
      </c>
      <c r="E380" s="7" t="n">
        <v>52.6</v>
      </c>
      <c r="F380" s="7" t="s">
        <v>4145</v>
      </c>
    </row>
    <row r="381" customFormat="false" ht="34.5" hidden="false" customHeight="true" outlineLevel="0" collapsed="false">
      <c r="A381" s="7" t="s">
        <v>4146</v>
      </c>
      <c r="B381" s="7" t="s">
        <v>3954</v>
      </c>
      <c r="C381" s="7" t="s">
        <v>3421</v>
      </c>
      <c r="D381" s="7" t="s">
        <v>3467</v>
      </c>
      <c r="E381" s="7" t="n">
        <v>65</v>
      </c>
      <c r="F381" s="7" t="s">
        <v>4147</v>
      </c>
    </row>
    <row r="382" customFormat="false" ht="45.75" hidden="false" customHeight="true" outlineLevel="0" collapsed="false">
      <c r="A382" s="7" t="s">
        <v>4146</v>
      </c>
      <c r="B382" s="7" t="s">
        <v>899</v>
      </c>
      <c r="C382" s="7" t="s">
        <v>1133</v>
      </c>
      <c r="D382" s="7" t="s">
        <v>3467</v>
      </c>
      <c r="E382" s="7" t="n">
        <v>24.5</v>
      </c>
      <c r="F382" s="7" t="s">
        <v>4148</v>
      </c>
    </row>
    <row r="383" customFormat="false" ht="34.5" hidden="false" customHeight="true" outlineLevel="0" collapsed="false">
      <c r="A383" s="7" t="s">
        <v>4146</v>
      </c>
      <c r="B383" s="7" t="s">
        <v>3794</v>
      </c>
      <c r="C383" s="7" t="s">
        <v>3983</v>
      </c>
      <c r="D383" s="7" t="s">
        <v>3467</v>
      </c>
      <c r="E383" s="7" t="n">
        <v>42.2</v>
      </c>
      <c r="F383" s="7" t="s">
        <v>4149</v>
      </c>
    </row>
    <row r="384" customFormat="false" ht="34.5" hidden="false" customHeight="true" outlineLevel="0" collapsed="false">
      <c r="A384" s="7" t="s">
        <v>4146</v>
      </c>
      <c r="B384" s="7" t="s">
        <v>3403</v>
      </c>
      <c r="C384" s="7" t="s">
        <v>3488</v>
      </c>
      <c r="D384" s="7" t="s">
        <v>3467</v>
      </c>
      <c r="E384" s="7" t="n">
        <v>47.8</v>
      </c>
      <c r="F384" s="7" t="s">
        <v>4150</v>
      </c>
    </row>
    <row r="385" customFormat="false" ht="34.5" hidden="false" customHeight="true" outlineLevel="0" collapsed="false">
      <c r="A385" s="7" t="s">
        <v>4151</v>
      </c>
      <c r="B385" s="7" t="s">
        <v>994</v>
      </c>
      <c r="C385" s="7" t="s">
        <v>3952</v>
      </c>
      <c r="D385" s="7" t="s">
        <v>3467</v>
      </c>
      <c r="E385" s="7" t="n">
        <v>25.2</v>
      </c>
      <c r="F385" s="7" t="s">
        <v>4152</v>
      </c>
    </row>
    <row r="386" customFormat="false" ht="34.5" hidden="false" customHeight="true" outlineLevel="0" collapsed="false">
      <c r="A386" s="7" t="s">
        <v>4153</v>
      </c>
      <c r="B386" s="7" t="s">
        <v>4047</v>
      </c>
      <c r="C386" s="7" t="s">
        <v>4048</v>
      </c>
      <c r="D386" s="7" t="s">
        <v>3467</v>
      </c>
      <c r="E386" s="7" t="n">
        <v>70.1</v>
      </c>
      <c r="F386" s="7" t="s">
        <v>4154</v>
      </c>
    </row>
    <row r="387" customFormat="false" ht="68.25" hidden="false" customHeight="true" outlineLevel="0" collapsed="false">
      <c r="A387" s="7" t="s">
        <v>4155</v>
      </c>
      <c r="B387" s="7" t="s">
        <v>3752</v>
      </c>
      <c r="C387" s="7" t="s">
        <v>3412</v>
      </c>
      <c r="D387" s="7" t="s">
        <v>3467</v>
      </c>
      <c r="E387" s="7" t="n">
        <v>74.9</v>
      </c>
      <c r="F387" s="7" t="s">
        <v>4156</v>
      </c>
    </row>
    <row r="388" customFormat="false" ht="34.5" hidden="false" customHeight="true" outlineLevel="0" collapsed="false">
      <c r="A388" s="7" t="s">
        <v>4157</v>
      </c>
      <c r="B388" s="7" t="s">
        <v>4158</v>
      </c>
      <c r="C388" s="7" t="s">
        <v>4159</v>
      </c>
      <c r="D388" s="7" t="s">
        <v>3467</v>
      </c>
      <c r="E388" s="7" t="n">
        <v>38.4</v>
      </c>
      <c r="F388" s="7" t="s">
        <v>4160</v>
      </c>
    </row>
    <row r="389" customFormat="false" ht="34.5" hidden="false" customHeight="true" outlineLevel="0" collapsed="false">
      <c r="A389" s="7" t="s">
        <v>4161</v>
      </c>
      <c r="B389" s="7" t="s">
        <v>994</v>
      </c>
      <c r="C389" s="7" t="s">
        <v>3952</v>
      </c>
      <c r="D389" s="7" t="s">
        <v>3467</v>
      </c>
      <c r="E389" s="7" t="n">
        <v>25.2</v>
      </c>
      <c r="F389" s="7" t="s">
        <v>4162</v>
      </c>
    </row>
    <row r="390" customFormat="false" ht="34.5" hidden="false" customHeight="true" outlineLevel="0" collapsed="false">
      <c r="A390" s="7" t="s">
        <v>4161</v>
      </c>
      <c r="B390" s="7" t="s">
        <v>3473</v>
      </c>
      <c r="C390" s="7" t="s">
        <v>3417</v>
      </c>
      <c r="D390" s="7" t="s">
        <v>3467</v>
      </c>
      <c r="E390" s="7" t="n">
        <v>58.9</v>
      </c>
      <c r="F390" s="7" t="s">
        <v>4163</v>
      </c>
    </row>
    <row r="391" customFormat="false" ht="57" hidden="false" customHeight="true" outlineLevel="0" collapsed="false">
      <c r="A391" s="7" t="s">
        <v>4164</v>
      </c>
      <c r="B391" s="7" t="s">
        <v>3752</v>
      </c>
      <c r="C391" s="7" t="s">
        <v>3412</v>
      </c>
      <c r="D391" s="7" t="s">
        <v>3467</v>
      </c>
      <c r="E391" s="7" t="n">
        <v>74.9</v>
      </c>
      <c r="F391" s="7" t="s">
        <v>4165</v>
      </c>
    </row>
    <row r="392" customFormat="false" ht="34.5" hidden="false" customHeight="true" outlineLevel="0" collapsed="false">
      <c r="A392" s="7" t="s">
        <v>4166</v>
      </c>
      <c r="B392" s="7" t="s">
        <v>4143</v>
      </c>
      <c r="C392" s="7" t="s">
        <v>4144</v>
      </c>
      <c r="D392" s="7" t="s">
        <v>3467</v>
      </c>
      <c r="E392" s="7" t="n">
        <v>52.6</v>
      </c>
      <c r="F392" s="7" t="s">
        <v>4167</v>
      </c>
    </row>
    <row r="393" customFormat="false" ht="34.5" hidden="false" customHeight="true" outlineLevel="0" collapsed="false">
      <c r="A393" s="7" t="s">
        <v>4166</v>
      </c>
      <c r="B393" s="7" t="s">
        <v>4083</v>
      </c>
      <c r="C393" s="7" t="s">
        <v>4069</v>
      </c>
      <c r="D393" s="7" t="s">
        <v>3467</v>
      </c>
      <c r="E393" s="7" t="n">
        <v>71.9</v>
      </c>
      <c r="F393" s="7" t="s">
        <v>4168</v>
      </c>
    </row>
    <row r="394" customFormat="false" ht="34.5" hidden="false" customHeight="true" outlineLevel="0" collapsed="false">
      <c r="A394" s="7" t="s">
        <v>4169</v>
      </c>
      <c r="B394" s="7" t="s">
        <v>4143</v>
      </c>
      <c r="C394" s="7" t="s">
        <v>4170</v>
      </c>
      <c r="D394" s="7" t="s">
        <v>3467</v>
      </c>
      <c r="E394" s="7" t="n">
        <v>51.7</v>
      </c>
      <c r="F394" s="7" t="s">
        <v>4171</v>
      </c>
    </row>
    <row r="395" customFormat="false" ht="34.5" hidden="false" customHeight="true" outlineLevel="0" collapsed="false">
      <c r="A395" s="7" t="s">
        <v>4172</v>
      </c>
      <c r="B395" s="7" t="s">
        <v>3430</v>
      </c>
      <c r="C395" s="7" t="s">
        <v>3919</v>
      </c>
      <c r="D395" s="7" t="s">
        <v>3467</v>
      </c>
      <c r="E395" s="7" t="n">
        <v>73</v>
      </c>
      <c r="F395" s="7" t="s">
        <v>4173</v>
      </c>
    </row>
    <row r="396" customFormat="false" ht="45.75" hidden="false" customHeight="true" outlineLevel="0" collapsed="false">
      <c r="A396" s="7" t="s">
        <v>4174</v>
      </c>
      <c r="B396" s="7" t="s">
        <v>899</v>
      </c>
      <c r="C396" s="7" t="s">
        <v>1133</v>
      </c>
      <c r="D396" s="7" t="s">
        <v>3467</v>
      </c>
      <c r="E396" s="7" t="n">
        <v>24.5</v>
      </c>
      <c r="F396" s="7" t="s">
        <v>4175</v>
      </c>
    </row>
    <row r="397" customFormat="false" ht="45.75" hidden="false" customHeight="true" outlineLevel="0" collapsed="false">
      <c r="A397" s="7" t="s">
        <v>4174</v>
      </c>
      <c r="B397" s="7" t="s">
        <v>3954</v>
      </c>
      <c r="C397" s="7" t="s">
        <v>3421</v>
      </c>
      <c r="D397" s="7" t="s">
        <v>3467</v>
      </c>
      <c r="E397" s="7" t="n">
        <v>65</v>
      </c>
      <c r="F397" s="7" t="s">
        <v>4176</v>
      </c>
    </row>
    <row r="398" customFormat="false" ht="34.5" hidden="false" customHeight="true" outlineLevel="0" collapsed="false">
      <c r="A398" s="7" t="s">
        <v>4177</v>
      </c>
      <c r="B398" s="7" t="s">
        <v>4011</v>
      </c>
      <c r="C398" s="7" t="s">
        <v>3412</v>
      </c>
      <c r="D398" s="7" t="s">
        <v>3467</v>
      </c>
      <c r="E398" s="7" t="n">
        <v>66.9</v>
      </c>
      <c r="F398" s="7" t="s">
        <v>4178</v>
      </c>
    </row>
    <row r="399" customFormat="false" ht="34.5" hidden="false" customHeight="true" outlineLevel="0" collapsed="false">
      <c r="A399" s="7" t="s">
        <v>4179</v>
      </c>
      <c r="B399" s="7" t="s">
        <v>3823</v>
      </c>
      <c r="C399" s="7" t="s">
        <v>3421</v>
      </c>
      <c r="D399" s="7" t="s">
        <v>3467</v>
      </c>
      <c r="E399" s="7" t="n">
        <v>68.6</v>
      </c>
      <c r="F399" s="7" t="s">
        <v>4180</v>
      </c>
    </row>
    <row r="400" customFormat="false" ht="45.75" hidden="false" customHeight="true" outlineLevel="0" collapsed="false">
      <c r="A400" s="7" t="s">
        <v>4179</v>
      </c>
      <c r="B400" s="7" t="s">
        <v>3477</v>
      </c>
      <c r="C400" s="7" t="s">
        <v>3478</v>
      </c>
      <c r="D400" s="7" t="s">
        <v>3467</v>
      </c>
      <c r="E400" s="7" t="n">
        <v>57.4</v>
      </c>
      <c r="F400" s="7" t="s">
        <v>4181</v>
      </c>
    </row>
    <row r="401" customFormat="false" ht="34.5" hidden="false" customHeight="true" outlineLevel="0" collapsed="false">
      <c r="A401" s="7" t="s">
        <v>4182</v>
      </c>
      <c r="B401" s="7" t="s">
        <v>3477</v>
      </c>
      <c r="C401" s="7" t="s">
        <v>3478</v>
      </c>
      <c r="D401" s="7" t="s">
        <v>3467</v>
      </c>
      <c r="E401" s="7" t="n">
        <v>57.4</v>
      </c>
      <c r="F401" s="7" t="s">
        <v>4183</v>
      </c>
    </row>
    <row r="402" customFormat="false" ht="34.5" hidden="false" customHeight="true" outlineLevel="0" collapsed="false">
      <c r="A402" s="7" t="s">
        <v>4184</v>
      </c>
      <c r="B402" s="7" t="s">
        <v>3623</v>
      </c>
      <c r="C402" s="7" t="s">
        <v>3624</v>
      </c>
      <c r="D402" s="7" t="s">
        <v>3467</v>
      </c>
      <c r="E402" s="7" t="n">
        <v>46.6</v>
      </c>
      <c r="F402" s="7" t="s">
        <v>4185</v>
      </c>
    </row>
    <row r="403" customFormat="false" ht="34.5" hidden="false" customHeight="true" outlineLevel="0" collapsed="false">
      <c r="A403" s="7" t="s">
        <v>4186</v>
      </c>
      <c r="B403" s="7" t="s">
        <v>3639</v>
      </c>
      <c r="C403" s="7" t="s">
        <v>3640</v>
      </c>
      <c r="D403" s="7" t="s">
        <v>3467</v>
      </c>
      <c r="E403" s="7" t="n">
        <v>51</v>
      </c>
      <c r="F403" s="7" t="s">
        <v>4187</v>
      </c>
    </row>
    <row r="404" customFormat="false" ht="45.75" hidden="false" customHeight="true" outlineLevel="0" collapsed="false">
      <c r="A404" s="7" t="s">
        <v>4188</v>
      </c>
      <c r="B404" s="7" t="s">
        <v>3954</v>
      </c>
      <c r="C404" s="7" t="s">
        <v>3421</v>
      </c>
      <c r="D404" s="7" t="s">
        <v>3467</v>
      </c>
      <c r="E404" s="7" t="n">
        <v>65</v>
      </c>
      <c r="F404" s="7" t="s">
        <v>4189</v>
      </c>
    </row>
    <row r="405" customFormat="false" ht="45.75" hidden="false" customHeight="true" outlineLevel="0" collapsed="false">
      <c r="A405" s="7" t="s">
        <v>4188</v>
      </c>
      <c r="B405" s="7" t="s">
        <v>3571</v>
      </c>
      <c r="C405" s="7" t="s">
        <v>1133</v>
      </c>
      <c r="D405" s="7" t="s">
        <v>3467</v>
      </c>
      <c r="E405" s="7" t="n">
        <v>22.5</v>
      </c>
      <c r="F405" s="7" t="s">
        <v>4190</v>
      </c>
    </row>
    <row r="406" customFormat="false" ht="34.5" hidden="false" customHeight="true" outlineLevel="0" collapsed="false">
      <c r="A406" s="7" t="s">
        <v>4191</v>
      </c>
      <c r="B406" s="7" t="s">
        <v>4158</v>
      </c>
      <c r="C406" s="7" t="s">
        <v>4159</v>
      </c>
      <c r="D406" s="7" t="s">
        <v>3467</v>
      </c>
      <c r="E406" s="7" t="n">
        <v>38.4</v>
      </c>
      <c r="F406" s="7" t="s">
        <v>4192</v>
      </c>
    </row>
    <row r="407" customFormat="false" ht="45.75" hidden="false" customHeight="true" outlineLevel="0" collapsed="false">
      <c r="A407" s="7" t="s">
        <v>4193</v>
      </c>
      <c r="B407" s="7" t="s">
        <v>3794</v>
      </c>
      <c r="C407" s="7" t="s">
        <v>3983</v>
      </c>
      <c r="D407" s="7" t="s">
        <v>3467</v>
      </c>
      <c r="E407" s="7" t="n">
        <v>42.2</v>
      </c>
      <c r="F407" s="7" t="s">
        <v>4194</v>
      </c>
    </row>
    <row r="408" customFormat="false" ht="34.5" hidden="false" customHeight="true" outlineLevel="0" collapsed="false">
      <c r="A408" s="7" t="s">
        <v>4193</v>
      </c>
      <c r="B408" s="7" t="s">
        <v>3403</v>
      </c>
      <c r="C408" s="7" t="s">
        <v>3488</v>
      </c>
      <c r="D408" s="7" t="s">
        <v>3467</v>
      </c>
      <c r="E408" s="7" t="n">
        <v>47.8</v>
      </c>
      <c r="F408" s="7" t="s">
        <v>4195</v>
      </c>
    </row>
    <row r="409" customFormat="false" ht="45.75" hidden="false" customHeight="true" outlineLevel="0" collapsed="false">
      <c r="A409" s="7" t="s">
        <v>4196</v>
      </c>
      <c r="B409" s="7" t="s">
        <v>3752</v>
      </c>
      <c r="C409" s="7" t="s">
        <v>3412</v>
      </c>
      <c r="D409" s="7" t="s">
        <v>3467</v>
      </c>
      <c r="E409" s="7" t="n">
        <v>74.9</v>
      </c>
      <c r="F409" s="7" t="s">
        <v>4197</v>
      </c>
    </row>
    <row r="410" customFormat="false" ht="34.5" hidden="false" customHeight="true" outlineLevel="0" collapsed="false">
      <c r="A410" s="7" t="s">
        <v>4198</v>
      </c>
      <c r="B410" s="7" t="s">
        <v>3987</v>
      </c>
      <c r="C410" s="7" t="s">
        <v>3795</v>
      </c>
      <c r="D410" s="7" t="s">
        <v>3467</v>
      </c>
      <c r="E410" s="7" t="n">
        <v>44.9</v>
      </c>
      <c r="F410" s="7" t="s">
        <v>4199</v>
      </c>
    </row>
    <row r="411" customFormat="false" ht="34.5" hidden="false" customHeight="true" outlineLevel="0" collapsed="false">
      <c r="A411" s="7" t="s">
        <v>4198</v>
      </c>
      <c r="B411" s="7" t="s">
        <v>4200</v>
      </c>
      <c r="C411" s="7" t="s">
        <v>3779</v>
      </c>
      <c r="D411" s="7" t="s">
        <v>3467</v>
      </c>
      <c r="E411" s="7" t="n">
        <v>48.7</v>
      </c>
      <c r="F411" s="7" t="s">
        <v>4201</v>
      </c>
    </row>
    <row r="412" customFormat="false" ht="45.75" hidden="false" customHeight="true" outlineLevel="0" collapsed="false">
      <c r="A412" s="7" t="s">
        <v>4198</v>
      </c>
      <c r="B412" s="7" t="s">
        <v>899</v>
      </c>
      <c r="C412" s="7" t="s">
        <v>1133</v>
      </c>
      <c r="D412" s="7" t="s">
        <v>3467</v>
      </c>
      <c r="E412" s="7" t="n">
        <v>24.5</v>
      </c>
      <c r="F412" s="7" t="s">
        <v>4202</v>
      </c>
    </row>
    <row r="413" customFormat="false" ht="34.5" hidden="false" customHeight="true" outlineLevel="0" collapsed="false">
      <c r="A413" s="7" t="s">
        <v>4203</v>
      </c>
      <c r="B413" s="7" t="s">
        <v>3473</v>
      </c>
      <c r="C413" s="7" t="s">
        <v>3417</v>
      </c>
      <c r="D413" s="7" t="s">
        <v>3467</v>
      </c>
      <c r="E413" s="7" t="n">
        <v>58.9</v>
      </c>
      <c r="F413" s="7" t="s">
        <v>4204</v>
      </c>
    </row>
    <row r="414" customFormat="false" ht="34.5" hidden="false" customHeight="true" outlineLevel="0" collapsed="false">
      <c r="A414" s="7" t="s">
        <v>4205</v>
      </c>
      <c r="B414" s="7" t="s">
        <v>4060</v>
      </c>
      <c r="C414" s="7" t="s">
        <v>3946</v>
      </c>
      <c r="D414" s="7" t="s">
        <v>3467</v>
      </c>
      <c r="E414" s="7" t="n">
        <v>62</v>
      </c>
      <c r="F414" s="7" t="s">
        <v>4206</v>
      </c>
    </row>
    <row r="415" customFormat="false" ht="34.5" hidden="false" customHeight="true" outlineLevel="0" collapsed="false">
      <c r="A415" s="7" t="s">
        <v>4205</v>
      </c>
      <c r="B415" s="7" t="s">
        <v>3842</v>
      </c>
      <c r="C415" s="7" t="s">
        <v>3383</v>
      </c>
      <c r="D415" s="7" t="s">
        <v>3467</v>
      </c>
      <c r="E415" s="7" t="n">
        <v>61.6</v>
      </c>
      <c r="F415" s="7" t="s">
        <v>4207</v>
      </c>
    </row>
    <row r="416" customFormat="false" ht="34.5" hidden="false" customHeight="true" outlineLevel="0" collapsed="false">
      <c r="A416" s="7" t="s">
        <v>4205</v>
      </c>
      <c r="B416" s="7" t="s">
        <v>4016</v>
      </c>
      <c r="C416" s="7" t="s">
        <v>4017</v>
      </c>
      <c r="D416" s="7" t="s">
        <v>3467</v>
      </c>
      <c r="E416" s="7" t="n">
        <v>55.3</v>
      </c>
      <c r="F416" s="7" t="s">
        <v>4208</v>
      </c>
    </row>
    <row r="417" customFormat="false" ht="34.5" hidden="false" customHeight="true" outlineLevel="0" collapsed="false">
      <c r="A417" s="7" t="s">
        <v>4205</v>
      </c>
      <c r="B417" s="7" t="s">
        <v>3954</v>
      </c>
      <c r="C417" s="7" t="s">
        <v>3421</v>
      </c>
      <c r="D417" s="7" t="s">
        <v>3467</v>
      </c>
      <c r="E417" s="7" t="n">
        <v>65</v>
      </c>
      <c r="F417" s="7" t="s">
        <v>4209</v>
      </c>
    </row>
    <row r="418" customFormat="false" ht="34.5" hidden="false" customHeight="true" outlineLevel="0" collapsed="false">
      <c r="A418" s="7" t="s">
        <v>4210</v>
      </c>
      <c r="B418" s="7" t="s">
        <v>3752</v>
      </c>
      <c r="C418" s="7" t="s">
        <v>3412</v>
      </c>
      <c r="D418" s="7" t="s">
        <v>3467</v>
      </c>
      <c r="E418" s="7" t="n">
        <v>74.9</v>
      </c>
      <c r="F418" s="7" t="s">
        <v>4211</v>
      </c>
    </row>
    <row r="419" customFormat="false" ht="34.5" hidden="false" customHeight="true" outlineLevel="0" collapsed="false">
      <c r="A419" s="7" t="s">
        <v>4210</v>
      </c>
      <c r="B419" s="7" t="s">
        <v>3403</v>
      </c>
      <c r="C419" s="7" t="s">
        <v>3488</v>
      </c>
      <c r="D419" s="7" t="s">
        <v>3467</v>
      </c>
      <c r="E419" s="7" t="n">
        <v>47.8</v>
      </c>
      <c r="F419" s="7" t="s">
        <v>4212</v>
      </c>
    </row>
    <row r="420" customFormat="false" ht="34.5" hidden="false" customHeight="true" outlineLevel="0" collapsed="false">
      <c r="A420" s="7" t="s">
        <v>4213</v>
      </c>
      <c r="B420" s="7" t="s">
        <v>3794</v>
      </c>
      <c r="C420" s="7" t="s">
        <v>3983</v>
      </c>
      <c r="D420" s="7" t="s">
        <v>3467</v>
      </c>
      <c r="E420" s="7" t="n">
        <v>42.2</v>
      </c>
      <c r="F420" s="7" t="s">
        <v>4214</v>
      </c>
    </row>
    <row r="421" customFormat="false" ht="34.5" hidden="false" customHeight="true" outlineLevel="0" collapsed="false">
      <c r="A421" s="7" t="s">
        <v>4215</v>
      </c>
      <c r="B421" s="7" t="s">
        <v>3639</v>
      </c>
      <c r="C421" s="7" t="s">
        <v>3640</v>
      </c>
      <c r="D421" s="7" t="s">
        <v>3467</v>
      </c>
      <c r="E421" s="7" t="n">
        <v>51</v>
      </c>
      <c r="F421" s="7" t="s">
        <v>4216</v>
      </c>
    </row>
    <row r="422" customFormat="false" ht="34.5" hidden="false" customHeight="true" outlineLevel="0" collapsed="false">
      <c r="A422" s="7" t="s">
        <v>4217</v>
      </c>
      <c r="B422" s="7" t="s">
        <v>3430</v>
      </c>
      <c r="C422" s="7" t="s">
        <v>3919</v>
      </c>
      <c r="D422" s="7" t="s">
        <v>3467</v>
      </c>
      <c r="E422" s="7" t="n">
        <v>73</v>
      </c>
      <c r="F422" s="7" t="s">
        <v>4218</v>
      </c>
    </row>
    <row r="423" customFormat="false" ht="34.5" hidden="false" customHeight="true" outlineLevel="0" collapsed="false">
      <c r="A423" s="7" t="s">
        <v>4219</v>
      </c>
      <c r="B423" s="7" t="s">
        <v>4083</v>
      </c>
      <c r="C423" s="7" t="s">
        <v>4069</v>
      </c>
      <c r="D423" s="7" t="s">
        <v>3467</v>
      </c>
      <c r="E423" s="7" t="n">
        <v>71.9</v>
      </c>
      <c r="F423" s="7" t="s">
        <v>4220</v>
      </c>
    </row>
    <row r="424" customFormat="false" ht="34.5" hidden="false" customHeight="true" outlineLevel="0" collapsed="false">
      <c r="A424" s="7" t="s">
        <v>4221</v>
      </c>
      <c r="B424" s="7" t="s">
        <v>4158</v>
      </c>
      <c r="C424" s="7" t="s">
        <v>4159</v>
      </c>
      <c r="D424" s="7" t="s">
        <v>3467</v>
      </c>
      <c r="E424" s="7" t="n">
        <v>38.4</v>
      </c>
      <c r="F424" s="7" t="s">
        <v>4222</v>
      </c>
    </row>
    <row r="425" customFormat="false" ht="34.5" hidden="false" customHeight="true" outlineLevel="0" collapsed="false">
      <c r="A425" s="7" t="s">
        <v>4223</v>
      </c>
      <c r="B425" s="7" t="s">
        <v>3391</v>
      </c>
      <c r="C425" s="7" t="s">
        <v>3392</v>
      </c>
      <c r="D425" s="7" t="s">
        <v>3467</v>
      </c>
      <c r="E425" s="7" t="n">
        <v>54.8</v>
      </c>
      <c r="F425" s="7" t="s">
        <v>4224</v>
      </c>
    </row>
    <row r="426" customFormat="false" ht="34.5" hidden="false" customHeight="true" outlineLevel="0" collapsed="false">
      <c r="A426" s="7" t="s">
        <v>4225</v>
      </c>
      <c r="B426" s="7" t="s">
        <v>3477</v>
      </c>
      <c r="C426" s="7" t="s">
        <v>3478</v>
      </c>
      <c r="D426" s="7" t="s">
        <v>3467</v>
      </c>
      <c r="E426" s="7" t="n">
        <v>57.4</v>
      </c>
      <c r="F426" s="7" t="s">
        <v>4226</v>
      </c>
    </row>
    <row r="427" customFormat="false" ht="34.5" hidden="false" customHeight="true" outlineLevel="0" collapsed="false">
      <c r="A427" s="7" t="s">
        <v>4227</v>
      </c>
      <c r="B427" s="7" t="s">
        <v>3473</v>
      </c>
      <c r="C427" s="7" t="s">
        <v>3417</v>
      </c>
      <c r="D427" s="7" t="s">
        <v>3467</v>
      </c>
      <c r="E427" s="7" t="n">
        <v>58.9</v>
      </c>
      <c r="F427" s="7" t="s">
        <v>4228</v>
      </c>
    </row>
    <row r="428" customFormat="false" ht="34.5" hidden="false" customHeight="true" outlineLevel="0" collapsed="false">
      <c r="A428" s="7" t="s">
        <v>4229</v>
      </c>
      <c r="B428" s="7" t="s">
        <v>3639</v>
      </c>
      <c r="C428" s="7" t="s">
        <v>3640</v>
      </c>
      <c r="D428" s="7" t="s">
        <v>3467</v>
      </c>
      <c r="E428" s="7" t="n">
        <v>51</v>
      </c>
      <c r="F428" s="7" t="s">
        <v>4230</v>
      </c>
    </row>
    <row r="429" customFormat="false" ht="34.5" hidden="false" customHeight="true" outlineLevel="0" collapsed="false">
      <c r="A429" s="7" t="s">
        <v>4229</v>
      </c>
      <c r="B429" s="7" t="s">
        <v>3752</v>
      </c>
      <c r="C429" s="7" t="s">
        <v>3412</v>
      </c>
      <c r="D429" s="7" t="s">
        <v>3467</v>
      </c>
      <c r="E429" s="7" t="n">
        <v>74.9</v>
      </c>
      <c r="F429" s="7" t="s">
        <v>4231</v>
      </c>
    </row>
    <row r="430" customFormat="false" ht="34.5" hidden="false" customHeight="true" outlineLevel="0" collapsed="false">
      <c r="A430" s="7" t="s">
        <v>4229</v>
      </c>
      <c r="B430" s="7" t="s">
        <v>994</v>
      </c>
      <c r="C430" s="7" t="s">
        <v>3952</v>
      </c>
      <c r="D430" s="7" t="s">
        <v>3467</v>
      </c>
      <c r="E430" s="7" t="n">
        <v>25.2</v>
      </c>
      <c r="F430" s="7" t="s">
        <v>4232</v>
      </c>
    </row>
    <row r="431" customFormat="false" ht="34.5" hidden="false" customHeight="true" outlineLevel="0" collapsed="false">
      <c r="A431" s="7" t="s">
        <v>4233</v>
      </c>
      <c r="B431" s="7" t="s">
        <v>3823</v>
      </c>
      <c r="C431" s="7" t="s">
        <v>3421</v>
      </c>
      <c r="D431" s="7" t="s">
        <v>3467</v>
      </c>
      <c r="E431" s="7" t="n">
        <v>68.6</v>
      </c>
      <c r="F431" s="7" t="s">
        <v>4234</v>
      </c>
    </row>
    <row r="432" customFormat="false" ht="34.5" hidden="false" customHeight="true" outlineLevel="0" collapsed="false">
      <c r="A432" s="7" t="s">
        <v>4233</v>
      </c>
      <c r="B432" s="7" t="s">
        <v>3403</v>
      </c>
      <c r="C432" s="7" t="s">
        <v>3488</v>
      </c>
      <c r="D432" s="7" t="s">
        <v>3467</v>
      </c>
      <c r="E432" s="7" t="n">
        <v>47.8</v>
      </c>
      <c r="F432" s="7" t="s">
        <v>4235</v>
      </c>
    </row>
    <row r="433" customFormat="false" ht="45.75" hidden="false" customHeight="true" outlineLevel="0" collapsed="false">
      <c r="A433" s="7" t="s">
        <v>4236</v>
      </c>
      <c r="B433" s="7" t="s">
        <v>3571</v>
      </c>
      <c r="C433" s="7" t="s">
        <v>1133</v>
      </c>
      <c r="D433" s="7" t="s">
        <v>3467</v>
      </c>
      <c r="E433" s="7" t="n">
        <v>22.5</v>
      </c>
      <c r="F433" s="7" t="s">
        <v>4237</v>
      </c>
    </row>
    <row r="434" customFormat="false" ht="57" hidden="false" customHeight="true" outlineLevel="0" collapsed="false">
      <c r="A434" s="7" t="s">
        <v>4238</v>
      </c>
      <c r="B434" s="7" t="s">
        <v>3842</v>
      </c>
      <c r="C434" s="7" t="s">
        <v>3383</v>
      </c>
      <c r="D434" s="7" t="s">
        <v>3467</v>
      </c>
      <c r="E434" s="7" t="n">
        <v>61.6</v>
      </c>
      <c r="F434" s="7" t="s">
        <v>4239</v>
      </c>
    </row>
    <row r="435" customFormat="false" ht="68.25" hidden="false" customHeight="true" outlineLevel="0" collapsed="false">
      <c r="A435" s="7" t="s">
        <v>914</v>
      </c>
      <c r="B435" s="7" t="s">
        <v>899</v>
      </c>
      <c r="C435" s="7" t="s">
        <v>1133</v>
      </c>
      <c r="D435" s="7" t="s">
        <v>3467</v>
      </c>
      <c r="E435" s="7" t="n">
        <v>24.5</v>
      </c>
      <c r="F435" s="7" t="s">
        <v>4240</v>
      </c>
    </row>
    <row r="436" customFormat="false" ht="34.5" hidden="false" customHeight="true" outlineLevel="0" collapsed="false">
      <c r="A436" s="7" t="s">
        <v>914</v>
      </c>
      <c r="B436" s="7" t="s">
        <v>4053</v>
      </c>
      <c r="C436" s="7" t="s">
        <v>4054</v>
      </c>
      <c r="D436" s="7" t="s">
        <v>3467</v>
      </c>
      <c r="E436" s="7" t="n">
        <v>47.8</v>
      </c>
      <c r="F436" s="7" t="s">
        <v>4241</v>
      </c>
    </row>
    <row r="437" customFormat="false" ht="34.5" hidden="false" customHeight="true" outlineLevel="0" collapsed="false">
      <c r="A437" s="7" t="s">
        <v>914</v>
      </c>
      <c r="B437" s="7" t="s">
        <v>3867</v>
      </c>
      <c r="C437" s="7" t="s">
        <v>3398</v>
      </c>
      <c r="D437" s="7" t="s">
        <v>3467</v>
      </c>
      <c r="E437" s="7" t="n">
        <v>36.6</v>
      </c>
      <c r="F437" s="7" t="s">
        <v>4242</v>
      </c>
    </row>
    <row r="438" customFormat="false" ht="45.75" hidden="false" customHeight="true" outlineLevel="0" collapsed="false">
      <c r="A438" s="7" t="s">
        <v>4243</v>
      </c>
      <c r="B438" s="7" t="s">
        <v>3571</v>
      </c>
      <c r="C438" s="7" t="s">
        <v>1133</v>
      </c>
      <c r="D438" s="7" t="s">
        <v>3467</v>
      </c>
      <c r="E438" s="7" t="n">
        <v>22.5</v>
      </c>
      <c r="F438" s="7" t="s">
        <v>4244</v>
      </c>
    </row>
    <row r="439" customFormat="false" ht="45.75" hidden="false" customHeight="true" outlineLevel="0" collapsed="false">
      <c r="A439" s="7" t="s">
        <v>4243</v>
      </c>
      <c r="B439" s="7" t="s">
        <v>899</v>
      </c>
      <c r="C439" s="7" t="s">
        <v>1133</v>
      </c>
      <c r="D439" s="7" t="s">
        <v>3467</v>
      </c>
      <c r="E439" s="7" t="n">
        <v>24.5</v>
      </c>
      <c r="F439" s="7" t="s">
        <v>4245</v>
      </c>
    </row>
    <row r="440" customFormat="false" ht="34.5" hidden="false" customHeight="true" outlineLevel="0" collapsed="false">
      <c r="A440" s="7" t="s">
        <v>4243</v>
      </c>
      <c r="B440" s="7" t="s">
        <v>3403</v>
      </c>
      <c r="C440" s="7" t="s">
        <v>3488</v>
      </c>
      <c r="D440" s="7" t="s">
        <v>3467</v>
      </c>
      <c r="E440" s="7" t="n">
        <v>47.8</v>
      </c>
      <c r="F440" s="7" t="s">
        <v>4246</v>
      </c>
    </row>
    <row r="441" customFormat="false" ht="34.5" hidden="false" customHeight="true" outlineLevel="0" collapsed="false">
      <c r="A441" s="7" t="s">
        <v>4247</v>
      </c>
      <c r="B441" s="7" t="s">
        <v>3430</v>
      </c>
      <c r="C441" s="7" t="s">
        <v>3919</v>
      </c>
      <c r="D441" s="7" t="s">
        <v>3467</v>
      </c>
      <c r="E441" s="7" t="n">
        <v>73</v>
      </c>
      <c r="F441" s="7" t="s">
        <v>4248</v>
      </c>
    </row>
    <row r="442" customFormat="false" ht="45.75" hidden="false" customHeight="true" outlineLevel="0" collapsed="false">
      <c r="A442" s="7" t="s">
        <v>4249</v>
      </c>
      <c r="B442" s="7" t="s">
        <v>4250</v>
      </c>
      <c r="C442" s="7" t="s">
        <v>4251</v>
      </c>
      <c r="D442" s="7" t="s">
        <v>3376</v>
      </c>
      <c r="E442" s="7" t="n">
        <v>74.9</v>
      </c>
      <c r="F442" s="7" t="s">
        <v>4252</v>
      </c>
    </row>
    <row r="443" customFormat="false" ht="34.5" hidden="false" customHeight="true" outlineLevel="0" collapsed="false">
      <c r="A443" s="7" t="s">
        <v>4253</v>
      </c>
      <c r="B443" s="7" t="s">
        <v>3403</v>
      </c>
      <c r="C443" s="7" t="s">
        <v>3488</v>
      </c>
      <c r="D443" s="7" t="s">
        <v>3467</v>
      </c>
      <c r="E443" s="7" t="n">
        <v>47.8</v>
      </c>
      <c r="F443" s="7" t="s">
        <v>4254</v>
      </c>
    </row>
    <row r="444" customFormat="false" ht="34.5" hidden="false" customHeight="true" outlineLevel="0" collapsed="false">
      <c r="A444" s="7" t="s">
        <v>4255</v>
      </c>
      <c r="B444" s="7" t="s">
        <v>3987</v>
      </c>
      <c r="C444" s="7" t="s">
        <v>3795</v>
      </c>
      <c r="D444" s="7" t="s">
        <v>3467</v>
      </c>
      <c r="E444" s="7" t="n">
        <v>44.9</v>
      </c>
      <c r="F444" s="7" t="s">
        <v>4256</v>
      </c>
    </row>
    <row r="445" customFormat="false" ht="34.5" hidden="false" customHeight="true" outlineLevel="0" collapsed="false">
      <c r="A445" s="7" t="s">
        <v>4257</v>
      </c>
      <c r="B445" s="7" t="s">
        <v>3430</v>
      </c>
      <c r="C445" s="7" t="s">
        <v>3919</v>
      </c>
      <c r="D445" s="7" t="s">
        <v>3467</v>
      </c>
      <c r="E445" s="7" t="n">
        <v>73</v>
      </c>
      <c r="F445" s="7" t="s">
        <v>4258</v>
      </c>
    </row>
    <row r="446" customFormat="false" ht="34.5" hidden="false" customHeight="true" outlineLevel="0" collapsed="false">
      <c r="A446" s="7" t="s">
        <v>4257</v>
      </c>
      <c r="B446" s="7" t="s">
        <v>3477</v>
      </c>
      <c r="C446" s="7" t="s">
        <v>3478</v>
      </c>
      <c r="D446" s="7" t="s">
        <v>3467</v>
      </c>
      <c r="E446" s="7" t="n">
        <v>57.4</v>
      </c>
      <c r="F446" s="7" t="s">
        <v>4259</v>
      </c>
    </row>
    <row r="447" customFormat="false" ht="45.75" hidden="false" customHeight="true" outlineLevel="0" collapsed="false">
      <c r="A447" s="7" t="s">
        <v>4257</v>
      </c>
      <c r="B447" s="7" t="s">
        <v>3571</v>
      </c>
      <c r="C447" s="7" t="s">
        <v>1133</v>
      </c>
      <c r="D447" s="7" t="s">
        <v>3467</v>
      </c>
      <c r="E447" s="7" t="n">
        <v>22.5</v>
      </c>
      <c r="F447" s="7" t="s">
        <v>4260</v>
      </c>
    </row>
    <row r="448" customFormat="false" ht="45.75" hidden="false" customHeight="true" outlineLevel="0" collapsed="false">
      <c r="A448" s="7" t="s">
        <v>4257</v>
      </c>
      <c r="B448" s="7" t="s">
        <v>899</v>
      </c>
      <c r="C448" s="7" t="s">
        <v>1133</v>
      </c>
      <c r="D448" s="7" t="s">
        <v>3467</v>
      </c>
      <c r="E448" s="7" t="n">
        <v>24.5</v>
      </c>
      <c r="F448" s="7" t="s">
        <v>4261</v>
      </c>
    </row>
    <row r="449" customFormat="false" ht="45.75" hidden="false" customHeight="true" outlineLevel="0" collapsed="false">
      <c r="A449" s="7" t="s">
        <v>4257</v>
      </c>
      <c r="B449" s="7" t="s">
        <v>3623</v>
      </c>
      <c r="C449" s="7" t="s">
        <v>3624</v>
      </c>
      <c r="D449" s="7" t="s">
        <v>3467</v>
      </c>
      <c r="E449" s="7" t="n">
        <v>46.6</v>
      </c>
      <c r="F449" s="7" t="s">
        <v>4262</v>
      </c>
    </row>
    <row r="450" customFormat="false" ht="34.5" hidden="false" customHeight="true" outlineLevel="0" collapsed="false">
      <c r="A450" s="7" t="s">
        <v>4257</v>
      </c>
      <c r="B450" s="7" t="s">
        <v>994</v>
      </c>
      <c r="C450" s="7" t="s">
        <v>3952</v>
      </c>
      <c r="D450" s="7" t="s">
        <v>3467</v>
      </c>
      <c r="E450" s="7" t="n">
        <v>25.2</v>
      </c>
      <c r="F450" s="7" t="s">
        <v>4263</v>
      </c>
    </row>
    <row r="451" customFormat="false" ht="34.5" hidden="false" customHeight="true" outlineLevel="0" collapsed="false">
      <c r="A451" s="7" t="s">
        <v>4264</v>
      </c>
      <c r="B451" s="7" t="s">
        <v>4158</v>
      </c>
      <c r="C451" s="7" t="s">
        <v>4159</v>
      </c>
      <c r="D451" s="7" t="s">
        <v>3467</v>
      </c>
      <c r="E451" s="7" t="n">
        <v>38.4</v>
      </c>
      <c r="F451" s="7" t="s">
        <v>4265</v>
      </c>
    </row>
    <row r="452" customFormat="false" ht="34.5" hidden="false" customHeight="true" outlineLevel="0" collapsed="false">
      <c r="A452" s="7" t="s">
        <v>4266</v>
      </c>
      <c r="B452" s="7" t="s">
        <v>4158</v>
      </c>
      <c r="C452" s="7" t="s">
        <v>4159</v>
      </c>
      <c r="D452" s="7" t="s">
        <v>3467</v>
      </c>
      <c r="E452" s="7" t="n">
        <v>38.4</v>
      </c>
      <c r="F452" s="7" t="s">
        <v>4267</v>
      </c>
    </row>
    <row r="453" customFormat="false" ht="34.5" hidden="false" customHeight="true" outlineLevel="0" collapsed="false">
      <c r="A453" s="7" t="s">
        <v>4268</v>
      </c>
      <c r="B453" s="7" t="s">
        <v>3473</v>
      </c>
      <c r="C453" s="7" t="s">
        <v>3417</v>
      </c>
      <c r="D453" s="7" t="s">
        <v>3467</v>
      </c>
      <c r="E453" s="7" t="n">
        <v>58.9</v>
      </c>
      <c r="F453" s="7" t="s">
        <v>4269</v>
      </c>
    </row>
    <row r="454" customFormat="false" ht="34.5" hidden="false" customHeight="true" outlineLevel="0" collapsed="false">
      <c r="A454" s="7" t="s">
        <v>4270</v>
      </c>
      <c r="B454" s="7" t="s">
        <v>3987</v>
      </c>
      <c r="C454" s="7" t="s">
        <v>3795</v>
      </c>
      <c r="D454" s="7" t="s">
        <v>3467</v>
      </c>
      <c r="E454" s="7" t="n">
        <v>44.9</v>
      </c>
      <c r="F454" s="7" t="s">
        <v>4271</v>
      </c>
    </row>
    <row r="455" customFormat="false" ht="57" hidden="false" customHeight="true" outlineLevel="0" collapsed="false">
      <c r="A455" s="7" t="s">
        <v>4270</v>
      </c>
      <c r="B455" s="7" t="s">
        <v>3477</v>
      </c>
      <c r="C455" s="7" t="s">
        <v>3478</v>
      </c>
      <c r="D455" s="7" t="s">
        <v>3467</v>
      </c>
      <c r="E455" s="7" t="n">
        <v>57.4</v>
      </c>
      <c r="F455" s="7" t="s">
        <v>4272</v>
      </c>
    </row>
    <row r="456" customFormat="false" ht="45.75" hidden="false" customHeight="true" outlineLevel="0" collapsed="false">
      <c r="A456" s="7" t="s">
        <v>4270</v>
      </c>
      <c r="B456" s="7" t="s">
        <v>3623</v>
      </c>
      <c r="C456" s="7" t="s">
        <v>3624</v>
      </c>
      <c r="D456" s="7" t="s">
        <v>3467</v>
      </c>
      <c r="E456" s="7" t="n">
        <v>46.6</v>
      </c>
      <c r="F456" s="7" t="s">
        <v>4273</v>
      </c>
    </row>
    <row r="457" customFormat="false" ht="34.5" hidden="false" customHeight="true" outlineLevel="0" collapsed="false">
      <c r="A457" s="7" t="s">
        <v>4274</v>
      </c>
      <c r="B457" s="7" t="s">
        <v>3473</v>
      </c>
      <c r="C457" s="7" t="s">
        <v>3417</v>
      </c>
      <c r="D457" s="7" t="s">
        <v>3467</v>
      </c>
      <c r="E457" s="7" t="n">
        <v>58.9</v>
      </c>
      <c r="F457" s="7" t="s">
        <v>4275</v>
      </c>
    </row>
    <row r="458" customFormat="false" ht="45.75" hidden="false" customHeight="true" outlineLevel="0" collapsed="false">
      <c r="A458" s="7" t="s">
        <v>897</v>
      </c>
      <c r="B458" s="7" t="s">
        <v>899</v>
      </c>
      <c r="C458" s="7" t="s">
        <v>1133</v>
      </c>
      <c r="D458" s="7" t="s">
        <v>3467</v>
      </c>
      <c r="E458" s="7" t="n">
        <v>24.5</v>
      </c>
      <c r="F458" s="7" t="s">
        <v>4276</v>
      </c>
    </row>
    <row r="459" customFormat="false" ht="34.5" hidden="false" customHeight="true" outlineLevel="0" collapsed="false">
      <c r="A459" s="7" t="s">
        <v>4277</v>
      </c>
      <c r="B459" s="7" t="s">
        <v>3477</v>
      </c>
      <c r="C459" s="7" t="s">
        <v>3478</v>
      </c>
      <c r="D459" s="7" t="s">
        <v>3467</v>
      </c>
      <c r="E459" s="7" t="n">
        <v>57.4</v>
      </c>
      <c r="F459" s="7" t="s">
        <v>4278</v>
      </c>
    </row>
    <row r="460" customFormat="false" ht="34.5" hidden="false" customHeight="true" outlineLevel="0" collapsed="false">
      <c r="A460" s="7" t="s">
        <v>4279</v>
      </c>
      <c r="B460" s="7" t="s">
        <v>3639</v>
      </c>
      <c r="C460" s="7" t="s">
        <v>3640</v>
      </c>
      <c r="D460" s="7" t="s">
        <v>3467</v>
      </c>
      <c r="E460" s="7" t="n">
        <v>51</v>
      </c>
      <c r="F460" s="7" t="s">
        <v>4280</v>
      </c>
    </row>
    <row r="461" customFormat="false" ht="45.75" hidden="false" customHeight="true" outlineLevel="0" collapsed="false">
      <c r="A461" s="7" t="s">
        <v>4279</v>
      </c>
      <c r="B461" s="7" t="s">
        <v>3405</v>
      </c>
      <c r="C461" s="7" t="s">
        <v>3406</v>
      </c>
      <c r="D461" s="7" t="s">
        <v>3467</v>
      </c>
      <c r="E461" s="7" t="n">
        <v>44.9</v>
      </c>
      <c r="F461" s="7" t="s">
        <v>4281</v>
      </c>
    </row>
    <row r="462" customFormat="false" ht="34.5" hidden="false" customHeight="true" outlineLevel="0" collapsed="false">
      <c r="A462" s="7" t="s">
        <v>4279</v>
      </c>
      <c r="B462" s="7" t="s">
        <v>3823</v>
      </c>
      <c r="C462" s="7" t="s">
        <v>3421</v>
      </c>
      <c r="D462" s="7" t="s">
        <v>3467</v>
      </c>
      <c r="E462" s="7" t="n">
        <v>68.6</v>
      </c>
      <c r="F462" s="7" t="s">
        <v>4282</v>
      </c>
    </row>
    <row r="463" customFormat="false" ht="34.5" hidden="false" customHeight="true" outlineLevel="0" collapsed="false">
      <c r="A463" s="7" t="s">
        <v>4279</v>
      </c>
      <c r="B463" s="7" t="s">
        <v>3954</v>
      </c>
      <c r="C463" s="7" t="s">
        <v>3421</v>
      </c>
      <c r="D463" s="7" t="s">
        <v>3467</v>
      </c>
      <c r="E463" s="7" t="n">
        <v>65</v>
      </c>
      <c r="F463" s="7" t="s">
        <v>4283</v>
      </c>
    </row>
    <row r="464" customFormat="false" ht="34.5" hidden="false" customHeight="true" outlineLevel="0" collapsed="false">
      <c r="A464" s="7" t="s">
        <v>4284</v>
      </c>
      <c r="B464" s="7" t="s">
        <v>4047</v>
      </c>
      <c r="C464" s="7" t="s">
        <v>4048</v>
      </c>
      <c r="D464" s="7" t="s">
        <v>3467</v>
      </c>
      <c r="E464" s="7" t="n">
        <v>70.3</v>
      </c>
      <c r="F464" s="7" t="s">
        <v>4285</v>
      </c>
    </row>
    <row r="465" customFormat="false" ht="34.5" hidden="false" customHeight="true" outlineLevel="0" collapsed="false">
      <c r="A465" s="7" t="s">
        <v>4286</v>
      </c>
      <c r="B465" s="7" t="s">
        <v>4200</v>
      </c>
      <c r="C465" s="7" t="s">
        <v>3779</v>
      </c>
      <c r="D465" s="7" t="s">
        <v>3467</v>
      </c>
      <c r="E465" s="7" t="n">
        <v>48.7</v>
      </c>
      <c r="F465" s="7" t="s">
        <v>4287</v>
      </c>
    </row>
    <row r="466" customFormat="false" ht="34.5" hidden="false" customHeight="true" outlineLevel="0" collapsed="false">
      <c r="A466" s="7" t="s">
        <v>4286</v>
      </c>
      <c r="B466" s="7" t="s">
        <v>4288</v>
      </c>
      <c r="C466" s="7" t="s">
        <v>4289</v>
      </c>
      <c r="D466" s="7" t="s">
        <v>3467</v>
      </c>
      <c r="E466" s="7" t="n">
        <v>70.6</v>
      </c>
      <c r="F466" s="7" t="s">
        <v>4290</v>
      </c>
    </row>
    <row r="467" customFormat="false" ht="79.5" hidden="false" customHeight="true" outlineLevel="0" collapsed="false">
      <c r="A467" s="7" t="s">
        <v>4291</v>
      </c>
      <c r="B467" s="7" t="s">
        <v>4292</v>
      </c>
      <c r="C467" s="7" t="s">
        <v>3375</v>
      </c>
      <c r="D467" s="7" t="s">
        <v>3376</v>
      </c>
      <c r="E467" s="7" t="n">
        <v>14.3</v>
      </c>
      <c r="F467" s="7" t="s">
        <v>4293</v>
      </c>
    </row>
    <row r="468" customFormat="false" ht="45.75" hidden="false" customHeight="true" outlineLevel="0" collapsed="false">
      <c r="A468" s="7" t="s">
        <v>4294</v>
      </c>
      <c r="B468" s="7" t="s">
        <v>3842</v>
      </c>
      <c r="C468" s="7" t="s">
        <v>3383</v>
      </c>
      <c r="D468" s="7" t="s">
        <v>3467</v>
      </c>
      <c r="E468" s="7" t="n">
        <v>61.3</v>
      </c>
      <c r="F468" s="7" t="s">
        <v>4295</v>
      </c>
    </row>
    <row r="469" customFormat="false" ht="34.5" hidden="false" customHeight="true" outlineLevel="0" collapsed="false">
      <c r="A469" s="7" t="s">
        <v>4294</v>
      </c>
      <c r="B469" s="7" t="s">
        <v>3842</v>
      </c>
      <c r="C469" s="7" t="s">
        <v>3383</v>
      </c>
      <c r="D469" s="7" t="s">
        <v>3467</v>
      </c>
      <c r="E469" s="7" t="n">
        <v>61.6</v>
      </c>
      <c r="F469" s="7" t="s">
        <v>4296</v>
      </c>
    </row>
    <row r="470" customFormat="false" ht="135.75" hidden="false" customHeight="true" outlineLevel="0" collapsed="false">
      <c r="A470" s="7" t="s">
        <v>4297</v>
      </c>
      <c r="B470" s="7" t="s">
        <v>324</v>
      </c>
      <c r="C470" s="7" t="s">
        <v>3375</v>
      </c>
      <c r="D470" s="7" t="s">
        <v>3467</v>
      </c>
      <c r="E470" s="7" t="n">
        <v>17.4</v>
      </c>
      <c r="F470" s="7" t="s">
        <v>4298</v>
      </c>
    </row>
    <row r="471" customFormat="false" ht="34.5" hidden="false" customHeight="true" outlineLevel="0" collapsed="false">
      <c r="A471" s="7" t="s">
        <v>871</v>
      </c>
      <c r="B471" s="7" t="s">
        <v>3416</v>
      </c>
      <c r="C471" s="7" t="s">
        <v>4299</v>
      </c>
      <c r="D471" s="7" t="s">
        <v>3467</v>
      </c>
      <c r="E471" s="7" t="n">
        <v>51.7</v>
      </c>
      <c r="F471" s="7" t="s">
        <v>4300</v>
      </c>
    </row>
    <row r="472" customFormat="false" ht="34.5" hidden="false" customHeight="true" outlineLevel="0" collapsed="false">
      <c r="A472" s="7" t="s">
        <v>871</v>
      </c>
      <c r="B472" s="7" t="s">
        <v>3477</v>
      </c>
      <c r="C472" s="7" t="s">
        <v>3478</v>
      </c>
      <c r="D472" s="7" t="s">
        <v>3467</v>
      </c>
      <c r="E472" s="7" t="n">
        <v>57.7</v>
      </c>
      <c r="F472" s="7" t="s">
        <v>4301</v>
      </c>
    </row>
    <row r="473" customFormat="false" ht="34.5" hidden="false" customHeight="true" outlineLevel="0" collapsed="false">
      <c r="A473" s="7" t="s">
        <v>871</v>
      </c>
      <c r="B473" s="7" t="s">
        <v>3477</v>
      </c>
      <c r="C473" s="7" t="s">
        <v>3478</v>
      </c>
      <c r="D473" s="7" t="s">
        <v>3467</v>
      </c>
      <c r="E473" s="7" t="n">
        <v>57.4</v>
      </c>
      <c r="F473" s="7" t="s">
        <v>4302</v>
      </c>
    </row>
    <row r="474" customFormat="false" ht="57" hidden="false" customHeight="true" outlineLevel="0" collapsed="false">
      <c r="A474" s="7" t="s">
        <v>871</v>
      </c>
      <c r="B474" s="7" t="s">
        <v>3473</v>
      </c>
      <c r="C474" s="7" t="s">
        <v>3417</v>
      </c>
      <c r="D474" s="7" t="s">
        <v>3467</v>
      </c>
      <c r="E474" s="7" t="n">
        <v>58.9</v>
      </c>
      <c r="F474" s="7" t="s">
        <v>4303</v>
      </c>
    </row>
    <row r="475" customFormat="false" ht="34.5" hidden="false" customHeight="true" outlineLevel="0" collapsed="false">
      <c r="A475" s="7" t="s">
        <v>871</v>
      </c>
      <c r="B475" s="7" t="s">
        <v>3473</v>
      </c>
      <c r="C475" s="7" t="s">
        <v>3417</v>
      </c>
      <c r="D475" s="7" t="s">
        <v>3467</v>
      </c>
      <c r="E475" s="7" t="n">
        <v>58.9</v>
      </c>
      <c r="F475" s="7" t="s">
        <v>4304</v>
      </c>
    </row>
    <row r="476" customFormat="false" ht="135.75" hidden="false" customHeight="true" outlineLevel="0" collapsed="false">
      <c r="A476" s="7" t="s">
        <v>871</v>
      </c>
      <c r="B476" s="7" t="s">
        <v>4305</v>
      </c>
      <c r="C476" s="7" t="s">
        <v>3624</v>
      </c>
      <c r="D476" s="7" t="s">
        <v>3467</v>
      </c>
      <c r="E476" s="7" t="n">
        <v>55.3</v>
      </c>
      <c r="F476" s="7" t="s">
        <v>4306</v>
      </c>
    </row>
    <row r="477" customFormat="false" ht="34.5" hidden="false" customHeight="true" outlineLevel="0" collapsed="false">
      <c r="A477" s="7" t="s">
        <v>871</v>
      </c>
      <c r="B477" s="7" t="s">
        <v>3664</v>
      </c>
      <c r="C477" s="7" t="s">
        <v>3379</v>
      </c>
      <c r="D477" s="7" t="s">
        <v>3467</v>
      </c>
      <c r="E477" s="7" t="n">
        <v>25.2</v>
      </c>
      <c r="F477" s="7" t="s">
        <v>4307</v>
      </c>
    </row>
    <row r="478" customFormat="false" ht="168.75" hidden="false" customHeight="true" outlineLevel="0" collapsed="false">
      <c r="A478" s="7" t="s">
        <v>871</v>
      </c>
      <c r="B478" s="7" t="s">
        <v>3391</v>
      </c>
      <c r="C478" s="7" t="s">
        <v>3392</v>
      </c>
      <c r="D478" s="7" t="s">
        <v>3467</v>
      </c>
      <c r="E478" s="7" t="n">
        <v>54.6</v>
      </c>
      <c r="F478" s="7" t="s">
        <v>4308</v>
      </c>
    </row>
    <row r="479" customFormat="false" ht="34.5" hidden="false" customHeight="true" outlineLevel="0" collapsed="false">
      <c r="A479" s="7" t="s">
        <v>871</v>
      </c>
      <c r="B479" s="7" t="s">
        <v>3391</v>
      </c>
      <c r="C479" s="7" t="s">
        <v>3392</v>
      </c>
      <c r="D479" s="7" t="s">
        <v>3467</v>
      </c>
      <c r="E479" s="7" t="n">
        <v>54.8</v>
      </c>
      <c r="F479" s="7" t="s">
        <v>4309</v>
      </c>
    </row>
    <row r="480" customFormat="false" ht="34.5" hidden="false" customHeight="true" outlineLevel="0" collapsed="false">
      <c r="A480" s="7" t="s">
        <v>4310</v>
      </c>
      <c r="B480" s="7" t="s">
        <v>3639</v>
      </c>
      <c r="C480" s="7" t="s">
        <v>3640</v>
      </c>
      <c r="D480" s="7" t="s">
        <v>3467</v>
      </c>
      <c r="E480" s="7" t="n">
        <v>51</v>
      </c>
      <c r="F480" s="7" t="s">
        <v>4311</v>
      </c>
    </row>
    <row r="481" customFormat="false" ht="34.5" hidden="false" customHeight="true" outlineLevel="0" collapsed="false">
      <c r="A481" s="7" t="s">
        <v>4312</v>
      </c>
      <c r="B481" s="7" t="s">
        <v>3416</v>
      </c>
      <c r="C481" s="7" t="s">
        <v>4299</v>
      </c>
      <c r="D481" s="7" t="s">
        <v>3467</v>
      </c>
      <c r="E481" s="7" t="n">
        <v>51.7</v>
      </c>
      <c r="F481" s="7" t="s">
        <v>4313</v>
      </c>
    </row>
    <row r="482" customFormat="false" ht="34.5" hidden="false" customHeight="true" outlineLevel="0" collapsed="false">
      <c r="A482" s="7" t="s">
        <v>4314</v>
      </c>
      <c r="B482" s="7" t="s">
        <v>3477</v>
      </c>
      <c r="C482" s="7" t="s">
        <v>3478</v>
      </c>
      <c r="D482" s="7" t="s">
        <v>3467</v>
      </c>
      <c r="E482" s="7" t="n">
        <v>57.4</v>
      </c>
      <c r="F482" s="7" t="s">
        <v>4315</v>
      </c>
    </row>
    <row r="483" customFormat="false" ht="34.5" hidden="false" customHeight="true" outlineLevel="0" collapsed="false">
      <c r="A483" s="7" t="s">
        <v>4316</v>
      </c>
      <c r="B483" s="7" t="s">
        <v>3954</v>
      </c>
      <c r="C483" s="7" t="s">
        <v>3421</v>
      </c>
      <c r="D483" s="7" t="s">
        <v>3467</v>
      </c>
      <c r="E483" s="7" t="n">
        <v>65</v>
      </c>
      <c r="F483" s="7" t="s">
        <v>4317</v>
      </c>
    </row>
    <row r="484" customFormat="false" ht="34.5" hidden="false" customHeight="true" outlineLevel="0" collapsed="false">
      <c r="A484" s="7" t="s">
        <v>4316</v>
      </c>
      <c r="B484" s="7" t="s">
        <v>3823</v>
      </c>
      <c r="C484" s="7" t="s">
        <v>3421</v>
      </c>
      <c r="D484" s="7" t="s">
        <v>3467</v>
      </c>
      <c r="E484" s="7" t="n">
        <v>68.6</v>
      </c>
      <c r="F484" s="7" t="s">
        <v>4318</v>
      </c>
    </row>
    <row r="485" customFormat="false" ht="34.5" hidden="false" customHeight="true" outlineLevel="0" collapsed="false">
      <c r="A485" s="7" t="s">
        <v>4316</v>
      </c>
      <c r="B485" s="7" t="s">
        <v>3954</v>
      </c>
      <c r="C485" s="7" t="s">
        <v>3421</v>
      </c>
      <c r="D485" s="7" t="s">
        <v>3467</v>
      </c>
      <c r="E485" s="7" t="n">
        <v>64.7</v>
      </c>
      <c r="F485" s="7" t="s">
        <v>4319</v>
      </c>
    </row>
    <row r="486" customFormat="false" ht="34.5" hidden="false" customHeight="true" outlineLevel="0" collapsed="false">
      <c r="A486" s="7" t="s">
        <v>4320</v>
      </c>
      <c r="B486" s="7" t="s">
        <v>3391</v>
      </c>
      <c r="C486" s="7" t="s">
        <v>3392</v>
      </c>
      <c r="D486" s="7" t="s">
        <v>3467</v>
      </c>
      <c r="E486" s="7" t="n">
        <v>54.8</v>
      </c>
      <c r="F486" s="7" t="s">
        <v>4321</v>
      </c>
    </row>
    <row r="487" customFormat="false" ht="45.75" hidden="false" customHeight="true" outlineLevel="0" collapsed="false">
      <c r="A487" s="7" t="s">
        <v>4320</v>
      </c>
      <c r="B487" s="7" t="s">
        <v>3664</v>
      </c>
      <c r="C487" s="7" t="s">
        <v>3379</v>
      </c>
      <c r="D487" s="7" t="s">
        <v>3467</v>
      </c>
      <c r="E487" s="7" t="n">
        <v>25.3</v>
      </c>
      <c r="F487" s="7" t="s">
        <v>4322</v>
      </c>
    </row>
    <row r="488" customFormat="false" ht="34.5" hidden="false" customHeight="true" outlineLevel="0" collapsed="false">
      <c r="A488" s="7" t="s">
        <v>4320</v>
      </c>
      <c r="B488" s="7" t="s">
        <v>3867</v>
      </c>
      <c r="C488" s="7" t="s">
        <v>3398</v>
      </c>
      <c r="D488" s="7" t="s">
        <v>3467</v>
      </c>
      <c r="E488" s="7" t="n">
        <v>36.6</v>
      </c>
      <c r="F488" s="7" t="s">
        <v>4323</v>
      </c>
    </row>
    <row r="489" customFormat="false" ht="34.5" hidden="false" customHeight="true" outlineLevel="0" collapsed="false">
      <c r="A489" s="7" t="s">
        <v>4320</v>
      </c>
      <c r="B489" s="7" t="s">
        <v>3416</v>
      </c>
      <c r="C489" s="7" t="s">
        <v>4324</v>
      </c>
      <c r="D489" s="7" t="s">
        <v>3467</v>
      </c>
      <c r="E489" s="7" t="n">
        <v>54.4</v>
      </c>
      <c r="F489" s="7" t="s">
        <v>4325</v>
      </c>
    </row>
    <row r="490" customFormat="false" ht="34.5" hidden="false" customHeight="true" outlineLevel="0" collapsed="false">
      <c r="A490" s="7" t="s">
        <v>4326</v>
      </c>
      <c r="B490" s="7" t="s">
        <v>3842</v>
      </c>
      <c r="C490" s="7" t="s">
        <v>3383</v>
      </c>
      <c r="D490" s="7" t="s">
        <v>3467</v>
      </c>
      <c r="E490" s="7" t="n">
        <v>61.6</v>
      </c>
      <c r="F490" s="7" t="s">
        <v>4327</v>
      </c>
    </row>
    <row r="491" customFormat="false" ht="34.5" hidden="false" customHeight="true" outlineLevel="0" collapsed="false">
      <c r="A491" s="7" t="s">
        <v>4326</v>
      </c>
      <c r="B491" s="7" t="s">
        <v>3473</v>
      </c>
      <c r="C491" s="7" t="s">
        <v>3417</v>
      </c>
      <c r="D491" s="7" t="s">
        <v>3467</v>
      </c>
      <c r="E491" s="7" t="n">
        <v>58.9</v>
      </c>
      <c r="F491" s="7" t="s">
        <v>4328</v>
      </c>
    </row>
    <row r="492" customFormat="false" ht="34.5" hidden="false" customHeight="true" outlineLevel="0" collapsed="false">
      <c r="A492" s="7" t="s">
        <v>4329</v>
      </c>
      <c r="B492" s="7" t="s">
        <v>3391</v>
      </c>
      <c r="C492" s="7" t="s">
        <v>3392</v>
      </c>
      <c r="D492" s="7" t="s">
        <v>3467</v>
      </c>
      <c r="E492" s="7" t="n">
        <v>54.8</v>
      </c>
      <c r="F492" s="7" t="s">
        <v>4330</v>
      </c>
    </row>
    <row r="493" customFormat="false" ht="34.5" hidden="false" customHeight="true" outlineLevel="0" collapsed="false">
      <c r="A493" s="7" t="s">
        <v>4331</v>
      </c>
      <c r="B493" s="7" t="s">
        <v>4060</v>
      </c>
      <c r="C493" s="7" t="s">
        <v>3946</v>
      </c>
      <c r="D493" s="7" t="s">
        <v>3467</v>
      </c>
      <c r="E493" s="7" t="n">
        <v>62</v>
      </c>
      <c r="F493" s="7" t="s">
        <v>4332</v>
      </c>
    </row>
    <row r="494" customFormat="false" ht="34.5" hidden="false" customHeight="true" outlineLevel="0" collapsed="false">
      <c r="A494" s="7" t="s">
        <v>4331</v>
      </c>
      <c r="B494" s="7" t="s">
        <v>4333</v>
      </c>
      <c r="C494" s="7" t="s">
        <v>4334</v>
      </c>
      <c r="D494" s="7" t="s">
        <v>3467</v>
      </c>
      <c r="E494" s="7" t="n">
        <v>60.3</v>
      </c>
      <c r="F494" s="7" t="s">
        <v>4335</v>
      </c>
    </row>
    <row r="495" customFormat="false" ht="34.5" hidden="false" customHeight="true" outlineLevel="0" collapsed="false">
      <c r="A495" s="7" t="s">
        <v>4331</v>
      </c>
      <c r="B495" s="7" t="s">
        <v>3477</v>
      </c>
      <c r="C495" s="7" t="s">
        <v>3478</v>
      </c>
      <c r="D495" s="7" t="s">
        <v>3467</v>
      </c>
      <c r="E495" s="7" t="n">
        <v>57.4</v>
      </c>
      <c r="F495" s="7" t="s">
        <v>4336</v>
      </c>
    </row>
    <row r="496" customFormat="false" ht="34.5" hidden="false" customHeight="true" outlineLevel="0" collapsed="false">
      <c r="A496" s="7" t="s">
        <v>4331</v>
      </c>
      <c r="B496" s="7" t="s">
        <v>3867</v>
      </c>
      <c r="C496" s="7" t="s">
        <v>3398</v>
      </c>
      <c r="D496" s="7" t="s">
        <v>3467</v>
      </c>
      <c r="E496" s="7" t="n">
        <v>36.6</v>
      </c>
      <c r="F496" s="7" t="s">
        <v>4337</v>
      </c>
    </row>
    <row r="497" customFormat="false" ht="34.5" hidden="false" customHeight="true" outlineLevel="0" collapsed="false">
      <c r="A497" s="7" t="s">
        <v>4338</v>
      </c>
      <c r="B497" s="7" t="s">
        <v>3623</v>
      </c>
      <c r="C497" s="7" t="s">
        <v>3624</v>
      </c>
      <c r="D497" s="7" t="s">
        <v>3467</v>
      </c>
      <c r="E497" s="7" t="n">
        <v>46.6</v>
      </c>
      <c r="F497" s="7" t="s">
        <v>4339</v>
      </c>
    </row>
    <row r="498" customFormat="false" ht="34.5" hidden="false" customHeight="true" outlineLevel="0" collapsed="false">
      <c r="A498" s="7" t="s">
        <v>4338</v>
      </c>
      <c r="B498" s="7" t="s">
        <v>3823</v>
      </c>
      <c r="C498" s="7" t="s">
        <v>3421</v>
      </c>
      <c r="D498" s="7" t="s">
        <v>3467</v>
      </c>
      <c r="E498" s="7" t="n">
        <v>68.6</v>
      </c>
      <c r="F498" s="7" t="s">
        <v>4340</v>
      </c>
    </row>
    <row r="499" customFormat="false" ht="34.5" hidden="false" customHeight="true" outlineLevel="0" collapsed="false">
      <c r="A499" s="7" t="s">
        <v>4341</v>
      </c>
      <c r="B499" s="7" t="s">
        <v>994</v>
      </c>
      <c r="C499" s="7" t="s">
        <v>3952</v>
      </c>
      <c r="D499" s="7" t="s">
        <v>3467</v>
      </c>
      <c r="E499" s="7" t="n">
        <v>25.2</v>
      </c>
      <c r="F499" s="7" t="s">
        <v>4342</v>
      </c>
    </row>
    <row r="500" customFormat="false" ht="34.5" hidden="false" customHeight="true" outlineLevel="0" collapsed="false">
      <c r="A500" s="7" t="s">
        <v>4341</v>
      </c>
      <c r="B500" s="7" t="s">
        <v>3842</v>
      </c>
      <c r="C500" s="7" t="s">
        <v>3383</v>
      </c>
      <c r="D500" s="7" t="s">
        <v>3467</v>
      </c>
      <c r="E500" s="7" t="n">
        <v>61.6</v>
      </c>
      <c r="F500" s="7" t="s">
        <v>4343</v>
      </c>
    </row>
    <row r="501" customFormat="false" ht="34.5" hidden="false" customHeight="true" outlineLevel="0" collapsed="false">
      <c r="A501" s="7" t="s">
        <v>4344</v>
      </c>
      <c r="B501" s="7" t="s">
        <v>3477</v>
      </c>
      <c r="C501" s="7" t="s">
        <v>3478</v>
      </c>
      <c r="D501" s="7" t="s">
        <v>3467</v>
      </c>
      <c r="E501" s="7" t="n">
        <v>57.4</v>
      </c>
      <c r="F501" s="7" t="s">
        <v>4345</v>
      </c>
    </row>
    <row r="502" customFormat="false" ht="34.5" hidden="false" customHeight="true" outlineLevel="0" collapsed="false">
      <c r="A502" s="7" t="s">
        <v>4346</v>
      </c>
      <c r="B502" s="7" t="s">
        <v>3823</v>
      </c>
      <c r="C502" s="7" t="s">
        <v>3421</v>
      </c>
      <c r="D502" s="7" t="s">
        <v>3467</v>
      </c>
      <c r="E502" s="7" t="n">
        <v>68.6</v>
      </c>
      <c r="F502" s="7" t="s">
        <v>4347</v>
      </c>
    </row>
    <row r="503" customFormat="false" ht="34.5" hidden="false" customHeight="true" outlineLevel="0" collapsed="false">
      <c r="A503" s="7" t="s">
        <v>4346</v>
      </c>
      <c r="B503" s="7" t="s">
        <v>3477</v>
      </c>
      <c r="C503" s="7" t="s">
        <v>3478</v>
      </c>
      <c r="D503" s="7" t="s">
        <v>3467</v>
      </c>
      <c r="E503" s="7" t="n">
        <v>57.4</v>
      </c>
      <c r="F503" s="7" t="s">
        <v>4348</v>
      </c>
    </row>
    <row r="504" customFormat="false" ht="45.75" hidden="false" customHeight="true" outlineLevel="0" collapsed="false">
      <c r="A504" s="7" t="s">
        <v>4349</v>
      </c>
      <c r="B504" s="7" t="s">
        <v>4333</v>
      </c>
      <c r="C504" s="7" t="s">
        <v>4334</v>
      </c>
      <c r="D504" s="7" t="s">
        <v>3467</v>
      </c>
      <c r="E504" s="7" t="n">
        <v>60.3</v>
      </c>
      <c r="F504" s="7" t="s">
        <v>4350</v>
      </c>
    </row>
    <row r="505" customFormat="false" ht="45.75" hidden="false" customHeight="true" outlineLevel="0" collapsed="false">
      <c r="A505" s="7" t="s">
        <v>4351</v>
      </c>
      <c r="B505" s="7" t="s">
        <v>3623</v>
      </c>
      <c r="C505" s="7" t="s">
        <v>3624</v>
      </c>
      <c r="D505" s="7" t="s">
        <v>3467</v>
      </c>
      <c r="E505" s="7" t="n">
        <v>46.6</v>
      </c>
      <c r="F505" s="7" t="s">
        <v>4352</v>
      </c>
    </row>
    <row r="506" customFormat="false" ht="34.5" hidden="false" customHeight="true" outlineLevel="0" collapsed="false">
      <c r="A506" s="7" t="s">
        <v>4353</v>
      </c>
      <c r="B506" s="7" t="s">
        <v>3477</v>
      </c>
      <c r="C506" s="7" t="s">
        <v>3478</v>
      </c>
      <c r="D506" s="7" t="s">
        <v>3467</v>
      </c>
      <c r="E506" s="7" t="n">
        <v>57.4</v>
      </c>
      <c r="F506" s="7" t="s">
        <v>4354</v>
      </c>
    </row>
    <row r="507" customFormat="false" ht="34.5" hidden="false" customHeight="true" outlineLevel="0" collapsed="false">
      <c r="A507" s="7" t="s">
        <v>831</v>
      </c>
      <c r="B507" s="7" t="s">
        <v>3515</v>
      </c>
      <c r="C507" s="7" t="s">
        <v>4355</v>
      </c>
      <c r="D507" s="7" t="s">
        <v>3467</v>
      </c>
      <c r="E507" s="7" t="n">
        <v>32.7</v>
      </c>
      <c r="F507" s="7" t="s">
        <v>4356</v>
      </c>
    </row>
    <row r="508" customFormat="false" ht="34.5" hidden="false" customHeight="true" outlineLevel="0" collapsed="false">
      <c r="A508" s="7" t="s">
        <v>4357</v>
      </c>
      <c r="B508" s="7" t="s">
        <v>3587</v>
      </c>
      <c r="C508" s="7" t="s">
        <v>3375</v>
      </c>
      <c r="D508" s="7" t="s">
        <v>3467</v>
      </c>
      <c r="E508" s="7" t="n">
        <v>56.4</v>
      </c>
      <c r="F508" s="7" t="s">
        <v>4358</v>
      </c>
    </row>
    <row r="509" customFormat="false" ht="45.75" hidden="false" customHeight="true" outlineLevel="0" collapsed="false">
      <c r="A509" s="7" t="s">
        <v>4359</v>
      </c>
      <c r="B509" s="7" t="s">
        <v>3623</v>
      </c>
      <c r="C509" s="7" t="s">
        <v>3624</v>
      </c>
      <c r="D509" s="7" t="s">
        <v>3467</v>
      </c>
      <c r="E509" s="7" t="n">
        <v>46.6</v>
      </c>
      <c r="F509" s="7" t="s">
        <v>4360</v>
      </c>
    </row>
    <row r="510" customFormat="false" ht="34.5" hidden="false" customHeight="true" outlineLevel="0" collapsed="false">
      <c r="A510" s="7" t="s">
        <v>4361</v>
      </c>
      <c r="B510" s="7" t="s">
        <v>994</v>
      </c>
      <c r="C510" s="7" t="s">
        <v>3952</v>
      </c>
      <c r="D510" s="7" t="s">
        <v>3467</v>
      </c>
      <c r="E510" s="7" t="n">
        <v>25.2</v>
      </c>
      <c r="F510" s="7" t="s">
        <v>4362</v>
      </c>
    </row>
    <row r="511" customFormat="false" ht="45.75" hidden="false" customHeight="true" outlineLevel="0" collapsed="false">
      <c r="A511" s="7" t="s">
        <v>4363</v>
      </c>
      <c r="B511" s="7" t="s">
        <v>3477</v>
      </c>
      <c r="C511" s="7" t="s">
        <v>3478</v>
      </c>
      <c r="D511" s="7" t="s">
        <v>3467</v>
      </c>
      <c r="E511" s="7" t="n">
        <v>57.4</v>
      </c>
      <c r="F511" s="7" t="s">
        <v>4364</v>
      </c>
    </row>
    <row r="512" customFormat="false" ht="34.5" hidden="false" customHeight="true" outlineLevel="0" collapsed="false">
      <c r="A512" s="7" t="s">
        <v>4365</v>
      </c>
      <c r="B512" s="7" t="s">
        <v>3639</v>
      </c>
      <c r="C512" s="7" t="s">
        <v>3640</v>
      </c>
      <c r="D512" s="7" t="s">
        <v>3467</v>
      </c>
      <c r="E512" s="7" t="n">
        <v>51</v>
      </c>
      <c r="F512" s="7" t="s">
        <v>4366</v>
      </c>
    </row>
    <row r="513" customFormat="false" ht="45.75" hidden="false" customHeight="true" outlineLevel="0" collapsed="false">
      <c r="A513" s="7" t="s">
        <v>4367</v>
      </c>
      <c r="B513" s="7" t="s">
        <v>3477</v>
      </c>
      <c r="C513" s="7" t="s">
        <v>3478</v>
      </c>
      <c r="D513" s="7" t="s">
        <v>3467</v>
      </c>
      <c r="E513" s="7" t="n">
        <v>57.4</v>
      </c>
      <c r="F513" s="7" t="s">
        <v>4368</v>
      </c>
    </row>
    <row r="514" customFormat="false" ht="34.5" hidden="false" customHeight="true" outlineLevel="0" collapsed="false">
      <c r="A514" s="7" t="s">
        <v>4369</v>
      </c>
      <c r="B514" s="7" t="s">
        <v>3639</v>
      </c>
      <c r="C514" s="7" t="s">
        <v>3640</v>
      </c>
      <c r="D514" s="7" t="s">
        <v>3467</v>
      </c>
      <c r="E514" s="7" t="n">
        <v>51</v>
      </c>
      <c r="F514" s="7" t="s">
        <v>4370</v>
      </c>
    </row>
    <row r="515" customFormat="false" ht="45.75" hidden="false" customHeight="true" outlineLevel="0" collapsed="false">
      <c r="A515" s="7" t="s">
        <v>4369</v>
      </c>
      <c r="B515" s="7" t="s">
        <v>3405</v>
      </c>
      <c r="C515" s="7" t="s">
        <v>3406</v>
      </c>
      <c r="D515" s="7" t="s">
        <v>3467</v>
      </c>
      <c r="E515" s="7" t="n">
        <v>44.9</v>
      </c>
      <c r="F515" s="7" t="s">
        <v>4371</v>
      </c>
    </row>
    <row r="516" customFormat="false" ht="34.5" hidden="false" customHeight="true" outlineLevel="0" collapsed="false">
      <c r="A516" s="7" t="s">
        <v>4372</v>
      </c>
      <c r="B516" s="7" t="s">
        <v>3639</v>
      </c>
      <c r="C516" s="7" t="s">
        <v>3640</v>
      </c>
      <c r="D516" s="7" t="s">
        <v>3467</v>
      </c>
      <c r="E516" s="7" t="n">
        <v>51</v>
      </c>
      <c r="F516" s="7" t="s">
        <v>4373</v>
      </c>
    </row>
    <row r="517" customFormat="false" ht="34.5" hidden="false" customHeight="true" outlineLevel="0" collapsed="false">
      <c r="A517" s="7" t="s">
        <v>4374</v>
      </c>
      <c r="B517" s="7" t="s">
        <v>3473</v>
      </c>
      <c r="C517" s="7" t="s">
        <v>3417</v>
      </c>
      <c r="D517" s="7" t="s">
        <v>3467</v>
      </c>
      <c r="E517" s="7" t="n">
        <v>58.9</v>
      </c>
      <c r="F517" s="7" t="s">
        <v>4375</v>
      </c>
    </row>
    <row r="518" customFormat="false" ht="45.75" hidden="false" customHeight="true" outlineLevel="0" collapsed="false">
      <c r="A518" s="7" t="s">
        <v>4376</v>
      </c>
      <c r="B518" s="7" t="s">
        <v>3405</v>
      </c>
      <c r="C518" s="7" t="s">
        <v>3406</v>
      </c>
      <c r="D518" s="7" t="s">
        <v>3467</v>
      </c>
      <c r="E518" s="7" t="n">
        <v>44.9</v>
      </c>
      <c r="F518" s="7" t="s">
        <v>4377</v>
      </c>
    </row>
    <row r="519" customFormat="false" ht="113.25" hidden="false" customHeight="true" outlineLevel="0" collapsed="false">
      <c r="A519" s="7" t="s">
        <v>801</v>
      </c>
      <c r="B519" s="7" t="s">
        <v>2985</v>
      </c>
      <c r="C519" s="7" t="s">
        <v>3379</v>
      </c>
      <c r="D519" s="7" t="s">
        <v>3467</v>
      </c>
      <c r="E519" s="7" t="n">
        <v>22.5</v>
      </c>
      <c r="F519" s="7" t="s">
        <v>4378</v>
      </c>
    </row>
    <row r="520" customFormat="false" ht="34.5" hidden="false" customHeight="true" outlineLevel="0" collapsed="false">
      <c r="A520" s="7" t="s">
        <v>4379</v>
      </c>
      <c r="B520" s="7" t="s">
        <v>3440</v>
      </c>
      <c r="C520" s="7" t="s">
        <v>3375</v>
      </c>
      <c r="D520" s="7" t="s">
        <v>3467</v>
      </c>
      <c r="E520" s="7" t="n">
        <v>67.4</v>
      </c>
      <c r="F520" s="7" t="s">
        <v>4380</v>
      </c>
    </row>
    <row r="521" customFormat="false" ht="34.5" hidden="false" customHeight="true" outlineLevel="0" collapsed="false">
      <c r="A521" s="7" t="s">
        <v>4381</v>
      </c>
      <c r="B521" s="7" t="s">
        <v>3413</v>
      </c>
      <c r="C521" s="7" t="s">
        <v>3406</v>
      </c>
      <c r="D521" s="7" t="s">
        <v>3467</v>
      </c>
      <c r="E521" s="7" t="n">
        <v>43.2</v>
      </c>
      <c r="F521" s="7" t="s">
        <v>4382</v>
      </c>
    </row>
    <row r="522" customFormat="false" ht="34.5" hidden="false" customHeight="true" outlineLevel="0" collapsed="false">
      <c r="A522" s="7" t="s">
        <v>4383</v>
      </c>
      <c r="B522" s="7" t="s">
        <v>3413</v>
      </c>
      <c r="C522" s="7" t="s">
        <v>3406</v>
      </c>
      <c r="D522" s="7" t="s">
        <v>3467</v>
      </c>
      <c r="E522" s="7" t="n">
        <v>43.2</v>
      </c>
      <c r="F522" s="7" t="s">
        <v>4384</v>
      </c>
    </row>
    <row r="523" customFormat="false" ht="34.5" hidden="false" customHeight="true" outlineLevel="0" collapsed="false">
      <c r="A523" s="7" t="s">
        <v>4385</v>
      </c>
      <c r="B523" s="7" t="s">
        <v>324</v>
      </c>
      <c r="C523" s="7" t="s">
        <v>3375</v>
      </c>
      <c r="D523" s="7" t="s">
        <v>3388</v>
      </c>
      <c r="E523" s="7" t="n">
        <v>17.5</v>
      </c>
      <c r="F523" s="7" t="s">
        <v>4386</v>
      </c>
    </row>
    <row r="525" customFormat="false" ht="15" hidden="false" customHeight="true" outlineLevel="0" collapsed="false">
      <c r="A525" s="8" t="s">
        <v>4387</v>
      </c>
    </row>
    <row r="526" customFormat="false" ht="15" hidden="false" customHeight="true" outlineLevel="0" collapsed="false">
      <c r="A526" s="11" t="s">
        <v>4388</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4389</v>
      </c>
      <c r="B1" s="6" t="s">
        <v>4390</v>
      </c>
      <c r="C1" s="6" t="s">
        <v>4391</v>
      </c>
      <c r="D1" s="6" t="s">
        <v>4392</v>
      </c>
      <c r="E1" s="6" t="s">
        <v>4393</v>
      </c>
      <c r="F1" s="6" t="s">
        <v>4394</v>
      </c>
      <c r="G1" s="6" t="s">
        <v>4395</v>
      </c>
      <c r="H1" s="1" t="s">
        <v>4396</v>
      </c>
      <c r="I1" s="1" t="s">
        <v>4397</v>
      </c>
      <c r="J1" s="1" t="s">
        <v>4398</v>
      </c>
      <c r="K1" s="1" t="s">
        <v>4399</v>
      </c>
    </row>
    <row r="2" customFormat="false" ht="57" hidden="false" customHeight="true" outlineLevel="0" collapsed="false">
      <c r="A2" s="7" t="s">
        <v>4400</v>
      </c>
      <c r="B2" s="7" t="s">
        <v>4401</v>
      </c>
      <c r="C2" s="7" t="s">
        <v>4402</v>
      </c>
      <c r="D2" s="7" t="s">
        <v>4403</v>
      </c>
      <c r="E2" s="7" t="s">
        <v>4404</v>
      </c>
      <c r="F2" s="7" t="s">
        <v>4405</v>
      </c>
      <c r="G2" s="7" t="s">
        <v>4406</v>
      </c>
      <c r="H2" s="1" t="n">
        <v>42.6697</v>
      </c>
      <c r="I2" s="1" t="n">
        <v>-74.1182</v>
      </c>
      <c r="J2" s="1" t="s">
        <v>4407</v>
      </c>
      <c r="K2" s="1" t="s">
        <v>4408</v>
      </c>
    </row>
    <row r="3" customFormat="false" ht="90.75" hidden="false" customHeight="true" outlineLevel="0" collapsed="false">
      <c r="A3" s="7" t="s">
        <v>4409</v>
      </c>
      <c r="B3" s="7" t="s">
        <v>4410</v>
      </c>
      <c r="C3" s="7" t="s">
        <v>4411</v>
      </c>
      <c r="D3" s="7" t="s">
        <v>4412</v>
      </c>
      <c r="E3" s="7" t="s">
        <v>4413</v>
      </c>
      <c r="F3" s="7" t="s">
        <v>4414</v>
      </c>
      <c r="G3" s="7" t="s">
        <v>4415</v>
      </c>
      <c r="H3" s="1" t="n">
        <v>42.565</v>
      </c>
      <c r="I3" s="1" t="n">
        <v>-73.98</v>
      </c>
      <c r="J3" s="1" t="s">
        <v>4416</v>
      </c>
      <c r="K3" s="1" t="s">
        <v>4417</v>
      </c>
    </row>
    <row r="4" customFormat="false" ht="102" hidden="false" customHeight="true" outlineLevel="0" collapsed="false">
      <c r="A4" s="7" t="s">
        <v>4418</v>
      </c>
      <c r="B4" s="7" t="s">
        <v>4419</v>
      </c>
      <c r="C4" s="7" t="s">
        <v>4420</v>
      </c>
      <c r="D4" s="7" t="s">
        <v>4421</v>
      </c>
      <c r="E4" s="7" t="s">
        <v>4422</v>
      </c>
      <c r="F4" s="7" t="s">
        <v>4423</v>
      </c>
      <c r="G4" s="7" t="s">
        <v>4424</v>
      </c>
      <c r="H4" s="1" t="n">
        <v>42.5758</v>
      </c>
      <c r="I4" s="1" t="n">
        <v>-73.9639</v>
      </c>
      <c r="J4" s="1" t="s">
        <v>4425</v>
      </c>
      <c r="K4" s="1" t="s">
        <v>4426</v>
      </c>
    </row>
    <row r="5" customFormat="false" ht="23.25" hidden="false" customHeight="true" outlineLevel="0" collapsed="false">
      <c r="A5" s="7" t="s">
        <v>4427</v>
      </c>
      <c r="B5" s="7" t="s">
        <v>4428</v>
      </c>
      <c r="C5" s="7" t="s">
        <v>4420</v>
      </c>
      <c r="D5" s="7" t="s">
        <v>4429</v>
      </c>
      <c r="E5" s="7" t="s">
        <v>4430</v>
      </c>
      <c r="F5" s="7" t="s">
        <v>4431</v>
      </c>
      <c r="G5" s="7" t="s">
        <v>4432</v>
      </c>
      <c r="H5" s="1" t="n">
        <v>42.665</v>
      </c>
      <c r="I5" s="1" t="n">
        <v>-74.125</v>
      </c>
      <c r="J5" s="1" t="s">
        <v>4433</v>
      </c>
      <c r="K5" s="1" t="s">
        <v>4434</v>
      </c>
    </row>
    <row r="6" customFormat="false" ht="15" hidden="false" customHeight="true" outlineLevel="0" collapsed="false">
      <c r="A6" s="7" t="s">
        <v>4435</v>
      </c>
      <c r="B6" s="7" t="s">
        <v>4436</v>
      </c>
      <c r="C6" s="7" t="s">
        <v>4437</v>
      </c>
      <c r="D6" s="7" t="s">
        <v>4438</v>
      </c>
      <c r="E6" s="7" t="s">
        <v>4439</v>
      </c>
      <c r="F6" s="7"/>
      <c r="G6" s="7" t="s">
        <v>4440</v>
      </c>
      <c r="H6" s="1" t="n">
        <v>42.665</v>
      </c>
      <c r="I6" s="1" t="n">
        <v>-74.125</v>
      </c>
      <c r="J6" s="1" t="s">
        <v>4433</v>
      </c>
      <c r="K6" s="1" t="s">
        <v>4441</v>
      </c>
    </row>
    <row r="7" customFormat="false" ht="23.25" hidden="false" customHeight="true" outlineLevel="0" collapsed="false">
      <c r="A7" s="7" t="s">
        <v>4442</v>
      </c>
      <c r="B7" s="7" t="s">
        <v>4443</v>
      </c>
      <c r="C7" s="7" t="s">
        <v>4420</v>
      </c>
      <c r="D7" s="7" t="s">
        <v>4444</v>
      </c>
      <c r="E7" s="7"/>
      <c r="F7" s="7" t="s">
        <v>4445</v>
      </c>
      <c r="G7" s="7" t="s">
        <v>4446</v>
      </c>
      <c r="H7" s="1" t="n">
        <v>42.58</v>
      </c>
      <c r="I7" s="1" t="n">
        <v>-73.95</v>
      </c>
      <c r="J7" s="1" t="s">
        <v>4447</v>
      </c>
      <c r="K7" s="1" t="s">
        <v>4448</v>
      </c>
    </row>
    <row r="8" customFormat="false" ht="57" hidden="false" customHeight="true" outlineLevel="0" collapsed="false">
      <c r="A8" s="7" t="s">
        <v>4449</v>
      </c>
      <c r="B8" s="7" t="s">
        <v>747</v>
      </c>
      <c r="C8" s="7" t="s">
        <v>4450</v>
      </c>
      <c r="D8" s="7" t="s">
        <v>4451</v>
      </c>
      <c r="E8" s="7" t="s">
        <v>4452</v>
      </c>
      <c r="F8" s="7" t="s">
        <v>4453</v>
      </c>
      <c r="G8" s="7" t="s">
        <v>4454</v>
      </c>
      <c r="H8" s="1" t="n">
        <v>42.71</v>
      </c>
      <c r="I8" s="1" t="n">
        <v>-74.43</v>
      </c>
      <c r="J8" s="1" t="s">
        <v>4455</v>
      </c>
      <c r="K8" s="1" t="s">
        <v>4456</v>
      </c>
    </row>
    <row r="9" customFormat="false" ht="23.25" hidden="false" customHeight="true" outlineLevel="0" collapsed="false">
      <c r="A9" s="7" t="s">
        <v>4457</v>
      </c>
      <c r="B9" s="7" t="s">
        <v>4458</v>
      </c>
      <c r="C9" s="7" t="s">
        <v>4437</v>
      </c>
      <c r="D9" s="7" t="s">
        <v>4459</v>
      </c>
      <c r="E9" s="7"/>
      <c r="F9" s="7" t="s">
        <v>4460</v>
      </c>
      <c r="G9" s="7" t="s">
        <v>4461</v>
      </c>
      <c r="H9" s="1" t="n">
        <v>42.7</v>
      </c>
      <c r="I9" s="1" t="n">
        <v>-74.415</v>
      </c>
      <c r="J9" s="1" t="s">
        <v>4462</v>
      </c>
      <c r="K9" s="1" t="s">
        <v>4463</v>
      </c>
    </row>
    <row r="10" customFormat="false" ht="34.5" hidden="false" customHeight="true" outlineLevel="0" collapsed="false">
      <c r="A10" s="7" t="s">
        <v>4464</v>
      </c>
      <c r="B10" s="7" t="s">
        <v>4465</v>
      </c>
      <c r="C10" s="7" t="s">
        <v>4466</v>
      </c>
      <c r="D10" s="7" t="s">
        <v>4467</v>
      </c>
      <c r="E10" s="7" t="s">
        <v>4468</v>
      </c>
      <c r="F10" s="7" t="s">
        <v>4469</v>
      </c>
      <c r="G10" s="7" t="s">
        <v>4470</v>
      </c>
      <c r="H10" s="1" t="n">
        <v>42.6965</v>
      </c>
      <c r="I10" s="1" t="n">
        <v>-74.3986</v>
      </c>
      <c r="J10" s="1" t="s">
        <v>4471</v>
      </c>
      <c r="K10" s="1" t="s">
        <v>4472</v>
      </c>
    </row>
    <row r="11" customFormat="false" ht="34.5" hidden="false" customHeight="true" outlineLevel="0" collapsed="false">
      <c r="A11" s="7" t="s">
        <v>4473</v>
      </c>
      <c r="B11" s="7" t="s">
        <v>4474</v>
      </c>
      <c r="C11" s="7" t="s">
        <v>4475</v>
      </c>
      <c r="D11" s="7" t="s">
        <v>4476</v>
      </c>
      <c r="E11" s="7" t="s">
        <v>4477</v>
      </c>
      <c r="F11" s="7" t="s">
        <v>4478</v>
      </c>
      <c r="G11" s="7" t="s">
        <v>4479</v>
      </c>
      <c r="H11" s="1" t="n">
        <v>42.67869</v>
      </c>
      <c r="I11" s="1" t="n">
        <v>-74.24263</v>
      </c>
      <c r="J11" s="1" t="s">
        <v>4480</v>
      </c>
      <c r="K11" s="1" t="s">
        <v>4481</v>
      </c>
    </row>
    <row r="12" customFormat="false" ht="23.25" hidden="false" customHeight="true" outlineLevel="0" collapsed="false">
      <c r="A12" s="7" t="s">
        <v>4482</v>
      </c>
      <c r="B12" s="7" t="s">
        <v>4474</v>
      </c>
      <c r="C12" s="7" t="s">
        <v>4437</v>
      </c>
      <c r="D12" s="7" t="s">
        <v>4483</v>
      </c>
      <c r="E12" s="7" t="s">
        <v>4484</v>
      </c>
      <c r="F12" s="7"/>
      <c r="G12" s="7" t="s">
        <v>4485</v>
      </c>
      <c r="H12" s="1" t="n">
        <v>42.678</v>
      </c>
      <c r="I12" s="1" t="n">
        <v>-74.243</v>
      </c>
      <c r="J12" s="1" t="s">
        <v>4433</v>
      </c>
      <c r="K12" s="1" t="s">
        <v>4486</v>
      </c>
    </row>
    <row r="13" customFormat="false" ht="23.25" hidden="false" customHeight="true" outlineLevel="0" collapsed="false">
      <c r="A13" s="7" t="s">
        <v>4487</v>
      </c>
      <c r="B13" s="7" t="s">
        <v>4474</v>
      </c>
      <c r="C13" s="7" t="s">
        <v>4437</v>
      </c>
      <c r="D13" s="7" t="s">
        <v>4488</v>
      </c>
      <c r="E13" s="7" t="s">
        <v>4489</v>
      </c>
      <c r="F13" s="7"/>
      <c r="G13" s="7" t="s">
        <v>4490</v>
      </c>
      <c r="H13" s="1" t="n">
        <v>42.678</v>
      </c>
      <c r="I13" s="1" t="n">
        <v>-74.243</v>
      </c>
      <c r="J13" s="1" t="s">
        <v>4433</v>
      </c>
      <c r="K13" s="1" t="s">
        <v>4491</v>
      </c>
    </row>
    <row r="14" customFormat="false" ht="45.75" hidden="false" customHeight="true" outlineLevel="0" collapsed="false">
      <c r="A14" s="7" t="s">
        <v>4492</v>
      </c>
      <c r="B14" s="7" t="s">
        <v>4493</v>
      </c>
      <c r="C14" s="7" t="s">
        <v>4494</v>
      </c>
      <c r="D14" s="7" t="s">
        <v>4495</v>
      </c>
      <c r="E14" s="7"/>
      <c r="F14" s="7" t="s">
        <v>4496</v>
      </c>
      <c r="G14" s="7" t="s">
        <v>4497</v>
      </c>
      <c r="H14" s="1" t="n">
        <v>42.63428</v>
      </c>
      <c r="I14" s="1" t="n">
        <v>-74.02888</v>
      </c>
      <c r="J14" s="1" t="s">
        <v>4498</v>
      </c>
      <c r="K14" s="1" t="s">
        <v>4499</v>
      </c>
    </row>
    <row r="15" customFormat="false" ht="45.75" hidden="false" customHeight="true" outlineLevel="0" collapsed="false">
      <c r="A15" s="7" t="s">
        <v>4500</v>
      </c>
      <c r="B15" s="7" t="s">
        <v>4401</v>
      </c>
      <c r="C15" s="7" t="s">
        <v>4450</v>
      </c>
      <c r="D15" s="7" t="s">
        <v>4501</v>
      </c>
      <c r="E15" s="7" t="s">
        <v>4502</v>
      </c>
      <c r="F15" s="7" t="s">
        <v>4503</v>
      </c>
      <c r="G15" s="7" t="s">
        <v>4504</v>
      </c>
      <c r="H15" s="1" t="n">
        <v>42.665</v>
      </c>
      <c r="I15" s="1" t="n">
        <v>-74.125</v>
      </c>
      <c r="J15" s="1" t="s">
        <v>4433</v>
      </c>
      <c r="K15" s="1" t="s">
        <v>4505</v>
      </c>
    </row>
    <row r="16" customFormat="false" ht="34.5" hidden="false" customHeight="true" outlineLevel="0" collapsed="false">
      <c r="A16" s="7" t="s">
        <v>4506</v>
      </c>
      <c r="B16" s="7" t="s">
        <v>4401</v>
      </c>
      <c r="C16" s="7" t="s">
        <v>4450</v>
      </c>
      <c r="D16" s="7" t="s">
        <v>4507</v>
      </c>
      <c r="E16" s="7" t="s">
        <v>4508</v>
      </c>
      <c r="F16" s="7" t="s">
        <v>4509</v>
      </c>
      <c r="G16" s="7" t="s">
        <v>4510</v>
      </c>
      <c r="H16" s="1" t="n">
        <v>42.665</v>
      </c>
      <c r="I16" s="1" t="n">
        <v>-74.125</v>
      </c>
      <c r="J16" s="1" t="s">
        <v>4433</v>
      </c>
      <c r="K16" s="1" t="s">
        <v>4511</v>
      </c>
    </row>
    <row r="17" customFormat="false" ht="57" hidden="false" customHeight="true" outlineLevel="0" collapsed="false">
      <c r="A17" s="7" t="s">
        <v>4512</v>
      </c>
      <c r="B17" s="7" t="s">
        <v>4513</v>
      </c>
      <c r="C17" s="7" t="s">
        <v>4514</v>
      </c>
      <c r="D17" s="7" t="s">
        <v>4515</v>
      </c>
      <c r="E17" s="7" t="s">
        <v>4516</v>
      </c>
      <c r="F17" s="7" t="s">
        <v>4517</v>
      </c>
      <c r="G17" s="7" t="s">
        <v>4518</v>
      </c>
      <c r="H17" s="1" t="n">
        <v>42.66</v>
      </c>
      <c r="I17" s="1" t="n">
        <v>-74.21</v>
      </c>
      <c r="J17" s="1" t="s">
        <v>4462</v>
      </c>
      <c r="K17" s="1" t="s">
        <v>4519</v>
      </c>
    </row>
    <row r="18" customFormat="false" ht="57" hidden="false" customHeight="true" outlineLevel="0" collapsed="false">
      <c r="A18" s="7" t="s">
        <v>4520</v>
      </c>
      <c r="B18" s="7" t="s">
        <v>344</v>
      </c>
      <c r="C18" s="7" t="s">
        <v>4521</v>
      </c>
      <c r="D18" s="7" t="s">
        <v>4522</v>
      </c>
      <c r="E18" s="7" t="s">
        <v>4523</v>
      </c>
      <c r="F18" s="7" t="s">
        <v>4524</v>
      </c>
      <c r="G18" s="7" t="s">
        <v>4525</v>
      </c>
    </row>
    <row r="19" customFormat="false" ht="45.75" hidden="false" customHeight="true" outlineLevel="0" collapsed="false">
      <c r="A19" s="7" t="s">
        <v>4526</v>
      </c>
      <c r="B19" s="7" t="s">
        <v>4527</v>
      </c>
      <c r="C19" s="7" t="s">
        <v>4528</v>
      </c>
      <c r="D19" s="7" t="s">
        <v>4529</v>
      </c>
      <c r="E19" s="7" t="s">
        <v>4530</v>
      </c>
      <c r="F19" s="7" t="s">
        <v>4531</v>
      </c>
      <c r="G19" s="7" t="s">
        <v>4532</v>
      </c>
      <c r="H19" s="1" t="n">
        <v>42.678</v>
      </c>
      <c r="I19" s="1" t="n">
        <v>-74.243</v>
      </c>
      <c r="J19" s="1" t="s">
        <v>4433</v>
      </c>
      <c r="K19" s="1" t="s">
        <v>4533</v>
      </c>
    </row>
    <row r="20" customFormat="false" ht="15" hidden="false" customHeight="true" outlineLevel="0" collapsed="false">
      <c r="A20" s="7" t="s">
        <v>4534</v>
      </c>
      <c r="B20" s="7" t="s">
        <v>4527</v>
      </c>
      <c r="C20" s="7" t="s">
        <v>4528</v>
      </c>
      <c r="D20" s="7" t="s">
        <v>4535</v>
      </c>
      <c r="E20" s="7" t="s">
        <v>4530</v>
      </c>
      <c r="F20" s="7" t="s">
        <v>4536</v>
      </c>
      <c r="G20" s="7" t="s">
        <v>4537</v>
      </c>
      <c r="H20" s="1" t="n">
        <v>42.678</v>
      </c>
      <c r="I20" s="1" t="n">
        <v>-74.243</v>
      </c>
      <c r="J20" s="1" t="s">
        <v>4433</v>
      </c>
      <c r="K20" s="1" t="s">
        <v>4538</v>
      </c>
    </row>
    <row r="21" customFormat="false" ht="15" hidden="false" customHeight="true" outlineLevel="0" collapsed="false">
      <c r="A21" s="7" t="s">
        <v>4539</v>
      </c>
      <c r="B21" s="7" t="s">
        <v>4527</v>
      </c>
      <c r="C21" s="7" t="s">
        <v>4540</v>
      </c>
      <c r="D21" s="7" t="s">
        <v>4541</v>
      </c>
      <c r="E21" s="7" t="s">
        <v>4542</v>
      </c>
      <c r="F21" s="7" t="s">
        <v>4543</v>
      </c>
      <c r="G21" s="7" t="s">
        <v>4544</v>
      </c>
      <c r="H21" s="1" t="n">
        <v>42.678</v>
      </c>
      <c r="I21" s="1" t="n">
        <v>-74.243</v>
      </c>
      <c r="J21" s="1" t="s">
        <v>4433</v>
      </c>
      <c r="K21" s="1" t="s">
        <v>4545</v>
      </c>
    </row>
    <row r="22" customFormat="false" ht="15" hidden="false" customHeight="true" outlineLevel="0" collapsed="false">
      <c r="A22" s="7" t="s">
        <v>4546</v>
      </c>
      <c r="B22" s="7" t="s">
        <v>4547</v>
      </c>
      <c r="C22" s="7" t="s">
        <v>4420</v>
      </c>
      <c r="D22" s="7" t="s">
        <v>4548</v>
      </c>
      <c r="E22" s="7" t="s">
        <v>4549</v>
      </c>
      <c r="F22" s="7" t="s">
        <v>4550</v>
      </c>
      <c r="G22" s="7" t="s">
        <v>4551</v>
      </c>
      <c r="H22" s="1" t="n">
        <v>42.49</v>
      </c>
      <c r="I22" s="1" t="n">
        <v>-73.88</v>
      </c>
      <c r="J22" s="1" t="s">
        <v>4552</v>
      </c>
      <c r="K22" s="1" t="s">
        <v>4553</v>
      </c>
    </row>
    <row r="23" customFormat="false" ht="15" hidden="false" customHeight="true" outlineLevel="0" collapsed="false">
      <c r="A23" s="7" t="s">
        <v>4554</v>
      </c>
      <c r="B23" s="7" t="s">
        <v>4555</v>
      </c>
      <c r="C23" s="7" t="s">
        <v>4420</v>
      </c>
      <c r="D23" s="7" t="s">
        <v>4556</v>
      </c>
      <c r="E23" s="7" t="s">
        <v>4557</v>
      </c>
      <c r="F23" s="7" t="s">
        <v>4558</v>
      </c>
      <c r="G23" s="7" t="s">
        <v>4559</v>
      </c>
      <c r="H23" s="1" t="n">
        <v>42.49</v>
      </c>
      <c r="I23" s="1" t="n">
        <v>-73.88</v>
      </c>
      <c r="J23" s="1" t="s">
        <v>4552</v>
      </c>
      <c r="K23" s="1" t="s">
        <v>4560</v>
      </c>
    </row>
    <row r="24" customFormat="false" ht="15" hidden="false" customHeight="true" outlineLevel="0" collapsed="false"/>
    <row r="25" customFormat="false" ht="15" hidden="false" customHeight="true" outlineLevel="0" collapsed="false">
      <c r="A25" s="8" t="s">
        <v>4561</v>
      </c>
    </row>
    <row r="26" customFormat="false" ht="15" hidden="false" customHeight="true" outlineLevel="0" collapsed="false">
      <c r="A26" s="11" t="s">
        <v>4562</v>
      </c>
    </row>
    <row r="27" customFormat="false" ht="15" hidden="false" customHeight="true" outlineLevel="0" collapsed="false">
      <c r="A27" s="8" t="s">
        <v>4563</v>
      </c>
    </row>
    <row r="28" customFormat="false" ht="15" hidden="false" customHeight="true" outlineLevel="0" collapsed="false">
      <c r="A28" s="8" t="s">
        <v>4564</v>
      </c>
    </row>
    <row r="29" customFormat="false" ht="15" hidden="false" customHeight="true" outlineLevel="0" collapsed="false">
      <c r="A29" s="8" t="s">
        <v>4565</v>
      </c>
    </row>
    <row r="30" customFormat="false" ht="34.5" hidden="false" customHeight="true" outlineLevel="0" collapsed="false">
      <c r="A30" s="3" t="s">
        <v>4566</v>
      </c>
      <c r="B30" s="3" t="s">
        <v>4567</v>
      </c>
      <c r="C30" s="3" t="s">
        <v>4568</v>
      </c>
      <c r="D30" s="3" t="s">
        <v>4569</v>
      </c>
      <c r="E30" s="3" t="s">
        <v>4570</v>
      </c>
      <c r="F30" s="3" t="s">
        <v>4571</v>
      </c>
      <c r="G30" s="3" t="s">
        <v>4572</v>
      </c>
      <c r="H30" s="1" t="n">
        <v>43.7475</v>
      </c>
      <c r="I30" s="1" t="n">
        <v>-73.8523</v>
      </c>
      <c r="J30" s="1" t="s">
        <v>4573</v>
      </c>
      <c r="K30" s="1" t="s">
        <v>4574</v>
      </c>
    </row>
    <row r="31" customFormat="false" ht="34.5" hidden="false" customHeight="true" outlineLevel="0" collapsed="false">
      <c r="A31" s="3" t="s">
        <v>4575</v>
      </c>
      <c r="B31" s="3" t="s">
        <v>4576</v>
      </c>
      <c r="C31" s="3" t="s">
        <v>4577</v>
      </c>
      <c r="D31" s="3" t="s">
        <v>4578</v>
      </c>
      <c r="E31" s="3" t="s">
        <v>4579</v>
      </c>
      <c r="F31" s="3" t="s">
        <v>4580</v>
      </c>
      <c r="G31" s="3" t="s">
        <v>4581</v>
      </c>
      <c r="H31" s="1" t="n">
        <v>42.0572</v>
      </c>
      <c r="I31" s="1" t="n">
        <v>-73.3508</v>
      </c>
      <c r="J31" s="1" t="s">
        <v>4573</v>
      </c>
      <c r="K31" s="1" t="s">
        <v>4582</v>
      </c>
    </row>
    <row r="32" customFormat="false" ht="34.5" hidden="false" customHeight="true" outlineLevel="0" collapsed="false">
      <c r="A32" s="3" t="s">
        <v>4583</v>
      </c>
      <c r="B32" s="3" t="s">
        <v>4584</v>
      </c>
      <c r="C32" s="3" t="s">
        <v>4585</v>
      </c>
      <c r="D32" s="3" t="s">
        <v>4586</v>
      </c>
      <c r="E32" s="3" t="s">
        <v>2526</v>
      </c>
      <c r="F32" s="3" t="s">
        <v>4587</v>
      </c>
      <c r="G32" s="3" t="s">
        <v>4588</v>
      </c>
      <c r="H32" s="1" t="n">
        <v>41.8416</v>
      </c>
      <c r="I32" s="1" t="n">
        <v>-74.0988</v>
      </c>
      <c r="J32" s="1" t="s">
        <v>4471</v>
      </c>
      <c r="K32" s="1" t="s">
        <v>4589</v>
      </c>
    </row>
    <row r="33" customFormat="false" ht="57" hidden="false" customHeight="true" outlineLevel="0" collapsed="false">
      <c r="A33" s="3" t="s">
        <v>4590</v>
      </c>
      <c r="B33" s="3" t="s">
        <v>4591</v>
      </c>
      <c r="C33" s="3" t="s">
        <v>4592</v>
      </c>
      <c r="D33" s="3" t="s">
        <v>4593</v>
      </c>
      <c r="E33" s="3" t="s">
        <v>4594</v>
      </c>
      <c r="F33" s="3" t="s">
        <v>4595</v>
      </c>
      <c r="G33" s="3" t="s">
        <v>4596</v>
      </c>
      <c r="H33" s="1" t="n">
        <v>42.65547</v>
      </c>
      <c r="I33" s="1" t="n">
        <v>-74.01687</v>
      </c>
      <c r="J33" s="1" t="s">
        <v>4407</v>
      </c>
      <c r="K33" s="1" t="s">
        <v>4597</v>
      </c>
    </row>
    <row r="34" customFormat="false" ht="68.25" hidden="false" customHeight="true" outlineLevel="0" collapsed="false">
      <c r="A34" s="3" t="s">
        <v>4598</v>
      </c>
      <c r="B34" s="3" t="s">
        <v>4599</v>
      </c>
      <c r="C34" s="3" t="s">
        <v>4600</v>
      </c>
      <c r="D34" s="3" t="s">
        <v>4601</v>
      </c>
      <c r="E34" s="3" t="s">
        <v>4602</v>
      </c>
      <c r="F34" s="3" t="s">
        <v>4603</v>
      </c>
      <c r="G34" s="3" t="s">
        <v>4604</v>
      </c>
      <c r="H34" s="1" t="n">
        <v>42.91</v>
      </c>
      <c r="I34" s="1" t="n">
        <v>-74.072</v>
      </c>
      <c r="J34" s="1" t="s">
        <v>4605</v>
      </c>
      <c r="K34" s="1" t="s">
        <v>4606</v>
      </c>
    </row>
    <row r="35" customFormat="false" ht="15" hidden="false" customHeight="true" outlineLevel="0" collapsed="false">
      <c r="A35" s="1" t="s">
        <v>4607</v>
      </c>
      <c r="B35" s="1" t="s">
        <v>4608</v>
      </c>
      <c r="D35" s="1" t="s">
        <v>4609</v>
      </c>
      <c r="G35" s="1" t="s">
        <v>4610</v>
      </c>
      <c r="K35" s="1" t="s">
        <v>4611</v>
      </c>
    </row>
    <row r="36" customFormat="false" ht="15" hidden="false" customHeight="true" outlineLevel="0" collapsed="false">
      <c r="A36" s="1" t="s">
        <v>4612</v>
      </c>
      <c r="B36" s="1" t="s">
        <v>4608</v>
      </c>
      <c r="D36" s="1" t="s">
        <v>4613</v>
      </c>
      <c r="G36" s="1" t="s">
        <v>4614</v>
      </c>
      <c r="K36" s="1" t="s">
        <v>4615</v>
      </c>
    </row>
    <row r="37" customFormat="false" ht="15" hidden="false" customHeight="true" outlineLevel="0" collapsed="false">
      <c r="A37" s="1" t="s">
        <v>4616</v>
      </c>
      <c r="B37" s="1" t="s">
        <v>4617</v>
      </c>
      <c r="C37" s="1" t="s">
        <v>4618</v>
      </c>
      <c r="D37" s="1" t="s">
        <v>4619</v>
      </c>
      <c r="E37" s="1" t="s">
        <v>4620</v>
      </c>
      <c r="F37" s="1" t="s">
        <v>4621</v>
      </c>
      <c r="G37" s="1" t="s">
        <v>4622</v>
      </c>
      <c r="K37" s="1" t="s">
        <v>4623</v>
      </c>
    </row>
    <row r="38" customFormat="false" ht="15" hidden="false" customHeight="true" outlineLevel="0" collapsed="false">
      <c r="A38" s="1" t="s">
        <v>4624</v>
      </c>
      <c r="B38" s="1" t="s">
        <v>4625</v>
      </c>
      <c r="C38" s="1" t="s">
        <v>4626</v>
      </c>
      <c r="D38" s="1" t="s">
        <v>4627</v>
      </c>
      <c r="E38" s="1" t="s">
        <v>4628</v>
      </c>
      <c r="F38" s="1" t="s">
        <v>4629</v>
      </c>
      <c r="G38" s="1" t="s">
        <v>4630</v>
      </c>
      <c r="K38" s="1" t="s">
        <v>4631</v>
      </c>
    </row>
    <row r="39" customFormat="false" ht="180" hidden="false" customHeight="true" outlineLevel="0" collapsed="false">
      <c r="A39" s="1" t="s">
        <v>4632</v>
      </c>
      <c r="B39" s="1" t="s">
        <v>4633</v>
      </c>
      <c r="G39" s="1" t="s">
        <v>4634</v>
      </c>
      <c r="H39" s="1" t="n">
        <v>42.702436</v>
      </c>
      <c r="I39" s="1" t="n">
        <v>-74.033582</v>
      </c>
      <c r="J39" s="1" t="s">
        <v>4635</v>
      </c>
      <c r="K39" s="1" t="s">
        <v>4636</v>
      </c>
    </row>
    <row r="40" customFormat="false" ht="135.75" hidden="false" customHeight="true" outlineLevel="0" collapsed="false">
      <c r="A40" s="1" t="s">
        <v>4637</v>
      </c>
      <c r="B40" s="1" t="s">
        <v>4638</v>
      </c>
      <c r="G40" s="1" t="s">
        <v>4639</v>
      </c>
      <c r="J40" s="1" t="s">
        <v>346</v>
      </c>
      <c r="K40" s="1" t="s">
        <v>4640</v>
      </c>
    </row>
    <row r="41" customFormat="false" ht="202.5" hidden="false" customHeight="true" outlineLevel="0" collapsed="false">
      <c r="A41" s="1" t="s">
        <v>4641</v>
      </c>
      <c r="B41" s="1" t="s">
        <v>4638</v>
      </c>
      <c r="G41" s="1" t="s">
        <v>4642</v>
      </c>
      <c r="J41" s="1" t="s">
        <v>346</v>
      </c>
      <c r="K41" s="1" t="s">
        <v>4643</v>
      </c>
    </row>
    <row r="42" customFormat="false" ht="147" hidden="false" customHeight="true" outlineLevel="0" collapsed="false">
      <c r="A42" s="3" t="s">
        <v>4644</v>
      </c>
      <c r="B42" s="3"/>
      <c r="C42" s="3"/>
      <c r="D42" s="3"/>
      <c r="E42" s="3"/>
      <c r="F42" s="3"/>
      <c r="G42" s="3"/>
    </row>
    <row r="43" customFormat="false" ht="191.25" hidden="false" customHeight="true" outlineLevel="0" collapsed="false">
      <c r="A43" s="3" t="s">
        <v>4645</v>
      </c>
      <c r="B43" s="3"/>
      <c r="C43" s="3"/>
      <c r="D43" s="3"/>
      <c r="E43" s="3"/>
      <c r="F43" s="3"/>
      <c r="G43" s="3"/>
    </row>
    <row r="44" customFormat="false" ht="157.5" hidden="false" customHeight="true" outlineLevel="0" collapsed="false">
      <c r="A44" s="3" t="s">
        <v>4646</v>
      </c>
      <c r="B44" s="3"/>
      <c r="C44" s="3"/>
      <c r="D44" s="3"/>
      <c r="E44" s="3"/>
      <c r="F44" s="3"/>
      <c r="G44" s="3"/>
    </row>
    <row r="45" customFormat="false" ht="157.5" hidden="false" customHeight="true" outlineLevel="0" collapsed="false">
      <c r="A45" s="3" t="s">
        <v>4647</v>
      </c>
      <c r="B45" s="3"/>
      <c r="C45" s="3"/>
      <c r="D45" s="3"/>
      <c r="E45" s="3"/>
      <c r="F45" s="3"/>
      <c r="G45" s="3"/>
    </row>
    <row r="46" customFormat="false" ht="157.5" hidden="false" customHeight="true" outlineLevel="0" collapsed="false">
      <c r="A46" s="3" t="s">
        <v>4648</v>
      </c>
      <c r="B46" s="3"/>
      <c r="C46" s="3"/>
      <c r="D46" s="3"/>
      <c r="E46" s="3"/>
      <c r="F46" s="3"/>
      <c r="G46" s="3"/>
    </row>
    <row r="47" customFormat="false" ht="157.5" hidden="false" customHeight="true" outlineLevel="0" collapsed="false">
      <c r="A47" s="3" t="s">
        <v>4649</v>
      </c>
      <c r="B47" s="3"/>
      <c r="C47" s="3"/>
      <c r="D47" s="3"/>
      <c r="E47" s="3"/>
      <c r="F47" s="3"/>
      <c r="G47" s="3"/>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4650</v>
      </c>
      <c r="B1" s="6" t="s">
        <v>3371</v>
      </c>
      <c r="C1" s="6" t="s">
        <v>2811</v>
      </c>
      <c r="D1" s="6" t="s">
        <v>4651</v>
      </c>
      <c r="E1" s="6" t="s">
        <v>4652</v>
      </c>
      <c r="F1" s="6" t="s">
        <v>4653</v>
      </c>
      <c r="G1" s="6" t="s">
        <v>4654</v>
      </c>
      <c r="H1" s="6" t="s">
        <v>4396</v>
      </c>
      <c r="I1" s="6" t="s">
        <v>4397</v>
      </c>
    </row>
    <row r="2" customFormat="false" ht="23.25" hidden="false" customHeight="true" outlineLevel="0" collapsed="false">
      <c r="A2" s="7" t="s">
        <v>4655</v>
      </c>
      <c r="B2" s="7" t="n">
        <v>8.1</v>
      </c>
      <c r="C2" s="7" t="s">
        <v>4656</v>
      </c>
      <c r="D2" s="7" t="s">
        <v>4657</v>
      </c>
      <c r="E2" s="7" t="s">
        <v>4658</v>
      </c>
      <c r="F2" s="7" t="s">
        <v>4659</v>
      </c>
      <c r="G2" s="7" t="s">
        <v>4660</v>
      </c>
      <c r="H2" s="7" t="n">
        <v>42.63428</v>
      </c>
      <c r="I2" s="7" t="n">
        <v>-74.02888</v>
      </c>
    </row>
    <row r="3" customFormat="false" ht="15" hidden="false" customHeight="true" outlineLevel="0" collapsed="false">
      <c r="A3" s="7" t="s">
        <v>4661</v>
      </c>
      <c r="B3" s="7" t="n">
        <v>10</v>
      </c>
      <c r="C3" s="7" t="s">
        <v>4656</v>
      </c>
      <c r="D3" s="7" t="s">
        <v>4657</v>
      </c>
      <c r="E3" s="7" t="s">
        <v>4658</v>
      </c>
      <c r="F3" s="7" t="s">
        <v>4659</v>
      </c>
      <c r="G3" s="7" t="s">
        <v>4662</v>
      </c>
      <c r="H3" s="7" t="n">
        <v>42.49291</v>
      </c>
      <c r="I3" s="7" t="n">
        <v>-73.85062</v>
      </c>
    </row>
    <row r="4" customFormat="false" ht="15" hidden="false" customHeight="true" outlineLevel="0" collapsed="false">
      <c r="A4" s="7" t="s">
        <v>4663</v>
      </c>
      <c r="B4" s="7" t="n">
        <v>10.4</v>
      </c>
      <c r="C4" s="7" t="s">
        <v>4656</v>
      </c>
      <c r="D4" s="7" t="s">
        <v>4664</v>
      </c>
      <c r="E4" s="7" t="s">
        <v>4665</v>
      </c>
      <c r="F4" s="7" t="s">
        <v>4666</v>
      </c>
      <c r="G4" s="7" t="s">
        <v>4662</v>
      </c>
      <c r="H4" s="7" t="n">
        <v>42.66082</v>
      </c>
      <c r="I4" s="7" t="n">
        <v>-73.98735</v>
      </c>
    </row>
    <row r="5" customFormat="false" ht="15" hidden="false" customHeight="true" outlineLevel="0" collapsed="false">
      <c r="A5" s="7" t="s">
        <v>4667</v>
      </c>
      <c r="B5" s="7" t="n">
        <v>11.5</v>
      </c>
      <c r="C5" s="7" t="s">
        <v>4656</v>
      </c>
      <c r="D5" s="7" t="s">
        <v>4664</v>
      </c>
      <c r="E5" s="7" t="s">
        <v>4665</v>
      </c>
      <c r="F5" s="7" t="s">
        <v>4666</v>
      </c>
      <c r="G5" s="7" t="s">
        <v>4668</v>
      </c>
      <c r="H5" s="7" t="n">
        <v>42.66437</v>
      </c>
      <c r="I5" s="7" t="n">
        <v>-73.94105</v>
      </c>
    </row>
    <row r="6" customFormat="false" ht="15" hidden="false" customHeight="true" outlineLevel="0" collapsed="false">
      <c r="A6" s="7" t="s">
        <v>4669</v>
      </c>
      <c r="B6" s="7" t="n">
        <v>11.6</v>
      </c>
      <c r="C6" s="7" t="s">
        <v>4656</v>
      </c>
      <c r="D6" s="7" t="s">
        <v>4657</v>
      </c>
      <c r="E6" s="7" t="s">
        <v>4658</v>
      </c>
      <c r="F6" s="7" t="s">
        <v>4659</v>
      </c>
      <c r="G6" s="7" t="s">
        <v>4670</v>
      </c>
      <c r="H6" s="7" t="n">
        <v>42.66053</v>
      </c>
      <c r="I6" s="7" t="n">
        <v>-74.16354</v>
      </c>
    </row>
    <row r="7" customFormat="false" ht="15" hidden="false" customHeight="true" outlineLevel="0" collapsed="false">
      <c r="A7" s="7" t="s">
        <v>4671</v>
      </c>
      <c r="B7" s="7" t="n">
        <v>12.3</v>
      </c>
      <c r="C7" s="7" t="s">
        <v>4672</v>
      </c>
      <c r="D7" s="7" t="s">
        <v>4673</v>
      </c>
      <c r="E7" s="7" t="s">
        <v>4658</v>
      </c>
      <c r="F7" s="7" t="s">
        <v>4674</v>
      </c>
      <c r="G7" s="7" t="s">
        <v>4675</v>
      </c>
      <c r="H7" s="7" t="n">
        <v>42.44523</v>
      </c>
      <c r="I7" s="7" t="n">
        <v>-73.8241</v>
      </c>
    </row>
    <row r="8" customFormat="false" ht="23.25" hidden="false" customHeight="true" outlineLevel="0" collapsed="false">
      <c r="A8" s="7" t="s">
        <v>4676</v>
      </c>
      <c r="B8" s="7" t="n">
        <v>14.6</v>
      </c>
      <c r="C8" s="7" t="s">
        <v>4656</v>
      </c>
      <c r="D8" s="7" t="s">
        <v>4664</v>
      </c>
      <c r="E8" s="7" t="s">
        <v>4665</v>
      </c>
      <c r="F8" s="7" t="s">
        <v>4674</v>
      </c>
      <c r="G8" s="7" t="s">
        <v>4677</v>
      </c>
      <c r="H8" s="7" t="n">
        <v>42.72409</v>
      </c>
      <c r="I8" s="7" t="n">
        <v>-73.99007</v>
      </c>
    </row>
    <row r="9" customFormat="false" ht="15" hidden="false" customHeight="true" outlineLevel="0" collapsed="false">
      <c r="A9" s="7" t="s">
        <v>4678</v>
      </c>
      <c r="B9" s="7" t="n">
        <v>14.7</v>
      </c>
      <c r="C9" s="7" t="s">
        <v>4656</v>
      </c>
      <c r="D9" s="7" t="s">
        <v>4664</v>
      </c>
      <c r="E9" s="7" t="s">
        <v>4665</v>
      </c>
      <c r="F9" s="7" t="s">
        <v>4674</v>
      </c>
      <c r="G9" s="7" t="s">
        <v>4679</v>
      </c>
      <c r="H9" s="7" t="n">
        <v>42.7246</v>
      </c>
      <c r="I9" s="7" t="n">
        <v>-73.986</v>
      </c>
    </row>
    <row r="10" customFormat="false" ht="15" hidden="false" customHeight="true" outlineLevel="0" collapsed="false">
      <c r="A10" s="7" t="s">
        <v>4680</v>
      </c>
      <c r="B10" s="7" t="n">
        <v>15</v>
      </c>
      <c r="C10" s="7" t="s">
        <v>4656</v>
      </c>
      <c r="D10" s="7" t="s">
        <v>4664</v>
      </c>
      <c r="E10" s="7" t="s">
        <v>4665</v>
      </c>
      <c r="F10" s="7" t="s">
        <v>4666</v>
      </c>
      <c r="G10" s="7" t="s">
        <v>4681</v>
      </c>
      <c r="H10" s="7" t="n">
        <v>42.7143</v>
      </c>
      <c r="I10" s="7" t="n">
        <v>-73.9216</v>
      </c>
    </row>
    <row r="11" customFormat="false" ht="15" hidden="false" customHeight="true" outlineLevel="0" collapsed="false">
      <c r="A11" s="7" t="s">
        <v>4682</v>
      </c>
      <c r="B11" s="7" t="n">
        <v>15.4</v>
      </c>
      <c r="C11" s="7" t="s">
        <v>4656</v>
      </c>
      <c r="D11" s="7" t="s">
        <v>4664</v>
      </c>
      <c r="E11" s="7" t="s">
        <v>4665</v>
      </c>
      <c r="F11" s="7" t="s">
        <v>4666</v>
      </c>
      <c r="G11" s="7" t="s">
        <v>4662</v>
      </c>
      <c r="H11" s="7" t="n">
        <v>42.70977</v>
      </c>
      <c r="I11" s="7" t="n">
        <v>-73.89335</v>
      </c>
    </row>
    <row r="12" customFormat="false" ht="15" hidden="false" customHeight="true" outlineLevel="0" collapsed="false">
      <c r="A12" s="7" t="s">
        <v>4683</v>
      </c>
      <c r="B12" s="7" t="n">
        <v>16.1</v>
      </c>
      <c r="C12" s="7" t="s">
        <v>4656</v>
      </c>
      <c r="D12" s="7" t="s">
        <v>4664</v>
      </c>
      <c r="E12" s="7" t="s">
        <v>4665</v>
      </c>
      <c r="F12" s="7" t="s">
        <v>4666</v>
      </c>
      <c r="G12" s="7" t="s">
        <v>4684</v>
      </c>
      <c r="H12" s="7" t="n">
        <v>42.71792</v>
      </c>
      <c r="I12" s="7" t="n">
        <v>-73.88443</v>
      </c>
    </row>
    <row r="13" customFormat="false" ht="15" hidden="false" customHeight="true" outlineLevel="0" collapsed="false">
      <c r="A13" s="7" t="s">
        <v>4685</v>
      </c>
      <c r="B13" s="7" t="n">
        <v>16.2</v>
      </c>
      <c r="C13" s="7" t="s">
        <v>4656</v>
      </c>
      <c r="D13" s="7" t="s">
        <v>4664</v>
      </c>
      <c r="E13" s="7" t="s">
        <v>4665</v>
      </c>
      <c r="F13" s="7" t="s">
        <v>4666</v>
      </c>
      <c r="G13" s="7" t="s">
        <v>4684</v>
      </c>
      <c r="H13" s="7" t="n">
        <v>42.71784</v>
      </c>
      <c r="I13" s="7" t="n">
        <v>-73.88231</v>
      </c>
    </row>
    <row r="14" customFormat="false" ht="15" hidden="false" customHeight="true" outlineLevel="0" collapsed="false">
      <c r="A14" s="7" t="s">
        <v>4686</v>
      </c>
      <c r="B14" s="7" t="n">
        <v>16.3</v>
      </c>
      <c r="C14" s="7" t="s">
        <v>4656</v>
      </c>
      <c r="D14" s="7" t="s">
        <v>4664</v>
      </c>
      <c r="E14" s="7" t="s">
        <v>4665</v>
      </c>
      <c r="F14" s="7" t="s">
        <v>4666</v>
      </c>
      <c r="G14" s="7" t="s">
        <v>4662</v>
      </c>
      <c r="H14" s="7" t="n">
        <v>42.72629</v>
      </c>
      <c r="I14" s="7" t="n">
        <v>-73.89886</v>
      </c>
    </row>
    <row r="15" customFormat="false" ht="15" hidden="false" customHeight="true" outlineLevel="0" collapsed="false">
      <c r="A15" s="7" t="s">
        <v>4687</v>
      </c>
      <c r="B15" s="7" t="n">
        <v>16.3</v>
      </c>
      <c r="C15" s="7" t="s">
        <v>4656</v>
      </c>
      <c r="D15" s="7" t="s">
        <v>4664</v>
      </c>
      <c r="E15" s="7" t="s">
        <v>4665</v>
      </c>
      <c r="F15" s="7" t="s">
        <v>4666</v>
      </c>
      <c r="G15" s="7" t="s">
        <v>4684</v>
      </c>
      <c r="H15" s="7" t="n">
        <v>42.71917</v>
      </c>
      <c r="I15" s="7" t="n">
        <v>-73.88086</v>
      </c>
    </row>
    <row r="16" customFormat="false" ht="15" hidden="false" customHeight="true" outlineLevel="0" collapsed="false">
      <c r="A16" s="7" t="s">
        <v>4688</v>
      </c>
      <c r="B16" s="7" t="n">
        <v>16.3</v>
      </c>
      <c r="C16" s="7" t="s">
        <v>4672</v>
      </c>
      <c r="D16" s="7" t="s">
        <v>4664</v>
      </c>
      <c r="E16" s="7" t="s">
        <v>4665</v>
      </c>
      <c r="F16" s="7" t="s">
        <v>4674</v>
      </c>
      <c r="G16" s="7" t="s">
        <v>4675</v>
      </c>
      <c r="H16" s="7" t="n">
        <v>42.2908</v>
      </c>
      <c r="I16" s="7" t="n">
        <v>-73.95274</v>
      </c>
    </row>
    <row r="17" customFormat="false" ht="15" hidden="false" customHeight="true" outlineLevel="0" collapsed="false">
      <c r="A17" s="7" t="s">
        <v>4689</v>
      </c>
      <c r="B17" s="7" t="n">
        <v>16.4</v>
      </c>
      <c r="C17" s="7" t="s">
        <v>4672</v>
      </c>
      <c r="D17" s="7" t="s">
        <v>4664</v>
      </c>
      <c r="E17" s="7" t="s">
        <v>4665</v>
      </c>
      <c r="F17" s="7" t="s">
        <v>4674</v>
      </c>
      <c r="G17" s="7" t="s">
        <v>4690</v>
      </c>
      <c r="H17" s="7" t="n">
        <v>42.28986</v>
      </c>
      <c r="I17" s="7" t="n">
        <v>-73.95493</v>
      </c>
    </row>
    <row r="18" customFormat="false" ht="23.25" hidden="false" customHeight="true" outlineLevel="0" collapsed="false">
      <c r="A18" s="7" t="s">
        <v>4691</v>
      </c>
      <c r="B18" s="7" t="n">
        <v>16.5</v>
      </c>
      <c r="C18" s="7" t="s">
        <v>4656</v>
      </c>
      <c r="D18" s="7" t="s">
        <v>4664</v>
      </c>
      <c r="E18" s="7" t="s">
        <v>4665</v>
      </c>
      <c r="F18" s="7" t="s">
        <v>4666</v>
      </c>
      <c r="G18" s="7" t="s">
        <v>4692</v>
      </c>
      <c r="H18" s="7" t="n">
        <v>42.7319</v>
      </c>
      <c r="I18" s="7" t="n">
        <v>-73.90284</v>
      </c>
    </row>
    <row r="19" customFormat="false" ht="15" hidden="false" customHeight="true" outlineLevel="0" collapsed="false">
      <c r="A19" s="7" t="s">
        <v>4693</v>
      </c>
      <c r="B19" s="7" t="n">
        <v>16.8</v>
      </c>
      <c r="C19" s="7" t="s">
        <v>4656</v>
      </c>
      <c r="D19" s="7" t="s">
        <v>4664</v>
      </c>
      <c r="E19" s="7" t="s">
        <v>4665</v>
      </c>
      <c r="F19" s="7" t="s">
        <v>4666</v>
      </c>
      <c r="G19" s="7" t="s">
        <v>4694</v>
      </c>
      <c r="H19" s="7" t="n">
        <v>42.72699</v>
      </c>
      <c r="I19" s="7" t="n">
        <v>-73.87879</v>
      </c>
    </row>
    <row r="20" customFormat="false" ht="15" hidden="false" customHeight="true" outlineLevel="0" collapsed="false">
      <c r="A20" s="7" t="s">
        <v>4695</v>
      </c>
      <c r="B20" s="7" t="n">
        <v>17</v>
      </c>
      <c r="C20" s="7" t="s">
        <v>4656</v>
      </c>
      <c r="D20" s="7" t="s">
        <v>4664</v>
      </c>
      <c r="E20" s="7" t="s">
        <v>4665</v>
      </c>
      <c r="F20" s="7" t="s">
        <v>4674</v>
      </c>
      <c r="G20" s="7" t="s">
        <v>4696</v>
      </c>
      <c r="H20" s="7" t="n">
        <v>42.73475</v>
      </c>
      <c r="I20" s="7" t="n">
        <v>-73.8876</v>
      </c>
    </row>
    <row r="21" customFormat="false" ht="15" hidden="false" customHeight="true" outlineLevel="0" collapsed="false">
      <c r="A21" s="7" t="s">
        <v>4697</v>
      </c>
      <c r="B21" s="7" t="n">
        <v>17</v>
      </c>
      <c r="C21" s="7" t="s">
        <v>4656</v>
      </c>
      <c r="D21" s="7" t="s">
        <v>4664</v>
      </c>
      <c r="E21" s="7" t="s">
        <v>4665</v>
      </c>
      <c r="F21" s="7" t="s">
        <v>4666</v>
      </c>
      <c r="G21" s="7" t="s">
        <v>4694</v>
      </c>
      <c r="H21" s="7" t="n">
        <v>42.73009</v>
      </c>
      <c r="I21" s="7" t="n">
        <v>-73.8778</v>
      </c>
    </row>
    <row r="22" customFormat="false" ht="15" hidden="false" customHeight="true" outlineLevel="0" collapsed="false">
      <c r="A22" s="7" t="s">
        <v>4698</v>
      </c>
      <c r="B22" s="7" t="n">
        <v>18.5</v>
      </c>
      <c r="C22" s="7" t="s">
        <v>4672</v>
      </c>
      <c r="D22" s="7" t="s">
        <v>4664</v>
      </c>
      <c r="E22" s="7" t="s">
        <v>4665</v>
      </c>
      <c r="F22" s="7" t="s">
        <v>4666</v>
      </c>
      <c r="G22" s="7" t="s">
        <v>4662</v>
      </c>
      <c r="H22" s="7" t="n">
        <v>42.25498</v>
      </c>
      <c r="I22" s="7" t="n">
        <v>-73.9659</v>
      </c>
    </row>
    <row r="23" customFormat="false" ht="15" hidden="false" customHeight="true" outlineLevel="0" collapsed="false">
      <c r="A23" s="7" t="s">
        <v>4699</v>
      </c>
      <c r="B23" s="7" t="n">
        <v>20.8</v>
      </c>
      <c r="C23" s="7" t="s">
        <v>4700</v>
      </c>
      <c r="D23" s="7" t="s">
        <v>4664</v>
      </c>
      <c r="E23" s="7" t="s">
        <v>4665</v>
      </c>
      <c r="F23" s="7" t="s">
        <v>4674</v>
      </c>
      <c r="G23" s="7" t="s">
        <v>4701</v>
      </c>
      <c r="H23" s="7" t="n">
        <v>42.35485</v>
      </c>
      <c r="I23" s="7" t="n">
        <v>-73.70184</v>
      </c>
    </row>
    <row r="24" customFormat="false" ht="15" hidden="false" customHeight="true" outlineLevel="0" collapsed="false">
      <c r="A24" s="7" t="s">
        <v>4702</v>
      </c>
      <c r="B24" s="7" t="n">
        <v>22.2</v>
      </c>
      <c r="C24" s="7" t="s">
        <v>4700</v>
      </c>
      <c r="D24" s="7" t="s">
        <v>4664</v>
      </c>
      <c r="E24" s="7" t="s">
        <v>4665</v>
      </c>
      <c r="F24" s="7" t="s">
        <v>4674</v>
      </c>
      <c r="G24" s="7" t="s">
        <v>4703</v>
      </c>
      <c r="H24" s="7" t="n">
        <v>42.27935</v>
      </c>
      <c r="I24" s="7" t="n">
        <v>-73.75349</v>
      </c>
    </row>
    <row r="25" customFormat="false" ht="23.25" hidden="false" customHeight="true" outlineLevel="0" collapsed="false">
      <c r="A25" s="7" t="s">
        <v>4704</v>
      </c>
      <c r="B25" s="7" t="n">
        <v>23.2</v>
      </c>
      <c r="C25" s="7" t="s">
        <v>4700</v>
      </c>
      <c r="D25" s="7" t="s">
        <v>4664</v>
      </c>
      <c r="E25" s="7" t="s">
        <v>4665</v>
      </c>
      <c r="F25" s="7" t="s">
        <v>4666</v>
      </c>
      <c r="G25" s="7" t="s">
        <v>4705</v>
      </c>
      <c r="H25" s="7" t="n">
        <v>42.31337</v>
      </c>
      <c r="I25" s="7" t="n">
        <v>-73.68359</v>
      </c>
    </row>
    <row r="26" customFormat="false" ht="15" hidden="false" customHeight="true" outlineLevel="0" collapsed="false">
      <c r="A26" s="7" t="s">
        <v>4706</v>
      </c>
      <c r="B26" s="7" t="n">
        <v>23.3</v>
      </c>
      <c r="C26" s="7" t="s">
        <v>4672</v>
      </c>
      <c r="D26" s="7" t="s">
        <v>4664</v>
      </c>
      <c r="E26" s="7" t="s">
        <v>4665</v>
      </c>
      <c r="F26" s="7" t="s">
        <v>4674</v>
      </c>
      <c r="G26" s="7" t="s">
        <v>4707</v>
      </c>
      <c r="H26" s="7" t="n">
        <v>42.19496</v>
      </c>
      <c r="I26" s="7" t="n">
        <v>-73.90871</v>
      </c>
    </row>
    <row r="27" customFormat="false" ht="15" hidden="false" customHeight="true" outlineLevel="0" collapsed="false">
      <c r="A27" s="7" t="s">
        <v>4708</v>
      </c>
      <c r="B27" s="7" t="n">
        <v>23.4</v>
      </c>
      <c r="C27" s="7" t="s">
        <v>4672</v>
      </c>
      <c r="D27" s="7" t="s">
        <v>4664</v>
      </c>
      <c r="E27" s="7" t="s">
        <v>4665</v>
      </c>
      <c r="F27" s="7" t="s">
        <v>4674</v>
      </c>
      <c r="G27" s="7" t="s">
        <v>4707</v>
      </c>
      <c r="H27" s="7" t="n">
        <v>42.19355</v>
      </c>
      <c r="I27" s="7" t="n">
        <v>-73.90634</v>
      </c>
    </row>
    <row r="28" customFormat="false" ht="15" hidden="false" customHeight="true" outlineLevel="0" collapsed="false">
      <c r="A28" s="7" t="s">
        <v>4709</v>
      </c>
      <c r="B28" s="7" t="n">
        <v>23.6</v>
      </c>
      <c r="C28" s="7" t="s">
        <v>4672</v>
      </c>
      <c r="D28" s="7" t="s">
        <v>4664</v>
      </c>
      <c r="E28" s="7" t="s">
        <v>4665</v>
      </c>
      <c r="F28" s="7" t="s">
        <v>4674</v>
      </c>
      <c r="G28" s="7" t="s">
        <v>4707</v>
      </c>
      <c r="H28" s="7" t="n">
        <v>42.19</v>
      </c>
      <c r="I28" s="7" t="n">
        <v>-73.91</v>
      </c>
    </row>
    <row r="29" customFormat="false" ht="15" hidden="false" customHeight="true" outlineLevel="0" collapsed="false">
      <c r="A29" s="7" t="s">
        <v>4710</v>
      </c>
      <c r="B29" s="7" t="n">
        <v>23.7</v>
      </c>
      <c r="C29" s="7" t="s">
        <v>4700</v>
      </c>
      <c r="D29" s="7" t="s">
        <v>4664</v>
      </c>
      <c r="E29" s="7" t="s">
        <v>4665</v>
      </c>
      <c r="F29" s="7" t="s">
        <v>4674</v>
      </c>
      <c r="G29" s="7" t="s">
        <v>4711</v>
      </c>
      <c r="H29" s="7" t="n">
        <v>42.22974</v>
      </c>
      <c r="I29" s="7" t="n">
        <v>-73.79115</v>
      </c>
    </row>
    <row r="30" customFormat="false" ht="15" hidden="false" customHeight="true" outlineLevel="0" collapsed="false">
      <c r="A30" s="7" t="s">
        <v>4712</v>
      </c>
      <c r="B30" s="7" t="n">
        <v>23.9</v>
      </c>
      <c r="C30" s="7" t="s">
        <v>4700</v>
      </c>
      <c r="D30" s="7" t="s">
        <v>4673</v>
      </c>
      <c r="E30" s="7" t="s">
        <v>4658</v>
      </c>
      <c r="F30" s="7" t="s">
        <v>4674</v>
      </c>
      <c r="G30" s="7" t="s">
        <v>4675</v>
      </c>
      <c r="H30" s="7" t="n">
        <v>42.23317</v>
      </c>
      <c r="I30" s="7" t="n">
        <v>-73.77867</v>
      </c>
    </row>
    <row r="31" customFormat="false" ht="23.25" hidden="false" customHeight="true" outlineLevel="0" collapsed="false">
      <c r="A31" s="7" t="s">
        <v>4713</v>
      </c>
      <c r="B31" s="7" t="n">
        <v>24.2</v>
      </c>
      <c r="C31" s="7" t="s">
        <v>1578</v>
      </c>
      <c r="D31" s="7" t="s">
        <v>4657</v>
      </c>
      <c r="E31" s="7" t="s">
        <v>4658</v>
      </c>
      <c r="F31" s="7" t="s">
        <v>4674</v>
      </c>
      <c r="G31" s="7" t="s">
        <v>4714</v>
      </c>
      <c r="H31" s="7" t="n">
        <v>42.67867</v>
      </c>
      <c r="I31" s="7" t="n">
        <v>-74.46634</v>
      </c>
    </row>
    <row r="32" customFormat="false" ht="15" hidden="false" customHeight="true" outlineLevel="0" collapsed="false">
      <c r="A32" s="7" t="s">
        <v>4715</v>
      </c>
      <c r="B32" s="7" t="n">
        <v>25</v>
      </c>
      <c r="C32" s="7" t="s">
        <v>4672</v>
      </c>
      <c r="D32" s="7" t="s">
        <v>4664</v>
      </c>
      <c r="E32" s="7" t="s">
        <v>4665</v>
      </c>
      <c r="F32" s="7" t="s">
        <v>4674</v>
      </c>
      <c r="G32" s="7" t="s">
        <v>4707</v>
      </c>
      <c r="H32" s="7" t="n">
        <v>42.16704</v>
      </c>
      <c r="I32" s="7" t="n">
        <v>-73.92124</v>
      </c>
    </row>
    <row r="33" customFormat="false" ht="23.25" hidden="false" customHeight="true" outlineLevel="0" collapsed="false">
      <c r="A33" s="7" t="s">
        <v>4716</v>
      </c>
      <c r="B33" s="7" t="n">
        <v>25.1</v>
      </c>
      <c r="C33" s="7" t="s">
        <v>1002</v>
      </c>
      <c r="D33" s="7" t="s">
        <v>4664</v>
      </c>
      <c r="E33" s="7" t="s">
        <v>4665</v>
      </c>
      <c r="F33" s="7" t="s">
        <v>4666</v>
      </c>
      <c r="G33" s="7" t="s">
        <v>4717</v>
      </c>
      <c r="H33" s="7" t="n">
        <v>42.87998</v>
      </c>
      <c r="I33" s="7" t="n">
        <v>-74.05264</v>
      </c>
    </row>
    <row r="34" customFormat="false" ht="15" hidden="false" customHeight="true" outlineLevel="0" collapsed="false">
      <c r="A34" s="7" t="s">
        <v>4718</v>
      </c>
      <c r="B34" s="7" t="n">
        <v>25.9</v>
      </c>
      <c r="C34" s="7" t="s">
        <v>4700</v>
      </c>
      <c r="D34" s="7" t="s">
        <v>4664</v>
      </c>
      <c r="E34" s="7" t="s">
        <v>4665</v>
      </c>
      <c r="F34" s="7" t="s">
        <v>4674</v>
      </c>
      <c r="G34" s="7" t="s">
        <v>4719</v>
      </c>
      <c r="H34" s="7" t="n">
        <v>42.18125</v>
      </c>
      <c r="I34" s="7" t="n">
        <v>-73.81919</v>
      </c>
    </row>
    <row r="35" customFormat="false" ht="23.25" hidden="false" customHeight="true" outlineLevel="0" collapsed="false">
      <c r="A35" s="7" t="s">
        <v>4720</v>
      </c>
      <c r="B35" s="7" t="n">
        <v>26.1</v>
      </c>
      <c r="C35" s="7" t="s">
        <v>4700</v>
      </c>
      <c r="D35" s="7" t="s">
        <v>4664</v>
      </c>
      <c r="E35" s="7" t="s">
        <v>4665</v>
      </c>
      <c r="F35" s="7" t="s">
        <v>4666</v>
      </c>
      <c r="G35" s="7" t="s">
        <v>4721</v>
      </c>
      <c r="H35" s="7" t="n">
        <v>42.27336</v>
      </c>
      <c r="I35" s="7" t="n">
        <v>-73.65417</v>
      </c>
    </row>
    <row r="36" customFormat="false" ht="15" hidden="false" customHeight="true" outlineLevel="0" collapsed="false">
      <c r="A36" s="7" t="s">
        <v>4722</v>
      </c>
      <c r="B36" s="7" t="n">
        <v>26.8</v>
      </c>
      <c r="C36" s="7" t="s">
        <v>4672</v>
      </c>
      <c r="D36" s="7" t="s">
        <v>4664</v>
      </c>
      <c r="E36" s="7" t="s">
        <v>4665</v>
      </c>
      <c r="F36" s="7" t="s">
        <v>4674</v>
      </c>
      <c r="G36" s="7" t="s">
        <v>4675</v>
      </c>
      <c r="H36" s="7" t="n">
        <v>42.13942</v>
      </c>
      <c r="I36" s="7" t="n">
        <v>-73.92564</v>
      </c>
    </row>
    <row r="37" customFormat="false" ht="23.25" hidden="false" customHeight="true" outlineLevel="0" collapsed="false">
      <c r="A37" s="7" t="s">
        <v>4723</v>
      </c>
      <c r="B37" s="7" t="n">
        <v>29.2</v>
      </c>
      <c r="C37" s="7" t="s">
        <v>1002</v>
      </c>
      <c r="D37" s="7" t="s">
        <v>4664</v>
      </c>
      <c r="E37" s="7" t="s">
        <v>4665</v>
      </c>
      <c r="F37" s="7" t="s">
        <v>4674</v>
      </c>
      <c r="G37" s="7" t="s">
        <v>4724</v>
      </c>
      <c r="H37" s="7" t="n">
        <v>42.93895</v>
      </c>
      <c r="I37" s="7" t="n">
        <v>-74.0506</v>
      </c>
    </row>
    <row r="38" customFormat="false" ht="15" hidden="false" customHeight="true" outlineLevel="0" collapsed="false">
      <c r="A38" s="7" t="s">
        <v>4725</v>
      </c>
      <c r="B38" s="7" t="n">
        <v>29.7</v>
      </c>
      <c r="C38" s="7" t="s">
        <v>4700</v>
      </c>
      <c r="D38" s="7" t="s">
        <v>4664</v>
      </c>
      <c r="E38" s="7" t="s">
        <v>4665</v>
      </c>
      <c r="F38" s="7" t="s">
        <v>4674</v>
      </c>
      <c r="G38" s="7" t="s">
        <v>4701</v>
      </c>
      <c r="H38" s="7" t="n">
        <v>42.13076</v>
      </c>
      <c r="I38" s="7" t="n">
        <v>-73.78804</v>
      </c>
    </row>
    <row r="39" customFormat="false" ht="23.25" hidden="false" customHeight="true" outlineLevel="0" collapsed="false">
      <c r="A39" s="7" t="s">
        <v>4726</v>
      </c>
      <c r="B39" s="7" t="n">
        <v>30</v>
      </c>
      <c r="C39" s="7" t="s">
        <v>4727</v>
      </c>
      <c r="D39" s="7" t="s">
        <v>4728</v>
      </c>
      <c r="E39" s="7" t="s">
        <v>4658</v>
      </c>
      <c r="F39" s="7" t="s">
        <v>4674</v>
      </c>
      <c r="G39" s="7" t="s">
        <v>4729</v>
      </c>
      <c r="H39" s="7" t="n">
        <v>42.94641</v>
      </c>
      <c r="I39" s="7" t="n">
        <v>-74.13708</v>
      </c>
    </row>
    <row r="40" customFormat="false" ht="15" hidden="false" customHeight="true" outlineLevel="0" collapsed="false">
      <c r="A40" s="7" t="s">
        <v>4730</v>
      </c>
      <c r="B40" s="7" t="n">
        <v>30.5</v>
      </c>
      <c r="C40" s="7" t="s">
        <v>1578</v>
      </c>
      <c r="D40" s="7" t="s">
        <v>4664</v>
      </c>
      <c r="E40" s="7" t="s">
        <v>4665</v>
      </c>
      <c r="F40" s="7" t="s">
        <v>4674</v>
      </c>
      <c r="G40" s="7" t="s">
        <v>4731</v>
      </c>
      <c r="H40" s="7" t="n">
        <v>42.63985</v>
      </c>
      <c r="I40" s="7" t="n">
        <v>-74.62068</v>
      </c>
    </row>
    <row r="41" customFormat="false" ht="23.25" hidden="false" customHeight="true" outlineLevel="0" collapsed="false">
      <c r="A41" s="7" t="s">
        <v>4732</v>
      </c>
      <c r="B41" s="7" t="n">
        <v>30.6</v>
      </c>
      <c r="C41" s="7" t="s">
        <v>4727</v>
      </c>
      <c r="D41" s="7" t="s">
        <v>4664</v>
      </c>
      <c r="E41" s="7" t="s">
        <v>4665</v>
      </c>
      <c r="F41" s="7" t="s">
        <v>4674</v>
      </c>
      <c r="G41" s="7" t="s">
        <v>4733</v>
      </c>
      <c r="H41" s="7" t="n">
        <v>42.93935</v>
      </c>
      <c r="I41" s="7" t="n">
        <v>-74.22431</v>
      </c>
    </row>
    <row r="42" customFormat="false" ht="23.25" hidden="false" customHeight="true" outlineLevel="0" collapsed="false">
      <c r="A42" s="7" t="s">
        <v>4734</v>
      </c>
      <c r="B42" s="7" t="n">
        <v>30.7</v>
      </c>
      <c r="C42" s="7" t="s">
        <v>4727</v>
      </c>
      <c r="D42" s="7" t="s">
        <v>4664</v>
      </c>
      <c r="E42" s="7" t="s">
        <v>4665</v>
      </c>
      <c r="F42" s="7" t="s">
        <v>4674</v>
      </c>
      <c r="G42" s="7" t="s">
        <v>4733</v>
      </c>
      <c r="H42" s="7" t="n">
        <v>42.93652</v>
      </c>
      <c r="I42" s="7" t="n">
        <v>-74.24587</v>
      </c>
    </row>
    <row r="43" customFormat="false" ht="23.25" hidden="false" customHeight="true" outlineLevel="0" collapsed="false">
      <c r="A43" s="7" t="s">
        <v>4735</v>
      </c>
      <c r="B43" s="7" t="n">
        <v>30.9</v>
      </c>
      <c r="C43" s="7" t="s">
        <v>4727</v>
      </c>
      <c r="D43" s="7" t="s">
        <v>4664</v>
      </c>
      <c r="E43" s="7" t="s">
        <v>4665</v>
      </c>
      <c r="F43" s="7" t="s">
        <v>4674</v>
      </c>
      <c r="G43" s="7" t="s">
        <v>4733</v>
      </c>
      <c r="H43" s="7" t="n">
        <v>42.94283</v>
      </c>
      <c r="I43" s="7" t="n">
        <v>-74.22789</v>
      </c>
    </row>
    <row r="44" customFormat="false" ht="15" hidden="false" customHeight="true" outlineLevel="0" collapsed="false">
      <c r="A44" s="7" t="s">
        <v>4736</v>
      </c>
      <c r="B44" s="7" t="n">
        <v>31.5</v>
      </c>
      <c r="C44" s="7" t="s">
        <v>4700</v>
      </c>
      <c r="D44" s="7" t="s">
        <v>4664</v>
      </c>
      <c r="E44" s="7" t="s">
        <v>4665</v>
      </c>
      <c r="F44" s="7" t="s">
        <v>4666</v>
      </c>
      <c r="G44" s="7" t="s">
        <v>4737</v>
      </c>
      <c r="H44" s="7" t="n">
        <v>42.09892</v>
      </c>
      <c r="I44" s="7" t="n">
        <v>-73.79793</v>
      </c>
    </row>
    <row r="45" customFormat="false" ht="15" hidden="false" customHeight="true" outlineLevel="0" collapsed="false">
      <c r="A45" s="7" t="s">
        <v>4738</v>
      </c>
      <c r="B45" s="7" t="n">
        <v>31.6</v>
      </c>
      <c r="C45" s="7" t="s">
        <v>4700</v>
      </c>
      <c r="D45" s="7" t="s">
        <v>4664</v>
      </c>
      <c r="E45" s="7" t="s">
        <v>4665</v>
      </c>
      <c r="F45" s="7" t="s">
        <v>4666</v>
      </c>
      <c r="G45" s="7" t="s">
        <v>4737</v>
      </c>
      <c r="H45" s="7" t="n">
        <v>42.09122</v>
      </c>
      <c r="I45" s="7" t="n">
        <v>-73.81713</v>
      </c>
    </row>
    <row r="46" customFormat="false" ht="15" hidden="false" customHeight="true" outlineLevel="0" collapsed="false">
      <c r="A46" s="7" t="s">
        <v>4739</v>
      </c>
      <c r="B46" s="7" t="n">
        <v>31.7</v>
      </c>
      <c r="C46" s="7" t="s">
        <v>3760</v>
      </c>
      <c r="D46" s="7" t="s">
        <v>4664</v>
      </c>
      <c r="E46" s="7" t="s">
        <v>4665</v>
      </c>
      <c r="F46" s="7" t="s">
        <v>4666</v>
      </c>
      <c r="G46" s="7" t="s">
        <v>4662</v>
      </c>
      <c r="H46" s="7" t="n">
        <v>42.67</v>
      </c>
      <c r="I46" s="7" t="n">
        <v>-73.45827</v>
      </c>
    </row>
    <row r="47" customFormat="false" ht="15" hidden="false" customHeight="true" outlineLevel="0" collapsed="false">
      <c r="A47" s="7" t="s">
        <v>4740</v>
      </c>
      <c r="B47" s="7" t="n">
        <v>32.8</v>
      </c>
      <c r="C47" s="7" t="s">
        <v>4741</v>
      </c>
      <c r="D47" s="7" t="s">
        <v>4673</v>
      </c>
      <c r="E47" s="7" t="s">
        <v>4658</v>
      </c>
      <c r="F47" s="7" t="s">
        <v>4674</v>
      </c>
      <c r="G47" s="7" t="s">
        <v>4742</v>
      </c>
      <c r="H47" s="7" t="n">
        <v>42.0449</v>
      </c>
      <c r="I47" s="7" t="n">
        <v>-73.97185</v>
      </c>
    </row>
    <row r="48" customFormat="false" ht="15" hidden="false" customHeight="true" outlineLevel="0" collapsed="false">
      <c r="A48" s="7" t="s">
        <v>4743</v>
      </c>
      <c r="B48" s="7" t="n">
        <v>33.4</v>
      </c>
      <c r="C48" s="7" t="s">
        <v>4700</v>
      </c>
      <c r="D48" s="7" t="s">
        <v>4744</v>
      </c>
      <c r="E48" s="7" t="s">
        <v>4658</v>
      </c>
      <c r="F48" s="7" t="s">
        <v>4659</v>
      </c>
      <c r="G48" s="7" t="s">
        <v>4662</v>
      </c>
      <c r="H48" s="7" t="n">
        <v>42.39714</v>
      </c>
      <c r="I48" s="7" t="n">
        <v>-73.41038</v>
      </c>
    </row>
    <row r="49" customFormat="false" ht="15" hidden="false" customHeight="true" outlineLevel="0" collapsed="false">
      <c r="A49" s="7" t="s">
        <v>4745</v>
      </c>
      <c r="B49" s="7" t="n">
        <v>33.8</v>
      </c>
      <c r="C49" s="7" t="s">
        <v>4700</v>
      </c>
      <c r="D49" s="7" t="s">
        <v>4744</v>
      </c>
      <c r="E49" s="7" t="s">
        <v>4658</v>
      </c>
      <c r="F49" s="7" t="s">
        <v>4674</v>
      </c>
      <c r="G49" s="7" t="s">
        <v>4701</v>
      </c>
      <c r="H49" s="7" t="n">
        <v>42.48072</v>
      </c>
      <c r="I49" s="7" t="n">
        <v>-73.38267</v>
      </c>
    </row>
    <row r="50" customFormat="false" ht="34.5" hidden="false" customHeight="true" outlineLevel="0" collapsed="false">
      <c r="A50" s="7" t="s">
        <v>4746</v>
      </c>
      <c r="B50" s="7" t="n">
        <v>33.8</v>
      </c>
      <c r="C50" s="7" t="s">
        <v>4727</v>
      </c>
      <c r="D50" s="7" t="s">
        <v>4664</v>
      </c>
      <c r="E50" s="7" t="s">
        <v>4665</v>
      </c>
      <c r="F50" s="7" t="s">
        <v>4666</v>
      </c>
      <c r="G50" s="7" t="s">
        <v>4747</v>
      </c>
      <c r="H50" s="7" t="n">
        <v>42.90739</v>
      </c>
      <c r="I50" s="7" t="n">
        <v>-74.44665</v>
      </c>
    </row>
    <row r="51" customFormat="false" ht="23.25" hidden="false" customHeight="true" outlineLevel="0" collapsed="false">
      <c r="A51" s="7" t="s">
        <v>4748</v>
      </c>
      <c r="B51" s="7" t="n">
        <v>33.9</v>
      </c>
      <c r="C51" s="7" t="s">
        <v>4727</v>
      </c>
      <c r="D51" s="7" t="s">
        <v>4664</v>
      </c>
      <c r="E51" s="7" t="s">
        <v>4665</v>
      </c>
      <c r="F51" s="7" t="s">
        <v>4674</v>
      </c>
      <c r="G51" s="7" t="s">
        <v>4675</v>
      </c>
      <c r="H51" s="7" t="n">
        <v>42.91182</v>
      </c>
      <c r="I51" s="7" t="n">
        <v>-74.44087</v>
      </c>
    </row>
    <row r="52" customFormat="false" ht="15" hidden="false" customHeight="true" outlineLevel="0" collapsed="false">
      <c r="A52" s="7" t="s">
        <v>4749</v>
      </c>
      <c r="B52" s="7" t="n">
        <v>34.5</v>
      </c>
      <c r="C52" s="7" t="s">
        <v>4700</v>
      </c>
      <c r="D52" s="7" t="s">
        <v>4664</v>
      </c>
      <c r="E52" s="7" t="s">
        <v>4665</v>
      </c>
      <c r="F52" s="7" t="s">
        <v>4666</v>
      </c>
      <c r="G52" s="7" t="s">
        <v>4750</v>
      </c>
      <c r="H52" s="7" t="n">
        <v>42.05282</v>
      </c>
      <c r="I52" s="7" t="n">
        <v>-73.79429</v>
      </c>
    </row>
    <row r="53" customFormat="false" ht="15" hidden="false" customHeight="true" outlineLevel="0" collapsed="false">
      <c r="A53" s="7" t="s">
        <v>4751</v>
      </c>
      <c r="B53" s="7" t="n">
        <v>34.6</v>
      </c>
      <c r="C53" s="7" t="s">
        <v>3760</v>
      </c>
      <c r="D53" s="7" t="s">
        <v>4664</v>
      </c>
      <c r="E53" s="7" t="s">
        <v>4665</v>
      </c>
      <c r="F53" s="7" t="s">
        <v>4666</v>
      </c>
      <c r="G53" s="7" t="s">
        <v>4752</v>
      </c>
      <c r="H53" s="7" t="n">
        <v>42.6035</v>
      </c>
      <c r="I53" s="7" t="n">
        <v>-73.37604</v>
      </c>
    </row>
    <row r="54" customFormat="false" ht="34.5" hidden="false" customHeight="true" outlineLevel="0" collapsed="false">
      <c r="A54" s="7" t="s">
        <v>4753</v>
      </c>
      <c r="B54" s="7" t="n">
        <v>36.5</v>
      </c>
      <c r="C54" s="7" t="s">
        <v>1578</v>
      </c>
      <c r="D54" s="7" t="s">
        <v>4673</v>
      </c>
      <c r="E54" s="7" t="s">
        <v>4658</v>
      </c>
      <c r="F54" s="7" t="s">
        <v>4659</v>
      </c>
      <c r="G54" s="7" t="s">
        <v>4754</v>
      </c>
      <c r="H54" s="7" t="n">
        <v>42.80917</v>
      </c>
      <c r="I54" s="7" t="n">
        <v>-74.64461</v>
      </c>
    </row>
    <row r="55" customFormat="false" ht="23.25" hidden="false" customHeight="true" outlineLevel="0" collapsed="false">
      <c r="A55" s="7" t="s">
        <v>4755</v>
      </c>
      <c r="B55" s="7" t="n">
        <v>36.6</v>
      </c>
      <c r="C55" s="7" t="s">
        <v>1702</v>
      </c>
      <c r="D55" s="7" t="s">
        <v>4664</v>
      </c>
      <c r="E55" s="7" t="s">
        <v>4665</v>
      </c>
      <c r="F55" s="7" t="s">
        <v>4674</v>
      </c>
      <c r="G55" s="7" t="s">
        <v>4756</v>
      </c>
      <c r="H55" s="7" t="n">
        <v>43.02566</v>
      </c>
      <c r="I55" s="7" t="n">
        <v>-73.84396</v>
      </c>
    </row>
    <row r="56" customFormat="false" ht="15" hidden="false" customHeight="true" outlineLevel="0" collapsed="false">
      <c r="A56" s="7" t="s">
        <v>4757</v>
      </c>
      <c r="B56" s="7" t="n">
        <v>36.8</v>
      </c>
      <c r="C56" s="7" t="s">
        <v>4758</v>
      </c>
      <c r="D56" s="7" t="s">
        <v>4664</v>
      </c>
      <c r="E56" s="7" t="s">
        <v>4665</v>
      </c>
      <c r="F56" s="7" t="s">
        <v>4666</v>
      </c>
      <c r="G56" s="7" t="s">
        <v>4759</v>
      </c>
      <c r="H56" s="7" t="n">
        <v>42.00184</v>
      </c>
      <c r="I56" s="7" t="n">
        <v>-73.86128</v>
      </c>
    </row>
    <row r="57" customFormat="false" ht="15" hidden="false" customHeight="true" outlineLevel="0" collapsed="false">
      <c r="A57" s="7" t="s">
        <v>4760</v>
      </c>
      <c r="B57" s="7" t="n">
        <v>36.9</v>
      </c>
      <c r="C57" s="7" t="s">
        <v>4758</v>
      </c>
      <c r="D57" s="7" t="s">
        <v>4664</v>
      </c>
      <c r="E57" s="7" t="s">
        <v>4665</v>
      </c>
      <c r="F57" s="7" t="s">
        <v>4666</v>
      </c>
      <c r="G57" s="7" t="s">
        <v>4761</v>
      </c>
      <c r="H57" s="7" t="n">
        <v>42.01212</v>
      </c>
      <c r="I57" s="7" t="n">
        <v>-73.80767</v>
      </c>
    </row>
    <row r="58" customFormat="false" ht="15" hidden="false" customHeight="true" outlineLevel="0" collapsed="false">
      <c r="A58" s="7" t="s">
        <v>4762</v>
      </c>
      <c r="B58" s="7" t="n">
        <v>36.9</v>
      </c>
      <c r="C58" s="7" t="s">
        <v>4741</v>
      </c>
      <c r="D58" s="7" t="s">
        <v>4673</v>
      </c>
      <c r="E58" s="7" t="s">
        <v>4658</v>
      </c>
      <c r="F58" s="7" t="s">
        <v>4659</v>
      </c>
      <c r="G58" s="7" t="s">
        <v>4763</v>
      </c>
      <c r="H58" s="7" t="n">
        <v>41.98535</v>
      </c>
      <c r="I58" s="7" t="n">
        <v>-73.9735</v>
      </c>
    </row>
    <row r="59" customFormat="false" ht="15" hidden="false" customHeight="true" outlineLevel="0" collapsed="false">
      <c r="A59" s="7" t="s">
        <v>4764</v>
      </c>
      <c r="B59" s="7" t="n">
        <v>37.1</v>
      </c>
      <c r="C59" s="7" t="s">
        <v>4758</v>
      </c>
      <c r="D59" s="7" t="s">
        <v>4664</v>
      </c>
      <c r="E59" s="7" t="s">
        <v>4665</v>
      </c>
      <c r="F59" s="7" t="s">
        <v>4666</v>
      </c>
      <c r="G59" s="7" t="s">
        <v>4765</v>
      </c>
      <c r="H59" s="7" t="n">
        <v>42.00974</v>
      </c>
      <c r="I59" s="7" t="n">
        <v>-73.80831</v>
      </c>
    </row>
    <row r="60" customFormat="false" ht="15" hidden="false" customHeight="true" outlineLevel="0" collapsed="false">
      <c r="A60" s="7" t="s">
        <v>4766</v>
      </c>
      <c r="B60" s="7" t="n">
        <v>37.2</v>
      </c>
      <c r="C60" s="7" t="s">
        <v>4741</v>
      </c>
      <c r="D60" s="7" t="s">
        <v>4664</v>
      </c>
      <c r="E60" s="7" t="s">
        <v>4665</v>
      </c>
      <c r="F60" s="7" t="s">
        <v>4674</v>
      </c>
      <c r="G60" s="7" t="s">
        <v>4767</v>
      </c>
      <c r="H60" s="7" t="n">
        <v>41.97953</v>
      </c>
      <c r="I60" s="7" t="n">
        <v>-74.09015</v>
      </c>
    </row>
    <row r="61" customFormat="false" ht="23.25" hidden="false" customHeight="true" outlineLevel="0" collapsed="false">
      <c r="A61" s="7" t="s">
        <v>4768</v>
      </c>
      <c r="B61" s="7" t="n">
        <v>37.6</v>
      </c>
      <c r="C61" s="7" t="s">
        <v>4758</v>
      </c>
      <c r="D61" s="7" t="s">
        <v>4664</v>
      </c>
      <c r="E61" s="7" t="s">
        <v>4665</v>
      </c>
      <c r="F61" s="7" t="s">
        <v>4666</v>
      </c>
      <c r="G61" s="7" t="s">
        <v>4769</v>
      </c>
      <c r="H61" s="7" t="n">
        <v>42.00065</v>
      </c>
      <c r="I61" s="7" t="n">
        <v>-73.81028</v>
      </c>
    </row>
    <row r="62" customFormat="false" ht="15" hidden="false" customHeight="true" outlineLevel="0" collapsed="false">
      <c r="A62" s="7" t="s">
        <v>4770</v>
      </c>
      <c r="B62" s="7" t="n">
        <v>37.8</v>
      </c>
      <c r="C62" s="7" t="s">
        <v>1702</v>
      </c>
      <c r="D62" s="7" t="s">
        <v>4664</v>
      </c>
      <c r="E62" s="7" t="s">
        <v>4665</v>
      </c>
      <c r="F62" s="7" t="s">
        <v>4666</v>
      </c>
      <c r="G62" s="7" t="s">
        <v>4662</v>
      </c>
      <c r="H62" s="7" t="n">
        <v>43.04356</v>
      </c>
      <c r="I62" s="7" t="n">
        <v>-73.84141</v>
      </c>
    </row>
    <row r="63" customFormat="false" ht="15" hidden="false" customHeight="true" outlineLevel="0" collapsed="false">
      <c r="A63" s="7" t="s">
        <v>4771</v>
      </c>
      <c r="B63" s="7" t="n">
        <v>38</v>
      </c>
      <c r="C63" s="7" t="s">
        <v>4741</v>
      </c>
      <c r="D63" s="7" t="s">
        <v>4673</v>
      </c>
      <c r="E63" s="7" t="s">
        <v>4658</v>
      </c>
      <c r="F63" s="7" t="s">
        <v>4659</v>
      </c>
      <c r="G63" s="7" t="s">
        <v>4763</v>
      </c>
      <c r="H63" s="7" t="n">
        <v>41.96933</v>
      </c>
      <c r="I63" s="7" t="n">
        <v>-73.97719</v>
      </c>
    </row>
    <row r="64" customFormat="false" ht="15" hidden="false" customHeight="true" outlineLevel="0" collapsed="false">
      <c r="A64" s="7" t="s">
        <v>4772</v>
      </c>
      <c r="B64" s="7" t="n">
        <v>38.6</v>
      </c>
      <c r="C64" s="7" t="s">
        <v>4741</v>
      </c>
      <c r="D64" s="7" t="s">
        <v>4673</v>
      </c>
      <c r="E64" s="7" t="s">
        <v>4658</v>
      </c>
      <c r="F64" s="7" t="s">
        <v>4674</v>
      </c>
      <c r="G64" s="7" t="s">
        <v>4707</v>
      </c>
      <c r="H64" s="7" t="n">
        <v>41.96015</v>
      </c>
      <c r="I64" s="7" t="n">
        <v>-73.9766</v>
      </c>
    </row>
    <row r="65" customFormat="false" ht="15" hidden="false" customHeight="true" outlineLevel="0" collapsed="false">
      <c r="A65" s="7" t="s">
        <v>4773</v>
      </c>
      <c r="B65" s="7" t="n">
        <v>38.7</v>
      </c>
      <c r="C65" s="7" t="s">
        <v>4741</v>
      </c>
      <c r="D65" s="7" t="s">
        <v>4673</v>
      </c>
      <c r="E65" s="7" t="s">
        <v>4658</v>
      </c>
      <c r="F65" s="7" t="s">
        <v>4674</v>
      </c>
      <c r="G65" s="7" t="s">
        <v>4707</v>
      </c>
      <c r="H65" s="7" t="n">
        <v>41.95923</v>
      </c>
      <c r="I65" s="7" t="n">
        <v>-73.97408</v>
      </c>
    </row>
    <row r="66" customFormat="false" ht="15" hidden="false" customHeight="true" outlineLevel="0" collapsed="false">
      <c r="A66" s="7" t="s">
        <v>4774</v>
      </c>
      <c r="B66" s="7" t="n">
        <v>38.7</v>
      </c>
      <c r="C66" s="7" t="s">
        <v>4741</v>
      </c>
      <c r="D66" s="7" t="s">
        <v>4664</v>
      </c>
      <c r="E66" s="7" t="s">
        <v>4665</v>
      </c>
      <c r="F66" s="7" t="s">
        <v>4674</v>
      </c>
      <c r="G66" s="7" t="s">
        <v>4775</v>
      </c>
      <c r="H66" s="7" t="n">
        <v>41.95802</v>
      </c>
      <c r="I66" s="7" t="n">
        <v>-74.00978</v>
      </c>
    </row>
    <row r="67" customFormat="false" ht="15" hidden="false" customHeight="true" outlineLevel="0" collapsed="false">
      <c r="A67" s="7" t="s">
        <v>4776</v>
      </c>
      <c r="B67" s="7" t="n">
        <v>39.2</v>
      </c>
      <c r="C67" s="7" t="s">
        <v>1702</v>
      </c>
      <c r="D67" s="7" t="s">
        <v>4664</v>
      </c>
      <c r="E67" s="7" t="s">
        <v>4665</v>
      </c>
      <c r="F67" s="7" t="s">
        <v>4666</v>
      </c>
      <c r="G67" s="7" t="s">
        <v>4777</v>
      </c>
      <c r="H67" s="7" t="n">
        <v>43.06602</v>
      </c>
      <c r="I67" s="7" t="n">
        <v>-73.84924</v>
      </c>
    </row>
    <row r="68" customFormat="false" ht="15" hidden="false" customHeight="true" outlineLevel="0" collapsed="false">
      <c r="A68" s="7" t="s">
        <v>4778</v>
      </c>
      <c r="B68" s="7" t="n">
        <v>39.8</v>
      </c>
      <c r="C68" s="7" t="s">
        <v>4700</v>
      </c>
      <c r="D68" s="7" t="s">
        <v>4664</v>
      </c>
      <c r="E68" s="7" t="s">
        <v>4665</v>
      </c>
      <c r="F68" s="7" t="s">
        <v>4666</v>
      </c>
      <c r="G68" s="7" t="s">
        <v>4662</v>
      </c>
      <c r="H68" s="7" t="n">
        <v>42.06316</v>
      </c>
      <c r="I68" s="7" t="n">
        <v>-73.56541</v>
      </c>
    </row>
    <row r="69" customFormat="false" ht="15" hidden="false" customHeight="true" outlineLevel="0" collapsed="false">
      <c r="A69" s="7" t="s">
        <v>4779</v>
      </c>
      <c r="B69" s="7" t="n">
        <v>40</v>
      </c>
      <c r="C69" s="7" t="s">
        <v>4741</v>
      </c>
      <c r="D69" s="7" t="s">
        <v>4664</v>
      </c>
      <c r="E69" s="7" t="s">
        <v>4665</v>
      </c>
      <c r="F69" s="7" t="s">
        <v>4674</v>
      </c>
      <c r="G69" s="7" t="s">
        <v>4775</v>
      </c>
      <c r="H69" s="7" t="n">
        <v>41.94043</v>
      </c>
      <c r="I69" s="7" t="n">
        <v>-73.9714</v>
      </c>
    </row>
    <row r="70" customFormat="false" ht="15" hidden="false" customHeight="true" outlineLevel="0" collapsed="false">
      <c r="A70" s="7" t="s">
        <v>4780</v>
      </c>
      <c r="B70" s="7" t="n">
        <v>40.3</v>
      </c>
      <c r="C70" s="7" t="s">
        <v>4781</v>
      </c>
      <c r="D70" s="7" t="s">
        <v>4673</v>
      </c>
      <c r="E70" s="7" t="s">
        <v>4658</v>
      </c>
      <c r="F70" s="7" t="s">
        <v>4674</v>
      </c>
      <c r="G70" s="7" t="s">
        <v>4782</v>
      </c>
      <c r="H70" s="7" t="n">
        <v>42.82897</v>
      </c>
      <c r="I70" s="7" t="n">
        <v>-74.71584</v>
      </c>
    </row>
    <row r="71" customFormat="false" ht="15" hidden="false" customHeight="true" outlineLevel="0" collapsed="false">
      <c r="A71" s="7" t="s">
        <v>4783</v>
      </c>
      <c r="B71" s="7" t="n">
        <v>40.5</v>
      </c>
      <c r="C71" s="7" t="s">
        <v>1702</v>
      </c>
      <c r="D71" s="7" t="s">
        <v>4744</v>
      </c>
      <c r="E71" s="7" t="s">
        <v>4658</v>
      </c>
      <c r="F71" s="7" t="s">
        <v>4659</v>
      </c>
      <c r="G71" s="7" t="s">
        <v>4662</v>
      </c>
      <c r="H71" s="7" t="n">
        <v>43.10381</v>
      </c>
      <c r="I71" s="7" t="n">
        <v>-74.04173</v>
      </c>
    </row>
    <row r="72" customFormat="false" ht="23.25" hidden="false" customHeight="true" outlineLevel="0" collapsed="false">
      <c r="A72" s="7" t="s">
        <v>4784</v>
      </c>
      <c r="B72" s="7" t="n">
        <v>40.7</v>
      </c>
      <c r="C72" s="7" t="s">
        <v>4758</v>
      </c>
      <c r="D72" s="7" t="s">
        <v>4664</v>
      </c>
      <c r="E72" s="7" t="s">
        <v>4665</v>
      </c>
      <c r="F72" s="7" t="s">
        <v>4666</v>
      </c>
      <c r="G72" s="7" t="s">
        <v>4785</v>
      </c>
      <c r="H72" s="7" t="n">
        <v>41.93929</v>
      </c>
      <c r="I72" s="7" t="n">
        <v>-73.88748</v>
      </c>
    </row>
    <row r="73" customFormat="false" ht="15" hidden="false" customHeight="true" outlineLevel="0" collapsed="false">
      <c r="A73" s="7" t="s">
        <v>4786</v>
      </c>
      <c r="B73" s="7" t="n">
        <v>40.9</v>
      </c>
      <c r="C73" s="7" t="s">
        <v>4700</v>
      </c>
      <c r="D73" s="7" t="s">
        <v>4664</v>
      </c>
      <c r="E73" s="7" t="s">
        <v>4665</v>
      </c>
      <c r="F73" s="7" t="s">
        <v>4674</v>
      </c>
      <c r="G73" s="7" t="s">
        <v>4787</v>
      </c>
      <c r="H73" s="7" t="n">
        <v>42.04913</v>
      </c>
      <c r="I73" s="7" t="n">
        <v>-73.55415</v>
      </c>
    </row>
    <row r="74" customFormat="false" ht="15" hidden="false" customHeight="true" outlineLevel="0" collapsed="false">
      <c r="A74" s="7" t="s">
        <v>4788</v>
      </c>
      <c r="B74" s="7" t="n">
        <v>41.7</v>
      </c>
      <c r="C74" s="7" t="s">
        <v>4700</v>
      </c>
      <c r="D74" s="7" t="s">
        <v>4664</v>
      </c>
      <c r="E74" s="7" t="s">
        <v>4665</v>
      </c>
      <c r="F74" s="7" t="s">
        <v>4674</v>
      </c>
      <c r="G74" s="7" t="s">
        <v>4701</v>
      </c>
      <c r="H74" s="7" t="n">
        <v>42.0528</v>
      </c>
      <c r="I74" s="7" t="n">
        <v>-73.52503</v>
      </c>
    </row>
    <row r="75" customFormat="false" ht="15" hidden="false" customHeight="true" outlineLevel="0" collapsed="false">
      <c r="A75" s="7" t="s">
        <v>4789</v>
      </c>
      <c r="B75" s="7" t="n">
        <v>42.8</v>
      </c>
      <c r="C75" s="7" t="s">
        <v>4700</v>
      </c>
      <c r="D75" s="7" t="s">
        <v>4664</v>
      </c>
      <c r="E75" s="7" t="s">
        <v>4665</v>
      </c>
      <c r="F75" s="7" t="s">
        <v>4674</v>
      </c>
      <c r="G75" s="7" t="s">
        <v>4675</v>
      </c>
      <c r="H75" s="7" t="n">
        <v>42.00164</v>
      </c>
      <c r="I75" s="7" t="n">
        <v>-73.57943</v>
      </c>
    </row>
    <row r="76" customFormat="false" ht="23.25" hidden="false" customHeight="true" outlineLevel="0" collapsed="false">
      <c r="A76" s="7" t="s">
        <v>4790</v>
      </c>
      <c r="B76" s="7" t="n">
        <v>43.2</v>
      </c>
      <c r="C76" s="7" t="s">
        <v>4781</v>
      </c>
      <c r="D76" s="7" t="s">
        <v>4791</v>
      </c>
      <c r="E76" s="7" t="s">
        <v>4792</v>
      </c>
      <c r="F76" s="7" t="s">
        <v>4674</v>
      </c>
      <c r="G76" s="7" t="s">
        <v>4793</v>
      </c>
      <c r="H76" s="7" t="n">
        <v>42.8324</v>
      </c>
      <c r="I76" s="7" t="n">
        <v>-74.77818</v>
      </c>
    </row>
    <row r="77" customFormat="false" ht="15" hidden="false" customHeight="true" outlineLevel="0" collapsed="false">
      <c r="A77" s="7" t="s">
        <v>4794</v>
      </c>
      <c r="B77" s="7" t="n">
        <v>43.7</v>
      </c>
      <c r="C77" s="7" t="s">
        <v>4741</v>
      </c>
      <c r="D77" s="7" t="s">
        <v>4657</v>
      </c>
      <c r="E77" s="7" t="s">
        <v>4658</v>
      </c>
      <c r="F77" s="7" t="s">
        <v>4659</v>
      </c>
      <c r="G77" s="7" t="s">
        <v>4662</v>
      </c>
      <c r="H77" s="7" t="n">
        <v>41.88436</v>
      </c>
      <c r="I77" s="7" t="n">
        <v>-74.06591</v>
      </c>
    </row>
    <row r="78" customFormat="false" ht="15" hidden="false" customHeight="true" outlineLevel="0" collapsed="false">
      <c r="A78" s="7" t="s">
        <v>4795</v>
      </c>
      <c r="B78" s="7" t="n">
        <v>44.3</v>
      </c>
      <c r="C78" s="7" t="s">
        <v>4796</v>
      </c>
      <c r="D78" s="7" t="s">
        <v>4664</v>
      </c>
      <c r="E78" s="7" t="s">
        <v>4665</v>
      </c>
      <c r="F78" s="7" t="s">
        <v>4674</v>
      </c>
      <c r="G78" s="7" t="s">
        <v>4675</v>
      </c>
      <c r="H78" s="7" t="n">
        <v>43.03921</v>
      </c>
      <c r="I78" s="7" t="n">
        <v>-74.55156</v>
      </c>
    </row>
    <row r="79" customFormat="false" ht="23.25" hidden="false" customHeight="true" outlineLevel="0" collapsed="false">
      <c r="A79" s="7" t="s">
        <v>4797</v>
      </c>
      <c r="B79" s="7" t="n">
        <v>44.5</v>
      </c>
      <c r="C79" s="7" t="s">
        <v>4781</v>
      </c>
      <c r="D79" s="7" t="s">
        <v>4673</v>
      </c>
      <c r="E79" s="7" t="s">
        <v>4658</v>
      </c>
      <c r="F79" s="7" t="s">
        <v>4659</v>
      </c>
      <c r="G79" s="7" t="s">
        <v>4798</v>
      </c>
      <c r="H79" s="7" t="n">
        <v>42.86637</v>
      </c>
      <c r="I79" s="7" t="n">
        <v>-74.78124</v>
      </c>
    </row>
    <row r="80" customFormat="false" ht="15" hidden="false" customHeight="true" outlineLevel="0" collapsed="false">
      <c r="A80" s="7" t="s">
        <v>4799</v>
      </c>
      <c r="B80" s="7" t="n">
        <v>44.5</v>
      </c>
      <c r="C80" s="7" t="s">
        <v>4741</v>
      </c>
      <c r="D80" s="7" t="s">
        <v>4657</v>
      </c>
      <c r="E80" s="7" t="s">
        <v>4658</v>
      </c>
      <c r="F80" s="7" t="s">
        <v>4659</v>
      </c>
      <c r="G80" s="7" t="s">
        <v>4662</v>
      </c>
      <c r="H80" s="7" t="n">
        <v>41.87291</v>
      </c>
      <c r="I80" s="7" t="n">
        <v>-74.07465</v>
      </c>
    </row>
    <row r="81" customFormat="false" ht="23.25" hidden="false" customHeight="true" outlineLevel="0" collapsed="false">
      <c r="A81" s="7" t="s">
        <v>4800</v>
      </c>
      <c r="B81" s="7" t="n">
        <v>44.8</v>
      </c>
      <c r="C81" s="7" t="s">
        <v>4758</v>
      </c>
      <c r="D81" s="7" t="s">
        <v>4801</v>
      </c>
      <c r="E81" s="7" t="s">
        <v>4658</v>
      </c>
      <c r="F81" s="7" t="s">
        <v>4659</v>
      </c>
      <c r="G81" s="7" t="s">
        <v>4802</v>
      </c>
      <c r="H81" s="7" t="n">
        <v>41.89258</v>
      </c>
      <c r="I81" s="7" t="n">
        <v>-73.80626</v>
      </c>
    </row>
    <row r="82" customFormat="false" ht="15" hidden="false" customHeight="true" outlineLevel="0" collapsed="false">
      <c r="A82" s="7" t="s">
        <v>4803</v>
      </c>
      <c r="B82" s="7" t="n">
        <v>44.8</v>
      </c>
      <c r="C82" s="7" t="s">
        <v>4741</v>
      </c>
      <c r="D82" s="7" t="s">
        <v>4657</v>
      </c>
      <c r="E82" s="7" t="s">
        <v>4658</v>
      </c>
      <c r="F82" s="7" t="s">
        <v>4659</v>
      </c>
      <c r="G82" s="7" t="s">
        <v>4662</v>
      </c>
      <c r="H82" s="7" t="n">
        <v>41.86946</v>
      </c>
      <c r="I82" s="7" t="n">
        <v>-74.07638</v>
      </c>
    </row>
    <row r="83" customFormat="false" ht="15" hidden="false" customHeight="true" outlineLevel="0" collapsed="false">
      <c r="A83" s="7" t="s">
        <v>4804</v>
      </c>
      <c r="B83" s="7" t="n">
        <v>45</v>
      </c>
      <c r="C83" s="7" t="s">
        <v>4796</v>
      </c>
      <c r="D83" s="7" t="s">
        <v>4664</v>
      </c>
      <c r="E83" s="7" t="s">
        <v>4665</v>
      </c>
      <c r="F83" s="7" t="s">
        <v>4666</v>
      </c>
      <c r="G83" s="7" t="s">
        <v>4805</v>
      </c>
      <c r="H83" s="7" t="n">
        <v>43.03976</v>
      </c>
      <c r="I83" s="7" t="n">
        <v>-74.57273</v>
      </c>
    </row>
    <row r="84" customFormat="false" ht="15" hidden="false" customHeight="true" outlineLevel="0" collapsed="false">
      <c r="A84" s="7" t="s">
        <v>4806</v>
      </c>
      <c r="B84" s="7" t="n">
        <v>45.3</v>
      </c>
      <c r="C84" s="7" t="s">
        <v>4796</v>
      </c>
      <c r="D84" s="7" t="s">
        <v>4664</v>
      </c>
      <c r="E84" s="7" t="s">
        <v>4665</v>
      </c>
      <c r="F84" s="7" t="s">
        <v>4666</v>
      </c>
      <c r="G84" s="7" t="s">
        <v>4805</v>
      </c>
      <c r="H84" s="7" t="n">
        <v>43.04731</v>
      </c>
      <c r="I84" s="7" t="n">
        <v>-74.56856</v>
      </c>
    </row>
    <row r="85" customFormat="false" ht="15" hidden="false" customHeight="true" outlineLevel="0" collapsed="false">
      <c r="A85" s="7" t="s">
        <v>4807</v>
      </c>
      <c r="B85" s="7" t="n">
        <v>45.5</v>
      </c>
      <c r="C85" s="7" t="s">
        <v>1702</v>
      </c>
      <c r="D85" s="7" t="s">
        <v>4664</v>
      </c>
      <c r="E85" s="7" t="s">
        <v>4665</v>
      </c>
      <c r="F85" s="7" t="s">
        <v>4666</v>
      </c>
      <c r="G85" s="7" t="s">
        <v>4808</v>
      </c>
      <c r="H85" s="7" t="n">
        <v>43.13638</v>
      </c>
      <c r="I85" s="7" t="n">
        <v>-73.74178</v>
      </c>
    </row>
    <row r="86" customFormat="false" ht="15" hidden="false" customHeight="true" outlineLevel="0" collapsed="false">
      <c r="A86" s="7" t="s">
        <v>4809</v>
      </c>
      <c r="B86" s="7" t="n">
        <v>45.5</v>
      </c>
      <c r="C86" s="7" t="s">
        <v>1702</v>
      </c>
      <c r="D86" s="7" t="s">
        <v>4664</v>
      </c>
      <c r="E86" s="7" t="s">
        <v>4665</v>
      </c>
      <c r="F86" s="7" t="s">
        <v>4666</v>
      </c>
      <c r="G86" s="7" t="s">
        <v>4810</v>
      </c>
      <c r="H86" s="7" t="n">
        <v>43.13424</v>
      </c>
      <c r="I86" s="7" t="n">
        <v>-73.7307</v>
      </c>
    </row>
    <row r="87" customFormat="false" ht="23.25" hidden="false" customHeight="true" outlineLevel="0" collapsed="false">
      <c r="A87" s="7" t="s">
        <v>4811</v>
      </c>
      <c r="B87" s="7" t="n">
        <v>45.6</v>
      </c>
      <c r="C87" s="7" t="s">
        <v>4812</v>
      </c>
      <c r="D87" s="7" t="s">
        <v>4673</v>
      </c>
      <c r="E87" s="7" t="s">
        <v>4658</v>
      </c>
      <c r="F87" s="7" t="s">
        <v>4659</v>
      </c>
      <c r="G87" s="7" t="s">
        <v>4813</v>
      </c>
      <c r="H87" s="7" t="n">
        <v>42.88648</v>
      </c>
      <c r="I87" s="7" t="n">
        <v>-74.78888</v>
      </c>
    </row>
    <row r="88" customFormat="false" ht="15" hidden="false" customHeight="true" outlineLevel="0" collapsed="false">
      <c r="A88" s="7" t="s">
        <v>4814</v>
      </c>
      <c r="B88" s="7" t="n">
        <v>45.6</v>
      </c>
      <c r="C88" s="7" t="s">
        <v>1702</v>
      </c>
      <c r="D88" s="7" t="s">
        <v>4664</v>
      </c>
      <c r="E88" s="7" t="s">
        <v>4665</v>
      </c>
      <c r="F88" s="7" t="s">
        <v>4666</v>
      </c>
      <c r="G88" s="7" t="s">
        <v>4808</v>
      </c>
      <c r="H88" s="7" t="n">
        <v>43.13716</v>
      </c>
      <c r="I88" s="7" t="n">
        <v>-73.73911</v>
      </c>
    </row>
    <row r="89" customFormat="false" ht="23.25" hidden="false" customHeight="true" outlineLevel="0" collapsed="false">
      <c r="A89" s="7" t="s">
        <v>4815</v>
      </c>
      <c r="B89" s="7" t="n">
        <v>45.8</v>
      </c>
      <c r="C89" s="7" t="s">
        <v>4781</v>
      </c>
      <c r="D89" s="7" t="s">
        <v>4657</v>
      </c>
      <c r="E89" s="7" t="s">
        <v>4658</v>
      </c>
      <c r="F89" s="7" t="s">
        <v>4659</v>
      </c>
      <c r="G89" s="7" t="s">
        <v>4816</v>
      </c>
      <c r="H89" s="7" t="n">
        <v>42.8702</v>
      </c>
      <c r="I89" s="7" t="n">
        <v>-74.80894</v>
      </c>
    </row>
    <row r="90" customFormat="false" ht="23.25" hidden="false" customHeight="true" outlineLevel="0" collapsed="false">
      <c r="A90" s="7" t="s">
        <v>4817</v>
      </c>
      <c r="B90" s="7" t="n">
        <v>45.9</v>
      </c>
      <c r="C90" s="7" t="s">
        <v>4741</v>
      </c>
      <c r="D90" s="7" t="s">
        <v>4657</v>
      </c>
      <c r="E90" s="7" t="s">
        <v>4658</v>
      </c>
      <c r="F90" s="7" t="s">
        <v>4659</v>
      </c>
      <c r="G90" s="7" t="s">
        <v>4818</v>
      </c>
      <c r="H90" s="7" t="n">
        <v>41.85766</v>
      </c>
      <c r="I90" s="7" t="n">
        <v>-74.15384</v>
      </c>
    </row>
    <row r="91" customFormat="false" ht="23.25" hidden="false" customHeight="true" outlineLevel="0" collapsed="false">
      <c r="A91" s="7" t="s">
        <v>4819</v>
      </c>
      <c r="B91" s="7" t="n">
        <v>45.9</v>
      </c>
      <c r="C91" s="7" t="s">
        <v>4741</v>
      </c>
      <c r="D91" s="7" t="s">
        <v>4664</v>
      </c>
      <c r="E91" s="7" t="s">
        <v>4665</v>
      </c>
      <c r="F91" s="7" t="s">
        <v>4666</v>
      </c>
      <c r="G91" s="7" t="s">
        <v>4820</v>
      </c>
      <c r="H91" s="7" t="n">
        <v>41.8546</v>
      </c>
      <c r="I91" s="7" t="n">
        <v>-73.97584</v>
      </c>
    </row>
    <row r="92" customFormat="false" ht="15" hidden="false" customHeight="true" outlineLevel="0" collapsed="false">
      <c r="A92" s="7" t="s">
        <v>4821</v>
      </c>
      <c r="B92" s="7" t="n">
        <v>46.2</v>
      </c>
      <c r="C92" s="7" t="s">
        <v>1702</v>
      </c>
      <c r="D92" s="7" t="s">
        <v>4664</v>
      </c>
      <c r="E92" s="7" t="s">
        <v>4665</v>
      </c>
      <c r="F92" s="7" t="s">
        <v>4666</v>
      </c>
      <c r="G92" s="7" t="s">
        <v>4662</v>
      </c>
      <c r="H92" s="7" t="n">
        <v>43.128</v>
      </c>
      <c r="I92" s="7" t="n">
        <v>-73.67267</v>
      </c>
    </row>
    <row r="93" customFormat="false" ht="15" hidden="false" customHeight="true" outlineLevel="0" collapsed="false">
      <c r="A93" s="7" t="s">
        <v>4822</v>
      </c>
      <c r="B93" s="7" t="n">
        <v>46.3</v>
      </c>
      <c r="C93" s="7" t="s">
        <v>4812</v>
      </c>
      <c r="D93" s="7" t="s">
        <v>4673</v>
      </c>
      <c r="E93" s="7" t="s">
        <v>4658</v>
      </c>
      <c r="F93" s="7" t="s">
        <v>4659</v>
      </c>
      <c r="G93" s="7" t="s">
        <v>4823</v>
      </c>
      <c r="H93" s="7" t="n">
        <v>42.88418</v>
      </c>
      <c r="I93" s="7" t="n">
        <v>-74.80673</v>
      </c>
    </row>
    <row r="94" customFormat="false" ht="23.25" hidden="false" customHeight="true" outlineLevel="0" collapsed="false">
      <c r="A94" s="7" t="s">
        <v>4824</v>
      </c>
      <c r="B94" s="7" t="n">
        <v>46.3</v>
      </c>
      <c r="C94" s="7" t="s">
        <v>4741</v>
      </c>
      <c r="D94" s="7" t="s">
        <v>4657</v>
      </c>
      <c r="E94" s="7" t="s">
        <v>4658</v>
      </c>
      <c r="F94" s="7" t="s">
        <v>4659</v>
      </c>
      <c r="G94" s="7" t="s">
        <v>4825</v>
      </c>
      <c r="H94" s="7" t="n">
        <v>41.85209</v>
      </c>
      <c r="I94" s="7" t="n">
        <v>-74.16191</v>
      </c>
    </row>
    <row r="95" customFormat="false" ht="15" hidden="false" customHeight="true" outlineLevel="0" collapsed="false">
      <c r="A95" s="7" t="s">
        <v>4826</v>
      </c>
      <c r="B95" s="7" t="n">
        <v>46.9</v>
      </c>
      <c r="C95" s="7" t="s">
        <v>1702</v>
      </c>
      <c r="D95" s="7" t="s">
        <v>4664</v>
      </c>
      <c r="E95" s="7" t="s">
        <v>4665</v>
      </c>
      <c r="F95" s="7" t="s">
        <v>4666</v>
      </c>
      <c r="G95" s="7" t="s">
        <v>4662</v>
      </c>
      <c r="H95" s="7" t="n">
        <v>43.13954</v>
      </c>
      <c r="I95" s="7" t="n">
        <v>-73.67773</v>
      </c>
    </row>
    <row r="96" customFormat="false" ht="15" hidden="false" customHeight="true" outlineLevel="0" collapsed="false">
      <c r="A96" s="7" t="s">
        <v>4827</v>
      </c>
      <c r="B96" s="7" t="n">
        <v>47.1</v>
      </c>
      <c r="C96" s="7" t="s">
        <v>1702</v>
      </c>
      <c r="D96" s="7" t="s">
        <v>4664</v>
      </c>
      <c r="E96" s="7" t="s">
        <v>4665</v>
      </c>
      <c r="F96" s="7" t="s">
        <v>4666</v>
      </c>
      <c r="G96" s="7" t="s">
        <v>4662</v>
      </c>
      <c r="H96" s="7" t="n">
        <v>43.14444</v>
      </c>
      <c r="I96" s="7" t="n">
        <v>-73.68111</v>
      </c>
    </row>
    <row r="97" customFormat="false" ht="15" hidden="false" customHeight="true" outlineLevel="0" collapsed="false">
      <c r="A97" s="7" t="s">
        <v>4828</v>
      </c>
      <c r="B97" s="7" t="n">
        <v>47.1</v>
      </c>
      <c r="C97" s="7" t="s">
        <v>1702</v>
      </c>
      <c r="D97" s="7" t="s">
        <v>4664</v>
      </c>
      <c r="E97" s="7" t="s">
        <v>4665</v>
      </c>
      <c r="F97" s="7" t="s">
        <v>4666</v>
      </c>
      <c r="G97" s="7" t="s">
        <v>4662</v>
      </c>
      <c r="H97" s="7" t="n">
        <v>43.14207</v>
      </c>
      <c r="I97" s="7" t="n">
        <v>-73.67412</v>
      </c>
    </row>
    <row r="98" customFormat="false" ht="15" hidden="false" customHeight="true" outlineLevel="0" collapsed="false">
      <c r="A98" s="7" t="s">
        <v>4829</v>
      </c>
      <c r="B98" s="7" t="n">
        <v>47.2</v>
      </c>
      <c r="C98" s="7" t="s">
        <v>1702</v>
      </c>
      <c r="D98" s="7" t="s">
        <v>4744</v>
      </c>
      <c r="E98" s="7" t="s">
        <v>4658</v>
      </c>
      <c r="F98" s="7" t="s">
        <v>4659</v>
      </c>
      <c r="G98" s="7" t="s">
        <v>4830</v>
      </c>
      <c r="H98" s="7" t="n">
        <v>43.18963</v>
      </c>
      <c r="I98" s="7" t="n">
        <v>-73.88278</v>
      </c>
    </row>
    <row r="99" customFormat="false" ht="15" hidden="false" customHeight="true" outlineLevel="0" collapsed="false">
      <c r="A99" s="7" t="s">
        <v>4831</v>
      </c>
      <c r="B99" s="7" t="n">
        <v>47.2</v>
      </c>
      <c r="C99" s="7" t="s">
        <v>1702</v>
      </c>
      <c r="D99" s="7" t="s">
        <v>4664</v>
      </c>
      <c r="E99" s="7" t="s">
        <v>4665</v>
      </c>
      <c r="F99" s="7" t="s">
        <v>4666</v>
      </c>
      <c r="G99" s="7" t="s">
        <v>4662</v>
      </c>
      <c r="H99" s="7" t="n">
        <v>43.14453</v>
      </c>
      <c r="I99" s="7" t="n">
        <v>-73.67675</v>
      </c>
    </row>
    <row r="100" customFormat="false" ht="15" hidden="false" customHeight="true" outlineLevel="0" collapsed="false">
      <c r="A100" s="7" t="s">
        <v>4832</v>
      </c>
      <c r="B100" s="7" t="n">
        <v>47.2</v>
      </c>
      <c r="C100" s="7" t="s">
        <v>4741</v>
      </c>
      <c r="D100" s="7" t="s">
        <v>4664</v>
      </c>
      <c r="E100" s="7" t="s">
        <v>4665</v>
      </c>
      <c r="F100" s="7" t="s">
        <v>4666</v>
      </c>
      <c r="G100" s="7" t="s">
        <v>4662</v>
      </c>
      <c r="H100" s="7" t="n">
        <v>41.85534</v>
      </c>
      <c r="I100" s="7" t="n">
        <v>-74.27494</v>
      </c>
    </row>
    <row r="101" customFormat="false" ht="15" hidden="false" customHeight="true" outlineLevel="0" collapsed="false">
      <c r="A101" s="7" t="s">
        <v>4833</v>
      </c>
      <c r="B101" s="7" t="n">
        <v>47.3</v>
      </c>
      <c r="C101" s="7" t="s">
        <v>1702</v>
      </c>
      <c r="D101" s="7" t="s">
        <v>4664</v>
      </c>
      <c r="E101" s="7" t="s">
        <v>4665</v>
      </c>
      <c r="F101" s="7" t="s">
        <v>4666</v>
      </c>
      <c r="G101" s="7" t="s">
        <v>4662</v>
      </c>
      <c r="H101" s="7" t="n">
        <v>43.1492</v>
      </c>
      <c r="I101" s="7" t="n">
        <v>-73.68484</v>
      </c>
    </row>
    <row r="102" customFormat="false" ht="15" hidden="false" customHeight="true" outlineLevel="0" collapsed="false">
      <c r="A102" s="7" t="s">
        <v>4834</v>
      </c>
      <c r="B102" s="7" t="n">
        <v>47.3</v>
      </c>
      <c r="C102" s="7" t="s">
        <v>1702</v>
      </c>
      <c r="D102" s="7" t="s">
        <v>4664</v>
      </c>
      <c r="E102" s="7" t="s">
        <v>4665</v>
      </c>
      <c r="F102" s="7" t="s">
        <v>4666</v>
      </c>
      <c r="G102" s="7" t="s">
        <v>4662</v>
      </c>
      <c r="H102" s="7" t="n">
        <v>43.1479</v>
      </c>
      <c r="I102" s="7" t="n">
        <v>-73.68082</v>
      </c>
    </row>
    <row r="103" customFormat="false" ht="15" hidden="false" customHeight="true" outlineLevel="0" collapsed="false">
      <c r="A103" s="7" t="s">
        <v>4835</v>
      </c>
      <c r="B103" s="7" t="n">
        <v>47.4</v>
      </c>
      <c r="C103" s="7" t="s">
        <v>1702</v>
      </c>
      <c r="D103" s="7" t="s">
        <v>4664</v>
      </c>
      <c r="E103" s="7" t="s">
        <v>4665</v>
      </c>
      <c r="F103" s="7" t="s">
        <v>4666</v>
      </c>
      <c r="G103" s="7" t="s">
        <v>4662</v>
      </c>
      <c r="H103" s="7" t="n">
        <v>43.14988</v>
      </c>
      <c r="I103" s="7" t="n">
        <v>-73.68468</v>
      </c>
    </row>
    <row r="104" customFormat="false" ht="15" hidden="false" customHeight="true" outlineLevel="0" collapsed="false">
      <c r="A104" s="7" t="s">
        <v>4836</v>
      </c>
      <c r="B104" s="7" t="n">
        <v>47.4</v>
      </c>
      <c r="C104" s="7" t="s">
        <v>1702</v>
      </c>
      <c r="D104" s="7" t="s">
        <v>4664</v>
      </c>
      <c r="E104" s="7" t="s">
        <v>4665</v>
      </c>
      <c r="F104" s="7" t="s">
        <v>4666</v>
      </c>
      <c r="G104" s="7" t="s">
        <v>4662</v>
      </c>
      <c r="H104" s="7" t="n">
        <v>43.14709</v>
      </c>
      <c r="I104" s="7" t="n">
        <v>-73.67372</v>
      </c>
    </row>
    <row r="105" customFormat="false" ht="15" hidden="false" customHeight="true" outlineLevel="0" collapsed="false">
      <c r="A105" s="7" t="s">
        <v>4837</v>
      </c>
      <c r="B105" s="7" t="n">
        <v>47.5</v>
      </c>
      <c r="C105" s="7" t="s">
        <v>1702</v>
      </c>
      <c r="D105" s="7" t="s">
        <v>4728</v>
      </c>
      <c r="E105" s="7" t="s">
        <v>4658</v>
      </c>
      <c r="F105" s="7" t="s">
        <v>4659</v>
      </c>
      <c r="G105" s="7" t="s">
        <v>4662</v>
      </c>
      <c r="H105" s="7" t="n">
        <v>43.17151</v>
      </c>
      <c r="I105" s="7" t="n">
        <v>-73.75745</v>
      </c>
    </row>
    <row r="106" customFormat="false" ht="15" hidden="false" customHeight="true" outlineLevel="0" collapsed="false">
      <c r="A106" s="7" t="s">
        <v>4838</v>
      </c>
      <c r="B106" s="7" t="n">
        <v>47.5</v>
      </c>
      <c r="C106" s="7" t="s">
        <v>1702</v>
      </c>
      <c r="D106" s="7" t="s">
        <v>4664</v>
      </c>
      <c r="E106" s="7" t="s">
        <v>4665</v>
      </c>
      <c r="F106" s="7" t="s">
        <v>4666</v>
      </c>
      <c r="G106" s="7" t="s">
        <v>4668</v>
      </c>
      <c r="H106" s="7" t="n">
        <v>43.15505</v>
      </c>
      <c r="I106" s="7" t="n">
        <v>-73.69417</v>
      </c>
    </row>
    <row r="107" customFormat="false" ht="15" hidden="false" customHeight="true" outlineLevel="0" collapsed="false">
      <c r="A107" s="7" t="s">
        <v>4839</v>
      </c>
      <c r="B107" s="7" t="n">
        <v>47.6</v>
      </c>
      <c r="C107" s="7" t="s">
        <v>4781</v>
      </c>
      <c r="D107" s="7" t="s">
        <v>4657</v>
      </c>
      <c r="E107" s="7" t="s">
        <v>4658</v>
      </c>
      <c r="F107" s="7" t="s">
        <v>4674</v>
      </c>
      <c r="G107" s="7" t="s">
        <v>4840</v>
      </c>
      <c r="H107" s="7" t="n">
        <v>42.84132</v>
      </c>
      <c r="I107" s="7" t="n">
        <v>-74.87187</v>
      </c>
    </row>
    <row r="108" customFormat="false" ht="15" hidden="false" customHeight="true" outlineLevel="0" collapsed="false">
      <c r="A108" s="7" t="s">
        <v>4841</v>
      </c>
      <c r="B108" s="7" t="n">
        <v>47.7</v>
      </c>
      <c r="C108" s="7" t="s">
        <v>1702</v>
      </c>
      <c r="D108" s="7" t="s">
        <v>4664</v>
      </c>
      <c r="E108" s="7" t="s">
        <v>4665</v>
      </c>
      <c r="F108" s="7" t="s">
        <v>4666</v>
      </c>
      <c r="G108" s="7" t="s">
        <v>4662</v>
      </c>
      <c r="H108" s="7" t="n">
        <v>43.1524</v>
      </c>
      <c r="I108" s="7" t="n">
        <v>-73.67744</v>
      </c>
    </row>
    <row r="109" customFormat="false" ht="23.25" hidden="false" customHeight="true" outlineLevel="0" collapsed="false">
      <c r="A109" s="7" t="s">
        <v>4842</v>
      </c>
      <c r="B109" s="7" t="n">
        <v>47.9</v>
      </c>
      <c r="C109" s="7" t="s">
        <v>1702</v>
      </c>
      <c r="D109" s="7" t="s">
        <v>4664</v>
      </c>
      <c r="E109" s="7" t="s">
        <v>4665</v>
      </c>
      <c r="F109" s="7" t="s">
        <v>4666</v>
      </c>
      <c r="G109" s="7" t="s">
        <v>4843</v>
      </c>
      <c r="H109" s="7" t="n">
        <v>43.15008</v>
      </c>
      <c r="I109" s="7" t="n">
        <v>-73.66182</v>
      </c>
    </row>
    <row r="110" customFormat="false" ht="23.25" hidden="false" customHeight="true" outlineLevel="0" collapsed="false">
      <c r="A110" s="7" t="s">
        <v>4844</v>
      </c>
      <c r="B110" s="7" t="n">
        <v>48</v>
      </c>
      <c r="C110" s="7" t="s">
        <v>4812</v>
      </c>
      <c r="D110" s="7" t="s">
        <v>4673</v>
      </c>
      <c r="E110" s="7" t="s">
        <v>4658</v>
      </c>
      <c r="F110" s="7" t="s">
        <v>4659</v>
      </c>
      <c r="G110" s="7" t="s">
        <v>4845</v>
      </c>
      <c r="H110" s="7" t="n">
        <v>42.90931</v>
      </c>
      <c r="I110" s="7" t="n">
        <v>-74.82483</v>
      </c>
    </row>
    <row r="111" customFormat="false" ht="15" hidden="false" customHeight="true" outlineLevel="0" collapsed="false">
      <c r="A111" s="7" t="s">
        <v>4846</v>
      </c>
      <c r="B111" s="7" t="n">
        <v>48.5</v>
      </c>
      <c r="C111" s="7" t="s">
        <v>1702</v>
      </c>
      <c r="D111" s="7" t="s">
        <v>4728</v>
      </c>
      <c r="E111" s="7" t="s">
        <v>4658</v>
      </c>
      <c r="F111" s="7" t="s">
        <v>4674</v>
      </c>
      <c r="G111" s="7" t="s">
        <v>4733</v>
      </c>
      <c r="H111" s="7" t="n">
        <v>43.17741</v>
      </c>
      <c r="I111" s="7" t="n">
        <v>-73.72171</v>
      </c>
    </row>
    <row r="112" customFormat="false" ht="15" hidden="false" customHeight="true" outlineLevel="0" collapsed="false">
      <c r="A112" s="7" t="s">
        <v>4847</v>
      </c>
      <c r="B112" s="7" t="n">
        <v>49.6</v>
      </c>
      <c r="C112" s="7" t="s">
        <v>1702</v>
      </c>
      <c r="D112" s="7" t="s">
        <v>4744</v>
      </c>
      <c r="E112" s="7" t="s">
        <v>4658</v>
      </c>
      <c r="F112" s="7" t="s">
        <v>4659</v>
      </c>
      <c r="G112" s="7" t="s">
        <v>4662</v>
      </c>
      <c r="H112" s="7" t="n">
        <v>43.21631</v>
      </c>
      <c r="I112" s="7" t="n">
        <v>-73.8216</v>
      </c>
    </row>
    <row r="113" customFormat="false" ht="15" hidden="false" customHeight="true" outlineLevel="0" collapsed="false">
      <c r="A113" s="7" t="s">
        <v>4848</v>
      </c>
      <c r="B113" s="7" t="n">
        <v>49.8</v>
      </c>
      <c r="C113" s="7" t="s">
        <v>4758</v>
      </c>
      <c r="D113" s="7" t="s">
        <v>4664</v>
      </c>
      <c r="E113" s="7" t="s">
        <v>4665</v>
      </c>
      <c r="F113" s="7" t="s">
        <v>4674</v>
      </c>
      <c r="G113" s="7" t="s">
        <v>4849</v>
      </c>
      <c r="H113" s="7" t="n">
        <v>41.84005</v>
      </c>
      <c r="I113" s="7" t="n">
        <v>-73.7122</v>
      </c>
    </row>
    <row r="114" customFormat="false" ht="15" hidden="false" customHeight="true" outlineLevel="0" collapsed="false">
      <c r="A114" s="7" t="s">
        <v>4850</v>
      </c>
      <c r="B114" s="7" t="n">
        <v>49.9</v>
      </c>
      <c r="C114" s="7" t="s">
        <v>4758</v>
      </c>
      <c r="D114" s="7" t="s">
        <v>4664</v>
      </c>
      <c r="E114" s="7" t="s">
        <v>4665</v>
      </c>
      <c r="F114" s="7" t="s">
        <v>4666</v>
      </c>
      <c r="G114" s="7" t="s">
        <v>4670</v>
      </c>
      <c r="H114" s="7" t="n">
        <v>41.80718</v>
      </c>
      <c r="I114" s="7" t="n">
        <v>-73.86368</v>
      </c>
    </row>
    <row r="115" customFormat="false" ht="15" hidden="false" customHeight="true" outlineLevel="0" collapsed="false">
      <c r="A115" s="7" t="s">
        <v>4851</v>
      </c>
      <c r="B115" s="7" t="n">
        <v>50.4</v>
      </c>
      <c r="C115" s="7" t="s">
        <v>1702</v>
      </c>
      <c r="D115" s="7" t="s">
        <v>4744</v>
      </c>
      <c r="E115" s="7" t="s">
        <v>4658</v>
      </c>
      <c r="F115" s="7" t="s">
        <v>4659</v>
      </c>
      <c r="G115" s="7" t="s">
        <v>4662</v>
      </c>
      <c r="H115" s="7" t="n">
        <v>43.23206</v>
      </c>
      <c r="I115" s="7" t="n">
        <v>-73.85326</v>
      </c>
    </row>
    <row r="116" customFormat="false" ht="15" hidden="false" customHeight="true" outlineLevel="0" collapsed="false">
      <c r="A116" s="7" t="s">
        <v>4852</v>
      </c>
      <c r="B116" s="7" t="n">
        <v>50.9</v>
      </c>
      <c r="C116" s="7" t="s">
        <v>4741</v>
      </c>
      <c r="D116" s="7" t="s">
        <v>4664</v>
      </c>
      <c r="E116" s="7" t="s">
        <v>4665</v>
      </c>
      <c r="F116" s="7" t="s">
        <v>4674</v>
      </c>
      <c r="G116" s="7" t="s">
        <v>4675</v>
      </c>
      <c r="H116" s="7" t="n">
        <v>41.80717</v>
      </c>
      <c r="I116" s="7" t="n">
        <v>-74.3108</v>
      </c>
    </row>
    <row r="117" customFormat="false" ht="15" hidden="false" customHeight="true" outlineLevel="0" collapsed="false">
      <c r="A117" s="7" t="s">
        <v>4853</v>
      </c>
      <c r="B117" s="7" t="n">
        <v>51.1</v>
      </c>
      <c r="C117" s="7" t="s">
        <v>4758</v>
      </c>
      <c r="D117" s="7" t="s">
        <v>4664</v>
      </c>
      <c r="E117" s="7" t="s">
        <v>4665</v>
      </c>
      <c r="F117" s="7" t="s">
        <v>4674</v>
      </c>
      <c r="G117" s="7" t="s">
        <v>4854</v>
      </c>
      <c r="H117" s="7" t="n">
        <v>41.81055</v>
      </c>
      <c r="I117" s="7" t="n">
        <v>-73.74795</v>
      </c>
    </row>
    <row r="118" customFormat="false" ht="15" hidden="false" customHeight="true" outlineLevel="0" collapsed="false">
      <c r="A118" s="7" t="s">
        <v>4855</v>
      </c>
      <c r="B118" s="7" t="n">
        <v>51.2</v>
      </c>
      <c r="C118" s="7" t="s">
        <v>4741</v>
      </c>
      <c r="D118" s="7" t="s">
        <v>4657</v>
      </c>
      <c r="E118" s="7" t="s">
        <v>4658</v>
      </c>
      <c r="F118" s="7" t="s">
        <v>4674</v>
      </c>
      <c r="G118" s="7" t="s">
        <v>4856</v>
      </c>
      <c r="H118" s="7" t="n">
        <v>41.79922</v>
      </c>
      <c r="I118" s="7" t="n">
        <v>-74.29401</v>
      </c>
    </row>
    <row r="119" customFormat="false" ht="15" hidden="false" customHeight="true" outlineLevel="0" collapsed="false">
      <c r="A119" s="7" t="s">
        <v>4857</v>
      </c>
      <c r="B119" s="7" t="n">
        <v>51.8</v>
      </c>
      <c r="C119" s="7" t="s">
        <v>1702</v>
      </c>
      <c r="D119" s="7" t="s">
        <v>4744</v>
      </c>
      <c r="E119" s="7" t="s">
        <v>4658</v>
      </c>
      <c r="F119" s="7" t="s">
        <v>4674</v>
      </c>
      <c r="G119" s="7" t="s">
        <v>4858</v>
      </c>
      <c r="H119" s="7" t="n">
        <v>43.24591</v>
      </c>
      <c r="I119" s="7" t="n">
        <v>-73.80196</v>
      </c>
    </row>
    <row r="120" customFormat="false" ht="15" hidden="false" customHeight="true" outlineLevel="0" collapsed="false">
      <c r="A120" s="7" t="s">
        <v>4859</v>
      </c>
      <c r="B120" s="7" t="n">
        <v>52</v>
      </c>
      <c r="C120" s="7" t="s">
        <v>4741</v>
      </c>
      <c r="D120" s="7" t="s">
        <v>4657</v>
      </c>
      <c r="E120" s="7" t="s">
        <v>4658</v>
      </c>
      <c r="F120" s="7" t="s">
        <v>4659</v>
      </c>
      <c r="G120" s="7" t="s">
        <v>4860</v>
      </c>
      <c r="H120" s="7" t="n">
        <v>41.78898</v>
      </c>
      <c r="I120" s="7" t="n">
        <v>-74.30329</v>
      </c>
    </row>
    <row r="121" customFormat="false" ht="23.25" hidden="false" customHeight="true" outlineLevel="0" collapsed="false">
      <c r="A121" s="7" t="s">
        <v>4861</v>
      </c>
      <c r="B121" s="7" t="n">
        <v>52.3</v>
      </c>
      <c r="C121" s="7" t="s">
        <v>4812</v>
      </c>
      <c r="D121" s="7" t="s">
        <v>4657</v>
      </c>
      <c r="E121" s="7" t="s">
        <v>4658</v>
      </c>
      <c r="F121" s="7" t="s">
        <v>4659</v>
      </c>
      <c r="G121" s="7" t="s">
        <v>4862</v>
      </c>
      <c r="H121" s="7" t="n">
        <v>42.94067</v>
      </c>
      <c r="I121" s="7" t="n">
        <v>-74.89907</v>
      </c>
    </row>
    <row r="122" customFormat="false" ht="15" hidden="false" customHeight="true" outlineLevel="0" collapsed="false">
      <c r="A122" s="7" t="s">
        <v>4863</v>
      </c>
      <c r="B122" s="7" t="n">
        <v>52.5</v>
      </c>
      <c r="C122" s="7" t="s">
        <v>4741</v>
      </c>
      <c r="D122" s="7" t="s">
        <v>4664</v>
      </c>
      <c r="E122" s="7" t="s">
        <v>4665</v>
      </c>
      <c r="F122" s="7" t="s">
        <v>4674</v>
      </c>
      <c r="G122" s="7" t="s">
        <v>4864</v>
      </c>
      <c r="H122" s="7" t="n">
        <v>41.75702</v>
      </c>
      <c r="I122" s="7" t="n">
        <v>-74.06632</v>
      </c>
    </row>
    <row r="123" customFormat="false" ht="15" hidden="false" customHeight="true" outlineLevel="0" collapsed="false">
      <c r="A123" s="7" t="s">
        <v>4865</v>
      </c>
      <c r="B123" s="7" t="n">
        <v>52.9</v>
      </c>
      <c r="C123" s="7" t="s">
        <v>4812</v>
      </c>
      <c r="D123" s="7" t="s">
        <v>4664</v>
      </c>
      <c r="E123" s="7" t="s">
        <v>4665</v>
      </c>
      <c r="F123" s="7" t="s">
        <v>4666</v>
      </c>
      <c r="G123" s="7" t="s">
        <v>4866</v>
      </c>
      <c r="H123" s="7" t="n">
        <v>43.0285</v>
      </c>
      <c r="I123" s="7" t="n">
        <v>-74.82213</v>
      </c>
    </row>
    <row r="124" customFormat="false" ht="15" hidden="false" customHeight="true" outlineLevel="0" collapsed="false">
      <c r="A124" s="7" t="s">
        <v>4867</v>
      </c>
      <c r="B124" s="7" t="n">
        <v>54.4</v>
      </c>
      <c r="C124" s="7" t="s">
        <v>4758</v>
      </c>
      <c r="D124" s="7" t="s">
        <v>4664</v>
      </c>
      <c r="E124" s="7" t="s">
        <v>4665</v>
      </c>
      <c r="F124" s="7" t="s">
        <v>4666</v>
      </c>
      <c r="G124" s="7" t="s">
        <v>4662</v>
      </c>
      <c r="H124" s="7" t="n">
        <v>41.76275</v>
      </c>
      <c r="I124" s="7" t="n">
        <v>-73.74197</v>
      </c>
    </row>
    <row r="125" customFormat="false" ht="15" hidden="false" customHeight="true" outlineLevel="0" collapsed="false">
      <c r="A125" s="7" t="s">
        <v>4868</v>
      </c>
      <c r="B125" s="7" t="n">
        <v>54.7</v>
      </c>
      <c r="C125" s="7" t="s">
        <v>1702</v>
      </c>
      <c r="D125" s="7" t="s">
        <v>4664</v>
      </c>
      <c r="E125" s="7" t="s">
        <v>4665</v>
      </c>
      <c r="F125" s="7" t="s">
        <v>4674</v>
      </c>
      <c r="G125" s="7" t="s">
        <v>4869</v>
      </c>
      <c r="H125" s="7" t="n">
        <v>43.26896</v>
      </c>
      <c r="I125" s="7" t="n">
        <v>-73.70588</v>
      </c>
    </row>
    <row r="126" customFormat="false" ht="15" hidden="false" customHeight="true" outlineLevel="0" collapsed="false">
      <c r="A126" s="7" t="s">
        <v>4870</v>
      </c>
      <c r="B126" s="7" t="n">
        <v>54.8</v>
      </c>
      <c r="C126" s="7" t="s">
        <v>4741</v>
      </c>
      <c r="D126" s="7" t="s">
        <v>4664</v>
      </c>
      <c r="E126" s="7" t="s">
        <v>4665</v>
      </c>
      <c r="F126" s="7" t="s">
        <v>4666</v>
      </c>
      <c r="G126" s="7" t="s">
        <v>4662</v>
      </c>
      <c r="H126" s="7" t="n">
        <v>41.76</v>
      </c>
      <c r="I126" s="7" t="n">
        <v>-74.36394</v>
      </c>
    </row>
    <row r="127" customFormat="false" ht="15" hidden="false" customHeight="true" outlineLevel="0" collapsed="false">
      <c r="A127" s="7" t="s">
        <v>4871</v>
      </c>
      <c r="B127" s="7" t="n">
        <v>55.1</v>
      </c>
      <c r="C127" s="7" t="s">
        <v>4741</v>
      </c>
      <c r="D127" s="7" t="s">
        <v>4664</v>
      </c>
      <c r="E127" s="7" t="s">
        <v>4665</v>
      </c>
      <c r="F127" s="7" t="s">
        <v>4674</v>
      </c>
      <c r="G127" s="7" t="s">
        <v>4872</v>
      </c>
      <c r="H127" s="7" t="n">
        <v>41.75823</v>
      </c>
      <c r="I127" s="7" t="n">
        <v>-74.37298</v>
      </c>
    </row>
    <row r="128" customFormat="false" ht="15" hidden="false" customHeight="true" outlineLevel="0" collapsed="false">
      <c r="A128" s="7" t="s">
        <v>4873</v>
      </c>
      <c r="B128" s="7" t="n">
        <v>55.5</v>
      </c>
      <c r="C128" s="7" t="s">
        <v>1702</v>
      </c>
      <c r="D128" s="7" t="s">
        <v>4664</v>
      </c>
      <c r="E128" s="7" t="s">
        <v>4665</v>
      </c>
      <c r="F128" s="7" t="s">
        <v>4666</v>
      </c>
      <c r="G128" s="7" t="s">
        <v>4662</v>
      </c>
      <c r="H128" s="7" t="n">
        <v>43.26635</v>
      </c>
      <c r="I128" s="7" t="n">
        <v>-73.64972</v>
      </c>
    </row>
    <row r="129" customFormat="false" ht="23.25" hidden="false" customHeight="true" outlineLevel="0" collapsed="false">
      <c r="A129" s="7" t="s">
        <v>4874</v>
      </c>
      <c r="B129" s="7" t="n">
        <v>55.9</v>
      </c>
      <c r="C129" s="7" t="s">
        <v>4812</v>
      </c>
      <c r="D129" s="7" t="s">
        <v>4664</v>
      </c>
      <c r="E129" s="7" t="s">
        <v>4665</v>
      </c>
      <c r="F129" s="7" t="s">
        <v>4674</v>
      </c>
      <c r="G129" s="7" t="s">
        <v>4875</v>
      </c>
      <c r="H129" s="7" t="n">
        <v>43.01832</v>
      </c>
      <c r="I129" s="7" t="n">
        <v>-74.90879</v>
      </c>
    </row>
    <row r="130" customFormat="false" ht="23.25" hidden="false" customHeight="true" outlineLevel="0" collapsed="false">
      <c r="A130" s="7" t="s">
        <v>4876</v>
      </c>
      <c r="B130" s="7" t="n">
        <v>56.8</v>
      </c>
      <c r="C130" s="7" t="s">
        <v>4812</v>
      </c>
      <c r="D130" s="7" t="s">
        <v>4664</v>
      </c>
      <c r="E130" s="7" t="s">
        <v>4665</v>
      </c>
      <c r="F130" s="7" t="s">
        <v>4666</v>
      </c>
      <c r="G130" s="7" t="s">
        <v>4877</v>
      </c>
      <c r="H130" s="7" t="n">
        <v>43.02957</v>
      </c>
      <c r="I130" s="7" t="n">
        <v>-74.92161</v>
      </c>
    </row>
    <row r="131" customFormat="false" ht="15" hidden="false" customHeight="true" outlineLevel="0" collapsed="false">
      <c r="A131" s="7" t="s">
        <v>4878</v>
      </c>
      <c r="B131" s="7" t="n">
        <v>57.5</v>
      </c>
      <c r="C131" s="7" t="s">
        <v>4879</v>
      </c>
      <c r="D131" s="7" t="s">
        <v>4664</v>
      </c>
      <c r="E131" s="7" t="s">
        <v>4665</v>
      </c>
      <c r="F131" s="7" t="s">
        <v>4666</v>
      </c>
      <c r="G131" s="7" t="s">
        <v>4880</v>
      </c>
      <c r="H131" s="7" t="n">
        <v>43.30997</v>
      </c>
      <c r="I131" s="7" t="n">
        <v>-73.69984</v>
      </c>
    </row>
    <row r="132" customFormat="false" ht="15" hidden="false" customHeight="true" outlineLevel="0" collapsed="false">
      <c r="A132" s="7" t="s">
        <v>4881</v>
      </c>
      <c r="B132" s="7" t="n">
        <v>57.8</v>
      </c>
      <c r="C132" s="7" t="s">
        <v>4879</v>
      </c>
      <c r="D132" s="7" t="s">
        <v>4664</v>
      </c>
      <c r="E132" s="7" t="s">
        <v>4665</v>
      </c>
      <c r="F132" s="7" t="s">
        <v>4666</v>
      </c>
      <c r="G132" s="7" t="s">
        <v>4882</v>
      </c>
      <c r="H132" s="7" t="n">
        <v>43.31443</v>
      </c>
      <c r="I132" s="7" t="n">
        <v>-73.6973</v>
      </c>
    </row>
    <row r="133" customFormat="false" ht="23.25" hidden="false" customHeight="true" outlineLevel="0" collapsed="false">
      <c r="A133" s="7" t="s">
        <v>4883</v>
      </c>
      <c r="B133" s="7" t="n">
        <v>57.9</v>
      </c>
      <c r="C133" s="7" t="s">
        <v>4879</v>
      </c>
      <c r="D133" s="7" t="s">
        <v>4664</v>
      </c>
      <c r="E133" s="7" t="s">
        <v>4665</v>
      </c>
      <c r="F133" s="7" t="s">
        <v>4666</v>
      </c>
      <c r="G133" s="7" t="s">
        <v>4884</v>
      </c>
      <c r="H133" s="7" t="n">
        <v>43.31367</v>
      </c>
      <c r="I133" s="7" t="n">
        <v>-73.69267</v>
      </c>
    </row>
    <row r="134" customFormat="false" ht="15" hidden="false" customHeight="true" outlineLevel="0" collapsed="false">
      <c r="A134" s="7" t="s">
        <v>4885</v>
      </c>
      <c r="B134" s="7" t="n">
        <v>58.6</v>
      </c>
      <c r="C134" s="7" t="s">
        <v>4879</v>
      </c>
      <c r="D134" s="7" t="s">
        <v>4664</v>
      </c>
      <c r="E134" s="7" t="s">
        <v>4665</v>
      </c>
      <c r="F134" s="7" t="s">
        <v>4674</v>
      </c>
      <c r="G134" s="7" t="s">
        <v>4675</v>
      </c>
      <c r="H134" s="7" t="n">
        <v>43.32259</v>
      </c>
      <c r="I134" s="7" t="n">
        <v>-73.68371</v>
      </c>
    </row>
    <row r="135" customFormat="false" ht="23.25" hidden="false" customHeight="true" outlineLevel="0" collapsed="false">
      <c r="A135" s="7" t="s">
        <v>4886</v>
      </c>
      <c r="B135" s="7" t="n">
        <v>58.6</v>
      </c>
      <c r="C135" s="7" t="s">
        <v>4887</v>
      </c>
      <c r="D135" s="7" t="s">
        <v>4664</v>
      </c>
      <c r="E135" s="7" t="s">
        <v>4665</v>
      </c>
      <c r="F135" s="7" t="s">
        <v>4674</v>
      </c>
      <c r="G135" s="7" t="s">
        <v>4675</v>
      </c>
      <c r="H135" s="7" t="n">
        <v>43.25377</v>
      </c>
      <c r="I135" s="7" t="n">
        <v>-73.4733</v>
      </c>
    </row>
    <row r="136" customFormat="false" ht="15" hidden="false" customHeight="true" outlineLevel="0" collapsed="false">
      <c r="A136" s="7" t="s">
        <v>4888</v>
      </c>
      <c r="B136" s="7" t="n">
        <v>58.7</v>
      </c>
      <c r="C136" s="7" t="s">
        <v>4812</v>
      </c>
      <c r="D136" s="7" t="s">
        <v>4664</v>
      </c>
      <c r="E136" s="7" t="s">
        <v>4665</v>
      </c>
      <c r="F136" s="7" t="s">
        <v>4666</v>
      </c>
      <c r="G136" s="7" t="s">
        <v>4889</v>
      </c>
      <c r="H136" s="7" t="n">
        <v>43.02302</v>
      </c>
      <c r="I136" s="7" t="n">
        <v>-74.97407</v>
      </c>
    </row>
    <row r="137" customFormat="false" ht="23.25" hidden="false" customHeight="true" outlineLevel="0" collapsed="false">
      <c r="A137" s="7" t="s">
        <v>4890</v>
      </c>
      <c r="B137" s="7" t="n">
        <v>58.7</v>
      </c>
      <c r="C137" s="7" t="s">
        <v>4887</v>
      </c>
      <c r="D137" s="7" t="s">
        <v>4664</v>
      </c>
      <c r="E137" s="7" t="s">
        <v>4665</v>
      </c>
      <c r="F137" s="7" t="s">
        <v>4674</v>
      </c>
      <c r="G137" s="7" t="s">
        <v>4675</v>
      </c>
      <c r="H137" s="7" t="n">
        <v>43.25513</v>
      </c>
      <c r="I137" s="7" t="n">
        <v>-73.47267</v>
      </c>
    </row>
    <row r="138" customFormat="false" ht="15" hidden="false" customHeight="true" outlineLevel="0" collapsed="false">
      <c r="A138" s="7" t="s">
        <v>4891</v>
      </c>
      <c r="B138" s="7" t="n">
        <v>58.8</v>
      </c>
      <c r="C138" s="7" t="s">
        <v>4812</v>
      </c>
      <c r="D138" s="7" t="s">
        <v>4664</v>
      </c>
      <c r="E138" s="7" t="s">
        <v>4665</v>
      </c>
      <c r="F138" s="7" t="s">
        <v>4674</v>
      </c>
      <c r="G138" s="7" t="s">
        <v>4892</v>
      </c>
      <c r="H138" s="7" t="n">
        <v>43.03488</v>
      </c>
      <c r="I138" s="7" t="n">
        <v>-74.96385</v>
      </c>
    </row>
    <row r="139" customFormat="false" ht="23.25" hidden="false" customHeight="true" outlineLevel="0" collapsed="false">
      <c r="A139" s="7" t="s">
        <v>4893</v>
      </c>
      <c r="B139" s="7" t="n">
        <v>58.9</v>
      </c>
      <c r="C139" s="7" t="s">
        <v>4887</v>
      </c>
      <c r="D139" s="7" t="s">
        <v>4664</v>
      </c>
      <c r="E139" s="7" t="s">
        <v>4665</v>
      </c>
      <c r="F139" s="7" t="s">
        <v>4674</v>
      </c>
      <c r="G139" s="7" t="s">
        <v>4675</v>
      </c>
      <c r="H139" s="7" t="n">
        <v>43.25907</v>
      </c>
      <c r="I139" s="7" t="n">
        <v>-73.47169</v>
      </c>
    </row>
    <row r="140" customFormat="false" ht="23.25" hidden="false" customHeight="true" outlineLevel="0" collapsed="false">
      <c r="A140" s="7" t="s">
        <v>4894</v>
      </c>
      <c r="B140" s="7" t="n">
        <v>59</v>
      </c>
      <c r="C140" s="7" t="s">
        <v>4812</v>
      </c>
      <c r="D140" s="7" t="s">
        <v>4664</v>
      </c>
      <c r="E140" s="7" t="s">
        <v>4665</v>
      </c>
      <c r="F140" s="7" t="s">
        <v>4674</v>
      </c>
      <c r="G140" s="7" t="s">
        <v>4895</v>
      </c>
      <c r="H140" s="7" t="n">
        <v>43.02808</v>
      </c>
      <c r="I140" s="7" t="n">
        <v>-74.97635</v>
      </c>
    </row>
    <row r="141" customFormat="false" ht="23.25" hidden="false" customHeight="true" outlineLevel="0" collapsed="false">
      <c r="A141" s="7" t="s">
        <v>4896</v>
      </c>
      <c r="B141" s="7" t="n">
        <v>59</v>
      </c>
      <c r="C141" s="7" t="s">
        <v>4781</v>
      </c>
      <c r="D141" s="7" t="s">
        <v>4664</v>
      </c>
      <c r="E141" s="7" t="s">
        <v>4665</v>
      </c>
      <c r="F141" s="7" t="s">
        <v>4666</v>
      </c>
      <c r="G141" s="7" t="s">
        <v>4897</v>
      </c>
      <c r="H141" s="7" t="n">
        <v>42.78589</v>
      </c>
      <c r="I141" s="7" t="n">
        <v>-75.14659</v>
      </c>
    </row>
    <row r="142" customFormat="false" ht="23.25" hidden="false" customHeight="true" outlineLevel="0" collapsed="false">
      <c r="A142" s="7" t="s">
        <v>4898</v>
      </c>
      <c r="B142" s="7" t="n">
        <v>59.2</v>
      </c>
      <c r="C142" s="7" t="s">
        <v>4812</v>
      </c>
      <c r="D142" s="7" t="s">
        <v>4673</v>
      </c>
      <c r="E142" s="7" t="s">
        <v>4658</v>
      </c>
      <c r="F142" s="7" t="s">
        <v>4674</v>
      </c>
      <c r="G142" s="7" t="s">
        <v>4899</v>
      </c>
      <c r="H142" s="7" t="n">
        <v>42.93712</v>
      </c>
      <c r="I142" s="7" t="n">
        <v>-75.06237</v>
      </c>
    </row>
    <row r="143" customFormat="false" ht="15" hidden="false" customHeight="true" outlineLevel="0" collapsed="false">
      <c r="A143" s="7" t="s">
        <v>4900</v>
      </c>
      <c r="B143" s="7" t="n">
        <v>59.8</v>
      </c>
      <c r="C143" s="7" t="s">
        <v>4879</v>
      </c>
      <c r="D143" s="7" t="s">
        <v>4664</v>
      </c>
      <c r="E143" s="7" t="s">
        <v>4665</v>
      </c>
      <c r="F143" s="7" t="s">
        <v>4674</v>
      </c>
      <c r="G143" s="7" t="s">
        <v>4675</v>
      </c>
      <c r="H143" s="7" t="n">
        <v>43.34378</v>
      </c>
      <c r="I143" s="7" t="n">
        <v>-73.69426</v>
      </c>
    </row>
    <row r="144" customFormat="false" ht="15" hidden="false" customHeight="true" outlineLevel="0" collapsed="false">
      <c r="A144" s="7" t="s">
        <v>4901</v>
      </c>
      <c r="B144" s="7" t="n">
        <v>60.1</v>
      </c>
      <c r="C144" s="7" t="s">
        <v>4812</v>
      </c>
      <c r="D144" s="7" t="s">
        <v>4673</v>
      </c>
      <c r="E144" s="7" t="s">
        <v>4658</v>
      </c>
      <c r="F144" s="7" t="s">
        <v>4659</v>
      </c>
      <c r="G144" s="7" t="s">
        <v>4662</v>
      </c>
      <c r="H144" s="7" t="n">
        <v>42.91812</v>
      </c>
      <c r="I144" s="7" t="n">
        <v>-75.09466</v>
      </c>
    </row>
    <row r="145" customFormat="false" ht="15" hidden="false" customHeight="true" outlineLevel="0" collapsed="false">
      <c r="A145" s="7" t="s">
        <v>4902</v>
      </c>
      <c r="B145" s="7" t="n">
        <v>60.2</v>
      </c>
      <c r="C145" s="7" t="s">
        <v>4812</v>
      </c>
      <c r="D145" s="7" t="s">
        <v>4673</v>
      </c>
      <c r="E145" s="7" t="s">
        <v>4658</v>
      </c>
      <c r="F145" s="7" t="s">
        <v>4674</v>
      </c>
      <c r="G145" s="7" t="s">
        <v>4903</v>
      </c>
      <c r="H145" s="7" t="n">
        <v>42.91629</v>
      </c>
      <c r="I145" s="7" t="n">
        <v>-75.09865</v>
      </c>
    </row>
    <row r="146" customFormat="false" ht="15" hidden="false" customHeight="true" outlineLevel="0" collapsed="false">
      <c r="A146" s="7" t="s">
        <v>4904</v>
      </c>
      <c r="B146" s="7" t="n">
        <v>60.9</v>
      </c>
      <c r="C146" s="7" t="s">
        <v>4812</v>
      </c>
      <c r="D146" s="7" t="s">
        <v>4673</v>
      </c>
      <c r="E146" s="7" t="s">
        <v>4658</v>
      </c>
      <c r="F146" s="7" t="s">
        <v>4659</v>
      </c>
      <c r="G146" s="7" t="s">
        <v>4662</v>
      </c>
      <c r="H146" s="7" t="n">
        <v>42.91487</v>
      </c>
      <c r="I146" s="7" t="n">
        <v>-75.11494</v>
      </c>
    </row>
    <row r="147" customFormat="false" ht="23.25" hidden="false" customHeight="true" outlineLevel="0" collapsed="false">
      <c r="A147" s="7" t="s">
        <v>4905</v>
      </c>
      <c r="B147" s="7" t="n">
        <v>61</v>
      </c>
      <c r="C147" s="7" t="s">
        <v>4812</v>
      </c>
      <c r="D147" s="7" t="s">
        <v>4791</v>
      </c>
      <c r="E147" s="7" t="s">
        <v>4792</v>
      </c>
      <c r="F147" s="7" t="s">
        <v>4674</v>
      </c>
      <c r="G147" s="7" t="s">
        <v>4906</v>
      </c>
      <c r="H147" s="7" t="n">
        <v>42.89045</v>
      </c>
      <c r="I147" s="7" t="n">
        <v>-75.13289</v>
      </c>
    </row>
    <row r="148" customFormat="false" ht="15" hidden="false" customHeight="true" outlineLevel="0" collapsed="false">
      <c r="A148" s="7" t="s">
        <v>4907</v>
      </c>
      <c r="B148" s="7" t="n">
        <v>61</v>
      </c>
      <c r="C148" s="7" t="s">
        <v>4879</v>
      </c>
      <c r="D148" s="7" t="s">
        <v>4664</v>
      </c>
      <c r="E148" s="7" t="s">
        <v>4665</v>
      </c>
      <c r="F148" s="7" t="s">
        <v>4666</v>
      </c>
      <c r="G148" s="7" t="s">
        <v>4662</v>
      </c>
      <c r="H148" s="7" t="n">
        <v>43.35593</v>
      </c>
      <c r="I148" s="7" t="n">
        <v>-73.67202</v>
      </c>
    </row>
    <row r="149" customFormat="false" ht="15" hidden="false" customHeight="true" outlineLevel="0" collapsed="false">
      <c r="A149" s="7" t="s">
        <v>4908</v>
      </c>
      <c r="B149" s="7" t="n">
        <v>61</v>
      </c>
      <c r="C149" s="7" t="s">
        <v>4879</v>
      </c>
      <c r="D149" s="7" t="s">
        <v>4664</v>
      </c>
      <c r="E149" s="7" t="s">
        <v>4665</v>
      </c>
      <c r="F149" s="7" t="s">
        <v>4666</v>
      </c>
      <c r="G149" s="7" t="s">
        <v>4880</v>
      </c>
      <c r="H149" s="7" t="n">
        <v>43.35508</v>
      </c>
      <c r="I149" s="7" t="n">
        <v>-73.66654</v>
      </c>
    </row>
    <row r="150" customFormat="false" ht="15" hidden="false" customHeight="true" outlineLevel="0" collapsed="false">
      <c r="A150" s="7" t="s">
        <v>4909</v>
      </c>
      <c r="B150" s="7" t="n">
        <v>61.1</v>
      </c>
      <c r="C150" s="7" t="s">
        <v>4812</v>
      </c>
      <c r="D150" s="7" t="s">
        <v>4910</v>
      </c>
      <c r="E150" s="7" t="s">
        <v>4658</v>
      </c>
      <c r="F150" s="7" t="s">
        <v>4659</v>
      </c>
      <c r="G150" s="7" t="s">
        <v>4759</v>
      </c>
      <c r="H150" s="7" t="n">
        <v>42.9727</v>
      </c>
      <c r="I150" s="7" t="n">
        <v>-75.07693</v>
      </c>
    </row>
    <row r="151" customFormat="false" ht="34.5" hidden="false" customHeight="true" outlineLevel="0" collapsed="false">
      <c r="A151" s="7" t="s">
        <v>4911</v>
      </c>
      <c r="B151" s="7" t="n">
        <v>61.5</v>
      </c>
      <c r="C151" s="7" t="s">
        <v>4879</v>
      </c>
      <c r="D151" s="7" t="s">
        <v>4664</v>
      </c>
      <c r="E151" s="7" t="s">
        <v>4665</v>
      </c>
      <c r="F151" s="7" t="s">
        <v>4674</v>
      </c>
      <c r="G151" s="7" t="s">
        <v>4912</v>
      </c>
      <c r="H151" s="7" t="n">
        <v>43.36894</v>
      </c>
      <c r="I151" s="7" t="n">
        <v>-73.69473</v>
      </c>
    </row>
    <row r="152" customFormat="false" ht="15" hidden="false" customHeight="true" outlineLevel="0" collapsed="false">
      <c r="A152" s="7" t="s">
        <v>4913</v>
      </c>
      <c r="B152" s="7" t="n">
        <v>61.6</v>
      </c>
      <c r="C152" s="7" t="s">
        <v>4741</v>
      </c>
      <c r="D152" s="7" t="s">
        <v>4657</v>
      </c>
      <c r="E152" s="7" t="s">
        <v>4658</v>
      </c>
      <c r="F152" s="7" t="s">
        <v>4659</v>
      </c>
      <c r="G152" s="7" t="s">
        <v>4662</v>
      </c>
      <c r="H152" s="7" t="n">
        <v>41.6705</v>
      </c>
      <c r="I152" s="7" t="n">
        <v>-74.42475</v>
      </c>
    </row>
    <row r="153" customFormat="false" ht="15" hidden="false" customHeight="true" outlineLevel="0" collapsed="false">
      <c r="A153" s="7" t="s">
        <v>4914</v>
      </c>
      <c r="B153" s="7" t="n">
        <v>61.8</v>
      </c>
      <c r="C153" s="7" t="s">
        <v>4758</v>
      </c>
      <c r="D153" s="7" t="s">
        <v>4664</v>
      </c>
      <c r="E153" s="7" t="s">
        <v>4665</v>
      </c>
      <c r="F153" s="7" t="s">
        <v>4674</v>
      </c>
      <c r="G153" s="7" t="s">
        <v>4915</v>
      </c>
      <c r="H153" s="7" t="n">
        <v>41.65426</v>
      </c>
      <c r="I153" s="7" t="n">
        <v>-73.72602</v>
      </c>
    </row>
    <row r="154" customFormat="false" ht="23.25" hidden="false" customHeight="true" outlineLevel="0" collapsed="false">
      <c r="A154" s="7" t="s">
        <v>4916</v>
      </c>
      <c r="B154" s="7" t="n">
        <v>62</v>
      </c>
      <c r="C154" s="7" t="s">
        <v>4812</v>
      </c>
      <c r="D154" s="7" t="s">
        <v>4673</v>
      </c>
      <c r="E154" s="7" t="s">
        <v>4658</v>
      </c>
      <c r="F154" s="7" t="s">
        <v>4659</v>
      </c>
      <c r="G154" s="7" t="s">
        <v>4917</v>
      </c>
      <c r="H154" s="7" t="n">
        <v>42.90487</v>
      </c>
      <c r="I154" s="7" t="n">
        <v>-75.14705</v>
      </c>
    </row>
    <row r="155" customFormat="false" ht="23.25" hidden="false" customHeight="true" outlineLevel="0" collapsed="false">
      <c r="A155" s="7" t="s">
        <v>4918</v>
      </c>
      <c r="B155" s="7" t="n">
        <v>62.2</v>
      </c>
      <c r="C155" s="7" t="s">
        <v>4879</v>
      </c>
      <c r="D155" s="7" t="s">
        <v>4664</v>
      </c>
      <c r="E155" s="7" t="s">
        <v>4665</v>
      </c>
      <c r="F155" s="7" t="s">
        <v>4674</v>
      </c>
      <c r="G155" s="7" t="s">
        <v>4919</v>
      </c>
      <c r="H155" s="7" t="n">
        <v>43.37023</v>
      </c>
      <c r="I155" s="7" t="n">
        <v>-73.65178</v>
      </c>
    </row>
    <row r="156" customFormat="false" ht="23.25" hidden="false" customHeight="true" outlineLevel="0" collapsed="false">
      <c r="A156" s="7" t="s">
        <v>4920</v>
      </c>
      <c r="B156" s="7" t="n">
        <v>62.6</v>
      </c>
      <c r="C156" s="7" t="s">
        <v>4812</v>
      </c>
      <c r="D156" s="7" t="s">
        <v>4657</v>
      </c>
      <c r="E156" s="7" t="s">
        <v>4658</v>
      </c>
      <c r="F156" s="7" t="s">
        <v>4659</v>
      </c>
      <c r="G156" s="7" t="s">
        <v>4921</v>
      </c>
      <c r="H156" s="7" t="n">
        <v>42.88588</v>
      </c>
      <c r="I156" s="7" t="n">
        <v>-75.17158</v>
      </c>
    </row>
    <row r="157" customFormat="false" ht="23.25" hidden="false" customHeight="true" outlineLevel="0" collapsed="false">
      <c r="A157" s="7" t="s">
        <v>4922</v>
      </c>
      <c r="B157" s="7" t="n">
        <v>62.7</v>
      </c>
      <c r="C157" s="7" t="s">
        <v>4758</v>
      </c>
      <c r="D157" s="7" t="s">
        <v>4801</v>
      </c>
      <c r="E157" s="7" t="s">
        <v>4658</v>
      </c>
      <c r="F157" s="7" t="s">
        <v>4659</v>
      </c>
      <c r="G157" s="7" t="s">
        <v>4923</v>
      </c>
      <c r="H157" s="7" t="n">
        <v>41.61415</v>
      </c>
      <c r="I157" s="7" t="n">
        <v>-73.9197</v>
      </c>
    </row>
    <row r="158" customFormat="false" ht="23.25" hidden="false" customHeight="true" outlineLevel="0" collapsed="false">
      <c r="A158" s="7" t="s">
        <v>4924</v>
      </c>
      <c r="B158" s="7" t="n">
        <v>62.8</v>
      </c>
      <c r="C158" s="7" t="s">
        <v>4879</v>
      </c>
      <c r="D158" s="7" t="s">
        <v>4664</v>
      </c>
      <c r="E158" s="7" t="s">
        <v>4665</v>
      </c>
      <c r="F158" s="7" t="s">
        <v>4674</v>
      </c>
      <c r="G158" s="7" t="s">
        <v>4925</v>
      </c>
      <c r="H158" s="7" t="n">
        <v>43.37739</v>
      </c>
      <c r="I158" s="7" t="n">
        <v>-73.64601</v>
      </c>
    </row>
    <row r="159" customFormat="false" ht="15" hidden="false" customHeight="true" outlineLevel="0" collapsed="false">
      <c r="A159" s="7" t="s">
        <v>4926</v>
      </c>
      <c r="B159" s="7" t="n">
        <v>63.2</v>
      </c>
      <c r="C159" s="7" t="s">
        <v>4879</v>
      </c>
      <c r="D159" s="7" t="s">
        <v>4664</v>
      </c>
      <c r="E159" s="7" t="s">
        <v>4665</v>
      </c>
      <c r="F159" s="7" t="s">
        <v>4666</v>
      </c>
      <c r="G159" s="7" t="s">
        <v>4927</v>
      </c>
      <c r="H159" s="7" t="n">
        <v>43.37977</v>
      </c>
      <c r="I159" s="7" t="n">
        <v>-73.63271</v>
      </c>
    </row>
    <row r="160" customFormat="false" ht="15" hidden="false" customHeight="true" outlineLevel="0" collapsed="false">
      <c r="A160" s="7" t="s">
        <v>4928</v>
      </c>
      <c r="B160" s="7" t="n">
        <v>63.4</v>
      </c>
      <c r="C160" s="7" t="s">
        <v>4879</v>
      </c>
      <c r="D160" s="7" t="s">
        <v>4664</v>
      </c>
      <c r="E160" s="7" t="s">
        <v>4665</v>
      </c>
      <c r="F160" s="7" t="s">
        <v>4666</v>
      </c>
      <c r="G160" s="7" t="s">
        <v>4662</v>
      </c>
      <c r="H160" s="7" t="n">
        <v>43.39976</v>
      </c>
      <c r="I160" s="7" t="n">
        <v>-73.69994</v>
      </c>
    </row>
    <row r="161" customFormat="false" ht="23.25" hidden="false" customHeight="true" outlineLevel="0" collapsed="false">
      <c r="A161" s="7" t="s">
        <v>4929</v>
      </c>
      <c r="B161" s="7" t="n">
        <v>64.1</v>
      </c>
      <c r="C161" s="7" t="s">
        <v>4887</v>
      </c>
      <c r="D161" s="7" t="s">
        <v>4664</v>
      </c>
      <c r="E161" s="7" t="s">
        <v>4665</v>
      </c>
      <c r="F161" s="7" t="s">
        <v>4666</v>
      </c>
      <c r="G161" s="7" t="s">
        <v>4930</v>
      </c>
      <c r="H161" s="7" t="n">
        <v>43.38675</v>
      </c>
      <c r="I161" s="7" t="n">
        <v>-73.60436</v>
      </c>
    </row>
    <row r="162" customFormat="false" ht="23.25" hidden="false" customHeight="true" outlineLevel="0" collapsed="false">
      <c r="A162" s="7" t="s">
        <v>4931</v>
      </c>
      <c r="B162" s="7" t="n">
        <v>64.5</v>
      </c>
      <c r="C162" s="7" t="s">
        <v>4758</v>
      </c>
      <c r="D162" s="7" t="s">
        <v>4801</v>
      </c>
      <c r="E162" s="7" t="s">
        <v>4658</v>
      </c>
      <c r="F162" s="7" t="s">
        <v>4659</v>
      </c>
      <c r="G162" s="7" t="s">
        <v>4932</v>
      </c>
      <c r="H162" s="7" t="n">
        <v>41.60134</v>
      </c>
      <c r="I162" s="7" t="n">
        <v>-73.79638</v>
      </c>
    </row>
    <row r="163" customFormat="false" ht="23.25" hidden="false" customHeight="true" outlineLevel="0" collapsed="false">
      <c r="A163" s="7" t="s">
        <v>4933</v>
      </c>
      <c r="B163" s="7" t="n">
        <v>64.6</v>
      </c>
      <c r="C163" s="7" t="s">
        <v>4812</v>
      </c>
      <c r="D163" s="7" t="s">
        <v>4673</v>
      </c>
      <c r="E163" s="7" t="s">
        <v>4658</v>
      </c>
      <c r="F163" s="7" t="s">
        <v>4674</v>
      </c>
      <c r="G163" s="7" t="s">
        <v>4934</v>
      </c>
      <c r="H163" s="7" t="n">
        <v>42.92477</v>
      </c>
      <c r="I163" s="7" t="n">
        <v>-75.1908</v>
      </c>
    </row>
    <row r="164" customFormat="false" ht="23.25" hidden="false" customHeight="true" outlineLevel="0" collapsed="false">
      <c r="A164" s="7" t="s">
        <v>4935</v>
      </c>
      <c r="B164" s="7" t="n">
        <v>64.7</v>
      </c>
      <c r="C164" s="7" t="s">
        <v>4887</v>
      </c>
      <c r="D164" s="7" t="s">
        <v>4664</v>
      </c>
      <c r="E164" s="7" t="s">
        <v>4665</v>
      </c>
      <c r="F164" s="7" t="s">
        <v>4674</v>
      </c>
      <c r="G164" s="7" t="s">
        <v>4936</v>
      </c>
      <c r="H164" s="7" t="n">
        <v>43.36135</v>
      </c>
      <c r="I164" s="7" t="n">
        <v>-73.49063</v>
      </c>
    </row>
    <row r="165" customFormat="false" ht="15" hidden="false" customHeight="true" outlineLevel="0" collapsed="false">
      <c r="A165" s="7" t="s">
        <v>4937</v>
      </c>
      <c r="B165" s="7" t="n">
        <v>65</v>
      </c>
      <c r="C165" s="7" t="s">
        <v>4758</v>
      </c>
      <c r="D165" s="7" t="s">
        <v>4664</v>
      </c>
      <c r="E165" s="7" t="s">
        <v>4665</v>
      </c>
      <c r="F165" s="7" t="s">
        <v>4674</v>
      </c>
      <c r="G165" s="7" t="s">
        <v>4938</v>
      </c>
      <c r="H165" s="7" t="n">
        <v>41.63378</v>
      </c>
      <c r="I165" s="7" t="n">
        <v>-73.60709</v>
      </c>
    </row>
    <row r="166" customFormat="false" ht="15" hidden="false" customHeight="true" outlineLevel="0" collapsed="false">
      <c r="A166" s="7" t="s">
        <v>4939</v>
      </c>
      <c r="B166" s="7" t="n">
        <v>65.2</v>
      </c>
      <c r="C166" s="7" t="s">
        <v>4879</v>
      </c>
      <c r="D166" s="7" t="s">
        <v>4664</v>
      </c>
      <c r="E166" s="7" t="s">
        <v>4665</v>
      </c>
      <c r="F166" s="7" t="s">
        <v>4666</v>
      </c>
      <c r="G166" s="7" t="s">
        <v>4940</v>
      </c>
      <c r="H166" s="7" t="n">
        <v>43.44639</v>
      </c>
      <c r="I166" s="7" t="n">
        <v>-73.82597</v>
      </c>
    </row>
    <row r="167" customFormat="false" ht="23.25" hidden="false" customHeight="true" outlineLevel="0" collapsed="false">
      <c r="A167" s="7" t="s">
        <v>4941</v>
      </c>
      <c r="B167" s="7" t="n">
        <v>65.3</v>
      </c>
      <c r="C167" s="7" t="s">
        <v>4887</v>
      </c>
      <c r="D167" s="7" t="s">
        <v>4664</v>
      </c>
      <c r="E167" s="7" t="s">
        <v>4665</v>
      </c>
      <c r="F167" s="7" t="s">
        <v>4674</v>
      </c>
      <c r="G167" s="7" t="s">
        <v>4675</v>
      </c>
      <c r="H167" s="7" t="n">
        <v>43.40227</v>
      </c>
      <c r="I167" s="7" t="n">
        <v>-73.59446</v>
      </c>
    </row>
    <row r="168" customFormat="false" ht="15" hidden="false" customHeight="true" outlineLevel="0" collapsed="false">
      <c r="A168" s="7" t="s">
        <v>4942</v>
      </c>
      <c r="B168" s="7" t="n">
        <v>65.5</v>
      </c>
      <c r="C168" s="7" t="s">
        <v>4943</v>
      </c>
      <c r="D168" s="7" t="s">
        <v>4657</v>
      </c>
      <c r="E168" s="7" t="s">
        <v>4658</v>
      </c>
      <c r="F168" s="7" t="s">
        <v>4674</v>
      </c>
      <c r="G168" s="7" t="s">
        <v>4675</v>
      </c>
      <c r="H168" s="7" t="n">
        <v>41.61773</v>
      </c>
      <c r="I168" s="7" t="n">
        <v>-74.44781</v>
      </c>
    </row>
    <row r="169" customFormat="false" ht="23.25" hidden="false" customHeight="true" outlineLevel="0" collapsed="false">
      <c r="A169" s="7" t="s">
        <v>4944</v>
      </c>
      <c r="B169" s="7" t="n">
        <v>65.9</v>
      </c>
      <c r="C169" s="7" t="s">
        <v>4887</v>
      </c>
      <c r="D169" s="7" t="s">
        <v>4728</v>
      </c>
      <c r="E169" s="7" t="s">
        <v>4658</v>
      </c>
      <c r="F169" s="7" t="s">
        <v>4659</v>
      </c>
      <c r="G169" s="7" t="s">
        <v>4662</v>
      </c>
      <c r="H169" s="7" t="n">
        <v>43.40441</v>
      </c>
      <c r="I169" s="7" t="n">
        <v>-73.56588</v>
      </c>
    </row>
    <row r="170" customFormat="false" ht="15" hidden="false" customHeight="true" outlineLevel="0" collapsed="false">
      <c r="A170" s="7" t="s">
        <v>4945</v>
      </c>
      <c r="B170" s="7" t="n">
        <v>66.6</v>
      </c>
      <c r="C170" s="7" t="s">
        <v>4943</v>
      </c>
      <c r="D170" s="7" t="s">
        <v>4664</v>
      </c>
      <c r="E170" s="7" t="s">
        <v>4665</v>
      </c>
      <c r="F170" s="7" t="s">
        <v>4666</v>
      </c>
      <c r="G170" s="7" t="s">
        <v>4662</v>
      </c>
      <c r="H170" s="7" t="n">
        <v>41.60741</v>
      </c>
      <c r="I170" s="7" t="n">
        <v>-74.4762</v>
      </c>
    </row>
    <row r="171" customFormat="false" ht="23.25" hidden="false" customHeight="true" outlineLevel="0" collapsed="false">
      <c r="A171" s="7" t="s">
        <v>4946</v>
      </c>
      <c r="B171" s="7" t="n">
        <v>66.8</v>
      </c>
      <c r="C171" s="7" t="s">
        <v>4758</v>
      </c>
      <c r="D171" s="7" t="s">
        <v>4801</v>
      </c>
      <c r="E171" s="7" t="s">
        <v>4658</v>
      </c>
      <c r="F171" s="7" t="s">
        <v>4659</v>
      </c>
      <c r="G171" s="7" t="s">
        <v>4947</v>
      </c>
      <c r="H171" s="7" t="n">
        <v>41.5751</v>
      </c>
      <c r="I171" s="7" t="n">
        <v>-73.75447</v>
      </c>
    </row>
    <row r="172" customFormat="false" ht="15" hidden="false" customHeight="true" outlineLevel="0" collapsed="false">
      <c r="A172" s="7" t="s">
        <v>4948</v>
      </c>
      <c r="B172" s="7" t="n">
        <v>67.5</v>
      </c>
      <c r="C172" s="7" t="s">
        <v>4943</v>
      </c>
      <c r="D172" s="7" t="s">
        <v>4664</v>
      </c>
      <c r="E172" s="7" t="s">
        <v>4665</v>
      </c>
      <c r="F172" s="7" t="s">
        <v>4674</v>
      </c>
      <c r="G172" s="7" t="s">
        <v>4949</v>
      </c>
      <c r="H172" s="7" t="n">
        <v>41.57941</v>
      </c>
      <c r="I172" s="7" t="n">
        <v>-74.41309</v>
      </c>
    </row>
    <row r="173" customFormat="false" ht="23.25" hidden="false" customHeight="true" outlineLevel="0" collapsed="false">
      <c r="A173" s="7" t="s">
        <v>4950</v>
      </c>
      <c r="B173" s="7" t="n">
        <v>67.7</v>
      </c>
      <c r="C173" s="7" t="s">
        <v>4951</v>
      </c>
      <c r="D173" s="7" t="s">
        <v>4664</v>
      </c>
      <c r="E173" s="7" t="s">
        <v>4665</v>
      </c>
      <c r="F173" s="7" t="s">
        <v>4666</v>
      </c>
      <c r="G173" s="7" t="s">
        <v>4952</v>
      </c>
      <c r="H173" s="7" t="n">
        <v>42.7625</v>
      </c>
      <c r="I173" s="7" t="n">
        <v>-75.33439</v>
      </c>
    </row>
    <row r="174" customFormat="false" ht="23.25" hidden="false" customHeight="true" outlineLevel="0" collapsed="false">
      <c r="A174" s="7" t="s">
        <v>4953</v>
      </c>
      <c r="B174" s="7" t="n">
        <v>67.9</v>
      </c>
      <c r="C174" s="7" t="s">
        <v>4954</v>
      </c>
      <c r="D174" s="7" t="s">
        <v>4673</v>
      </c>
      <c r="E174" s="7" t="s">
        <v>4658</v>
      </c>
      <c r="F174" s="7" t="s">
        <v>4659</v>
      </c>
      <c r="G174" s="7" t="s">
        <v>4955</v>
      </c>
      <c r="H174" s="7" t="n">
        <v>42.96196</v>
      </c>
      <c r="I174" s="7" t="n">
        <v>-75.23841</v>
      </c>
    </row>
    <row r="175" customFormat="false" ht="15" hidden="false" customHeight="true" outlineLevel="0" collapsed="false">
      <c r="A175" s="7" t="s">
        <v>4956</v>
      </c>
      <c r="B175" s="7" t="n">
        <v>68.3</v>
      </c>
      <c r="C175" s="7" t="s">
        <v>4812</v>
      </c>
      <c r="D175" s="7" t="s">
        <v>4910</v>
      </c>
      <c r="E175" s="7" t="s">
        <v>4658</v>
      </c>
      <c r="F175" s="7" t="s">
        <v>4674</v>
      </c>
      <c r="G175" s="7" t="s">
        <v>4957</v>
      </c>
      <c r="H175" s="7" t="n">
        <v>43.03779</v>
      </c>
      <c r="I175" s="7" t="n">
        <v>-75.18974</v>
      </c>
    </row>
    <row r="176" customFormat="false" ht="34.5" hidden="false" customHeight="true" outlineLevel="0" collapsed="false">
      <c r="A176" s="7" t="s">
        <v>4958</v>
      </c>
      <c r="B176" s="7" t="n">
        <v>69.5</v>
      </c>
      <c r="C176" s="7" t="s">
        <v>4954</v>
      </c>
      <c r="D176" s="7" t="s">
        <v>4657</v>
      </c>
      <c r="E176" s="7" t="s">
        <v>4658</v>
      </c>
      <c r="F176" s="7" t="s">
        <v>4659</v>
      </c>
      <c r="G176" s="7" t="s">
        <v>4959</v>
      </c>
      <c r="H176" s="7" t="n">
        <v>42.95315</v>
      </c>
      <c r="I176" s="7" t="n">
        <v>-75.2782</v>
      </c>
    </row>
    <row r="177" customFormat="false" ht="15" hidden="false" customHeight="true" outlineLevel="0" collapsed="false">
      <c r="A177" s="7" t="s">
        <v>4960</v>
      </c>
      <c r="B177" s="7" t="n">
        <v>69.6</v>
      </c>
      <c r="C177" s="7" t="s">
        <v>4879</v>
      </c>
      <c r="D177" s="7" t="s">
        <v>4664</v>
      </c>
      <c r="E177" s="7" t="s">
        <v>4665</v>
      </c>
      <c r="F177" s="7" t="s">
        <v>4666</v>
      </c>
      <c r="G177" s="7" t="s">
        <v>4662</v>
      </c>
      <c r="H177" s="7" t="n">
        <v>43.51055</v>
      </c>
      <c r="I177" s="7" t="n">
        <v>-73.81671</v>
      </c>
    </row>
    <row r="178" customFormat="false" ht="23.25" hidden="false" customHeight="true" outlineLevel="0" collapsed="false">
      <c r="A178" s="7" t="s">
        <v>4961</v>
      </c>
      <c r="B178" s="7" t="n">
        <v>70.1</v>
      </c>
      <c r="C178" s="7" t="s">
        <v>4887</v>
      </c>
      <c r="D178" s="7" t="s">
        <v>4664</v>
      </c>
      <c r="E178" s="7" t="s">
        <v>4665</v>
      </c>
      <c r="F178" s="7" t="s">
        <v>4666</v>
      </c>
      <c r="G178" s="7" t="s">
        <v>4962</v>
      </c>
      <c r="H178" s="7" t="n">
        <v>43.39185</v>
      </c>
      <c r="I178" s="7" t="n">
        <v>-73.34463</v>
      </c>
    </row>
    <row r="179" customFormat="false" ht="15" hidden="false" customHeight="true" outlineLevel="0" collapsed="false">
      <c r="A179" s="7" t="s">
        <v>4963</v>
      </c>
      <c r="B179" s="7" t="n">
        <v>70.6</v>
      </c>
      <c r="C179" s="7" t="s">
        <v>4879</v>
      </c>
      <c r="D179" s="7" t="s">
        <v>4744</v>
      </c>
      <c r="E179" s="7" t="s">
        <v>4658</v>
      </c>
      <c r="F179" s="7" t="s">
        <v>4659</v>
      </c>
      <c r="G179" s="7" t="s">
        <v>4777</v>
      </c>
      <c r="H179" s="7" t="n">
        <v>43.52926</v>
      </c>
      <c r="I179" s="7" t="n">
        <v>-73.84865</v>
      </c>
    </row>
    <row r="180" customFormat="false" ht="15" hidden="false" customHeight="true" outlineLevel="0" collapsed="false">
      <c r="A180" s="7" t="s">
        <v>4964</v>
      </c>
      <c r="B180" s="7" t="n">
        <v>70.7</v>
      </c>
      <c r="C180" s="7" t="s">
        <v>4758</v>
      </c>
      <c r="D180" s="7" t="s">
        <v>4744</v>
      </c>
      <c r="E180" s="7" t="s">
        <v>4658</v>
      </c>
      <c r="F180" s="7" t="s">
        <v>4659</v>
      </c>
      <c r="G180" s="7" t="s">
        <v>4965</v>
      </c>
      <c r="H180" s="7" t="n">
        <v>41.5487</v>
      </c>
      <c r="I180" s="7" t="n">
        <v>-73.59993</v>
      </c>
    </row>
    <row r="181" customFormat="false" ht="15" hidden="false" customHeight="true" outlineLevel="0" collapsed="false">
      <c r="A181" s="7" t="s">
        <v>4966</v>
      </c>
      <c r="B181" s="7" t="n">
        <v>71.8</v>
      </c>
      <c r="C181" s="7" t="s">
        <v>4954</v>
      </c>
      <c r="D181" s="7" t="s">
        <v>4657</v>
      </c>
      <c r="E181" s="7" t="s">
        <v>4658</v>
      </c>
      <c r="F181" s="7" t="s">
        <v>4659</v>
      </c>
      <c r="G181" s="7" t="s">
        <v>4967</v>
      </c>
      <c r="H181" s="7" t="n">
        <v>42.98561</v>
      </c>
      <c r="I181" s="7" t="n">
        <v>-75.30802</v>
      </c>
    </row>
    <row r="182" customFormat="false" ht="15" hidden="false" customHeight="true" outlineLevel="0" collapsed="false">
      <c r="A182" s="7" t="s">
        <v>4968</v>
      </c>
      <c r="B182" s="7" t="n">
        <v>71.8</v>
      </c>
      <c r="C182" s="7" t="s">
        <v>4879</v>
      </c>
      <c r="D182" s="7" t="s">
        <v>4744</v>
      </c>
      <c r="E182" s="7" t="s">
        <v>4658</v>
      </c>
      <c r="F182" s="7" t="s">
        <v>4659</v>
      </c>
      <c r="G182" s="7" t="s">
        <v>4662</v>
      </c>
      <c r="H182" s="7" t="n">
        <v>43.54219</v>
      </c>
      <c r="I182" s="7" t="n">
        <v>-73.81553</v>
      </c>
    </row>
    <row r="183" customFormat="false" ht="23.25" hidden="false" customHeight="true" outlineLevel="0" collapsed="false">
      <c r="A183" s="7" t="s">
        <v>4969</v>
      </c>
      <c r="B183" s="7" t="n">
        <v>72.1</v>
      </c>
      <c r="C183" s="7" t="s">
        <v>4954</v>
      </c>
      <c r="D183" s="7" t="s">
        <v>4657</v>
      </c>
      <c r="E183" s="7" t="s">
        <v>4658</v>
      </c>
      <c r="F183" s="7" t="s">
        <v>4659</v>
      </c>
      <c r="G183" s="7" t="s">
        <v>4970</v>
      </c>
      <c r="H183" s="7" t="n">
        <v>42.98796</v>
      </c>
      <c r="I183" s="7" t="n">
        <v>-75.31298</v>
      </c>
    </row>
    <row r="184" customFormat="false" ht="15" hidden="false" customHeight="true" outlineLevel="0" collapsed="false">
      <c r="A184" s="7" t="s">
        <v>4971</v>
      </c>
      <c r="B184" s="7" t="n">
        <v>72.4</v>
      </c>
      <c r="C184" s="7" t="s">
        <v>1233</v>
      </c>
      <c r="D184" s="7" t="s">
        <v>4664</v>
      </c>
      <c r="E184" s="7" t="s">
        <v>4665</v>
      </c>
      <c r="F184" s="7" t="s">
        <v>4674</v>
      </c>
      <c r="G184" s="7" t="s">
        <v>4903</v>
      </c>
      <c r="H184" s="7" t="n">
        <v>41.49425</v>
      </c>
      <c r="I184" s="7" t="n">
        <v>-74.34695</v>
      </c>
    </row>
    <row r="185" customFormat="false" ht="15" hidden="false" customHeight="true" outlineLevel="0" collapsed="false">
      <c r="A185" s="7" t="s">
        <v>4972</v>
      </c>
      <c r="B185" s="7" t="n">
        <v>72.4</v>
      </c>
      <c r="C185" s="7" t="s">
        <v>4879</v>
      </c>
      <c r="D185" s="7" t="s">
        <v>4744</v>
      </c>
      <c r="E185" s="7" t="s">
        <v>4658</v>
      </c>
      <c r="F185" s="7" t="s">
        <v>4674</v>
      </c>
      <c r="G185" s="7" t="s">
        <v>4973</v>
      </c>
      <c r="H185" s="7" t="n">
        <v>43.55227</v>
      </c>
      <c r="I185" s="7" t="n">
        <v>-73.82971</v>
      </c>
    </row>
    <row r="186" customFormat="false" ht="15" hidden="false" customHeight="true" outlineLevel="0" collapsed="false">
      <c r="A186" s="7" t="s">
        <v>4974</v>
      </c>
      <c r="B186" s="7" t="n">
        <v>72.6</v>
      </c>
      <c r="C186" s="7" t="s">
        <v>4879</v>
      </c>
      <c r="D186" s="7" t="s">
        <v>4744</v>
      </c>
      <c r="E186" s="7" t="s">
        <v>4658</v>
      </c>
      <c r="F186" s="7" t="s">
        <v>4659</v>
      </c>
      <c r="G186" s="7" t="s">
        <v>4662</v>
      </c>
      <c r="H186" s="7" t="n">
        <v>43.56371</v>
      </c>
      <c r="I186" s="7" t="n">
        <v>-73.93001</v>
      </c>
    </row>
    <row r="187" customFormat="false" ht="23.25" hidden="false" customHeight="true" outlineLevel="0" collapsed="false">
      <c r="A187" s="7" t="s">
        <v>4975</v>
      </c>
      <c r="B187" s="7" t="n">
        <v>73.4</v>
      </c>
      <c r="C187" s="7" t="s">
        <v>4887</v>
      </c>
      <c r="D187" s="7" t="s">
        <v>4744</v>
      </c>
      <c r="E187" s="7" t="s">
        <v>4658</v>
      </c>
      <c r="F187" s="7" t="s">
        <v>4659</v>
      </c>
      <c r="G187" s="7" t="s">
        <v>4684</v>
      </c>
      <c r="H187" s="7" t="n">
        <v>43.50195</v>
      </c>
      <c r="I187" s="7" t="n">
        <v>-73.50049</v>
      </c>
    </row>
    <row r="188" customFormat="false" ht="15" hidden="false" customHeight="true" outlineLevel="0" collapsed="false">
      <c r="A188" s="7" t="s">
        <v>4976</v>
      </c>
      <c r="B188" s="7" t="n">
        <v>74.4</v>
      </c>
      <c r="C188" s="7" t="s">
        <v>4954</v>
      </c>
      <c r="D188" s="7" t="s">
        <v>4657</v>
      </c>
      <c r="E188" s="7" t="s">
        <v>4658</v>
      </c>
      <c r="F188" s="7" t="s">
        <v>4659</v>
      </c>
      <c r="G188" s="7" t="s">
        <v>4967</v>
      </c>
      <c r="H188" s="7" t="n">
        <v>42.9555</v>
      </c>
      <c r="I188" s="7" t="n">
        <v>-75.38498</v>
      </c>
    </row>
    <row r="189" customFormat="false" ht="23.25" hidden="false" customHeight="true" outlineLevel="0" collapsed="false">
      <c r="A189" s="7" t="s">
        <v>4977</v>
      </c>
      <c r="B189" s="7" t="n">
        <v>74.6</v>
      </c>
      <c r="C189" s="7" t="s">
        <v>4887</v>
      </c>
      <c r="D189" s="7" t="s">
        <v>4664</v>
      </c>
      <c r="E189" s="7" t="s">
        <v>4665</v>
      </c>
      <c r="F189" s="7" t="s">
        <v>4674</v>
      </c>
      <c r="G189" s="7" t="s">
        <v>4701</v>
      </c>
      <c r="H189" s="7" t="n">
        <v>43.45075</v>
      </c>
      <c r="I189" s="7" t="n">
        <v>-73.3058</v>
      </c>
    </row>
    <row r="190" customFormat="false" ht="15" hidden="false" customHeight="true" outlineLevel="0" collapsed="false">
      <c r="A190" s="7" t="s">
        <v>4978</v>
      </c>
      <c r="B190" s="7" t="n">
        <v>74.9</v>
      </c>
      <c r="C190" s="7" t="s">
        <v>1233</v>
      </c>
      <c r="D190" s="7" t="s">
        <v>4664</v>
      </c>
      <c r="E190" s="7" t="s">
        <v>4665</v>
      </c>
      <c r="F190" s="7" t="s">
        <v>4674</v>
      </c>
      <c r="G190" s="7" t="s">
        <v>4903</v>
      </c>
      <c r="H190" s="7" t="n">
        <v>41.4552</v>
      </c>
      <c r="I190" s="7" t="n">
        <v>-74.33483</v>
      </c>
    </row>
    <row r="191" customFormat="false" ht="23.25" hidden="false" customHeight="true" outlineLevel="0" collapsed="false">
      <c r="A191" s="7" t="s">
        <v>4979</v>
      </c>
      <c r="B191" s="7" t="n">
        <v>74.9</v>
      </c>
      <c r="C191" s="7" t="s">
        <v>1233</v>
      </c>
      <c r="D191" s="7" t="s">
        <v>4664</v>
      </c>
      <c r="E191" s="7" t="s">
        <v>4665</v>
      </c>
      <c r="F191" s="7" t="s">
        <v>4666</v>
      </c>
      <c r="G191" s="7" t="s">
        <v>4980</v>
      </c>
      <c r="H191" s="7" t="n">
        <v>41.44727</v>
      </c>
      <c r="I191" s="7" t="n">
        <v>-74.27834</v>
      </c>
    </row>
    <row r="192" customFormat="false" ht="15" hidden="false" customHeight="true" outlineLevel="0" collapsed="false">
      <c r="A192" s="7" t="s">
        <v>4981</v>
      </c>
      <c r="B192" s="7" t="n">
        <v>75</v>
      </c>
      <c r="C192" s="7" t="s">
        <v>1233</v>
      </c>
      <c r="D192" s="7" t="s">
        <v>4664</v>
      </c>
      <c r="E192" s="7" t="s">
        <v>4665</v>
      </c>
      <c r="F192" s="7" t="s">
        <v>4674</v>
      </c>
      <c r="G192" s="7" t="s">
        <v>4869</v>
      </c>
      <c r="H192" s="7" t="n">
        <v>41.4531</v>
      </c>
      <c r="I192" s="7" t="n">
        <v>-74.33789</v>
      </c>
    </row>
    <row r="194" customFormat="false" ht="15" hidden="false" customHeight="true" outlineLevel="0" collapsed="false">
      <c r="A194" s="8" t="s">
        <v>4982</v>
      </c>
    </row>
    <row r="195" customFormat="false" ht="15" hidden="false" customHeight="true" outlineLevel="0" collapsed="false">
      <c r="A195" s="11" t="s">
        <v>4983</v>
      </c>
    </row>
    <row r="196" customFormat="false" ht="15" hidden="false" customHeight="true" outlineLevel="0" collapsed="false">
      <c r="A196" s="8" t="s">
        <v>4984</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2026-09-23T06:47:24Z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