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vents" sheetId="2" state="visible" r:id="rId4"/>
    <sheet name="Wind &amp; Tornadoes" sheetId="3" state="visible" r:id="rId5"/>
    <sheet name="Summary" sheetId="4" state="visible" r:id="rId6"/>
    <sheet name="Sources" sheetId="5" state="visible" r:id="rId7"/>
    <sheet name="Hudson Freeze Dates" sheetId="6" state="visible" r:id="rId8"/>
    <sheet name="CRREL Ice Jams (regional)" sheetId="7" state="visible" r:id="rId9"/>
    <sheet name="Subsidence &amp; Karst" sheetId="8" state="visible" r:id="rId10"/>
    <sheet name="LiDAR Depressions" sheetId="9" state="visible" r:id="rId11"/>
  </sheets>
  <definedNames>
    <definedName function="false" hidden="true" localSheetId="6" name="_xlnm._FilterDatabase" vbProcedure="false">'CRREL Ice Jams (regional)'!$A$1:$F$523</definedName>
    <definedName function="false" hidden="true" localSheetId="1" name="_xlnm._FilterDatabase" vbProcedure="false">Events!$A$1:$V$265</definedName>
    <definedName function="false" hidden="true" localSheetId="5" name="_xlnm._FilterDatabase" vbProcedure="false">'Hudson Freeze Dates'!$A$1:$E$44</definedName>
    <definedName function="false" hidden="true" localSheetId="8" name="_xlnm._FilterDatabase" vbProcedure="false">'LiDAR Depressions'!$A$1:$I$192</definedName>
    <definedName function="false" hidden="true" localSheetId="7" name="_xlnm._FilterDatabase" vbProcedure="false">'Subsidence &amp; Karst'!$A$1:$G$23</definedName>
    <definedName function="false" hidden="true" localSheetId="2" name="_xlnm._FilterDatabase" vbProcedure="false">'Wind &amp; Tornadoes'!$A$1:$U$76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<sst xmlns="http://schemas.openxmlformats.org/spreadsheetml/2006/main" count="8957" uniqueCount="3775">
  <si>
    <t xml:space="preserve">Regional Climate &amp; Weather Event Register — Catskills / Hudson Valley / Capital Region</t>
  </si>
  <si>
    <t xml:space="preserve">Reference point for the Wind &amp; Tornado sheet: Westerlo, NY hamlet</t>
  </si>
  <si>
    <t xml:space="preserve">Westerlo latitude</t>
  </si>
  <si>
    <t xml:space="preserve">Westerlo longitude</t>
  </si>
  <si>
    <t xml:space="preserve">Search radius (miles)</t>
  </si>
  <si>
    <t xml:space="preserve">Radius note: the 30-mile radius applies ONLY to the Wind &amp; Tornado sheet (localized, small-footprint events). Regional hazards — floods, ice jams, droughts, cold waves, blizzards, heat waves — are NOT radius-limited; they are included wherever they affected the Catskills, Hudson Valley, Mohawk Valley or Capital Region. The CRREL ice-jam sheet uses a 75-mile regional footprint with its own Dist. column.</t>
  </si>
  <si>
    <t xml:space="preserve">Sheets</t>
  </si>
  <si>
    <t xml:space="preserve">Events</t>
  </si>
  <si>
    <t xml:space="preserve">One row per event. ~150 rows. Sort/filter by Category, Confidence, Verified.</t>
  </si>
  <si>
    <t xml:space="preserve">Wind &amp; Tornadoes</t>
  </si>
  <si>
    <t xml:space="preserve">Every tornado from NCEI (1950–2012 via Tornado Project; 2013+ via NWS ALY surveys/tornadopath) within ~45 mi, plus Grazulis pre-1950 F2+/deadly, plus notable straight-line wind days. Distance from Westerlo is a live haversine formula off the cells above; 'Within radius' flag recalculates if you change the radius.</t>
  </si>
  <si>
    <t xml:space="preserve">Summary</t>
  </si>
  <si>
    <t xml:space="preserve">COUNTIF roll-ups by category, confidence and century; tornado counts by rating and within-radius.</t>
  </si>
  <si>
    <t xml:space="preserve">Sources</t>
  </si>
  <si>
    <t xml:space="preserve">Primary sources with URLs and what each is good for.</t>
  </si>
  <si>
    <t xml:space="preserve">Confidence grades</t>
  </si>
  <si>
    <t xml:space="preserve">A</t>
  </si>
  <si>
    <t xml:space="preserve">Instrument-era figure taken directly from NWS Albany, NCEI, USGS, or an NWS storm survey this pass.</t>
  </si>
  <si>
    <t xml:space="preserve">B</t>
  </si>
  <si>
    <t xml:space="preserve">Well-documented event; figures from secondary sources or from memory of standard references — check before quoting a number.</t>
  </si>
  <si>
    <t xml:space="preserve">C</t>
  </si>
  <si>
    <t xml:space="preserve">Chronicle/diary-era (pre-~1870) or qualitative; treat as 'it happened and was bad', not as data.</t>
  </si>
  <si>
    <t xml:space="preserve">Verified column</t>
  </si>
  <si>
    <t xml:space="preserve">Y = checked against a primary source during this build (NWS ALY Past Events page, Tornado Project county tables, NCEI, NWS ALY July 2026 writeup). N = not yet checked; these are the rows to work through first.</t>
  </si>
  <si>
    <t xml:space="preserve">Known gaps / to-do</t>
  </si>
  <si>
    <t xml:space="preserve">1</t>
  </si>
  <si>
    <t xml:space="preserve">Pre-1870 growing-season disasters are under-represented; Ludlum and county histories (Beers, Munsell's Annals of Albany) would fill them.</t>
  </si>
  <si>
    <t xml:space="preserve">2</t>
  </si>
  <si>
    <t xml:space="preserve">Albany all-time extremes (104°F Jul 4 1911; –28°F Jan 19 1971) not yet re-checked against weather.gov/media/aly/Climate/ALB_Extremes.pdf.</t>
  </si>
  <si>
    <t xml:space="preserve">3</t>
  </si>
  <si>
    <t xml:space="preserve">Post-2012 tornado coordinates marked 'approx' should be replaced with NCEI begin/end lat-lon.</t>
  </si>
  <si>
    <t xml:space="preserve">4</t>
  </si>
  <si>
    <t xml:space="preserve">April 21, 2021 tornado locations and the July 27, 2014 EF1 location not captured.</t>
  </si>
  <si>
    <t xml:space="preserve">5</t>
  </si>
  <si>
    <t xml:space="preserve">Frost/freeze dates for the Helderberg plateau specifically: pull GHCN daily for the nearest coop (Rensselaerville? Delanson? Albany AP as fallback) rather than trusting valley stations.</t>
  </si>
  <si>
    <t xml:space="preserve">6</t>
  </si>
  <si>
    <t xml:space="preserve">Drought years should be re-graded from the US Drought Monitor archive (2000+) and Palmer indices (pre-2000).</t>
  </si>
  <si>
    <t xml:space="preserve">Timeline anchors</t>
  </si>
  <si>
    <t xml:space="preserve">Columns Q–V on Events give one anchor date per row for plotting. Precision: day = the date is the date; days = anchored to the first (or peak) day of a ≤10-day event; week/month/season/year = a representative point inside a longer window (mid-point unless the basis column says otherwise). Filter on precision when you build the timeline so you don't plot a drought as if it happened on one afternoon.</t>
  </si>
  <si>
    <t xml:space="preserve">Dates before 1900</t>
  </si>
  <si>
    <t xml:space="preserve">Excel cannot store dates before 1900-01-01, so all dates are ISO text and the anchor is split into numeric Year/Month/Day columns — the format TimelineJS and most timeline libraries expect.</t>
  </si>
  <si>
    <t xml:space="preserve">Geohazard rows</t>
  </si>
  <si>
    <t xml:space="preserve">Categories Ice jam, Landslide, Sinkhole (karst vs infrastructure) added. Two rows are context/pattern rows (precision = year) and should be filtered out of a point timeline. Three Niagara rows are flagged OUT OF REGION in the name.</t>
  </si>
  <si>
    <t xml:space="preserve">Cells highlighted yellow are inputs you can change.</t>
  </si>
  <si>
    <t xml:space="preserve">ID</t>
  </si>
  <si>
    <t xml:space="preserve">Start date</t>
  </si>
  <si>
    <t xml:space="preserve">End date</t>
  </si>
  <si>
    <t xml:space="preserve">Year</t>
  </si>
  <si>
    <t xml:space="preserve">Century</t>
  </si>
  <si>
    <t xml:space="preserve">Category</t>
  </si>
  <si>
    <t xml:space="preserve">Event name</t>
  </si>
  <si>
    <t xml:space="preserve">Area affected</t>
  </si>
  <si>
    <t xml:space="preserve">Key measurement</t>
  </si>
  <si>
    <t xml:space="preserve">Station / gauge</t>
  </si>
  <si>
    <t xml:space="preserve">Impact summary</t>
  </si>
  <si>
    <t xml:space="preserve">Primary source</t>
  </si>
  <si>
    <t xml:space="preserve">Source URL</t>
  </si>
  <si>
    <t xml:space="preserve">Confidence</t>
  </si>
  <si>
    <t xml:space="preserve">Verified this pass</t>
  </si>
  <si>
    <t xml:space="preserve">Notes / to-do</t>
  </si>
  <si>
    <t xml:space="preserve">Timeline anchor (ISO)</t>
  </si>
  <si>
    <t xml:space="preserve">Anchor year</t>
  </si>
  <si>
    <t xml:space="preserve">Anchor month</t>
  </si>
  <si>
    <t xml:space="preserve">Anchor day</t>
  </si>
  <si>
    <t xml:space="preserve">Date precision</t>
  </si>
  <si>
    <t xml:space="preserve">Anchor basis</t>
  </si>
  <si>
    <t xml:space="preserve">1635-08-25</t>
  </si>
  <si>
    <t xml:space="preserve">Tropical cyclone</t>
  </si>
  <si>
    <t xml:space="preserve">The Great Colonial Hurricane of 1635</t>
  </si>
  <si>
    <t xml:space="preserve">New England; track inland over W. New England / NY State</t>
  </si>
  <si>
    <t xml:space="preserve">Trough of low pressure over W. New England or NY State drove the storm north; forests leveled, hundreds of thousands of trees down</t>
  </si>
  <si>
    <t xml:space="preserve">Winthrop &amp; Bradford diaries via Ludlum</t>
  </si>
  <si>
    <t xml:space="preserve">The greatest NE hurricane of the colonial period; Mather inferred a well-established low-pressure trough over western New England or NY State. Aug 15 Old Style = Aug 25 New Style.</t>
  </si>
  <si>
    <t xml:space="preserve">Ludlum, Early American Hurricanes 1492–1870 (AMS, 1963), pp. 8–23 (verified, page images/text)</t>
  </si>
  <si>
    <t xml:space="preserve">https://hdl.handle.net/2027/mdp.39015002912718</t>
  </si>
  <si>
    <t xml:space="preserve">Y</t>
  </si>
  <si>
    <t xml:space="preserve">Track inland of NY State inferred, not observed at Albany; included as the regional-scale storm-of-record for the 17th c.</t>
  </si>
  <si>
    <t xml:space="preserve">day</t>
  </si>
  <si>
    <t xml:space="preserve">Single-day event</t>
  </si>
  <si>
    <t xml:space="preserve">1645-11-25</t>
  </si>
  <si>
    <t xml:space="preserve">Early freeze</t>
  </si>
  <si>
    <t xml:space="preserve">Hudson closed at Rensselaerwyck, Nov 25, 1645</t>
  </si>
  <si>
    <t xml:space="preserve">Albany (Rensselaerwyck)</t>
  </si>
  <si>
    <t xml:space="preserve">North River closed Nov 25 'and remained frozen very late'</t>
  </si>
  <si>
    <t xml:space="preserve">Van der Donck, Description of New Netherland (1656) via Ludlum p. 28</t>
  </si>
  <si>
    <t xml:space="preserve">Earliest dated weather observation for the Albany area in the register; van der Donck notes winters above the Highlands begin earlier and last longer than at New Amsterdam.</t>
  </si>
  <si>
    <t xml:space="preserve">Ludlum, Early American Winters I (page screenshots, verified)</t>
  </si>
  <si>
    <t xml:space="preserve">Old Style date as given.</t>
  </si>
  <si>
    <t xml:space="preserve">1667-08-27</t>
  </si>
  <si>
    <t xml:space="preserve">The Dreadful Hurry Cane of 1667</t>
  </si>
  <si>
    <t xml:space="preserve">Virginia; track inland over the Middle Atlantic; Manhattan Aug 29</t>
  </si>
  <si>
    <t xml:space="preserve">Severe storm at Manhattan Aug 29 (Stokes, Iconography); center inland over N. Virginia then up the seaboard</t>
  </si>
  <si>
    <t xml:space="preserve">Strange News from Virginia (1667) via Ludlum</t>
  </si>
  <si>
    <t xml:space="preserve">Reached Manhattan; the northern edge likely brushed the lower Hudson. 12 days of rain and flooding followed in VA.</t>
  </si>
  <si>
    <t xml:space="preserve">N</t>
  </si>
  <si>
    <t xml:space="preserve">Manhattan hit confirmed; Hudson Valley extent inferred.</t>
  </si>
  <si>
    <t xml:space="preserve">1683-08-23</t>
  </si>
  <si>
    <t xml:space="preserve">Tropical cyclone / flood</t>
  </si>
  <si>
    <t xml:space="preserve">Hurricane and Connecticut Valley flood of 1683</t>
  </si>
  <si>
    <t xml:space="preserve">Connecticut Valley / Long Island Sound</t>
  </si>
  <si>
    <t xml:space="preserve">Connecticut River rose 26 ft at Wethersfield (Aug 13 Old Style); four river towns (Windsor, Hartford, Wethersfield, Middletown) devastated; corn destroyed</t>
  </si>
  <si>
    <t xml:space="preserve">Increase Mather, Remarkable Providences (1684) via Ludlum</t>
  </si>
  <si>
    <t xml:space="preserve">Major Connecticut Valley freshet from a hurricane; the closest 17th-c. flood to the register's eastern edge.</t>
  </si>
  <si>
    <t xml:space="preserve">CT Valley, ~east of the register core; Aug 13 O.S. = Aug 23 N.S.</t>
  </si>
  <si>
    <t xml:space="preserve">1697-12-01</t>
  </si>
  <si>
    <t xml:space="preserve">1698-04-15</t>
  </si>
  <si>
    <t xml:space="preserve">Cold winter</t>
  </si>
  <si>
    <t xml:space="preserve">Severest winter in memory, 1697–98</t>
  </si>
  <si>
    <t xml:space="preserve">Albany / Schenectady / New England</t>
  </si>
  <si>
    <t xml:space="preserve">Snow 'deeper than the height of a man'; 26 snows at Dorchester</t>
  </si>
  <si>
    <t xml:space="preserve">Earl of Bellomont to Board of Trade, 28 Oct 1698, via Ludlum p. 18</t>
  </si>
  <si>
    <t xml:space="preserve">Bellomont: had the winter not been so severe 'the French would certainly have destroyed both Albany and Schenectady' – a planned invasion on 1,500 pairs of snowshoes from Montreal was abandoned. Peter Kalm 50 years later: everyone still called it the coldest ever felt.</t>
  </si>
  <si>
    <t xml:space="preserve">Season row; a military-history cross-reference for the Hilltowns.</t>
  </si>
  <si>
    <t xml:space="preserve">1698-02-15</t>
  </si>
  <si>
    <t xml:space="preserve">season</t>
  </si>
  <si>
    <t xml:space="preserve">Mid-winter; Bellomont letter gives no days</t>
  </si>
  <si>
    <t xml:space="preserve">1705-12-30</t>
  </si>
  <si>
    <t xml:space="preserve">1706-01-02</t>
  </si>
  <si>
    <t xml:space="preserve">Arctic outbreak / river ice</t>
  </si>
  <si>
    <t xml:space="preserve">Christmas 1705 cold wave – Hudson frozen at NYC</t>
  </si>
  <si>
    <t xml:space="preserve">NYC / lower Hudson</t>
  </si>
  <si>
    <t xml:space="preserve">'Coldest that was ever felt here'; Hudson froze over completely and stayed fast several days; severest cold lasted 3 days</t>
  </si>
  <si>
    <t xml:space="preserve">Boston News-Letter 21 Jan 1706 via Ludlum pp. 42, 77</t>
  </si>
  <si>
    <t xml:space="preserve">Sloop-of-war grounded off Sandy Hook; 132 crew froze to death.</t>
  </si>
  <si>
    <t xml:space="preserve">Onset Dec 30 New Style (= Christmas Old Style).</t>
  </si>
  <si>
    <t xml:space="preserve">days</t>
  </si>
  <si>
    <t xml:space="preserve">Multi-day event; anchored to first day</t>
  </si>
  <si>
    <t xml:space="preserve">1706-10-14</t>
  </si>
  <si>
    <t xml:space="preserve">1706-10-16</t>
  </si>
  <si>
    <t xml:space="preserve">Rain flood</t>
  </si>
  <si>
    <t xml:space="preserve">October 1706 flood at Albany</t>
  </si>
  <si>
    <t xml:space="preserve">Albany / Rensselaer / Connecticut Valley</t>
  </si>
  <si>
    <t xml:space="preserve">'The greatest Flood there that ever was known'; Rensselaers Island 6 ft under water, low lands drowned (Boston News-Letter 28 Oct 1706); CT River flood, ~1000 loads of hay lost</t>
  </si>
  <si>
    <t xml:space="preserve">Boston News-Letter, 28 Oct 1706, via Ludlum p. 20</t>
  </si>
  <si>
    <t xml:space="preserve">A DIRECT Albany flood record: mid-October 1706 rain + a hard gale caused the greatest flood then known at Albany. Rare early instrumental-adjacent Albany event.</t>
  </si>
  <si>
    <t xml:space="preserve">Genuine Albany flood-of-record notice for its time; the standout row from this batch.</t>
  </si>
  <si>
    <t xml:space="preserve">Rain Oct 14–16; anchored to first day</t>
  </si>
  <si>
    <t xml:space="preserve">1717-02-27</t>
  </si>
  <si>
    <t xml:space="preserve">1717-03-07</t>
  </si>
  <si>
    <t xml:space="preserve">Snowstorm</t>
  </si>
  <si>
    <t xml:space="preserve">The Great Snow of 1717</t>
  </si>
  <si>
    <t xml:space="preserve">New England / Hudson Valley (Philadelphia 'a great snow')</t>
  </si>
  <si>
    <t xml:space="preserve">Four storms: Feb 27, Mar 1, Mar 4 ('4 foot deep in ye woods on a level', drifts 10–12 ft), Mar 7; cattle and horses dead in the storm</t>
  </si>
  <si>
    <t xml:space="preserve">Hempstead diary (New London), Sewall, Mather via Ludlum pp. 42–43</t>
  </si>
  <si>
    <t xml:space="preserve">Northeasters that also reached Philadelphia (river full of ice); no Albany-specific report in Ludlum.</t>
  </si>
  <si>
    <t xml:space="preserve">Hudson Valley depth not documented – Annals of Albany may have it.</t>
  </si>
  <si>
    <t xml:space="preserve">Final and heaviest storm of the series</t>
  </si>
  <si>
    <t xml:space="preserve">1740-11-15</t>
  </si>
  <si>
    <t xml:space="preserve">1741-04-15</t>
  </si>
  <si>
    <t xml:space="preserve">Hard Winter of 1740–41</t>
  </si>
  <si>
    <t xml:space="preserve">Hudson Valley / New England</t>
  </si>
  <si>
    <t xml:space="preserve">Hudson at NYC shut to navigation twice: after the storm of Dec 28, 1740 until Jan 21, 1741, and again the 2nd–3rd weeks of Feb 1741; Stiles estimated ~−8°F; 27–30 distinct snows; snow 3 ft on the level at Newbury Mar 17; ice held to mid-April</t>
  </si>
  <si>
    <t xml:space="preserve">Ludlum pp. 50–53 (Hempstead diary, Coffin, Boston News-Letter)</t>
  </si>
  <si>
    <t xml:space="preserve">Winter set in Nov 15 (Newbury); Dec 3 rain for three weeks → biggest CT River flood in 50 years; mid-December 'prodigious storm' with eaves not dripping for 30 days; half the cattle, horses and 2/3 of goats died of scarcity in Connecticut.</t>
  </si>
  <si>
    <t xml:space="preserve">Now day-anchored. Stiles (1780) judged 1780 snowier than 1740/41.</t>
  </si>
  <si>
    <t xml:space="preserve">1740-12-28</t>
  </si>
  <si>
    <t xml:space="preserve">Storm that closed the Hudson at NYC</t>
  </si>
  <si>
    <t xml:space="preserve">1741-02-08</t>
  </si>
  <si>
    <t xml:space="preserve">1741-02-09</t>
  </si>
  <si>
    <t xml:space="preserve">Nor'easter</t>
  </si>
  <si>
    <t xml:space="preserve">Great NE storm of Feb 8–9, 1741</t>
  </si>
  <si>
    <t xml:space="preserve">Boston / New England</t>
  </si>
  <si>
    <t xml:space="preserve">'Snow higher than has been known since the vast snow of Feb 19, 1716/17' (Boston News-Letter)</t>
  </si>
  <si>
    <t xml:space="preserve">Ludlum p. 50</t>
  </si>
  <si>
    <t xml:space="preserve">One of two February 1741 storms singled out by the press.</t>
  </si>
  <si>
    <t xml:space="preserve">Hudson Valley extent not stated.</t>
  </si>
  <si>
    <t xml:space="preserve">1741-04-01</t>
  </si>
  <si>
    <t xml:space="preserve">River ice (late)</t>
  </si>
  <si>
    <t xml:space="preserve">Hudson at Esopus bearing loaded teams, April 1, 1741</t>
  </si>
  <si>
    <t xml:space="preserve">Kingston (Esopus)</t>
  </si>
  <si>
    <t xml:space="preserve">Loaded teams crossed the Hudson on the ice Apr 1; CT River crossed on horseback Apr 11</t>
  </si>
  <si>
    <t xml:space="preserve">Ludlum p. 52</t>
  </si>
  <si>
    <t xml:space="preserve">Latest documented heavy-load ice crossing of the Hudson in the register; sleighs at Deerfield to Apr 10.</t>
  </si>
  <si>
    <t xml:space="preserve">Directly relevant to Hudson Valley ice phenology.</t>
  </si>
  <si>
    <t xml:space="preserve">1764-12-25</t>
  </si>
  <si>
    <t xml:space="preserve">1764-12-26</t>
  </si>
  <si>
    <t xml:space="preserve">Coastal storm</t>
  </si>
  <si>
    <t xml:space="preserve">Christmas Night storm of 1764</t>
  </si>
  <si>
    <t xml:space="preserve">Entire Atlantic coast incl. NYC</t>
  </si>
  <si>
    <t xml:space="preserve">Began ~2000 Dec 25, snow → rain; Philadelphia 'violent windstorm and snow'; NYC strong wind and much snow</t>
  </si>
  <si>
    <t xml:space="preserve">Ludlum pp. 60–61</t>
  </si>
  <si>
    <t xml:space="preserve">Opened the severe winter of 1764–65, 'snowiest since 1748, coldest since 1741'; Delaware clogged with ice.</t>
  </si>
  <si>
    <t xml:space="preserve">1765-01-26</t>
  </si>
  <si>
    <t xml:space="preserve">1765-01-28</t>
  </si>
  <si>
    <t xml:space="preserve">January 1765 deep freeze – Hudson nearly solid at NYC</t>
  </si>
  <si>
    <t xml:space="preserve">Kings College thermometer at or below zero 57 hours until 1400 Jan 28, est. low −6°F; Hudson froze 'almost solid' to the Jersey shore; NYC Feb 11: 'six weeks in Greenland, ground covered near three feet'</t>
  </si>
  <si>
    <t xml:space="preserve">Ludlum p. 61 (Watts letter book)</t>
  </si>
  <si>
    <t xml:space="preserve">Longest sub-zero spell in NYC history if authentic; a traveller walking to Jersey fell through 350 yd from shore.</t>
  </si>
  <si>
    <t xml:space="preserve">1769-09-08</t>
  </si>
  <si>
    <t xml:space="preserve">September 1769 hurricane – NYC &amp; Hudson Valley</t>
  </si>
  <si>
    <t xml:space="preserve">NYC / New Brunswick NJ / lower Hudson</t>
  </si>
  <si>
    <t xml:space="preserve">NYC swept by a violent NE gale continuing past 2000, trees torn up and corn damaged; New Brunswick NJ severe (trees down, bridges carried away)</t>
  </si>
  <si>
    <t xml:space="preserve">Ludlum p. 25 (Va. Gaz. &amp; press)</t>
  </si>
  <si>
    <t xml:space="preserve">Center tracked up Chesapeake Bay and through eastern PA; the NE edge raked NYC and the lower Hudson.</t>
  </si>
  <si>
    <t xml:space="preserve">Ludlum, Early American Hurricanes 1492–1870 (AMS, 1963), pp. 24–40 (verified, page images)</t>
  </si>
  <si>
    <t xml:space="preserve">NYC hit confirmed; upper-Hudson extent not documented.</t>
  </si>
  <si>
    <t xml:space="preserve">1775-09-03</t>
  </si>
  <si>
    <t xml:space="preserve">The Independence Hurricane of 1775</t>
  </si>
  <si>
    <t xml:space="preserve">Chesapeake / eastern PA; NE edge to NY</t>
  </si>
  <si>
    <t xml:space="preserve">Deadliest colonial hurricane (NC to Newfoundland); center up Chesapeake Bay then eastern PA (Hazel-1954 analog)</t>
  </si>
  <si>
    <t xml:space="preserve">Ludlum pp. 26–27</t>
  </si>
  <si>
    <t xml:space="preserve">Track inland; the register keeps it as a major regional-adjacent storm. NY-specific damage not documented in these pages.</t>
  </si>
  <si>
    <t xml:space="preserve">Included for scale; no direct NY report.</t>
  </si>
  <si>
    <t xml:space="preserve">1775-12-24</t>
  </si>
  <si>
    <t xml:space="preserve">Christmas Eve snowstorm 1775 – Knox's cannon train</t>
  </si>
  <si>
    <t xml:space="preserve">Albany / upper Hudson</t>
  </si>
  <si>
    <t xml:space="preserve">Knox reported a snowfall of two feet by Christmas Day; extreme cold and NW wind Dec 21; same storm system as the Carolina 'Snow Campaign' of Dec 23–25</t>
  </si>
  <si>
    <t xml:space="preserve">Ludlum pp. 96, 147 (Knox letters)</t>
  </si>
  <si>
    <t xml:space="preserve">Knox sledded Ticonderoga's guns south along the Hudson; needed to cross the river four times between Lake George and Albany.</t>
  </si>
  <si>
    <t xml:space="preserve">1776-01-05</t>
  </si>
  <si>
    <t xml:space="preserve">1776-01-10</t>
  </si>
  <si>
    <t xml:space="preserve">Thaw then freeze</t>
  </si>
  <si>
    <t xml:space="preserve">January 1776 thaw at Albany – Knox delayed, then Hudson bears the guns</t>
  </si>
  <si>
    <t xml:space="preserve">Albany / Claverack</t>
  </si>
  <si>
    <t xml:space="preserve">Jan 5: 'a cruel thaw hinders from crossing the Hudson'; near-continuous freezing from Jan 10 let the caravan cross and move east via Claverack over the Berkshires (Route 23)</t>
  </si>
  <si>
    <t xml:space="preserve">Ludlum pp. 96–97 (Knox to Washington, 5 Jan 1776)</t>
  </si>
  <si>
    <t xml:space="preserve">Framingham reached Jan 25; the artillery drove the British out of Boston Mar 17.</t>
  </si>
  <si>
    <t xml:space="preserve">1780-01-02</t>
  </si>
  <si>
    <t xml:space="preserve">1780-01-04</t>
  </si>
  <si>
    <t xml:space="preserve">Blizzard</t>
  </si>
  <si>
    <t xml:space="preserve">Great Snowstorm of January 1780 (Hard Winter)</t>
  </si>
  <si>
    <t xml:space="preserve">NJ / Hudson Valley / New England</t>
  </si>
  <si>
    <t xml:space="preserve">12 in at New Haven Jan 2–3 (Atwater); Washington Jan 6: 'eighteen inches, much drifted, roads impassable'; 42–48 in on the ground in S. CT after the 10-day series; drifts 6–12 ft</t>
  </si>
  <si>
    <t xml:space="preserve">Ludlum pp. 114–115</t>
  </si>
  <si>
    <t xml:space="preserve">Second of three great storms (Dec 27–28, Jan 2–3, Jan 10); Stiles: more snow than the hard winter of 1740/41.</t>
  </si>
  <si>
    <t xml:space="preserve">https://www.nps.gov/morr/learn/historyculture/hard-winter-news.htm</t>
  </si>
  <si>
    <t xml:space="preserve">Ludlum: Jan 1780 = most persistently cold month in eastern US history.</t>
  </si>
  <si>
    <t xml:space="preserve">1780-01-07</t>
  </si>
  <si>
    <t xml:space="preserve">1780-02-21</t>
  </si>
  <si>
    <t xml:space="preserve">Hard Winter of 1779–80 – Hudson and harbor frozen</t>
  </si>
  <si>
    <t xml:space="preserve">Hudson Valley / NY Harbor</t>
  </si>
  <si>
    <t xml:space="preserve">Navigation stopped by ice Jan 7; East River on foot by Jan 14; Hudson on foot Jan 16–20; Staten Island→Manhattan on foot Jan 29; sleighs Feb 1; 86 sleighs with provisions Feb 6; thaw began Feb 11; ice rotting Feb 15; boats through the Narrows Feb 20, docks Feb 21</t>
  </si>
  <si>
    <t xml:space="preserve">Hugh Gaine diary via Ludlum p. 115; Smith &amp; Dohla diaries</t>
  </si>
  <si>
    <t xml:space="preserve">Only winter on record with NY waters closed to navigation for weeks; cannon dragged across to Staten Island.</t>
  </si>
  <si>
    <t xml:space="preserve">Day-level chronology now complete for NYC; no Albany-specific dates yet.</t>
  </si>
  <si>
    <t xml:space="preserve">1780-01-16</t>
  </si>
  <si>
    <t xml:space="preserve">Hudson first walked across at NYC (William Smith diary)</t>
  </si>
  <si>
    <t xml:space="preserve">1780-01-29</t>
  </si>
  <si>
    <t xml:space="preserve">Arctic outbreak</t>
  </si>
  <si>
    <t xml:space="preserve">Nadir of the Hard Winter – Jan 29, 1780</t>
  </si>
  <si>
    <t xml:space="preserve">Northeast</t>
  </si>
  <si>
    <t xml:space="preserve">Sunrise: Hartford −20°F (some sources −22°), Salem −17°F, NYC −16°F (unverified), ALBANY −20°F (Stiles, date not given)</t>
  </si>
  <si>
    <t xml:space="preserve">Ludlum pp. 79, 115 (Hartford sunrise table; Stiles register)</t>
  </si>
  <si>
    <t xml:space="preserve">Coldest morning of the coldest month on record; five consecutive sub-zero sunrises at Hartford Jan 25–29.</t>
  </si>
  <si>
    <t xml:space="preserve">1780-11-01</t>
  </si>
  <si>
    <t xml:space="preserve">1780-11-11</t>
  </si>
  <si>
    <t xml:space="preserve">Early freeze-up of the Hudson at Albany, Nov 1780</t>
  </si>
  <si>
    <t xml:space="preserve">Albany / Middle States</t>
  </si>
  <si>
    <t xml:space="preserve">Deep snow Nov 1 over the Middle States; Hudson frozen at Albany Nov 11 – 'an unusually early date'</t>
  </si>
  <si>
    <t xml:space="preserve">Ludlum p. 134 (E. Stiles diary)</t>
  </si>
  <si>
    <t xml:space="preserve">Earliest documented freeze-up of the Hudson at Albany in the register.</t>
  </si>
  <si>
    <t xml:space="preserve">Freeze-up date at Albany</t>
  </si>
  <si>
    <t xml:space="preserve">1781-01-22</t>
  </si>
  <si>
    <t xml:space="preserve">1781-01-23</t>
  </si>
  <si>
    <t xml:space="preserve">Coastal storm / wind</t>
  </si>
  <si>
    <t xml:space="preserve">Great coastal storm of January 1781</t>
  </si>
  <si>
    <t xml:space="preserve">NYC / Hudson Valley / New England</t>
  </si>
  <si>
    <t xml:space="preserve">NYC: heavy rain then snow, ~9 in; chimneys and trees blown down, people killed by falling chimneys; 'severest that has been felt here for many years'</t>
  </si>
  <si>
    <t xml:space="preserve">Ludlum pp. 134–135 (F. Mackenzie diary)</t>
  </si>
  <si>
    <t xml:space="preserve">Four naval vessels wrecked at Gardiners Island; 74-gun ship lost at Newport; prodigious inland snow (8 ft on the level claimed in NE Connecticut, unconfirmed).</t>
  </si>
  <si>
    <t xml:space="preserve">1783-10-18</t>
  </si>
  <si>
    <t xml:space="preserve">1783-10-19</t>
  </si>
  <si>
    <t xml:space="preserve">Tropical remnant / snow / flood</t>
  </si>
  <si>
    <t xml:space="preserve">October 1783 storms – NY &amp; New England</t>
  </si>
  <si>
    <t xml:space="preserve">New Brunswick NJ / New Haven / Goshen CT / VT</t>
  </si>
  <si>
    <t xml:space="preserve">2nd of the Oct 1783 storms: mid-Oct snowfall to the shores of LI Sound; snow in Goshen CT and adjacent towns; VT height-of-land 6–8 in; Windsor VT 'greatest flood ever known since settlement' Oct 22</t>
  </si>
  <si>
    <t xml:space="preserve">Ludlum p. 29 (Penna. papers, Vt. Journal)</t>
  </si>
  <si>
    <t xml:space="preserve">A cold-air-charged coastal storm that put snow on the CT Valley hills and caused the worst VT flood to that date; the Helderbergs likely saw the same snow.</t>
  </si>
  <si>
    <t xml:space="preserve">Snow reached LI Sound hills; western extent (Helderbergs) inferred.</t>
  </si>
  <si>
    <t xml:space="preserve">Second storm Oct 18–19; anchored to first day</t>
  </si>
  <si>
    <t xml:space="preserve">1783-12-30</t>
  </si>
  <si>
    <t xml:space="preserve">1783-12-31</t>
  </si>
  <si>
    <t xml:space="preserve">Year-end storm of 1783 (Long Winter)</t>
  </si>
  <si>
    <t xml:space="preserve">NJ / NYC / Hudson Valley</t>
  </si>
  <si>
    <t xml:space="preserve">20 in at Morristown Dec 30–31 'almost the same date as four years earlier'; Trappe PA 'uncommonly deep'</t>
  </si>
  <si>
    <t xml:space="preserve">Ludlum p. 65 (Joseph Lewis diary)</t>
  </si>
  <si>
    <t xml:space="preserve">Opened the Long Winter of 1783–84; greatest seasonal snowfall known in northern NJ.</t>
  </si>
  <si>
    <t xml:space="preserve">1784-02-10</t>
  </si>
  <si>
    <t xml:space="preserve">1784-02-17</t>
  </si>
  <si>
    <t xml:space="preserve">February 1784 cold – the Long Winter</t>
  </si>
  <si>
    <t xml:space="preserve">Interior New England / NYC</t>
  </si>
  <si>
    <t xml:space="preserve">Hartford ≤ −12°F on 8 consecutive mornings Feb 10–17 (−20° Feb 14); New Haven −10° Feb 10; the Narrows choked with ice; Baltimore closed Jan 2–Mar 25, 16 days longer than 1780</t>
  </si>
  <si>
    <t xml:space="preserve">Ludlum p. 65 (Webster / Amer. Jour. Sci.)</t>
  </si>
  <si>
    <t xml:space="preserve">Longest spell of sub-zero readings on record in southern New England; 1784 remembered by mariners as their toughest ice season.</t>
  </si>
  <si>
    <t xml:space="preserve">Albany value not given; likely colder.</t>
  </si>
  <si>
    <t xml:space="preserve">1788-08-19</t>
  </si>
  <si>
    <t xml:space="preserve">Tropical cyclone / severe wind</t>
  </si>
  <si>
    <t xml:space="preserve">The Hurricane of August 19, 1788 – over the Hudson Highlands</t>
  </si>
  <si>
    <t xml:space="preserve">Hudson River highlands (Bear Mtn) / Berkshires / Hillsdale, Columbia Co. / Hudson / Poughkeepsie</t>
  </si>
  <si>
    <t xml:space="preserve">Small, fast (~45 mph) intense storm; ~50-mi-wide path of 75+ mph winds tracked over the Hudson River highlands near Bear Mountain into the Berkshires; Hillsdale NY first-hand account of a violent NW hurricane, streams to torrents, pines crushing houses; Poughkeepsie oaks down, creeks took bridges; Hudson 48-hr flood, mills carried off between Hudson and Albany</t>
  </si>
  <si>
    <t xml:space="preserve">Ludlum pp. 30–34 (Hudson Weekly Gazette, Country Journal, Daily Adv.)</t>
  </si>
  <si>
    <t xml:space="preserve">The most directly relevant early storm in the whole volume: its damage swath ran up the Hudson through Columbia and Dutchess counties. Reached to within the register's core. Ludlum debates hurricane vs. tornado vs. squall line and concludes hurricane.</t>
  </si>
  <si>
    <t xml:space="preserve">Hillsdale (Columbia Co.) is ~20 mi from Westerlo; Hudson &amp; Poughkeepsie flooding documented. Standout row from this batch.</t>
  </si>
  <si>
    <t xml:space="preserve">1789-01-30</t>
  </si>
  <si>
    <t xml:space="preserve">1789-02-02</t>
  </si>
  <si>
    <t xml:space="preserve">February 2, 1789 – Albany's earliest instrumental extreme</t>
  </si>
  <si>
    <t xml:space="preserve">Albany / Hartford / New Haven</t>
  </si>
  <si>
    <t xml:space="preserve">Albany −24°F Feb 2, 'colder by 6° than ever known' (weather book at the museum opposite Denniston's tavern, Green Street); Hartford −28°F, 4° below anything known; snow half a foot Jan 30</t>
  </si>
  <si>
    <t xml:space="preserve">The Annual Register (Albany, 1849) p. 329, via Ludlum p. 79</t>
  </si>
  <si>
    <t xml:space="preserve">Earliest dated thermometer reading for Albany in the register; Stiles notes it as one of three notable cold days of his lifetime (Feb 5).</t>
  </si>
  <si>
    <t xml:space="preserve">Albany had a thermometer by Jan 1772. NB: the 42-year freeze notice (Amer. Quar. Jour. 1845) is headed 'From the Albany Daily Advertiser', not the New York Daily Advertiser as Ludlum's footnote says.</t>
  </si>
  <si>
    <t xml:space="preserve">1795-08-03</t>
  </si>
  <si>
    <t xml:space="preserve">August 1795 storm – NYC fringe</t>
  </si>
  <si>
    <t xml:space="preserve">Henry Laight, NYC: 'a very heavy gale of wind and a great deal of rain from the East' Aug 3</t>
  </si>
  <si>
    <t xml:space="preserve">Ludlum p. 34 (Laight Ms.)</t>
  </si>
  <si>
    <t xml:space="preserve">Twin NC hurricanes; only the northern fringe reached NYC. Minor for the region.</t>
  </si>
  <si>
    <t xml:space="preserve">NYC fringe only.</t>
  </si>
  <si>
    <t xml:space="preserve">1796-11-28</t>
  </si>
  <si>
    <t xml:space="preserve">1797-01-12</t>
  </si>
  <si>
    <t xml:space="preserve">Early severe winter 1796–97</t>
  </si>
  <si>
    <t xml:space="preserve">Albany</t>
  </si>
  <si>
    <t xml:space="preserve">River closed Nov 28; intensely cold Dec 23–24, mercury at zero AM</t>
  </si>
  <si>
    <t xml:space="preserve">Albany freeze notice</t>
  </si>
  <si>
    <t xml:space="preserve">Early hard winter, severe to mid-January.</t>
  </si>
  <si>
    <t xml:space="preserve">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</si>
  <si>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https://archive.org/details/americanquarterl00slsn</t>
  </si>
  <si>
    <t xml:space="preserve">1796-12-20</t>
  </si>
  <si>
    <t xml:space="preserve">month</t>
  </si>
  <si>
    <t xml:space="preserve">Anchored to mid-point of a multi-week window</t>
  </si>
  <si>
    <t xml:space="preserve">1797-11-23</t>
  </si>
  <si>
    <t xml:space="preserve">1798-02-28</t>
  </si>
  <si>
    <t xml:space="preserve">Long severe winter 1797–98</t>
  </si>
  <si>
    <t xml:space="preserve">River closed Nov 23; lowest 2°F above zero</t>
  </si>
  <si>
    <t xml:space="preserve">Very early, long and severe; brief January thaw.</t>
  </si>
  <si>
    <t xml:space="preserve">1798-01-10</t>
  </si>
  <si>
    <t xml:space="preserve">Anchored to mid-point of a season-scale window</t>
  </si>
  <si>
    <t xml:space="preserve">1800-01-01</t>
  </si>
  <si>
    <t xml:space="preserve">2026-12-31</t>
  </si>
  <si>
    <t xml:space="preserve">Sinkhole / karst</t>
  </si>
  <si>
    <t xml:space="preserve">Helderberg–Cobleskill karst (standing hazard)</t>
  </si>
  <si>
    <t xml:space="preserve">Knox, Berne, Clarksville, Cobleskill plateau</t>
  </si>
  <si>
    <t xml:space="preserve">Largest karst drainage in the Northeast; Cobleskill Creek loses most flow underground where it crosses the Coeymans Limestone</t>
  </si>
  <si>
    <t xml:space="preserve">none</t>
  </si>
  <si>
    <t xml:space="preserve">Context row: sinkholes and swallets are a permanent feature of the plateau; discrete collapse events are rarely reported.</t>
  </si>
  <si>
    <t xml:space="preserve">NYSGA 1991 field guide</t>
  </si>
  <si>
    <t xml:space="preserve">https://www.nysga-online.org/wp-content/uploads/2019/06/NYSGA-1991-A6-Interaction-Between-Karst-and-Glaciation-in-the-Helderberg-Plateau-Schoharie-and-Albany-Counties-New-York.pdf</t>
  </si>
  <si>
    <t xml:space="preserve">Context row, not an event.</t>
  </si>
  <si>
    <t xml:space="preserve">1975-05-15</t>
  </si>
  <si>
    <t xml:space="preserve">year</t>
  </si>
  <si>
    <t xml:space="preserve">Context row – do not plot as a point</t>
  </si>
  <si>
    <t xml:space="preserve">1801-12-01</t>
  </si>
  <si>
    <t xml:space="preserve">1802-01-31</t>
  </si>
  <si>
    <t xml:space="preserve">Mild winter</t>
  </si>
  <si>
    <t xml:space="preserve">Open winter of 1801–02</t>
  </si>
  <si>
    <t xml:space="preserve">Albany / New Haven</t>
  </si>
  <si>
    <t xml:space="preserve">At Albany no ice on the Hudson strong enough to bear a team; only 1.25 in snow Dec–Jan; violets blooming at New Haven in January</t>
  </si>
  <si>
    <t xml:space="preserve">Ludlum p. 165</t>
  </si>
  <si>
    <t xml:space="preserve">Least wintry season since the Revolution – a useful counter-example for the timeline.</t>
  </si>
  <si>
    <t xml:space="preserve">1802-01-15</t>
  </si>
  <si>
    <t xml:space="preserve">Mid-winter; counter-example row</t>
  </si>
  <si>
    <t xml:space="preserve">1802-02-22</t>
  </si>
  <si>
    <t xml:space="preserve">1802-02-24</t>
  </si>
  <si>
    <t xml:space="preserve">Great coastal storm and deep snow of Feb 1802</t>
  </si>
  <si>
    <t xml:space="preserve">Snow reached Poughkeepsie 0400 and Albany just before daybreak Feb 22; 4+ ft at Rutland MA, 3.5 ft at Worcester; drifts 6–10 ft at Portsmouth</t>
  </si>
  <si>
    <t xml:space="preserve">Ludlum pp. 165–166 (Annals of Albany 3, 319)</t>
  </si>
  <si>
    <t xml:space="preserve">Dwight rated it equal to the 1717 storms; three East-Indiamen wrecked at Cape Cod, 9 dead.</t>
  </si>
  <si>
    <t xml:space="preserve">Albany depth not given – Annals of Albany vol. 3 p. 319 has it.</t>
  </si>
  <si>
    <t xml:space="preserve">1803-05-06</t>
  </si>
  <si>
    <t xml:space="preserve">1803-05-08</t>
  </si>
  <si>
    <t xml:space="preserve">Late-season snow / frost</t>
  </si>
  <si>
    <t xml:space="preserve">May 1803 snow and frost</t>
  </si>
  <si>
    <t xml:space="preserve">Hudson (Columbia Co.) / Poughkeepsie / cut-off near Albany</t>
  </si>
  <si>
    <t xml:space="preserve">Hudson: severe frost Fri night May 6, 'considerable fall of snow' Sun May 8; Poughkeepsie: several inches, sleighs in the streets; snow canopy did not reach northern NY</t>
  </si>
  <si>
    <t xml:space="preserve">Ludlum p. 167 (The Balance, Hudson, 10 May 1803)</t>
  </si>
  <si>
    <t xml:space="preserve">First measurable May snow at seaboard locations since 1774; trees in leaf, apple in blossom.</t>
  </si>
  <si>
    <t xml:space="preserve">Cut-off line 'close to Albany' – Helderbergs almost certainly had snow.</t>
  </si>
  <si>
    <t xml:space="preserve">1804-02-23</t>
  </si>
  <si>
    <t xml:space="preserve">1804-03-05</t>
  </si>
  <si>
    <t xml:space="preserve">Snowstorms</t>
  </si>
  <si>
    <t xml:space="preserve">Three snowstorms in one week – late winter 1804</t>
  </si>
  <si>
    <t xml:space="preserve">Hudson Valley / Albany / New England</t>
  </si>
  <si>
    <t xml:space="preserve">Around Albany snow lay 3 ft on the level March 5; Hudson (Balance): average depth 'upwards of two feet' after the Fri Mar 2 storm; three mails overdue from NYC</t>
  </si>
  <si>
    <t xml:space="preserve">Ludlum pp. 168–169 (Annals of Albany 3, 327; Hudson Balance 6 Mar 1804)</t>
  </si>
  <si>
    <t xml:space="preserve">'More snow than since 1780'; fodder scarce after the previous summer's drought and many cattle died in the interior.</t>
  </si>
  <si>
    <t xml:space="preserve">1804-03-02</t>
  </si>
  <si>
    <t xml:space="preserve">Friday storm reported by the Hudson Balance</t>
  </si>
  <si>
    <t xml:space="preserve">1804-10-09</t>
  </si>
  <si>
    <t xml:space="preserve">Tropical cyclone / early snow</t>
  </si>
  <si>
    <t xml:space="preserve">New England's Snow Hurricane of 1804 (full account)</t>
  </si>
  <si>
    <t xml:space="preserve">NYC / Poughkeepsie / Hudson / Catskills / Berkshires</t>
  </si>
  <si>
    <t xml:space="preserve">Center passed just W of NYC, S of Poughkeepsie; Hudson Valley lashed at Poughkeepsie &amp; Hudson (main force from the N, 'violence not experienced since settlement'); leaf-on snow: Catskills up to 18 in, Berkshires 24–30 in, Goshen CT 12 in; heavy snow + hurricane wind wrecked orchards and sugar groves</t>
  </si>
  <si>
    <t xml:space="preserve">Ludlum pp. 35–38 (NY Post, Md. Gaz., Vt. Journal)</t>
  </si>
  <si>
    <t xml:space="preserve">This is the FULL account of the 1804 Snow Hurricane the register already listed. Confirms Catskill 18-inch leaf-on snow and severe Hudson Valley wind. Upgrades the existing row's detail.</t>
  </si>
  <si>
    <t xml:space="preserve">Supersedes/enriches the existing 1804 Snow Hurricane row; Catskills &amp; Hudson Valley directly documented.</t>
  </si>
  <si>
    <t xml:space="preserve">1804-12-13</t>
  </si>
  <si>
    <t xml:space="preserve">1805-03-01</t>
  </si>
  <si>
    <t xml:space="preserve">Severe winter 1804–05 at Albany</t>
  </si>
  <si>
    <t xml:space="preserve">River closed Dec 13; lowest 2°F above zero; deep snows, heavy rains, high winds; 'much distress among the poor'</t>
  </si>
  <si>
    <t xml:space="preserve">Confirms the Albany side of the 1805 severe winter (register already had the NYC 48-hr snow).</t>
  </si>
  <si>
    <t xml:space="preserve">1805-01-21</t>
  </si>
  <si>
    <t xml:space="preserve">1805-01-22</t>
  </si>
  <si>
    <t xml:space="preserve">1805-01-23</t>
  </si>
  <si>
    <t xml:space="preserve">Cold snap / river ice</t>
  </si>
  <si>
    <t xml:space="preserve">Hudson crossed on foot at NYC, Jan 1805</t>
  </si>
  <si>
    <t xml:space="preserve">Extreme cold Jan 22 (wood $8/load); 'several persons crossed the Hudson from the State Prison to Hoboken' Jan 22–23</t>
  </si>
  <si>
    <t xml:space="preserve">Ludlum p. 171 (Henry Laight notes)</t>
  </si>
  <si>
    <t xml:space="preserve">Winter 1804–05 'the most rigorous as a whole since 1780'.</t>
  </si>
  <si>
    <t xml:space="preserve">1805-01-26</t>
  </si>
  <si>
    <t xml:space="preserve">1805-01-28</t>
  </si>
  <si>
    <t xml:space="preserve">The 48-hour snow at New York, Jan 1805</t>
  </si>
  <si>
    <t xml:space="preserve">20–24 in on top of existing cover; snow Jan 26 evening → Jan 28 evening without interruption; Jan 1805 snowiest month of early record at NYC</t>
  </si>
  <si>
    <t xml:space="preserve">Ludlum pp. 170–172</t>
  </si>
  <si>
    <t xml:space="preserve">Streets impassable even for sleighs; Jan 1805 snow 'about three feet deep' (Webster).</t>
  </si>
  <si>
    <t xml:space="preserve">1806-08-23</t>
  </si>
  <si>
    <t xml:space="preserve">The Great Coastal Hurricane of 1806 – NYC fringe</t>
  </si>
  <si>
    <t xml:space="preserve">NYC / Belleville NJ</t>
  </si>
  <si>
    <t xml:space="preserve">NYC: NE gale Sat–Sun then NNW, heavy incessant rain, gale till dark; mostly a fringe lashing</t>
  </si>
  <si>
    <t xml:space="preserve">Ludlum p. 39 (NY press)</t>
  </si>
  <si>
    <t xml:space="preserve">Storm stayed largely offshore; NYC got the western fringe. Rose in Bloom wreck (21 dead) off Barnegat NJ.</t>
  </si>
  <si>
    <t xml:space="preserve">NYC fringe; lower Hudson only.</t>
  </si>
  <si>
    <t xml:space="preserve">1807-03-30</t>
  </si>
  <si>
    <t xml:space="preserve">1807-03-31</t>
  </si>
  <si>
    <t xml:space="preserve">Late-season snowstorm</t>
  </si>
  <si>
    <t xml:space="preserve">End-of-March snowstorm of 1807</t>
  </si>
  <si>
    <t xml:space="preserve">Mississippi Valley to New England; excessive on the hills of western/central NY</t>
  </si>
  <si>
    <t xml:space="preserve">5 ft of snow about Annsville, Oneida Co., Apr 1; 4.5 ft compact snow in the forests Apr 7; St. Lawrence Co. spring 'especially backward'; ice in the Niagara River Jun 4</t>
  </si>
  <si>
    <t xml:space="preserve">Ludlum pp. 230–231 (Pomroy Jones, Annals of Oneida Co.)</t>
  </si>
  <si>
    <t xml:space="preserve">Third major event of a long 1806–07 winter; opened a run of cold summers (1807, 1812, 1816) in NY.</t>
  </si>
  <si>
    <t xml:space="preserve">Hudson Valley depth not given; likely 1–3 ft on the Helderbergs.</t>
  </si>
  <si>
    <t xml:space="preserve">1810-01-19</t>
  </si>
  <si>
    <t xml:space="preserve">Cold snap</t>
  </si>
  <si>
    <t xml:space="preserve">Cold Friday</t>
  </si>
  <si>
    <t xml:space="preserve">New England / eastern NY</t>
  </si>
  <si>
    <t xml:space="preserve">~60°F drop in hours with gale (chronicle)</t>
  </si>
  <si>
    <t xml:space="preserve">Sudden flash freeze; deaths of travelers and livestock.</t>
  </si>
  <si>
    <t xml:space="preserve">Ludlum, Early American Winters I &amp; II / Early American Hurricanes (AMS) – chronicle sources</t>
  </si>
  <si>
    <t xml:space="preserve">1813-12-01</t>
  </si>
  <si>
    <t xml:space="preserve">1814-02-28</t>
  </si>
  <si>
    <t xml:space="preserve">Mild winter of 1813–14</t>
  </si>
  <si>
    <t xml:space="preserve">Albany / Champlain Valley</t>
  </si>
  <si>
    <t xml:space="preserve">Albany winter minimum only −6°F (Dr. Eights); Middlebury −12°F Jan 31</t>
  </si>
  <si>
    <t xml:space="preserve">Ludlum p. 236</t>
  </si>
  <si>
    <t xml:space="preserve">Counter-example: a mild wartime winter.</t>
  </si>
  <si>
    <t xml:space="preserve">1814-01-31</t>
  </si>
  <si>
    <t xml:space="preserve">Season minimum date at Middlebury</t>
  </si>
  <si>
    <t xml:space="preserve">1814-12-20</t>
  </si>
  <si>
    <t xml:space="preserve">1814-12-21</t>
  </si>
  <si>
    <t xml:space="preserve">December 1814 cold wave</t>
  </si>
  <si>
    <t xml:space="preserve">Albany / Champlain</t>
  </si>
  <si>
    <t xml:space="preserve">Arctic air Dec 20; Albany December low +2°F; Middlebury −6°F Dec 21</t>
  </si>
  <si>
    <t xml:space="preserve">Lake Champlain froze, raising fears of a British attack on the fleet at Whitehall over the ice.</t>
  </si>
  <si>
    <t xml:space="preserve">1815-01-31</t>
  </si>
  <si>
    <t xml:space="preserve">1815-02-01</t>
  </si>
  <si>
    <t xml:space="preserve">The severe cold of Jan 31, 1815</t>
  </si>
  <si>
    <t xml:space="preserve">NYC / New England</t>
  </si>
  <si>
    <t xml:space="preserve">Salem −9°F; Portsmouth −13°F; Brunswick ME −24°F; Nantucket −11°F; NYC icebound – Hudson and East River choked with ice, southern mail boat sank Jan 30, navigation resumed mid-Feb</t>
  </si>
  <si>
    <t xml:space="preserve">Ludlum pp. 188–189</t>
  </si>
  <si>
    <t xml:space="preserve">Coldest day at Salem since records began 1786.</t>
  </si>
  <si>
    <t xml:space="preserve">Albany value not in these pages.</t>
  </si>
  <si>
    <t xml:space="preserve">1815-09-23</t>
  </si>
  <si>
    <t xml:space="preserve">The Great September Gale of 1815</t>
  </si>
  <si>
    <t xml:space="preserve">Southern New England; W. edge to eastern NY</t>
  </si>
  <si>
    <t xml:space="preserve">Center cut southern New England in two, up eastern CT / central MA / NH; line of heavy-damage demarcation at Brimfield MA (between Springfield and Worcester)</t>
  </si>
  <si>
    <t xml:space="preserve">Ludlum pp. 77–96 (Webster diary, Darling timetable)</t>
  </si>
  <si>
    <t xml:space="preserve">The most powerful NE storm between 1635 and 1938. Its damage line ran through central MA, WEST of the register core; eastern NY on the storm's fringe.</t>
  </si>
  <si>
    <t xml:space="preserve">Ludlum, Early American Hurricanes 1492–1870 (AMS, 1963), pp. 77–108 (verified, page images)</t>
  </si>
  <si>
    <t xml:space="preserve">Included as the era's benchmark; direct Hudson Valley damage not documented — the severe swath stayed east of Albany.</t>
  </si>
  <si>
    <t xml:space="preserve">1816-05-12</t>
  </si>
  <si>
    <t xml:space="preserve">1816-05-14</t>
  </si>
  <si>
    <t xml:space="preserve">Late frost</t>
  </si>
  <si>
    <t xml:space="preserve">1816 – May frost (Year Without a Summer, episode 1)</t>
  </si>
  <si>
    <t xml:space="preserve">Upstate NY / New England</t>
  </si>
  <si>
    <t xml:space="preserve">Hard freeze; inch-thick ice on ponds (chronicle)</t>
  </si>
  <si>
    <t xml:space="preserve">Killed fruit-tree buds; early crops lost.</t>
  </si>
  <si>
    <t xml:space="preserve">1816-06-06</t>
  </si>
  <si>
    <t xml:space="preserve">1816-06-08</t>
  </si>
  <si>
    <t xml:space="preserve">Early-season snow</t>
  </si>
  <si>
    <t xml:space="preserve">1816 – June snow on the Catskills (Year Without a Summer, episode 2)</t>
  </si>
  <si>
    <t xml:space="preserve">Catskills / highlands of NY, VT, NH; Hudson Valley fringe</t>
  </si>
  <si>
    <t xml:space="preserve">Two snow periods: daytime Thu Jun 6 (rain→snow) and night of Jun 7–8; Catskills 'covered by an inch of white' Jun 6; flakes within 10 mi of Hudson tidewater; NO snow reported at valley stations incl. Albany; 18 in drifts at Cabot VT; Elizabethtown 3-hr snowfall</t>
  </si>
  <si>
    <t xml:space="preserve">Ludlum pp. 190–193 (Bennington &amp; N. Turner diaries; Hudson Bay-source cold air)</t>
  </si>
  <si>
    <t xml:space="preserve">Frost every morning Jun 7–11 at Bennington; corn killed and replanted; ice inch-thick on water at Danville VT.</t>
  </si>
  <si>
    <t xml:space="preserve">https://www.nps.gov/articles/000/1816-the-year-without-summer.htm</t>
  </si>
  <si>
    <t xml:space="preserve">CORRECTION: the popular 'snow fell in Albany' claim is not supported by Ludlum – snow was on the hills, not the valley floor. On the Helderberg plateau at 1,700 ft, snow is plausible.</t>
  </si>
  <si>
    <t xml:space="preserve">1816-07-04</t>
  </si>
  <si>
    <t xml:space="preserve">1816-07-09</t>
  </si>
  <si>
    <t xml:space="preserve">1816 – July frost (Year Without a Summer, episode 3)</t>
  </si>
  <si>
    <t xml:space="preserve">NY / New England</t>
  </si>
  <si>
    <t xml:space="preserve">'Light frosts in July' (Ludlum); popular Jul 4–5 ice claim unverified</t>
  </si>
  <si>
    <t xml:space="preserve">Ludlum p. 190 (summary only – July detail is in vol. II)</t>
  </si>
  <si>
    <t xml:space="preserve">Ludlum vol. I states no authentic July/August snowfall; frosts only. Day needs vol. II.</t>
  </si>
  <si>
    <t xml:space="preserve">1816-08-21</t>
  </si>
  <si>
    <t xml:space="preserve">1816 – August 21 frost (Year Without a Summer, episode 4)</t>
  </si>
  <si>
    <t xml:space="preserve">NY / New England, as far south as PA and NJ</t>
  </si>
  <si>
    <t xml:space="preserve">Frost</t>
  </si>
  <si>
    <t xml:space="preserve">Ludlum p. 193</t>
  </si>
  <si>
    <t xml:space="preserve">Damage to tender crops.</t>
  </si>
  <si>
    <t xml:space="preserve">1816-08-29</t>
  </si>
  <si>
    <t xml:space="preserve">1816 – August 29 frost (Year Without a Summer, episode 5)</t>
  </si>
  <si>
    <t xml:space="preserve">Frost Aug 21 and Aug 29 'did some damage to tender crops'</t>
  </si>
  <si>
    <t xml:space="preserve">Both months ~5°F below normal in New England.</t>
  </si>
  <si>
    <t xml:space="preserve">1816-09-27</t>
  </si>
  <si>
    <t xml:space="preserve">1816 – killing frost of Sept 27 (Year Without a Summer, episode 6)</t>
  </si>
  <si>
    <t xml:space="preserve">Northern New England / upland NY</t>
  </si>
  <si>
    <t xml:space="preserve">Killing frost</t>
  </si>
  <si>
    <t xml:space="preserve">Cut off even a small corn crop; 'threat of semi-starvation' through winter 1816–17.</t>
  </si>
  <si>
    <t xml:space="preserve">1817-01-12</t>
  </si>
  <si>
    <t xml:space="preserve">1817-01-16</t>
  </si>
  <si>
    <t xml:space="preserve">January 1817 cold wave</t>
  </si>
  <si>
    <t xml:space="preserve">Williamstown −16°F Jan 14, −20°F Jan 15; Cambridge −18°F Jan 15 (coldest in Harvard records to 1790); Brunswick ME −21°F</t>
  </si>
  <si>
    <t xml:space="preserve">Ludlum pp. 194–195</t>
  </si>
  <si>
    <t xml:space="preserve">First of four major cold waves in the wintry seven weeks of 1817; followed Jan 17–18 by a four-hour winter thunderstorm with lightning fires in MA/NH.</t>
  </si>
  <si>
    <t xml:space="preserve">1817-02-15</t>
  </si>
  <si>
    <t xml:space="preserve">February 15, 1817 – mercury freezes in northern NY</t>
  </si>
  <si>
    <t xml:space="preserve">Northern NY / New England</t>
  </si>
  <si>
    <t xml:space="preserve">Whiteborough (Oneida Co.) −35.5°F at 0300; Sackets Harbor −32°F; Hanover NH −30°F; Gardiner ME −40°F; Feb 1817 coldest February since 1780, not exceeded until 1836</t>
  </si>
  <si>
    <t xml:space="preserve">Ludlum p. 195</t>
  </si>
  <si>
    <t xml:space="preserve">Ludlum: 'no doubt the mercury congealed at many of the cold pockets throughout northern New York… near sunrise on 15 February 1817.'</t>
  </si>
  <si>
    <t xml:space="preserve">Albany value not given – Hough or the Annual Register should have it.</t>
  </si>
  <si>
    <t xml:space="preserve">February 15, 1817 – Albany 6° below zero</t>
  </si>
  <si>
    <t xml:space="preserve">−6°F Feb 15 — 'first time since 1788 it has fallen below zero in this city'</t>
  </si>
  <si>
    <t xml:space="preserve">Gives the Albany value for the Feb 15 1817 cold that the register previously had only for northern NY (Whiteboro −35.5°F). River had closed Dec 16.</t>
  </si>
  <si>
    <t xml:space="preserve">Matches Ludlum's Feb 1817 chapter; this is the missing Albany figure.</t>
  </si>
  <si>
    <t xml:space="preserve">1817-02-24</t>
  </si>
  <si>
    <t xml:space="preserve">1817-02-25</t>
  </si>
  <si>
    <t xml:space="preserve">Great northeaster of Feb 24, 1817</t>
  </si>
  <si>
    <t xml:space="preserve">Atlantic seaboard / southern &amp; eastern New England</t>
  </si>
  <si>
    <t xml:space="preserve">Lowest barometric pressures observed to that date; 'violent storm from NE and NW' at Baltimore</t>
  </si>
  <si>
    <t xml:space="preserve">Ludlum p. 195 (continues p. 196)</t>
  </si>
  <si>
    <t xml:space="preserve">Winter's 'most striking blow' after seven weeks of cold.</t>
  </si>
  <si>
    <t xml:space="preserve">Page 196 not yet read – NY extent unknown.</t>
  </si>
  <si>
    <t xml:space="preserve">1821-01-25</t>
  </si>
  <si>
    <t xml:space="preserve">January 25, 1821 – coldest ever at Albany</t>
  </si>
  <si>
    <t xml:space="preserve">−7°F Jan 25, 'one degree lower than in February 1817; as cold as ever experienced here'; Hudson crossed on the ice Albany↔Powles' Hook several days</t>
  </si>
  <si>
    <t xml:space="preserve">The notice states the Hudson was walkable at Albany only four times in the prior century: 1740–41, 1764–65, 1779–80, 1820–21.</t>
  </si>
  <si>
    <t xml:space="preserve">Directly corroborates the register's 1740–41, 1765 and 1780 ice-crossing rows.</t>
  </si>
  <si>
    <t xml:space="preserve">1821-09-03</t>
  </si>
  <si>
    <t xml:space="preserve">Norfolk–Long Island Hurricane</t>
  </si>
  <si>
    <t xml:space="preserve">Eye over NYC (chronicle)</t>
  </si>
  <si>
    <t xml:space="preserve">Wind damage up the lower Hudson Valley.</t>
  </si>
  <si>
    <t xml:space="preserve">The Hurricane of September 3, 1821 – over NYC &amp; up the Hudson</t>
  </si>
  <si>
    <t xml:space="preserve">NYC (center crossed) / lower &amp; mid Hudson Valley / Westchester</t>
  </si>
  <si>
    <t xml:space="preserve">Center crossed part of NYC (only major hurricane to do so in 200 yrs, per Ludlum); North River (Hudson) wharves destroyed, Battery inundated, trees down in the Park; Westchester Herald: strong winds and extremely high tides along the river; damage extended up the Hudson Valley 'some distance'</t>
  </si>
  <si>
    <t xml:space="preserve">Ludlum pp. 82, 85 (NY Post, Westchester Herald, Redfield)</t>
  </si>
  <si>
    <t xml:space="preserve">The storm that launched American storm science (Redfield's rotary-wind insight). Center over NYC; the Hudson Valley took the western semicircle. Genuinely regional.</t>
  </si>
  <si>
    <t xml:space="preserve">Center over NYC; Hudson Valley damage documented up-river. Strongest of this batch for the region.</t>
  </si>
  <si>
    <t xml:space="preserve">1826-12-14</t>
  </si>
  <si>
    <t xml:space="preserve">December 14, 1826 cold day</t>
  </si>
  <si>
    <t xml:space="preserve">3°F at 8 AM, 2°F/9°F later</t>
  </si>
  <si>
    <t xml:space="preserve">A single sharp December cold day in an otherwise mild winter.</t>
  </si>
  <si>
    <t xml:space="preserve">1828-12-01</t>
  </si>
  <si>
    <t xml:space="preserve">1829-03-29</t>
  </si>
  <si>
    <t xml:space="preserve">Long severe winter 1828–29</t>
  </si>
  <si>
    <t xml:space="preserve">River closed Jan 1, opened Mar 29; lowest 6°F below zero; 'much suffering among the poor'</t>
  </si>
  <si>
    <t xml:space="preserve">One of the coldest of the series; latest opening date (Mar 29).</t>
  </si>
  <si>
    <t xml:space="preserve">1829-01-29</t>
  </si>
  <si>
    <t xml:space="preserve">1830-12-23</t>
  </si>
  <si>
    <t xml:space="preserve">1831-02-28</t>
  </si>
  <si>
    <t xml:space="preserve">Severe snowy winter 1830–31</t>
  </si>
  <si>
    <t xml:space="preserve">Ground snow-covered Jan 6–Feb 28 (longest since 1808–09); frost 5+ weeks, only 3 days above freezing; river closed Dec 23, reopened by rains, closed again Jan 16</t>
  </si>
  <si>
    <t xml:space="preserve">1831-01-25</t>
  </si>
  <si>
    <t xml:space="preserve">1832-02-15</t>
  </si>
  <si>
    <t xml:space="preserve">1832-03-31</t>
  </si>
  <si>
    <t xml:space="preserve">Ice jam</t>
  </si>
  <si>
    <t xml:space="preserve">Mohawk breakup flood with ice, 1832</t>
  </si>
  <si>
    <t xml:space="preserve">Lower Mohawk / Schenectady</t>
  </si>
  <si>
    <t xml:space="preserve">Listed among major ice-involved breakup floods</t>
  </si>
  <si>
    <t xml:space="preserve">Garver chronology</t>
  </si>
  <si>
    <t xml:space="preserve">One of ~11 major ice breakup floods on the lower Mohawk 1832–1996; ~80% of severe Mohawk floods involve ice.</t>
  </si>
  <si>
    <t xml:space="preserve">Garver (Union College) Mohawk ice-jam chronology</t>
  </si>
  <si>
    <t xml:space="preserve">https://minerva.union.edu/garverj/mohawk/1996_ice_jam.html</t>
  </si>
  <si>
    <t xml:space="preserve">Day not yet pulled – Garver's Mohawk flood table has it.</t>
  </si>
  <si>
    <t xml:space="preserve">1832-03-08</t>
  </si>
  <si>
    <t xml:space="preserve">1835-12-16</t>
  </si>
  <si>
    <t xml:space="preserve">1835-12-17</t>
  </si>
  <si>
    <t xml:space="preserve">December 1835 cold – Great Fire of New York</t>
  </si>
  <si>
    <t xml:space="preserve">NYC / Hudson Valley</t>
  </si>
  <si>
    <t xml:space="preserve">≈ –17°F at NYC; Hudson and East River frozen (hydrants and rivers frozen during the fire)</t>
  </si>
  <si>
    <t xml:space="preserve">Fire burned 17 blocks because water sources were frozen; marks the start of the long 1835–36 ice closure of the Hudson.</t>
  </si>
  <si>
    <t xml:space="preserve">Wikipedia event article (secondary; verify against NCEI/NHC)</t>
  </si>
  <si>
    <t xml:space="preserve">https://en.wikipedia.org/wiki/Great_Fire_of_New_York</t>
  </si>
  <si>
    <t xml:space="preserve">Use as the timeline anchor for the 1835–36 winter.</t>
  </si>
  <si>
    <t xml:space="preserve">1836-04-15</t>
  </si>
  <si>
    <t xml:space="preserve">Winter of 1835–36 (season)</t>
  </si>
  <si>
    <t xml:space="preserve">Hudson Valley</t>
  </si>
  <si>
    <t xml:space="preserve">Hudson closed ~4 months (chronicle)</t>
  </si>
  <si>
    <t xml:space="preserve">Long ice closure, heavy snow, spring freshet at Albany.</t>
  </si>
  <si>
    <t xml:space="preserve">Season row; anchored to Dec 16, 1835.</t>
  </si>
  <si>
    <t xml:space="preserve">1836-02-14</t>
  </si>
  <si>
    <t xml:space="preserve">1837-01-01</t>
  </si>
  <si>
    <t xml:space="preserve">Landslide</t>
  </si>
  <si>
    <t xml:space="preserve">Troy Mount Ida clay avalanche</t>
  </si>
  <si>
    <t xml:space="preserve">Troy (east end of Washington St.)</t>
  </si>
  <si>
    <t xml:space="preserve">Clay slid ~500 ft, covering many acres</t>
  </si>
  <si>
    <t xml:space="preserve">Two stables (22 horses) and three dwellings with seven people crushed and buried; ~7 PM Sunday.</t>
  </si>
  <si>
    <t xml:space="preserve">Young, Troy's One Hundred Years (1891)</t>
  </si>
  <si>
    <t xml:space="preserve">https://troyirish.org/troy-area-history/local-history/local-history-articles/avalanche-of-clay</t>
  </si>
  <si>
    <t xml:space="preserve">Glacial Lake Albany clay. Death toll: confirm.</t>
  </si>
  <si>
    <t xml:space="preserve">1839-08-30</t>
  </si>
  <si>
    <t xml:space="preserve">Atlantic Coast Hurricane of late August 1839 – snow in the Catskills</t>
  </si>
  <si>
    <t xml:space="preserve">Offshore; snow in the Catskills</t>
  </si>
  <si>
    <t xml:space="preserve">Storm stayed offshore but cold air behind it dropped snow that 'whitened' the Catskills; snow also fell at Salem MA and along the coast (late-August snow)</t>
  </si>
  <si>
    <t xml:space="preserve">Ludlum p. 106 (Genesee Farmer / Gaylord)</t>
  </si>
  <si>
    <t xml:space="preserve">Remarkable for late-August snow in the Catskills — a phenology curiosity. High winds confined to the coastal plain ('80 mi inland it was scarcely felt').</t>
  </si>
  <si>
    <t xml:space="preserve">Notable only for the Catskill snow; no wind damage inland.</t>
  </si>
  <si>
    <t xml:space="preserve">1848-03-29</t>
  </si>
  <si>
    <t xml:space="preserve">1848-03-31</t>
  </si>
  <si>
    <t xml:space="preserve">Niagara Falls stops flowing (OUT OF REGION)</t>
  </si>
  <si>
    <t xml:space="preserve">Niagara River / Lake Erie outlet</t>
  </si>
  <si>
    <t xml:space="preserve">Flow stopped ~30–40 hours</t>
  </si>
  <si>
    <t xml:space="preserve">Gale-driven Lake Erie ice jammed the river head; people walked the riverbed; flow resumed Mar 31.</t>
  </si>
  <si>
    <t xml:space="preserve">https://en.wikipedia.org/wiki/Niagara_Falls</t>
  </si>
  <si>
    <t xml:space="preserve">Included at user request; ~280 mi west of Westerlo.</t>
  </si>
  <si>
    <t xml:space="preserve">1850-07-18</t>
  </si>
  <si>
    <t xml:space="preserve">1850-07-19</t>
  </si>
  <si>
    <t xml:space="preserve">July 1850 storm – central NY / PA track</t>
  </si>
  <si>
    <t xml:space="preserve">Central NY State / PA / Southern Tier (W of the Catskills)</t>
  </si>
  <si>
    <t xml:space="preserve">Track carried westward and northward over Pennsylvania and central New York State; property/crop damage in CT, not in eastern MA; Delaware &amp; Lehigh flooding, 20 lives lost on the Schuylkill</t>
  </si>
  <si>
    <t xml:space="preserve">Ludlum p. 113 (Fort Trumbull Medical Corps obs.)</t>
  </si>
  <si>
    <t xml:space="preserve">One of the Triple Tropical Storms of 1850. The only storm of the 1849–1869 batch to track inland into NY, but W of the Catskills — it grazes the register footprint's western edge.</t>
  </si>
  <si>
    <t xml:space="preserve">Ludlum, Early American Hurricanes 1492–1870 (AMS, 1963), pp. 109–124 (verified, page images/text)</t>
  </si>
  <si>
    <t xml:space="preserve">Central-NY/Southern-Tier track, W of the Catskills; no eastern-NY damage documented. Included for completeness.</t>
  </si>
  <si>
    <t xml:space="preserve">Jul 18–19; anchored to first day</t>
  </si>
  <si>
    <t xml:space="preserve">1857-01-18</t>
  </si>
  <si>
    <t xml:space="preserve">1857-01-19</t>
  </si>
  <si>
    <t xml:space="preserve">Blizzard / cold</t>
  </si>
  <si>
    <t xml:space="preserve">The Cold Storm of 1857</t>
  </si>
  <si>
    <t xml:space="preserve">Blizzard after –20s cold (chronicle)</t>
  </si>
  <si>
    <t xml:space="preserve">Hudson bridged by ice at Manhattan.</t>
  </si>
  <si>
    <t xml:space="preserve">1857-02-01</t>
  </si>
  <si>
    <t xml:space="preserve">1857-02-28</t>
  </si>
  <si>
    <t xml:space="preserve">River flood (ice jam)</t>
  </si>
  <si>
    <t xml:space="preserve">February 1857 Albany flood – flood of record</t>
  </si>
  <si>
    <t xml:space="preserve">Hudson at Albany</t>
  </si>
  <si>
    <t xml:space="preserve">21.71 ft crest</t>
  </si>
  <si>
    <t xml:space="preserve">Hudson R. at Albany</t>
  </si>
  <si>
    <t xml:space="preserve">Highest flood ever recorded at Albany; caused by ice jammed on sandbars south of the city.</t>
  </si>
  <si>
    <t xml:space="preserve">NWS Albany – Past Weather Events (weather.gov/aly/pastevents)</t>
  </si>
  <si>
    <t xml:space="preserve">https://www.weather.gov/aly/pastevents</t>
  </si>
  <si>
    <t xml:space="preserve">Still the Albany record.</t>
  </si>
  <si>
    <t xml:space="preserve">1857-02-15</t>
  </si>
  <si>
    <t xml:space="preserve">NWS gives month only; ice-jam crest day to pull from Munsell's Annals of Albany</t>
  </si>
  <si>
    <t xml:space="preserve">1859-02-17</t>
  </si>
  <si>
    <t xml:space="preserve">Second Troy Mount Ida landslide</t>
  </si>
  <si>
    <t xml:space="preserve">Troy</t>
  </si>
  <si>
    <t xml:space="preserve">USGS notes &gt;50 lives lost to slides in the Lake Albany clays south of Troy/Albany over the 19th c.; this is the other major Troy slide.</t>
  </si>
  <si>
    <t xml:space="preserve">USGS PP 1183 (regional statement)</t>
  </si>
  <si>
    <t xml:space="preserve">https://pubs.usgs.gov/pp/p1183/pp1183.html</t>
  </si>
  <si>
    <t xml:space="preserve">Date and toll from memory – verify in Troy histories.</t>
  </si>
  <si>
    <t xml:space="preserve">1859-06-04</t>
  </si>
  <si>
    <t xml:space="preserve">1859-06-05</t>
  </si>
  <si>
    <t xml:space="preserve">June 1859 killing frost</t>
  </si>
  <si>
    <t xml:space="preserve">Upstate NY</t>
  </si>
  <si>
    <t xml:space="preserve">Killing frost first week of June (chronicle)</t>
  </si>
  <si>
    <t xml:space="preserve">Destroyed early crops statewide.</t>
  </si>
  <si>
    <t xml:space="preserve">1865-02-15</t>
  </si>
  <si>
    <t xml:space="preserve">1865-03-31</t>
  </si>
  <si>
    <t xml:space="preserve">Mohawk breakup flood with ice, 1865</t>
  </si>
  <si>
    <t xml:space="preserve">1865-03-09</t>
  </si>
  <si>
    <t xml:space="preserve">1869-10-03</t>
  </si>
  <si>
    <t xml:space="preserve">1869-10-04</t>
  </si>
  <si>
    <t xml:space="preserve">Great Freshet of October 1869</t>
  </si>
  <si>
    <t xml:space="preserve">Extreme rain (chronicle)</t>
  </si>
  <si>
    <t xml:space="preserve">Mills and bridges lost.</t>
  </si>
  <si>
    <t xml:space="preserve">Rain flood (tropical remnant)</t>
  </si>
  <si>
    <t xml:space="preserve">Saxby's Gale &amp; Great Northeastern Rainstorm of October 1869</t>
  </si>
  <si>
    <t xml:space="preserve">Middle Atlantic to Canada; central &amp; upper Hudson Valley</t>
  </si>
  <si>
    <t xml:space="preserve">Greatest single-storm rainfall over the MA/New England area in recorded history to that date: 5 in+ at stations across VA, MD, PA, NJ, NY, CT, MA, VT, NH, ME; heaviest band ran NW from E. Connecticut through Springfield MA into the central &amp; upper Hudson Valley of NY</t>
  </si>
  <si>
    <t xml:space="preserve">Ludlum pp. 125–126 (Saxby's Gale chapter)</t>
  </si>
  <si>
    <t xml:space="preserve">A landmark rain-and-flood event that directly reached the central and upper Hudson Valley. The offshore hurricane (Saxby's Gale) combined with a stalled continental rainstorm.</t>
  </si>
  <si>
    <t xml:space="preserve">Ludlum, Early American Hurricanes 1492–1870 (AMS, 1963), pp. 109–110, 125–126 and Chronological Index pp. 191–195 (verified, page images/text)</t>
  </si>
  <si>
    <t xml:space="preserve">Central &amp; upper Hudson Valley named explicitly — the strongest regional event in the whole hurricane volume after 1821.</t>
  </si>
  <si>
    <t xml:space="preserve">1870-02-15</t>
  </si>
  <si>
    <t xml:space="preserve">1870-03-31</t>
  </si>
  <si>
    <t xml:space="preserve">Mohawk breakup flood with ice, 1870</t>
  </si>
  <si>
    <t xml:space="preserve">1870-03-09</t>
  </si>
  <si>
    <t xml:space="preserve">1878-10-23</t>
  </si>
  <si>
    <t xml:space="preserve">Gale of 1878</t>
  </si>
  <si>
    <t xml:space="preserve">Eastern NY</t>
  </si>
  <si>
    <t xml:space="preserve">Hurricane tracked inland W of Hudson</t>
  </si>
  <si>
    <t xml:space="preserve">Wind damage at Albany.</t>
  </si>
  <si>
    <t xml:space="preserve">1886-02-14</t>
  </si>
  <si>
    <t xml:space="preserve">1886-02-15</t>
  </si>
  <si>
    <t xml:space="preserve">February 1886 Mohawk ice jam</t>
  </si>
  <si>
    <t xml:space="preserve">Schenectady</t>
  </si>
  <si>
    <t xml:space="preserve">Ice piled 30–40 ft high after recession; 1-ft trees snapped</t>
  </si>
  <si>
    <t xml:space="preserve">Evening Star, Feb 15 1886</t>
  </si>
  <si>
    <t xml:space="preserve">Among the most violent Mohawk ice events on record.</t>
  </si>
  <si>
    <t xml:space="preserve">1887-12-18</t>
  </si>
  <si>
    <t xml:space="preserve">1887-12-22</t>
  </si>
  <si>
    <t xml:space="preserve">December 1887 snowstorm</t>
  </si>
  <si>
    <t xml:space="preserve">Capital Region</t>
  </si>
  <si>
    <t xml:space="preserve">3rd greatest December storm; winter 1887–88 = 110.0 in (2nd snowiest)</t>
  </si>
  <si>
    <t xml:space="preserve">One of the greatest storms on record for Albany.</t>
  </si>
  <si>
    <t xml:space="preserve">1888-03-11</t>
  </si>
  <si>
    <t xml:space="preserve">1888-03-14</t>
  </si>
  <si>
    <t xml:space="preserve">The Blizzard of 1888</t>
  </si>
  <si>
    <t xml:space="preserve">Entire region</t>
  </si>
  <si>
    <t xml:space="preserve">46.7 in / 60 hr at Albany (storm record); March 1888 2nd snowiest month</t>
  </si>
  <si>
    <t xml:space="preserve">City shut down; no coal deliveries; drifts far higher; ~400 dead regionally.</t>
  </si>
  <si>
    <t xml:space="preserve">Benchmark storm.</t>
  </si>
  <si>
    <t xml:space="preserve">1891-02-15</t>
  </si>
  <si>
    <t xml:space="preserve">1891-03-31</t>
  </si>
  <si>
    <t xml:space="preserve">Mohawk breakup flood with ice, 1891</t>
  </si>
  <si>
    <t xml:space="preserve">1891-03-09</t>
  </si>
  <si>
    <t xml:space="preserve">1893-02-15</t>
  </si>
  <si>
    <t xml:space="preserve">1893-03-31</t>
  </si>
  <si>
    <t xml:space="preserve">Mohawk breakup flood with ice, 1893</t>
  </si>
  <si>
    <t xml:space="preserve">1893-03-09</t>
  </si>
  <si>
    <t xml:space="preserve">1893-08-24</t>
  </si>
  <si>
    <t xml:space="preserve">Midnight Storm (1893 NYC hurricane)</t>
  </si>
  <si>
    <t xml:space="preserve">Direct hit on NYC</t>
  </si>
  <si>
    <t xml:space="preserve">Wind and rain up the valley.</t>
  </si>
  <si>
    <t xml:space="preserve">1896-08-04</t>
  </si>
  <si>
    <t xml:space="preserve">1896-08-13</t>
  </si>
  <si>
    <t xml:space="preserve">Heat wave</t>
  </si>
  <si>
    <t xml:space="preserve">August 1896 heat wave</t>
  </si>
  <si>
    <t xml:space="preserve">10 days &gt;90°F with high humidity</t>
  </si>
  <si>
    <t xml:space="preserve">NYC</t>
  </si>
  <si>
    <t xml:space="preserve">~1,500 deaths in NYC; deaths in the valley.</t>
  </si>
  <si>
    <t xml:space="preserve">1896-08-10</t>
  </si>
  <si>
    <t xml:space="preserve">week</t>
  </si>
  <si>
    <t xml:space="preserve">Mid-point of the 10-day wave</t>
  </si>
  <si>
    <t xml:space="preserve">1899-02-08</t>
  </si>
  <si>
    <t xml:space="preserve">1899-02-14</t>
  </si>
  <si>
    <t xml:space="preserve">Arctic outbreak / blizzard</t>
  </si>
  <si>
    <t xml:space="preserve">Great Arctic Outbreak of 1899</t>
  </si>
  <si>
    <t xml:space="preserve">Eastern US</t>
  </si>
  <si>
    <t xml:space="preserve">Coldest air mass in Eastern record</t>
  </si>
  <si>
    <t xml:space="preserve">regional</t>
  </si>
  <si>
    <t xml:space="preserve">Record cold then blizzard; Hudson frozen.</t>
  </si>
  <si>
    <t xml:space="preserve">Check Albany daily min in NCEI GHCN for exact value.</t>
  </si>
  <si>
    <t xml:space="preserve">1899-02-10</t>
  </si>
  <si>
    <t xml:space="preserve">Coldest mornings Feb 9–11</t>
  </si>
  <si>
    <t xml:space="preserve">1900-01-01</t>
  </si>
  <si>
    <t xml:space="preserve">2023-03-10</t>
  </si>
  <si>
    <t xml:space="preserve">Sinkhole / karst (event)</t>
  </si>
  <si>
    <t xml:space="preserve">McFails Cave historic entrance collapse</t>
  </si>
  <si>
    <t xml:space="preserve">Cobleskill plateau (Schoharie Co.)</t>
  </si>
  <si>
    <t xml:space="preserve">The historic 110-ft vertical entrance sink became unstable and collapsed; access is now via two other rope drops</t>
  </si>
  <si>
    <t xml:space="preserve">Nardacci / NCC</t>
  </si>
  <si>
    <t xml:space="preserve">A documented karst-entrance collapse, but UNDATED in the source (years ago). Span is a placeholder, not the event date.</t>
  </si>
  <si>
    <t xml:space="preserve">Northeastern Cave Conservancy / NSS; Altamont Enterprise Back Roads Geology (Nardacci), 10 Mar 2023</t>
  </si>
  <si>
    <t xml:space="preserve">https://necaveconservancy.org/preserves/</t>
  </si>
  <si>
    <t xml:space="preserve">DATE UNKNOWN — do not plot as a point. Collapse is real and documented; needs an NCC/NSS date. Anchored artificially.</t>
  </si>
  <si>
    <t xml:space="preserve">DATE UNKNOWN; collapse happened years ago; do NOT plot as a point</t>
  </si>
  <si>
    <t xml:space="preserve">1903-01-15</t>
  </si>
  <si>
    <t xml:space="preserve">1903-03-20</t>
  </si>
  <si>
    <t xml:space="preserve">Hudson ice gorge below Albany, winter 1902–03</t>
  </si>
  <si>
    <t xml:space="preserve">Albany to Mull's Bar / Castleton</t>
  </si>
  <si>
    <t xml:space="preserve">Ice jammed to river bottom, 9–10 ft thick; no tide at Albany until March</t>
  </si>
  <si>
    <t xml:space="preserve">HRMM oral history</t>
  </si>
  <si>
    <t xml:space="preserve">Water rose to unprecedented height in south Albany; Cornell tugs hired in March 1903 to break the gorge.</t>
  </si>
  <si>
    <t xml:space="preserve">Hudson River Maritime Museum – Breaking Ice Gorges</t>
  </si>
  <si>
    <t xml:space="preserve">https://www.hrmm.org/history-blog/breaking-ice-gorges</t>
  </si>
  <si>
    <t xml:space="preserve">1903-02-16</t>
  </si>
  <si>
    <t xml:space="preserve">1903-10-08</t>
  </si>
  <si>
    <t xml:space="preserve">1903-10-10</t>
  </si>
  <si>
    <t xml:space="preserve">October 1903 flood</t>
  </si>
  <si>
    <t xml:space="preserve">Catskills / lower Hudson / NJ</t>
  </si>
  <si>
    <t xml:space="preserve">10–15 in rain</t>
  </si>
  <si>
    <t xml:space="preserve">Record stages on Catskill and lower Hudson tributaries; Passaic record still stands.</t>
  </si>
  <si>
    <t xml:space="preserve">1911-07-03</t>
  </si>
  <si>
    <t xml:space="preserve">1911-07-13</t>
  </si>
  <si>
    <t xml:space="preserve">July 1911 heat wave</t>
  </si>
  <si>
    <t xml:space="preserve">Albany all-time high 104°F (Jul 4, 1911)</t>
  </si>
  <si>
    <t xml:space="preserve">Hundreds dead across the Northeast.</t>
  </si>
  <si>
    <t xml:space="preserve">Verify 104°F/date against NWS ALY ALB_Extremes.pdf.</t>
  </si>
  <si>
    <t xml:space="preserve">1912-02-04</t>
  </si>
  <si>
    <t xml:space="preserve">Niagara ice bridge collapse (OUT OF REGION)</t>
  </si>
  <si>
    <t xml:space="preserve">Niagara Falls</t>
  </si>
  <si>
    <t xml:space="preserve">3 killed</t>
  </si>
  <si>
    <t xml:space="preserve">Ice bridge below the falls broke up with visitors on it; ended public access to the ice bridge.</t>
  </si>
  <si>
    <t xml:space="preserve">Out of region.</t>
  </si>
  <si>
    <t xml:space="preserve">1913-03-25</t>
  </si>
  <si>
    <t xml:space="preserve">1913-03-28</t>
  </si>
  <si>
    <t xml:space="preserve">River flood</t>
  </si>
  <si>
    <t xml:space="preserve">March 1913 flood</t>
  </si>
  <si>
    <t xml:space="preserve">Hudson &amp; Mohawk</t>
  </si>
  <si>
    <t xml:space="preserve">Albany 21.45 ft; Troy 29.7 ft; Schenectady 228.9 ft</t>
  </si>
  <si>
    <t xml:space="preserve">Hudson at Albany/Troy; Mohawk at Schenectady</t>
  </si>
  <si>
    <t xml:space="preserve">Highest water on record Hadley/Glens Falls south through Troy.</t>
  </si>
  <si>
    <t xml:space="preserve">1914-02-14</t>
  </si>
  <si>
    <t xml:space="preserve">February 1914 blizzard</t>
  </si>
  <si>
    <t xml:space="preserve">Eastern/central NY</t>
  </si>
  <si>
    <t xml:space="preserve">23.5 in Albany; 20–30+ in elsewhere</t>
  </si>
  <si>
    <t xml:space="preserve">Greatest February snowstorm for Albany; very cold and windy.</t>
  </si>
  <si>
    <t xml:space="preserve">1914-03-28</t>
  </si>
  <si>
    <t xml:space="preserve">March 1914 Schenectady flood of record</t>
  </si>
  <si>
    <t xml:space="preserve">Mohawk at Schenectady</t>
  </si>
  <si>
    <t xml:space="preserve">232.9 ft</t>
  </si>
  <si>
    <t xml:space="preserve">Mohawk R. at Schenectady</t>
  </si>
  <si>
    <t xml:space="preserve">Ice jam; water reached Broadway, flooded ALCO plant.</t>
  </si>
  <si>
    <t xml:space="preserve">1915-12-13</t>
  </si>
  <si>
    <t xml:space="preserve">1915-12-15</t>
  </si>
  <si>
    <t xml:space="preserve">December 1915 snowstorm</t>
  </si>
  <si>
    <t xml:space="preserve">Eastern/SE NY</t>
  </si>
  <si>
    <t xml:space="preserve">24.7 in Albany; 25–35 in regionally</t>
  </si>
  <si>
    <t xml:space="preserve">4th greatest storm for Albany; winter 1915–16 = 94.7 in.</t>
  </si>
  <si>
    <t xml:space="preserve">1917-12-01</t>
  </si>
  <si>
    <t xml:space="preserve">1918-01-31</t>
  </si>
  <si>
    <t xml:space="preserve">Winter of 1917–18</t>
  </si>
  <si>
    <t xml:space="preserve">Prolonged extreme cold</t>
  </si>
  <si>
    <t xml:space="preserve">Hudson locked; wartime coal famine.</t>
  </si>
  <si>
    <t xml:space="preserve">1917-12-30</t>
  </si>
  <si>
    <t xml:space="preserve">Dec 29–31, 1917 cold wave (records at NYC/Albany)</t>
  </si>
  <si>
    <t xml:space="preserve">1920-02-04</t>
  </si>
  <si>
    <t xml:space="preserve">1920-02-07</t>
  </si>
  <si>
    <t xml:space="preserve">February 1920 storm</t>
  </si>
  <si>
    <t xml:space="preserve">~17 in NYC; heavier north</t>
  </si>
  <si>
    <t xml:space="preserve">Paralyzed rail and river traffic.</t>
  </si>
  <si>
    <t xml:space="preserve">1927-11-03</t>
  </si>
  <si>
    <t xml:space="preserve">1927-11-05</t>
  </si>
  <si>
    <t xml:space="preserve">November 1927 flood</t>
  </si>
  <si>
    <t xml:space="preserve">VT / eastern NY</t>
  </si>
  <si>
    <t xml:space="preserve">Albany 15.96 ft; Batten Kill 17.7 ft (record); Hoosic 18.8 ft</t>
  </si>
  <si>
    <t xml:space="preserve">Remains of late-season hurricane; devastation in VT; significant Hudson flood.</t>
  </si>
  <si>
    <t xml:space="preserve">1928-01-31</t>
  </si>
  <si>
    <t xml:space="preserve">January 1928 Hudson–Mohawk confluence jam</t>
  </si>
  <si>
    <t xml:space="preserve">Tribes Hill / Cohoes area</t>
  </si>
  <si>
    <t xml:space="preserve">CRREL logged jam at the Hudson–Mohawk confluence</t>
  </si>
  <si>
    <t xml:space="preserve">CRREL</t>
  </si>
  <si>
    <t xml:space="preserve">One of the earliest 20th-c. records in the regional log.</t>
  </si>
  <si>
    <t xml:space="preserve">USACE CRREL Ice Jam Database, New York (Report_Region.csv, retrieved 2026-09-20)</t>
  </si>
  <si>
    <t xml:space="preserve">https://icejam.sec.usace.army.mil/</t>
  </si>
  <si>
    <t xml:space="preserve">CRREL record; no impact detail.</t>
  </si>
  <si>
    <t xml:space="preserve">1929-12-01</t>
  </si>
  <si>
    <t xml:space="preserve">1929-12-31</t>
  </si>
  <si>
    <t xml:space="preserve">Ice storm</t>
  </si>
  <si>
    <t xml:space="preserve">Ice storm of 1929</t>
  </si>
  <si>
    <t xml:space="preserve">Capital District</t>
  </si>
  <si>
    <t xml:space="preserve">Largest outages until 1945 (per NWS)</t>
  </si>
  <si>
    <t xml:space="preserve">Referenced by NWS as prior benchmark for outages.</t>
  </si>
  <si>
    <t xml:space="preserve">Date within 1929 not given on NWS page; verify.</t>
  </si>
  <si>
    <t xml:space="preserve">1929-07-01</t>
  </si>
  <si>
    <t xml:space="preserve">Month unknown – NWS mention only</t>
  </si>
  <si>
    <t xml:space="preserve">1930-06-01</t>
  </si>
  <si>
    <t xml:space="preserve">1931-03-31</t>
  </si>
  <si>
    <t xml:space="preserve">Drought</t>
  </si>
  <si>
    <t xml:space="preserve">1930–31 drought</t>
  </si>
  <si>
    <t xml:space="preserve">NY statewide</t>
  </si>
  <si>
    <t xml:space="preserve">Worst dry spell in NY records to that point</t>
  </si>
  <si>
    <t xml:space="preserve">Crop failures; wells dry.</t>
  </si>
  <si>
    <t xml:space="preserve">1930-08-15</t>
  </si>
  <si>
    <t xml:space="preserve">Peak of growing-season deficit</t>
  </si>
  <si>
    <t xml:space="preserve">1934-02-09</t>
  </si>
  <si>
    <t xml:space="preserve">February 1934 cold wave</t>
  </si>
  <si>
    <t xml:space="preserve">NYC –15°F; Catskill valleys near –40°F</t>
  </si>
  <si>
    <t xml:space="preserve">NYC / coop</t>
  </si>
  <si>
    <t xml:space="preserve">Orchard and vineyard kill.</t>
  </si>
  <si>
    <t xml:space="preserve">Pull Albany min from GHCN.</t>
  </si>
  <si>
    <t xml:space="preserve">1935-07-08</t>
  </si>
  <si>
    <t xml:space="preserve">Flash flood</t>
  </si>
  <si>
    <t xml:space="preserve">Great Flood of 1935</t>
  </si>
  <si>
    <t xml:space="preserve">Delaware / Otsego / Schoharie counties</t>
  </si>
  <si>
    <t xml:space="preserve">Cloudburst; ~40 dead</t>
  </si>
  <si>
    <t xml:space="preserve">Deadliest Catskill-region flood before Irene; villages gutted.</t>
  </si>
  <si>
    <t xml:space="preserve">1936-03-12</t>
  </si>
  <si>
    <t xml:space="preserve">1936-03-18</t>
  </si>
  <si>
    <t xml:space="preserve">March 1936 flood</t>
  </si>
  <si>
    <t xml:space="preserve">Albany 17.9 ft; Troy 29.5 ft (highest since Conklingville Dam)</t>
  </si>
  <si>
    <t xml:space="preserve">Hudson at Albany/Troy</t>
  </si>
  <si>
    <t xml:space="preserve">Heavy snowpack + double spring rains; flood of record on CT River at Thompsonville.</t>
  </si>
  <si>
    <t xml:space="preserve">1936-07-01</t>
  </si>
  <si>
    <t xml:space="preserve">1936-07-31</t>
  </si>
  <si>
    <t xml:space="preserve">July 1936 heat wave</t>
  </si>
  <si>
    <t xml:space="preserve">Record highs during Dust Bowl summer</t>
  </si>
  <si>
    <t xml:space="preserve">WIK</t>
  </si>
  <si>
    <t xml:space="preserve">1936-07-16</t>
  </si>
  <si>
    <t xml:space="preserve">1938-01-27</t>
  </si>
  <si>
    <t xml:space="preserve">Honeymoon Bridge collapse, Niagara (OUT OF REGION)</t>
  </si>
  <si>
    <t xml:space="preserve">Ice jam ~80 ft high crushed the bridge abutments</t>
  </si>
  <si>
    <t xml:space="preserve">Upper Steel Arch (Honeymoon) Bridge collapsed onto the ice.</t>
  </si>
  <si>
    <t xml:space="preserve">1938-09-21</t>
  </si>
  <si>
    <t xml:space="preserve">1938-09-22</t>
  </si>
  <si>
    <t xml:space="preserve">Great Hurricane of 1938 (Long Island Express)</t>
  </si>
  <si>
    <t xml:space="preserve">Long Island / New England / Hudson Valley</t>
  </si>
  <si>
    <t xml:space="preserve">Albany 16.5 ft</t>
  </si>
  <si>
    <t xml:space="preserve">Severe flooding on almost all regional rivers; forests flattened in Berkshires/Catskills.</t>
  </si>
  <si>
    <t xml:space="preserve">1939-02-17</t>
  </si>
  <si>
    <t xml:space="preserve">February 1939 Schoharie Creek jam at Prattsville</t>
  </si>
  <si>
    <t xml:space="preserve">Prattsville</t>
  </si>
  <si>
    <t xml:space="preserve">CRREL break-up jam</t>
  </si>
  <si>
    <t xml:space="preserve">Earliest of the long Prattsville/Burtonsville Schoharie jam series in CRREL (1939–2020s).</t>
  </si>
  <si>
    <t xml:space="preserve">1940-02-14</t>
  </si>
  <si>
    <t xml:space="preserve">Valentine's Day storm 1940</t>
  </si>
  <si>
    <t xml:space="preserve">1 ft+ with high wind</t>
  </si>
  <si>
    <t xml:space="preserve">Dozens dead in the Northeast.</t>
  </si>
  <si>
    <t xml:space="preserve">1942-05-22</t>
  </si>
  <si>
    <t xml:space="preserve">1942-05-23</t>
  </si>
  <si>
    <t xml:space="preserve">May 1942 Delaware flood</t>
  </si>
  <si>
    <t xml:space="preserve">Delaware County / Catskills</t>
  </si>
  <si>
    <t xml:space="preserve">Record on E &amp; W Branch Delaware until 2006</t>
  </si>
  <si>
    <t xml:space="preserve">USGS Delaware gauges</t>
  </si>
  <si>
    <t xml:space="preserve">Hancock, Margaretville hard hit.</t>
  </si>
  <si>
    <t xml:space="preserve">1942-12-29</t>
  </si>
  <si>
    <t xml:space="preserve">1942-12-30</t>
  </si>
  <si>
    <t xml:space="preserve">December 1942 glaze</t>
  </si>
  <si>
    <t xml:space="preserve">Worst glazing before Dec 1964 (per NWS)</t>
  </si>
  <si>
    <t xml:space="preserve">1943-02-15</t>
  </si>
  <si>
    <t xml:space="preserve">February 1943 cold wave</t>
  </si>
  <si>
    <t xml:space="preserve">–20s</t>
  </si>
  <si>
    <t xml:space="preserve">Verify in GHCN.</t>
  </si>
  <si>
    <t xml:space="preserve">1944-09-14</t>
  </si>
  <si>
    <t xml:space="preserve">Great Atlantic Hurricane</t>
  </si>
  <si>
    <t xml:space="preserve">Wind and flooding</t>
  </si>
  <si>
    <t xml:space="preserve">NHC Tropical Cyclone Report</t>
  </si>
  <si>
    <t xml:space="preserve">1945-05-10</t>
  </si>
  <si>
    <t xml:space="preserve">Late-season snow</t>
  </si>
  <si>
    <t xml:space="preserve">May 10, 1945 snowstorm</t>
  </si>
  <si>
    <t xml:space="preserve">5.4 in Albany (largest May storm); 60,000 outages</t>
  </si>
  <si>
    <t xml:space="preserve">Largest outages since 1929 ice storm; snowplows rescued motorists in the hill towns.</t>
  </si>
  <si>
    <t xml:space="preserve">Directly relevant to the Helderberg hill towns.</t>
  </si>
  <si>
    <t xml:space="preserve">1945-10-02</t>
  </si>
  <si>
    <t xml:space="preserve">October 1945 upper Mohawk flood</t>
  </si>
  <si>
    <t xml:space="preserve">Mohawk headwaters</t>
  </si>
  <si>
    <t xml:space="preserve">E. Canada Cr. at Dolgeville 15.1 ft (record)</t>
  </si>
  <si>
    <t xml:space="preserve">USGS</t>
  </si>
  <si>
    <t xml:space="preserve">Nearly destroyed Daniel Green factory.</t>
  </si>
  <si>
    <t xml:space="preserve">1947-12-26</t>
  </si>
  <si>
    <t xml:space="preserve">Post-Christmas storm 1947</t>
  </si>
  <si>
    <t xml:space="preserve">NYC record 26.4 in</t>
  </si>
  <si>
    <t xml:space="preserve">NYC Central Park</t>
  </si>
  <si>
    <t xml:space="preserve">20 in+ lower Hudson Valley.</t>
  </si>
  <si>
    <t xml:space="preserve">1948-03-17</t>
  </si>
  <si>
    <t xml:space="preserve">March 1948 Kinderhook Creek jam at Rossman</t>
  </si>
  <si>
    <t xml:space="preserve">Rossman (Columbia Co.)</t>
  </si>
  <si>
    <t xml:space="preserve">CRREL jam</t>
  </si>
  <si>
    <t xml:space="preserve">Kinderhook Creek trouble spot near Silvernails/Rossman.</t>
  </si>
  <si>
    <t xml:space="preserve">1948-12-31</t>
  </si>
  <si>
    <t xml:space="preserve">1949-01-02</t>
  </si>
  <si>
    <t xml:space="preserve">River flood / ice storm</t>
  </si>
  <si>
    <t xml:space="preserve">New Year's Ice Storm and Flood 1948–49</t>
  </si>
  <si>
    <t xml:space="preserve">Hudson / Housatonic / CT basins</t>
  </si>
  <si>
    <t xml:space="preserve">5–12 in liquid; Albany 17.5 ft; Hoosic flood of record</t>
  </si>
  <si>
    <t xml:space="preserve">Major Hudson flood with significant sleet/ice storm.</t>
  </si>
  <si>
    <t xml:space="preserve">1950-11-24</t>
  </si>
  <si>
    <t xml:space="preserve">1950-11-25</t>
  </si>
  <si>
    <t xml:space="preserve">Windstorm</t>
  </si>
  <si>
    <t xml:space="preserve">Great Appalachian Storm</t>
  </si>
  <si>
    <t xml:space="preserve">Albany gust 83 mph (strongest ever); sustained 50–60</t>
  </si>
  <si>
    <t xml:space="preserve">Roads impassable, fire towers and lines down; $20M (1950) NY damage; 7.78 in rain Slide Mtn.</t>
  </si>
  <si>
    <t xml:space="preserve">Hurricane-force inland wind benchmark.</t>
  </si>
  <si>
    <t xml:space="preserve">1954-10-15</t>
  </si>
  <si>
    <t xml:space="preserve">Hurricane Hazel</t>
  </si>
  <si>
    <t xml:space="preserve">80–100 mph gusts (regional)</t>
  </si>
  <si>
    <t xml:space="preserve">Outages across Capital Region.</t>
  </si>
  <si>
    <t xml:space="preserve">1955-08-12</t>
  </si>
  <si>
    <t xml:space="preserve">1955-08-19</t>
  </si>
  <si>
    <t xml:space="preserve">Hurricanes Connie &amp; Diane</t>
  </si>
  <si>
    <t xml:space="preserve">Catskills / lower Hudson / CT</t>
  </si>
  <si>
    <t xml:space="preserve">Connie &gt;10 in at Slide Mtn; Diane 19 in Westfield MA</t>
  </si>
  <si>
    <t xml:space="preserve">Slide Mtn coop</t>
  </si>
  <si>
    <t xml:space="preserve">Worst flood disaster in lower Hudson Valley; Ellenville nearly washed away; Kingston riverfront under 4 ft.</t>
  </si>
  <si>
    <t xml:space="preserve">1955-10-14</t>
  </si>
  <si>
    <t xml:space="preserve">1955-10-16</t>
  </si>
  <si>
    <t xml:space="preserve">October 1955 Schoharie flood</t>
  </si>
  <si>
    <t xml:space="preserve">Schoharie Valley / Tannersville</t>
  </si>
  <si>
    <t xml:space="preserve">16–18 in over Tannersville; Burtonsville 12.4 ft (2nd highest)</t>
  </si>
  <si>
    <t xml:space="preserve">Schoharie Cr. at Burtonsville</t>
  </si>
  <si>
    <t xml:space="preserve">Devastation in the Schoharie Valley from slow coastal storm.</t>
  </si>
  <si>
    <t xml:space="preserve">1958-02-15</t>
  </si>
  <si>
    <t xml:space="preserve">1958-02-16</t>
  </si>
  <si>
    <t xml:space="preserve">Blizzard of '58</t>
  </si>
  <si>
    <t xml:space="preserve">Region</t>
  </si>
  <si>
    <t xml:space="preserve">17.9 in Albany; &gt;30 in Catskills/W. New England</t>
  </si>
  <si>
    <t xml:space="preserve">Roads blocked; Operation Haylift dropped feed to cattle.</t>
  </si>
  <si>
    <t xml:space="preserve">1958-03-19</t>
  </si>
  <si>
    <t xml:space="preserve">1958-03-21</t>
  </si>
  <si>
    <t xml:space="preserve">Wet snowstorm</t>
  </si>
  <si>
    <t xml:space="preserve">March 1958 wet snow</t>
  </si>
  <si>
    <t xml:space="preserve">Hudson Highlands / Catskills</t>
  </si>
  <si>
    <t xml:space="preserve">3–4 ft locally</t>
  </si>
  <si>
    <t xml:space="preserve">Roof collapses.</t>
  </si>
  <si>
    <t xml:space="preserve">1960-04-05</t>
  </si>
  <si>
    <t xml:space="preserve">April 1960 Hudson flood</t>
  </si>
  <si>
    <t xml:space="preserve">24.41 ft (10th highest)</t>
  </si>
  <si>
    <t xml:space="preserve">Hudson at Troy</t>
  </si>
  <si>
    <t xml:space="preserve">NWPS Hudson at Troy historic crests</t>
  </si>
  <si>
    <t xml:space="preserve">https://water.noaa.gov/gauges/tryn6</t>
  </si>
  <si>
    <t xml:space="preserve">1960-06-24</t>
  </si>
  <si>
    <t xml:space="preserve">Tornado</t>
  </si>
  <si>
    <t xml:space="preserve">Schenectady County F3 tornado</t>
  </si>
  <si>
    <t xml:space="preserve">Schenectady County</t>
  </si>
  <si>
    <t xml:space="preserve">F3; 9 injuries; ~$25M</t>
  </si>
  <si>
    <t xml:space="preserve">NCEI</t>
  </si>
  <si>
    <t xml:space="preserve">See Wind &amp; Tornado sheet.</t>
  </si>
  <si>
    <t xml:space="preserve">Tornado Project (Grazulis) NY county list 1950–2012</t>
  </si>
  <si>
    <t xml:space="preserve">https://www.tornadoproject.com/alltorns/nytorn.htm</t>
  </si>
  <si>
    <t xml:space="preserve">1961-02-03</t>
  </si>
  <si>
    <t xml:space="preserve">1961-02-04</t>
  </si>
  <si>
    <t xml:space="preserve">February 1961 blizzard</t>
  </si>
  <si>
    <t xml:space="preserve">20 in+</t>
  </si>
  <si>
    <t xml:space="preserve">1962-01-01</t>
  </si>
  <si>
    <t xml:space="preserve">1966-12-31</t>
  </si>
  <si>
    <t xml:space="preserve">The 1960s drought</t>
  </si>
  <si>
    <t xml:space="preserve">Longest/most severe in Northeast records</t>
  </si>
  <si>
    <t xml:space="preserve">NYC Catskill reservoirs near 25%; dairy/orchard losses. Independent local marker: summer 1962 drought dropped the Clarksville Cave (Gregory) sump ~3 ft, exposing the passage that connected the two cave sections.</t>
  </si>
  <si>
    <t xml:space="preserve">1965-08-15</t>
  </si>
  <si>
    <t xml:space="preserve">1965 = worst single year; reservoirs at minimum</t>
  </si>
  <si>
    <t xml:space="preserve">1964-01-13</t>
  </si>
  <si>
    <t xml:space="preserve">1964-01-14</t>
  </si>
  <si>
    <t xml:space="preserve">Blizzard of '64</t>
  </si>
  <si>
    <t xml:space="preserve">15.4 in Albany; 30 in Catskills; gusts 50–60</t>
  </si>
  <si>
    <t xml:space="preserve">Drifts 3–8 ft; NESIS Cat 4.</t>
  </si>
  <si>
    <t xml:space="preserve">1964-03-06</t>
  </si>
  <si>
    <t xml:space="preserve">March 1964 Mohawk/Hudson ice breakup</t>
  </si>
  <si>
    <t xml:space="preserve">Cohoes / Waterford / Troy</t>
  </si>
  <si>
    <t xml:space="preserve">Troy 24.82 ft (8th highest); rapid rise at Cohoes gage</t>
  </si>
  <si>
    <t xml:space="preserve">Hudson at Troy; USGS Cohoes</t>
  </si>
  <si>
    <t xml:space="preserve">Upstream jam released a surge over Cohoes Falls into Waterford, causing damage.</t>
  </si>
  <si>
    <t xml:space="preserve">NWS Albany Ice Jam Trouble Spots (IceJamInfo.pdf)</t>
  </si>
  <si>
    <t xml:space="preserve">https://www.weather.gov/media/aly/Hydrology/IceJamInfo.pdf</t>
  </si>
  <si>
    <t xml:space="preserve">Garver lists 1964 as a major ice year.</t>
  </si>
  <si>
    <t xml:space="preserve">1964-12-04</t>
  </si>
  <si>
    <t xml:space="preserve">1964-12-05</t>
  </si>
  <si>
    <t xml:space="preserve">Worst ice storm on record (1964)</t>
  </si>
  <si>
    <t xml:space="preserve">East-central NY</t>
  </si>
  <si>
    <t xml:space="preserve">Up to 1.5 in ice</t>
  </si>
  <si>
    <t xml:space="preserve">Power out up to 2 weeks; schools closed a week; ~$5M.</t>
  </si>
  <si>
    <t xml:space="preserve">1966-01-29</t>
  </si>
  <si>
    <t xml:space="preserve">1966-01-31</t>
  </si>
  <si>
    <t xml:space="preserve">Blizzard of '66</t>
  </si>
  <si>
    <t xml:space="preserve">Region / central NY</t>
  </si>
  <si>
    <t xml:space="preserve">~12 in Albany; 75 in Oswego</t>
  </si>
  <si>
    <t xml:space="preserve">NESIS Cat 3.</t>
  </si>
  <si>
    <t xml:space="preserve">1966-06-01</t>
  </si>
  <si>
    <t xml:space="preserve">1966-07-31</t>
  </si>
  <si>
    <t xml:space="preserve">Heat wave / drought peak</t>
  </si>
  <si>
    <t xml:space="preserve">Summer 1966 heat</t>
  </si>
  <si>
    <t xml:space="preserve">Prolonged 90s</t>
  </si>
  <si>
    <t xml:space="preserve">Peak of 1960s drought.</t>
  </si>
  <si>
    <t xml:space="preserve">1966-07-03</t>
  </si>
  <si>
    <t xml:space="preserve">Jul 1–5, 1966 peak heat</t>
  </si>
  <si>
    <t xml:space="preserve">1969-12-25</t>
  </si>
  <si>
    <t xml:space="preserve">1969-12-28</t>
  </si>
  <si>
    <t xml:space="preserve">Post-Christmas Snowstorm of 1969</t>
  </si>
  <si>
    <t xml:space="preserve">26.4 in Albany (Dec record, 3rd all-time); –22°F Dec 25</t>
  </si>
  <si>
    <t xml:space="preserve">Streets uncleared 3–4 weeks; Dec 1969 snowiest month on record.</t>
  </si>
  <si>
    <t xml:space="preserve">1971-01-19</t>
  </si>
  <si>
    <t xml:space="preserve">Albany all-time record low</t>
  </si>
  <si>
    <t xml:space="preserve">–28°F</t>
  </si>
  <si>
    <t xml:space="preserve">Verify against ALB_Extremes.pdf.</t>
  </si>
  <si>
    <t xml:space="preserve">1971-11-24</t>
  </si>
  <si>
    <t xml:space="preserve">1971-11-25</t>
  </si>
  <si>
    <t xml:space="preserve">Thanksgiving Snowstorm of 1971</t>
  </si>
  <si>
    <t xml:space="preserve">Catskills / upper Hudson</t>
  </si>
  <si>
    <t xml:space="preserve">22.5 in Albany; up to 30 in</t>
  </si>
  <si>
    <t xml:space="preserve">Greatest November storm on record.</t>
  </si>
  <si>
    <t xml:space="preserve">1972-06-19</t>
  </si>
  <si>
    <t xml:space="preserve">1972-06-25</t>
  </si>
  <si>
    <t xml:space="preserve">Hurricane Agnes</t>
  </si>
  <si>
    <t xml:space="preserve">Southern Tier / Catskills</t>
  </si>
  <si>
    <t xml:space="preserve">10 in+ Slide Mtn; Sacandaga record level</t>
  </si>
  <si>
    <t xml:space="preserve">Devastating in Elmira/Corning; Esopus flooding relatively minor.</t>
  </si>
  <si>
    <t xml:space="preserve">1973-08-28</t>
  </si>
  <si>
    <t xml:space="preserve">Columbia County F4 (into MA)</t>
  </si>
  <si>
    <t xml:space="preserve">Columbia / Rensselaer counties</t>
  </si>
  <si>
    <t xml:space="preserve">F4; first recorded F4 in NY</t>
  </si>
  <si>
    <t xml:space="preserve">1973-12-16</t>
  </si>
  <si>
    <t xml:space="preserve">1973-12-17</t>
  </si>
  <si>
    <t xml:space="preserve">December 1973 ice storm</t>
  </si>
  <si>
    <t xml:space="preserve">Lower Hudson / CT</t>
  </si>
  <si>
    <t xml:space="preserve">Weeks-long outages locally</t>
  </si>
  <si>
    <t xml:space="preserve">Mostly CT; verify NY extent.</t>
  </si>
  <si>
    <t xml:space="preserve">1974-06-16</t>
  </si>
  <si>
    <t xml:space="preserve">Greene→Saratoga long-track F3</t>
  </si>
  <si>
    <t xml:space="preserve">Greene / Albany / Saratoga</t>
  </si>
  <si>
    <t xml:space="preserve">F3; ~49 mi track</t>
  </si>
  <si>
    <t xml:space="preserve">Knox Cave entrance-sinkhole ice collapse</t>
  </si>
  <si>
    <t xml:space="preserve">Knox, Albany Co. (Helderberg karst)</t>
  </si>
  <si>
    <t xml:space="preserve">Spring 1975 (Mar or May per conflicting accounts): SUNY Albany students tried to enter through the ice-encrusted sink; spring snowmelt/field runoff cascaded behind the ice and a massive block broke away, killing 1 student and paralyzing another from the neck down</t>
  </si>
  <si>
    <t xml:space="preserve">NCC / NSS</t>
  </si>
  <si>
    <t xml:space="preserve">Two intermittent streams feed the sink and build ice that can last into June; the collapse led directly to the founding of the Northeastern Cave Conservancy (whose sole original asset was Knox Cave + 9 acres). D.C. Robinson d.1961; Ada allowed access until her death 1964; Organa Industries bought it mid-1960s &amp; went bankrupt (the rusting steam shovel); arson took the skating rink &amp; the 200-yr-old farmhouse. After the Mar 1975 death, a Schenectady doctor (tax-sale owner) tried to donate it to the NSS, which refused over liability; Palmer, Addis &amp; Harbison founded the NCC in 1978 to save it. Later work added ~1000 ft of passage + an unconnected segment, Crossbones Cave. First safety stairs 1979; replaced by 72 timber-box steps Aug 2025.</t>
  </si>
  <si>
    <t xml:space="preserve">Northeastern Cave Conservancy preserve management plans &amp; board minutes; Altamont Enterprise "Back Roads Geology" (Nardacci); NSS 1991 Knox writeup</t>
  </si>
  <si>
    <t xml:space="preserve">NCC-confirmed. Entrance is an active, steep karst sinkhole — the type-example Subsidence feature on the plateau. DATE: 1975 firm; MONTH unsettled. Nardacci gives March 1975 in one 2018 column and May 1975 in another (both: SUNY Albany students, ice-encrusted sink, spring runoff cascading behind the ice, a block broke away); a third source says 1976. Year=1975 is well-supported; month (Mar vs May) genuinely conflicts even within one author. Do not assert a month.</t>
  </si>
  <si>
    <t xml:space="preserve">1975-09-24</t>
  </si>
  <si>
    <t xml:space="preserve">1975-09-27</t>
  </si>
  <si>
    <t xml:space="preserve">Hurricane Eloise remnants</t>
  </si>
  <si>
    <t xml:space="preserve">Susquehanna / Catskills</t>
  </si>
  <si>
    <t xml:space="preserve">Significant flooding</t>
  </si>
  <si>
    <t xml:space="preserve">1976-02-01</t>
  </si>
  <si>
    <t xml:space="preserve">1976-03-15</t>
  </si>
  <si>
    <t xml:space="preserve">1976 Hudson ice jam at Albany (I-787)</t>
  </si>
  <si>
    <t xml:space="preserve">Albany waterfront</t>
  </si>
  <si>
    <t xml:space="preserve">Large jam along I-787</t>
  </si>
  <si>
    <t xml:space="preserve">Noted by NWS as the major Albany-area jam since 1930s dredging.</t>
  </si>
  <si>
    <t xml:space="preserve">Month approximate – likely Feb–Mar 1976.</t>
  </si>
  <si>
    <t xml:space="preserve">1976-02-22</t>
  </si>
  <si>
    <t xml:space="preserve">1976-02-02</t>
  </si>
  <si>
    <t xml:space="preserve">Flash freeze / wind</t>
  </si>
  <si>
    <t xml:space="preserve">Flash freeze and brief blizzard</t>
  </si>
  <si>
    <t xml:space="preserve">41°F→1°F; gusts 67 mph; record low NY Harbor tide</t>
  </si>
  <si>
    <t xml:space="preserve">Two fatalities; Thruway closed.</t>
  </si>
  <si>
    <t xml:space="preserve">1977-01-01</t>
  </si>
  <si>
    <t xml:space="preserve">1977-01-31</t>
  </si>
  <si>
    <t xml:space="preserve">January 1977</t>
  </si>
  <si>
    <t xml:space="preserve">One of coldest Januaries</t>
  </si>
  <si>
    <t xml:space="preserve">Gas curtailments; Hudson frozen.</t>
  </si>
  <si>
    <t xml:space="preserve">1977-01-17</t>
  </si>
  <si>
    <t xml:space="preserve">Coldest stretch mid-January</t>
  </si>
  <si>
    <t xml:space="preserve">1977-03-13</t>
  </si>
  <si>
    <t xml:space="preserve">1977-03-15</t>
  </si>
  <si>
    <t xml:space="preserve">March 1977 flood – Green Island Bridge collapse</t>
  </si>
  <si>
    <t xml:space="preserve">Mohawk / Hudson</t>
  </si>
  <si>
    <t xml:space="preserve">Record on Mohawk at Little Falls; 70s–80s warmth + snowpack + 3 in rain</t>
  </si>
  <si>
    <t xml:space="preserve">Worst regional flood since 1949; Green Island Bridge collapsed into Hudson Mar 15.</t>
  </si>
  <si>
    <t xml:space="preserve">1978-01-01</t>
  </si>
  <si>
    <t xml:space="preserve">1978-01-31</t>
  </si>
  <si>
    <t xml:space="preserve">Ice-jam flood</t>
  </si>
  <si>
    <t xml:space="preserve">January 1978 Prattsville ice jam</t>
  </si>
  <si>
    <t xml:space="preserve">Schoharie Creek</t>
  </si>
  <si>
    <t xml:space="preserve">Ice jam blocked reservoir outflow</t>
  </si>
  <si>
    <t xml:space="preserve">Widespread flooding; dairy herd drowned in barn.</t>
  </si>
  <si>
    <t xml:space="preserve">1978-01-16</t>
  </si>
  <si>
    <t xml:space="preserve">1978-02-06</t>
  </si>
  <si>
    <t xml:space="preserve">1978-02-07</t>
  </si>
  <si>
    <t xml:space="preserve">Blizzard of '78</t>
  </si>
  <si>
    <t xml:space="preserve">13.4 in Albany; 25 in Prattsville; 30 in E. Wallingford VT</t>
  </si>
  <si>
    <t xml:space="preserve">NESIS Cat 3; winter 1977–78 = 92.4 in.</t>
  </si>
  <si>
    <t xml:space="preserve">1979-01-15</t>
  </si>
  <si>
    <t xml:space="preserve">1979-03-15</t>
  </si>
  <si>
    <t xml:space="preserve">Schoharie Creek ice jam – dairy herd drowned (1978/79)</t>
  </si>
  <si>
    <t xml:space="preserve">Prattsville / upper Schoharie</t>
  </si>
  <si>
    <t xml:space="preserve">Jam above the reservoir on sheet ice</t>
  </si>
  <si>
    <t xml:space="preserve">Entire dairy herd drowned in a barn when water backed up behind a jam.</t>
  </si>
  <si>
    <t xml:space="preserve">NWS Past Events page says Jan 1978; NWS ice-jam PDF says 1979 – same event, year in dispute. Row above (Jan 1978) kept; resolve before plotting.</t>
  </si>
  <si>
    <t xml:space="preserve">1979-02-13</t>
  </si>
  <si>
    <t xml:space="preserve">1979-03-01</t>
  </si>
  <si>
    <t xml:space="preserve">1979-03-31</t>
  </si>
  <si>
    <t xml:space="preserve">March 1979 ice jams</t>
  </si>
  <si>
    <t xml:space="preserve">Hudson, Mohawk, Schoharie</t>
  </si>
  <si>
    <t xml:space="preserve">Severe ice jamming</t>
  </si>
  <si>
    <t xml:space="preserve">1979-03-16</t>
  </si>
  <si>
    <t xml:space="preserve">1980-03-01</t>
  </si>
  <si>
    <t xml:space="preserve">1980-03-31</t>
  </si>
  <si>
    <t xml:space="preserve">'Great Catskill Toilet Flush' (March 1980)</t>
  </si>
  <si>
    <t xml:space="preserve">Schoharie / Catskill / Esopus creeks</t>
  </si>
  <si>
    <t xml:space="preserve">~10 in rain on bare frozen ground</t>
  </si>
  <si>
    <t xml:space="preserve">Rapid severe floods; one fatality at a roadblock.</t>
  </si>
  <si>
    <t xml:space="preserve">1980-03-16</t>
  </si>
  <si>
    <t xml:space="preserve">1980-06-01</t>
  </si>
  <si>
    <t xml:space="preserve">1981-06-30</t>
  </si>
  <si>
    <t xml:space="preserve">1980–81 drought</t>
  </si>
  <si>
    <t xml:space="preserve">NYC watershed / Hudson</t>
  </si>
  <si>
    <t xml:space="preserve">NYC water emergency</t>
  </si>
  <si>
    <t xml:space="preserve">1981-01-15</t>
  </si>
  <si>
    <t xml:space="preserve">NYC water emergency declared winter 1981</t>
  </si>
  <si>
    <t xml:space="preserve">1981-02-01</t>
  </si>
  <si>
    <t xml:space="preserve">1981-02-28</t>
  </si>
  <si>
    <t xml:space="preserve">February 1981 Mohawk ice jam</t>
  </si>
  <si>
    <t xml:space="preserve">Mohawk near Fonda</t>
  </si>
  <si>
    <t xml:space="preserve">Nearly flooded Thruway</t>
  </si>
  <si>
    <t xml:space="preserve">1981-02-14</t>
  </si>
  <si>
    <t xml:space="preserve">1982-04-06</t>
  </si>
  <si>
    <t xml:space="preserve">1982-04-07</t>
  </si>
  <si>
    <t xml:space="preserve">April 1982 blizzard</t>
  </si>
  <si>
    <t xml:space="preserve">17.7 in Albany (April record); 1–2 ft widely; thundersnow</t>
  </si>
  <si>
    <t xml:space="preserve">Worst April snowstorm in local history.</t>
  </si>
  <si>
    <t xml:space="preserve">1983-01-15</t>
  </si>
  <si>
    <t xml:space="preserve">1983-01-16</t>
  </si>
  <si>
    <t xml:space="preserve">January 1983 snowstorm</t>
  </si>
  <si>
    <t xml:space="preserve">24.5 in Albany (January record); ~30 in Saratoga Co.</t>
  </si>
  <si>
    <t xml:space="preserve">Travel standstill.</t>
  </si>
  <si>
    <t xml:space="preserve">1983-04-01</t>
  </si>
  <si>
    <t xml:space="preserve">1983-05-31</t>
  </si>
  <si>
    <t xml:space="preserve">Spring Monsoon 1983</t>
  </si>
  <si>
    <t xml:space="preserve">18 in+ over 2 months (Ellenville, NYC)</t>
  </si>
  <si>
    <t xml:space="preserve">coop</t>
  </si>
  <si>
    <t xml:space="preserve">Sacandaga spilled May 1 for first time since 1930.</t>
  </si>
  <si>
    <t xml:space="preserve">1983-05-01</t>
  </si>
  <si>
    <t xml:space="preserve">Sacandaga spilled over for the first time</t>
  </si>
  <si>
    <t xml:space="preserve">1985-09-27</t>
  </si>
  <si>
    <t xml:space="preserve">Hurricane Gloria</t>
  </si>
  <si>
    <t xml:space="preserve">Wind damage/outages</t>
  </si>
  <si>
    <t xml:space="preserve">1987-04-04</t>
  </si>
  <si>
    <t xml:space="preserve">1987-04-06</t>
  </si>
  <si>
    <t xml:space="preserve">April 1987 flood – Schoharie Thruway bridge collapse</t>
  </si>
  <si>
    <t xml:space="preserve">Mohawk / Catskills / New England</t>
  </si>
  <si>
    <t xml:space="preserve">Snowmelt + heavy rain Mar 31 &amp; Apr 4–7</t>
  </si>
  <si>
    <t xml:space="preserve">Thruway bridge over Schoharie Creek collapsed Apr 5; ≥10 dead; evacuations.</t>
  </si>
  <si>
    <t xml:space="preserve">1987-10-04</t>
  </si>
  <si>
    <t xml:space="preserve">October 4, 1987 snowstorm</t>
  </si>
  <si>
    <t xml:space="preserve">Eastern NY / W. New England</t>
  </si>
  <si>
    <t xml:space="preserve">3 in–2 ft wet snow (ratio ~3.5:1); 6.5 in Albany (earliest measurable)</t>
  </si>
  <si>
    <t xml:space="preserve">Leaf-on trees; hundreds of thousands without power up to 2 weeks; deaths.</t>
  </si>
  <si>
    <t xml:space="preserve">1988-06-01</t>
  </si>
  <si>
    <t xml:space="preserve">1988-08-31</t>
  </si>
  <si>
    <t xml:space="preserve">Drought / heat</t>
  </si>
  <si>
    <t xml:space="preserve">Summer 1988</t>
  </si>
  <si>
    <t xml:space="preserve">Failed hay crops.</t>
  </si>
  <si>
    <t xml:space="preserve">1988-07-15</t>
  </si>
  <si>
    <t xml:space="preserve">Mid-summer</t>
  </si>
  <si>
    <t xml:space="preserve">1989-07-10</t>
  </si>
  <si>
    <t xml:space="preserve">Tornado outbreak</t>
  </si>
  <si>
    <t xml:space="preserve">July 10, 1989 F4 tornado family (Ames→East Durham)</t>
  </si>
  <si>
    <t xml:space="preserve">Montgomery / Schoharie / Albany / Greene</t>
  </si>
  <si>
    <t xml:space="preserve">F4; 42-mi path; 20 injured; ~$20–27M</t>
  </si>
  <si>
    <t xml:space="preserve">Touchdowns near Rensselaerville and Greenville; only F4 in NY to date; 17 tornadoes regionally.</t>
  </si>
  <si>
    <t xml:space="preserve">https://en.wikipedia.org/wiki/July_1989_Northeastern_United_States_tornado_outbreak</t>
  </si>
  <si>
    <t xml:space="preserve">Passed within a few miles of Westerlo.</t>
  </si>
  <si>
    <t xml:space="preserve">1989-11-16</t>
  </si>
  <si>
    <t xml:space="preserve">Downburst / tornado</t>
  </si>
  <si>
    <t xml:space="preserve">Coldenham (Newburgh) school disaster</t>
  </si>
  <si>
    <t xml:space="preserve">Orange County</t>
  </si>
  <si>
    <t xml:space="preserve">Downburst per Fujita; 9 children killed</t>
  </si>
  <si>
    <t xml:space="preserve">East Coldenham Elementary cafeteria wall collapse.</t>
  </si>
  <si>
    <t xml:space="preserve">Outside 30-mi radius; included for regional impact.</t>
  </si>
  <si>
    <t xml:space="preserve">1991-01-01</t>
  </si>
  <si>
    <t xml:space="preserve">1991-12-31</t>
  </si>
  <si>
    <t xml:space="preserve">Flash flood (karst)</t>
  </si>
  <si>
    <t xml:space="preserve">Onesquethaw Cave flood traps Syracuse students</t>
  </si>
  <si>
    <t xml:space="preserve">Clarksville / New Scotland (Onesquethaw Cave)</t>
  </si>
  <si>
    <t xml:space="preserve">A torrential surge flooded Onesquethaw Cave to near the ceiling, briefly trapping a college group; they clung to a high-ceilinged room until levels dropped; rescue by the Albany-Schoharie Cave Rescue group and local fire companies, with Northeast news coverage</t>
  </si>
  <si>
    <t xml:space="preserve">A DATED karst flash-flood: intense precipitation sent a roaring stream into the sink faster than the conduit could carry it. Ties the karst layer to a rapid-runoff event. Exact date within 1991 not given.</t>
  </si>
  <si>
    <t xml:space="preserve">Northeastern Cave Conservancy / NSS; Altamont Enterprise Back Roads Geology (Nardacci)</t>
  </si>
  <si>
    <t xml:space="preserve">DATE = year only (1991); do not plot as a precise point. Demonstrates Onesquethaw can fill to the ceiling after sudden heavy rain.</t>
  </si>
  <si>
    <t xml:space="preserve">1991-07-01</t>
  </si>
  <si>
    <t xml:space="preserve">Year only (1991); month unknown; do NOT plot as a precise point</t>
  </si>
  <si>
    <t xml:space="preserve">1992-12-10</t>
  </si>
  <si>
    <t xml:space="preserve">1992-12-12</t>
  </si>
  <si>
    <t xml:space="preserve">Nor'easter (downslope)</t>
  </si>
  <si>
    <t xml:space="preserve">Downslope Nor'easter 1992</t>
  </si>
  <si>
    <t xml:space="preserve">Berkshires / Catskills / Helderbergs</t>
  </si>
  <si>
    <t xml:space="preserve">30–48 in Berkshires; 18–39 in Catskills &amp; Helderbergs; 6 in Albany</t>
  </si>
  <si>
    <t xml:space="preserve">Schools closed a week; National Guard snow removal.</t>
  </si>
  <si>
    <t xml:space="preserve">Helderbergs explicitly named.</t>
  </si>
  <si>
    <t xml:space="preserve">1993-03-13</t>
  </si>
  <si>
    <t xml:space="preserve">1993-03-14</t>
  </si>
  <si>
    <t xml:space="preserve">Superstorm of 1993</t>
  </si>
  <si>
    <t xml:space="preserve">26.6 in Albany; 40 in Halcott Center; 36 in Prattsville; 28.68 in Hg</t>
  </si>
  <si>
    <t xml:space="preserve">5–6 in/hr rates; state of emergency; NESIS Cat 5 (#1).</t>
  </si>
  <si>
    <t xml:space="preserve">1994-01-01</t>
  </si>
  <si>
    <t xml:space="preserve">1994-01-31</t>
  </si>
  <si>
    <t xml:space="preserve">Arctic outbreak / ice</t>
  </si>
  <si>
    <t xml:space="preserve">January 1994</t>
  </si>
  <si>
    <t xml:space="preserve">Coldest January in decades</t>
  </si>
  <si>
    <t xml:space="preserve">Ice storms; pipe/heat failures.</t>
  </si>
  <si>
    <t xml:space="preserve">1994-01-19</t>
  </si>
  <si>
    <t xml:space="preserve">Jan 19–21 record cold</t>
  </si>
  <si>
    <t xml:space="preserve">1995-07-15</t>
  </si>
  <si>
    <t xml:space="preserve">Derecho</t>
  </si>
  <si>
    <t xml:space="preserve">Adirondack derecho</t>
  </si>
  <si>
    <t xml:space="preserve">Adirondacks / Capital Region</t>
  </si>
  <si>
    <t xml:space="preserve">100+ mph; 1 death Albany County</t>
  </si>
  <si>
    <t xml:space="preserve">Forest blowdown north of Albany.</t>
  </si>
  <si>
    <t xml:space="preserve">NCEI Storm Events Database</t>
  </si>
  <si>
    <t xml:space="preserve">https://www.ncei.noaa.gov/stormevents/</t>
  </si>
  <si>
    <t xml:space="preserve">1996-01-07</t>
  </si>
  <si>
    <t xml:space="preserve">1996-01-08</t>
  </si>
  <si>
    <t xml:space="preserve">Blizzard of '96</t>
  </si>
  <si>
    <t xml:space="preserve">2–3 ft</t>
  </si>
  <si>
    <t xml:space="preserve">1996-01-19</t>
  </si>
  <si>
    <t xml:space="preserve">1996-01-20</t>
  </si>
  <si>
    <t xml:space="preserve">Rain-on-snow flood</t>
  </si>
  <si>
    <t xml:space="preserve">Northeast Floods of January 1996</t>
  </si>
  <si>
    <t xml:space="preserve">Schoharie / Mohawk / Hudson</t>
  </si>
  <si>
    <t xml:space="preserve">2–4 in rain on rapid snowmelt; Albany 15.5 ft (greatest since 1949); record on Schoharie Cr.</t>
  </si>
  <si>
    <t xml:space="preserve">'Flash flood' behavior on main-stem rivers; ice jams; deaths, hundreds of homes lost.</t>
  </si>
  <si>
    <t xml:space="preserve">1996-07-12</t>
  </si>
  <si>
    <t xml:space="preserve">1996-07-13</t>
  </si>
  <si>
    <t xml:space="preserve">Hurricane Bertha remnants</t>
  </si>
  <si>
    <t xml:space="preserve">Lower–mid Hudson / Catskills / Albany Co.</t>
  </si>
  <si>
    <t xml:space="preserve">5–7 in rain</t>
  </si>
  <si>
    <t xml:space="preserve">Flooding most widespread in Bethlehem, New Scotland and Rensselaerville; Normans Kill over banks.</t>
  </si>
  <si>
    <t xml:space="preserve">Rensselaerville named – adjacent to Westerlo.</t>
  </si>
  <si>
    <t xml:space="preserve">1998-01-05</t>
  </si>
  <si>
    <t xml:space="preserve">1998-01-10</t>
  </si>
  <si>
    <t xml:space="preserve">Great Ice Storm of 1998</t>
  </si>
  <si>
    <t xml:space="preserve">Ice &gt;3 in; rain &gt;4 in</t>
  </si>
  <si>
    <t xml:space="preserve">Catastrophic to the north; Capital Region on southern fringe.</t>
  </si>
  <si>
    <t xml:space="preserve">1998-01-09</t>
  </si>
  <si>
    <t xml:space="preserve">Ice jam / flood</t>
  </si>
  <si>
    <t xml:space="preserve">January 1998 Hudson crest at Troy</t>
  </si>
  <si>
    <t xml:space="preserve">24.77 ft (9th highest)</t>
  </si>
  <si>
    <t xml:space="preserve">Rain + snowmelt + ice during the Great Ice Storm week.</t>
  </si>
  <si>
    <t xml:space="preserve">1998-05-31</t>
  </si>
  <si>
    <t xml:space="preserve">Tornado / derecho</t>
  </si>
  <si>
    <t xml:space="preserve">Mechanicville–Stillwater F3 tornado</t>
  </si>
  <si>
    <t xml:space="preserve">Saratoga / Rensselaer / Albany</t>
  </si>
  <si>
    <t xml:space="preserve">F3; 68 injuries; &gt;$60M</t>
  </si>
  <si>
    <t xml:space="preserve">Strongest Capital Region tornado; part of a derecho.</t>
  </si>
  <si>
    <t xml:space="preserve">1999-06-01</t>
  </si>
  <si>
    <t xml:space="preserve">1999-08-31</t>
  </si>
  <si>
    <t xml:space="preserve">Summer 1999 drought</t>
  </si>
  <si>
    <t xml:space="preserve">Ag disaster declarations.</t>
  </si>
  <si>
    <t xml:space="preserve">1999-07-06</t>
  </si>
  <si>
    <t xml:space="preserve">Jul 4–6 heat peak inside the drought</t>
  </si>
  <si>
    <t xml:space="preserve">1999-09-16</t>
  </si>
  <si>
    <t xml:space="preserve">1999-09-17</t>
  </si>
  <si>
    <t xml:space="preserve">Tropical Storm Floyd</t>
  </si>
  <si>
    <t xml:space="preserve">3–12 in; Albany 5.60 in Sep 16 (wettest day on record)</t>
  </si>
  <si>
    <t xml:space="preserve">Flash flooding Hudson Valley/Catskills.</t>
  </si>
  <si>
    <t xml:space="preserve">Albany daily record confirmed on 2026 flood page.</t>
  </si>
  <si>
    <t xml:space="preserve">2002-05-18</t>
  </si>
  <si>
    <t xml:space="preserve">May 18, 2002 snowstorm</t>
  </si>
  <si>
    <t xml:space="preserve">Catskills / Schoharie / Albany</t>
  </si>
  <si>
    <t xml:space="preserve">8 in Prattsville; 6.5 in Summit; 2.2 in Albany (latest measurable)</t>
  </si>
  <si>
    <t xml:space="preserve">Power outages in the Catskills.</t>
  </si>
  <si>
    <t xml:space="preserve">2002-12-25</t>
  </si>
  <si>
    <t xml:space="preserve">2003-01-04</t>
  </si>
  <si>
    <t xml:space="preserve">Nor'easters</t>
  </si>
  <si>
    <t xml:space="preserve">Double-barrel nor'easters 2002–03</t>
  </si>
  <si>
    <t xml:space="preserve">21 in and 20.8 in Albany</t>
  </si>
  <si>
    <t xml:space="preserve">First two 20-in storms in one winter since 1887–88; winter 2002–03 = 105.4 in (3rd snowiest).</t>
  </si>
  <si>
    <t xml:space="preserve">2003-02-17</t>
  </si>
  <si>
    <t xml:space="preserve">Presidents' Day Storm II</t>
  </si>
  <si>
    <t xml:space="preserve">Up to 2 ft Berkshires</t>
  </si>
  <si>
    <t xml:space="preserve">NESIS Cat 4.</t>
  </si>
  <si>
    <t xml:space="preserve">2003-04-03</t>
  </si>
  <si>
    <t xml:space="preserve">2003-04-05</t>
  </si>
  <si>
    <t xml:space="preserve">Ice / snow storm</t>
  </si>
  <si>
    <t xml:space="preserve">April 2003 snow &amp; sleet storm</t>
  </si>
  <si>
    <t xml:space="preserve">Region north of Schoharie Co.</t>
  </si>
  <si>
    <t xml:space="preserve">½–1 in ice; 12–18 in snow north</t>
  </si>
  <si>
    <t xml:space="preserve">Outages until Apr 8.</t>
  </si>
  <si>
    <t xml:space="preserve">2003-07-21</t>
  </si>
  <si>
    <t xml:space="preserve">July 21, 2003 outbreak</t>
  </si>
  <si>
    <t xml:space="preserve">Greene / Columbia / Rensselaer / Bennington</t>
  </si>
  <si>
    <t xml:space="preserve">≥13 tornadoes F0–F2</t>
  </si>
  <si>
    <t xml:space="preserve">2003-12-06</t>
  </si>
  <si>
    <t xml:space="preserve">2003-12-07</t>
  </si>
  <si>
    <t xml:space="preserve">December 2003 snowstorm</t>
  </si>
  <si>
    <t xml:space="preserve">Rensselaer County band</t>
  </si>
  <si>
    <t xml:space="preserve">32 in Averill Park</t>
  </si>
  <si>
    <t xml:space="preserve">Mesoscale banding east of the Hudson.</t>
  </si>
  <si>
    <t xml:space="preserve">2004-02-01</t>
  </si>
  <si>
    <t xml:space="preserve">2004-02-28</t>
  </si>
  <si>
    <t xml:space="preserve">February 2004 Schoharie Creek ice jam</t>
  </si>
  <si>
    <t xml:space="preserve">Schoharie Cr. at Route 5S, Montgomery Co.</t>
  </si>
  <si>
    <t xml:space="preserve">3-mile jam</t>
  </si>
  <si>
    <t xml:space="preserve">Minor flooding; heavy tree damage.</t>
  </si>
  <si>
    <t xml:space="preserve">Day not given.</t>
  </si>
  <si>
    <t xml:space="preserve">2004-02-14</t>
  </si>
  <si>
    <t xml:space="preserve">2004-09-17</t>
  </si>
  <si>
    <t xml:space="preserve">2004-09-18</t>
  </si>
  <si>
    <t xml:space="preserve">Hurricane Ivan remnants</t>
  </si>
  <si>
    <t xml:space="preserve">Up to 6 in</t>
  </si>
  <si>
    <t xml:space="preserve">2005-01-13</t>
  </si>
  <si>
    <t xml:space="preserve">2005-01-15</t>
  </si>
  <si>
    <t xml:space="preserve">January 2005 thaw flood</t>
  </si>
  <si>
    <t xml:space="preserve">Wappingers Cr. highest since 1987.</t>
  </si>
  <si>
    <t xml:space="preserve">2005-04-02</t>
  </si>
  <si>
    <t xml:space="preserve">2005-04-04</t>
  </si>
  <si>
    <t xml:space="preserve">April 2005 flood</t>
  </si>
  <si>
    <t xml:space="preserve">Ulster / Greene / upper Hudson</t>
  </si>
  <si>
    <t xml:space="preserve">3–6 in Catskills; Esopus at Mt Marion 26.24 ft (flood of record)</t>
  </si>
  <si>
    <t xml:space="preserve">USGS Mt Marion</t>
  </si>
  <si>
    <t xml:space="preserve">USGS ~100-yr event upper Hudson.</t>
  </si>
  <si>
    <t xml:space="preserve">2005-10-07</t>
  </si>
  <si>
    <t xml:space="preserve">2005-10-14</t>
  </si>
  <si>
    <t xml:space="preserve">October 2005 (Tammy + coastal low)</t>
  </si>
  <si>
    <t xml:space="preserve">Dutchess / Litchfield</t>
  </si>
  <si>
    <t xml:space="preserve">1–2 ft rain total</t>
  </si>
  <si>
    <t xml:space="preserve">Ended a drought; moderate–major flooding.</t>
  </si>
  <si>
    <t xml:space="preserve">2006-06-01</t>
  </si>
  <si>
    <t xml:space="preserve">2006-08-31</t>
  </si>
  <si>
    <t xml:space="preserve">Kaaterskill Clove landslides close NY 23A</t>
  </si>
  <si>
    <t xml:space="preserve">Kaaterskill Clove, Greene Co.</t>
  </si>
  <si>
    <t xml:space="preserve">Route closed several months</t>
  </si>
  <si>
    <t xml:space="preserve">Heavy-rain-triggered slides (same wet June as the 2006 flood).</t>
  </si>
  <si>
    <t xml:space="preserve">https://en.wikipedia.org/wiki/New_York_State_Route_23A</t>
  </si>
  <si>
    <t xml:space="preserve">2006-07-16</t>
  </si>
  <si>
    <t xml:space="preserve">2006-06-26</t>
  </si>
  <si>
    <t xml:space="preserve">2006-06-30</t>
  </si>
  <si>
    <t xml:space="preserve">End of June 2006 flood</t>
  </si>
  <si>
    <t xml:space="preserve">Mohawk / Hudson / eastern Catskills</t>
  </si>
  <si>
    <t xml:space="preserve">~1 in to ~12 in eastern Catskills</t>
  </si>
  <si>
    <t xml:space="preserve">Delaware record crests; federal disaster.</t>
  </si>
  <si>
    <t xml:space="preserve">2007-01-14</t>
  </si>
  <si>
    <t xml:space="preserve">2007-01-15</t>
  </si>
  <si>
    <t xml:space="preserve">January 2007 ice storm</t>
  </si>
  <si>
    <t xml:space="preserve">Capital Region / Saratoga</t>
  </si>
  <si>
    <t xml:space="preserve">Up to 1 in ice; &gt;100,000 outages</t>
  </si>
  <si>
    <t xml:space="preserve">2007-02-14</t>
  </si>
  <si>
    <t xml:space="preserve">Valentine's Day Storm 2007</t>
  </si>
  <si>
    <t xml:space="preserve">1–3+ ft; rates 2–6 in/hr</t>
  </si>
  <si>
    <t xml:space="preserve">2007-04-15</t>
  </si>
  <si>
    <t xml:space="preserve">2007-04-16</t>
  </si>
  <si>
    <t xml:space="preserve">Nor'easter / flood</t>
  </si>
  <si>
    <t xml:space="preserve">Tax Day nor'easter 2007</t>
  </si>
  <si>
    <t xml:space="preserve">Eastern Catskills / mid-Hudson</t>
  </si>
  <si>
    <t xml:space="preserve">6–8 in rain; 969 mb; 1–1.5 ft snow high terrain</t>
  </si>
  <si>
    <t xml:space="preserve">Widespread flooding.</t>
  </si>
  <si>
    <t xml:space="preserve">2008-08-01</t>
  </si>
  <si>
    <t xml:space="preserve">2008-08-31</t>
  </si>
  <si>
    <t xml:space="preserve">Infrastructure / flood (human cause)</t>
  </si>
  <si>
    <t xml:space="preserve">McKownville basement wall collapse (Providence St)</t>
  </si>
  <si>
    <t xml:space="preserve">Guilderland (McKownville, Providence St)</t>
  </si>
  <si>
    <t xml:space="preserve">A basement wall collapsed due to flooding, Aug 2008; ~$15,000 damage. Part of the chronic McKownville stormwater failure along Rte 20 / old sewer lines</t>
  </si>
  <si>
    <t xml:space="preserve">Enterprise / McKownville Improvement Assoc.</t>
  </si>
  <si>
    <t xml:space="preserve">NOT karst — failing storm/sewer drainage. Same corridor as the 2024 Burger King culvert washout &amp; Western Ave flooding.</t>
  </si>
  <si>
    <t xml:space="preserve">Altamont Enterprise, 2 Jul 2009 (McKownville stormwater)</t>
  </si>
  <si>
    <t xml:space="preserve">https://altamontenterprise.com/</t>
  </si>
  <si>
    <t xml:space="preserve">Human cause (drainage failure). Month-only date (Aug 2008).</t>
  </si>
  <si>
    <t xml:space="preserve">2008-08-15</t>
  </si>
  <si>
    <t xml:space="preserve">Aug 2008; day not given</t>
  </si>
  <si>
    <t xml:space="preserve">2008-12-11</t>
  </si>
  <si>
    <t xml:space="preserve">2008-12-12</t>
  </si>
  <si>
    <t xml:space="preserve">December 2008 ice storm</t>
  </si>
  <si>
    <t xml:space="preserve">Capital District / Berkshires</t>
  </si>
  <si>
    <t xml:space="preserve">½–1 in ice; ~350,000 outages</t>
  </si>
  <si>
    <t xml:space="preserve">60,000 still out Dec 15; 10,000 Dec 17.</t>
  </si>
  <si>
    <t xml:space="preserve">2009-04-01</t>
  </si>
  <si>
    <t xml:space="preserve">2009-05-31</t>
  </si>
  <si>
    <t xml:space="preserve">Sinkhole (infrastructure, human cause)</t>
  </si>
  <si>
    <t xml:space="preserve">McKownville driveway sinkholes (Knowles Terrace)</t>
  </si>
  <si>
    <t xml:space="preserve">Guilderland (McKownville: Knowles Terrace &amp; Fuller Rd–city line)</t>
  </si>
  <si>
    <t xml:space="preserve">At least two driveway sinkholes opened spring 2009 (one 8–12 in across opening into a crawlable void under the driveway), attributed to a failing old sewer line; more reported between Fuller Rd and the Albany city line</t>
  </si>
  <si>
    <t xml:space="preserve">Enterprise / resident (Merlis)</t>
  </si>
  <si>
    <t xml:space="preserve">NOT karst — collapse over a failing sewer line. The McKownville stormwater problem was already ~34 yrs old in 2009 (dates to ~1975); flooding &amp; sinkholes worsening since 2007. $5.75M fix proposed.</t>
  </si>
  <si>
    <t xml:space="preserve">Human cause. Earliest detailed record of the McKownville sinkhole/flood corridor — extends the recurring-failure pattern back to ~1975.</t>
  </si>
  <si>
    <t xml:space="preserve">2009-04-15</t>
  </si>
  <si>
    <t xml:space="preserve">Spring 2009; reported Jul 2009, holes appeared ~8 weeks prior</t>
  </si>
  <si>
    <t xml:space="preserve">2010-01-01</t>
  </si>
  <si>
    <t xml:space="preserve">2024-12-31</t>
  </si>
  <si>
    <t xml:space="preserve">Lake Albany clay slides – recurring (Delmar, Greenport, Rensselaer, Germantown, New Baltimore)</t>
  </si>
  <si>
    <t xml:space="preserve">Hudson Valley clay terraces</t>
  </si>
  <si>
    <t xml:space="preserve">Multiple small slides after heavy rain</t>
  </si>
  <si>
    <t xml:space="preserve">Pattern row: the Glacial Lake Albany silty clays fail repeatedly; individual dates to be pulled.</t>
  </si>
  <si>
    <t xml:space="preserve">The Catskill Geologist</t>
  </si>
  <si>
    <t xml:space="preserve">https://thecatskillgeologist.com/2023/08/17/a-landslide-in-schenectady-8-16-23/</t>
  </si>
  <si>
    <t xml:space="preserve">Pattern row, not an event – use for context, not the timeline.</t>
  </si>
  <si>
    <t xml:space="preserve">2018-02-22</t>
  </si>
  <si>
    <t xml:space="preserve">Pattern row – do not plot as a point</t>
  </si>
  <si>
    <t xml:space="preserve">2010-01-25</t>
  </si>
  <si>
    <t xml:space="preserve">2010-01-26</t>
  </si>
  <si>
    <t xml:space="preserve">Rain/ice-jam flood</t>
  </si>
  <si>
    <t xml:space="preserve">January 2010 flood</t>
  </si>
  <si>
    <t xml:space="preserve">Catskills / Mohawk</t>
  </si>
  <si>
    <t xml:space="preserve">3–5 in Catskills</t>
  </si>
  <si>
    <t xml:space="preserve">Ice jams Dolgeville, Rotterdam Jct.</t>
  </si>
  <si>
    <t xml:space="preserve">2010-02-23</t>
  </si>
  <si>
    <t xml:space="preserve">2010-02-27</t>
  </si>
  <si>
    <t xml:space="preserve">February 2010 'Snowicane' (Parts I &amp; II)</t>
  </si>
  <si>
    <t xml:space="preserve">Region &gt;1500 ft</t>
  </si>
  <si>
    <t xml:space="preserve">1–2 ft wet snow + heavy rain</t>
  </si>
  <si>
    <t xml:space="preserve">Widespread outages, building collapses; NESIS Cat 3.</t>
  </si>
  <si>
    <t xml:space="preserve">Hilltowns snow-load collapses (Altamont Enterprise 4 Mar 2010): Carl Peterson's dairy barn on Bozenkill Rd, Knox (70+ cows inside; 4 lost — 1 died, 3 euthanized; 6,000 sq ft, rebuild &gt;$100k); Rudy Stempel's 50-yr family sawmill, Berne; Township United Methodist Church, Knox. Thompson's Lake residents snowed in for a week.</t>
  </si>
  <si>
    <t xml:space="preserve">2010-09-30</t>
  </si>
  <si>
    <t xml:space="preserve">2010-10-01</t>
  </si>
  <si>
    <t xml:space="preserve">Tropical remnant / flood</t>
  </si>
  <si>
    <t xml:space="preserve">Tropical Storm Nicole remnants</t>
  </si>
  <si>
    <t xml:space="preserve">3–9 in; Albany daily records</t>
  </si>
  <si>
    <t xml:space="preserve">Major flooding Esopus at Cold Brook &amp; Schoharie at Prattsville; wind damage.</t>
  </si>
  <si>
    <t xml:space="preserve">2010-12-26</t>
  </si>
  <si>
    <t xml:space="preserve">2010-12-27</t>
  </si>
  <si>
    <t xml:space="preserve">Boxing Day nor'easter 2010</t>
  </si>
  <si>
    <t xml:space="preserve">East of Hudson</t>
  </si>
  <si>
    <t xml:space="preserve">1–2 ft; gusts 35–45</t>
  </si>
  <si>
    <t xml:space="preserve">2011-01-12</t>
  </si>
  <si>
    <t xml:space="preserve">January 12, 2011</t>
  </si>
  <si>
    <t xml:space="preserve">NESIS Cat 3</t>
  </si>
  <si>
    <t xml:space="preserve">2011-03-06</t>
  </si>
  <si>
    <t xml:space="preserve">2011-03-13</t>
  </si>
  <si>
    <t xml:space="preserve">March 2011 flooding &amp; Mohawk ice jam</t>
  </si>
  <si>
    <t xml:space="preserve">Mohawk / Esopus / Schoharie</t>
  </si>
  <si>
    <t xml:space="preserve">1–3 in, 4–5.5 in eastern Catskills</t>
  </si>
  <si>
    <t xml:space="preserve">Ice jam flooding Niskayuna; record at North Creek.</t>
  </si>
  <si>
    <t xml:space="preserve">2011-07-20</t>
  </si>
  <si>
    <t xml:space="preserve">2011-07-23</t>
  </si>
  <si>
    <t xml:space="preserve">July 2011 heat wave</t>
  </si>
  <si>
    <t xml:space="preserve">2011-07-21</t>
  </si>
  <si>
    <t xml:space="preserve">Peak day</t>
  </si>
  <si>
    <t xml:space="preserve">2011-08-28</t>
  </si>
  <si>
    <t xml:space="preserve">Tropical Storm Irene</t>
  </si>
  <si>
    <t xml:space="preserve">Catskills / Schoharie / Vermont</t>
  </si>
  <si>
    <t xml:space="preserve">4–12 in, locally 18 in; ~1M without power</t>
  </si>
  <si>
    <t xml:space="preserve">Catastrophic: Prattsville, Schoharie, Margaretville, Windham, Phoenicia; I-88 and Thruway closed; towns airlifted supplies. Cost ~$15.8B (Weather Underground: 7th-costliest US disaster at the time).</t>
  </si>
  <si>
    <t xml:space="preserve">Defining modern flood. Hilltowns among the hardest hit: Altamont &gt;11 in (Mayor Gaughan); Onesquethaw, Fox, Catskill Creek &amp; Normans Kill all in flood. See the 3 Irene fatality rows + Berne Mill scour row (Altamont Enterprise 2011-12-29).</t>
  </si>
  <si>
    <t xml:space="preserve">Irene opens a new sinkhole at Onesquethaw Cave</t>
  </si>
  <si>
    <t xml:space="preserve">Clarksville / New Scotland (Onesquethaw Cave preserve)</t>
  </si>
  <si>
    <t xml:space="preserve">Tropical Storm Irene opened a new collapse hole ~18 in across and 6 ft deep over the cave's upper-level passage; a larger sink was already forming in the cornfield between the entrance and the road</t>
  </si>
  <si>
    <t xml:space="preserve">NCC board minutes, 2012-06-10</t>
  </si>
  <si>
    <t xml:space="preserve">A DATED karst collapse triggered by a specific storm — the clearest event-linked subsidence in the register. Ties the karst layer to the Irene flood row.</t>
  </si>
  <si>
    <t xml:space="preserve">https://necaveconservancy.org/assets/documents/minutes/2012-06-10_minutes_Newton,%20NJ.pdf</t>
  </si>
  <si>
    <t xml:space="preserve">Companion to the Irene flood rows; shows heavy rain can trigger plateau karst collapse.</t>
  </si>
  <si>
    <t xml:space="preserve">Irene opens new sinkholes on the Barber Family Farm, Knox</t>
  </si>
  <si>
    <t xml:space="preserve">Knox (Albany Co.), Barber Family Farm</t>
  </si>
  <si>
    <t xml:space="preserve">A series of new sinkholes opened on the Barber Family Farm after Tropical Storm Irene; specifically studied by SUNY Brockport (Richards) during the 2014-15 Albany Co. karst mapping</t>
  </si>
  <si>
    <t xml:space="preserve">McLean letter / Brockport study</t>
  </si>
  <si>
    <t xml:space="preserve">SECOND documented Irene-triggered karst collapse on the plateau (with the Onesquethaw hole) - strengthens the storm-triggers-collapse pattern to two independent Knox-area instances.</t>
  </si>
  <si>
    <t xml:space="preserve">McLean letter, Altamont Enterprise 19 Nov 2014; SUNY Brockport (Richards) LiDAR karst study; USGS Kappel et al. 2020</t>
  </si>
  <si>
    <t xml:space="preserve">https://altamontenterprise.com/opinion/letters-editor/berne-knox-westerlo/11192014/knox-sinkholes-studied-guide-farmers</t>
  </si>
  <si>
    <t xml:space="preserve">Companion to the 2011 Onesquethaw Irene collapse. Dated to Irene (2011); the new sinks were mapped/studied 2014-15.</t>
  </si>
  <si>
    <t xml:space="preserve">Landslide / debris flow</t>
  </si>
  <si>
    <t xml:space="preserve">Irene debris flows – Catskill escarpment</t>
  </si>
  <si>
    <t xml:space="preserve">Shingle Kill / Arizona Mtn, Greene Co., and many Catskill hollows</t>
  </si>
  <si>
    <t xml:space="preserve">Up to 18 in rain on the NE escarpment</t>
  </si>
  <si>
    <t xml:space="preserve">Debris flow ~100 ft wide blew open a channel and dammed a culvert; many similar slides across the Catskills.</t>
  </si>
  <si>
    <t xml:space="preserve">Scientific American (2025)</t>
  </si>
  <si>
    <t xml:space="preserve">https://www.scientificamerican.com/article/how-climate-change-is-increasing-landslide-risk-worldwide/</t>
  </si>
  <si>
    <t xml:space="preserve">Companion to the Irene row; check Greene Co. hazard-mitigation plan for the full inventory.</t>
  </si>
  <si>
    <t xml:space="preserve">2011-09-05</t>
  </si>
  <si>
    <t xml:space="preserve">2011-09-08</t>
  </si>
  <si>
    <t xml:space="preserve">Tropical Storm Lee remnants</t>
  </si>
  <si>
    <t xml:space="preserve">2–9 in</t>
  </si>
  <si>
    <t xml:space="preserve">Major flooding western Mohawk on saturated ground.</t>
  </si>
  <si>
    <t xml:space="preserve">2011-10-29</t>
  </si>
  <si>
    <t xml:space="preserve">2011-10-30</t>
  </si>
  <si>
    <t xml:space="preserve">Early-season nor'easter</t>
  </si>
  <si>
    <t xml:space="preserve">'Snowtober' 2011</t>
  </si>
  <si>
    <t xml:space="preserve">S &amp; E of Capital District</t>
  </si>
  <si>
    <t xml:space="preserve">10–16 in eastern Catskills; up to 2 ft Taconics</t>
  </si>
  <si>
    <t xml:space="preserve">Prolonged outages where leaves still on.</t>
  </si>
  <si>
    <t xml:space="preserve">2012-03-18</t>
  </si>
  <si>
    <t xml:space="preserve">2012-03-23</t>
  </si>
  <si>
    <t xml:space="preserve">March 2012 heat wave</t>
  </si>
  <si>
    <t xml:space="preserve">70s–80s for a week in March; record early bloom</t>
  </si>
  <si>
    <t xml:space="preserve">Broke dormancy 3–4 weeks early.</t>
  </si>
  <si>
    <t xml:space="preserve">2012-04-27</t>
  </si>
  <si>
    <t xml:space="preserve">2012-04-29</t>
  </si>
  <si>
    <t xml:space="preserve">April 2012 freeze</t>
  </si>
  <si>
    <t xml:space="preserve">Hard freeze on open blossoms</t>
  </si>
  <si>
    <t xml:space="preserve">Apple and stone-fruit losses statewide; also earlier freeze ~Apr 12.</t>
  </si>
  <si>
    <t xml:space="preserve">Verify with Cornell/NASS crop reports.</t>
  </si>
  <si>
    <t xml:space="preserve">2012-10-29</t>
  </si>
  <si>
    <t xml:space="preserve">Hurricane Sandy</t>
  </si>
  <si>
    <t xml:space="preserve">Tidal flooding up Hudson to Albany; wind</t>
  </si>
  <si>
    <t xml:space="preserve">Albany tide gauge</t>
  </si>
  <si>
    <t xml:space="preserve">Outages through the valley.</t>
  </si>
  <si>
    <t xml:space="preserve">2013-02-08</t>
  </si>
  <si>
    <t xml:space="preserve">2013-02-09</t>
  </si>
  <si>
    <t xml:space="preserve">Northeast Blizzard 2013 (Nemo)</t>
  </si>
  <si>
    <t xml:space="preserve">2013-05-29</t>
  </si>
  <si>
    <t xml:space="preserve">May 29, 2013 tornadoes</t>
  </si>
  <si>
    <t xml:space="preserve">Montgomery / Schenectady / Schoharie / Saratoga</t>
  </si>
  <si>
    <t xml:space="preserve">EF2 Mariaville–Schenectady; EF1 Vischer Ferry; EF1 Summit/E. Jefferson</t>
  </si>
  <si>
    <t xml:space="preserve">2013-06-14</t>
  </si>
  <si>
    <t xml:space="preserve">Middleburgh flash flood</t>
  </si>
  <si>
    <t xml:space="preserve">Schoharie County</t>
  </si>
  <si>
    <t xml:space="preserve">Training storms on saturated ground</t>
  </si>
  <si>
    <t xml:space="preserve">Much of Middleburgh flooded; school sheltered in place.</t>
  </si>
  <si>
    <t xml:space="preserve">2013-06-28</t>
  </si>
  <si>
    <t xml:space="preserve">Mohawk Valley flash flood</t>
  </si>
  <si>
    <t xml:space="preserve">Herkimer / Montgomery</t>
  </si>
  <si>
    <t xml:space="preserve">3–5 in; Thruway closed 29–29A</t>
  </si>
  <si>
    <t xml:space="preserve">Fort Plain under water; swift-water rescues.</t>
  </si>
  <si>
    <t xml:space="preserve">2013-07-14</t>
  </si>
  <si>
    <t xml:space="preserve">2013-07-20</t>
  </si>
  <si>
    <t xml:space="preserve">July 2013 heat wave</t>
  </si>
  <si>
    <t xml:space="preserve">2013-07-18</t>
  </si>
  <si>
    <t xml:space="preserve">Peak of the 7-day wave</t>
  </si>
  <si>
    <t xml:space="preserve">2014-05-22</t>
  </si>
  <si>
    <t xml:space="preserve">Duanesburg/Delanson EF3</t>
  </si>
  <si>
    <t xml:space="preserve">Schenectady / Albany counties</t>
  </si>
  <si>
    <t xml:space="preserve">EF3</t>
  </si>
  <si>
    <t xml:space="preserve">2014-11-26</t>
  </si>
  <si>
    <t xml:space="preserve">2014-11-27</t>
  </si>
  <si>
    <t xml:space="preserve">Thanksgiving Eve nor'easter 2014</t>
  </si>
  <si>
    <t xml:space="preserve">Top-10 November storm Albany</t>
  </si>
  <si>
    <t xml:space="preserve">2015-01-26</t>
  </si>
  <si>
    <t xml:space="preserve">2015-02-28</t>
  </si>
  <si>
    <t xml:space="preserve">Cold month / snow</t>
  </si>
  <si>
    <t xml:space="preserve">February 2015</t>
  </si>
  <si>
    <t xml:space="preserve">Albany 2nd coldest Feb, 4th coldest month; 5th snowiest Feb</t>
  </si>
  <si>
    <t xml:space="preserve">Repeated dangerous-cold episodes.</t>
  </si>
  <si>
    <t xml:space="preserve">2015-02-15</t>
  </si>
  <si>
    <t xml:space="preserve">Whole-month record; Feb 13–16 coldest</t>
  </si>
  <si>
    <t xml:space="preserve">2016-02-12</t>
  </si>
  <si>
    <t xml:space="preserve">2016-02-14</t>
  </si>
  <si>
    <t xml:space="preserve">Valentine's 2016 cold</t>
  </si>
  <si>
    <t xml:space="preserve">Record lows/wind chills</t>
  </si>
  <si>
    <t xml:space="preserve">2016-05-03</t>
  </si>
  <si>
    <t xml:space="preserve">Sinkhole (infrastructure)</t>
  </si>
  <si>
    <t xml:space="preserve">Madison Avenue sinkhole, Albany</t>
  </si>
  <si>
    <t xml:space="preserve">Albany near Washington Park</t>
  </si>
  <si>
    <t xml:space="preserve">Swallowed an SUV; ~$300k repair</t>
  </si>
  <si>
    <t xml:space="preserve">Water-main rupture, not karst; Albany has ~900 mi of sewer and 420 mi of water pipe of similar age.</t>
  </si>
  <si>
    <t xml:space="preserve">CBS6 Albany</t>
  </si>
  <si>
    <t xml:space="preserve">https://cbs6albany.com/news/local/crews-working-to-repair-water-main-break-in-albany</t>
  </si>
  <si>
    <t xml:space="preserve">Day approximate (Tuesday in May 2016).</t>
  </si>
  <si>
    <t xml:space="preserve">2016-06-01</t>
  </si>
  <si>
    <t xml:space="preserve">2016-10-31</t>
  </si>
  <si>
    <t xml:space="preserve">2016 drought</t>
  </si>
  <si>
    <t xml:space="preserve">Hudson Valley / Catskills</t>
  </si>
  <si>
    <t xml:space="preserve">Severe drought</t>
  </si>
  <si>
    <t xml:space="preserve">Hay/vegetable losses.</t>
  </si>
  <si>
    <t xml:space="preserve">Verify with Drought Monitor archive.</t>
  </si>
  <si>
    <t xml:space="preserve">2016-08-15</t>
  </si>
  <si>
    <t xml:space="preserve">Peak D2 coverage late summer</t>
  </si>
  <si>
    <t xml:space="preserve">2017-03-14</t>
  </si>
  <si>
    <t xml:space="preserve">Stella (March 14, 2017)</t>
  </si>
  <si>
    <t xml:space="preserve">Record daily snowfall Albany; top-10 March storm</t>
  </si>
  <si>
    <t xml:space="preserve">2017-07-01</t>
  </si>
  <si>
    <t xml:space="preserve">July 1, 2017 flash flooding</t>
  </si>
  <si>
    <t xml:space="preserve">Rensselaer / Herkimer / Fulton / Warren / Washington</t>
  </si>
  <si>
    <t xml:space="preserve">Up to 4 in; $3.6M Rensselaer Co.</t>
  </si>
  <si>
    <t xml:space="preserve">Hoosick Falls hit hard.</t>
  </si>
  <si>
    <t xml:space="preserve">2017-10-29</t>
  </si>
  <si>
    <t xml:space="preserve">2017-10-30</t>
  </si>
  <si>
    <t xml:space="preserve">Wind / flood</t>
  </si>
  <si>
    <t xml:space="preserve">October 2017 windstorm</t>
  </si>
  <si>
    <t xml:space="preserve">Damaging winds, heavy rain</t>
  </si>
  <si>
    <t xml:space="preserve">2017-12-27</t>
  </si>
  <si>
    <t xml:space="preserve">2018-01-07</t>
  </si>
  <si>
    <t xml:space="preserve">Late Dec 2017–early Jan 2018 cold</t>
  </si>
  <si>
    <t xml:space="preserve">Two weeks of frigid temps</t>
  </si>
  <si>
    <t xml:space="preserve">Set up the Jan 2018 ice jams.</t>
  </si>
  <si>
    <t xml:space="preserve">2018-01-06</t>
  </si>
  <si>
    <t xml:space="preserve">Coldest mornings ~Jan 6–7</t>
  </si>
  <si>
    <t xml:space="preserve">2018-01-12</t>
  </si>
  <si>
    <t xml:space="preserve">2018-03-07</t>
  </si>
  <si>
    <t xml:space="preserve">January–February 2018 ice jams</t>
  </si>
  <si>
    <t xml:space="preserve">Mohawk / Hudson / Hoosic</t>
  </si>
  <si>
    <t xml:space="preserve">Mohawk jam up to 17 mi Rexford–Crane Hollow (biggest in decades)</t>
  </si>
  <si>
    <t xml:space="preserve">Stockade district flooded; threat until Mar 7.</t>
  </si>
  <si>
    <t xml:space="preserve">Rain/thaw day that broke up the ice</t>
  </si>
  <si>
    <t xml:space="preserve">Mohawk 17-mile ice jam breaks up</t>
  </si>
  <si>
    <t xml:space="preserve">Rexford → Crane Hollow → Cohoes Falls</t>
  </si>
  <si>
    <t xml:space="preserve">Albany river level rose ~2 ft on release</t>
  </si>
  <si>
    <t xml:space="preserve">Breakup of the biggest Mohawk jam in decades (formed Jan 12–13).</t>
  </si>
  <si>
    <t xml:space="preserve">Daily Gazette</t>
  </si>
  <si>
    <t xml:space="preserve">https://dailygazette.com/2018/02/22/historic-ice-jam-now-in-pieces-remains-a-threat/</t>
  </si>
  <si>
    <t xml:space="preserve">Companion to the Jan–Feb 2018 row.</t>
  </si>
  <si>
    <t xml:space="preserve">Schenectady Nott Terrace mudslide</t>
  </si>
  <si>
    <t xml:space="preserve">Two houses heavily damaged; 1 injured; ~24 displaced</t>
  </si>
  <si>
    <t xml:space="preserve">Lake Albany delta silts failed after rain/thaw – same warm-up that broke the Mohawk ice jam.</t>
  </si>
  <si>
    <t xml:space="preserve">https://thecatskillgeologist.com/2018/02/</t>
  </si>
  <si>
    <t xml:space="preserve">2018-03-02</t>
  </si>
  <si>
    <t xml:space="preserve">2018-03-15</t>
  </si>
  <si>
    <t xml:space="preserve">March 2018 nor'easter trio</t>
  </si>
  <si>
    <t xml:space="preserve">Three storms in two weeks</t>
  </si>
  <si>
    <t xml:space="preserve">2018-03-13</t>
  </si>
  <si>
    <t xml:space="preserve">Third and heaviest storm</t>
  </si>
  <si>
    <t xml:space="preserve">2018-05-15</t>
  </si>
  <si>
    <t xml:space="preserve">Macroburst / tornadoes</t>
  </si>
  <si>
    <t xml:space="preserve">May 15, 2018 severe outbreak</t>
  </si>
  <si>
    <t xml:space="preserve">Hudson Valley (Newburgh–Putnam–Westchester)</t>
  </si>
  <si>
    <t xml:space="preserve">100+ mph; 3 deaths</t>
  </si>
  <si>
    <t xml:space="preserve">Among the worst wind damage in Hudson Valley history.</t>
  </si>
  <si>
    <t xml:space="preserve">South of 30-mi radius.</t>
  </si>
  <si>
    <t xml:space="preserve">2018-08-01</t>
  </si>
  <si>
    <t xml:space="preserve">2018-08-22</t>
  </si>
  <si>
    <t xml:space="preserve">Rustic Barn underground-tank collapse sinkhole</t>
  </si>
  <si>
    <t xml:space="preserve">Guilderland (4852 Western Turnpike / Rte 20)</t>
  </si>
  <si>
    <t xml:space="preserve">A large sinkhole opened at the derelict Rustic Barn (former woodstove-supply co.), attributed to the collapse of a buried underground tank; filled in by town workers the next day (reported 22 Aug 2018)</t>
  </si>
  <si>
    <t xml:space="preserve">county inspection / Enterprise</t>
  </si>
  <si>
    <t xml:space="preserve">NOT karst — buried-tank collapse (same class as the Madison Ave water-main &amp; McKownville culvert sinks). Property in tax foreclosure with possible contamination; county declined ownership.</t>
  </si>
  <si>
    <t xml:space="preserve">Altamont Enterprise, 23 Aug 2018 (Floyd Mair)</t>
  </si>
  <si>
    <t xml:space="preserve">Human cause (failed underground tank). Minor; filled next day. Infrastructure category, NOT the karst Subsidence sheet. Exact open date not given — reported filled ~Aug 22 2018.</t>
  </si>
  <si>
    <t xml:space="preserve">Reported filled ~Aug 22 2018; open date not given</t>
  </si>
  <si>
    <t xml:space="preserve">2019-02-25</t>
  </si>
  <si>
    <t xml:space="preserve">February 25, 2019 damaging winds</t>
  </si>
  <si>
    <t xml:space="preserve">2019-10-31</t>
  </si>
  <si>
    <t xml:space="preserve">2019-11-01</t>
  </si>
  <si>
    <t xml:space="preserve">Rain flood / wind</t>
  </si>
  <si>
    <t xml:space="preserve">Halloween 2019 storm</t>
  </si>
  <si>
    <t xml:space="preserve">Mohawk Valley / S. Adirondacks</t>
  </si>
  <si>
    <t xml:space="preserve">2–5 in; 4 floods of record (W. Canada Cr., Mohawk at Little Falls, Sacandaga at Hope); gusts 63</t>
  </si>
  <si>
    <t xml:space="preserve">One fatality; extensive road/structure damage.</t>
  </si>
  <si>
    <t xml:space="preserve">2019-12-01</t>
  </si>
  <si>
    <t xml:space="preserve">2019-12-03</t>
  </si>
  <si>
    <t xml:space="preserve">December 1–3, 2019</t>
  </si>
  <si>
    <t xml:space="preserve">Major winter storm</t>
  </si>
  <si>
    <t xml:space="preserve">2020-05-15</t>
  </si>
  <si>
    <t xml:space="preserve">Tornado / severe</t>
  </si>
  <si>
    <t xml:space="preserve">Wilton tornado &amp; severe storms</t>
  </si>
  <si>
    <t xml:space="preserve">Saratoga County</t>
  </si>
  <si>
    <t xml:space="preserve">North of 30-mi radius.</t>
  </si>
  <si>
    <t xml:space="preserve">2020-08-04</t>
  </si>
  <si>
    <t xml:space="preserve">Tropical Storm Isaias</t>
  </si>
  <si>
    <t xml:space="preserve">Widespread outages (~900k NY)</t>
  </si>
  <si>
    <t xml:space="preserve">2020-10-07</t>
  </si>
  <si>
    <t xml:space="preserve">October 7, 2020 derecho</t>
  </si>
  <si>
    <t xml:space="preserve">High-end severe wind event</t>
  </si>
  <si>
    <t xml:space="preserve">2020-12-16</t>
  </si>
  <si>
    <t xml:space="preserve">2020-12-17</t>
  </si>
  <si>
    <t xml:space="preserve">December 16–17, 2020</t>
  </si>
  <si>
    <t xml:space="preserve">~2 ft Albany; 40 in+ Catskills/Binghamton</t>
  </si>
  <si>
    <t xml:space="preserve">Confirm Albany total from PNS.</t>
  </si>
  <si>
    <t xml:space="preserve">2020-12-24</t>
  </si>
  <si>
    <t xml:space="preserve">2020-12-25</t>
  </si>
  <si>
    <t xml:space="preserve">Christmas 2020 flood</t>
  </si>
  <si>
    <t xml:space="preserve">Eastern Catskills</t>
  </si>
  <si>
    <t xml:space="preserve">1–2 in, up to 5.72 in; 3–4 in snowmelt</t>
  </si>
  <si>
    <t xml:space="preserve">Major crests Esopus at Mt Tremper, Schoharie at Prattsville &amp; Gilboa.</t>
  </si>
  <si>
    <t xml:space="preserve">2021-04-21</t>
  </si>
  <si>
    <t xml:space="preserve">Tornadoes</t>
  </si>
  <si>
    <t xml:space="preserve">April 21, 2021 tornadoes</t>
  </si>
  <si>
    <t xml:space="preserve">NWS Albany CWA</t>
  </si>
  <si>
    <t xml:space="preserve">See NWS writeup for locations.</t>
  </si>
  <si>
    <t xml:space="preserve">Locations not captured this pass.</t>
  </si>
  <si>
    <t xml:space="preserve">2021-07-01</t>
  </si>
  <si>
    <t xml:space="preserve">2021-07-31</t>
  </si>
  <si>
    <t xml:space="preserve">Flash flooding</t>
  </si>
  <si>
    <t xml:space="preserve">July 2021 heavy rain</t>
  </si>
  <si>
    <t xml:space="preserve">2021-07-15</t>
  </si>
  <si>
    <t xml:space="preserve">Multiple episodes</t>
  </si>
  <si>
    <t xml:space="preserve">2021-09-01</t>
  </si>
  <si>
    <t xml:space="preserve">2021-09-02</t>
  </si>
  <si>
    <t xml:space="preserve">Hurricane Ida remnants</t>
  </si>
  <si>
    <t xml:space="preserve">Hudson Valley / NYC</t>
  </si>
  <si>
    <t xml:space="preserve">Record hourly rain</t>
  </si>
  <si>
    <t xml:space="preserve">Deaths in Westchester/Rockland; valley-wide flooding.</t>
  </si>
  <si>
    <t xml:space="preserve">2022-02-03</t>
  </si>
  <si>
    <t xml:space="preserve">2022-02-04</t>
  </si>
  <si>
    <t xml:space="preserve">February 2022 winter/ice storm</t>
  </si>
  <si>
    <t xml:space="preserve">2022-04-18</t>
  </si>
  <si>
    <t xml:space="preserve">2022-04-19</t>
  </si>
  <si>
    <t xml:space="preserve">April 2022 winter storm</t>
  </si>
  <si>
    <t xml:space="preserve">2022-12-15</t>
  </si>
  <si>
    <t xml:space="preserve">2022-12-17</t>
  </si>
  <si>
    <t xml:space="preserve">December 2022 nor'easter</t>
  </si>
  <si>
    <t xml:space="preserve">2023-02-03</t>
  </si>
  <si>
    <t xml:space="preserve">2023-02-04</t>
  </si>
  <si>
    <t xml:space="preserve">February 2023 Arctic blast</t>
  </si>
  <si>
    <t xml:space="preserve">Record wind chills; flash freeze</t>
  </si>
  <si>
    <t xml:space="preserve">2023-03-13</t>
  </si>
  <si>
    <t xml:space="preserve">2023-03-15</t>
  </si>
  <si>
    <t xml:space="preserve">March 2023 nor'easter</t>
  </si>
  <si>
    <t xml:space="preserve">Catskills</t>
  </si>
  <si>
    <t xml:space="preserve">3–4 ft high Catskills</t>
  </si>
  <si>
    <t xml:space="preserve">2023-03-17</t>
  </si>
  <si>
    <t xml:space="preserve">CDTA bus in Troy sinkhole</t>
  </si>
  <si>
    <t xml:space="preserve">Troy, 4th &amp; Federal</t>
  </si>
  <si>
    <t xml:space="preserve">Water-main break</t>
  </si>
  <si>
    <t xml:space="preserve">Passenger rescued; no injuries.</t>
  </si>
  <si>
    <t xml:space="preserve">WNYT</t>
  </si>
  <si>
    <t xml:space="preserve">https://wnyt.com/?p=322981</t>
  </si>
  <si>
    <t xml:space="preserve">2023-05-18</t>
  </si>
  <si>
    <t xml:space="preserve">May 18, 2023 freeze</t>
  </si>
  <si>
    <t xml:space="preserve">Record-late hard frost</t>
  </si>
  <si>
    <t xml:space="preserve">Major apple/grape losses.</t>
  </si>
  <si>
    <t xml:space="preserve">Verify with Cornell CCE reports.</t>
  </si>
  <si>
    <t xml:space="preserve">2023-07-09</t>
  </si>
  <si>
    <t xml:space="preserve">2023-07-16</t>
  </si>
  <si>
    <t xml:space="preserve">Flash flood / severe</t>
  </si>
  <si>
    <t xml:space="preserve">July 2023 severe weather and flooding</t>
  </si>
  <si>
    <t xml:space="preserve">Region incl. Highland Falls/West Point</t>
  </si>
  <si>
    <t xml:space="preserve">8–10 in in hours at West Point</t>
  </si>
  <si>
    <t xml:space="preserve">One death; Route 9W destroyed.</t>
  </si>
  <si>
    <t xml:space="preserve">2023-12-01</t>
  </si>
  <si>
    <t xml:space="preserve">2024-06-30</t>
  </si>
  <si>
    <t xml:space="preserve">Infrastructure erosion (human cause)</t>
  </si>
  <si>
    <t xml:space="preserve">McKownville Burger King stormwater depression</t>
  </si>
  <si>
    <t xml:space="preserve">Guilderland (1480 Western Ave / McKownville)</t>
  </si>
  <si>
    <t xml:space="preserve">A failed 36-in corrugated metal storm pipe scoured out the fill beneath the site; a 4-ft-deep water-filled depression formed Dec 2023 and grew; drive-thru closed Jan–~Jul 2024; ~$1M in repair/pumping, ~$400k revenue loss claimed</t>
  </si>
  <si>
    <t xml:space="preserve">NOT subsidence — culvert washout, filed for the flood record</t>
  </si>
  <si>
    <t xml:space="preserve">Human-caused (failed culvert), NOT karst/clay/peat subsidence — logged alongside the McKownville flood corridor, not the geohazard rows. Krum Kill runs under the rear of the property (FEMA flood zone). Town knew the pipe was undersized since 1976.</t>
  </si>
  <si>
    <t xml:space="preserve">Altamont Enterprise / Times Union / CBS6 Albany, Guilderland stormwater coverage 2024–2026</t>
  </si>
  <si>
    <t xml:space="preserve">https://altamontenterprise.com/04102026/guilderland-files-suit-against-burger-king-franchisee-bk-property-owner</t>
  </si>
  <si>
    <t xml:space="preserve">Cause is human (drainage failure). Included for the flood-corridor record; distinct from the karst Subsidence category.</t>
  </si>
  <si>
    <t xml:space="preserve">2023-12-15</t>
  </si>
  <si>
    <t xml:space="preserve">Depression formed Dec 2023; span is the closure window, not the event</t>
  </si>
  <si>
    <t xml:space="preserve">2023-12-18</t>
  </si>
  <si>
    <t xml:space="preserve">December 18, 2023 heavy rain</t>
  </si>
  <si>
    <t xml:space="preserve">2024-03-07</t>
  </si>
  <si>
    <t xml:space="preserve">Flash flood (urban)</t>
  </si>
  <si>
    <t xml:space="preserve">March 7 2024 Western Ave flooding, Guilderland</t>
  </si>
  <si>
    <t xml:space="preserve">Guilderland (Western Ave / Stuyvesant Plaza / Crossgates watershed)</t>
  </si>
  <si>
    <t xml:space="preserve">Western Ave flooded; westbound entrance to Stuyvesant Plaza closed; part of the chronically-flooding 860-acre highly-urbanized McKownville watershed</t>
  </si>
  <si>
    <t xml:space="preserve">Times Union / Enterprise photos</t>
  </si>
  <si>
    <t xml:space="preserve">Recurring urban flash-flood corridor; state-owned Western Ave culverts undersized for the flow.</t>
  </si>
  <si>
    <t xml:space="preserve">https://www.timesunion.com/news/article/burger-king-owners-sue-guilderland-not-fixing-20263170.php</t>
  </si>
  <si>
    <t xml:space="preserve">Guilderland, within footprint. Verify against NWS ALY / NCEI for a rainfall figure.</t>
  </si>
  <si>
    <t xml:space="preserve">2024-03-22</t>
  </si>
  <si>
    <t xml:space="preserve">2024-03-23</t>
  </si>
  <si>
    <t xml:space="preserve">Snow / ice</t>
  </si>
  <si>
    <t xml:space="preserve">March 2024 snow &amp; freezing rain</t>
  </si>
  <si>
    <t xml:space="preserve">2024-04-03</t>
  </si>
  <si>
    <t xml:space="preserve">2024-04-05</t>
  </si>
  <si>
    <t xml:space="preserve">Multi-hazard storm</t>
  </si>
  <si>
    <t xml:space="preserve">April 3–5, 2024</t>
  </si>
  <si>
    <t xml:space="preserve">2024-05-07</t>
  </si>
  <si>
    <t xml:space="preserve">Catskill (village) landslide destroys home</t>
  </si>
  <si>
    <t xml:space="preserve">Catskill, Greene Co.</t>
  </si>
  <si>
    <t xml:space="preserve">One home destroyed, 3 displaced</t>
  </si>
  <si>
    <t xml:space="preserve">WPDH/WNYT</t>
  </si>
  <si>
    <t xml:space="preserve">https://wpdh.com/landslide-new-york-mountain-valley-history/</t>
  </si>
  <si>
    <t xml:space="preserve">Date inferred from article age (Tuesday evening, ~early May 2024) – confirm.</t>
  </si>
  <si>
    <t xml:space="preserve">2024-07-16</t>
  </si>
  <si>
    <t xml:space="preserve">Severe thunderstorms</t>
  </si>
  <si>
    <t xml:space="preserve">July 16, 2024 severe weather</t>
  </si>
  <si>
    <t xml:space="preserve">2024-08-09</t>
  </si>
  <si>
    <t xml:space="preserve">Post-Tropical Debby</t>
  </si>
  <si>
    <t xml:space="preserve">August 9 2024 Western Ave &amp; Fuller Rd flooding, Guilderland</t>
  </si>
  <si>
    <t xml:space="preserve">Guilderland (Western Ave &amp; Fuller Rd; Fletcher Rd)</t>
  </si>
  <si>
    <t xml:space="preserve">Western Ave &amp; Fuller Rd intersection flooded; Fletcher Rd home flooded (2nd time that August), triggering a separate suit against the town</t>
  </si>
  <si>
    <t xml:space="preserve">Times Union / Enterprise</t>
  </si>
  <si>
    <t xml:space="preserve">Same McKownville corridor; two flood episodes in Aug 2024 at the Moran residence on Fletcher Rd.</t>
  </si>
  <si>
    <t xml:space="preserve">Guilderland, within footprint. Fletcher Rd flooded twice in Aug 2024 — second date not captured.</t>
  </si>
  <si>
    <t xml:space="preserve">2024-09-01</t>
  </si>
  <si>
    <t xml:space="preserve">2024-11-30</t>
  </si>
  <si>
    <t xml:space="preserve">Drought / wildfire</t>
  </si>
  <si>
    <t xml:space="preserve">Fall 2024 drought and wildfires</t>
  </si>
  <si>
    <t xml:space="preserve">Driest autumn in decades</t>
  </si>
  <si>
    <t xml:space="preserve">Jennings Creek fire (Orange Co.); burn bans.</t>
  </si>
  <si>
    <t xml:space="preserve">2024-11-09</t>
  </si>
  <si>
    <t xml:space="preserve">Jennings Creek fire ignition ~Nov 8–9</t>
  </si>
  <si>
    <t xml:space="preserve">2025-01-01</t>
  </si>
  <si>
    <t xml:space="preserve">2025-01-05</t>
  </si>
  <si>
    <t xml:space="preserve">Lake-effect snow</t>
  </si>
  <si>
    <t xml:space="preserve">January 2025 lake effect</t>
  </si>
  <si>
    <t xml:space="preserve">2025-06-06</t>
  </si>
  <si>
    <t xml:space="preserve">2025-06-07</t>
  </si>
  <si>
    <t xml:space="preserve">June 6–7, 2025 Knox/Helderberg flash flood</t>
  </si>
  <si>
    <t xml:space="preserve">Albany County (Knox)</t>
  </si>
  <si>
    <t xml:space="preserve">4.35 in at Knox</t>
  </si>
  <si>
    <t xml:space="preserve">911/NCEI</t>
  </si>
  <si>
    <t xml:space="preserve">Numerous flooding reports throughout Albany County and Knox. Altamont village also hit — severe storms washed out roads (Altamont Enterprise 31 Jul 2025).</t>
  </si>
  <si>
    <t xml:space="preserve">On the Helderberg plateau near Westerlo.</t>
  </si>
  <si>
    <t xml:space="preserve">2026-07-28</t>
  </si>
  <si>
    <t xml:space="preserve">2026-07-30</t>
  </si>
  <si>
    <t xml:space="preserve">July 28–30, 2026 flash flood</t>
  </si>
  <si>
    <t xml:space="preserve">Capital Region / eastern Catskills / N. mid-Hudson</t>
  </si>
  <si>
    <t xml:space="preserve">5.45 in Jul 29 at Albany (wettest July day; 2nd wettest day ever); 7.00 in 2-day; 11.79 in Schodack, 11.47 in Kinderhook (1-in-1000-yr); 6.35 in South Berne; 5.75 in Medusa</t>
  </si>
  <si>
    <t xml:space="preserve">Albany ASOS / NYSM</t>
  </si>
  <si>
    <t xml:space="preserve">Cutoff low; 6–12 in widespread; Coxsackie state of emergency; Schodack Island SP evacuation; mill collapse on Muitzes Kill.</t>
  </si>
  <si>
    <t xml:space="preserve">https://www.weather.gov/aly/july2026flashflood</t>
  </si>
  <si>
    <t xml:space="preserve">Most recent major event; page still under construction per NWS. Urban footprint (Altamont Enterprise 29 Jul 2026): Guilderland road flooding — Western Ave at Stuyvesant Plaza (chronic site), Crossgates Mall access rd, West Old State Rd (tree down); Albany city closed multiple roads (Central Ave, Hackett/Holland, S Manning/Western, Washington/Campus). NWS: 3–7 in by 11am, warning to 5pm.</t>
  </si>
  <si>
    <t xml:space="preserve">Flood fatality</t>
  </si>
  <si>
    <t xml:space="preserve">Irene drowning – Sharon Stein, Onesquethaw Creek</t>
  </si>
  <si>
    <t xml:space="preserve">Clarksville / New Scotland (Onesquethaw Creek)</t>
  </si>
  <si>
    <t xml:space="preserve">1 drowning: Sharon Stein, 68, swept from her creek-side home by the flooding Onesquethaw while packing to evacuate; body recovered the same day</t>
  </si>
  <si>
    <t xml:space="preserve">Altamont Enterprise 2011-12-29</t>
  </si>
  <si>
    <t xml:space="preserve">Ties Irene's Onesquethaw flooding to a human death; the same sinking-stream system nearly drowned a student group in 1991 and opened a new sink in 2011.</t>
  </si>
  <si>
    <t xml:space="preserve">Altamont Enterprise, 'Rebuilding follows Irene's destruction,' 2011-12-29</t>
  </si>
  <si>
    <t xml:space="preserve">Coordinates approximate (~42.60,-74.00); verify. Companion to the Onesquethaw Irene sinkhole row and the 1991 Onesquethaw flood.</t>
  </si>
  <si>
    <t xml:space="preserve">2011-08-29</t>
  </si>
  <si>
    <t xml:space="preserve">Irene drowning – Stephen Terleckey, Route 5S</t>
  </si>
  <si>
    <t xml:space="preserve">Route 5S, Montgomery Co.</t>
  </si>
  <si>
    <t xml:space="preserve">1 drowning: Stephen Terleckey, 72, of Amsterdam, drove a pickup past barriers onto a washed-out section of Route 5S the day after Irene and drowned</t>
  </si>
  <si>
    <t xml:space="preserve">Regional Irene fatality outside the Hilltowns; a Mohawk-corridor road washout in Montgomery Co.</t>
  </si>
  <si>
    <t xml:space="preserve">Coordinates approximate along the 5S corridor; verify.</t>
  </si>
  <si>
    <t xml:space="preserve">Flood fatality (indirect)</t>
  </si>
  <si>
    <t xml:space="preserve">Irene indirect death – Elizabeth Slagle, McKownville</t>
  </si>
  <si>
    <t xml:space="preserve">McKownville / Guilderland (Parkwood Ave)</t>
  </si>
  <si>
    <t xml:space="preserve">1 indirect death: Elizabeth Slagle, 88, fell down her basement stairs while checking flooding; found Aug 29. Guilderland police classified it 'secondary'</t>
  </si>
  <si>
    <t xml:space="preserve">Storm-attributable rather than a direct death; forces a direct-vs-attributable counting rule before any fatality tally.</t>
  </si>
  <si>
    <t xml:space="preserve">'Secondary' per Guilderland PD (interpretive). Coordinates approximate (~42.688,-73.852); verify.</t>
  </si>
  <si>
    <t xml:space="preserve">Flood scour / subsidence (non-karst)</t>
  </si>
  <si>
    <t xml:space="preserve">Irene undermines the Berne Mill – Fox Creek scour</t>
  </si>
  <si>
    <t xml:space="preserve">Berne hamlet (Fox Creek)</t>
  </si>
  <si>
    <t xml:space="preserve">The swollen Fox Creek tore a garage off a home and dropped the front of the ~200-year-old Berne Mill into a 'cavernous' scour hole; the Agway housed there later reopened</t>
  </si>
  <si>
    <t xml:space="preserve">MECHANISM = flood scour / streambank undermining, NOT karst dissolution — kept out of the karst inventory despite the journalistic word 'sinkhole'.</t>
  </si>
  <si>
    <t xml:space="preserve">Do NOT file under karst. Open check: bedrock under the mill — if Helderberg carbonate, could be a flood-flushed pre-existing void (hybrid). Coordinates approx (~42.622,-74.138); verify.</t>
  </si>
  <si>
    <t xml:space="preserve">2016-04-21</t>
  </si>
  <si>
    <t xml:space="preserve">Landslide (incipient / standing hazard)</t>
  </si>
  <si>
    <t xml:space="preserve">Route 443 conglomerate slump — Gallupville–Shutters Corners (incipient)</t>
  </si>
  <si>
    <t xml:space="preserve">Barton Hill (Gallupville–Shutters Corners, Schoharie Co.)</t>
  </si>
  <si>
    <t xml:space="preserve">A hillside section of naturally-cemented glacial-drift CONGLOMERATE (formed long ago by tufa springs cementing the drift; the springs have since self-sealed) is fracturing and weathering and, per Nardacci, may eventually slump/landslide onto Route 443</t>
  </si>
  <si>
    <t xml:space="preserve">Nardacci / Altamont Enterprise</t>
  </si>
  <si>
    <t xml:space="preserve">INCIPIENT mass-movement / standing hazard — the failure has NOT occurred, so not a dated event. Double-documented by Nardacci (2016 &amp; 2020). Distinct from karst: a depositional-conglomerate slope failure, not dissolution.</t>
  </si>
  <si>
    <t xml:space="preserve">Altamont Enterprise 'Back Roads Geology' (Nardacci), 21 Apr 2016 &amp; 5 Nov 2020</t>
  </si>
  <si>
    <t xml:space="preserve">CONTEXT / standing-hazard row — do not plot as a point. Watch feature; check against DEM/slope data. Related tufa deposition along Rte 146 (Barton Hill) and at the Vanhornesville tufa caves (Otsquago Creek).</t>
  </si>
  <si>
    <t xml:space="preserve">Standing/incipient hazard — do not plot as a point</t>
  </si>
  <si>
    <t xml:space="preserve">1926-07-22</t>
  </si>
  <si>
    <t xml:space="preserve">Heat wave / severe wind</t>
  </si>
  <si>
    <t xml:space="preserve">July 1926 heat wave &amp; windstorm (Altamont / Guilderland)</t>
  </si>
  <si>
    <t xml:space="preserve">Altamont / Guilderland Center / Western Turnpike (Dunnsville–Albany)</t>
  </si>
  <si>
    <t xml:space="preserve">100°F+ both Jul 21 &amp; 22 (2-day heat wave), then a severe W wind-and-rain storm off the Helderbergs; a 2nd storm at midnight</t>
  </si>
  <si>
    <t xml:space="preserve">Altamont Enterprise (contemporaneous)</t>
  </si>
  <si>
    <t xml:space="preserve">Widespread tree damage through Altamont &amp; Guilderland Center; trees down across the Western Turnpike (McCormack's–Hartman's Corners — motorists drove through fallen upper branches); wind tore the roof off the West Shore RR station at Guilderland Center; midnight lightning shattered the flagpole &amp; slate roof of the Altamont Fair exhibition hall.</t>
  </si>
  <si>
    <t xml:space="preserve">Altamont Enterprise, 23 Jul 1926 (reprinted Jul 2026)</t>
  </si>
  <si>
    <t xml:space="preserve">Storm broke a 2-day 100F heat wave — classic heat / cold-front-windstorm sequence. Broad damage off the Helderbergs reads as a downburst/derecho-type windstorm, not a tornado. Same-week farm fires excluded (not weather).</t>
  </si>
  <si>
    <t xml:space="preserve">Single-day event (heat wave Jul 21-22; anchored to the Jul 22 storm)</t>
  </si>
  <si>
    <t xml:space="preserve">Date</t>
  </si>
  <si>
    <t xml:space="preserve">Time (local)</t>
  </si>
  <si>
    <t xml:space="preserve">County</t>
  </si>
  <si>
    <t xml:space="preserve">Place / path</t>
  </si>
  <si>
    <t xml:space="preserve">Type</t>
  </si>
  <si>
    <t xml:space="preserve">Rating / peak wind</t>
  </si>
  <si>
    <t xml:space="preserve">Path length (mi)</t>
  </si>
  <si>
    <t xml:space="preserve">Width (yd)</t>
  </si>
  <si>
    <t xml:space="preserve">Deaths</t>
  </si>
  <si>
    <t xml:space="preserve">Injuries</t>
  </si>
  <si>
    <t xml:space="preserve">Start lat</t>
  </si>
  <si>
    <t xml:space="preserve">Start lon</t>
  </si>
  <si>
    <t xml:space="preserve">End lat</t>
  </si>
  <si>
    <t xml:space="preserve">End lon</t>
  </si>
  <si>
    <t xml:space="preserve">Dist. from Westerlo, start (mi)</t>
  </si>
  <si>
    <t xml:space="preserve">Dist. from Westerlo, end (mi)</t>
  </si>
  <si>
    <t xml:space="preserve">Nearest point (mi)</t>
  </si>
  <si>
    <t xml:space="preserve">Within radius?</t>
  </si>
  <si>
    <t xml:space="preserve">Source</t>
  </si>
  <si>
    <t xml:space="preserve">Notes</t>
  </si>
  <si>
    <t xml:space="preserve">1821-07-08</t>
  </si>
  <si>
    <t xml:space="preserve">Columbia</t>
  </si>
  <si>
    <t xml:space="preserve">Columbia Co. (Grazulis)</t>
  </si>
  <si>
    <t xml:space="preserve">FU</t>
  </si>
  <si>
    <t xml:space="preserve">Grazulis via tornadopath</t>
  </si>
  <si>
    <t xml:space="preserve">County centroid approx; pre-1950 F2+/deadly only</t>
  </si>
  <si>
    <t xml:space="preserve">1867-06-16</t>
  </si>
  <si>
    <t xml:space="preserve">County centroid approx</t>
  </si>
  <si>
    <t xml:space="preserve">1875-08-22</t>
  </si>
  <si>
    <t xml:space="preserve">16:56</t>
  </si>
  <si>
    <t xml:space="preserve">Albany Co. (Grazulis)</t>
  </si>
  <si>
    <t xml:space="preserve">F1</t>
  </si>
  <si>
    <t xml:space="preserve">2 fatalities; county centroid approx</t>
  </si>
  <si>
    <t xml:space="preserve">1877-07-16</t>
  </si>
  <si>
    <t xml:space="preserve">1878-07-21</t>
  </si>
  <si>
    <t xml:space="preserve">18:20</t>
  </si>
  <si>
    <t xml:space="preserve">F2</t>
  </si>
  <si>
    <t xml:space="preserve">1879-07-16</t>
  </si>
  <si>
    <t xml:space="preserve">19:30</t>
  </si>
  <si>
    <t xml:space="preserve">Greene</t>
  </si>
  <si>
    <t xml:space="preserve">Greene Co. (Grazulis)</t>
  </si>
  <si>
    <t xml:space="preserve">18:30</t>
  </si>
  <si>
    <t xml:space="preserve">Albany (Great Appalachian Storm)</t>
  </si>
  <si>
    <t xml:space="preserve">Synoptic windstorm</t>
  </si>
  <si>
    <t xml:space="preserve">83 mph gust</t>
  </si>
  <si>
    <t xml:space="preserve">Strongest gust ever at Albany</t>
  </si>
  <si>
    <t xml:space="preserve">17:30</t>
  </si>
  <si>
    <t xml:space="preserve">Schenectady Co.</t>
  </si>
  <si>
    <t xml:space="preserve">F3</t>
  </si>
  <si>
    <t xml:space="preserve">~$25M</t>
  </si>
  <si>
    <t xml:space="preserve">Ice storm (not wind)</t>
  </si>
  <si>
    <t xml:space="preserve">1.5 in ice</t>
  </si>
  <si>
    <t xml:space="preserve">Listed for tree-damage comparison</t>
  </si>
  <si>
    <t xml:space="preserve">1973-06-30</t>
  </si>
  <si>
    <t xml:space="preserve">16:15</t>
  </si>
  <si>
    <t xml:space="preserve">SW Albany Co. – Westerlo/Rensselaerville area</t>
  </si>
  <si>
    <t xml:space="preserve">Touchdown ~2 mi from Westerlo hamlet</t>
  </si>
  <si>
    <t xml:space="preserve">10:00</t>
  </si>
  <si>
    <t xml:space="preserve">Rensselaer</t>
  </si>
  <si>
    <t xml:space="preserve">Rensselaer Co.</t>
  </si>
  <si>
    <t xml:space="preserve">Same outbreak as Columbia F4</t>
  </si>
  <si>
    <t xml:space="preserve">11:34</t>
  </si>
  <si>
    <t xml:space="preserve">Stephentown area → MA</t>
  </si>
  <si>
    <t xml:space="preserve">F4</t>
  </si>
  <si>
    <t xml:space="preserve">First recorded F4 in NY</t>
  </si>
  <si>
    <t xml:space="preserve">11:10</t>
  </si>
  <si>
    <t xml:space="preserve">Greene→Saratoga</t>
  </si>
  <si>
    <t xml:space="preserve">Catskill → Saratoga Co.</t>
  </si>
  <si>
    <t xml:space="preserve">Long track through Greene, Albany, Saratoga</t>
  </si>
  <si>
    <t xml:space="preserve">1974-08-27</t>
  </si>
  <si>
    <t xml:space="preserve">16:00</t>
  </si>
  <si>
    <t xml:space="preserve">1975-09-20</t>
  </si>
  <si>
    <t xml:space="preserve">Ulster→Columbia</t>
  </si>
  <si>
    <t xml:space="preserve">Kingston area → Columbia Co.</t>
  </si>
  <si>
    <t xml:space="preserve">Albany (flash freeze)</t>
  </si>
  <si>
    <t xml:space="preserve">67 mph gust</t>
  </si>
  <si>
    <t xml:space="preserve">2 fatalities regionally</t>
  </si>
  <si>
    <t xml:space="preserve">1977-04-02</t>
  </si>
  <si>
    <t xml:space="preserve">17:00</t>
  </si>
  <si>
    <t xml:space="preserve">W. Greene Co.</t>
  </si>
  <si>
    <t xml:space="preserve">1978-07-10</t>
  </si>
  <si>
    <t xml:space="preserve">14:45</t>
  </si>
  <si>
    <t xml:space="preserve">Columbia Co.</t>
  </si>
  <si>
    <t xml:space="preserve">1980-07-11</t>
  </si>
  <si>
    <t xml:space="preserve">15:00</t>
  </si>
  <si>
    <t xml:space="preserve">Albany Co.</t>
  </si>
  <si>
    <t xml:space="preserve">F0</t>
  </si>
  <si>
    <t xml:space="preserve">1984-05-12</t>
  </si>
  <si>
    <t xml:space="preserve">13:25</t>
  </si>
  <si>
    <t xml:space="preserve">N. Albany Co. (Berne/Knox area)</t>
  </si>
  <si>
    <t xml:space="preserve">13 injuries</t>
  </si>
  <si>
    <t xml:space="preserve">1986-10-01</t>
  </si>
  <si>
    <t xml:space="preserve">00:00</t>
  </si>
  <si>
    <t xml:space="preserve">Delaware</t>
  </si>
  <si>
    <t xml:space="preserve">NE Delaware Co.</t>
  </si>
  <si>
    <t xml:space="preserve">Leaf-on snowstorm (tree damage)</t>
  </si>
  <si>
    <t xml:space="preserve">Snow load (not wind)</t>
  </si>
  <si>
    <t xml:space="preserve">12:40</t>
  </si>
  <si>
    <t xml:space="preserve">Montgomery→Greene</t>
  </si>
  <si>
    <t xml:space="preserve">Ames → Schoharie → Rensselaerville → East Durham</t>
  </si>
  <si>
    <t xml:space="preserve">Tornado family</t>
  </si>
  <si>
    <t xml:space="preserve">Wikipedia / NWS / Grazulis</t>
  </si>
  <si>
    <t xml:space="preserve">Only F4 in NY; brief touchdowns near Rensselaerville and Greenville; path within a few miles of Westerlo</t>
  </si>
  <si>
    <t xml:space="preserve">13:30</t>
  </si>
  <si>
    <t xml:space="preserve">Same day as Coldenham downburst</t>
  </si>
  <si>
    <t xml:space="preserve">1990-04-28</t>
  </si>
  <si>
    <t xml:space="preserve">12:30</t>
  </si>
  <si>
    <t xml:space="preserve">Greene Co.</t>
  </si>
  <si>
    <t xml:space="preserve">1990-08-28</t>
  </si>
  <si>
    <t xml:space="preserve">Bozenkill Rd, Knox (Peterson farm)</t>
  </si>
  <si>
    <t xml:space="preserve">CONFIRMED — the 1990 Bozenkill Rd (Knox) tornado toppled Carl Peterson's silo, per Peterson himself (Altamont Enterprise 4 Mar 2010 &amp; 29 May 2014). Peterson farm = recurring-disaster site: 1990 tornado (silo) + Feb 2010 snow-load barn collapse (70+ cows, 4 lost).</t>
  </si>
  <si>
    <t xml:space="preserve">1992-05-02</t>
  </si>
  <si>
    <t xml:space="preserve">14:05</t>
  </si>
  <si>
    <t xml:space="preserve">Schoharie</t>
  </si>
  <si>
    <t xml:space="preserve">Schoharie Co.</t>
  </si>
  <si>
    <t xml:space="preserve">14:25</t>
  </si>
  <si>
    <t xml:space="preserve">Rensselaer Co. (2 tornadoes)</t>
  </si>
  <si>
    <t xml:space="preserve">Two F1s same time/place</t>
  </si>
  <si>
    <t xml:space="preserve">1992-06-24</t>
  </si>
  <si>
    <t xml:space="preserve">14:30</t>
  </si>
  <si>
    <t xml:space="preserve">Montgomery</t>
  </si>
  <si>
    <t xml:space="preserve">Montgomery Co.</t>
  </si>
  <si>
    <t xml:space="preserve">1993-09-10</t>
  </si>
  <si>
    <t xml:space="preserve">13:40</t>
  </si>
  <si>
    <t xml:space="preserve">Ulster</t>
  </si>
  <si>
    <t xml:space="preserve">N. Ulster Co.</t>
  </si>
  <si>
    <t xml:space="preserve">1994-04-27</t>
  </si>
  <si>
    <t xml:space="preserve">1995-05-29</t>
  </si>
  <si>
    <t xml:space="preserve">16:40</t>
  </si>
  <si>
    <t xml:space="preserve">Hillsdale → Great Barrington MA</t>
  </si>
  <si>
    <t xml:space="preserve">Albany/Adirondacks</t>
  </si>
  <si>
    <t xml:space="preserve">100+ mph</t>
  </si>
  <si>
    <t xml:space="preserve">1 death in Albany County per NCEI</t>
  </si>
  <si>
    <t xml:space="preserve">1997-07-03</t>
  </si>
  <si>
    <t xml:space="preserve">15:23</t>
  </si>
  <si>
    <t xml:space="preserve">17:17</t>
  </si>
  <si>
    <t xml:space="preserve">17:20</t>
  </si>
  <si>
    <t xml:space="preserve">Columbia Co. → MA</t>
  </si>
  <si>
    <t xml:space="preserve">14:22</t>
  </si>
  <si>
    <t xml:space="preserve">Saratoga→Rensselaer</t>
  </si>
  <si>
    <t xml:space="preserve">Mechanicville–Stillwater</t>
  </si>
  <si>
    <t xml:space="preserve">&gt;$60M; part of derecho</t>
  </si>
  <si>
    <t xml:space="preserve">14:37</t>
  </si>
  <si>
    <t xml:space="preserve">17:22</t>
  </si>
  <si>
    <t xml:space="preserve">2002-08-14</t>
  </si>
  <si>
    <t xml:space="preserve">Thunderstorm wind</t>
  </si>
  <si>
    <t xml:space="preserve">9 injuries</t>
  </si>
  <si>
    <t xml:space="preserve">18:14</t>
  </si>
  <si>
    <t xml:space="preserve">18:23</t>
  </si>
  <si>
    <t xml:space="preserve">Greene Co. (Coxsackie area)</t>
  </si>
  <si>
    <t xml:space="preserve">7 injuries</t>
  </si>
  <si>
    <t xml:space="preserve">18:24</t>
  </si>
  <si>
    <t xml:space="preserve">18:32</t>
  </si>
  <si>
    <t xml:space="preserve">18:35</t>
  </si>
  <si>
    <t xml:space="preserve">18:38</t>
  </si>
  <si>
    <t xml:space="preserve">18:40</t>
  </si>
  <si>
    <t xml:space="preserve">18:43</t>
  </si>
  <si>
    <t xml:space="preserve">18:45</t>
  </si>
  <si>
    <t xml:space="preserve">Rensselaer Co. (long track N)</t>
  </si>
  <si>
    <t xml:space="preserve">2010-11-17</t>
  </si>
  <si>
    <t xml:space="preserve">04:18</t>
  </si>
  <si>
    <t xml:space="preserve">EF1</t>
  </si>
  <si>
    <t xml:space="preserve">Nocturnal November tornado</t>
  </si>
  <si>
    <t xml:space="preserve">2011-09-04</t>
  </si>
  <si>
    <t xml:space="preserve">15:20</t>
  </si>
  <si>
    <t xml:space="preserve">Montgomery→Schenectady</t>
  </si>
  <si>
    <t xml:space="preserve">Cranesville</t>
  </si>
  <si>
    <t xml:space="preserve">17:57</t>
  </si>
  <si>
    <t xml:space="preserve">Summit / East Jefferson</t>
  </si>
  <si>
    <t xml:space="preserve">NWS ALY survey</t>
  </si>
  <si>
    <t xml:space="preserve">Coords approximate (hamlet)</t>
  </si>
  <si>
    <t xml:space="preserve">Mariaville → Schenectady</t>
  </si>
  <si>
    <t xml:space="preserve">EF2</t>
  </si>
  <si>
    <t xml:space="preserve">Widest tornado near Albany (1,760 yd); coords approx</t>
  </si>
  <si>
    <t xml:space="preserve">Saratoga</t>
  </si>
  <si>
    <t xml:space="preserve">Vischer Ferry</t>
  </si>
  <si>
    <t xml:space="preserve">Coords approx</t>
  </si>
  <si>
    <t xml:space="preserve">Bozenkill Rd, Knox (Albany Co. NW)</t>
  </si>
  <si>
    <t xml:space="preserve">NCEI via tornadopath / NWS ALY survey</t>
  </si>
  <si>
    <t xml:space="preserve">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</si>
  <si>
    <t xml:space="preserve">15:33</t>
  </si>
  <si>
    <t xml:space="preserve">Duanesburg / Delanson</t>
  </si>
  <si>
    <t xml:space="preserve">EF3 (140 mph)</t>
  </si>
  <si>
    <t xml:space="preserve">Coords approx. EF3 at a Route 20 home (leveled); Delanson motel roof + Duanesburg volunteer-ambulance-HQ wall gone; I-88 tractor-trailers tipped; rain-wrapped. Max wind 140 mph; ~7-mi path (EF0-EF1 elsewhere); 0 casualties; 3:33-3:55pm. NWS ALY survey (DiRienzo/Koleci). Altamont Enterprise 29 May 2014</t>
  </si>
  <si>
    <t xml:space="preserve">2014-06-17</t>
  </si>
  <si>
    <t xml:space="preserve">Widespread thunderstorm wind damage</t>
  </si>
  <si>
    <t xml:space="preserve">2015-06-09</t>
  </si>
  <si>
    <t xml:space="preserve">Scotia</t>
  </si>
  <si>
    <t xml:space="preserve">EF0</t>
  </si>
  <si>
    <t xml:space="preserve">Also a microburst same day</t>
  </si>
  <si>
    <t xml:space="preserve">2016-04-07</t>
  </si>
  <si>
    <t xml:space="preserve">Albany/Saratoga</t>
  </si>
  <si>
    <t xml:space="preserve">Capital District damaging wind</t>
  </si>
  <si>
    <t xml:space="preserve">2017-05-18</t>
  </si>
  <si>
    <t xml:space="preserve">NWS case study</t>
  </si>
  <si>
    <t xml:space="preserve">2018-05-04</t>
  </si>
  <si>
    <t xml:space="preserve">Damaging wind event</t>
  </si>
  <si>
    <t xml:space="preserve">2018-08-03</t>
  </si>
  <si>
    <t xml:space="preserve">11:24</t>
  </si>
  <si>
    <t xml:space="preserve">NCEI via tornadopath</t>
  </si>
  <si>
    <t xml:space="preserve">Damaging winds</t>
  </si>
  <si>
    <t xml:space="preserve">Halloween storm winds</t>
  </si>
  <si>
    <t xml:space="preserve">63 mph</t>
  </si>
  <si>
    <t xml:space="preserve">Thousands of outages</t>
  </si>
  <si>
    <t xml:space="preserve">Tropical wind</t>
  </si>
  <si>
    <t xml:space="preserve">2020-08-23</t>
  </si>
  <si>
    <t xml:space="preserve">$7.5M; barn roof torn off</t>
  </si>
  <si>
    <t xml:space="preserve">2020-08-27</t>
  </si>
  <si>
    <t xml:space="preserve">13:11</t>
  </si>
  <si>
    <t xml:space="preserve">2020-08-29</t>
  </si>
  <si>
    <t xml:space="preserve">16:42</t>
  </si>
  <si>
    <t xml:space="preserve">Schaghticoke</t>
  </si>
  <si>
    <t xml:space="preserve">October 2020 derecho</t>
  </si>
  <si>
    <t xml:space="preserve">NWS ALY CWA</t>
  </si>
  <si>
    <t xml:space="preserve">April 2021 tornadoes</t>
  </si>
  <si>
    <t xml:space="preserve">Locations not captured; see NWS writeup</t>
  </si>
  <si>
    <t xml:space="preserve">2022-07-12</t>
  </si>
  <si>
    <t xml:space="preserve">2026-08-28</t>
  </si>
  <si>
    <t xml:space="preserve">Wilton</t>
  </si>
  <si>
    <t xml:space="preserve">EF1 (110 mph) + EF0</t>
  </si>
  <si>
    <t xml:space="preserve">CBS6 Albany / NWS ALY PNS</t>
  </si>
  <si>
    <t xml:space="preserve">Date approximate (late Aug 2026); ~45 mi N</t>
  </si>
  <si>
    <t xml:space="preserve">Nearest-point column uses start/end points only; a long-track tornado (e.g., 1989 F4, 1974 F3) can pass closer than either endpoint. Region-wide wind days are pinned to Albany AP coordinates for the formula.</t>
  </si>
  <si>
    <t xml:space="preserve">Events by category</t>
  </si>
  <si>
    <t xml:space="preserve">Events by confidence</t>
  </si>
  <si>
    <t xml:space="preserve">Events by century</t>
  </si>
  <si>
    <t xml:space="preserve">Tornadoes (Wind &amp; Tornadoes sheet)</t>
  </si>
  <si>
    <t xml:space="preserve">Count</t>
  </si>
  <si>
    <t xml:space="preserve">18th</t>
  </si>
  <si>
    <t xml:space="preserve">All tornado rows</t>
  </si>
  <si>
    <t xml:space="preserve">19th</t>
  </si>
  <si>
    <t xml:space="preserve">Tornado rows within radius</t>
  </si>
  <si>
    <t xml:space="preserve">20th</t>
  </si>
  <si>
    <t xml:space="preserve">F/EF2+ within radius</t>
  </si>
  <si>
    <t xml:space="preserve">21st</t>
  </si>
  <si>
    <t xml:space="preserve">Closest tornado (mi)</t>
  </si>
  <si>
    <t xml:space="preserve">Verified = Y</t>
  </si>
  <si>
    <t xml:space="preserve">Total tornado injuries within radius</t>
  </si>
  <si>
    <t xml:space="preserve">Verified = N</t>
  </si>
  <si>
    <t xml:space="preserve">Total</t>
  </si>
  <si>
    <t xml:space="preserve">URL</t>
  </si>
  <si>
    <t xml:space="preserve">Best for</t>
  </si>
  <si>
    <t xml:space="preserve">Authoritative local recap: flood crests at Albany/Troy/Schenectady, Albany snow totals, ice storms, outages, 2011–2026 event writeups.</t>
  </si>
  <si>
    <t xml:space="preserve">NWS Albany July 2026 flash flood writeup</t>
  </si>
  <si>
    <t xml:space="preserve">Rainfall by station incl. Medusa, South Berne, Voorheesville; LSR list; recurrence intervals.</t>
  </si>
  <si>
    <t xml:space="preserve">NWS Albany climate extremes (ALB_Extremes.pdf)</t>
  </si>
  <si>
    <t xml:space="preserve">https://www.weather.gov/media/aly/Climate/ALB_Extremes.pdf</t>
  </si>
  <si>
    <t xml:space="preserve">Albany all-time records; verify 104°F / –28°F rows.</t>
  </si>
  <si>
    <t xml:space="preserve">Every NY tornado 1950–2012 with begin/end lat-lon, F-scale, deaths, injuries.</t>
  </si>
  <si>
    <t xml:space="preserve">2013+ tornadoes, thunderstorm wind, flash flood, hail by county; damage $ and narratives.</t>
  </si>
  <si>
    <t xml:space="preserve">NWS Albany storm surveys (PNS PDFs linked from Past Events page)</t>
  </si>
  <si>
    <t xml:space="preserve">EF ratings, path length/width, exact coords for 2011+ tornadoes and microbursts.</t>
  </si>
  <si>
    <t xml:space="preserve">July 1989 outbreak (Wikipedia, citing Grazulis &amp; SPC)</t>
  </si>
  <si>
    <t xml:space="preserve">F4 path description incl. Rensselaerville/Greenville touchdowns.</t>
  </si>
  <si>
    <t xml:space="preserve">Early hurricanes 1492–1870. NY-relevant rows verified from pp. 8–40 and 77–108: 1635, 1667, 1683, 1706 Albany flood, 1769, 1775, 1783, 1788 Hudson Highlands storm, 1795, 1804 Snow Hurricane (full), 1806, 1815 Great September Gale, 1821 NYC/Hudson hurricane, 1839 Catskill snow, 1850 central-NY track, and the Oct 1869 Saxby’s Gale rainstorm (upper Hudson Valley). Whole-volume Chronological Index (1528–1870, pp. 191–195) checked: no other storm reached eastern NY.</t>
  </si>
  <si>
    <t xml:space="preserve">USGS Reddy/Kappel/Root 2020 LiDAR Closed-Depression Database (doi:10.5066/P9HGN5IJ)</t>
  </si>
  <si>
    <t xml:space="preserve">https://www.sciencebase.gov/catalog/item/5b9ab009e4b0d966b485dea2</t>
  </si>
  <si>
    <t xml:space="preserve">INGESTED (KMZ): 514 statewide depressions, 191 within 75 mi of Westerlo, classified by bedrock &amp; origin (own LiDAR Depressions sheet). Pull the LiDAR .gdb for finer county-scale data.</t>
  </si>
  <si>
    <t xml:space="preserve">USGS Kappel et al. 2020 (SIR 2020-5030) &amp; SIR 2021-5094; SUNY Brockport (Richards) LiDAR karst study; Cornell karst/manure-mgmt database</t>
  </si>
  <si>
    <t xml:space="preserve">https://pubs.usgs.gov/sir/2020/5030/sir20205030.pdf</t>
  </si>
  <si>
    <t xml:space="preserve">SYSTEMATIC karst inventory for NY/Albany Co.: LiDAR-mapped sinkholes &amp; closed depressions, karst-prone bedrock, thinly-soiled soils. The way to find collapses no newspaper reported. NOT YET fully ingested - PDFs/GIS to pull.</t>
  </si>
  <si>
    <t xml:space="preserve">Helderberg karst inventory: cave entrance sinks with dimensions, hydrology, and a few dated collapses (own Subsidence &amp; Karst sheet). Management-plan PDFs are the primary source.</t>
  </si>
  <si>
    <t xml:space="preserve">Every reported NY ice jam with date, river, town, coordinates; regional subset (522 records within 75 mi, the register footprint) is its own sheet. Reporting-biased by collection era.</t>
  </si>
  <si>
    <t xml:space="preserve">Hudson-at-Albany freeze/open dates and lowest temps, winter by winter, 1789–90 to 1831–32 (own sheet). VERIFIED.</t>
  </si>
  <si>
    <t xml:space="preserve">The Annual Register (Albany, Munsell) 1849–1850 – Albany weather notes incl. the Green Street museum weather book (1789) and Albany Gazette 13 Jan 1772</t>
  </si>
  <si>
    <t xml:space="preserve">Ludlum cites vol. 1849 p. 329 and vol. 1850 vol. 2 p. 192; HathiTrust/Google Books.</t>
  </si>
  <si>
    <t xml:space="preserve">E. T. Turner, The Climate of the State of New York (Albany, 1894, 440 pp.)</t>
  </si>
  <si>
    <t xml:space="preserve">Cited by Ludlum; state-level climatology with historical extremes – HathiTrust.</t>
  </si>
  <si>
    <t xml:space="preserve">"Notices of the winters at New York for the last 42 years" (1789–1831), Albany Daily Advertiser, reprinted Amer. Quar. Jour. Agri. &amp; Sci. 1 (1845) 347</t>
  </si>
  <si>
    <t xml:space="preserve">Year-by-year Albany-area winter notices 1789–1831 – exactly the gap between Ludlum and Hough. Google Books / HathiTrust.</t>
  </si>
  <si>
    <t xml:space="preserve">Grazulis, Significant Tornadoes 1680–1991 (via tornadopath.com county pages)</t>
  </si>
  <si>
    <t xml:space="preserve">https://www.tornadopath.com/new-york</t>
  </si>
  <si>
    <t xml:space="preserve">Pre-1950 F2+ and deadly tornadoes by county (approx coords).</t>
  </si>
  <si>
    <t xml:space="preserve">Ludlum, Early American Winters I &amp; II; Early American Hurricanes 1492–1870 (AMS)</t>
  </si>
  <si>
    <t xml:space="preserve">Chronicle-era winters, hurricanes, 1816; the only systematic pre-instrument source. Vol. I pp. 114–115, 134–135, 164–171, 182–183, 188–193, 228–229, 236–237 read via screenshots 2026-09-20.</t>
  </si>
  <si>
    <t xml:space="preserve">USGS NWIS peak-flow data</t>
  </si>
  <si>
    <t xml:space="preserve">https://waterdata.usgs.gov/nwis/peak</t>
  </si>
  <si>
    <t xml:space="preserve">Annual peak stage/flow for Schoharie Cr., Esopus Cr., Catskill Cr., Hudson at Albany — the honest way to rank floods.</t>
  </si>
  <si>
    <t xml:space="preserve">NCEI GHCN-Daily (Albany AP, coop stations)</t>
  </si>
  <si>
    <t xml:space="preserve">https://www.ncei.noaa.gov/access/search/data-search/daily-summaries</t>
  </si>
  <si>
    <t xml:space="preserve">Daily max/min/precip/snow; needed for frost dates, cold snaps, heat waves on the plateau.</t>
  </si>
  <si>
    <t xml:space="preserve">NRCC (Cornell) Northeast drought &amp; climate tools</t>
  </si>
  <si>
    <t xml:space="preserve">https://www.nrcc.cornell.edu/</t>
  </si>
  <si>
    <t xml:space="preserve">Drought indices, growing-degree-day and frost-date climatologies.</t>
  </si>
  <si>
    <t xml:space="preserve">US Drought Monitor archive (2000–)</t>
  </si>
  <si>
    <t xml:space="preserve">https://droughtmonitor.unl.edu/</t>
  </si>
  <si>
    <t xml:space="preserve">Weekly drought categories by county.</t>
  </si>
  <si>
    <t xml:space="preserve">NESIS (Northeast Snowfall Impact Scale)</t>
  </si>
  <si>
    <t xml:space="preserve">https://www.ncei.noaa.gov/access/monitoring/nesis/</t>
  </si>
  <si>
    <t xml:space="preserve">Objective ranking of Northeast snowstorms 1956+.</t>
  </si>
  <si>
    <t xml:space="preserve">Mylroie, J.E. 1977, Speleogenesis &amp; Karst Geomorphology of the Helderberg Plateau, Schoharie Co. (NY Cave Survey Bulletin 2, 336 pp.; RPI doctoral thesis)</t>
  </si>
  <si>
    <t xml:space="preserve">FOUNDATIONAL systematic speleogenesis / karst-geomorphology survey of the plateau — the likely source for coordinates &amp; dimensions of the Barton Hill caves (Caboose, Single X, Joober Hole) and possibly the McFails historic-entrance collapse &amp; Knox-collapse dates. PRINT-ONLY (not online): NSS / NY Cave Survey, or a library copy (Butler Cave Conservation Society holds one). NOT YET ingested.</t>
  </si>
  <si>
    <t xml:space="preserve">Cooper, M.P. &amp; Mylroie, J.E. 2015, 'Caves and Karst of the Helderberg Plateau' in Glaciation and Speleogenesis (Springer)</t>
  </si>
  <si>
    <t xml:space="preserve">https://link.springer.com/chapter/10.1007/978-3-319-16534-9_5</t>
  </si>
  <si>
    <t xml:space="preserve">Modern synthesis distilling Mylroie 1977: names the major systems (Barrack Zourie, Howe, McFails, Skull, Thunder Hole) and gives U/Th dates showing the caves are pre-glacial (&gt;=350 ka). Reachable now (Springer/ResearchGate) — the accessible proxy for Bulletin 2. Check it for the McFails collapse date and any Barton Hill coordinates.</t>
  </si>
  <si>
    <t xml:space="preserve">FEMA National Flood Insurance Program (NFIP) flood maps — Map Service Center</t>
  </si>
  <si>
    <t xml:space="preserve">https://msc.fema.gov/portal/search</t>
  </si>
  <si>
    <t xml:space="preserve">Official 100-year (1% annual) floodplains by address. The 2015-04-01 Albany Co. remap designated FEMA floodplains along Vly Creek (Voorheesville), Vlomankill, Normanskill, Hungerkill, Bozenkill, Switzkill, Basic Creek Reservoir, Ten Mile Creek (Rensselaerville) and tributaries to Warners/Thompsons/Myosotis Lakes — the region's formally flood-prone waterways. NFIP was &gt;$20B in debt (Sept 2011) after Irene/Lee/Sandy; premium hikes capped 20%/yr. Per Altamont Enterprise 9 Apr 2015.</t>
  </si>
  <si>
    <t xml:space="preserve">Albany County Multi-Jurisdictional Hazard Mitigation Plan (2025, ~200 pp.) &amp; Guilderland annex (~65 pp.), FEMA-required</t>
  </si>
  <si>
    <t xml:space="preserve">SYSTEMATIC local hazard inventory (5-yr update cycle; adopted Guilderland 2025-07-15). Guilderland: flooding vulnerability HIGH — 515 parcels in the 1% annual (100-yr) floodplain (284 residential / 45 park / 32 agricultural / 21 commercial / 8 community / 7 public / 2 industrial); severe-storm &amp; erosion vulnerability HIGH, landslide MODERATE; one HIGH-HAZARD dam (Watervliet Reservoir, blocking the Normans Kill — failure threatens life &amp; extensive loss). Every county/town has one; the register-grade way to catch hazards no newspaper reported. Per Altamont Enterprise 31 Jul 2025 &amp; 6 Dec 2018. Lineage: a 2007 county-only plan failed to win municipal adoption; the multi-jurisdictional plan was adopted 2018 (all Albany Co. municipalities EXCEPT Rensselaerville &amp; Colonie village), updated 2025. Hazards assessed: extreme temp, severe storm/tornado, tropical, flood, drought, landslide, EARTHQUAKE (a register gap), winter storm, wildfire, ice jam.</t>
  </si>
  <si>
    <t xml:space="preserve">Winter</t>
  </si>
  <si>
    <t xml:space="preserve">Hudson closed at Albany</t>
  </si>
  <si>
    <t xml:space="preserve">Opened</t>
  </si>
  <si>
    <t xml:space="preserve">Lowest temp (°F)</t>
  </si>
  <si>
    <t xml:space="preserve">Character (as recorded)</t>
  </si>
  <si>
    <t xml:space="preserve">1789-90</t>
  </si>
  <si>
    <t xml:space="preserve">open till Feb 3</t>
  </si>
  <si>
    <t xml:space="preserve">Very mild; mildest January since 1781; occasionally obstructed by ice before</t>
  </si>
  <si>
    <t xml:space="preserve">1790-91</t>
  </si>
  <si>
    <t xml:space="preserve">Dec 8</t>
  </si>
  <si>
    <t xml:space="preserve">Very severe December, milder Jan–Feb</t>
  </si>
  <si>
    <t xml:space="preserve">1791-92</t>
  </si>
  <si>
    <t xml:space="preserve">Dec 9</t>
  </si>
  <si>
    <t xml:space="preserve">Very severe; uninterrupted severe frost 4 weeks</t>
  </si>
  <si>
    <t xml:space="preserve">1792-93</t>
  </si>
  <si>
    <t xml:space="preserve">Dec 12</t>
  </si>
  <si>
    <t xml:space="preserve">Very mild; open all winter to Poughkeepsie, closed only at Albany</t>
  </si>
  <si>
    <t xml:space="preserve">1793-94</t>
  </si>
  <si>
    <t xml:space="preserve">Dec 26</t>
  </si>
  <si>
    <t xml:space="preserve">Mild, little snow</t>
  </si>
  <si>
    <t xml:space="preserve">1794-95</t>
  </si>
  <si>
    <t xml:space="preserve">Jan 12</t>
  </si>
  <si>
    <t xml:space="preserve">Very mild autumn/December; no ice till Jan 3</t>
  </si>
  <si>
    <t xml:space="preserve">1795-96</t>
  </si>
  <si>
    <t xml:space="preserve">Dec 21</t>
  </si>
  <si>
    <t xml:space="preserve">open till Jan 23</t>
  </si>
  <si>
    <t xml:space="preserve">Very mild autumn/December</t>
  </si>
  <si>
    <t xml:space="preserve">1796-97</t>
  </si>
  <si>
    <t xml:space="preserve">Nov 28</t>
  </si>
  <si>
    <t xml:space="preserve">Early, severe to Jan 12; intensely cold Dec 23–24</t>
  </si>
  <si>
    <t xml:space="preserve">1797-98</t>
  </si>
  <si>
    <t xml:space="preserve">Nov 23</t>
  </si>
  <si>
    <t xml:space="preserve">Very early, long and severe; brief Jan thaw</t>
  </si>
  <si>
    <t xml:space="preserve">1798-99</t>
  </si>
  <si>
    <t xml:space="preserve">Early, long, severe; moderate ~3 weeks in Jan</t>
  </si>
  <si>
    <t xml:space="preserve">1799-1800</t>
  </si>
  <si>
    <t xml:space="preserve">Jan 6</t>
  </si>
  <si>
    <t xml:space="preserve">Mild; obstructed by ice before closing</t>
  </si>
  <si>
    <t xml:space="preserve">1800-01</t>
  </si>
  <si>
    <t xml:space="preserve">Jan 3</t>
  </si>
  <si>
    <t xml:space="preserve">Mild, little snow; very mild December</t>
  </si>
  <si>
    <t xml:space="preserve">1801-02</t>
  </si>
  <si>
    <t xml:space="preserve">Remarkably mild; Jan mercury 40–50°F; no real snow till Feb 22</t>
  </si>
  <si>
    <t xml:space="preserve">1802-03</t>
  </si>
  <si>
    <t xml:space="preserve">Dec 16</t>
  </si>
  <si>
    <t xml:space="preserve">Mild and variable, little snow</t>
  </si>
  <si>
    <t xml:space="preserve">1803-04</t>
  </si>
  <si>
    <t xml:space="preserve">42</t>
  </si>
  <si>
    <t xml:space="preserve">Very mild December; severe weather + deep snows Jan/late Feb</t>
  </si>
  <si>
    <t xml:space="preserve">1804-05</t>
  </si>
  <si>
    <t xml:space="preserve">Dec 13</t>
  </si>
  <si>
    <t xml:space="preserve">Remarkably cold and variable; deep snows, heavy rains, high winds; distress among the poor</t>
  </si>
  <si>
    <t xml:space="preserve">1805-06</t>
  </si>
  <si>
    <t xml:space="preserve">Jan 9</t>
  </si>
  <si>
    <t xml:space="preserve">Feb 23</t>
  </si>
  <si>
    <t xml:space="preserve">Cold in January, mild Dec and Feb</t>
  </si>
  <si>
    <t xml:space="preserve">1806-07</t>
  </si>
  <si>
    <t xml:space="preserve">Dec 11</t>
  </si>
  <si>
    <t xml:space="preserve">Severe winter</t>
  </si>
  <si>
    <t xml:space="preserve">1807-08</t>
  </si>
  <si>
    <t xml:space="preserve">Jan 4</t>
  </si>
  <si>
    <t xml:space="preserve">Mild; very mild December</t>
  </si>
  <si>
    <t xml:space="preserve">1808-09</t>
  </si>
  <si>
    <t xml:space="preserve">Long and severe, much snow</t>
  </si>
  <si>
    <t xml:space="preserve">1809-10</t>
  </si>
  <si>
    <t xml:space="preserve">Jan 19</t>
  </si>
  <si>
    <t xml:space="preserve">Remarkably mild till Jan 19, then intensely cold; little snow</t>
  </si>
  <si>
    <t xml:space="preserve">1810-11</t>
  </si>
  <si>
    <t xml:space="preserve">Dec 14</t>
  </si>
  <si>
    <t xml:space="preserve">Much snow Feb; severe snowstorm Nov 2</t>
  </si>
  <si>
    <t xml:space="preserve">1811-12</t>
  </si>
  <si>
    <t xml:space="preserve">Dec 20</t>
  </si>
  <si>
    <t xml:space="preserve">1812-13</t>
  </si>
  <si>
    <t xml:space="preserve">1813-14</t>
  </si>
  <si>
    <t xml:space="preserve">Dec 22</t>
  </si>
  <si>
    <t xml:space="preserve">8</t>
  </si>
  <si>
    <t xml:space="preserve">1814-15</t>
  </si>
  <si>
    <t xml:space="preserve">Dec 10</t>
  </si>
  <si>
    <t xml:space="preserve">Very severe though variable</t>
  </si>
  <si>
    <t xml:space="preserve">1815-16</t>
  </si>
  <si>
    <t xml:space="preserve">Dec 2</t>
  </si>
  <si>
    <t xml:space="preserve">Variable, not severe</t>
  </si>
  <si>
    <t xml:space="preserve">1816-17</t>
  </si>
  <si>
    <t xml:space="preserve">-6</t>
  </si>
  <si>
    <t xml:space="preserve">Very severe from mid-Jan; −6°F Feb 15, first sub-zero at Albany since 1788</t>
  </si>
  <si>
    <t xml:space="preserve">1817-18</t>
  </si>
  <si>
    <t xml:space="preserve">Dec 7 (opened 14th, closed again 21st)</t>
  </si>
  <si>
    <t xml:space="preserve">0</t>
  </si>
  <si>
    <t xml:space="preserve">Moderate Dec/Jan, severe February</t>
  </si>
  <si>
    <t xml:space="preserve">1818-19</t>
  </si>
  <si>
    <t xml:space="preserve">Severe 2 weeks in Dec; very mild Jan/Feb</t>
  </si>
  <si>
    <t xml:space="preserve">1819-20</t>
  </si>
  <si>
    <t xml:space="preserve">Severe; several deep snows; obstructed by ice before</t>
  </si>
  <si>
    <t xml:space="preserve">1820-21</t>
  </si>
  <si>
    <t xml:space="preserve">Nov 13 (opened 20th, closed again Dec 1)</t>
  </si>
  <si>
    <t xml:space="preserve">-7</t>
  </si>
  <si>
    <t xml:space="preserve">Intensely severe most of January; −7°F Jan 25 (coldest ever here); Hudson crossed on the ice at Albany</t>
  </si>
  <si>
    <t xml:space="preserve">1821-22</t>
  </si>
  <si>
    <t xml:space="preserve">-1</t>
  </si>
  <si>
    <t xml:space="preserve">Severe, little snow</t>
  </si>
  <si>
    <t xml:space="preserve">1822-23</t>
  </si>
  <si>
    <t xml:space="preserve">Dec 24</t>
  </si>
  <si>
    <t xml:space="preserve">No severe weather till Feb/Mar</t>
  </si>
  <si>
    <t xml:space="preserve">1823-24</t>
  </si>
  <si>
    <t xml:space="preserve">open in Jan briefly</t>
  </si>
  <si>
    <t xml:space="preserve">Very mild</t>
  </si>
  <si>
    <t xml:space="preserve">1824-25</t>
  </si>
  <si>
    <t xml:space="preserve">1825-26</t>
  </si>
  <si>
    <t xml:space="preserve">Generally very mild; cold Dec 14 (3°F at 8 AM)</t>
  </si>
  <si>
    <t xml:space="preserve">1826-27</t>
  </si>
  <si>
    <t xml:space="preserve">1827-28</t>
  </si>
  <si>
    <t xml:space="preserve">closed ~3 weeks total</t>
  </si>
  <si>
    <t xml:space="preserve">Very cold blustering Nov, then mildest winter since 1801–2; mildest Feb since 1778–9 (peach blossom)</t>
  </si>
  <si>
    <t xml:space="preserve">1828-29</t>
  </si>
  <si>
    <t xml:space="preserve">Jan 1</t>
  </si>
  <si>
    <t xml:space="preserve">Mar 29</t>
  </si>
  <si>
    <t xml:space="preserve">Long severe winter; much suffering among the poor</t>
  </si>
  <si>
    <t xml:space="preserve">1829-30</t>
  </si>
  <si>
    <t xml:space="preserve">late Jan</t>
  </si>
  <si>
    <t xml:space="preserve">Mild till Jan 23 then very severe several weeks</t>
  </si>
  <si>
    <t xml:space="preserve">1830-31</t>
  </si>
  <si>
    <t xml:space="preserve">Dec 23 (reopened, closed again Jan 16)</t>
  </si>
  <si>
    <t xml:space="preserve">Severe, several deep snows; ground snow-covered Jan 6–Feb 28</t>
  </si>
  <si>
    <t xml:space="preserve">1831-32</t>
  </si>
  <si>
    <t xml:space="preserve">Dec 3</t>
  </si>
  <si>
    <t xml:space="preserve">14</t>
  </si>
  <si>
    <t xml:space="preserve">Coldest December since 1786 (as of Dec 10)</t>
  </si>
  <si>
    <t xml:space="preserve">Source: Albany Daily Advertiser, "Notices of the Winters at New York for the last forty-two years… dates at which the Hudson was frozen or obstructed or closed by ice at Albany," repr. American Quarterly Journal of Agriculture and Science 1 (1845) pp. 347–350 (verified, page images)</t>
  </si>
  <si>
    <t xml:space="preserve">Verified against page images of pp. 347–350, https://archive.org/details/americanquarterl00slsn</t>
  </si>
  <si>
    <t xml:space="preserve">Jam date</t>
  </si>
  <si>
    <t xml:space="preserve">City</t>
  </si>
  <si>
    <t xml:space="preserve">River</t>
  </si>
  <si>
    <t xml:space="preserve">Dist. from Westerlo (mi)</t>
  </si>
  <si>
    <t xml:space="preserve">Description</t>
  </si>
  <si>
    <t xml:space="preserve">2026-03-11</t>
  </si>
  <si>
    <t xml:space="preserve">Johnsburg</t>
  </si>
  <si>
    <t xml:space="preserve">Hudson River</t>
  </si>
  <si>
    <t xml:space="preserve">Break-up</t>
  </si>
  <si>
    <t xml:space="preserve">Break-up jam formed at the confluence of Glen Creek and the Hudson River southeast of Johnsburg, NY, near the Rt 28 bridge across the Hudson.  Local EM say the river has routed around the jam.</t>
  </si>
  <si>
    <t xml:space="preserve">2026-03-09</t>
  </si>
  <si>
    <t xml:space="preserve">Mohawk River</t>
  </si>
  <si>
    <t xml:space="preserve">A series of ice jams is affecting the reach of the Mohawk River from approximately Scotia to Lock and Dam 7, including Schenectady.</t>
  </si>
  <si>
    <t xml:space="preserve">2026-01-26</t>
  </si>
  <si>
    <t xml:space="preserve">Newport</t>
  </si>
  <si>
    <t xml:space="preserve">West Canada Creek</t>
  </si>
  <si>
    <t xml:space="preserve">Freeze-up</t>
  </si>
  <si>
    <t xml:space="preserve">Freeze-up jam formed on West Canada Creek in Newport, NY.</t>
  </si>
  <si>
    <t xml:space="preserve">2022-02-20</t>
  </si>
  <si>
    <t xml:space="preserve">Warrensburg</t>
  </si>
  <si>
    <t xml:space="preserve">Unknown</t>
  </si>
  <si>
    <t xml:space="preserve">212 
WGUS81 KALY 201524
FLSALY
Flood Advisory
National Weather Servi_c_e Albany NY
1024 AM EST Sun Feb 20 2022
NYC113-201730-
/O.EXT.KALY.FA.Y.0002.000000T0000Z-220220T1730Z/
/00000.N.IJ.000000T0000Z.000000T0000Z.000000T0000Z.OO/
Warren NY-
1024 AM EST Sun Feb 20 2022
...FLOOD ADVISORY FOR AN ICE JAM NOW IN EFFECT UNTIL 1230 PM EST 
THIS AFTERNOON...
* WHAT...Flooding caused by an ice jam continues.
* WHERE...A portion of eastern New York, including the following 
  county, Warren.
* WHEN...Until 1230 PM EST.
* IMPACTS...Minor flooding in low-lying and poor drainage areas. 
* ADDITIONAL DETAILS...
  - At 1020 AM EST, local emergency manager reported that the
    Route 418 (River Street) between Hickory Hill Road and River
    Road remains closed in both directions in the adjoining towns
    of Warrensburg and Thurman due to flooding from an ice jam.
  - Some locations that will experience flooding include...
    Warrensburg, Thurman Station and Athol.
  - http://www.weather.gov/safety/flood
PRECAUTIONARY/PREPAREDNESS ACTIONS...
Turn around, don't drown when encountering flooded roads. Most flood 
deaths occur in vehicles.
&amp;amp;&amp;amp;
LAT...LON 4350 7385 4349 7378 4346 7379 4347 7385
$$
CS</t>
  </si>
  <si>
    <t xml:space="preserve">2022-02-18</t>
  </si>
  <si>
    <t xml:space="preserve">Dolgeville</t>
  </si>
  <si>
    <t xml:space="preserve">East Canada Creek</t>
  </si>
  <si>
    <t xml:space="preserve">Reported ice jam and flooding in Dolgeville.
https://cbs6albany.com/news/local/flooding-from-ice-jams-prompts-evacuations-in-dolgeville
Dolgeville, NY (WRGB)  At least 10 homes in the Village of Dolgeville were evacuated on Friday after ice jams caused the East Canada Creek to overflow its banks, turning yards and roads into waterways. As of 11:00 pm Friday night, a section of Van Biden Street remains closed as crews work to get the water back into the channel.
Four homes on Van Buren St were evacuated, with residents still unable to return as of Friday night.
MORE: Ice Jams, Flooding, The surge of water after the big thaw around the Capital District
On the other side of the creek, six homes on Dolge Ave were evacuated. So far, residents to five of the homes were able to return.
One of the residents spoke with CBS6 Briana Supardi about the wrath Mother Nature brought.
It just kept coming. There was a loud roar. Very scary. It was taking trees down, punching down trees and all these icebergs you see, and then after that the flooding of course, and water pouring into peoples basements and into their garage. Its just a terrible, terrible mess, said Rob Hall, Dolgeville resident.
Rob Hall and his family were one of the ten told to evacuate their homes along the East Cananda Creek Friday.
Unfortunately, now our yard and our homes have become the creek, said Hall.
Its been an hours-long mess. He says the flooding started around 1:30 pm this afternoon, with what looked like a wall of ice barreling down the creek.
Hall and his family were able to return to their home Friday afternoon, but his next-door neighbor wasnt so lucky.
He says his neighbors home had it the worst after the creek completely consumed it. Ice chunks from the creek litter the property.
Flooding from ice jams prompts evacuations in Dolgeville
Dolgeville residents are no strangers to flooding, but Friday was different, according to the villages Fire Chief Dave Jaquay.
Jaquay tells CBSs Briana Supardi that he has never seen an ice jam this bad, dumping at the worst he has ever seen in the 16 years on the job.
The fire chief says its still touch and go for the remaining five homes still evacuated. He doesnt know how long crews on Van Buren St will be working overtime to get the water back into the creek and families back into their homes.</t>
  </si>
  <si>
    <t xml:space="preserve">2022-02-10</t>
  </si>
  <si>
    <t xml:space="preserve">Ice jam occurred on the Mohawk River at Schenectady, NY.  Minor flooding was reported, but tugboats have been used to carve channels and mitigate the effects of the jam.  Release as of 24 Feb.</t>
  </si>
  <si>
    <t xml:space="preserve">2019-02-09</t>
  </si>
  <si>
    <t xml:space="preserve">Ballston Spa</t>
  </si>
  <si>
    <t xml:space="preserve">Kayaderosseras Creek</t>
  </si>
  <si>
    <t xml:space="preserve">2019-02-08</t>
  </si>
  <si>
    <t xml:space="preserve">Rotterdam</t>
  </si>
  <si>
    <t xml:space="preserve">2019-01-25</t>
  </si>
  <si>
    <t xml:space="preserve">2019-01-24</t>
  </si>
  <si>
    <t xml:space="preserve">Delhi</t>
  </si>
  <si>
    <t xml:space="preserve">West Branch Delaware River</t>
  </si>
  <si>
    <t xml:space="preserve">Eagle Bridge</t>
  </si>
  <si>
    <t xml:space="preserve">Hoosic River</t>
  </si>
  <si>
    <t xml:space="preserve">2018-01-23</t>
  </si>
  <si>
    <t xml:space="preserve">Pittstown</t>
  </si>
  <si>
    <t xml:space="preserve">Sunkauissia Creek</t>
  </si>
  <si>
    <t xml:space="preserve">2018-01-13</t>
  </si>
  <si>
    <t xml:space="preserve">Sidney</t>
  </si>
  <si>
    <t xml:space="preserve">Susquehanna River</t>
  </si>
  <si>
    <t xml:space="preserve">Buskirk</t>
  </si>
  <si>
    <t xml:space="preserve">Ilion</t>
  </si>
  <si>
    <t xml:space="preserve">Steele Creek</t>
  </si>
  <si>
    <t xml:space="preserve">Northville</t>
  </si>
  <si>
    <t xml:space="preserve">Sacandaga River</t>
  </si>
  <si>
    <t xml:space="preserve">Westbrookville</t>
  </si>
  <si>
    <t xml:space="preserve">Pine Kill</t>
  </si>
  <si>
    <t xml:space="preserve">East Branch</t>
  </si>
  <si>
    <t xml:space="preserve">East Branch Delaware River</t>
  </si>
  <si>
    <t xml:space="preserve">2015-04-01</t>
  </si>
  <si>
    <t xml:space="preserve">2015-01-19</t>
  </si>
  <si>
    <t xml:space="preserve">Jan 21: THE EAGLE BRIDGE GAGE ON THE HOOSIC RIVER CONTINUES TO BE HAMPERED BY ICE EFFECTS AND RECENTLY HAS EXHIBITED A DECREASE IN GAGE LEVELS /BELOW FLOOD STAGE/.
Jan 19: AN ICE JAM CAUSED MINOR FLOODING FOR EAGLE BRIDGE ON THE HOOSIC RIVER. THE FLOOD WARNING CONTINUES FOR THE HOOSIC RIVER AT EAGLE BRIDGE. UNTIL THIS EVENING. AT 12 PM MONDAY THE STAGE WAS 12.5 FEET DUE TO AN ICE JAM NEAR THE GAGE. FLOOD STAGE IS 11.0 FEET. MINOR FLOODING IS OCCURRING AND MINOR FLOODING IS FORECAST.</t>
  </si>
  <si>
    <t xml:space="preserve">2014-03-30</t>
  </si>
  <si>
    <t xml:space="preserve">Danube</t>
  </si>
  <si>
    <t xml:space="preserve">Nowadaga Creek</t>
  </si>
  <si>
    <t xml:space="preserve">On 30 March 2014
AT 1217 PM EDT...EMERGENCY MANAGEMENT REPORTS FLOODING FROM AN ICE JAM ON THE NOWADAGA CREEK IN DANUBE. CREEK ROAD IS CLOSED  DUE TO WATER AND ICE.
AT 623 AM EDT...EMERGENCY MANAGEMENT REPORTS FLOODING FROM AN ICE JAM ON THE NOWADAGA CREEK IN DANUBE. CREEK ROAD IS CLOSED DUE TO WATER AND ICE.</t>
  </si>
  <si>
    <t xml:space="preserve">2014-03-05</t>
  </si>
  <si>
    <t xml:space="preserve">Callicoon</t>
  </si>
  <si>
    <t xml:space="preserve">Delaware River</t>
  </si>
  <si>
    <t xml:space="preserve">HYDROLOGIC STATEMENT
NATIONAL WEATHER SERVICE BINGHAMTON, NY
1206 PM EDT TUE MAR 11 2014
DATE OF OBSERVATION: 3/5/2014 ID: 159
     LOCATION: DELAWARE RIVER FROM CALLICOON TO TENMILE RIVER PA
     REPORT: SOLID ICE COVERS THE RIVER AND STARTED ON 2/19/2014.
     THE SOLID ICE COVER BEGINS AT BEGINS APPROXIMATELY 2 MILES
     ABOVE CALLICOON BRIDGE. AND ENDS AT ENDS BELOW THE NARROWSBURG
     POOL.
     COMMENT: THIS IS THE MOST SIGNIFICANT ICE AREA.  THERE IS
     SIGNIFICANT ICE BUILDUP IN THE FLOOD PLAIN UP TO 15' THICK OF
     HUMMOCK ICE FROM THE LAST FREEZE UP JAM.  THE ENTIRE AREA IS
     SHEET ICE WITH A FEW OPEN LEADS.</t>
  </si>
  <si>
    <t xml:space="preserve">2014-01-14</t>
  </si>
  <si>
    <t xml:space="preserve">Herkimer</t>
  </si>
  <si>
    <t xml:space="preserve">Bellinger Brook</t>
  </si>
  <si>
    <t xml:space="preserve">FLOOD ADVISORY
NATIONAL WEATHER SERVICE ALBANY NY
429 PM EST TUE JAN 14 2014
...THE FLOOD ADVISORY FOR ICE JAM FLOODING HAS BEEN CANCELLED FOR
SOUTH CENTRAL HERKIMER COUNTY...
THE ICE JAM WHICH WAS IN PLACE ON THE BELLINGER BROOK HAS BROKEN AND
THE WATER WAS FLOWING FREELY. THEREFORE THE THREAT OF FLOODING HAS
ENDED.
LAT...LON 4307 7503 4305 7492 4299 7494 4302 7504
$$
FLOOD ADVISORY
NATIONAL WEATHER SERVICE ALBANY NY
159 PM EST TUE JAN 14 2014
THE NATIONAL WEATHER SERVICE IN ALBANY HAS ISSUED A
* FLOOD ADVISORY FOR ICE JAM FLOODING IN...
  SOUTH CENTRAL HERKIMER COUNTY IN EASTERN NEW YORK...
  THIS INCLUDES THE CITY OF HERKIMER...
* UNTIL 145 AM EST WEDNESDAY
* AT 151 PM EST...LAW ENFORCEMENT OFFICIALS REPORTED ICE JAM
  FLOODING ALONG THE BELLINGER BROOK...CLOSING THE ROADS NEAR THE
  INTERSECTION OF CHURCH STREET AND WEST GERMAN STREET.  ICE ALONG
  THE BRIDGE IN THE AREA IS BACKING UP WATER ON THESE STREETS AND
  THE FLOODING IS EXPECTED TO CONTINUE THROUGH THIS EVENING. LIGHT
  RAIN RUNNING OFF INTO THE BROOK COULD ALSO CONTRIBUTE TO THE
  WATER ON THE ROADS.
PRECAUTIONARY/PREPAREDNESS ACTIONS...
A FLOOD ADVISORY MEANS RIVER OR STREAM FLOWS ARE ELEVATED OR PONDING
OF WATER IN URBAN OR OTHER AREAS IS OCCURRING OR IS IMMINENT.
&amp;&amp;
LAT...LON 4307 7503 4305 7492 4299 7494 4302 7504
$$
Central Paving, Herkimer County and others brought in excavators to take out the ice, working on both sides of the bridge, according to Herkimer
Police Capt. Scott Scherer. Later in the afternoon, a utility pole was brought in and used to ram the ice, finally breaking up the jam, he said.
Cement barriers and sandbags were used to divert the flow of the water down Graham Street. Scherer said the Herkimer Department of Public
Works would be on the scene into the evening cleaning up the chunks of ice that were dumped in the park area along the creek between Church
and German streets.</t>
  </si>
  <si>
    <t xml:space="preserve">2014-01-13</t>
  </si>
  <si>
    <t xml:space="preserve">An ice jam had caused the Kayaderosseras Creek to flood Kelley Park in Ballston Spa, NY on Monday 13 Jan 2014, according to the Saratogian.com. 
The bridge on Ralph Street was shut down due to flooding concerns and water and sewer lines which run under the bridge.  Homes affected by flood waters were located on Liberty, Kent and Mechanic Streets.</t>
  </si>
  <si>
    <t xml:space="preserve">2014-01-12</t>
  </si>
  <si>
    <t xml:space="preserve">Thurman</t>
  </si>
  <si>
    <t xml:space="preserve">Glen Creek</t>
  </si>
  <si>
    <t xml:space="preserve">The poststar.com reported that 'weather causes issues in Johnsburg, Thurman' on Sunday 12 Jan 14 in NY.
"Claude Straight Road had water hitting the bridge beams Saturday afternoon because of the
heavy rains, according to Highway Superintendent Dan Hitchcock.
Hitchcock said Harrington Road also had ice up to scraper banks in some locations and Glen
Creek Road was closed early Sunday morning because of an ice jam and flooding."
"In Thurman, an ice jam on the Hudson River shut down a road in the town.
River Road closed Sunday evening because of the issue, according to the Warren County Sheriffs Office."</t>
  </si>
  <si>
    <t xml:space="preserve">2014-01-11</t>
  </si>
  <si>
    <t xml:space="preserve">Authorities in Rensselaer County reported an ice jam on the Hoosic River caused minor flooding late Saturday on County Route 103 in the Town of Hoosick. A section of the roadway, near the Buskirk Bridge, was closed.
NWS reported road closures in southern WAshing county in Cambridge at King Road and Cty Rte 59 with ice bakcing up and minor flooding.  NWS gages peak at 11.99 ft.  Minor flooding occurs at 11ft.
Location is estimated based on descriptions of flooding upstream of jam.</t>
  </si>
  <si>
    <t xml:space="preserve">2014-01-10</t>
  </si>
  <si>
    <t xml:space="preserve">Starkville</t>
  </si>
  <si>
    <t xml:space="preserve">Otsquago Creek</t>
  </si>
  <si>
    <t xml:space="preserve">According to Fox23 News on 10 Jan 2014, heavy machinery was brought in to remove ice from under the Route 80 bridge on the Otsquago Creek, in Starkville, NY in order to avoid flooding.  Sub-zero temps, resulting in ice accumulation on area rivers was followed by warm, rainy conditions on 11 Jan 2014, leading to ice jam breakup flooding across the region.</t>
  </si>
  <si>
    <t xml:space="preserve">2014-01-08</t>
  </si>
  <si>
    <t xml:space="preserve">Poughkeepsie</t>
  </si>
  <si>
    <t xml:space="preserve">Wappingers Creek</t>
  </si>
  <si>
    <t xml:space="preserve">1113 AM EST WED JAN 8 2014
THE NATIONAL WEATHER SERVICE IN ALBANY HAS ISSUED A
* FLOOD ADVISORY FOR ICE JAM FLOODING IN...
WEST CENTRAL DUTCHESS COUNTY IN EAST CENTRAL NEW YORK...
THIS INCLUDES THE CITY OF POUGHKEEPSIE...
* UNTIL 515 PM EST WEDNESDAY
* AT 1109 AM EST EMERGENCY MANAGEMENT IS REPORTING AN ICE JAM WAS IN
PROGRESS IN THE VICINITY OF WAPPINGERS CREEK BETWEEN JACKSON ROAD
AND RED OAKS NEAR ROUTE 346. COUNTY POLICE ALONG WITH EMERGENCY
MANAGEMENT CONTINUE TO CLOSELY EVALUATE THE SITUATION.
ICE JAMS CAN DEVELOP VERY QUICKLY AS MOTORISTS AND RESIDENTS ARE
URGED TO SEEK HIGHER GROUND IF WATER LEVELS INCREASE.
PRECAUTIONARY/PREPAREDNESS ACTIONS...
DO NOT DRIVE YOUR VEHICLE INTO AREAS WHERE THE WATER COVERS THE
ROADWAY. THE WATER DEPTH MAY BE TOO GREAT TO ALLOW YOUR CAR TO CROSS
SAFELY. MOVE TO HIGHER GROUND.
A FLOOD ADVISORY MEANS RIVER OR STREAM FLOWS ARE ELEVATED OR PONDING
OF WATER IN URBAN OR OTHER AREAS IS OCCURRING
1000 PM EST Thu Jan 9 2014
... The Flood Advisory for ice jam flooding remains in effect until
100 PM EST Friday for southwestern Dutchess County... 
At 959 PM EST... emergency management... law enforcement and public 
continue to indicate an ice jam on the wappingers creek. This ice 
jam was between Walker Road and Maloney Road that is parallel to 
Route 376. 
At this time... no Road closures or a threat to property have been 
observed. However... residents and motorists are highly encouraged 
to monitor water levels and listen for further statements. 
Precautionary/preparedness actions... 
Do not drive your vehicle into areas where the water covers the
roadway. The water depth may be too great to allow your car to cross
safely. Move to higher ground.
Lat... Lon 4167 7389 4167 7384 4159 7388 4159 7394
1103 AM EST SUN JAN 12 2014
...THE FLOOD ADVISORY HAS BEEN CANCELLED FOR SOUTHWESTERN DUTCHESS
COUNTY...
COUNTY EMERGENCY MANAGEMENT HAS INDICATED THE ICE JAM ALONG
WAPPINGERS CREEK IS NO LONGER RESULTING IN FLOODING.
THEREFORE...THE FLOOD ADVISORY HAS BEEN CANCELLED.</t>
  </si>
  <si>
    <t xml:space="preserve">2014-01-07</t>
  </si>
  <si>
    <t xml:space="preserve">Hoosick River</t>
  </si>
  <si>
    <t xml:space="preserve">THE NATIONAL WEATHER SERVICE IN ALBANY HAS ISSUED A FLOOD ADVISORY at 536 AM EST TUE JAN 7 2014:
* FLOOD ADVISORY FOR ICE JAM FLOODING IN...
  EXTREME NORTH CENTRAL RENSSELAER COUNTY IN EAST CENTRAL NEW YORK...
  SOUTH CENTRAL WASHINGTON COUNTY IN EAST CENTRAL NEW YORK...
* UNTIL 1130 AM EST
* AT 530 AM EST...POLICE REPORTED THAT AN ICE JAM ON THE HOOSICK
  RIVER NEAR BUSKIRK WAS CAUSING FLOODING ALONG COUNTY ROUTE
  103...WHICH IS ALSO KNOWN AS BUSKIRK-WEST HOOSICK ROAD. THE ROAD WAS CLOSED DUE TO THE FLOODING.</t>
  </si>
  <si>
    <t xml:space="preserve">2013-02-01</t>
  </si>
  <si>
    <t xml:space="preserve">As was reported in "Hudson River ice jam causing problems", by Jon Alexander [jalexander@poststar.com] massive ice chunks up to 10 ft thick in spots, apparently broke off near North Creek, following unseasonably warm days, creating a jam on the upper Hudson River near Thurman NY on Fri 1 Feb 2013.  As the ice chunks became lodged they caused the water behind them to jump the banks, with more than one hundred yards of River Road in Thurman under 3 feet of ice chunks.  According to Supervisor Evelyn Wood, the water receded by midday, leaving the ice chunks in the road.  On Monday town highway crews using loaders and backhoes are expected to remove the ice from River Road.</t>
  </si>
  <si>
    <t xml:space="preserve">2013-01-31</t>
  </si>
  <si>
    <t xml:space="preserve">A midwinter thaw with record breaking temperatures and rain across central and northeastern states from 29-31 Jan 2013 has resulted in numerous breakup jams across the region.
At 1114 AM EST Thu 31 Jan 2013, the National Weather Service in Albany NY issued a Flood Advisory.  Spotters had reported an ice jam on the East Canada Creek at 1109 AM which was causing Minor Flooding on Dolge Ave in Dolgeville NY. The Minor Flooding was forecast to subside later in the day as the water levels dropped following the snowmelt and rainfall which resulted in the breakup jam.</t>
  </si>
  <si>
    <t xml:space="preserve">2013-01-30</t>
  </si>
  <si>
    <t xml:space="preserve">Whitesboro</t>
  </si>
  <si>
    <t xml:space="preserve">Sauquoit Creek</t>
  </si>
  <si>
    <t xml:space="preserve">At 7:19 AM Thu 31 Jan 2013, YNN Your News Now, reported that a breakup ice jam that had formed on the Saupuoit Creek the day before had released Wed night and crews were able to 'get rid of the debris'.  Emergency officials feared the village of Whitesboro NY might flood again as it had in the fall of 2011, as the area is prone to flooding.</t>
  </si>
  <si>
    <t xml:space="preserve">2012-01-27</t>
  </si>
  <si>
    <t xml:space="preserve">Canajoharie</t>
  </si>
  <si>
    <t xml:space="preserve">Canajoharie Creek</t>
  </si>
  <si>
    <t xml:space="preserve">?</t>
  </si>
  <si>
    <t xml:space="preserve">USGS Water Resources Data for New York WY 2012 reported an annual maximum gage height of 7.41ft on 27-JAN-2012 due to an ice jam at USGS gaging station 01349150 Canajoharie, NY. The average daily discharge was not reported.</t>
  </si>
  <si>
    <t xml:space="preserve">Mohawk</t>
  </si>
  <si>
    <t xml:space="preserve">Fulmer Creek</t>
  </si>
  <si>
    <t xml:space="preserve">AN ICE JAM WAS REPORTED IN THE FULMER CREEK NEAR ROUTE 5S IN THE
TOWN OF MOHAWK IN SOUTHERN HERKIMER COUNTY BY EMERGENCY MANAGEMENT
WITH NO SIGNIFICANT FLOODING 27 Jan 2012</t>
  </si>
  <si>
    <t xml:space="preserve">2011-03-07</t>
  </si>
  <si>
    <t xml:space="preserve">Hope</t>
  </si>
  <si>
    <t xml:space="preserve">In Area Forecast Discussions issued by the National Weather Service in Albany NY on Mon and Tues 7 &amp; 8 March 2011, ice jams were reported to be on the Sacandaga River near Hope NY and on the Mohawk River in Schenectady NY.  No flooding was occurring.
&gt;
In an earlier NWS Flood Warning issued 828 AM EST Mon 7 Mar 2011, Hamilton County Emergency Management reported Route 30 was closed due to flooding from the ice jam on the Sacandaga River near Hope NY.</t>
  </si>
  <si>
    <t xml:space="preserve">In Area Forecast Discussions issued by the National Weather Service in Albany NY on Mon and Tues 7 &amp; 8 March 2011, ice jams were reported to be on the Sacandaga River near Hope NY and on the Mohawk River in Schenectady NY.  No flooding was occurring.
&gt;
The following was reported in a NWS Flood Statement at 915 PM Fri 11 Mar 2011:
* AT 858 PM EST...A SIGNIFICANT ICE JAM HAS FORMED ON THE MOHAWK     
  RIVER IN THE CITY OF SCHENECTADY WITH THE RIVER LEVEL RISING       
  RAPIDLY AS THE WATER WAS BACKING UP BEHIND IT. AREAS BEHIND THE
  ICE JAM ARE EXPECTED TO EXPERIENCE FLOODING THIS EVENING. THE      
  STOCKADE AREA OF SCHENECTADY IS EXPECTED TO BE FLOODED WITH WATER  
  FLOWING ONTO INGERSOLL AVENUE...NORTH AVENUE AND FERRY STREET. IN  
  ADDITION MORE ICE JAMS MAY CAUSE FLOODING UPSTREAM...AND IF THE    
  ICE JAM AT SCHENECTADY BREAKS...DOWNSTREAM COMMUNITIES WOULD BE
  IMPACTED.    
&gt;
In a NWS Area Forecast Discussion issued at 1255 AM Sat 12 Mar 2011:
WE HAVE ISSUED A FLOOD WARNING FOR THE MOHAWK RIVER FROM THE
JUNCTION OF THE MOHAWK RIVER AND SCHOHARIE CREEK EAST THROUGH
SCHENECTADY TO CRESCENT AND COHOES DUE TO AN INCREASED
POSSIBILITY OF ICE JAMMING AS THE FLOW OF THE RIVER CONTINUES TO
INCREASE. THIS WARNING WILL CONTINUE THROUGH 215 PM SATURDAY.
&gt;
In an Area Forecast Discussion issued at 645 AM EDT Sun 13 Mar 2011, the jam on the Mohawk was reported to be located between Locks 6 and 7, and was causing flooding.</t>
  </si>
  <si>
    <t xml:space="preserve">2011-02-25</t>
  </si>
  <si>
    <t xml:space="preserve">Gardiner</t>
  </si>
  <si>
    <t xml:space="preserve">Wallkill River</t>
  </si>
  <si>
    <t xml:space="preserve">A Flood Advisory was issued by the National Weather Service in New York NY at 1100 PM EST Fri 25 Feb 2011 for urban and small streams for ice jam flooding in Orange County, southeast NY.  The observed river stage on the Wallkill River at Gardiner NY had reached 9.98 ft, and was rapidly rising due to an apparent breakup ice jam, following warm temps in the region.  The USGS station's (01371500) hydrograph located at Gardiner indicated that an initial peak of approximately 12.7 ft occurred in the early morning hours of Sat 26 Feb, but rain is forecast for Sunday.  Flood Stage is 13.0 ft.
The NWS reported the stage at 1100 AM Tue 1 Mar 2011 to be 15.1 ft, with Minor Flooding occurring and forecast to continue over the next several days along the banks of the Wallkill River from Walden to Gardiner NY.
The following information was reported in a NWS Flood Statement issued at 257 AM Wed 2 Mar 2011:
...THE NATIONAL WEATHER SERVICE IN UPTON NY CANCELLED THE RIVER FLOOD
WARNING FOR THE WALLKILL RIVER AT GARDINER...
FLOODING THAT RESULTED FROM AN ICE JAM ON TUESDAY HAS GIVEN WAY AND WATER LEVELS HAVE BEEN STEADILY FALLING THE LAST TWELVE HOURS. ALTHOUGH THERE IS 
STILL ICE ON THE RIVER...THERE IS NO IMMINENT THREAT OF FLOODING AT THIS TIME.</t>
  </si>
  <si>
    <t xml:space="preserve">2011-02-18</t>
  </si>
  <si>
    <t xml:space="preserve">USGS Water Resources Data for New York WY 2011 reported an annual maximum peak discharge of 2000cfs on 18-FEB-2011 due to an ice jam at USGS gaging station 01349150 Canajoharie, NY. The gage height was not reported.</t>
  </si>
  <si>
    <t xml:space="preserve">2011-01-25</t>
  </si>
  <si>
    <t xml:space="preserve">2010-02-26</t>
  </si>
  <si>
    <t xml:space="preserve">Niskayuna</t>
  </si>
  <si>
    <t xml:space="preserve">Lisha Kill</t>
  </si>
  <si>
    <t xml:space="preserve">USGS Water Resources Data for New York WY 2010 reported an annual maximum gage height of 4.93ft on 26-FEB-2010 due to an ice jam at USGS gaging station 01356190 Niskayuna, NY. The average daily discharge was not reported.</t>
  </si>
  <si>
    <t xml:space="preserve">2010-01-30</t>
  </si>
  <si>
    <t xml:space="preserve">Little Delaware River</t>
  </si>
  <si>
    <t xml:space="preserve">USGS Water Resources Data for New York WY 2010 reported a gage height of 6.79ft on 30-JAN-2010 due to an ice jam at USGS gaging station 01422500 Delhi, NY. The average daily discharge was 182cfs.</t>
  </si>
  <si>
    <t xml:space="preserve">The National Weather Service in Albany NY issued a Flood Warning for northeastern Schenectady County in east central New York at 924am EST Tue 26 Jan 2010. A January thaw with heavy rain throughout north central and northeast regions of the US was responsible for ice jams and flooding in those areas.  
At 917am EST, a large ice jam was located on the Mohawk River near the interstate 890 bridge, causing flooding upstream through Rotterdam Junction, according to Schenectady County Emergency Management officials.  Route 5S was closed due to flooding. At 1035am, the NWS reported the river stage to be at the Flood Stage of 223 ft, and the jam was moving through Schenectady and the Rexford Gorge, causing rapid river level fluctuations.  The Flood Warning was canceled by 1pm, as the jam had moved downstream and the stage had dropped to 219 ft, with levels continuing to fall.</t>
  </si>
  <si>
    <t xml:space="preserve">Livingstonville</t>
  </si>
  <si>
    <t xml:space="preserve">Lake Creek</t>
  </si>
  <si>
    <t xml:space="preserve">In a Preliminary Local Storm Report Summary issued by the National Weather Service in Albany NY, an Emergency Manager in Schoharie NY reported a Flash Flood due to an ice jam which had threatened a house on Lake Creek at 1:15pm 25 Jan 2010. The Fire Department evacuated the house.  
A January thaw from the North Central to Northeastern parts of the US was resulting in river flooding and ice jamming across the region.</t>
  </si>
  <si>
    <t xml:space="preserve">The National Weather Service in Albany NY issued a Flood Warning at 1138pm EST Mon 25 Jan 2010 for southern Herkimer County in eastern NY.  At 1130 pm Herkimer County Emergency Management officials reported a large ice jam on the East Canada Creek in Dolgeville with the ice from the jam reaching up to the route 29 bridge, causing flooding of Main Street and requiring 25 - 35 people to be evacuated, according to multiple news articles accompanying this report. 
At 110am Tue 26 Jan Herkimer County Emergency Management officials reported that a second jam had come from upstream, merging into the first jam (a freezeup jam, frozen in place since 8 Jan; see entry), lodging against and up onto the bridge, causing it to be closed, and resulting in the flooding of some homes. At 126am, Herkimer County Emergency Management officials reported that the jam had released and jammed again near the hydro plant on the south side of the Dolgeville. The bridge remained closed, as large chunks of ice remained on the bridge as well as on both sides of the creek.  At 350am Tue 26 Jan the Fulton County Emergency Management Office reported that portions of Dolgeville on the Fulton County side of the creek had sustained damage as a result of the ice and water from the jam. The jam had moved downstream, leaving large shear walls of ice along the banks of East Canada Creek. At 944am Tue 26 Jan, NWS canceled the Flood Warning. Herkimer County Emergency Management officials reported the flooding had diminished and conditions had improved.</t>
  </si>
  <si>
    <t xml:space="preserve">USGS Water Resources Data for New York WY 2010 reported an annual maximum peak discharge of 2000cfs on 25-JAN-2010 due to an ice jam at USGS gaging station 01349150 Canajoharie, NY. The gage height was not reported.</t>
  </si>
  <si>
    <t xml:space="preserve">2010-01-08</t>
  </si>
  <si>
    <t xml:space="preserve">Frozen in place</t>
  </si>
  <si>
    <t xml:space="preserve">In a Winter/Spring Flood Potential Outlook published at 1141am EST Fri 8 Jan 2010, the National Weather Service in Albany NY a breakup ice jam on the East Canada Creek was reported to be located at Dolgeville NY. The ice moved out of the headwaters, jamming at Dolgeville and was reported to be frozen in place.
*** Actual date of jam not specified in reference.</t>
  </si>
  <si>
    <t xml:space="preserve">2009-03-09</t>
  </si>
  <si>
    <t xml:space="preserve">In a Flood Statement issued by the Albany NY National Weather Service, it was reported that at 930 am Monday 9 March 2009, Herkimer County Emergency Management officials reported flooding near the power plant in the village of Dolgeville NY due to an ice jam on East Canada Creek. Water was reported to have backed up onto Dolge Avenue, flooding several homes.  A Flood Warning will remain in effect until midnight EDT Wednesday 11 March.  At 830 pm Sunday, local officials noted that a small channel had opened up through the jam, lowering the river level behind the jam, but flooding was still occurring on the east bank of the creek behind the jam. The rain which prompted ice movement ended Monday night and temperatures dropped, allowing for further recession of water levels, however, more rain is expected Tuesday night 10 March 2009.</t>
  </si>
  <si>
    <t xml:space="preserve">2009-03-08</t>
  </si>
  <si>
    <t xml:space="preserve">Flood Statements were released by the National Weather Service in Albany NY throughout the day on Monday 9 March 2009, reporting ice jam flooding of the Mohawk River in the Schenectady NY area.   At 1100 am EST a jam was reported by emergency management officials, stretching from just west of Freemans Bridge westward  to Lock 8.  Locations affected by flood waters include areas around the Schenectady County Community College, an access road from route 5, and a portion of the bike path in Rotterdam, which had been closed.  At 5 pm local officials reported that the jam had broken up around 430 pm, dropping the river level 2 feet from earlier in the day. The Flood Warning was canceled in a 734 pm Flood Statement.</t>
  </si>
  <si>
    <t xml:space="preserve">2009-03-07</t>
  </si>
  <si>
    <t xml:space="preserve">The National Weather Service in Albany NY issued a Flood Warning at 842 pm EST Saturday 7 March 2009 for southern Herkimer County in eastern New York.  Rainfall and snowmelt had caused ice to break up and jam, causing flooding.  One jam on Nowadaga Creek was causing flooding in the town of Danube, NY.  Flooding resulted in the closing of Broad Street in Frankfurt, and in the town of Little Falls, Southern Avenue near route 167 was flooded as a result of the barge canal overflowing its banks.  The NWS Flood Warning is in effect until 530 pm Sunday 8 Mar 09.</t>
  </si>
  <si>
    <t xml:space="preserve">2009-02-13</t>
  </si>
  <si>
    <t xml:space="preserve">The National Weather Service in Albany NY noted that an ice jam had been reported Friday 13 Feb 2009 on the Hoosic River near Buskirk.  No flooding was  reported.
This breakup jam resulted from a rainy warm up over the last few days, from the midwest to the northeast.  With colder weather in the forecast the jams will freeze in place.</t>
  </si>
  <si>
    <t xml:space="preserve">The National Weather Service in Albany NY noted that ice jams were reported on the Wallkill River just downstream from the USGS Gardiner gage, #01371500, on 13 Feb 2009.  No flooding was reported.
Numerous jams were reported throughout the area in response to runoff resulting from warm temperatures and rainfall which occurred from the midwest to the northeast over the past few days.  Below freezing temperatures forecast will result in the jams freezing in place.</t>
  </si>
  <si>
    <t xml:space="preserve">2009-02-12</t>
  </si>
  <si>
    <t xml:space="preserve">Fort Hunter</t>
  </si>
  <si>
    <t xml:space="preserve">The National Weather Service in Albany NY reported an ice jam on the Schoharie Creek a few miles from Fort Hunter NY, at the route 161 bridge, on Thursday 12 Feb 2009, 654pm EST.  
This breakup jam resulted from a rainy warm up over the last few days, from the midwest to the northeast.  With colder weather in the forecast the jams will freeze in place.</t>
  </si>
  <si>
    <t xml:space="preserve">Schuyler</t>
  </si>
  <si>
    <t xml:space="preserve">Bridenbecker Creek</t>
  </si>
  <si>
    <t xml:space="preserve">The National Weather Service in Albany NY reported an ice jam in Schuyler, Herkimer County, on Bridenbecker Creek at 1130 am EST on Thursday 12 Feb 2009 which closed state route 5, for a distance of 7 miles west of Herkimer.  At 625 pm, the Flood Advisory for ice jam flooding had been canceled, and the NY State Department of Transportation in Herkimer reopened state route 5.
 This breakup jam resulted from a rainy, warm up over the previous few days, from the midwest to the northeast.   Forecasted colder weather will halt the runoff and cause the jams to freeze in place.</t>
  </si>
  <si>
    <t xml:space="preserve">2009-01-15</t>
  </si>
  <si>
    <t xml:space="preserve">Tribes Hill</t>
  </si>
  <si>
    <t xml:space="preserve">Mohawk River Lock 12</t>
  </si>
  <si>
    <t xml:space="preserve">An ice jam was reported to be located at Lock 12 on the Mohawk River near Tribes Hill, New York, in a Hydrometeorological Data Report issued by the National Weather Service in Albany NY, 15 January 2009.  At that time the upper lock was obstructed by rough ice and a jam was located directly across from the lock, but the river was open above and below.
In another Hydrometeorological Data Report published on Monday 26 January, the upper gauge was reported to be obstructed by rough ice.  The jam was still in place, with the river frozen 1/4 mile above lock, and completely frozen below lock.</t>
  </si>
  <si>
    <t xml:space="preserve">2008-12-27</t>
  </si>
  <si>
    <t xml:space="preserve">2008-02-13</t>
  </si>
  <si>
    <t xml:space="preserve">At 847pm EST Wed 13 Feb 2008, the National Weather Service in Albany NY issued a Flood Warning for Rensselaer and Washington Counties in east central NY state.
Rensselaer County Emergency Management officials reported that an ice jam on the Hoosic River was causing water to flow over the banks in the vicinity of Buskirk Bridge, with flooding also noted on route 103 in Rensselaer County and River Road in Washington County.
New York District COE reported that the water had receded by the following morning and all roads had reopened, and that the jam was still in place, but water was flowing past.</t>
  </si>
  <si>
    <t xml:space="preserve">2007-03-16</t>
  </si>
  <si>
    <t xml:space="preserve">Released</t>
  </si>
  <si>
    <t xml:space="preserve">The National Weather Service's River Forecast Center in Taunton MA, issued a  Hydrometeorological Coordination Message at 702 MA EDT on Friday 16 Mar 2007.  The message noted that the Hudson River, at Troy NY, was above flood stage due to a breakup jam.  Days of above normal temperatures across the northeast ripened and melted much of the snow cover in the area. The snowmelt runoff, along with rain on the 14th, was sufficient enough to breakup numerous rivers across the region, with many jamming and causing flooding.       -- Keywords: Hudson River at Troy, NY on Mar 16, 2007 [20070316142242]</t>
  </si>
  <si>
    <t xml:space="preserve">2007-03-15</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</si>
  <si>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Canajoharie, NY on Mar 15, 2007 [20070316163446]</t>
  </si>
  <si>
    <t xml:space="preserve">Fort Plain</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</si>
  <si>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Fort Plain, NY on Mar 15, 2007 [20070316163058]</t>
  </si>
  <si>
    <t xml:space="preserve">At 1116 AM EDT Thursday March 15, 2007, the National Weather Service in Albany issued a Flood Advisory for Schenectady, New York, along the Mohawk River.  At 1100 AM Emergency Management personnel reported an ice jam on the river, with the river level rising to within 2 feet of flood stage behind the jam.  At 4 PM the stage was 224 feet. Flood stage is 223 feet. Minor flooding was occurring and forecast to continue. At 224 feet, water starts to enter the Stockade neighborhood between Ingersoll Avenue and Ferry Street.  A Flood Warning was issued by NWS at 644 PM, as the stage at 6 PM had risen to 226 feet, with moderate flooding now occurring. The location of the jam was noted to be between the Rexford Bridge and Lock 7.  The Flood Warning was cancelled at 1239 AM Friday 16 March, as the jam had broken up and the river level was down to 220.5 feet at 11 PM Thursday.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Schenectady, NY on Mar 15, 2007 [20070316155357]</t>
  </si>
  <si>
    <t xml:space="preserve">Sprakers</t>
  </si>
  <si>
    <t xml:space="preserve">At 836 PM EDT Thursday March 15 2007, the National Weather Service in Albany issued a Flood Statement for areas along the Mohawk River, NY.   Ice jams had been reported on the Mohawk River at Fort Plain, Canajoharie, Sprakers, and Schenectady. Flooding had been reported with the Fort Plain ice jam.  Days of above normal temperatures across the northeast ripened and melted much of the snow cover in the area. The snowmelt runoff, along with rain on the 14th, was sufficient enough to breakup numerous rivers across the region, with many jamming and causing flooding.       -- Keywords: Mohawk River at Sprakers, NY on Mar 15, 2007 [20070316164351]</t>
  </si>
  <si>
    <t xml:space="preserve">2007-03-04</t>
  </si>
  <si>
    <t xml:space="preserve">The National Weather Service's, Northeast River Forecast Center in Taunton MA, released a  Hydrometeorological Discussion at 1155 AM EST Mon 5 Mar 2007.  It reported that as a result of snowmelt which lead to ice movement, the USGS gage on the Wall Kill River at Gardiner NY, was elevated due to ice problems downstream. The 7 AM reading Monday was 1.5 feet below flood stage.  A report received from Stephen DiRienzo, NWS Albany, confirmed the jam's date and location at the junction of the Shawngunk Kill and the Wall Kill, in Ulster County, near the gage in Gardiner.  He also reported that "local emergency management says the water level is no where near what the gage reads," and that flooding was not occurring at that time.          -- Keywords: Wall Kill River at Gardiner, NY on Mar 4, 2007 [20070305142003]</t>
  </si>
  <si>
    <t xml:space="preserve">2007-02-07</t>
  </si>
  <si>
    <t xml:space="preserve">Schuylerville</t>
  </si>
  <si>
    <t xml:space="preserve">In an Area Forecast Discussion released by the Albany National Weather Service, at 355 PM EST Wednesday 7 February 2007, an ice jam was noted to be just south of Schuylerville NY, on the Hudson River.  The freeze-up jam had caused the water level to raise several feet, to near bankfull level, however the jam's location was upstream of the flood prone areas of the Stillwater Flats, such as Wrights Loop and Ferry Lane.       -- Keywords: Hudson River at Schuylerville, NY on Feb 07, 2007 [20070208173205]</t>
  </si>
  <si>
    <t xml:space="preserve">2006-03-10</t>
  </si>
  <si>
    <t xml:space="preserve">On Friday, March 10, 2006,the National Weather Service, Albany NY, issued a Flood Statement. Local authorities reported a breakup ice jam on Fulmer Creek in the Village of Mohawk NY. Water backing up behind the jam was causing minor flooding on adjacent properties.  This breakup was a result of warm, wet weather which affected the area over the past 2 days.          -- Keywords: Fulmer Creek at Mohawk, NY on Mar 10, 2006 [20060310173939]</t>
  </si>
  <si>
    <t xml:space="preserve">2005-02-18</t>
  </si>
  <si>
    <t xml:space="preserve">Michael Ganley, Corps of Engineers, NY District notified Andy Tuthill (CRREL) of a freezeup jam on the Mohawk River at Scotia NY.  Tuthill made an  aerial reconnaissance of rivers in the area on 16 March 2005. He reported the jam at Scotia to be located at the Route 5 Bridge, extending upstream 3 miles. Based on a review of USGS discharge records at Cohoes NY, and Albany temperature records, Tuthill estimated that the ice broke up around 17 Feb, a warm period, and then jammed at Scotia. An extremely cold period followed which would freeze the jam in place, and may have caused frazil ice to accumulate upstream of the jam.     -- Keywords: Mohawk River at Scotia, NY on Feb 18, 2005 [20050324160940]</t>
  </si>
  <si>
    <t xml:space="preserve">2004-03-28</t>
  </si>
  <si>
    <t xml:space="preserve">The NWS reported minor flooding on the River Road in Thurman, NY at 430 PM March 28. The road was partially covered with water in the vicinity of Snake Rock or about three quarters of a mile north of Cronins golf course. The flooding occurred as a result of ice jams which have clogged the normal river channel.    -- Keywords: Hudson River at Thurman, NY on Mar 28, 2004 [20040329092449]</t>
  </si>
  <si>
    <t xml:space="preserve">2004-03-08</t>
  </si>
  <si>
    <t xml:space="preserve">Utica</t>
  </si>
  <si>
    <t xml:space="preserve">The NWS reported an ice jam on the Mohawk River at Utica, NY on March 8, 2004. No other information available.   -- Keywords: Mohawk  River at Utica, NY on Mar 08, 2004 [20040308130524]</t>
  </si>
  <si>
    <t xml:space="preserve">2004-03-07</t>
  </si>
  <si>
    <t xml:space="preserve">The NWS reported an ice jam on the Sacandaga River at Hope, NY on March 7, 2004. The river crested near 7.3 feet at about 1 PM; at 3 PM the water level dropped and was at 3.5 feet. The jam likely broke and moved downstream into the reservoir allowing flood waters to recede.   -- Keywords: Sacandaga River at Hope, NY on Mar 07, 2004 [20040308125815]</t>
  </si>
  <si>
    <t xml:space="preserve">The NWS reported an ice jam upstream of Vischer Ferry, NY on the Mohawk River on March 7, 2004. No other information available.     -- Keywords: Mohawk River at Vischer Ferry, NY on Mar 07, 2004 [20040308114853]</t>
  </si>
  <si>
    <t xml:space="preserve">The NWS reported an ice jam near lock number 7 on the Mohawk River in Niskayuna, NY on March 7, 2004. No other information available.    -- Keywords: Mohawk River at Niskayuna, NY on Mar 07, 2004 [20040308124509]</t>
  </si>
  <si>
    <t xml:space="preserve">Rexford</t>
  </si>
  <si>
    <t xml:space="preserve">The NWS reported an ice jam near the Rexford Bridge on the Mohawk River at Rexford, NY. The ice that had broken out of Schenectady had jammed in the Rexford Gorge upstream of the Vischer Ferry Dam causing the river to overflow into a low lying neighborhood just downstream of Rexford. Flooding was confined to the south side of the river. Several homes were flooded in that area.   (see also Schenectady, NY entry)     -- Keywords: Mohawk River at Rexford, NY on Mar 07, 2004 [20040308123207]</t>
  </si>
  <si>
    <t xml:space="preserve">2004-03-06</t>
  </si>
  <si>
    <t xml:space="preserve">The NWS reported a large ice jam that was on the Schoharie Creek near its confluence with the Mohawk River moved into the Mohawk River and caused a new jam in Schenectady NY on March 6. The jam broke with the ice moving down toward Rexford. Water was flowing through the jam without problems. On March 7, the NWS reported the Mohawk River crested just short of its 223 foot flood elevation. The river dropped to 219.5 feet after the jam broke but came back up to an elevation of 222 feet as a result of a jam east of the Rexford Bridge.      -- Keywords: Mohawk River at Schenectady, NY on Mar 06, 2004 [20040308113944]</t>
  </si>
  <si>
    <t xml:space="preserve">On March 6, the NWS reported  that the ice jam located between Mill Point and Fort Hunter, NY had broken and was moving into Schenectady County. This large jam on the Schoharie Creek near its confluence with the Mohawk River moved into the Mohawk River and caused a new jam in Schenectday on March 6. No other information available.  (See also entries for Mill Point and Schenectady NY)     -- Keywords: Schoharie Creek at Fort Hunter, NY on Mar 06, 2004 [20040308112436]</t>
  </si>
  <si>
    <t xml:space="preserve">A freezeup ice jam that formed on January 22, 2004 froze in place (see earlier entry). This jam blocked the transport of river ice during ice cover breakup on 5-6 March 2004 that occurred as a result of a rain on snow event. The resulting breakup jam  stage was 11.5 ft at 7 AM Saturday 6 March. Flood stage is 12 ft, flooding of low-lying areas occurs at 11 ft.       -- Keywords: Schoharie Creek at Prattsville, NY on Mar 06, 2004 [20040306092512]</t>
  </si>
  <si>
    <t xml:space="preserve">2004-03-05</t>
  </si>
  <si>
    <t xml:space="preserve">Lexington</t>
  </si>
  <si>
    <t xml:space="preserve">The Narional Weather Service reported am ice jam on the Schoharie Creek at Lexington, NY on 6 March 2004. The gage records shows a sudden rise to about 5.8 ft just before midnight on March 5, following a rain on snow event that day in which 0.5 to .75 inches of rain fell and temperatures were in the 50's.      -- Keywords: Schoharie Creek at Lexington, NY on Mar 05, 2004 [20040306092921]</t>
  </si>
  <si>
    <t xml:space="preserve">2004-03-04</t>
  </si>
  <si>
    <t xml:space="preserve">UticaOD.com reported a major ice buildup on Fulmer Creek in Mohawk, NY. Because of the considerable amount of ice jammed under the Main Street bridge north to the Route 5S bridge, water had begun to flow out of the north side of the bridge into nearby fields as well as onto some fields on the south side.  A state of emergency was declared and fire crews responded to the scene. The major ice jam closed a portion of Route 5S so crews could work to free the ice and prevent any significant flooding. The road was re-opened by late morning.  "First, we tried to break up the ice with high pressure hoses --  it didn't work," Fulmer Creek, Fire Chief Leo Kinville said.  The crew then proceeded to use a crane "clam digger" off the  north side of the bridge. This relieved some of the backed up ice, but only slightly, he said.  "The ice buildup goes for about three miles," Deputy  Mayor/Trustee Ed View said. After the early morning efforts,  about a third of the ice was broken, leaving a major amount  still to contend with. The village requested assistance from  the State Emergency Management Office, View said. The state  hopefully will supply an excavator, he said, that will be able to move the huge pieces of ice and ease the jam.  Crews remained on the scene throughout the day. An official  from Tioga Construction was scheduled to meet and assist with  heavy equipment, View said.   From the Evening Telegraph: State of emergency declared after ice jams Fulmer Creek By JERRY BLAIR-Telegram Staff Writer  Mohawk officials declared a state of emergency Wednesday after an extensive ice-jam developed between two bridges on Fulmer Creek. A section of Route 5S was closed to traffic as local emergency  units worked to remedy the situation. Ice was backed up from  the Main Street bridge to Route 5S, nearing the top of the  creek bed and causing water to overflow into nearby fields.  Mohawk Mayor Irene Dibble and Fire Chief Leo Kinville were  first informed about the jam at approximately 3:30 a.m.;  the fire department was toned out to respond at the scene  about an hour later. By Wednesday morning, a command center  was established in the municipal building. According to Kinville, the worst of the ice jam was located  just south of the Route 5S bridge. He said Mohawk firefighters  unsuccessfully attempted to clear the blockage there last  night using two high-pressure hoses. "We tried and failed. It did not work," Kinville said. A clamdigger from the Herkimer County Highway Department was  brought in shortly before 9 a.m. Wednesday to dig out the  large chunks of ice packed together near the bridge.  Kinville said the department had also considered using  a heavy construction wrecking ball to break the jam. Mohawk officials have contacted the New York State Department  of Transportation and area emergency coordinators about the  ice jam. Noting that no flooding had been reported by  residents living near the creek, Dibble said the village  had "a pretty good control" on the situation. "We're going to stay on stand-by and keep monitoring the  situation," Kinville said. Kinville said the department will remain on a "holding pattern"  until the ice locked between the two bridges is cleared.  Officials are also keeping track of conditions on Spencer  and Tory creeks. Water is still flowing well before and  after the blockage on Fulmer Creek and Kinville expects  the state of emergency will only be in place for the next  few days. "We hope to get everything cleared out before Friday's rain," he said.  Ice jams and flooding have been annual problems in Mohawk  for decades; ice chunks formed in the hills south of the  village break apart during spring thaws flow downstream  and become caught where the bridges cross the creek.  Dibble noted that state and federal studies designed  to solve the problem have been going on for years. "There's still a lot of anchor ice and a lot of jammed ice  up there that has to come down," Kinville said. "Usually it  makes it out, but as cold as its been this year the ice is  really thick."   Email to Chief Planner, Herkimer-Oneida Counties Comprehensive Planning Program regarding suggestions for the Fulmer Creek Ice Jamming situation: 1. Do a good windshield survey upstream (and go quite a ways) to  see what the potential of more ice coming downstream from above  really is.  If there is very little ice left on the banks, then  you may be in good shape.  If there are several other ice jams  upstream then get pictures and estimates of their length along  the river.  2. Get a good idea of the weather forecast for the next few  days.  Try to get someone to extrapolate, like "there is a big  low pressure system moving up the Mississippi Valley and the  liklihood is for warming temperatures and rain over the next  week".  This will give you an idea of whether the weather is  going to warm or turn cold again.  Based on the date, I would  say that this is probably it for winter and it will continue to  warm or at least stay the same as it is.  3. You mentioned rain.  How much and when did it happen in  comparison to the jam forming?  Was it immediately before the  jam or a couple of days? what about the temperatures leading up  to the rain event.  4. I can see from the picture of the Main St. bridge that this  ice has traveled a ways (small pieces and pretty dirty water.   Watch the upstream edge of the ice jam and keep track of its  location.  If it is receding quickly, then you have melting on  your side.  5. Take a look at the Mohawk.  What are the conditions down  there?  Is it still ice covered?  Do its levels look like they  are rising as well?  Also, can you tell where the "toe" or most  downstream edge of the jam is?  I'd like to know this just to  make sure that we are modeling correctly.  It looks like the  big pieces started jamming right at the 5S bridge but from the  picture, it almost looks like they stopped under the bridge.   This could be because you have had such cold weather this  winter, that the ice in that section (under the bridge which is  free of snow cover) has gotten quite thick and quite strong  making a likely place to jam.  Some options on what to do:  If the jam looks like it is receding (the upstream extent keeps  moving downstream), the water levels are steady or going down,  and there is little ice left upstream:  I would let it sit and  melt.  That keeps people away from the danger or working near a  jam that might release suddenly.  If the air temperatures are  supposed to be continued mild (and by this I mean an average  daily temperature of 32F or higher), it will continue to melt.   If it looks like the air temperatures are supposed to get cold  again (less than 20F at night and not above 30F in the day)  then it will probably hold as long as no more rain is expected  (and with those temps, it shouldn't rain).  If the jam looks like it is growing or stable but there is  considerable ice left upstream or there is a high potential of  another heavy rain, then you might want to try to pick away at  the ice beneath the bridge.  You would also want to use this  method if there isn't more ice but the water levels look like  they are continuing to rise.  Since this area has pretty good  access along the channel, the preferred method would be to use  an excavator or "grade-all" type of equipment and pull the ice  from the channel and place it on land.  You have to be careful  in this operation because the jam could fail and result in a  pretty big wave of water and ice that could wash away equipment  or people along the shore.  I would work first at the bridge to  try to remove some of that ice under the 5S bridge and then   (or in tandem) picking away at the ice at the downstream end  of the jam.  In moving the ice out of the channel, you are  making a space and the jam upstream will likely move to refill  that space.  Just be prepared for that movement.            -- Keywords: Fulmer Creek at Mohawk, NY on Mar 04, 2004 [20040304091856]</t>
  </si>
  <si>
    <t xml:space="preserve">2004-03-03</t>
  </si>
  <si>
    <t xml:space="preserve">Florida</t>
  </si>
  <si>
    <t xml:space="preserve">The National Weather Service reported an ice jam on the Schoharie Creek 1/2 to 3/4 mile south of the Route 161 Bridge between the town of Glen, NY and the town of Florida, NY on March 3.  No other information available. (also reported under the town of Glen, NY)     -- Keywords: Schoharie Creek at Florida, NY on Mar 03, 2004 [20040304083550]</t>
  </si>
  <si>
    <t xml:space="preserve">Glen</t>
  </si>
  <si>
    <t xml:space="preserve">The National Weather Service reported an ice jam on the Schoharie Creek 1/2 to 3/4 mile south of the Route 161 Bridge between the town of Glen, NY and the town of Florida, NY on March 3.  No other information available. (also reported under the town of Florida, NY)     -- Keywords: Schoharie Creek at Glen, NY on Mar 03, 2004 [20040304083441]</t>
  </si>
  <si>
    <t xml:space="preserve">Lost Valley</t>
  </si>
  <si>
    <t xml:space="preserve">The National Weather Service reported ice had jammed on the Schoharie Creek north of Lost Valley, NY on March 3. Jam has moved into Montgomery County. No other information available.    -- Keywords: Schoharie Creek at Lost Valley, NY on Mar 03, 2004 [20040304080848]</t>
  </si>
  <si>
    <t xml:space="preserve">Mill Point</t>
  </si>
  <si>
    <t xml:space="preserve">The NWS reported  an ice jam on the Schoharie Creek near the Route 161 Bridge at Mill Point, NY on March 3, 2004. Emergency managers reported that some water is finding its way around the jam. On March 6, the NWS reported  that the ice jam located between Mill Point and Fort Hunter, NY on the Schoharie Creek had broken and was moving into Schenectady County. This large jam on the Schoharie Creek near its confluence with the Mohawk River moved into the Mohawk River and caused a new jam in Schenectday.  (See also entries for Fort Hunter and Schenectady NY)      -- Keywords: Schoharie Creek at Mill Point, NY on Mar 03, 2004 [20040308112258]</t>
  </si>
  <si>
    <t xml:space="preserve">The National Weather Service reported an ice jam on the Mohawk River at Herkimer, NY on March 3. Jam moved out and headed downstream. No other information available.    -- Keywords: Mohawk River at Herkimer, NY on Mar 03, 2004 [20040304080402]</t>
  </si>
  <si>
    <t xml:space="preserve">2004-03-02</t>
  </si>
  <si>
    <t xml:space="preserve">Burtonsville</t>
  </si>
  <si>
    <t xml:space="preserve">Ice breakup occurred on Schoharie Creek due to warm temperatures, snowmelt, and some rain between 2 and 6 March, 2004. Jams formed at several places on Schoharie Creek during this time. A jam was observed at the UGS gage Scoharie Creek at Burtonsville, NY on 2-3 March, 2004. According to stage data, the jam formed just before midnight on 2 MArch and released about 9AM on March 3. Peak stage was about 5.5 ft, a 3 ft increase.    -- Keywords: Schoharie Creek at Burtonsville, NY on Mar 02, 2004 [20040306094217]</t>
  </si>
  <si>
    <t xml:space="preserve">2004-01-23</t>
  </si>
  <si>
    <t xml:space="preserve">North Bush</t>
  </si>
  <si>
    <t xml:space="preserve">Caroga Creek And Pecks Creek Confluence</t>
  </si>
  <si>
    <t xml:space="preserve">The NWS reported an ice jam in Fulton County NY at the confluence of Caroga Creek and Pecks Creek on January 23, 2004. Water was backing up. No other information available.    -- Keywords: Caroga Creek And Pecks Creek Confluence at North Bush, NY on Jan 23, 2004 [20040126120622]</t>
  </si>
  <si>
    <t xml:space="preserve">2004-01-22</t>
  </si>
  <si>
    <t xml:space="preserve">The NWS reported a freeze-up jam on the Schoharie Creek near Prattsville, NY on January 22, 2004.  No other information available.  This jam froze in place, and caused a second ice jam when the river ice broke up due to rain on snow event of 5 March. See that entry for details.       -- Keywords: Schoharie Creek at Prattsville, NY on Jan 22, 2004 [20040126081409]</t>
  </si>
  <si>
    <t xml:space="preserve">Little Falls</t>
  </si>
  <si>
    <t xml:space="preserve">Mohawk River/West Canada Creek Confluence</t>
  </si>
  <si>
    <t xml:space="preserve">The NWS reported a freeze-up jam at the confluence of the Mohawk River and the West Canada Creek just upstream of Little Falls, NY on January 22, 2004. No other information available.      -- Keywords: Mohawk River/West Canada Creek Confluence at Little Falls, NY on Jan 22, 2004 [20040126081728]</t>
  </si>
  <si>
    <t xml:space="preserve">The NWS reported a freeze-up jam on the Hudson River near Warrensburg, NY on January 22, 2004.  No other information available.      -- Keywords: Hudson River at Warrensburg, NY on Jan 22, 2004 [20040126081140]</t>
  </si>
  <si>
    <t xml:space="preserve">2004-01-13</t>
  </si>
  <si>
    <t xml:space="preserve">Corinth</t>
  </si>
  <si>
    <t xml:space="preserve">Chuck Keller of the NY State Emergency Manageemnt Office reported a freezeup jam on the Hudson River near Corinth, NY. Apparently, there used to be a paper mill nearby, and discharges from the mill were just warm enough to keep jams from forming. It may be coincidental, but freezeup accumulations occur since the mill has closed.  The NWS reported a freeze-up jam on the Hudson River near Corinth, NY on January 22, 2004.  No other information available.        -- Keywords: Hudson River at Corinth, NY on Jan 13, 2004 [20040126080909]</t>
  </si>
  <si>
    <t xml:space="preserve">2003-03-26</t>
  </si>
  <si>
    <t xml:space="preserve">Hadley</t>
  </si>
  <si>
    <t xml:space="preserve">The NWS reports on March 26: a breakup ice jam appears to be  forming near Hadley on the Hudson River.  The Saratoga County  Sherriff reported that there was a lot of ice near the Route 4  bridge but that the river was flowing.  Flood stage at Hadley is  14.0 feet. The Hudson River at Hadley was 9.9 feet at 535 AM  Wednesday. The water level there rose 2.5 feet since 355 AM. At  545 AM the level dropped slightly to 9.7 feet. -- Keywords: Hudson River at Hadley, NY on Mar 26, 2003 [20030326073528]</t>
  </si>
  <si>
    <t xml:space="preserve">2003-03-22</t>
  </si>
  <si>
    <t xml:space="preserve">Crescent</t>
  </si>
  <si>
    <t xml:space="preserve">The NWS reports on March 22: the ice jam that was on the Mohawk River at the Northway bridges broke late this morning. The ice has moved about a mile down river toward the Crescent Dam where it was stopped by the flat ice behind the dam.  No other information available.     -- Keywords: Mohawk River at Crescent Dam, NY on Mar 22, 2003 [20030324124557]</t>
  </si>
  <si>
    <t xml:space="preserve">Thurman Station</t>
  </si>
  <si>
    <t xml:space="preserve">At 126 PM Saturday, March 22, 2003, the New York Statewide Police Information Netwrok reported that an ice jam on the Hudson River in Thurman, Warrensburg, and Chestertown area caused flooding resulting in the closure of the following roads in Thurman: River Road closed to the Glen Hudson campsite, Glen Athol Road from State Route 28 to the River Road. Warrensburg has closed Golf Course Rd from 4th Avenue to Route 28, and Chestertown has closed Friends Lake Road from ROute 28 to Atateka Drive.  The upstream gage at North Creek appeared to show several peaks earlier in the day that look like ice jams/ice runs (see picture).  On Sunday, March 23, the NWS reported at 8:00 AM that large  chunks of ice had overflowed the Glen Athol Road in the vicinity  of Gelen the night of the 22nd, making it impassable. At 1:52  PM, they reported that the flooding continued but was expected  to worsen as snowmelt increased. -- Keywords: Hudson River at Thurman Station, NY on Mar 22, 2003 [20030322153940]</t>
  </si>
  <si>
    <t xml:space="preserve">2003-03-21</t>
  </si>
  <si>
    <t xml:space="preserve">The NWS reports on March 21, 835AM: The threat of flooding at Schenectady has diminished for the time being as the ice jam in the Stockade area has moved down river to Rexford. At 6AM the river elevation was around 218 feet. The flood elevation is 223 feet. It is expected to rise to the 219.5 elevation by Saturday morning.  The NWS reports on March 21, 532PM: The ice jam near Rexford has moved over the Vischer Ferry Dam and is currently located in the Flats near the Vischer Ferry Preserve. Ahead of the jam is open water down to the Twin Bridges. The Crescent Pool remains ice covered.      -- Keywords: Mohawk River at Rexford, NY on Mar 21, 2003 [20030324122628]</t>
  </si>
  <si>
    <t xml:space="preserve">2003-03-20</t>
  </si>
  <si>
    <t xml:space="preserve">The NWS reports on March 20: The Mohawk river near Schenectady remained near flood stage this morning due to breakup ice jams between Scotia and Vischer Ferry. There is more ice in the Rexford Gorge just upstream from the Vischer Ferry Dam. Flood warning in effect for the Mohawk river between Scotia and Vischer Ferry...including the city of Schenectady.  The ice released won March 21. -- Keywords: Mohawk River at Vischer Ferry, NY on Mar 20, 2003 [20030320080855]</t>
  </si>
  <si>
    <t xml:space="preserve">The NWS reports on March 20: The Mohawk river near Schenectady  remained near flood stage this morning due to breakup ice jams  between Scotia and Vischer Ferry. No other information available.  The jam was released when the ice went out of the river on March 21. -- Keywords: Mohawk River at Scotia, NY on Mar 20, 2003 [20030320080338]</t>
  </si>
  <si>
    <t xml:space="preserve">2003-03-18</t>
  </si>
  <si>
    <t xml:space="preserve">USGS Water Resources Data for New York WY 2003 reported an annual maximum gage height of 8.32ft on 18-MAR-2003 due to an ice jam at USGS gaging station 04276500 Canajoharie Creek near Canajoharie, NY. The average daily discharge was 600cfs.</t>
  </si>
  <si>
    <t xml:space="preserve">Frankfort</t>
  </si>
  <si>
    <t xml:space="preserve">Moyer Creek</t>
  </si>
  <si>
    <t xml:space="preserve">The NWS reports on March 18:  there is an ice jam on the Moyer Creek in Herkimer County just south of Frankfort. No other information available.    -- Keywords: Moyer Creek at Frankfort, NY on Mar 18, 2003 [20030319094719]</t>
  </si>
  <si>
    <t xml:space="preserve">Amsterdam</t>
  </si>
  <si>
    <t xml:space="preserve">The NWS reports on March 18: An ice jam stretches for 6.5 miles from Avery Road along the Montgomery and Schenectady county line to Amsterdam.  No other information available.     -- Keywords: Mohawk River at Amsterdam, NY on Mar 18, 2003 [20030319094202]</t>
  </si>
  <si>
    <t xml:space="preserve">The NWS reports on March 18: Ice jam in place at Canajoharie...with water up 2 to 3 feet behind it. No other information available.     -- Keywords: Mohawk River at Canajoharie, NY on Mar 18, 2003 [20030319094503]</t>
  </si>
  <si>
    <t xml:space="preserve">The NWS reports on March 18: Much of the ice in the Schoharie  Creek broke up overnight and emptied into the Mohawk River. Ice  on the Mohawk River is jammed just west of Schenectady. The ice  has jammed just downstream of Lock 8 and about a mile upstream  of the Western Gateway Bridge at Schenectady. Behind the jam the  water elevation was up to 228 feet at 1 PM but has since dropped  to the 226 foot level as some of the water began making its way  through and under the ice.  The NWS reports on March 19: The Mohawk river near Schenectady  remained near flood stage this morning due to the ice jams  between Scotia and Vischer Ferry. The increased flow today may  cause the river to overflow into the Stockade neighborhood  before the water begins to work its way through.  On March 20, New York Newsday.com reported that "Emergency  personnel were monitoring the Mohawk River, preparing to  evacuate the Stockade area if necessary. " Also, "On Wednesday,  the city used a wrecking ball to try to break up some of the ice  jams." A photograph of the jam was in USA Today on line (see  visuals).  On Sunday March 23, 810 WGY reported that Schenectady County  Emergency Managment Director Dan Fiorello said that the "huge"  ice jam had broken up and that water levels had dropped five  feet in the past two days.  -- Keywords: Mohawk River at Schenectady, NY on Mar 18, 2003 [20030318143741]</t>
  </si>
  <si>
    <t xml:space="preserve">2003-03-17</t>
  </si>
  <si>
    <t xml:space="preserve">USGS Water Resources Data for New York WY 2003 reported an annual maximum gage height of 9.21ft on 17-MAR-2003 due to an ice jam at USGS gaging station 01350000 Schoharie Creek at Prattsville, NY. The average daily discharge was 2,800cfs.</t>
  </si>
  <si>
    <t xml:space="preserve">Granville</t>
  </si>
  <si>
    <t xml:space="preserve">Mettawee River</t>
  </si>
  <si>
    <t xml:space="preserve">The NWS reports on March 17: ice is moving along the Mettawee River in Washington County of NY. A rapidly melting snowpack and deteriorating ice cover has created an ice jam on the Mettawee River at Granville.  At 10 PM the river stage was 6.2 feet and rising. Flood stage is 7 feet. At 6 feet water starts to spill over onto Gray Road in Granville. It is expected that the river will continue to rise to near 7 feet.    -- Keywords: Mettawee River at Granville, NY on Mar 17, 2003 [20030319091203]</t>
  </si>
  <si>
    <t xml:space="preserve">2003-03-04</t>
  </si>
  <si>
    <t xml:space="preserve">Bovina Center</t>
  </si>
  <si>
    <t xml:space="preserve">Coulter Brook</t>
  </si>
  <si>
    <t xml:space="preserve">USGS Water Resources Data for New York WY 2003 reported an annual maximum gage height of 1.77ft on 04-MAR-2003 due to an ice jam at USGS gaging station 01422389 Coulter Brook near Bovina Center, NY. The average daily discharge was 0.78cfs.</t>
  </si>
  <si>
    <t xml:space="preserve">2003-02-26</t>
  </si>
  <si>
    <t xml:space="preserve">Gilboa</t>
  </si>
  <si>
    <t xml:space="preserve">Manor Kill</t>
  </si>
  <si>
    <t xml:space="preserve">USGS Water Resources Data for New York WY 2003 reported an annual maximum gage height of 3.56ft on 26-FEB-2003 due to an ice jam at USGS gaging station 01350080 Manor Kill at West Conesville near Gilboa, NY. The average daily discharge was 45cfs.</t>
  </si>
  <si>
    <t xml:space="preserve">2003-02-23</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</si>
  <si>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is available.    -- Keywords: Walkill River at Gardiner, NY on Feb 23, 2003 [20030225095022]</t>
  </si>
  <si>
    <t xml:space="preserve">Rosendale</t>
  </si>
  <si>
    <t xml:space="preserve">Rondout Creek</t>
  </si>
  <si>
    <t xml:space="preserve">The NWS reports: The combination of runoff and above freezing temperatures have led to a few ice jams around the region this evening. Currently...hydrographs indicate ice is moving and jamming a bit on the following watersheds:  Buffalo Creek at Gardenville, NY. Cazenovia Creek at Ebeneezer, NY. Cattaraugus Creek at Gowanda, NY. Rondout Creek at Rosendale, NY. Walkill River at Gardiner, NY.  Currently no reports of flooding have been received due to this moving ice. No other information available.   -- Keywords: Rondout Creek at Rosendale, NY on Feb 23, 2003 [20030225094834]</t>
  </si>
  <si>
    <t xml:space="preserve">2003-02-22</t>
  </si>
  <si>
    <t xml:space="preserve">Lake Carmel</t>
  </si>
  <si>
    <t xml:space="preserve">Horse Pound Brook</t>
  </si>
  <si>
    <t xml:space="preserve">USGS Water Resources Data for New York WY 2003 reported an annual maximum gage height of 2.85ft on 22-FEB-2003 due to an ice jam at USGS gaging station 01374598 Horse Pound Brook near Lake Carmel, NY. The average daily discharge was 25cfs.</t>
  </si>
  <si>
    <t xml:space="preserve">2003-02-02</t>
  </si>
  <si>
    <t xml:space="preserve">A large ice jam has formed along the West Canada Creek near Route 5 in Herkimer. Skywarn spotters report that large blocks of ice coming down the West Canada Creek are going under the jam causing it to lift and build in place. Water has backed up behind this jam and is flooding low lying fields in the immediate area just upstream of the ice jam. At the present time the ice jam appears stable.      -- Keywords: West Canada Creek at Herkimer, NY on Feb 02, 2003 [20030203083930]</t>
  </si>
  <si>
    <t xml:space="preserve">2003-01-24</t>
  </si>
  <si>
    <t xml:space="preserve">Schoharie River</t>
  </si>
  <si>
    <t xml:space="preserve">The NWS reports: "an ice jam at Gilboa Dam has caused some spillage...but it appears to be settling down. The potential for more ice jams is there until temperatures moderate more."   -- Keywords: Schoharie River at Gilboa, NY on Jan 24, 2003 [20030124081341]</t>
  </si>
  <si>
    <t xml:space="preserve">According to the NWS: AN ICE JAM ON THE STEELE CREEK WAS CAUSING SOME MINOR FLOODING IN THE VILLAGE OF ILION.    THE JAM WAS LOCATED AT THE PHILLIP STREET BRIDGE IN THE SOUTHERN PART OF THE VILLAGE NEAR THE HIGH SCHOOL. UPSTREAM OF THE JAM...WATER WAS BACKING UP INTO SOME CELLARS OF NEIGHBORING HOMES.   LOCAL OFFICIALS WILL CONTINUE TO MONITOR THE SITUATION.  TEMPERATURES WILL CONTINUE WELL BELOW FREEZING INTO EARLY NEXT WEEK.  STREAMFLOW WILL REMAIN LOW...BUT ADDITIONAL ICE IS LIKELY TO FORM AND ACCUMULATE WITH THE LOW TONIGHT NEAR ZERO AND SATURDAY NIGHT NEAR 10 ABOVE.   THE SITUATION IS LIKELY TO REMAIN UNCHANGED UNTIL WARMER WEATHER RESULTS IN AN INCREASE IN STREAMFLOW.      -- Keywords: Steele Creek at Ilion, NY on Jan 24, 2003 [20030124145207]</t>
  </si>
  <si>
    <t xml:space="preserve">2003-01-20</t>
  </si>
  <si>
    <t xml:space="preserve">NWS, 240 AM, Jan. 20: An ice jam has been reported on the Schoharie Creek at Prattsville which will need to be monitored.   NWS, 340 PM, Jan. 20: Ice jam at Prattsville remains frozen solid. No other problems at this time.    -- Keywords: Schoharie Creek at Prattsville, NY on Jan 20, 2003 [20030121105531]</t>
  </si>
  <si>
    <t xml:space="preserve">2003-01-15</t>
  </si>
  <si>
    <t xml:space="preserve">Battenville</t>
  </si>
  <si>
    <t xml:space="preserve">Batten Kill</t>
  </si>
  <si>
    <t xml:space="preserve">USGS Water Resources Data for New York WY 2003 reported an annual maximum gage height of 7.41ft on 15-JAN-2003 due to an ice jam at USGS gaging station 01329500 Batten Kill at Battenville, NY. The average daily discharge was 580cfs.</t>
  </si>
  <si>
    <t xml:space="preserve">2002-12-18</t>
  </si>
  <si>
    <t xml:space="preserve">Platter Kill</t>
  </si>
  <si>
    <t xml:space="preserve">USGS Water Resources Data for New York WY 2003 reported an annual maximum gage height of 3.07ft on 18-DEC-2002 due to an ice jam at USGS gaging station 013501200 Platter Kill at Gilboa, NY. The average daily discharge was 12cfs.</t>
  </si>
  <si>
    <t xml:space="preserve">2002-01-19</t>
  </si>
  <si>
    <t xml:space="preserve">Bridgeville</t>
  </si>
  <si>
    <t xml:space="preserve">Neversink River</t>
  </si>
  <si>
    <t xml:space="preserve">USGS Water Resources Data for New York WY 2003 reported an annual minimum gage height of 4.25ft on 19-JAN-2002 due to freezeup at USGS gaging station 01436690 Neversink River at Bridgeville, NY. The average daily discharge was not reported.</t>
  </si>
  <si>
    <t xml:space="preserve">2001-02-12</t>
  </si>
  <si>
    <t xml:space="preserve">Grand Gorge</t>
  </si>
  <si>
    <t xml:space="preserve">Toad Hollow Brook</t>
  </si>
  <si>
    <t xml:space="preserve">An ice jam on Toad Hollow Brook near Grand Gorge, NY caused a maximum annual gage height of 2.52 ft on February 12, 2001.  The daily mean discharge was estimated to be 5.4 cfs.   -- Keywords: Toad Hollow Brook at Grand Gorge, NY on Feb 12, 2001 [20040830153012]</t>
  </si>
  <si>
    <t xml:space="preserve">2001-02-10</t>
  </si>
  <si>
    <t xml:space="preserve">Reports from the NWS in Albany, NY on February 10, 2001 conlcude  that there was an ice jam on the Schoharie Creek at  Burtonsville.  At 1700h the NWS reported that a combination of  rain, melting snow and warm temperatures had "increased river  flow enough to cause ice breakup on parts of the Schoharie  Creek." By 1100h the creek had risen to 4.3 feet. It was  predicted to rise between 5 and 6 feet later that afternoon.  At  1900h the NWS stated "that there may be an ice jam in the  vicinity of Burtonsville."  At this time a flood warning had  been issued for the towns of Schoharie, Western Schenectady, and  Montgomery, with evacuations occuring at Burtonsville.  The  flood warning stayed in effect until 723 PM EST.    -- Keywords: Schoharie Creek at Burtonsville, NY on Feb 10, 2001 [20010626104902]</t>
  </si>
  <si>
    <t xml:space="preserve">According to the NWS in Albany, NY on February 10, 2001 "there was also an ice jam reported on the Mohawk River near Fort Plain."  -- Keywords: Mohawk River at Fort Plain, NY on Feb 10, 2001 [20010626110227]</t>
  </si>
  <si>
    <t xml:space="preserve">2001-01-01</t>
  </si>
  <si>
    <t xml:space="preserve">An ice jam on Little Delaware River near Delhi, NY caused a maximum annual gage height of 8.55 ft on January 1, 2001.  This was also the maximum gage height since January 1997.  The daily mean discharge was extimated to be 64 cfs.   -- Keywords: Little Delaware River at Delhi, NY on Jan 01, 2001 [20040830155105]</t>
  </si>
  <si>
    <t xml:space="preserve">2000-12-26</t>
  </si>
  <si>
    <t xml:space="preserve">An ice jam on Platter Kill at Gilboa, NY caused a maximum annual gage height of 3.36 ft on December 26, 2000.  The daily mean discharge was extimated to be 16 cfs.    -- Keywords: Platter Kill at Gilboa, NY on Dec 26, 2000 [20040830154527]</t>
  </si>
  <si>
    <t xml:space="preserve">2000-03-01</t>
  </si>
  <si>
    <t xml:space="preserve">NWS reports on March 1, 2000 that "significant ice jams remain on the Sacandaga River just south of Hope (New York)."  -- Keywords: Sacandaga River at Hope , NY on Mar 01, 2000 [20010726133920]</t>
  </si>
  <si>
    <t xml:space="preserve">2000-02-29</t>
  </si>
  <si>
    <t xml:space="preserve">NWS Flood Statement reports that "Ice was a problem" on the  Upper Hudson River around Warrensburg. On February 28 the NWS  reported "Ice has jammed in the Hudson River near Warrensburg,  north of the Thurman bridge."  Water was reported to be flowing  under the ice early this afternoon but the flow is istll  increasing. Therefore the potential for significant flooding is  still there."   On February 29 "an observer reported that the ice was jammed  north of the Thurman Bridge.  Although water was flowing under  the ice... the threat of flooding will increase as the river  flow increases. A few roads were closed in the area."  The jam was still reported to remain on March 1. -- Keywords: Hudson River at Warrensburg, NY on Feb 29, 2000 [20010725144403]</t>
  </si>
  <si>
    <t xml:space="preserve">Cohoes</t>
  </si>
  <si>
    <t xml:space="preserve">NWS Flood Statement reports:  "Ice continued to be jammed up near the crescent bridge around Cohoes.  After dropping briefly Monday evening... the water level rose 2 feet below its 20 foot flood stage.  The 4am reading at Cohoes was 18.24 feet."  Officials were on the scene monitoring the situation closely for fear that the water pressure on the jam would rise to a point where a break would form and the water level would suddenly drop.  The USGS Water Resources Data report for 2000 noted the maximum annual gage height of 20.29 ft resulting from this February 29, 2000 jam at Coloes, NY and the discharge upon the release of the jam to be 89,700 cfs.   -- Keywords: Mohawk River at Cohoes, NY on Feb 29, 2000 [20010725142915]</t>
  </si>
  <si>
    <t xml:space="preserve">NWS reports on February 29, 2000 that "for the Mowhawk River at Crescent,NY, flooding is occuring, with a stage of 188.7 feet at 9 am Thesday.  The Mohawk River in this area will fluctuate greatly today due to ice jams. The Mohawk River in the vicinity of Crescent is expected to remain above flood stage through this evening.  Flooding will continue along Canal Road... River Road... River View Road... Rosendale Road."  Ice jam continued through March 1st.  -- Keywords: Mohawk River at Crescent, NY on Feb 29, 2000 [20010726111041]</t>
  </si>
  <si>
    <t xml:space="preserve">Green Island</t>
  </si>
  <si>
    <t xml:space="preserve">An ice jam release on Mohawk River on February 29, 2000 resulted in the maximum annual gage height of 23.30 ft. on the Hudson River at Green Island, NY and the maximum annual discharge of about 116,000 cfs.  -- Keywords: Hudson River at Green Island, NY on Feb 29, 2000 [20040827134002]</t>
  </si>
  <si>
    <t xml:space="preserve">2000-02-28</t>
  </si>
  <si>
    <t xml:space="preserve">An ice jam on Little Delaware River near Delhi, NY on February 28, 2000 resulted in the maximum annual gage height of 5.50 ft. with a maximum annual discharge of about 1,300 cfs.  -- Keywords: Little Delaware River at Delhi, NY on Feb 28, 2000 [20040827150556]</t>
  </si>
  <si>
    <t xml:space="preserve">2000-02-27</t>
  </si>
  <si>
    <t xml:space="preserve">NWS Flood Statement reported "An ice jam has formed near the Alplaus Marina must upstream of the Rexford Bridge Sunday afternoon.  This ice jam caused water to backup behind it.  As a result, flooding is possible at Schenectady County Community College...Riverside Park and the Stockade Section of Schenectady...including Ingersoll Avenue and Ferry Street.  Even if the ice jam breaks...additional ice jams are possible downstream from the Rexford Bridge where sheet ice covers the river to Lock 7.  The Mohawk River at Schenectady at 4 PM reached the 223.0 feet flood stage but was fallen to 222 feet at 10 PM.  The Mohawk was flowing rapidly at the Rexford Bridge.  Additional ice jams could form downstream overnight and cause the river to rise again above flood stage until Monday afternoon."  -- Keywords: Mohawk River at Schenectady, NY on Feb 27, 2000 [20001018111710]</t>
  </si>
  <si>
    <t xml:space="preserve">2000-02-26</t>
  </si>
  <si>
    <t xml:space="preserve">NWS Flood Statement reported "The Schoharie Creek at Prattsville was 10.56 feet.  Flood stage is 12 feet. The river rose sharply early Saturday morning suggesting that the rise may have been caused by an ice jam."  -- Keywords: Schoharie Creek at Prattsville, NY on Feb 26, 2000 [20001018100232]</t>
  </si>
  <si>
    <t xml:space="preserve">2000-02-25</t>
  </si>
  <si>
    <t xml:space="preserve">NWS Flood Statement reported "An ice jam on the Wallkill River in Gardiner has caused some minor lowland flooding.  The Ulster County Office of Emergency Management reported the river was out of its banks in the vicinity of the Route 44 Bridge.  At this time minor flooding has occurred in some low-lying farm fields along the river."  -- Keywords: Wallkill River at Gardiner, NY on Feb 25, 2000 [20001018100729]</t>
  </si>
  <si>
    <t xml:space="preserve">2000-02-14</t>
  </si>
  <si>
    <t xml:space="preserve">An ice jam on Horse Pound Brook near Lake Carmel, NY on February 14, 2000 resulted in the maximum annual gage height of 2.12 ft. with a discharge of about 53 cfs.   -- Keywords: Horse Pound Brook at Lake Carmel, NY on Feb 14, 2000 [20040827150056]</t>
  </si>
  <si>
    <t xml:space="preserve">An ice jam on Toad Hollow Brook near Grand Gorge, NY caused a maximum gage height of 3.05 ft on February 14, 2000 for the period of record Sep 1999-Sep 2001.     -- Keywords: Toad Hollow Brook at Grand Gorge, NY on Feb 14, 2000 [20040830153332]</t>
  </si>
  <si>
    <t xml:space="preserve">2000-02-11</t>
  </si>
  <si>
    <t xml:space="preserve">Wagner Hollow</t>
  </si>
  <si>
    <t xml:space="preserve">Caroga Creek</t>
  </si>
  <si>
    <t xml:space="preserve">NWS reports on February 11, 2000 that "an ice jam on Caroga Creek (Maine) poses a flood threat in Wagner Hollow.  Ice has broken up and formed a jam on Caroga Creek about two miles upstream of where it flows into the Mohawk River.  This jam is partly blocking the flow and has raised the water level to bankfull.  So far it is not affecting any homes."  -- Keywords: Caroga Creek at Wagner Hollow, NY on Feb 11, 2000 [20010726132308]</t>
  </si>
  <si>
    <t xml:space="preserve">2000-01-04</t>
  </si>
  <si>
    <t xml:space="preserve">An ice jam on Sacandaga River near Hope, NY on January 4, 2000 resulted in the maximum annual gage height of 7.38 ft. The discharge was estimated to be about 11,000 cfs.   -- Keywords: Sacandaga River at Hope, NY on Jan 04, 2000 [20040827130545]</t>
  </si>
  <si>
    <t xml:space="preserve">1999-02-04</t>
  </si>
  <si>
    <t xml:space="preserve">The ice jam on the Mohawk River at Rexford was intact. Water was running under the jam. Below the jam the sheet ice was intact with some water puddles on top. Above the jam the broken ice was packed solid, with the exception of an open water pool at the sharp turn in the river just downstream of the Rexford bridge.   -- Keywords: Mohawk River at Rexford, NY on Feb 04, 1999 [20030423110821]</t>
  </si>
  <si>
    <t xml:space="preserve">1999-01-28</t>
  </si>
  <si>
    <t xml:space="preserve">Combination</t>
  </si>
  <si>
    <t xml:space="preserve">The NWS reported on Jan. 28 that an ice jam was located between Canajoharie and Fonda on the Mohawk River. The jam resulted in considerable blockage of the channel so that water backed up four to five feet. No other information available.  -- Keywords: Mohawk River at Canajoharie, NY on Jan 28, 1999 [20030423095757]</t>
  </si>
  <si>
    <t xml:space="preserve">1999-01-25</t>
  </si>
  <si>
    <t xml:space="preserve">At 4:55 PM EST on Monday, January 25, a rather large ice jam was discovered in the Rexford Gorge between Vischer Ferry and Schenectady on the Mohawk River. At 2:00 PM this jam was backing up water into Schenectady and the river was up to the 222 foot elevation. At 10:10 AM on Thursday, there were no significant changes in the ice jam, but it was resulting in a considerable blockage of the channel so that the water was backing up four to five feet. -- Keywords: Mohawk River at Schenectady, NY on Jan 25, 1999 [2074]</t>
  </si>
  <si>
    <t xml:space="preserve">New Paltz</t>
  </si>
  <si>
    <t xml:space="preserve">At 4:25 AM on Monday, January 25 1999, it was reported that the Wallkill River rose out of its banks in the vicinity of New Paltz in Ulster County, NY sometime Sunday evening. Police officials from New Paltz reported that the river flooded Springtown Road between Dug Road and Mt. Rest. As of 4:00 PM, this road was still closed. This river may have been affected by an ice jam that formed Sunday after the watershed received heavy rains causing the river to rise. As of 1:00 PM on Monday, flooding was also reported on Libertyville Road and Route 299. At 2:40 PM EST on Tuesday, January 26, it was reported that the ice jam that had caused the river to spill out of its banks causing minor flooding had receded and was below flood stage. At 9:35 AM EST on Thursday, January 28, it was reported that the Wallkill was still close to bank full in Southern Ulster County between Gardiner and Dashville. It was predicted to go back to normal levels within a day or two. Later, at 3:15 PM EST on Tuesday, February 2, it was reported that the Wallkill River in NY had ice jams that led to flooding because they blocked the river channel. At 8:40 PM EST on Tuesday, February 2, the Wallkill River in Southern Ulster County, NY came up about three feet at Gardiner as a result of ice between Gardiner and New Paltz. At 13 feet the river overflows onto low lying roads. The river was expected to get close to that level overnight. -- Keywords: Wallkill River at New Paltz, NY on Jan 25, 1999 [2075]</t>
  </si>
  <si>
    <t xml:space="preserve">Randall</t>
  </si>
  <si>
    <t xml:space="preserve">At 4:55 PM EST on Monday January 25, a large ice jam was discovered that extended from Randall to Sprakers in Montgomery County, NY on the Mohawk River. This jam resulted in low fields along the river being flooded back to Canajoharie and Fort Plain. At 10:10 AM EST on Thursday, it was reported that the ice jam now extended from Fonda to Canajoharie. It was resulting in a considerable blockage of the channel so that water was backing up four to five feet. -- Keywords: Mohawk River at Randall, NY on Jan 25, 1999 [2073]</t>
  </si>
  <si>
    <t xml:space="preserve">1999-01-24</t>
  </si>
  <si>
    <t xml:space="preserve">Crawford</t>
  </si>
  <si>
    <t xml:space="preserve">Verkeerder Kill</t>
  </si>
  <si>
    <t xml:space="preserve">On Sunday, January 24 at 5:52 PM, Ulster County Officials reported an ice jam on the Verkeerder Kill along the Ulster and Orange County Border. It is in the vicinity of the confluence of the Verkeerder Kill and Shawangunk Kill rivers in Crawford, New York. Ulsterville Road from the intersection of Pirog Road South into the town of Crawford in Orange County were closed. A bridge near the intersections of Ulsterville Road, Pirog Road, and Gillespie Street was flooded with 4 to 5 feet of water. At 11:25 PM on Sunday, it was reported that the ice jam had diminished. Crawford Police Officials reported that Ulsterville Road was reopened and flood waters had receded. -- Keywords: Verkeerder Kill at Crawford, NY on Jan 24, 1999 [2065]</t>
  </si>
  <si>
    <t xml:space="preserve">St. Johnsville</t>
  </si>
  <si>
    <t xml:space="preserve">AT 12 noon on Sunday, January 24, authorities in Montgomery County reported that one jam had formed on the Mohawk River near the village of St. Johnsville. -- Keywords: Mohawk River at St. Johnsville, NY on Jan 24, 1999 [2072]</t>
  </si>
  <si>
    <t xml:space="preserve">1999-01-20</t>
  </si>
  <si>
    <t xml:space="preserve">At 11:45 AM EST on Wednesday, January 20 local officials reported an ice jam that had formed on the Batten Kill in New York as a result of recent rains. The jam was causing the Battenville Gage to read between 7 and 10 feet, but it was not causing any flooding problems. Flow was expected to diminish that day. -- Keywords: Batten Kill at Battenkill, NY on Jan 20, 1999 [2054]</t>
  </si>
  <si>
    <t xml:space="preserve">1999-01-19</t>
  </si>
  <si>
    <t xml:space="preserve">At 5:00 AM EST on Tuesday, January 19, 1999, the Rensselaer County Sheriff?s office reported that the ice jam on the Hoosic River at Buskirk, NY was holding steady. As a result of this ice jam, and also rain and snowmelt, water continued to overflow onto Route 103 and River Road near the Buskirk covered bridge. Ice extended from Buskirk most of the way to Eagle Bridge and was clogging parts of the river. As of 5:00 AM there had been little change in the condition of the ice jam. A flood warning remained in effect for this portion of the river. At 5:55 AM, the Hoosic River had dropped to below 9 feet at Eagle Bridge, while earlier that morning it was just under 10 feet. Flood stage at Eagle Bridge is 11 feet. At 10:40 AM on Tuesday, ice jams between Eagle Bridge and Johnsonville resulted in the closure of River Road and Route 103. The flood waters were also affecting some low lying homes in the area. At 10:00 AM the Hoosic was 7.5 feet at Eagle Bridge. At 7:45 PM on Thursday, January 21, the ice jam still remained in place between Eagle Bridge and the Johnsonville Hydro Plant. There was little change expected overnight. The water flow through the ice jam had decreased and only minor low land flooding remained in the area. At 11:05 AM on Sunday, January 24, it was reported that the ice jam moved west into the reservoir behind the Johnsonville Hydro Plant. The river had risen two feet overnight and was up to 8 feet late that morning. It was expected to crest at 10 feet at Eagle Bridge that afternoon. At 3:13 PM on Sunday, January 24, if was expected that the Hoosic would crest near its 11 foot flood stage that evening. Rain and snowmelt brought the river to within half a foot of its flood stage. There was minor flooding at this time along River Road and Route 103 near Buskirk. The ice jam was still downstream in the reservoir. -- Keywords: Hoosic River at Buskirk, NY on Jan 19, 1999 [2052]</t>
  </si>
  <si>
    <t xml:space="preserve">New Lebanon</t>
  </si>
  <si>
    <t xml:space="preserve">Kinderhook Creek</t>
  </si>
  <si>
    <t xml:space="preserve">At 1:44 AM EST on Tuesday, January 19, 1999, local emergency managers in Columbia County, NY reported ice jamming on the Kinderhook Creek in the town of New Lebanon, NY. Adams Crossing Road, Winslow Road, and Hanky Mull Road were all being affected by flood waters as water piled up behind the ice jam. It was predicted that should the ice jam break, a surge of water will threaten the towns of Chatham, Valatie, and Kinderhook. -- Keywords: Kinderhook Creek at Ne Lebanon, NY on Jan 19, 1999 [2051]</t>
  </si>
  <si>
    <t xml:space="preserve">1999-01-18</t>
  </si>
  <si>
    <t xml:space="preserve">Amenia</t>
  </si>
  <si>
    <t xml:space="preserve">Wassaic Creek</t>
  </si>
  <si>
    <t xml:space="preserve">At 11:00 PM on Monday, January 18, 1999 an ice jam was reported on the Wassaic Creek in New York. It caused the creek to back up onto Country Route 81 and resulted in the evacuation of homes. Country Route 81 is half way between State Route 22 and South Amenia Road in the town of Amenia. At 4:13 AM on Tuesday, January 19, the ice jam was still continuing to cause water to back up onto County Route 81 in Amenia. At 4:44 AM on that same day, the Dutchess County Sheriff?s Office reported that the ice jam had dissipated but that the water was still flowing across the road.    -- Keywords: Wassaic Creek at Amenia, NY on Jan 18, 1999 [2101]</t>
  </si>
  <si>
    <t xml:space="preserve">1998-12-31</t>
  </si>
  <si>
    <t xml:space="preserve">USGS Water Resources Data for New York WY 2003 reported a minimum daily discharge of 0.20cfs on 31-DEC-1998 due to freezeup at USGS gaging station 01436690 Neversink River at Bridgeville, NY. The gage height was not reported.</t>
  </si>
  <si>
    <t xml:space="preserve">1998-01-08</t>
  </si>
  <si>
    <t xml:space="preserve">On Thursday, January 8, 1998 at 3:15 am, the National Weather Service issued a flood warning for the Sacandaga River above the Great Sacandaga Lake in Hamilton County, NY. Late Wednesday evening, rain, melting snow, and ice caused the Sacandaga River to rise a foot and a half. At Hope, the river was close to the 7 foot flood stage by midnight. The river is expected to crest between 7.5 and 8 feet Thursday evening, which may cause the water to overflow onto state route 30. On Thursday, January 8, 1998 at 5:33 pm, the National Weather Service reported, "A flood warning is valid for the Sacanadaga River above the great Sacanadaga Lake this evening. The river level at Hope was at 8.9 feet late this afternoon and as a result of ice jams rapid fluctuations are expected and is expected to crest at 10.5 feet Friday morning, which will result in moderate flooding." -- Keywords: Sacandaga River at Hope, NY on Jan 08, 1998 [2018]</t>
  </si>
  <si>
    <t xml:space="preserve">1997-02-28</t>
  </si>
  <si>
    <t xml:space="preserve">An ice jam was reported blocking the river channel at the Route 29 Bridge in the village of Dolgeville along the Herkimer Fulton County Line. Ice was reported as backed up under the state bridge. Behind the Jam water was backing up into cellars of nearby buildings. -- Keywords: East Canada Creek at Dolgeville, NY on Feb 28, 1997 [3675]</t>
  </si>
  <si>
    <t xml:space="preserve">1997-02-27</t>
  </si>
  <si>
    <t xml:space="preserve">Another ice jam exists between the Vischer Ferry Preserve and the Cresent Bridge. It is being blocked by sheet ice on the Crescent pool. -- Keywords: Mohawk River at Vischer Ferry, NY on Feb 27, 1997 [3701]</t>
  </si>
  <si>
    <t xml:space="preserve">Ice blocks in excess of 2 feet thick have hung up on the islands around the stockade area of Schenectady. River rises could relocated and jam this ice. There is a small jam hung up on Hog Island made up of ice blocks 6-24 inches thick. The water levels at the Western Gateway Bridge has been slowly rising to 214.0 feet with a flood stage of 223 feet. -- Keywords: Mohawk River at Schenectady, NY on Feb 27, 1997 [1085]</t>
  </si>
  <si>
    <t xml:space="preserve">1997-02-22</t>
  </si>
  <si>
    <t xml:space="preserve">Around Feb 22, high water levels have caused low-land flooding between Crescent and the Waterford/Troy areas and on River Street between Route 69 in Oriskany and Route 49 in Marcy, both of which have been closed. On February 27th, ice jams in Crescent remain in place. Water levels on the Mohawk River have been rising slowly. There is also a jam in the vicinity of the Twin Bridges. -- Keywords: Mohawk River at Crescent, NY on Feb 22, 1997 [3703]</t>
  </si>
  <si>
    <t xml:space="preserve">1997-02-21</t>
  </si>
  <si>
    <t xml:space="preserve">Ice has jammed between Rotterdam and Amsterdam along the Mohawk River due to balmy weather. Water levels have risen to near bankfull with slabs of ice over a foot thick. This increased flow will build up pressure behind the jam potentially causing it to break. In previous years, ice jams have formed at the railroad bridge just below the stockade neighborhood causing rather serious flooding. -- Keywords: Mohawk River at Little Falls, NY on Feb 21, 1997 [3670]</t>
  </si>
  <si>
    <t xml:space="preserve">St. Johnsville/Big Nose</t>
  </si>
  <si>
    <t xml:space="preserve">An ice jam near St. Johnsville / Big Nose brok and ice was moving down Schoharie Creek. This ice will more than likely run into the jam near Amsterdam. Much of this jam is between Rotterdam and Amsterdam. -- Keywords: Schoharie Creek at St. Johnsville/Big Nose, NY on Feb 21, 1997 [1411]</t>
  </si>
  <si>
    <t xml:space="preserve">Ice jams on the Mohawk may cause flooding between Fonda and Cohoes due to balmy weather. It is expected that the ice would move towards Cohoes Falls and break-up and head into the Hudson River, which at the time had low water levels and significant flooding was not expected. -- Keywords: Mohawk River at Cohoes Falls, NY on Feb 21, 1997 [3705]</t>
  </si>
  <si>
    <t xml:space="preserve">1997-01-19</t>
  </si>
  <si>
    <t xml:space="preserve">A small jam formed in Steele Creek which had elevated water levels slightly. Local residents were concerned with the Main Street Bridge and the gas line that crosses the bridge. Once the jam passed very little ice remained along the banks or in the channel upstream of the village limits.   -- Keywords: Steele Creek at Ilion, NY on Jan 19, 1997 [1491]</t>
  </si>
  <si>
    <t xml:space="preserve">1996-02-22</t>
  </si>
  <si>
    <t xml:space="preserve">On 2/22/96 the NWS reported an ice jam on the Mohawk River between Lock 8 in Scotia, NY and the Western Gateway bridge in Schenectady, NY. Water levels rose behind the jam but did not exceed flood stage. -- Keywords: Mohawk River at Scotia, NY on Feb 22, 1996 [1087]</t>
  </si>
  <si>
    <t xml:space="preserve">Poestenkill</t>
  </si>
  <si>
    <t xml:space="preserve">Poestenkill Creek</t>
  </si>
  <si>
    <t xml:space="preserve">The NWS reported an ice jam on the Poestenkill Creek in Poestenkill, NY flooded Plank Rd on 2/22/96. Two more ice jams were reported on the creek between Fifty Six Rd and Cropsey Rd. in Poestenkill. Rt. 40 was closed due to water flooding the road and people were evacuated from around the creek. By 2/24 the jams were decreasing in size and water receded to within its banks. -- Keywords: Poestenkill Creek at Poestenkill, NY on Feb 22, 1996 [1307]</t>
  </si>
  <si>
    <t xml:space="preserve">1996-02-21</t>
  </si>
  <si>
    <t xml:space="preserve">As reported in the U.S Army Corps of Engineers Iterim Assessment Report, July 1996, "February 21, 1996: Ice Jam Event. Ice jammed at the new Route 5S bridge, causing water to rise to the top of a retaining wall lining the river. The ice went out, however, before any flooding took place." -- Keywords: Fulmer Creek at Mohawk, NY on Feb 21, 1996 [424]</t>
  </si>
  <si>
    <t xml:space="preserve">1996-02-01</t>
  </si>
  <si>
    <t xml:space="preserve">According to a NWS Flood Warning on 2/24/96, an ice jam was located on East Canada Creek between Van Buren Street and Dolge Avenue in Dolgeville, NY and had caused road and basement flooding. The county highway dept. and emergency management officials were trying to breakup the jam on the evening of 2/24/96. There were no changes the morning of 2/25/96. -- Keywords: East Canada Creek at Dolgeville, NY on Feb ?, 1996 [373]</t>
  </si>
  <si>
    <t xml:space="preserve">1996-01-29</t>
  </si>
  <si>
    <t xml:space="preserve">Libertyville</t>
  </si>
  <si>
    <t xml:space="preserve">According to a NWS Flood Watch, the ice jam on the Walkill River in the vicinity of Libertyville, NY is approximately 1 1/2 to 2 miles in length stretching from Tall Pines Lane to the Ulster County fairgrounds. -- Keywords: Walkill River at Libertyville, NY on Jan 29, 1996 [1645]</t>
  </si>
  <si>
    <t xml:space="preserve">1996-01-24</t>
  </si>
  <si>
    <t xml:space="preserve">NWS Flood Statements indicated that an ice jam in the area of Gardiner on the Walkill River was causing flooding between Montgomery and Walden, NY. The ice jam broke on 1/28/96 allowing the river to flow freely. -- Keywords: Walkill River at Gardiner, NY on Jan 24, 1996 [1644]</t>
  </si>
  <si>
    <t xml:space="preserve">1996-01-21</t>
  </si>
  <si>
    <t xml:space="preserve">Catskill</t>
  </si>
  <si>
    <t xml:space="preserve">A 1/21/96 NWS Flood Statement reported that the large ice jam on the Hudson River in Catskill, NY is located between the Rip Van Winkle Bridge and the confluence with the Catskill Creek. -- Keywords: Hudson River at Catskill, NY on Jan 21, 1996 [475]</t>
  </si>
  <si>
    <t xml:space="preserve">Hopewell Junction</t>
  </si>
  <si>
    <t xml:space="preserve">Fishkill Creek</t>
  </si>
  <si>
    <t xml:space="preserve">USGS Water Resources Data for New York WY 2003 reported a maximum gage height of 11.71ft on 20-JAN-1996 due to an ice jam at USGS gaging station 01372800 Fishkill Creek at Hopewell Junction, NY. The average daily discharge was not reported.</t>
  </si>
  <si>
    <t xml:space="preserve">Bainbridge</t>
  </si>
  <si>
    <t xml:space="preserve">USGS Water Resources Data for New York WY 2004 reported a maximum gage height of 21.04ft on 20-JAN-1996 due to an ice jam at USGS gaging station 01502623 Susquehanna River at Bainbridge, NY. The average daily discharge was not reported.</t>
  </si>
  <si>
    <t xml:space="preserve">According to NWS Flood Statements, about a mile below Prattsville, NY an ice jam formed on Schoharie Creek. The water level rose above flood stage on 1/19/96 and began to fall on 1/21/96. -- Keywords: Schoharie Creek at Prattsville, NY on Jan 19, 1996 [1410]</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</si>
  <si>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Mohawk, NY on Jan 19, 1996 [1084]</t>
  </si>
  <si>
    <t xml:space="preserve">German Flatts</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</si>
  <si>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German Flatts, NY on Jan 19, 1996 [1081]</t>
  </si>
  <si>
    <t xml:space="preserve">According to a NWS Flood Warning on 1/19/96 ice flowed into the Mohawk River from West Canada Creek and jammed in Herkimer and Mohawk, NY. The "Utica Observer Dispatch" Jan 24, 1996 reported $175K in damages in Mohawk, $600K in German Flatts, $800K in county road damage and a grand total of $2.8M in damage across Herkimer County. 100 people were evacuated from their homes in Mohawk and German Flatts. -- Keywords: Mohawk River at Herkimer, NY on Jan 19, 1996 [1082]</t>
  </si>
  <si>
    <t xml:space="preserve">USGS Water Resources Data for New York WY 2003 reported an annual maximum gage height of 6.36ft on 19-JAN-1996 due to an ice jam at USGS gaging station 01356190 Lisha Kill Northwest of Niskayuna, NY. The average daily discharge was not reported.</t>
  </si>
  <si>
    <t xml:space="preserve">Rensselaer County</t>
  </si>
  <si>
    <t xml:space="preserve">A NWS Flood Statement on 1/19/96 reported an ice jam on the Hoosic River in Rensselaer County, NY. -- Keywords: Hoosic River at Rensselaer County, NY on Jan 19, 1996 [464]</t>
  </si>
  <si>
    <t xml:space="preserve">1996-01-18</t>
  </si>
  <si>
    <t xml:space="preserve">According to a NWS Flood Statement on 1/18/96, the Mohawk Fire Dept. reported an ice jam on Fulmer Creek between East Main Street and Rt. 5S in Mohawk, NY. Public Safety officials were working to release the jam. The "Utica Observer-Dispatch," Jan 20, 1996 edition reported that about 100 people were evacuated in Mohawk due to ice jam flooding on Fulmer Creek. An estimated 1,000 sandbags weighing between 50 and 75 pounds, were put in place to reduce the threat of flooding.  The Jan 23, 1996 edition of the "Utice Observer-Dispatch" indicated that "Mohawk residents want flooding curbed." As reported in the U.S Army Corps of Engineers Iterim Assessment Report, July 1996, "January 18, 1996: Ice Jam Event. An ice jam at the New Route 5S bridge extended to West Main Street, causing inundation of local streets. Erie Street was closed and the elevtical substation was threatened. Water rose to just below the bottom of Route 5S bridge. Warren Road was closed for several days and 3 homes at the Brookhaven Trailer Park at Route 168 and Pine Bush Road were threatened by water that was out of the river banks." -- Keywords: Fulmer Creek at Mohawk, NY on Jan 18, 1996 [423]</t>
  </si>
  <si>
    <t xml:space="preserve">1996-01-01</t>
  </si>
  <si>
    <t xml:space="preserve">On 1/23/96 Mr. Carl Quance, NY State Dept of Environmental Conservation, phoned J.C. Tatinclaux, CECRL-IE, and reported a severe ice jam on the Mohawk River in Little Falls, NY. The jam had caused extensive damage during the early part of the week of Jan. 15. These damages included $500K damage to a paper mill building. The flow had subsided by the end of the week but on 1/22/96 the jam moved downstream a little and water began to rise again. The "Utica Observer Dispatch" Jan 24, 1996 reported an estimated $1.25M in total damages. -- Keywords: Mohawk River at Little Falls, NY on Jan ?, 1996 [1083]</t>
  </si>
  <si>
    <t xml:space="preserve">A NWS Flood Statement reported on 1/19/96 that an amateur radio spotter said that an ice jam at Lock 8 in Scotia, NY broke loose and moving downstream. -- Keywords: Mohawk River at Scotia, NY on Jan ?, 1996 [1086]</t>
  </si>
  <si>
    <t xml:space="preserve">1994-03-16</t>
  </si>
  <si>
    <t xml:space="preserve">An ice jam on Wallkill River at Gardiner, NY caused a maximum annual gage height of 12.09 ft on March 16, 1994.  The daily mean discharge was estimated to be 4700 cfs.  -- Keywords: Wallkill River at Gardiner, NY on Mar 16, 1994 [20040824170915]</t>
  </si>
  <si>
    <t xml:space="preserve">1994-03-10</t>
  </si>
  <si>
    <t xml:space="preserve">Frost Valley</t>
  </si>
  <si>
    <t xml:space="preserve">Biscuit Brook</t>
  </si>
  <si>
    <t xml:space="preserve">An ice jam on Biscuit Brook above Pigeon Brook at Frost Valley, NY resulted in the maximum annual gage height of 3.60 ft recorded; outside gage height was 4.14 ft from crest-stage gage, on March 10, 1994. The daily mean discharge was estimated to be 35 cfs.  -- Keywords: Biscuit Brook at Frost Valley, NY on Mar 10, 1994 [20040826151038]</t>
  </si>
  <si>
    <t xml:space="preserve">An ice jam on Rondout Creek at Rosendale, NY caused a maximum annual gage height of 19.77 ft on March 10, 1994.  The daily mean discharge was estimated to be 1300 cfs.  -- Keywords: Rondout Creek at Rosendale, NY on Mar 10, 1994 [20040824170439]</t>
  </si>
  <si>
    <t xml:space="preserve">An ice jam on the Hoosic River near Eagle Bridge, NY caused a maximum annual gage height of 12.01 ft on March 10, 1994.  The daily mean discharge was estimated to be 3000 cfs.  -- Keywords: Hoosic River at Eagle Bridge, NY on Mar 10, 1994 [20040824165348]</t>
  </si>
  <si>
    <t xml:space="preserve">1994-02-21</t>
  </si>
  <si>
    <t xml:space="preserve">From the "On This Date in New England Fire Rescue History and beyond " web site:  " Feb 21 - 1994 - MOHAWK - NY - Ice-jam flooding on Fulmer Creek; 40 homes were evacuated as water reached 6' deep. Some cars were completely submerged as a result of the ice jam. "   -- Keywords: Fulmer Creek at Mohawk, NY on Feb 21, 1994 [20040327191131]</t>
  </si>
  <si>
    <t xml:space="preserve">1994-02-04</t>
  </si>
  <si>
    <t xml:space="preserve">Andes</t>
  </si>
  <si>
    <t xml:space="preserve">Tremper Kill</t>
  </si>
  <si>
    <t xml:space="preserve">An ice jam on Tremper Kill near Andes, NY caused a maximum annual gage height of 4.89 ft on February 4, 1994.  The daily mean discharge was estimated to be 48 cfs.  -- Keywords: Tremper Kill at Andes, NY on Feb 04, 1994 [20040826144431]</t>
  </si>
  <si>
    <t xml:space="preserve">1994-02-03</t>
  </si>
  <si>
    <t xml:space="preserve">Fall Kill</t>
  </si>
  <si>
    <t xml:space="preserve">An ice jam on Fall Kill at Poughkeepsie, NY caused a maximum annual gage height of 2.17 ft on February 3, 1994.  The daily mean discharge was estimated to be 32 cfs.  -- Keywords: Fall Kill at Poughkeepsie, NY on Feb 03, 1994 [20040824171429]</t>
  </si>
  <si>
    <t xml:space="preserve">1994-02-02</t>
  </si>
  <si>
    <t xml:space="preserve">An ice jam on Platter Kill at Gilboa, NY caused a maximum annual gage height of 3.88 ft on February 2, 1994.  The daily mean discharge was estimated to be 20 cfs.  -- Keywords: Platter Kill at Gilboa, NY on Feb 02, 1994 [20040824170025]</t>
  </si>
  <si>
    <t xml:space="preserve">1994-01-29</t>
  </si>
  <si>
    <t xml:space="preserve">Petersburg</t>
  </si>
  <si>
    <t xml:space="preserve">Little Hoosic River</t>
  </si>
  <si>
    <t xml:space="preserve">An ice jam on the Little Hoosic River at Petersburg, NY caused a maximum annual gage height of 6.02 ft on January 29, 1994.  The daily mean discharge was estimated to be 400 cfs.  -- Keywords: Little Hoosic River at Petersburg, NY on Jan 29, 1994 [20040824164820]</t>
  </si>
  <si>
    <t xml:space="preserve">1994-01-28</t>
  </si>
  <si>
    <t xml:space="preserve">High Falls Brook</t>
  </si>
  <si>
    <t xml:space="preserve">An ice jam on High Falls Brook at Frost Valley, NY resulted in the maximum annual gage height of 2.11 ft on January 28, 1994, as well as for the period of record Oct 1990-Sept 1994. The daily mean discharge was estimated to be 20 cfs.    -- Keywords: High Falls Brook at Frost Valley, NY on Jan 28, 1994 [20040826151718]</t>
  </si>
  <si>
    <t xml:space="preserve">1994-01-06</t>
  </si>
  <si>
    <t xml:space="preserve">Dunraven</t>
  </si>
  <si>
    <t xml:space="preserve">Mill Brook</t>
  </si>
  <si>
    <t xml:space="preserve">An ice jam on Mill Brook near Dunraven, NY caused a maximum annual gage height of 8.69 ft on January 6, 1994.  The daily mean discharge was estimated to be 22 cfs.  -- Keywords: Mill Brook at Dunraven, NY on Jan 06, 1994 [20040826142647]</t>
  </si>
  <si>
    <t xml:space="preserve">1993-03-29</t>
  </si>
  <si>
    <t xml:space="preserve">Esperance</t>
  </si>
  <si>
    <t xml:space="preserve">"A massive ice jam has formed along the Schoharie Creek in the vicinity of the Village of Esperance. Local fire department officals report the creek has risen 3 feet in the past half hour in the Village of Esperance. (NWS) A flood warning was in effect until midnight for the Scharie Creek in Schoharie County downstream of Gilboa Dam.   -- Keywords: Schoharie Creek at Esperance, NY on Mar 29, 1993 [1409]</t>
  </si>
  <si>
    <t xml:space="preserve">Claryville</t>
  </si>
  <si>
    <t xml:space="preserve">USGS Water Resources Data for New York WY 2003 reported a minimum average daily discharge of 5.90cfs on 14-MAR-1993 due to freezeup at USGS gaging station 01434498 West Branch of Neversink River at Claryville, NY. The gage height was not reported.</t>
  </si>
  <si>
    <t xml:space="preserve">1989-03-16</t>
  </si>
  <si>
    <t xml:space="preserve">slope change at old arch bridge with low conveyance thought to be cause of jam; no damage at this time but poses serious threat   -- Keywords: Steele Creek at Ilion, NY on Mar 16, 1989 [1490]</t>
  </si>
  <si>
    <t xml:space="preserve">1985-02-01</t>
  </si>
  <si>
    <t xml:space="preserve">Controlled</t>
  </si>
  <si>
    <t xml:space="preserve">controlled river ice breakup on Hudson River using pulses from Hydro plants on the Sacandago River. Jam formed at Section CW (see reference) near carwash in Corinth. -- Keywords: Hudson River at Corinth, NY on Feb ?, 1985 [476]</t>
  </si>
  <si>
    <t xml:space="preserve">1983-02-11</t>
  </si>
  <si>
    <t xml:space="preserve">Lake George</t>
  </si>
  <si>
    <t xml:space="preserve">English Brook</t>
  </si>
  <si>
    <t xml:space="preserve">An ice jam caused the maximum annual gage height of 3.92 ft on English Brook at Lake George NY, on February 11 1983. The mean daily discharge was 13 cfs.  An ice jam on Feb 11, 1981 caused the maximum gage height of 4.88 ft., for the period of record Jun 1980-Sep 1983.  -- Keywords: English Brook at Lake George, NY on Feb 11, 1983 [20040823145420]</t>
  </si>
  <si>
    <t xml:space="preserve">1982-02-12</t>
  </si>
  <si>
    <t xml:space="preserve">On February 4 1982, a maximum annual gage height of 4.84 ft was recorded on Platter Kill at Gilboa NY, caused by an ice jam.  The mean daily discharge was 17 cfs.  This was also the maximum gage height for the period of record January 1975 - 1982.   -- Keywords: Platter Kill at Gilboa, NY on Feb 12, 1982 [20040823135633]</t>
  </si>
  <si>
    <t xml:space="preserve">1982-02-04</t>
  </si>
  <si>
    <t xml:space="preserve">The maximum annual gage height of 10.96 ft occurred on Delaware River at Callicoon, NY on 4 February 1982, as a result of an ice jam.  The average daily discharge recorded was 8,000 cfs.  -- Keywords: Delaware River at Callicoon, NY on Feb 04, 1982 [20040702153320]</t>
  </si>
  <si>
    <t xml:space="preserve">Walton</t>
  </si>
  <si>
    <t xml:space="preserve">The maximum annual gage height of 11.23 ft occurred on West Branch Delaware River at Walton, NY at 0200 on 4 February 1982, as a result of an ice jam.  The discharge at the time was unknown.  At 0830 the same day, the maximum annual discharge of 7,600 cfs was recorded, the gage height at the time 10.30 ft.  -- Keywords: West Branch Delaware River at Walton, NY on Feb 04, 1982 [20040702154606]</t>
  </si>
  <si>
    <t xml:space="preserve">An ice jam 4 February 1982 on Wallkill River at Gardiner, NY resulted in a gage height of 12.27 ft. The discharge was estimated to be 8,000 cfs.  -- Keywords: Wallkill River at Gardiner, NY on Feb 04, 1982 [20040702160844]</t>
  </si>
  <si>
    <t xml:space="preserve">On February 4 1982, a maximum annual gage height of 6.86 ft was recorded on Schoharie Creek at Burtonsville NY, caused by an ice jam.  The mean daily discharge was 4000 cfs.   -- Keywords: Schoharie Creek at Burtonsville, NY on Feb 04, 1982 [20040823135031]</t>
  </si>
  <si>
    <t xml:space="preserve">An ice jam 4 February 1982 on Rondout Creek at Rosendale, NY resulted in a maximum annual gage height of 16.91 ft. The daily average discharge recorded was 3,500 cfs.  -- Keywords: Rondout Creek at Rosendale, NY on Feb 04, 1982 [20040702161428]</t>
  </si>
  <si>
    <t xml:space="preserve">Castleton-On-Hudson</t>
  </si>
  <si>
    <t xml:space="preserve">Moordener Kill</t>
  </si>
  <si>
    <t xml:space="preserve">On February 4 1982, a maximum annual gage height of 3.37 ft was recorded on Moordener Kill at Castleton-on-Hudson, NY, caused by an ice jam. The associated discharge was estimated to be 600 cfs.  The maximum gage height for period of record, Oct 1957 - 1982, was 4.02 ft on January 27 1976, caused by an ice jam.  -- Keywords: Moordener Kill at Castleton-On-Hudson, NY on Feb 04, 1982 [20040823133243]</t>
  </si>
  <si>
    <t xml:space="preserve">Fishs Eddy</t>
  </si>
  <si>
    <t xml:space="preserve">The maximum annual gage height of 15.23 ft occurred on East Branch Delaware River at Fishs Eddy, NY on 4 February 1982, as a result of an ice jam. The daily average discharge recorded was 3,900 cfs.  -- Keywords: East Branch Delaware River at Fishs Eddy, NY on Feb 04, 1982 [20040702155229]</t>
  </si>
  <si>
    <t xml:space="preserve">1982-02-03</t>
  </si>
  <si>
    <t xml:space="preserve">On February 3 1982, a maximum annual gage height of 12.73 ft was recorded on Schoharie Creek at Prattsville NY, caused by an ice jam.  The mean daily discharge was 1500 cfs.  The maximum gage height for the period of record from November 1902 - 1982 was 19.57 ft., caused by an ice jam on March 5 1979.   -- Keywords: Schoharie Creek at Prattsville, NY on Feb 03, 1982 [20040823140331]</t>
  </si>
  <si>
    <t xml:space="preserve">1982-01-20</t>
  </si>
  <si>
    <t xml:space="preserve">-Creek was filled w/ 60 to 80 % of frazil slush -Solid ice was 10 to 14 inches thick -Measurements of ice thickness   -- Keywords: Sauquoit Creek at Whitesboro, NY on Jan 20, 1982 [1406]</t>
  </si>
  <si>
    <t xml:space="preserve">1981-02-20</t>
  </si>
  <si>
    <t xml:space="preserve">The maximum annual gage height of 12.10 ft occurred on the Sacandaga River near Hope, NY on Feb 20, 1981, caused by an ice jam.  The associated discharge was 12,000 cfs.  An ice jam also occurred on Feb 12, 1981.  Gage height was 7.69 ft and average daily discharge was 660 cfs.     -- Keywords: Sacandaga River at Hope, NY on Feb 20, 1981 [20040630155519]</t>
  </si>
  <si>
    <t xml:space="preserve">1981-02-12</t>
  </si>
  <si>
    <t xml:space="preserve">A gage height of 13.19 ft and a discharge of 75,300 cfs occurred on Delaware River at Callicoon NY, on February 12, 1981 as a result of an ice jam release. This was the maximum gage height and discharge for the year as well as for the period of record 1975-1981.  -- Keywords: Delaware River at Callicoon, NY on Feb 12, 1981 [20040701132937]</t>
  </si>
  <si>
    <t xml:space="preserve">An ice jam occurred on Wallkill River at Gardiner, NY on February 12, 1981, resulting in the maximum annual gage height of 12.66 ft. and discharge of 5,000 cfs (not annual maximum).   Another ice jam occurred February 2, resulting in a gage height of 8.25 ft and discharge of 500 cfs.  -- Keywords: Wallkill River at Gardiner, NY on Feb 12, 1981 [20040701125627]</t>
  </si>
  <si>
    <t xml:space="preserve">An ice jam occurred on the Sacandaga River near Hope, NY on Feb 12, 1981.  Gage height was 7.69 ft and average daily discharge was 660 cfs.    The maximum annual gage height of 12.10 ft occurred on Feb 20, 1981, also caused by an ice jam.  The associated discharge was 12,000 cfs.  -- Keywords: Sacandaga River at Hope, NY on Feb 12, 1981 [20040630155041]</t>
  </si>
  <si>
    <t xml:space="preserve">Normans Kill</t>
  </si>
  <si>
    <t xml:space="preserve">An ice jam occurred on Normans Kill at Albany, NY on February 12, 1981, resulting in the maximum annual gage height of 9.99 ft. The discharge was unknown.  -- Keywords: Normans Kill at Albany, NY on Feb 12, 1981 [20040701120512]</t>
  </si>
  <si>
    <t xml:space="preserve">An ice jam was reported on the Hoosic River near Eagle Bridge, NY on Feb 12, 1981 resulting in the maximum annual gage height of 13.35 ft and discharge of 3,500 cfs.  -- Keywords: Hoosic River at Eagle Bridge, NY on Feb 12, 1981 [20040630163629]</t>
  </si>
  <si>
    <t xml:space="preserve">1981-02-11</t>
  </si>
  <si>
    <t xml:space="preserve">Dunham Basin</t>
  </si>
  <si>
    <t xml:space="preserve">Bond Creek</t>
  </si>
  <si>
    <t xml:space="preserve">The maximum annual gage height of 6.88 ft occurred on the Bond Creek at Dunham Basin, NY on Feb 11, 1981, caused by an ice jam.  The associated discharge was 733 cfs.   -- Keywords: Bond Creek at Dunham Basin, NY on Feb 11, 1981 [20040630160301]</t>
  </si>
  <si>
    <t xml:space="preserve">Kast Bridge</t>
  </si>
  <si>
    <t xml:space="preserve">An ice jam was reported on West Canada Creek at Kast Bridge, NY on February 11, 1981 resulting in the maximum annual gage height of 6.35 ft and discharge of 1,200 cfs.  -- Keywords: West Canada Creek at Kast Bridge, NY on Feb 11, 1981 [20040630164207]</t>
  </si>
  <si>
    <t xml:space="preserve">The maximum annual gage height of 6.13 ft and maximum annual discharge of about 1,800 cfs  occurred on Tremper Kill near Andes, NY on February 11, 1981 as a result of backwater from ice jam.   -- Keywords: Tremper Kill at Andes, NY on Feb 11, 1981 [20040701130850]</t>
  </si>
  <si>
    <t xml:space="preserve">An ice jam occurred on Schoharie Creek at Prattsville, NY on February 11, 1981.  Gage height recorded 10.76 ft, and discharge 5,000 cfs.  -- Keywords: Schoharie Creek at Prattsville, NY on Feb 11, 1981 [20040701105605]</t>
  </si>
  <si>
    <t xml:space="preserve">An ice jam occurred on Platter Kill at Gilboa, NY on February 11, 1981, resulting in the maximum gage height, 4.59 ft and maximum discharge, 410 cfs, for the year as well as for the period of record; 1975-1981.  -- Keywords: Platter Kill at Gilboa, NY on Feb 11, 1981 [20040701114526]</t>
  </si>
  <si>
    <t xml:space="preserve">North Blenheim</t>
  </si>
  <si>
    <t xml:space="preserve">Mine Kill</t>
  </si>
  <si>
    <t xml:space="preserve">An ice jam occurred on Mine Kill near North Blenheim, NY on February 11, 1981, resulting in a gage height of 3.47 ft and discharge of 300 cfs.   -- Keywords: Mine Kill at North Blenheim, NY on Feb 11, 1981 [20040701115932]</t>
  </si>
  <si>
    <t xml:space="preserve">An ice jam was reported on the Little Hoosic River at Petersburg, NY on Feb 11, 1981 resulting in the maximum annual gage height of 6.65 ft and discharge of 290 cfs.  -- Keywords: Little Hoosic River at Petersburg, NY on Feb 11, 1981 [20040630162632]</t>
  </si>
  <si>
    <t xml:space="preserve">Shandaken</t>
  </si>
  <si>
    <t xml:space="preserve">Esopus Creek</t>
  </si>
  <si>
    <t xml:space="preserve">An ice jam occurred on Esopus Creek at Shandaken, NY on February 11, 1981, resulting in a gage height of 7.78 and discharge of 450 cfs.  Another ice jam occurred February 2, resulting in a gage height of 7.82 ft. and discharge of 120 cfs.  -- Keywords: Esopus Creek at Shandaken, NY on Feb 11, 1981 [20040701124352]</t>
  </si>
  <si>
    <t xml:space="preserve">The maximum annual gage height of 4.88 ft occurred on English Brook at Lake George, NY on 11 February 1981, caused by and ice jam.  The average daily discharge was unknown.   -- Keywords: English Brook at Lake George, NY on Feb 11, 1981 [20040702134121]</t>
  </si>
  <si>
    <t xml:space="preserve">1981-02-02</t>
  </si>
  <si>
    <t xml:space="preserve">An ice jam occurred on Esopus Creek at Shandaken, NY on February 2, 1981, resulting in a gage height of 7.82 ft. and discharge of 120 cfs.  Another ice jam occurred February 11, with a gage height of 7.78 and discharge of 450 cfs.  -- Keywords: Esopus Creek at Shandaken, NY on Feb 02, 1981 [20040701122529]</t>
  </si>
  <si>
    <t xml:space="preserve">A gage height of 11.07 ft and a discharge of 2,800 cfs occurred on West Branch Delaware River at Walton NY, on February 2, 1981 as a result of an ice jam.   -- Keywords: West Branch Delaware River at Walton, NY on Feb 02, 1981 [20040701131617]</t>
  </si>
  <si>
    <t xml:space="preserve">An ice jam occurred on Wallkill River at Gardiner, NY on February 2, 1981, resulting in a gage height of 8.25 ft and discharge of 500 cfs.  Another ice jam occurred February 12, resulting in the maximum annual gage height of 12.66 ft. and discharge of 5,000 cfs (not annual maximum).  -- Keywords: Wallkill River at Gardiner, NY on Feb 02, 1981 [20040701125114]</t>
  </si>
  <si>
    <t xml:space="preserve">An ice jam occurred on Platter Kill at Gilboa, NY on February 2, 1981, resulting in a gage height of 3.54 ft and discharge of 25 cfs.  -- Keywords: Platter Kill at Gilboa, NY on Feb 02, 1981 [20040701114951]</t>
  </si>
  <si>
    <t xml:space="preserve">An ice jam occurred on Mine Kill near North Blenheim, NY on February 2, 1981, resulting in a maximum gage height of 3.60 ft and maximum discharge of 738 cfs for the year as well as for the period of record; 1974-1981.   -- Keywords: Mine Kill at North Blenheim, NY on Feb 02, 1981 [20040701115625]</t>
  </si>
  <si>
    <t xml:space="preserve">An ice jam was reported on the Little Hoosic River at Petersburg, NY on Feb 2, 1981.  The gage height was 6.24 ft and discharge 64 cfs.  -- Keywords: Little Hoosic River at Petersburg, NY on Feb 02, 1981 [20040630162219]</t>
  </si>
  <si>
    <t xml:space="preserve">An ice jam was reported on the Hoosic River near Eagle Bridge, NY on Feb 2, 1981 resulting in the a gage height of 9.19 ft and discharge of 800 cfs.  -- Keywords: Hoosic River at Eagle Bridge, NY on Feb 02, 1981 [20040630163224]</t>
  </si>
  <si>
    <t xml:space="preserve">1980-11-18</t>
  </si>
  <si>
    <t xml:space="preserve">USGS Water Resources Data for New York WY 2003 reported an annual minimum average daily discharge of 0.32cfs on 18-NOV-1980 due to freezeup at USGS gaging station 013501200 Platter Kill at Gilboa, NY. The gage height was not reported.</t>
  </si>
  <si>
    <t xml:space="preserve">USGS Water Resources Data for New York WY 2003 reported an annual minimum average daily discharge of 0.32cfs on 18-NOV-1980 due to freezeup at USGS gaging station 01350120 Platter Kill at Gilboa, NY. The gage height was not reported.</t>
  </si>
  <si>
    <t xml:space="preserve">1979-03-07</t>
  </si>
  <si>
    <t xml:space="preserve">West Milton</t>
  </si>
  <si>
    <t xml:space="preserve">The USGS reported an ice jam on the Kayaderosseras Creek near West Milton, NY on March 7, 1979. The water discharge was 1400 cubic feet per second. The gage height was 6.18 ft.   -- Keywords: Kayaderosseras Creek at West Milton, NY on Mar 07, 1979 [20031211111330]</t>
  </si>
  <si>
    <t xml:space="preserve">1979-03-05</t>
  </si>
  <si>
    <t xml:space="preserve">The USGS reported an ice jam on the Schoharie Creek at Prattsville, NY on March 5, 1979. The water discharge was 8600 cfs and gage height was 19.57 ft.  Earlier in the month, on January 1, 1979 an ice jam was reported at the same location: the water discharge was 1300 cubic feet per second. The gage height was 8.75 ft.  Another jam was reported here on January 21, 1979. The water discharge was 860 cfs, gage height was 14.53 and then on January 25, water discharge was 2400 cfs, gage height 11.34.  The maximum annual gage height on March 5, 1979 also resulted in the maximum gage height for the period of record between 1902 - 1981.    -- Keywords: Schoharie Creek at Prattsville, NY on Mar 05, 1979 [20031203131000]</t>
  </si>
  <si>
    <t xml:space="preserve">The USGS reported an ice jam on the Otsquago Creek at Fort Plain, NY on March 5, 1979. The water discharge was 1000 cubic feet per second, gage height was 7.28 ft.   -- Keywords: Otsquago Creek at Fort Plain, NY on Mar 05, 1979 [20031125101703]</t>
  </si>
  <si>
    <t xml:space="preserve">New Berlin</t>
  </si>
  <si>
    <t xml:space="preserve">The USGS reported backwater from ice on the Mill Brook at New Berlin, NY on March 5, 1979. The water discharge was 190 cubic feet per second, gage height was 3.19 ft.     -- Keywords: Mill Brook at New Berlin, NY on Mar 05, 1979 [20031119113537]</t>
  </si>
  <si>
    <t xml:space="preserve">1979-03-02</t>
  </si>
  <si>
    <t xml:space="preserve">The USGS reported an ice jam on the Moordener Kill at Castleton-on-Hudson, NY on March 2, 1979. The water discharge was 596 cubic feet per second, gage height was 2.29 ft.   -- Keywords: Moordener Kill at Castleton-On-Hudson, NY on Mar 02, 1979 [20031125094831]</t>
  </si>
  <si>
    <t xml:space="preserve">1979-02-27</t>
  </si>
  <si>
    <t xml:space="preserve">The USGS reported an ice jam on the Wallkill River at Gardiner, NY on February 27, 1979. The water discharge was 2800 cubic feet per second, gage height was 17.79 ft.  The USGS also reported an ice jam on the Wallkill River at  Gardiner, NY on February 3, 1979 (discharge was 1200 cubic feet  per second) and on January 12, 16 and 22, 1979. The water  discharge was 1800 cubic feet per second on January 12, gage  height was 10.10 ft.; 860 cfs, gage height 9.24 ft. on January  16; and 3500 cfs, gage height 13.54 ft. on January 22.  -- Keywords: Wallkill River at Gardiner, NY on Feb 27, 1979 [20031119123135]</t>
  </si>
  <si>
    <t xml:space="preserve">1979-02-25</t>
  </si>
  <si>
    <t xml:space="preserve">The USGS reported an ice jam on the Moordener Kill at  Castleton-on-Hudson, NY on February 25, 1979. The water  discharge was 560 cubic feet per second, gage height was 2.92  ft.  Jams were also reported on January 8, 1979 with water  discharge of 76 cubic feet per second, gage height 2.47 ft and  January 25, 1979 with discharge of 600 cubic feet per second and  gage height of 3.33 ft. -- Keywords: Moordener Kill at Castleton-On-Hudson, NY on Feb 25, 1979 [20031125094759]</t>
  </si>
  <si>
    <t xml:space="preserve">1979-02-03</t>
  </si>
  <si>
    <t xml:space="preserve">The USGS reported an ice jam on the Wallkill River at Gardiner, NY on February 3, 1979. The water discharge was 1200 cubic feet per second.   Jams were also reported on the on the Wallkill River at  Gardiner, NY on January 12, 16 and 22, 1979. The water discharge  was 1800 cubic feet per second on January 12, gage height was  10.10 ft.; 860 cfs, gage height 9.24 ft. on January 16; and 3500 cfs, gage height 13.54 ft. on January 22.   The USGS also reported an ice jam on the Wallkill River at  Gardiner, NY on February 27, 1979. The water discharge was 2800  cubic feet per second, gage height was 17.79 ft. -- Keywords: Wallkill River at Gardiner, NY on Feb 03, 1979 [20031119123044]</t>
  </si>
  <si>
    <t xml:space="preserve">1979-01-25</t>
  </si>
  <si>
    <t xml:space="preserve">The USGS reported an ice jam on the Moordener Kill at  Castleton-on-Hudson, NY on January 25, 1979. The water discharge  was 600 cubic feet per second, gage height was 3.33 ft.  Jams were also reported on January 8, 1979 with water discharge  of 76 cubic feet per second, gage height 2.47 ft and February  25, 1979 with discharge of 560 cubic feet per second and gage  height of 2.92 ft. -- Keywords: Moordener Kill at Castleton-On-Hudson, NY on Jan 25, 1979 [20031125094724]</t>
  </si>
  <si>
    <t xml:space="preserve">1979-01-22</t>
  </si>
  <si>
    <t xml:space="preserve">The USGS reported backwater from ice on the East Branch Delaware River at Fishs Eddy, NY on January 22, 1979. The water discharge was 2800 cubic feet per second, gage height was 14.01 ft.   -- Keywords: East Branch Delaware River at Fishs Eddy, NY on Jan 22, 1979 [20031119115411]</t>
  </si>
  <si>
    <t xml:space="preserve">West Kill</t>
  </si>
  <si>
    <t xml:space="preserve">The USGS reported an ice jam on the West Kill at North Blenheim, NY on January 22, 1979. The water discharge was 200 cubic feet per second, gage height was 5.39 ft.    -- Keywords: West Kill at North Blenheim, NY on Jan 22, 1979 [20031125095254]</t>
  </si>
  <si>
    <t xml:space="preserve">The USGS reported an ice jam on the Hoosic River near Eagle Bridge, NY on January 22, 1979. The water discharge was 5000 cfs, gage height was 9.73.  Another jam was reported here earlier on January 11, 1979. The water discharge was 1600 cfs and gage height was 8.88 ft.   -- Keywords: Hoosic River at Eagle Bridge, NY on Jan 22, 1979 [20031203132902]</t>
  </si>
  <si>
    <t xml:space="preserve">1979-01-21</t>
  </si>
  <si>
    <t xml:space="preserve">The USGS reported an ice jam on the Schoharie Creek at Prattsville, NY on January 21, 1979. The water discharge was 860 cfs, gage height was 14.53 and then on January 25, water discharge was 2400 cfs, gage height 11.34. Earlier in the month, on January 1, 1979 an ice jam was reported at the same location: the water discharge was 1300 cubic feet per second. The gage height was 8.75 ft.  Another jam was reported here on March 5, 1979, water discharge was 8600 cfs and gage height was 19.57 ft.  -- Keywords: Schoharie Creek at Prattsville, NY on Jan 21, 1979 [20031203130528]</t>
  </si>
  <si>
    <t xml:space="preserve">The USGS reported an ice jam on the Tremper Kill near Andes, NY on January 21, 1979. The water discharge was 220 cubic feet per second.    -- Keywords: Tremper Kill at Andes, NY on Jan 21, 1979 [20031119122149]</t>
  </si>
  <si>
    <t xml:space="preserve">1979-01-12</t>
  </si>
  <si>
    <t xml:space="preserve">The USGS reported an ice jam on the Wallkill River at  Gardiner, NY on January 12,16 and 22, 1979. The water discharge  was 1800 cubic feet per second on January 12, gage height was  10.10 ft.; 860 cfs, gage height 9.24 ft. on January 16; and 3500  cfs, gage height 13.54 ft. on January 22.   The USGS also reported an ice jam on the Wallkill River at  Gardiner, NY on February 3, 1979 (discharge was 1200 cubic  feet per second) and on February 27, 1979. The water discharge  was 2800 cubic feet per second, gage height was 17.79 ft. -- Keywords: Wallkill River at Gardiner, NY on Jan 12, 1979 [20031119122943]</t>
  </si>
  <si>
    <t xml:space="preserve">1979-01-11</t>
  </si>
  <si>
    <t xml:space="preserve">The USGS reported an ice jam on the Hoosic River near Eagle Bridge, NY on January 11, 1979. The water discharge was 1600 cfs and gage height was 8.88 ft.  Another jam was reported here on January 22, 1979. The water discharge was 5000 cfs, gage height was 9.73.     -- Keywords: Hoosic River at Eagle Bridge, NY on Jan 11, 1979 [20031203132722]</t>
  </si>
  <si>
    <t xml:space="preserve">1979-01-09</t>
  </si>
  <si>
    <t xml:space="preserve">The USGS reported ice jam on the Delaware River at Callicoon, NY on January 9, 1979. The water discharge was 4500 cubic feet per second, gage height was 14.83 ft.  -- Keywords: Delaware River at Callicoon, NY on Jan 09, 1979 [20031119114406]</t>
  </si>
  <si>
    <t xml:space="preserve">1979-01-08</t>
  </si>
  <si>
    <t xml:space="preserve">The USGS reported an ice jam on the Moordener Kill at  Castleton-on-Hudson, NY on January 8, 1979. The water discharge  was 76 cubic feet per second, gage height was 2.47 ft.  Jams were also reported on January 29 and February 25, 1979,  when the water discharge was 560 cubic feet per second and gage  height was 2.92 ft. -- Keywords: Moordener Kill at Castleton-On-Hudson, NY on Jan 08, 1979 [20031125094416]</t>
  </si>
  <si>
    <t xml:space="preserve">1979-01-06</t>
  </si>
  <si>
    <t xml:space="preserve">The USGS reported an ice jam on the Platter Kill at Gilboa, NY on January 6, 1979. The water discharge was 133 cubic feet per second, the gage height was 3.98 ft. The same ice jam was referenced on the following dates: on January 13, the gage height was 3.48, the water discharge was 22 cfs. On January 21, the gage height was 3.59, the water discharge was 50 cfs, and on February 5, the gage height was 3.02 and the water discharge was 13 cfs.  -- Keywords: Platter Kill at Gilboa, NY on Jan 06, 1979 [20031125133420]</t>
  </si>
  <si>
    <t xml:space="preserve">1979-01-02</t>
  </si>
  <si>
    <t xml:space="preserve">Grahamsville</t>
  </si>
  <si>
    <t xml:space="preserve">Chestnut Creek</t>
  </si>
  <si>
    <t xml:space="preserve">The USGS reported an ice jam on the Chestnut Creek at Grahamsville, NY on January 2, 1979. The water discharge was 417 cubic feet per second, gage height was 2.34 ft.   -- Keywords: Chestnut Creek at Grahamsville, NY on Jan 02, 1979 [20031125092403]</t>
  </si>
  <si>
    <t xml:space="preserve">1979-01-01</t>
  </si>
  <si>
    <t xml:space="preserve">The USGS reported an ice jam on the Schoharie Creek at Prattsville, NY on January 1, 1979. The water discharge was 1300 cubic feet per second. The gage height was 8.75 ft.  Another jam was reported later in the month on January 21, 1979: water discharge was 860 cfs, gage height was 14.53 and then on January 25, water discharge was 2400 cfs, gage height 11.34. Also reported was a jam on March 5, 1979, water discharge was 8600 cfs and gage height was 19.57 ft.  -- Keywords: Schoharie Creek at Prattsville, NY on Jan 01, 1979 [20031203125727]</t>
  </si>
  <si>
    <t xml:space="preserve">The USGS reported an ice jam on the Otsquago Creek at Fort Plain, NY on January 1, 1979. The water discharge was 350 cubic feet per second, gage height was 5.37 ft.   -- Keywords: Otsquago Creek at Fort Plain, NY on Jan 01, 1979 [20031125101359]</t>
  </si>
  <si>
    <t xml:space="preserve">1978-03-16</t>
  </si>
  <si>
    <t xml:space="preserve">The USGS reported an ice jam on the Wallkill River at Gardiner, NY on March 16 and 21, 1978. The water discharge was 5000 cubic feet per second, gage height was 12.46 ft. on March 16, and 4500 cfs, gage height 12.43 ft. on March 21.   -- Keywords: Wallkill River at Gardiner, NY on Mar 16, 1978 [20031114134951]</t>
  </si>
  <si>
    <t xml:space="preserve">1978-03-14</t>
  </si>
  <si>
    <t xml:space="preserve">The USGS reported an ice jam on the Mill Brook near Dunraven, NY on March 14, 1978. The water discharge was 45 cubic feet per second, gage height was 5.18 ft.   -- Keywords: Mill Brook at Dunraven, NY on Mar 14, 1978 [20031114134219]</t>
  </si>
  <si>
    <t xml:space="preserve">1978-02-22</t>
  </si>
  <si>
    <t xml:space="preserve">The USGS reported an ice jam on the Platter Kill at Gilboa, NY on February 22, 1978. The water discharge was 16 cubic feet per second, gage height was 4.33 ft.   -- Keywords: Platter Kill at Gilboa, NY on Feb 22, 1978 [20031117092302]</t>
  </si>
  <si>
    <t xml:space="preserve">1978-02-10</t>
  </si>
  <si>
    <t xml:space="preserve">The USGS reported an ice jam on the Mill Brook near Dunraven, NY on February 10, 1978. The water discharge was 30 cubic feet per second, gage height was 4.76 ft.   -- Keywords: Mill Brook at Dunraven, NY on Feb 10, 1978 [20031114134122]</t>
  </si>
  <si>
    <t xml:space="preserve">The USGS reported an ice jam on the West Kill at North Blenheim, NY on February 10, 1978. The water discharge was 64 cubic feet per second, gage height was 5.78 ft.   -- Keywords: West Kill at North Blenheim, NY on Feb 10, 1978 [20031117091123]</t>
  </si>
  <si>
    <t xml:space="preserve">1978-01-26</t>
  </si>
  <si>
    <t xml:space="preserve">Callicoon Creek</t>
  </si>
  <si>
    <t xml:space="preserve">The USGS reported an ice jam on the Callicoon Creek at Callicoon, NY on January 26, 1978. The water discharge was 1500 cubic feet per second, gage height was 5.88 ft.   -- Keywords: Callicoon Creek at Callicoon, NY on Jan 26, 1978 [20031114133057]</t>
  </si>
  <si>
    <t xml:space="preserve">The USGS reported an ice jam on the Wallkill River at Gardiner, NY on January 26, 1978. The water discharge was 7000 cubic feet per second, gage height was 14.15 ft.   -- Keywords: Wallkill River at Gardiner, NY on Jan 26, 1978 [20031114134715]</t>
  </si>
  <si>
    <t xml:space="preserve">Reported by the Bioengineering Group, Inc.: The 1978 flood, the flood of record, has a recurrence interval of approximately 100 years. A 10' by 30' berm, approximately 2400' long was constructed in response to flooding which occurred in the winter of 1978, the last major flood event associated with ice jamming.  As reported by the NOAA: January, 1978: Severe ice jam in Prattsville effectively blocked the streamflow from the full reservoir. Widespread flooding in the region. An entire herd of dairy cattle drowned in their barn. No other information found.  -- Keywords: Schoharie Creek at Prattsville, NY on Jan ?, 1978 [20030508084552]</t>
  </si>
  <si>
    <t xml:space="preserve">The USGS reported an ice jam on the Platter Kill at Gilboa, NY on January 26, 1978. The water discharge was 100 cubic feet per second, gage height was 2.82 ft.     -- Keywords: Platter Kill at Gilboa, NY on Jan 26, 1978 [20031117091656]</t>
  </si>
  <si>
    <t xml:space="preserve">The USGS reported an ice jam on the Moordener Kill at Castleton-on-Hudson, NY on January 26, 1978. The water discharge was 480 cubic feet per second, gage height was 3.31 ft.   -- Keywords: Moordener Kill at Castleton-On-Hudson, NY on Jan 26, 1978 [20031117090556]</t>
  </si>
  <si>
    <t xml:space="preserve">The USGS reported an ice jam on the Mill Brook near Dunraven, NY on January 26, 1978. The water discharge was 450 cubic feet per second, gage height was 4.69 ft.   -- Keywords: Mill Brook at Dunraven, NY on Jan 26, 1978 [20031114133918]</t>
  </si>
  <si>
    <t xml:space="preserve">1978-01-11</t>
  </si>
  <si>
    <t xml:space="preserve">Fort Edward</t>
  </si>
  <si>
    <t xml:space="preserve">The USGS reported an ice jam on the Hudson River at Fort Edward, NY on January 11, 1978. The water discharge was 17,000 cubic feet per second, gage height was 28.71 ft.   -- Keywords: Hudson River at Fort Edward, NY on Jan 11, 1978 [20031117094452]</t>
  </si>
  <si>
    <t xml:space="preserve">1978-01-09</t>
  </si>
  <si>
    <t xml:space="preserve">The USGS reported an ice jam on the Callicoon Creek at Callicoon, NY on January 9, 1978. The water discharge was 4500 cubic feet per second, gage height was 8.39 ft.   -- Keywords: Callicoon Creek at Callicoon, NY on Jan 09, 1978 [20031114133009]</t>
  </si>
  <si>
    <t xml:space="preserve">The USGS reported an ice jam on the Hoosic River at Eagle Bridge, NY on January 9, 1978. The water discharge was 6000 cubic feet per second, gage height was 11.84 ft.   -- Keywords: Hoosic River at Eagle Bridge, NY on Jan 09, 1978 [20031117094015]</t>
  </si>
  <si>
    <t xml:space="preserve">1977-12-10</t>
  </si>
  <si>
    <t xml:space="preserve">The USGS reported an ice jam on the Schoharie Creek at Prattsville, NY on December 10 and 14, 1977. The water discharge was 720 cubic feet per second, gage height was 7.24  ft. on December 10; and 1500 cfs, gage height 9.54 ft. on  December 14.   -- Keywords: Schoharie Creek at Prattsville, NY on Dec 10, 1977 [20031117093540]</t>
  </si>
  <si>
    <t xml:space="preserve">1976-01-27</t>
  </si>
  <si>
    <t xml:space="preserve">The USGS reported an ice jam on the Moordener Kill at Castleton-on-Hudson, NY on January 27, 1976, gage height was 4.02 ft.    -- Keywords: Moordener Kill at Castleton-On-Hudson, NY on Jan 27, 1976 [20031117090332]</t>
  </si>
  <si>
    <t xml:space="preserve">1976-01-26</t>
  </si>
  <si>
    <t xml:space="preserve">An ice jam on Tremper Kill near Andes, NY resulted in the maximum gage height of 7.92 ft on January 26, 1976 for the period of record Feb 1937-Sep 1994.    -- Keywords: Tremper Kill at Andes, NY on Jan 26, 1976 [20040826145130]</t>
  </si>
  <si>
    <t xml:space="preserve">USGS Water Resources Data for New York WY 2003 reported an annual maximum average daily discharge of 143,000cfs on 6 March 1964 due to a release from an ice jam at USGS gaging station 01357500 Mohawk River at Cohoes, NY. The gage height was 23.15ft.</t>
  </si>
  <si>
    <t xml:space="preserve">An ice jam release on Mohawk River at Cohoes, NY on March 6, 1964 resulted in the maximum gage height of 23.15 ft. and the maximum discharge of 143,000 cfs for the period of record Dec 1917-Sep 2000.  -- Keywords: Mohawk River at Cohoes, NY on Mar 06, 1964 [20040827132949]</t>
  </si>
  <si>
    <t xml:space="preserve">1964-03-05</t>
  </si>
  <si>
    <t xml:space="preserve">The maximum gage height of 8.66 ft for the period of record 1943-1981 occurred on the Bond Creek at Dunham Basin, NY on March 5, 1964, caused by backwater from ice.     -- Keywords: Bond Creek at Dunham Basin, NY on Mar 05, 1964 [20040630161040]</t>
  </si>
  <si>
    <t xml:space="preserve">1964-01-26</t>
  </si>
  <si>
    <t xml:space="preserve">On 26 January 1964, USGS reported the maximum annual gage height of 13.93 ft on Wallkill River at Gardiner, NY, caused by an ice jam.  The maximum annual discharge also occurred the between 26-27 Jan, but actual value was not determined.  Daily average discharge recorded for 26 Jan was 7,000 cfs.  -- Keywords: Wallkill River at Gardiner, NY on Jan 26, 1964 [20040622165309]</t>
  </si>
  <si>
    <t xml:space="preserve">1964-01-25</t>
  </si>
  <si>
    <t xml:space="preserve">Craigie Clair</t>
  </si>
  <si>
    <t xml:space="preserve">Beaver Kill</t>
  </si>
  <si>
    <t xml:space="preserve">The maximum annual gage height of 7.71 ft on Beaver Kill at Craigie Clair, NY occurred on 25 Jan 1964 and was caused by an ice jam.  The associated discharge was 1,400 cfs.  -- Keywords: Beaver Kill at Craigie Clair, NY on Jan 25, 1964 [20040628120459]</t>
  </si>
  <si>
    <t xml:space="preserve">Pine Bush</t>
  </si>
  <si>
    <t xml:space="preserve">Shawangunk Kill</t>
  </si>
  <si>
    <t xml:space="preserve">On 25 January 1964, USGS reported the maximum annual gage height of 8.04 ft on Shawangunk Kill at Pine Bush, NY, due to an ice jam.  The maximum annual discharge of 2,660 cfs also occurred the same day.  -- Keywords: Shawangunk Kill at Pine Bush, NY on Jan 25, 1964 [20040622164452]</t>
  </si>
  <si>
    <t xml:space="preserve">On 25 January 1964, the maximum annual gage height of 10.25 ft was recorded on Schoharie Creek at Prattsville, NY, caused by an ice jam.  Discharge for the day was 4,100 cfs.  -- Keywords: Schoharie Creek at Prattsville, NY on Jan 25, 1964 [20040622160618]</t>
  </si>
  <si>
    <t xml:space="preserve">Poesten Kill</t>
  </si>
  <si>
    <t xml:space="preserve">USGS reported "maximum (annual) gage height, about 5.2 ft (probably Jan. 25) from floodmarks (ice jam)" on Poesten Kill near Troy, NY.  Discharge for Jan 25, 1964 was 650 cfs.  -- Keywords: Poesten Kill at Troy, NY on Jan 25, 1964 [20040622161424]</t>
  </si>
  <si>
    <t xml:space="preserve">Harvard</t>
  </si>
  <si>
    <t xml:space="preserve">The maximum annual gage height of 7.63 ft on the East Branch Delaware River in Harvard, NY occurred on 25 Jan 1964 and was caused by an ice jam.  The associated discharge was 1,000 cfs.  -- Keywords: East Branch Delaware River at Harvard, NY on Jan 25, 1964 [20040628115844]</t>
  </si>
  <si>
    <t xml:space="preserve">The maximum annual gage height for 1964 of 6.42 ft on Callicoon Creek at Callicoon, NY occurred on 13 Jan 1964 and was caused by an ice jam. The associated discharge was 1,700 cfs.  -- Keywords: Callicoon Creek at Callicoon, NY on Jan 25, 1964 [20040628122058]</t>
  </si>
  <si>
    <t xml:space="preserve">1964-01-22</t>
  </si>
  <si>
    <t xml:space="preserve">The maximum annual gage height of 5.61 ft on Fishkill Creek in Hopewill Junction, NY occurred on 22 Jan 1964 and was caused by an ice jam.  The associated discharge was 300 cfs.   -- Keywords: Fishkill Creek at Hopewell Junction, NY on Jan 22, 1964 [20040628114135]</t>
  </si>
  <si>
    <t xml:space="preserve">Livingston Manor</t>
  </si>
  <si>
    <t xml:space="preserve">Willowemoc Creek</t>
  </si>
  <si>
    <t xml:space="preserve">The maximum annual gage height of 4.37 ft on Willowemoc Creek near Livingston Manor, NY occurred on 13 Jan 1964 and was caused by an ice jam.  The associated discharge was 120 cfs.  -- Keywords: Willowemoc Creek at Livingston Manor, NY on Jan 13, 1964 [20040628121223]</t>
  </si>
  <si>
    <t xml:space="preserve">1963-03-27</t>
  </si>
  <si>
    <t xml:space="preserve">The maximum annual gage height observed on Schoharie Creek at Burtonsville, NY was 5.82 ft., on 27 March 1963, caused by an ice jam.  The associated discharge of approx. 16,500 cfs was also an annual maximum.  -- Keywords: Schoharie Creek at Burtonsville, NY on Mar 27, 1963 [20040618170745]</t>
  </si>
  <si>
    <t xml:space="preserve">The maximum annual gage height observed on Otsquago Creek at Fort Plain, NY was 5.17 ft., on 27 March 1963, caused by an ice jam.  The associated discharge of 2,390 cfs was also an annual maximum.    -- Keywords: Otsquago Creek at Fort Plain, NY on Mar 27, 1963 [20040618165312]</t>
  </si>
  <si>
    <t xml:space="preserve">1963-03-18</t>
  </si>
  <si>
    <t xml:space="preserve">The maximum annual gage height observed on Wallkill River at Gardiner, NY was 14.32 ft., on 18 March 1963, caused by an ice jam.  The associated discharge was 6,000 cfs.  -- Keywords: Wallkill River at Gardiner, NY on Mar 18, 1963 [20040618174315]</t>
  </si>
  <si>
    <t xml:space="preserve">The maximum annual gage height observed on Shawangunk Kill at Pine Bush, NY was 8.58 ft., on 18 March 1963, caused by an ice jam.  The associated discharge was 1,500 cfs.  -- Keywords: Shawangunk Kill at Pine Bush, NY on Mar 18, 1963 [20040618173414]</t>
  </si>
  <si>
    <t xml:space="preserve">1962-03-13</t>
  </si>
  <si>
    <t xml:space="preserve">On the Wallkill River in Gardiner, NY, the maximum annual gage height of 17.38 ft was recorded on 13 Mar 1962, due to an ice jam.  The discharge was 6,400 cfs.  -- Keywords: Wallkill River at Gardiner, NY on Mar 13, 1962 [20040610150651]</t>
  </si>
  <si>
    <t xml:space="preserve">On the Rondout Creek at Rosendale, NY the maximum annual gage height of 13.7 ft was recorded on 13 Mar 1962, due to an ice jam.  Discharge was 3,200 cfs.   -- Keywords: Rondout Creek at Rosendale, NY on Mar 13, 1962 [20040610132631]</t>
  </si>
  <si>
    <t xml:space="preserve">Woodbourne</t>
  </si>
  <si>
    <t xml:space="preserve">On the Neversink River in Woodbourne, NY the maximum annual gage height of 3.27 ft was recorded on Mar 13, 1962, due to an ice jam.  Discharge was 100 cfs.   -- Keywords: Neversink River at Woodbourne, NY on Mar 13, 1962 [20040610155811]</t>
  </si>
  <si>
    <t xml:space="preserve">1961-02-26</t>
  </si>
  <si>
    <t xml:space="preserve">maximum annual gage height of 18.49 feet, affected by backwater from ice, reported at USGS gage Wallkill River at Gardiner, on February 26, 1916. Additional ice-affected gage height of 12.44 feet, reported on February 28, 1961. Discharge 11,000 cfs. NWSFO/NERFC flood stage 15 ft   -- Keywords: Wallkill River at Gardiner, NY on Feb 26, 1961 [4479]</t>
  </si>
  <si>
    <t xml:space="preserve">1961-02-25</t>
  </si>
  <si>
    <t xml:space="preserve">maximum annual gage height of 9.5 feet, affected by backwater from ice, reported at USGS gage Batten Kill at Battenville, on February 25, 1961. NWSFO/NERFC flood stage 11 ft -- Keywords: Batten Kill at Battenville, NY on Feb 25, 1961 [3632]</t>
  </si>
  <si>
    <t xml:space="preserve">maximum annual gage height of 7.16 feet, affected by backwater from ice, reported at USGS gage West Canada Creek at Kast Bridge, on February 25, 1961. Approximate discharge 8,000 cfs. -- Keywords: West Canada Creek at Kast Bridge, NY on Feb 25, 1961 [3668]</t>
  </si>
  <si>
    <t xml:space="preserve">maximum annual gage height of 9.49 feet, affected by backwater from ice, reported at USGS gage Shawangunk Kill at Pine Bush, on February 25, 1961. Additional ice-affected gage height of 7.32 feet, reported on February 26, 1961. Discharge 3,400 cfs. -- Keywords: Shawangunk Kill at Pine Bush, NY on Feb 25, 1961 [3745]</t>
  </si>
  <si>
    <t xml:space="preserve">maximum annual gage height of 8.28 feet, affected by backwater from ice, reported at USGS gage Sacandaga River near Hope, on February 25, 1961. -- Keywords: Sacandaga River at Hope, NY on Feb 25, 1961 [3609]</t>
  </si>
  <si>
    <t xml:space="preserve">Rossman</t>
  </si>
  <si>
    <t xml:space="preserve">maximum annual gage height of 7.26 feet, affected by backwater from ice, reported at USGS gage Kinderhook Creek at Rossman, on February 25, 1961. -- Keywords: Kinderhook Creek at Rossman, NY on Feb 25, 1961 [3716]</t>
  </si>
  <si>
    <t xml:space="preserve">1961-02-19</t>
  </si>
  <si>
    <t xml:space="preserve">Platte Kill</t>
  </si>
  <si>
    <t xml:space="preserve">maximum annual gage height of 5.16 feet, affected by backwater from ice, reported at USGS gage Platte Kill at Dunraven, on February 19, 1961. -- Keywords: Platte Kill at Dunraven, NY on Feb 19, 1961 [3794]</t>
  </si>
  <si>
    <t xml:space="preserve">maximum annual gage height of 6.38 feet, affected by backwater from ice, reported at USGS gage Little Hoosic River at Petersburg, on February 19, 1961. -- Keywords: Little Hoosic River at Petersburg, NY on Feb 19, 1961 [3651]</t>
  </si>
  <si>
    <t xml:space="preserve">1960-03-31</t>
  </si>
  <si>
    <t xml:space="preserve">Arena</t>
  </si>
  <si>
    <t xml:space="preserve">gage height of 6.79 feet, affected by backwater from ice, reported at USGS gage Mill Brook at Arena, on March 31, 1960. Discharge 1,300 cfs. -- Keywords: Mill Brook at Arena, NY on Mar 31, 1960 [3800]</t>
  </si>
  <si>
    <t xml:space="preserve">1960-02-11</t>
  </si>
  <si>
    <t xml:space="preserve">gage height of 11.75 feet, affected by backwater from ice, reported at USGS gage Schoharie Creek at Prattsville, on February 11, 1960. Discharge 12,800 cfs. NWSFO/NERFC flood stage 10 ft -- Keywords: Schoharie Creek at Prattsville, NY on Feb 11, 1960 [3691]</t>
  </si>
  <si>
    <t xml:space="preserve">discharge of 3,080 cfs due to release from upstream ice jam, reported at USGS gage Otsquago Creek at Fort Plain, on February 11, 1960. Gage height of 5.57 feet. -- Keywords: Otsquago Creek at Fort Plain, NY on Feb 11, 1960 [3679]</t>
  </si>
  <si>
    <t xml:space="preserve">1960-01-03</t>
  </si>
  <si>
    <t xml:space="preserve">gage height of 5.58 feet, affected by backwater from ice, reported at USGS gage Schoharie Creek at Burtonsville, on January 3, 1960. Discharge 17,400 cfs. NWSFO/NERFC flood stage 6 ft -- Keywords: Schoharie Creek at Burtonsville, NY on Jan 03, 1960 [3700]</t>
  </si>
  <si>
    <t xml:space="preserve">1959-04-03</t>
  </si>
  <si>
    <t xml:space="preserve">Griffin</t>
  </si>
  <si>
    <t xml:space="preserve">East Branch Sacandaga River</t>
  </si>
  <si>
    <t xml:space="preserve">maximum annual gage height of 7.46 feet, affected by backwater from ice, reported at USGS gage East Branch Sacandaga River at Griffin, on April 3, 1959. Discharge 2,290 cfs. -- Keywords: East Branch Sacandaga River at Griffin, NY on Apr 03, 1959 [3596]</t>
  </si>
  <si>
    <t xml:space="preserve">1959-03-20</t>
  </si>
  <si>
    <t xml:space="preserve">maximum annual gage height of 7.81 feet, affected by backwater from ice, reported at USGS gage Bond Creek at Dunham Basin, on March 20, 1959. -- Keywords: Bond Creek at Dunham Basin, NY on Mar 20, 1959 [3617]</t>
  </si>
  <si>
    <t xml:space="preserve">1959-03-06</t>
  </si>
  <si>
    <t xml:space="preserve">Ellenville</t>
  </si>
  <si>
    <t xml:space="preserve">Sandburg Creek</t>
  </si>
  <si>
    <t xml:space="preserve">maximum annual gage height of 5.75 feet, affected by backwater from ice, reported at USGS gage Sandburg Creek at Ellenville, on March 6, 1959. Discharge 3,120 cfs. -- Keywords: Sandburg Creek at Ellenville, NY on Mar 06, 1959 [3719]</t>
  </si>
  <si>
    <t xml:space="preserve">1959-03-01</t>
  </si>
  <si>
    <t xml:space="preserve">maximum annual gage height of 5.32 feet, affected by backwater from ice, reported at USGS gage Poesten Kill near Troy, on March 1, 1959. -- Keywords: Poesten Kill at Troy, NY on Mar 01, 1959 [3713]</t>
  </si>
  <si>
    <t xml:space="preserve">1959-02-10</t>
  </si>
  <si>
    <t xml:space="preserve">maximum annual gage height of 7.88 feet, affected by backwater from ice, reported at USGS gage Mill Brook at Arena, on February 10, 1959. -- Keywords: Mill Brook at Arena, NY on Feb 10, 1959 [3799]</t>
  </si>
  <si>
    <t xml:space="preserve">maximum annual gage height of 12.90 feet, affected by backwater from ice, reported at USGS gage Wallkill River at Gardiner, on February 10, 1959. Additional ice-affected gage height of 11.44 feet, reported on January 22, 1959. NWSFO/NERFC flood stage 15 ft  -- Keywords: Wallkill River at Gardiner, NY on Feb 10, 1959 [4478]</t>
  </si>
  <si>
    <t xml:space="preserve">1959-01-22</t>
  </si>
  <si>
    <t xml:space="preserve">maximum annual gage height of 7.34 feet, affected by backwater from ice, reported at USGS gage WIllowemoc Creek near Livingston, on January 22, 1959. -- Keywords: Willowemoc Creek at Livingston Manor, NY on Jan 22, 1959 [3821]</t>
  </si>
  <si>
    <t xml:space="preserve">Unadilla</t>
  </si>
  <si>
    <t xml:space="preserve">maximum annual gage height of 13.42 feet, affected by backwater from ice, reported at USGS gage Susquehanna River at Unadilla, on January 22, 1959. Discharge 17,000 cfs. -- Keywords: Susquehanna River at Unadilla, NY on Jan 22, 1959 [3941]</t>
  </si>
  <si>
    <t xml:space="preserve">gage height of 7.53 feet, affected by backwater from ice, reported at USGS gage Shawangunk Kill at Pine Bush, on January 22, 1959. Discharge 2,100 cfs. -- Keywords: Shawangunk Kill at Pine Bush, NY on Jan 22, 1959 [3744]</t>
  </si>
  <si>
    <t xml:space="preserve">maximum annual gage height of 8.18 feet, affected by backwater from ice, reported at USGS gage Sacandaga River near Hope, on January 22, 1959. -- Keywords: Sacandaga River at Hope, NY on Jan 22, 1959 [3608]</t>
  </si>
  <si>
    <t xml:space="preserve">maximum annual gage height of 13.22 feet, affected by backwater from ice, reported at USGS gage Rondout Creek at Rosendale, on January 22, 1959. Discharge 9,100 cfs. NWSFO/NERFC flood stage 18 ft -- Keywords: Rondout Creek at Rosendale, NY on Jan 22, 1959 [3727]</t>
  </si>
  <si>
    <t xml:space="preserve">Oneonta</t>
  </si>
  <si>
    <t xml:space="preserve">Otego Creek</t>
  </si>
  <si>
    <t xml:space="preserve">maximum annual gage height of 14.46 feet, affected by backwater from ice, reported at USGS gage Otego Creek near Oneonta, on January 22, 1959. Discharge 4,200 cfs.  -- Keywords: Otego Creek at Oneonta, NY on Jan 22, 1959 [2280]</t>
  </si>
  <si>
    <t xml:space="preserve">Salt Point</t>
  </si>
  <si>
    <t xml:space="preserve">Little Wappinger Creek</t>
  </si>
  <si>
    <t xml:space="preserve">maximum annual gage height of 6.00 feet, affected by backwater from ice, reported at USGS gage Little Wappinger Creek at Salt Point, on January 22, 1959.  -- Keywords: Little Wappinger Creek at Salt Point, NY on Jan 22, 1959 [4455]</t>
  </si>
  <si>
    <t xml:space="preserve">maximum annual gage height of 10.02 feet, affected by backwater from ice, reported at USGS gage Beaver Kill near Craigie Clair, on January 22, 1959. -- Keywords: Beaver Kill at Craigie Clair, NY on Jan 22, 1959 [3818]</t>
  </si>
  <si>
    <t xml:space="preserve">Turnwood</t>
  </si>
  <si>
    <t xml:space="preserve">maximum annual gage height of 6.97 feet, affected by backwater from ice, reported at USGS gage Beaver Kill near Turnwood, on January 22, 1959. -- Keywords: Beaver Kill at Turnwood, NY on Jan 22, 1959 [3815]</t>
  </si>
  <si>
    <t xml:space="preserve">maximum annual gage height of 15.60 feet, affected by backwater from ice, reported at USGS gage Batten Kill at Battenville, on January 22, 1959. Discharge 8,640 cfs. NWSFO/NERFC flood stage 11 ft -- Keywords: Batten Kill at Battenville, NY on Jan 22, 1959 [3631]</t>
  </si>
  <si>
    <t xml:space="preserve">1959-01-21</t>
  </si>
  <si>
    <t xml:space="preserve">East Sidney</t>
  </si>
  <si>
    <t xml:space="preserve">Ouleout Creek</t>
  </si>
  <si>
    <t xml:space="preserve">maximum annual gage height of 4.12 feet, affected by backwater from ice, reported at USGS gage Ouleout Creek at East Sidney, on January 21, 1959. -- Keywords: Ouleout Creek at East Sidney, NY on Jan 21, 1959 [3939]</t>
  </si>
  <si>
    <t xml:space="preserve">Little Beaver Kill</t>
  </si>
  <si>
    <t xml:space="preserve">maximum annual gage height of 5.15 feet, affected by backwater from ice, reported at USGS gage Little Beaver Kill near Livingston, on January 21, 1959. -- Keywords: Little Beaver Kill at Livingston Manor, NY on Jan 21, 1959 [3823]</t>
  </si>
  <si>
    <t xml:space="preserve">maximum annual gage height of 7.00 feet, affected by backwater from ice, reported at USGS gage Kinderhook Creek at Rossman, on January 21, 1959. -- Keywords: Kinderhook Creek at Rossman, NY on Jan 21, 1959 [3715]</t>
  </si>
  <si>
    <t xml:space="preserve">maximum annual gage height of 13.90 feet, affected by backwater from ice, reported at USGS gage Hoosic River near Eagle Bridge, on January 21, 1959. NWSFO/NERFC flood stage 11 ft -- Keywords: Hoosic River at Eagle Bridge, NY on Jan 21, 1959 [3657]</t>
  </si>
  <si>
    <t xml:space="preserve">1958-02-01</t>
  </si>
  <si>
    <t xml:space="preserve">maximum annual gage height of 6.99 feet, affected by backwater from ice, reported at USGS gage West Canada Creek at Kast Bridge, in February 1958. -- Keywords: West Canada Creek at Kast Bridge, NY on Feb ?, 1958 [3667]</t>
  </si>
  <si>
    <t xml:space="preserve">1958-01-28</t>
  </si>
  <si>
    <t xml:space="preserve">maximum annual gage height of 4.69 feet, affected by backwater from ice, reported at USGS gage Kayaderosseras Creek near West Milton, on January 28, 1958. -- Keywords: Kayaderosseras Creek at West Milton, NY on Jan 28, 1958 [3641]</t>
  </si>
  <si>
    <t xml:space="preserve">1958-01-26</t>
  </si>
  <si>
    <t xml:space="preserve">maximum annual gage height of 12.67 feet, affected by backwater from ice, reported at USGS gage Wallkill River at Gardiner, on January 26, 1958. Additional ice-affected gage height of 9.75 feet, reported on January 27, 1958. Discharge 7,000 cfs. NWSFO/NERFC flood stage 15 ft  -- Keywords: Wallkill River at Gardiner, NY on Jan 26, 1958 [4477]</t>
  </si>
  <si>
    <t xml:space="preserve">1957-12-21</t>
  </si>
  <si>
    <t xml:space="preserve">maximum annual gage height of 6.1 feet, affected by backwater from ice, reported at USGS gage Sandburg Creek at Ellenville, on December 21, 1957. Discharge 3,570 cfs. -- Keywords: Sandburg Creek at Ellenville, NY on Dec 21, 1957 [3718]</t>
  </si>
  <si>
    <t xml:space="preserve">1957-02-26</t>
  </si>
  <si>
    <t xml:space="preserve">maximum annual gage height of 5.90 feet, affected by backwater from ice, reported at USGS gage Otsquago Creek at Fort Plain, on February 26, 1957. -- Keywords: Otsquago Creek at Fort Plain, NY on Feb 26, 1957 [3678]</t>
  </si>
  <si>
    <t xml:space="preserve">1957-01-23</t>
  </si>
  <si>
    <t xml:space="preserve">maximum annual gage height of 4.75 feet, affected by backwater from ice, reported at USGS gage Willowemoc Creek near Livingston Manor, on January 23, 1957. -- Keywords: Willowemoc Creek at Livingston Manor, NY on Jan 23, 1957 [3820]</t>
  </si>
  <si>
    <t xml:space="preserve">maximum annual gage height of 10.46 feet, affected by backwater from ice, reported at USGS gage Wallkill River at Gardiner, on January 23, 1957. NWSFO/NERFC flood stage 15 ft  -- Keywords: Wallkill River at Gardiner, NY on Jan 23, 1957 [4476]</t>
  </si>
  <si>
    <t xml:space="preserve">Rockdale</t>
  </si>
  <si>
    <t xml:space="preserve">Unadilla River</t>
  </si>
  <si>
    <t xml:space="preserve">maximum annual gage height of 8.39 feet, affected by backwater from ice, reported at USGS gage Unadilla River at Rockdale, on January 23, 1957. Discharge "estimated" 6,000 cfs. -- Keywords: Unadilla River at Rockdale, NY on Jan 23, 1957 [3944]</t>
  </si>
  <si>
    <t xml:space="preserve">maximum annual gage height of 4.69 feet, affected by backwater from ice, reported at USGS gage Schoharie Creek at Burtonsville, on January 23, 1957. Discharge 11,600 cfs. NWSFO/NERFC flood stage 6 ft -- Keywords: Schoharie Creek at Burtonsville, NY on Jan 23, 1957 [3699]</t>
  </si>
  <si>
    <t xml:space="preserve">maximum annual gage height of 8.52 feet, affected by backwater from ice, reported at USGS gage Schoharie Creek at Prattsville, on January 23, 1957. NWSFO/NERFC flood stage 10 ft -- Keywords: Schoharie Creek at Prattsville, NY on Jan 23, 1957 [3690]</t>
  </si>
  <si>
    <t xml:space="preserve">maximum annual gage height of 8.15 feet, affected by backwater from ice, reported at USGS gage Sacandaga River near Hope, on January 23, 1957. -- Keywords: Sacandaga River at Hope, NY on Jan 23, 1957 [3607]</t>
  </si>
  <si>
    <t xml:space="preserve">Index</t>
  </si>
  <si>
    <t xml:space="preserve">Oaks Creek</t>
  </si>
  <si>
    <t xml:space="preserve">maximum annual gage height of 5.06 feet, affected by backwater from ice, reported at USGS gage Oaks Creek at Index, on January 23, 1957. Discharge 800 cfs. -- Keywords: Oaks Creek at Index, NY on Jan 23, 1957 [3938]</t>
  </si>
  <si>
    <t xml:space="preserve">maximum annual gage height of 15.34 feet, affected by backwater from ice, reported at USGS gage Mohawk River near Little Falls, on January 23, 1957. NWSFO/NERFC flood stage 15 ft -- Keywords: Mohawk River at Little Falls, NY on Jan 23, 1957 [3669]</t>
  </si>
  <si>
    <t xml:space="preserve">maximum annual gage height of 5.46 feet, affected by backwater from ice, reported at USGS gage Kayaderosseras Creek near West Milton, on January 23, 1957. -- Keywords: Kayaderosseras Creek at West Milton, NY on Jan 23, 1957 [3640]</t>
  </si>
  <si>
    <t xml:space="preserve">maximum annual gage height of 11.49 feet, affected by backwater from ice, reported at USGS gage Hoosic River near Eagle Bridge, on January 23, 1957. NWSFO/NERFC flood stage 11 ft -- Keywords: Hoosic River at Eagle Bridge, NY on Jan 23, 1957 [3656]</t>
  </si>
  <si>
    <t xml:space="preserve">maximum annual gage height of 7.70 feet, affected by backwater from ice, reported at USGS gage East Branch Sacandaga River at Griffin, on January 23, 1957. -- Keywords: East Branch Sacandaga River at Griffin, NY on Jan 23, 1957 [3595]</t>
  </si>
  <si>
    <t xml:space="preserve">Cooks Falls</t>
  </si>
  <si>
    <t xml:space="preserve">maximum annual gage height of 8.09 feet, affected by backwater from ice, reported at USGS gage Beaver Kill at Cooks Falls, on January 23, 1957. -- Keywords: Beaver Kill at Cooks Falls, NY on Jan 23, 1957 [3827]</t>
  </si>
  <si>
    <t xml:space="preserve">maximum annual gage height of 7.72 feet, affected by backwater from ice, reported at USGS gage Beaver Kill near Craigie Clair, on January 23, 1957. -- Keywords: Beaver Kill at Craigie Clair, NY on Jan 23, 1957 [3817]</t>
  </si>
  <si>
    <t xml:space="preserve">maximum annual gage height of 6.17 feet, affected by backwater from ice, reported at USGS gage Beaver Kill near Turnwood, on January 23, 1957. -- Keywords: Beaver Kill at Turnwood, NY on Jan 23, 1957 [3814]</t>
  </si>
  <si>
    <t xml:space="preserve">maximum annual gage height of 8.88 feet, affected by backwater from ice, reported at USGS gage Batten Kill at Battenville, on January 23, 1957. Additional ice-affected gage height of 7.39 feet, reported on January 23, 1957. Discharge "estimated" 3,000 cfs. NWSFO/NERFC flood stage 11 ft -- Keywords: Batten Kill at Battenville, NY on Jan 23, 1957 [3630]</t>
  </si>
  <si>
    <t xml:space="preserve">1957-01-22</t>
  </si>
  <si>
    <t xml:space="preserve">maximum annual gage height of 5.31 feet, affected by backwater from ice, reported at USGS gage Platte Kill at Dunraven, on January 22, 1957. -- Keywords: Platte Kill at Dunraven, NY on Jan 22, 1957 [3793]</t>
  </si>
  <si>
    <t xml:space="preserve">1956-04-04</t>
  </si>
  <si>
    <t xml:space="preserve">Rock Royal</t>
  </si>
  <si>
    <t xml:space="preserve">Trout Creek</t>
  </si>
  <si>
    <t xml:space="preserve">maximum annual gage height of 5.85 feet, affected by backwater from ice, reported at USGS gage Trout Creek near Rock Royal, on April 4, 1956. -- Keywords: Trout Creek at Rock Royal, NY on Apr 04, 1956 [3841]</t>
  </si>
  <si>
    <t xml:space="preserve">1956-01-10</t>
  </si>
  <si>
    <t xml:space="preserve">maximum annual gage height of 10.75 feet, affected by backwater from ice, reported at USGS gage Batten Kill at Battenville, on January 10, 1956. NWSFO/NERFC flood stage 11 ft -- Keywords: Batten Kill at Battenville, NY on Jan 10, 1956 [3629]</t>
  </si>
  <si>
    <t xml:space="preserve">1955-03-11</t>
  </si>
  <si>
    <t xml:space="preserve">Glowegee Creek</t>
  </si>
  <si>
    <t xml:space="preserve">gage height of 5.98 feet, affected by backwater from ice, reported at USGS gage Glowegee Creek at West Milton, on March 11, 1955. Discharge 575 cfs. -- Keywords: Glowegee Creek at West Milton, NY on Mar 11, 1955 [3634]</t>
  </si>
  <si>
    <t xml:space="preserve">1955-03-01</t>
  </si>
  <si>
    <t xml:space="preserve">maximum annual gage height of 13.32 feet, affected by backwater from ice, reported at USGS gage Sacandaga River near Hope, NY on March 1, 1955.  This remains the maximum gage height for the period of record Sep 1911-Sep 2000.  The 2000 report also specifies cause as 'ice jam'.  -- Keywords: Sacandaga River at Hope, NY on Mar 01, 1955 [3606]</t>
  </si>
  <si>
    <t xml:space="preserve">maximum annual gage height of 5.87 feet, affected by backwater from ice, reported at USGS gage Kayaderosseras Creek near West Milton, on March 1, 1955. -- Keywords: Kayaderosseras Creek at West Milton, NY on Mar 01, 1955 [3639]</t>
  </si>
  <si>
    <t xml:space="preserve">1955-02-23</t>
  </si>
  <si>
    <t xml:space="preserve">maximum annual gage height of 10.48 feet, affected by backwater from ice, reported at USGS gage Batten Kill at Battenville, on February 23, 1955. NWSFO/NERFC flood stage 11 ft -- Keywords: Batten Kill at Battenville, NY on Feb 23, 1955 [3628]</t>
  </si>
  <si>
    <t xml:space="preserve">discharge of 2,110 cfs due to release from upstream ice jam, reported at USGS gage Otsquago Creek at Fort Plain, on February 23, 1955. Gage height of 4.68 feet. Additional discharge of 2,600 cfs, due to release from upstream ice jam, reported on March 1, 1955. Gage height of 5.15 feet. -- Keywords: Otsquago Creek at Fort Plain, NY on Feb 23, 1955 [3677]</t>
  </si>
  <si>
    <t xml:space="preserve">1955-02-11</t>
  </si>
  <si>
    <t xml:space="preserve">Cannonsville</t>
  </si>
  <si>
    <t xml:space="preserve">maximum annual gage height of 7.01 feet, affected by backwater from ice, reported at USGS gage Trout Creek at Cannonsville, on February 11, 1955. -- Keywords: Trout Creek at Cannonsville, NY on Feb 11, 1955 [3844]</t>
  </si>
  <si>
    <t xml:space="preserve">1955-02-07</t>
  </si>
  <si>
    <t xml:space="preserve">maximum annual gage height of 13.19 feet, affected by backwater from ice, reported at USGS gage Hoosic River near Eagle Bridge, on February 7, 1955. NWSFO/NERFC flood stage 11 ft -- Keywords: Hoosic River at Eagle Bridge, NY on Feb 07, 1955 [3655]</t>
  </si>
  <si>
    <t xml:space="preserve">maximum annual gage height of 5.67 feet, affected by backwater from ice, reported at USGS gage Little Hoosic River at Petersburg, on February 7, 1955. -- Keywords: Little Hoosic River at Petersburg, NY on Feb 07, 1955 [3650]</t>
  </si>
  <si>
    <t xml:space="preserve">1954-02-18</t>
  </si>
  <si>
    <t xml:space="preserve">maximum annual gage height of 5.06 feet, affected by backwater from ice, reported at USGS gage Kayaderosseras Creek near West Milton, on February 18, 1954. -- Keywords: Kayaderosseras Creek at West Milton, NY on Feb 18, 1954 [3638]</t>
  </si>
  <si>
    <t xml:space="preserve">1954-02-17</t>
  </si>
  <si>
    <t xml:space="preserve">maximum annual gage height of 9.21 feet, affected by backwater from ice, reported at USGS gage Batten Kill at Battenville, on February 17, 1954. NWSFO/NERFC flood stage 11 ft -- Keywords: Batten Kill at Battenville, NY on Feb 17, 1954 [3627]</t>
  </si>
  <si>
    <t xml:space="preserve">maximum annual gage height of 8.04 feet, affected by backwater from ice, reported at USGS gage Sacandaga River near Hope, on February 17, 1954. -- Keywords: Sacandaga River at Hope, NY on Feb 17, 1954 [3605]</t>
  </si>
  <si>
    <t xml:space="preserve">maximum annual gage height of 5.33 feet, affected by backwater from ice, reported at USGS gage Oaks Creek at Index, on February 17, 1954. Discharge 1,100 cfs. -- Keywords: Oaks Creek at Index, NY on Feb 17, 1954 [3937]</t>
  </si>
  <si>
    <t xml:space="preserve">maximum annual gage height of 7.78 feet, affected by backwater from ice, reported at USGS gage Bond Creek at Dunham Basin, on February 17, 1954. -- Keywords: Bond Creek at Dunham Basin, NY on Feb 17, 1954 [3616]</t>
  </si>
  <si>
    <t xml:space="preserve">1954-01-27</t>
  </si>
  <si>
    <t xml:space="preserve">maximum annual gage height of 9.63 feet, affected by backwater from ice, reported at USGS gage Beaver Kill at Cooks Falls, on January 27, 1954. -- Keywords: Beaver Kill at Cooks Falls, NY on Jan 27, 1954 [3826]</t>
  </si>
  <si>
    <t xml:space="preserve">maximum annual gage height of 4.46 feet, affected by backwater from ice, reported at USGS gage Willowemoc Creek near Livingston Manor, on January 27, 1954. -- Keywords: Willowemoc Creek at Livingston Manor, NY on Jan 27, 1954 [3819]</t>
  </si>
  <si>
    <t xml:space="preserve">maximum annual gage height of 4.62 feet, affected by backwater from ice, reported at USGS gage Callicoon Creek at Callicoon, on January 27, 1954. -- Keywords: Callicoon Creek at Callicoon, NY on Jan 27, 1954 [3857]</t>
  </si>
  <si>
    <t xml:space="preserve">1952-01-27</t>
  </si>
  <si>
    <t xml:space="preserve">gage height of 4.48 feet, affected by backwater from ice, reported at USGS gage Schoharie Creek at Burtonsville, on January 27, 1952. Discharge 10,000 cfs. NWSFO/NERFC flood stage 6 ft -- Keywords: Schoharie Creek at Burtonsville, NY on Jan 27, 1952 [3698]</t>
  </si>
  <si>
    <t xml:space="preserve">1952-01-01</t>
  </si>
  <si>
    <t xml:space="preserve">Discharge of 2,910 cfs due to release from upstream ice jam, reported at USGS gage Otsquago Creek at Fort Plain, on January 1, 1952. Gage height of 5.53 feet.  Additional discharge of 2,210 cfs due to release from upstream ice jam, reported on March 12, 1952. Gage height of 5.00 feet. -- Keywords: Otsquago Creek at Fort Plain, NY on Jan 01, 1952 [3676]</t>
  </si>
  <si>
    <t xml:space="preserve">1951-12-26</t>
  </si>
  <si>
    <t xml:space="preserve">maximum annual gage height of 5.49 feet, affected by backwater from ice, reported at USGS gage Little Beaver Kill near Livingston Manor, on December 26, 1951. -- Keywords: Little Beaver Kill at Livingston Manor, NY on Dec 26, 1951 [3822]</t>
  </si>
  <si>
    <t xml:space="preserve">1951-12-22</t>
  </si>
  <si>
    <t xml:space="preserve">maximum annual gage height of 8.38 feet, affected by backwater from ice, reported at USGS gage Batten Kill at Battenville, on December 22, 1951. NWSFO/NERFC flood stage 11 ft -- Keywords: Batten Kill at Battenville, NY on Dec 22, 1951 [3626]</t>
  </si>
  <si>
    <t xml:space="preserve">1951-12-21</t>
  </si>
  <si>
    <t xml:space="preserve">maximum annual gage height of 14.92 feet, affected by backwater from ice, reported at USGS gage Schoharie Creek at Prattsville, on December 21, 1951. NWSFO/NERFC flood stage 10 ft -- Keywords: Schoharie Creek at Prattsville, NY on Dec 21, 1951 [3689]</t>
  </si>
  <si>
    <t xml:space="preserve">1951-02-07</t>
  </si>
  <si>
    <t xml:space="preserve">maximum annual gage height of 6.47 feet, affected by backwater from ice, reported at USGS gage Bond Creek at Dunham Basin, on February 7, 1951. -- Keywords: Bond Creek at Dunham Basin, NY on Feb 07, 1951 [3615]</t>
  </si>
  <si>
    <t xml:space="preserve">1951-02-01</t>
  </si>
  <si>
    <t xml:space="preserve">gage height of 12.28 feet, affected by backwater from ice, reported at USGS gage Schoharie Creek at Prattsville, on February 1, 1951. NWSFO/NERFC flood stage 10 ft -- Keywords: Schoharie Creek at Prattsville, NY on Feb 01, 1951 [3688]</t>
  </si>
  <si>
    <t xml:space="preserve">1951-01-05</t>
  </si>
  <si>
    <t xml:space="preserve">maximum annual gage height of 12.08 feet, affected by backwater from ice, reported at USGS gage Wallkill River at Gardiner, on January 5, 1951. NWSFO/NERFC flood stage 15 ft  -- Keywords: Wallkill River at Gardiner, NY on Jan 05, 1951 [4475]</t>
  </si>
  <si>
    <t xml:space="preserve">1951-01-04</t>
  </si>
  <si>
    <t xml:space="preserve">gage height of 4.64 feet, affected by backwater from ice, reported at USGS gage Schoharie Creek at Burtonsville, on January 4, 1951. Discharge 8,600 cfs. NWSFO/NERFC flood stage 6 ft -- Keywords: Schoharie Creek at Burtonsville, NY on Jan 04, 1951 [3697]</t>
  </si>
  <si>
    <t xml:space="preserve">1950-03-09</t>
  </si>
  <si>
    <t xml:space="preserve">maximum annual gage height of 6.20 feet, affected by backwater from ice, reported at USGS gage West Branch Delaware River at Delhi, on March 9, 1950. Discharge 2,800 cfs. -- Keywords: West Branch Delaware River at Delhi, NY on Mar 09, 1950 [3834]</t>
  </si>
  <si>
    <t xml:space="preserve">maximum annual gage height of 10.94 feet, affected by backwater from ice, reported at USGS gage Wallkill River at Gardiner, on March 9, 1950. NWSFO/NERFC flood stage 15 ft  -- Keywords: Wallkill River at Gardiner, NY on Mar 09, 1950 [4474]</t>
  </si>
  <si>
    <t xml:space="preserve">maximum annual gage height of 12.96 feet, affected by backwater from ice, reported at USGS gage East Branch Delaware River at Harvard, on March 9, 1950. -- Keywords: East Branch Delaware River at Harvard, NY on Mar 09, 1950 [3813]</t>
  </si>
  <si>
    <t xml:space="preserve">1950-03-08</t>
  </si>
  <si>
    <t xml:space="preserve">gage height of 4.91 feet, affected by backwater from ice, reported at USGS gage Poesten Kill near Troy, on March 8, 1950. -- Keywords: Poesten Kill at Troy, NY on Mar 08, 1950 [3712]</t>
  </si>
  <si>
    <t xml:space="preserve">gage height of 5.18 feet, affected by backwater from ice, reported at USGS gage Platte Kill at Dunraven, on March 8, 1950. Discharge 1,000 cfs. -- Keywords: Platte Kill at Dunraven, NY on Mar 08, 1950 [3792]</t>
  </si>
  <si>
    <t xml:space="preserve">maximum annual gage height of 6.21 feet, affected by backwater from ice, reported at USGS gage Mill Brook at Arena, on March 8, 1950. -- Keywords: Mill Brook at Arena, NY on Mar 08, 1950 [3798]</t>
  </si>
  <si>
    <t xml:space="preserve">1950-01-26</t>
  </si>
  <si>
    <t xml:space="preserve">gage height of 4.29 feet, affected by backwater from ice, reported at USGS gage Glowegee Creek at West Milton, on January 26, 1950. Discharge 401 cfs. -- Keywords: Glowegee Creek at West Milton, NY on Jan 26, 1950 [3633]</t>
  </si>
  <si>
    <t xml:space="preserve">1948-03-23</t>
  </si>
  <si>
    <t xml:space="preserve">maximum annual gage height of 11.98 feet, affected by backwater from ice, reported at USGS gage Hudson River at Hadley, on March 23, 1948. NWSFO/NERFC flood stage 14 ft -- Keywords: Hudson River at Hadley, NY on Mar 23, 1948 [3594]</t>
  </si>
  <si>
    <t xml:space="preserve">maximum annual gage height of 13.89 feet, affected by backwater from ice, reported at USGS gage Wallkill River at Gardiner, on March 17, 1948. NWSFO/NERFC flood stage 15 ft  -- Keywords: Wallkill River at Gardiner, NY on Mar 17, 1948 [4473]</t>
  </si>
  <si>
    <t xml:space="preserve">maximum annual gage height of 6.97 feet, affected by backwater from ice, reported at USGS gage Kinderhook Creek at Rossman, on March 17, 1948. -- Keywords: Kinderhook Creek at Rossman, NY on Mar 17, 1948 [3714]</t>
  </si>
  <si>
    <t xml:space="preserve">1948-03-16</t>
  </si>
  <si>
    <t xml:space="preserve">maximum annual gage height of 9.68 feet, affected by backwater from ice, reported at USGS gage Beaver Kill at Craigie Clair, on March 16, 1948. -- Keywords: Beaver Kill at Craigie Clair, NY on Mar 16, 1948 [3816]</t>
  </si>
  <si>
    <t xml:space="preserve">maximum annual gage height of 6.44 feet, affected by backwater from ice, reported at USGS gage Schoharie Creek at Burtonsville, on March 16, 1948. NWSFO/NERFC flood stage 6 ft -- Keywords: Schoharie Creek at Burtonsville, NY on Mar 16, 1948 [3696]</t>
  </si>
  <si>
    <t xml:space="preserve">maximum annual gage height of 13.42 feet, affected by backwater from ice, reported at USGS gage Rondout Creek at Rosendale, on March 16, 1948. NWSFO/NERFC flood stage 18 ft -- Keywords: Rondout Creek at Rosendale, NY on Mar 16, 1948 [3726]</t>
  </si>
  <si>
    <t xml:space="preserve">gage height of 5.32 feet, affected by backwater from ice, reported at USGS gage Platte Kill at Dunraven, on March 16, 1948. Discharge 1,060 cfs. -- Keywords: Platte Kill at Dunraven, NY on Mar 16, 1948 [3791]</t>
  </si>
  <si>
    <t xml:space="preserve">1948-02-20</t>
  </si>
  <si>
    <t xml:space="preserve">gage height of 12.12 feet, affected by backwater from ice, reported at USGS gage East Branch Delaware River at Harvard, on February 20, 1948. Discharge 11,900 cfs. -- Keywords: East Branch Delaware River at Harvard, NY on Feb 20, 1948 [3812]</t>
  </si>
  <si>
    <t xml:space="preserve">1948-02-14</t>
  </si>
  <si>
    <t xml:space="preserve">maximum annual gage height of 3.26 feet, affected by backwater from ice, reported at USGS gage Chestnut Creek at Grahamsville, on February 14, 1948. -- Keywords: Chestnut Creek at Grahamsville, NY on Feb 14, 1948 [3717]</t>
  </si>
  <si>
    <t xml:space="preserve">maximum annual gage height of 9.49 feet, affected by backwater from ice, reported at USGS gage Schoharie Creek at Prattsville, on February 14, 1948. NWSFO/NERFC flood stage 10 ft -- Keywords: Schoharie Creek at Prattsville, NY on Feb 14, 1948 [3687]</t>
  </si>
  <si>
    <t xml:space="preserve">Curry</t>
  </si>
  <si>
    <t xml:space="preserve">maximum annual gage height of 7.01 feet, affected by backwater from ice, reported at USGS gage Neversink River at Halls Mills, near Curry, on February 14, 1948. -- Keywords: Neversink River at Curry, NY on Feb 14, 1948 [3866]</t>
  </si>
  <si>
    <t xml:space="preserve">Pepacton</t>
  </si>
  <si>
    <t xml:space="preserve">Coles Clove Kill</t>
  </si>
  <si>
    <t xml:space="preserve">gage height of 6.00 feet, affected by backwater from ice, reported at USGS gage Coles Clove Kill near Pepacton, on February 14, 1948. -- Keywords: Coles Clove Kill at Pepacton, NY on Feb 14, 1948 [3805]</t>
  </si>
  <si>
    <t xml:space="preserve">1947-03-14</t>
  </si>
  <si>
    <t xml:space="preserve">maximum annual gage height of 11.08 feet, affected by backwater from ice, reported at USGS gage East Branch Delaware River at Harvard, on March 14, 1947. -- Keywords: East Branch Delaware River at Harvard, NY on Mar 14, 1947 [3811]</t>
  </si>
  <si>
    <t xml:space="preserve">gage height of 6.94 feet, affected by backwater from ice, reported at USGS gage Schoharie Creek at Prattsville, on March 14, 1947. Discharge 5,000 cfs. NWSFO/NERFC flood stage 10 ft -- Keywords: Schoharie Creek at Prattsville, NY on Mar 14, 1947 [3686]</t>
  </si>
  <si>
    <t xml:space="preserve">gage height of 5.09 feet, affected by backwater from ice, reported at USGS gage Platte Kill at Dunraven, on March 14, 1947. Discharge 900 cfs. -- Keywords: Platte Kill at Dunraven, NY on Mar 14, 1947 [3790]</t>
  </si>
  <si>
    <t xml:space="preserve">maximum annual gage height of 7.44 feet, affected by backwater from ice, reported at USGS gage Little Delaware River near Delhi, on March 14, 1947. -- Keywords: Little Delaware River at Delhi, NY on Mar 14, 1947 [3840]</t>
  </si>
  <si>
    <t xml:space="preserve">1947-01-20</t>
  </si>
  <si>
    <t xml:space="preserve">maximum annual gage height of 7.25 feet, affected by backwater from ice, reported at USGS gage Poesten Kill near Troy, on January 20, 1947. -- Keywords: Poesten Kill at Troy, NY on Jan 20, 1947 [3711]</t>
  </si>
  <si>
    <t xml:space="preserve">1947-01-19</t>
  </si>
  <si>
    <t xml:space="preserve">On January 19, 1947 the Unadilla River at Rockdale, New York was recorded at 5.2 feet due to an ice gorge above the gage. Flood stage is 11 feet.    -- Keywords: Unadilla River at Rockdale, NY on Jan 19, 1947 [20020104082339]</t>
  </si>
  <si>
    <t xml:space="preserve">1947-01-16</t>
  </si>
  <si>
    <t xml:space="preserve">Weather Bureau reports ice jam downstream from gage Susquehanna River at Bainbridge on January 16, 1947, with peak stage of 9.4 ft at 1500 hours. Ice jam also reported downstream from gage on January 17 and 18, February 6, February 12, February 14 through 17, February 19 through 21, February 23, and February 25 through March 14 (stages less than peak of Janaury 16). Flood stage 13 ft. -- Keywords: Susquehanna River at Bainbridge, NY on Jan 16, 1947 [3948]</t>
  </si>
  <si>
    <t xml:space="preserve">1946-03-09</t>
  </si>
  <si>
    <t xml:space="preserve">Broadalbin</t>
  </si>
  <si>
    <t xml:space="preserve">Kennyetto Creek</t>
  </si>
  <si>
    <t xml:space="preserve">maximum annual gage height of 5.27 feet, affected by backwater from ice, reported at USGS gage Kennyetto Creek near Broadalbin, on March 9, 1946. -- Keywords: Kennyetto Creek at Broadalbin, NY on Mar 09, 1946 [3614]</t>
  </si>
  <si>
    <t xml:space="preserve">1946-03-08</t>
  </si>
  <si>
    <t xml:space="preserve">maximum annual gage height of 4.67 feet, affected by backwater from ice, reported at USGS gage Poesten Kill, on March 7, 1946. Discharge 1,710 cfs. -- Keywords: Poesten Kill at Troy, NY on Mar 08, 1946 [3710]</t>
  </si>
  <si>
    <t xml:space="preserve">maximum annual gage height of 10.28 feet, affected by backwater from ice, reported at USGS gage Sacandaga River near Hope, on March 8, 1946. -- Keywords: Sacandaga River at Hope, NY on Mar 08, 1946 [3604]</t>
  </si>
  <si>
    <t xml:space="preserve">1946-03-01</t>
  </si>
  <si>
    <t xml:space="preserve">Weather Bureau reports ice jam upstream from gage Susquehanna River at Bainbridge on March 1, 1946 (stage 6.9 feet). Jam reported downstream from gage on March 1, March 2 (stage 6.6 feet), March 3 (stage 7.9 feet), and March 4 (stage 7.0 feet). Flood stage 13 feet. -- Keywords: Susquehanna River at Bainbridge, NY on Mar 01, 1946 [3947]</t>
  </si>
  <si>
    <t xml:space="preserve">1946-02-28</t>
  </si>
  <si>
    <t xml:space="preserve">maximum annual gage height of 6.62 feet, affected by backwater from ice, reported at USGS gage Coles Clove Kill near Pepacton, on February 28, 1946. -- Keywords: Coles Clove Kill at Pepacton, NY on Feb 28, 1946 [3804]</t>
  </si>
  <si>
    <t xml:space="preserve">maximum annual gage height of 7.11 feet, affected by backwater from ice, reported at USGS gage Trout Creek at Cannonsville, on February 28, 1946. -- Keywords: Trout Creek at Cannonsville, NY on Feb 28, 1946 [3843]</t>
  </si>
  <si>
    <t xml:space="preserve">1946-02-27</t>
  </si>
  <si>
    <t xml:space="preserve">Terry Clove Kill</t>
  </si>
  <si>
    <t xml:space="preserve">maximum annual gage height of 3.25 feet, affected by backwater from ice, reported at USGS gage Terry Clove Kill near Pepacton, on February 27, 1946. -- Keywords: Terry Clove Kill at Pepacton, NY on Feb 27, 1946 [3803]</t>
  </si>
  <si>
    <t xml:space="preserve">1946-02-14</t>
  </si>
  <si>
    <t xml:space="preserve">maximum annual gage height of 5.48 feet, affected by backwater from ice, reported at USGS gage Callicoon Creek at Callicoon, on February 14, 1946. -- Keywords: Callicoon Creek at Callicoon, NY on Feb 14, 1946 [3856]</t>
  </si>
  <si>
    <t xml:space="preserve">1946-01-06</t>
  </si>
  <si>
    <t xml:space="preserve">maximum annual gage height of 14.66 feet, affected by backwater from ice, reported at USGS gage Schoharie Creek at Prattsville, on January 6, 1946. NWSFO/NERFC flood stage 10 ft -- Keywords: Schoharie Creek at Prattsville, NY on Jan 06, 1946 [3685]</t>
  </si>
  <si>
    <t xml:space="preserve">maximum annual gage height of 10.83 feet, affected by backwater from ice, reported at USGS gage East Branch Delaware River at Harvard, on January 6, 1946. Discharge 9,350 cfs. -- Keywords: East Branch Delaware River at Harvard, NY on Jan 06, 1946 [3810]</t>
  </si>
  <si>
    <t xml:space="preserve">1946-01-01</t>
  </si>
  <si>
    <t xml:space="preserve">Weather Bureau reports ice jam upstream from gage Susquehanna River at Unadilla on January 1, 1946. STage 4.2 feet, flood stage 11 feet. -- Keywords: Susquehanna River at Unadilla, NY on Jan 01, 1946 [3940]</t>
  </si>
  <si>
    <t xml:space="preserve">1945-12-26</t>
  </si>
  <si>
    <t xml:space="preserve">maximum annual gage height of 13.82 feet, affected by backwater from ice, reported at USGS gage East Branch Delaware River at Fishs Eddy, on December 26, 1945. -- Keywords: East Branch Delaware River at Fishs Eddy, NY on Dec 26, 1945 [3833]</t>
  </si>
  <si>
    <t xml:space="preserve">maximum annual gage height of 12.09 feet, affected by backwater from ice, reported at USGS gage Wallkill River at Gardiner, on December 26, 1945. Additional ice-affected gage height of 10.32 feet, reported on January 8, 1946. NWSFO/NERFC flood stage 15 ft  -- Keywords: Wallkill River at Gardiner, NY on Dec 26, 1945 [4472]</t>
  </si>
  <si>
    <t xml:space="preserve">1945-03-07</t>
  </si>
  <si>
    <t xml:space="preserve">maximum annual gage height of 18.83 feet, affected by backwater from ice, reported at USGS gage Wallkill River at Gardiner, on March 7, 1945. NWSFO/NERFC flood stage 15 ft    -- Keywords: Wallkill River at Gardiner, NY on Mar 07, 1945 [4471]</t>
  </si>
  <si>
    <t xml:space="preserve">1945-03-04</t>
  </si>
  <si>
    <t xml:space="preserve">maximum annual gage height of 13.29 feet, affected by backwater from ice, reported at USGS gage Rondout Creek at Rosendale, on March 3, 1945. NWSFO/NERFC flood stage 18 ft -- Keywords: Rondout Creek at Rosendale, NY on Mar 04, 1945 [3725]</t>
  </si>
  <si>
    <t xml:space="preserve">1945-03-01</t>
  </si>
  <si>
    <t xml:space="preserve">maximum annual gage height of 8.21 feet, affected by backwater from ice, reported at USGS gage Batten Kill at Battenville, on March 1, 1945. NWSFO/NERFC flood stage 11 ft -- Keywords: Batten Kill at Battenville, NY on Mar 01, 1945 [3625]</t>
  </si>
  <si>
    <t xml:space="preserve">1945-02-27</t>
  </si>
  <si>
    <t xml:space="preserve">maximum annual gage height of 12.74 feet, affected by backwater from ice, reported at USGS gage East Branch Delaware River at Harvard, on February 27, 1945. Discharge 14,800 cfs. -- Keywords: East Branch Delaware River at Harvard, NY on Feb 27, 1945 [3809]</t>
  </si>
  <si>
    <t xml:space="preserve">maximum annual gage height of 4.98 feet, affected by backwater from ice, reported at USGS gage Schoharie Creek at Burtonsville, on February 27, 1945. NWSFO/NERFC flood stage 6 ft -- Keywords: Schoharie Creek at Burtonsville, NY on Feb 27, 1945 [3695]</t>
  </si>
  <si>
    <t xml:space="preserve">1945-02-23</t>
  </si>
  <si>
    <t xml:space="preserve">maximum annual gage height of 4.0 feet, affected by backwater from ice, reported at USGS gage Kennyetto Creek near Broadalbin, on February 23, 1945. -- Keywords: Kennyetto Creek at Broadalbin, NY on Feb 23, 1945 [3613]</t>
  </si>
  <si>
    <t xml:space="preserve">1945-02-22</t>
  </si>
  <si>
    <t xml:space="preserve">maximum annual gage height of 6.18 feet, affected by backwater from ice, reported at USGS gage Platte Kill at Dunraven, on February 22, 1945. Additional ice-affected gage height of 5.60 feet, reported on January 1, 1945. -- Keywords: Platte Kill at Dunraven, NY on Feb 22, 1945 [3789]</t>
  </si>
  <si>
    <t xml:space="preserve">maximum annual gage height of 5.98 feet, affected by backwater from ice, reported at USGS gage Little Delaware River near Delhi, on February 22, 1945. -- Keywords: Little Delaware River at Delhi, NY on Feb 22, 1945 [3839]</t>
  </si>
  <si>
    <t xml:space="preserve">1945-01-02</t>
  </si>
  <si>
    <t xml:space="preserve">Weather Bureau reports ice jam downstream from gage Susquehanna River at Bainbridge on Janaury 2 through 31, 1945. Peak stage 12.1 ft on January 4 and 5. Flood stage 12 ft. -- Keywords: Susquehanna River at Bainbridge, NY on Jan 02, 1945 [3949]</t>
  </si>
  <si>
    <t xml:space="preserve">1945-01-01</t>
  </si>
  <si>
    <t xml:space="preserve">maximum annual gage height of 8.68 feet, affected by backwater from ice, reported at USGS gage Mill Brook at Arena, on January 1, 1945. -- Keywords: Mill Brook at Arena, NY on Jan 01, 1945 [3797]</t>
  </si>
  <si>
    <t xml:space="preserve">Shavertown</t>
  </si>
  <si>
    <t xml:space="preserve">maximum annual gage height of 3.92 feet, affected by backwater from ice, reported at USGS gage Tremper Kill near Shavertown, on January 1, 1945. -- Keywords: Tremper Kill at Shavertown, NY on Jan 01, 1945 [3802]</t>
  </si>
  <si>
    <t xml:space="preserve">gage height of 6.12 feet, affected by backwater from ice, reported at USGS gage Schoharie Creek at Prattsville, on January 1, 1945. Discharge 5,740 cfs. NWSFO/NERFC flood stage 10 ft -- Keywords: Schoharie Creek at Prattsville, NY on Jan 01, 1945 [3684]</t>
  </si>
  <si>
    <t xml:space="preserve">1944-03-25</t>
  </si>
  <si>
    <t xml:space="preserve">maximum annual gage height of 7.68 feet, affected by backwater from ice, reported at USGS gage Sacandaga River near Hope, on March 25, 1944. -- Keywords: Sacandaga River at Hope, NY on Mar 25, 1944 [3603]</t>
  </si>
  <si>
    <t xml:space="preserve">1944-03-17</t>
  </si>
  <si>
    <t xml:space="preserve">maximum annual gage height of 11.66 feet, affected by backwater from ice, reported at USGS gage Beaver Kill at Cooks Falls, on March 17, 1944. -- Keywords: Beaver Kill at Cooks Falls, NY on Mar 17, 1944 [3825]</t>
  </si>
  <si>
    <t xml:space="preserve">maximum annual gage height of 5.69 feet, affected by backwater from ice, reported at USGS gage West Canada Creek at Kast Bridge, on March 17, 1944. -- Keywords: West Canada Creek at Kast Bridge, NY on Mar 17, 1944 [3666]</t>
  </si>
  <si>
    <t xml:space="preserve">maximum annual gage height of 13.12 feet, affected by backwater from ice, reported at USGS gage Otego Creek near Oneonta, on March 17, 1944. Discharge 4,230 cfs.  -- Keywords: Otego Creek at Oneonta, NY on Mar 17, 1944 [2279]</t>
  </si>
  <si>
    <t xml:space="preserve">maximum annual gage height of 11.94 feet, affected by backwater from ice, reported at USGS gage East Branch Delaware River at Harvard, on March 17, 1944. -- Keywords: East Branch Delaware River at Harvard, NY on Mar 17, 1944 [3808]</t>
  </si>
  <si>
    <t xml:space="preserve">1944-03-16</t>
  </si>
  <si>
    <t xml:space="preserve">Weather Bureau reports ice jam upstream from gage Susquehanna River at Bainbridge on March 16, 1944. Stage 6.5 ft. Flood stage 12 ft. -- Keywords: Susquehanna River at Bainbridge, NY on Mar 16, 1944 [3946]</t>
  </si>
  <si>
    <t xml:space="preserve">maximum annual gage height of 7.01 feet, affected by backwater from ice, reported at USGS gage Little Delaware River near Delhi, on March 16, 1944. -- Keywords: Little Delaware River at Delhi, NY on Mar 16, 1944 [3838]</t>
  </si>
  <si>
    <t xml:space="preserve">1944-03-13</t>
  </si>
  <si>
    <t xml:space="preserve">maximum annual gage height of 6.45 feet, affected by backwater from ice, reported at USGS gage Platte Kill at Dunraven, on March 13, 1944. -- Keywords: Platte Kill at Dunraven, NY on Mar 13, 1944 [3788]</t>
  </si>
  <si>
    <t xml:space="preserve">1944-03-07</t>
  </si>
  <si>
    <t xml:space="preserve">maximum annual gage height of 8.50 feet, affected by backwater from ice, reported at USGS gage Batten Kill near Battenville, on March 7, 1944. NWSFO/NERFC flood stage 11 ft -- Keywords: Batten Kill at Battenville, NY on Mar 07, 1944 [3624]</t>
  </si>
  <si>
    <t xml:space="preserve">1944-02-24</t>
  </si>
  <si>
    <t xml:space="preserve">maximum annual gage height of 6.83 feet, affected by backwater from ice, reported at USGS gage Callicoon Creek at Callicoon, on February 24, 1944. -- Keywords: Callicoon Creek at Callicoon, NY on Feb 24, 1944 [3855]</t>
  </si>
  <si>
    <t xml:space="preserve">1944-02-23</t>
  </si>
  <si>
    <t xml:space="preserve">maximum annual gage height of 6.69 feet, affected by backwater from ice, reported at USGS gage Trout Creek at Cannonsville, on February 23, 1944. -- Keywords: Trout Creek at Cannonsville, NY on Feb 23, 1944 [3842]</t>
  </si>
  <si>
    <t xml:space="preserve">1943-03-17</t>
  </si>
  <si>
    <t xml:space="preserve">maximum annual gage height of 4.6 feet, affected by backwater from ice, reported at USGS gage Kennyetto Creek near Broadalbin, on March 17, 1943. -- Keywords: Kennyetto Creek at Broadalbin, NY on Mar 17, 1943 [3612]</t>
  </si>
  <si>
    <t xml:space="preserve">1943-03-16</t>
  </si>
  <si>
    <t xml:space="preserve">maximum annual gage height of 11.37 feet, affected by backwater from ice, reported at USGS gage East Canada Creek at Dolgeville on March 16, 1943. -- Keywords: East Canada Creek at Dolgeville, NY on Mar 16, 1943 [3674]</t>
  </si>
  <si>
    <t xml:space="preserve">1943-03-12</t>
  </si>
  <si>
    <t xml:space="preserve">maximum annual gage height of 14.87 feet, affected by backwater from ice, reported at USGS gage Wallkill River at Gardiner, on March 12, 1943. NWSFO/NERFC flood stage 15 ft  -- Keywords: Wallkill River at Gardiner, NY on Mar 12, 1943 [4470]</t>
  </si>
  <si>
    <t xml:space="preserve">1943-02-25</t>
  </si>
  <si>
    <t xml:space="preserve">maximum annual gage height of 8.0 feet, affected by backwater from ice, reported at USGS gage Sacandaga River near Hope, on February 25, 1943. -- Keywords: Sacandaga River at Hope, NY on Feb 25, 1943 [3602]</t>
  </si>
  <si>
    <t xml:space="preserve">1943-02-24</t>
  </si>
  <si>
    <t xml:space="preserve">maximum annual gage height of 7.65 feet, affected by backwater from ice, reported at USGS gage Batten Kill at Battenville, on February 24, 1943. NWSFO/NERFC flood stage 11 ft -- Keywords: Batten Kill at Battenville, NY on Feb 24, 1943 [3623]</t>
  </si>
  <si>
    <t xml:space="preserve">Weather Bureau reports ice jam upstream from gage Susquehanna River at Bainbridge on February 24, 1943. Stage 12.0 ft. Flood stage 12 ft. -- Keywords: Susquehanna River at Bainbridge, NY on Feb 24, 1943 [3945]</t>
  </si>
  <si>
    <t xml:space="preserve">maximum annual gage height of 6.68 feet, affected by backwater from ice, reported at USGS gage Poesten Kill near Troy, on February 24, 1943. -- Keywords: Poesten Kill at Troy, NY on Feb 24, 1943 [3709]</t>
  </si>
  <si>
    <t xml:space="preserve">1943-02-22</t>
  </si>
  <si>
    <t xml:space="preserve">gage height of 13.65 feet, affected by backwater from ice, reported at USGS gage East Branch Delaware River at Fishs Eddy, on February 22, 1943. -- Keywords: East Branch Delaware River at Fishs Eddy, NY on Feb 22, 1943 [3832]</t>
  </si>
  <si>
    <t xml:space="preserve">maximum annual gage height of 7.45 feet, affected by backwater from ice, reported at USGS gage Little Delaware River near Delhi, on February 22, 1943. -- Keywords: Little Delaware River at Delhi, NY on Feb 22, 1943 [3837]</t>
  </si>
  <si>
    <t xml:space="preserve">1943-02-21</t>
  </si>
  <si>
    <t xml:space="preserve">maximum annual gage height of 5.77 feet, affected by backwater from ice, reported at USGS gage Schoharie Creek at Burtonsville, on February 21, 1943. NWSFO/NERFC flood stage 6 ft -- Keywords: Schoharie Creek at Burtonsville, NY on Feb 21, 1943 [3694]</t>
  </si>
  <si>
    <t xml:space="preserve">1943-02-17</t>
  </si>
  <si>
    <t xml:space="preserve">maximum annual gage height of 10.47 feet, affected by backwater from ice, reported at USGS gage West Canada Creek at Kast Bridge, NY on February 17, 1943.  According to USGS Water Resources Data New York Water Year 1981 Volume 1, this was also the maximum for period of record 1920-1981.     -- Keywords: West Canada Creek at Kast Bridge, NY on Feb 17, 1943 [3665]</t>
  </si>
  <si>
    <t xml:space="preserve">gage height of 8.32 feet, affected by backwater from ice, reported at USGS gage Schoharie Creek at Prattsville, on December 30, 1942. Discharge 10,400 cfs. Additional ice-affected gage height of 10.80 feet (maximum for year) reported on February 23, 1943. Also ice-affected gage height of 10.75 feet, reported on March 12, 1943. Discharge 6,000 cfs. NWSFO/NERFC flood stage 10 ft -- Keywords: Schoharie Creek at Prattsville, NY on Dec 30, 1942 [3683]</t>
  </si>
  <si>
    <t xml:space="preserve">maximum annual gage height of 6.69 feet, affected by backwater from ice, reported at USGS gage Oaks Creek at Index, on December 30, 1942. Discharge 2,140 cfs. -- Keywords: Oaks Creek at Index, NY on Dec 30, 1942 [3936]</t>
  </si>
  <si>
    <t xml:space="preserve">maximum annual gage height of 5.48 feet, affected by backwater from ice, reported at USGS gage Kayaderosseras Creek near West Milton, on December 30, 1942. -- Keywords: Kayaderosseras Creek at West Milton, NY on Dec 30, 1942 [3637]</t>
  </si>
  <si>
    <t xml:space="preserve">1942-03-09</t>
  </si>
  <si>
    <t xml:space="preserve">maximum annual gage height of 6.34 feet, affected by backwater from ice, reported at USGS gage Schoharie Creek at Burtonsville, on March 9, 1942. Discharge 20,100 cfs. NWSFO/NERFC flood stage 6 ft -- Keywords: Schoharie Creek at Burtonsville, NY on Mar 09, 1942 [3693]</t>
  </si>
  <si>
    <t xml:space="preserve">gage height of 8.80 feet, affected by backwater from ice, reported at USGS gage Schoharie Creek at Prattsville, on March 9, 1942. Discharge 12,200 cfs. NWSFO/NERFC flood stage 10 ft -- Keywords: Schoharie Creek at Prattsville, NY on Mar 09, 1942 [3682]</t>
  </si>
  <si>
    <t xml:space="preserve">maximum annual gage height of 7.40 feet, affected by backwater from ice, reported at USGS gage Little Delaware River near Delhi, on March 9, 1942. Discharge 2,550 cfs. -- Keywords: Little Delaware River at Delhi, NY on Mar 09, 1942 [3836]</t>
  </si>
  <si>
    <t xml:space="preserve">1942-03-03</t>
  </si>
  <si>
    <t xml:space="preserve">maximum annual gage height of 7.00 feet, affected by backwater from ice, reported at USGS gage Callicoon Creek at Callicoon, on March 3, 1942. -- Keywords: Callicoon Creek at Callicoon, NY on Mar 03, 1942 [3854]</t>
  </si>
  <si>
    <t xml:space="preserve">1941-03-20</t>
  </si>
  <si>
    <t xml:space="preserve">Sherburne</t>
  </si>
  <si>
    <t xml:space="preserve">Chenango River</t>
  </si>
  <si>
    <t xml:space="preserve">Weather Bureau reports ice jam downstream from gage Chenango River at Sherburne on March 20, 21, and 22, 1941. Stages 5.8, 5.2,and 4.6 ft, respectively. River reported to be obstructed by rough ice March 16, 20-22 (no records on weekends). Flood stage 8 ft. -- Keywords: Chenango River at Sherburne, NY on Mar 20, 1941 [3957]</t>
  </si>
  <si>
    <t xml:space="preserve">1941-03-07</t>
  </si>
  <si>
    <t xml:space="preserve">maximum annual gage height of 5.73 feet, affected by backwater from ice, reported at USGS gage Little Delaware River near Delhi, on March 7, 1941. -- Keywords: Little Delaware River at Delhi, NY on Mar 07, 1941 [3835]</t>
  </si>
  <si>
    <t xml:space="preserve">1941-03-04</t>
  </si>
  <si>
    <t xml:space="preserve">maximum annual gage height of 6.16 feet, affected by backwater from ice, reported at USGS gage Mill Brook at Arena, on March 4, 1941. -- Keywords: Mill Brook at Arena, NY on Mar 04, 1941 [3796]</t>
  </si>
  <si>
    <t xml:space="preserve">1941-02-08</t>
  </si>
  <si>
    <t xml:space="preserve">maximum annual gage height of 4.82 feet, affected by backwater from ice, reported at USGS gage Callicoon Creek at Callicoon, on February 8, 1941. -- Keywords: Callicoon Creek at Callicoon, NY on Feb 08, 1941 [3853]</t>
  </si>
  <si>
    <t xml:space="preserve">maximum annual gage height of 12.37 feet, affected by backwater from ice, reported at USGS gage Wallkill River at Gardiner, on February 8, 1941. NWSFO/NERFC flood stage 15 ft  -- Keywords: Wallkill River at Gardiner, NY on Feb 08, 1941 [4469]</t>
  </si>
  <si>
    <t xml:space="preserve">maximum annual gage height of 4.28 feet, affected by backwater from ice, reported at USGS gage Schoharie Creek at Burtonsville, on February 8, 1941. NWSFO/NERFC flood stage 6 ft -- Keywords: Schoharie Creek at Burtonsville, NY on Feb 08, 1941 [3692]</t>
  </si>
  <si>
    <t xml:space="preserve">maximum annual gage height of 6.76 feet, affected by backwater from ice, reported at USGS gage Schoharie Creek at Prattsville, on February 8, 1941. NWSFO/NERFC flood stage 10 ft -- Keywords: Schoharie Creek at Prattsville, NY on Feb 08, 1941 [3681]</t>
  </si>
  <si>
    <t xml:space="preserve">maximum annual gage height of 11.37 feet, affected by backwater from ice, reported at USGS gage Rondout Creek at Rosendale, on February 8, 1941. NWSFO/NERFC flood stage 18 ft -- Keywords: Rondout Creek at Rosendale, NY on Feb 08, 1941 [3724]</t>
  </si>
  <si>
    <t xml:space="preserve">gage height of 6.20 feet, affected by backwater from ice, reported at USGS gage Poesten Kill, near Troy, on February 8, 1941. -- Keywords: Poesten Kill at Troy, NY on Feb 08, 1941 [3708]</t>
  </si>
  <si>
    <t xml:space="preserve">1940-12-28</t>
  </si>
  <si>
    <t xml:space="preserve">maximum annual gage height of 5.65 feet, affected by backwater from ice, reported at USGS gage Kennyetto Creek near Broadalbin, on December 28, 1940. -- Keywords: Kennyetto Creek at Broadalbin, NY on Dec 28, 1940 [3611]</t>
  </si>
  <si>
    <t xml:space="preserve">1940-04-08</t>
  </si>
  <si>
    <t xml:space="preserve">maximum annual gage height of 5.7 feet, affected by backwater from ice, reported at USGS gage Kennyetto Creek near Broadalbin, on April 8, 1940. Discharge 860 cfs. -- Keywords: Kennyetto Creek at Broadalbin, NY on Apr 08, 1940 [3610]</t>
  </si>
  <si>
    <t xml:space="preserve">1940-04-01</t>
  </si>
  <si>
    <t xml:space="preserve">maximum annual gage height of 8.40 feet, affected by backwater from ice, reported at USGS gage Sacandaga River near Hope, on April 1, 1940. -- Keywords: Sacandaga River at Hope, NY on Apr 01, 1940 [3601]</t>
  </si>
  <si>
    <t xml:space="preserve">1940-03-15</t>
  </si>
  <si>
    <t xml:space="preserve">maximum annual gage height of 5.11 feet, affected by backwater from ice, reported at USGS gage Mill Brook at Arena, on March 15, 1940. -- Keywords: Mill Brook at Arena, NY on Mar 15, 1940 [3795]</t>
  </si>
  <si>
    <t xml:space="preserve">maximum annual gage height of 13.24 feet, affected by backwater from ice, reported at USGS gage Wallkill River at Gardiner, on March 15, 1940. Additional ice-affected gage height of 12.40 feet, reported on March 20, 1940. Discharge 8,000 cfs. NWSFO/NERFC flood stage 15 ft  -- Keywords: Wallkill River at Gardiner, NY on Mar 15, 1940 [4468]</t>
  </si>
  <si>
    <t xml:space="preserve">maximum annual gage height of 14.38 feet, affected by backwater from ice, reported at USGS gage Rondout Creek at Rosendale, on March 15, 1940. NWSFO/NERFC flood stage 18 ft -- Keywords: Rondout Creek at Rosendale, NY on Mar 15, 1940 [3723]</t>
  </si>
  <si>
    <t xml:space="preserve">1939-02-21</t>
  </si>
  <si>
    <t xml:space="preserve">maximum annual gage height of 7.46 feet, affected by backwater from ice, reported at USGS gage Sacandaga River near Hope, on February 21, 1939. -- Keywords: Sacandaga River at Hope, NY on Feb 21, 1939 [3600]</t>
  </si>
  <si>
    <t xml:space="preserve">maximum annual gage height of 10.09 feet, affected by backwater from ice, reported at USGS gage Schoharie Creek at Prattsville, on February 17, 1939. NWSFO/NERFC flood stage 10 ft -- Keywords: Schoharie Creek at Prattsville, NY on Feb 17, 1939 [3680]</t>
  </si>
  <si>
    <t xml:space="preserve">1939-02-16</t>
  </si>
  <si>
    <t xml:space="preserve">maximum annual gage height of 14.18 feet, affected by backwater from ice, reported at USGS gage Wallkill River at Gardiner, on February 16, 1939. NWSFO/NERFC flood stage 15 ft  -- Keywords: Wallkill River at Gardiner, NY on Feb 16, 1939 [4467]</t>
  </si>
  <si>
    <t xml:space="preserve">1939-02-15</t>
  </si>
  <si>
    <t xml:space="preserve">maximum annual gage height of 10.01 feet, affected by backwater from ice, reported at USGS gage Batten Kill at Battenville, on February 15, 1939. NWSFO/NERFC flood stage 11 ft -- Keywords: Batten Kill at Battenville, NY on Feb 15, 1939 [3622]</t>
  </si>
  <si>
    <t xml:space="preserve">maximum annual gage height of 11.05 feet, affected by backwater from ice, reported at USGS gage Hoosic River near Eagle Bridge, on February 15, 1939. NWSFO/NERFC flood stage 11 ft -- Keywords: Hoosic River at Eagle Bridge, NY on Feb 15, 1939 [3654]</t>
  </si>
  <si>
    <t xml:space="preserve">maximum annual gage height of 13.63 feet, affected by backwater from ice, reported at USGS gage East Branch Delaware River at Fishs Eddy, on February 15, 1939. -- Keywords: East Branch Delaware River at Fishs Eddy, NY on Feb 15, 1939 [3831]</t>
  </si>
  <si>
    <t xml:space="preserve">maximum annual gage height of 13.33 feet, affected by backwater from ice, reported at USGS gage East Branch Delaware River at Harvard, on February 15, 1939. -- Keywords: East Branch Delaware River at Harvard, NY on Feb 15, 1939 [3807]</t>
  </si>
  <si>
    <t xml:space="preserve">1938-02-07</t>
  </si>
  <si>
    <t xml:space="preserve">maximum annual gage height of 8.85 feet, affected by backwater from ice, reported at USGS gage Unadilla River at Rockdale, on February 7, 1938. -- Keywords: Unadilla River at Rockdale, NY on Feb 07, 1938 [3943]</t>
  </si>
  <si>
    <t xml:space="preserve">1938-01-25</t>
  </si>
  <si>
    <t xml:space="preserve">gage height of 4.22 feet, affected by backwater from ice, reported at USGS gage Tremper Kill near Shavertown, on January 25, 1938. Discharge 900 cfs. -- Keywords: Tremper Kill at Shavertown, NY on Jan 25, 1938 [3801]</t>
  </si>
  <si>
    <t xml:space="preserve">South New Berlin</t>
  </si>
  <si>
    <t xml:space="preserve">Sage Brook</t>
  </si>
  <si>
    <t xml:space="preserve">gage height of 3.44 feet, affected by backwater from ice, reported at USGS gage Sage Brook near South New Berlin, on January 25, 1938. Discharge 27.7 cfs. -- Keywords: Sage Brook at South New Berlin, NY on Jan 25, 1938 [3942]</t>
  </si>
  <si>
    <t xml:space="preserve">1936-03-19</t>
  </si>
  <si>
    <t xml:space="preserve">Coxsackie</t>
  </si>
  <si>
    <t xml:space="preserve">Picture caption in The Caledonian-Record on Friday, March 20, 1936, "Ice Jam Smashes Boats As Hudson Floods - Numerous boats were smashed or torn loose from their mooring along the Hudson river as winter ice broke up and was hurled downstream by flood waters. This picture demonstrates the tremendous force of the jam.  Anchored in the path of the ice, the Storm King, salvage boat, was torn loose and tossed ashore near Coxsackie, N.Y." -- Keywords: Hudson River at Coxsackie, NY on Mar 19, 1936 [477]</t>
  </si>
  <si>
    <t xml:space="preserve">1936-03-17</t>
  </si>
  <si>
    <t xml:space="preserve">Maximum gage height of 6.12 feet due to backwater from ice reported at USGS gage West Canada Creek at Kast Bridge at 9:30 p.m. on March 17, 1936. Average daily discharge 3,200 cfs. -- Keywords: West Canada Creek at Kast Bridge, NY on Mar 17, 1936 [1673]</t>
  </si>
  <si>
    <t xml:space="preserve">maximum annual gage height of 6.12 feet, affected by backwater from ice, reported at USGS gage West Canada Creek at Kast Bridge, on March 17, 1936. -- Keywords: West Canada Creek at Kast Bridge, NY on Mar 17, 1936 [3664]</t>
  </si>
  <si>
    <t xml:space="preserve">1936-03-13</t>
  </si>
  <si>
    <t xml:space="preserve">As reported in The Middletown Press on Friday evening, March 13, 1936, "Tons of ice jammed in the Hudson River near Castleton early today, threatening to back up water into communities of the lower Hudson. ... Tons of ice, released when jams in the upper Hudson and the Mohawk rivers broke yesterday, piled up today near Castleton, creating a grave threat to the safety of communities along the lower Hudson. In the Southern tier of New York counties which bore the brunt of last July's floods, conditions remained uncertain with ice jams forming and breaking. The condition along the lower Hudson was made more serious by the ice not having gone today. If the vast store of water being impounded by the Castleton jam is released suddenly villages and towns along the river front probably will be flooded. The Castleton jam backed up water as far North as Albany, which was inundated along the river front to a depth of two to three feet." -- Keywords: Hudson River at Albany, NY on Mar 13, 1936 [473]</t>
  </si>
  <si>
    <t xml:space="preserve">West Stony Creek</t>
  </si>
  <si>
    <t xml:space="preserve">Gage height of 6.80 feet due to backwater from ice reported at USGS gage West Stony Creek near Northville at 5:30 a.m. on March 12, 1936. -- Keywords: West Stony Creek at Northville, NY on Mar 12, 1936 [1688]</t>
  </si>
  <si>
    <t xml:space="preserve">Maximum gage height of 16.42 feet due to backwater from ice reported at USGS gage Wallkill River at Gardiner on March 12, 1936. -- Keywords: Wallkill River at Gardiner, NY on Mar 12, 1936 [1646]</t>
  </si>
  <si>
    <t xml:space="preserve">maximum annual gage height of 16.42 feet, affected by backwater from ice, reported at USGS gage Wallkill River at Gardiner, on March 12, 1936. NWSFO/NERFC flood stage 15 ft  -- Keywords: Wallkill River at Gardiner, NY on Mar 12, 1936 [4466]</t>
  </si>
  <si>
    <t xml:space="preserve">Gage height of 10.08 feet due to backwater from ice reported at USGS gage Sacandaga River near Hope at 5:00 a.m. on March 12, 1936; gage height of 8.74 feet due to backwater from ice reported at 6:50 a.m. on March 12; gage height of 7.40 feet due to backwater from ice reported at 6:20 p.m. on March 12. -- Keywords: Sacandaga River at Hope, NY on Mar 12, 1936 [1376]</t>
  </si>
  <si>
    <t xml:space="preserve">maximum annual gage height of 10.08 feet, affected by backwater from ice, reported at USGS gage Sacandaga River near Hope, on March 12, 1936. -- Keywords: Sacandaga River at Hope, NY on Mar 12, 1936 [3599]</t>
  </si>
  <si>
    <t xml:space="preserve">Hudson</t>
  </si>
  <si>
    <t xml:space="preserve">As reported in The Caledonian-Record on Friday, March 13, 1936, "Portnons of Schenectady, Elmira, Watkins Glen, Montour Falls and Kingston, in New York state, were inundated, and at the latter place a score of barges, tugs and other craft were swept down Rondout Creek until they were halted by an ice jam and remoored.  Three watermen were rescued. Nine Ulster county hamlets were abandoned dut to rising waters on the Watkill river. . . . Fog hitting from the Hudson River today disclosed a fleet of tugs and barges jammed in a huge ice pack where they were swept by raging Roundout Creek yesterday. No one was believed to be aboard.  Watchers said they counted 20 or 30 vessels. In the group was a 100-foot steam yacht. This and others were torn away from dry docks a mile and a half up Roundout Creek when an ice jam broke. Roundout Creek is a Hudson River tributary."  -- Keywords: Rondout Creek at Hudson, NY on Mar 12, 1936 [1372]</t>
  </si>
  <si>
    <t xml:space="preserve">Gage height of 18.31 feet due to backwater from ice reported at USGS gage Mohawk River at Conoes at 7:00 p.m. on March 12, 1936. -- Keywords: Mohawk River at Cohoes, NY on Mar 12, 1936 [1080]</t>
  </si>
  <si>
    <t xml:space="preserve">Gage height of 9.00 feet due to ice reported at 5:30 a.m.; gage height of 7.88 feet due to ice reported at 5:40 a.m.; gage height of 8.66 feet due to ice reported at 4:00 p.m. on March 12, 1936 at USGS gage East Canada Creek at Dolgeville. Gage height of 9.54 feet due to ice reported at 2:00 p.m. on March 13, 1936 at USGS gage East Canada Creek at Dolgeville. Gage height of 9.32 feet due to ice reported at 2:25 p.m. on March 14, 1936 at USGS gage East Canada Creek at Dolgeville. Gage height of 8.71 feet due to ice reported at 12:20 a.m.; gage height of 7.88 feet due to ice reported at 12:25 a.m. with discharge of 2,250 cfs on March 15, 1936 at USGS gage East Canada Creek at Dolgeville.  Gage height of 9.16 feet due to ice reported at 6:05 p.m.; gage height of 9.75 feet due to ice reported at midnight on March 16, 1936 at USGS gage East Canada Creek at Dolgeville.  Gage height of 10.73 feet due to ice reported at 7:20 a.m. on March 17, 1936 at USGS gage East Canada Creek at Dolgeville.  Gage height of 11.11 feet due to ice reported at 3:10 a.m. on March 18, 1936 at USGS gage East Canada Creek at Dolgeville. -- Keywords: East Canada Creek at Dolgeville, NY on Mar 12, 1936 [372]</t>
  </si>
  <si>
    <t xml:space="preserve">maximum annual gage height of 11.16 feet, affected by backwater from ice, reported at USGS gage East Canada Creek at Dolgeville, on March 12, 1936. -- Keywords: East Canada Creek at Dolgeville, NY on Mar 12, 1936 [3673]</t>
  </si>
  <si>
    <t xml:space="preserve">1936-03-11</t>
  </si>
  <si>
    <t xml:space="preserve">Gage height of 8.87 feet due to backwater from ice reported at USGS gage Batten Kill at Battenville at 4:30 p.m. on March 11, 1936. -- Keywords: Batten Kill at Battenville, NY on Mar 11, 1936 [70]</t>
  </si>
  <si>
    <t xml:space="preserve">1935-03-18</t>
  </si>
  <si>
    <t xml:space="preserve">Maximum gage height of 7.90 feet due to backwater from ice reported at USGS gage West Stony Creek near Northville on March 18, 1935 (period of record 1933-35). -- Keywords: West Stony Creek at Northville, NY on Mar 18, 1935 [1687]</t>
  </si>
  <si>
    <t xml:space="preserve">1935-03-07</t>
  </si>
  <si>
    <t xml:space="preserve">maximum annual gage height of 13.42 feet, affected by backwater from ice, reported at USGS gage Wallkill River at Gardiner, on March 7, 1935. NWSFO/NERFC flood stage 15 ft  -- Keywords: Wallkill River at Gardiner, NY on Mar 07, 1935 [4465]</t>
  </si>
  <si>
    <t xml:space="preserve">1935-03-06</t>
  </si>
  <si>
    <t xml:space="preserve">maximum annual gage height of 12.25 feet, affected by backwater from ice, reported at USGS gage East Branch Delaware River at Harvard, on March 6, 1935. -- Keywords: East Branch Delaware River at Harvard, NY on Mar 06, 1935 [3806]</t>
  </si>
  <si>
    <t xml:space="preserve">maximum annual gage height of 17.10 feet, affected by backwater from ice, reported at USGS gage East Branch Delaware River at Fishs Eddy, on March 6, 1935. -- Keywords: East Branch Delaware River at Fishs Eddy, NY on Mar 06, 1935 [3830]</t>
  </si>
  <si>
    <t xml:space="preserve">Maximum gage height of 12.25 feet due to backwater from ice reported at USGS gage East Branch of Delaware River at Harvard on March 6, 1935. -- Keywords: East Branch of Delaware River at Harvard, NY on Mar 06, 1935 [370]</t>
  </si>
  <si>
    <t xml:space="preserve">1935-01-10</t>
  </si>
  <si>
    <t xml:space="preserve">maximum annual gage height of 11.37 feet, affected by backwater from ice, reported at USGS gage East Canada Creek at Dolgeville, on January 10, 1935. -- Keywords: East Canada Creek at Dolgeville, NY on Jan 10, 1935 [3672]</t>
  </si>
  <si>
    <t xml:space="preserve">maximum annual gage height of 18.15 feet, occurred earlier in day; result of an ice jam, reported at USGS gage Mohawk River at Cohoes, on January 10, 1935. Discharge 61,100 cfs. NWSFO/NERFC flood stage 20 ft -- Keywords: Mohawk River at Cohoes, NY on Jan 10, 1935 [3704]</t>
  </si>
  <si>
    <t xml:space="preserve">gage height of 6.95 feet, affected by backwater from ice, reported at USGS gage Kayaderosseras Creek near West Milton, on January 10, 1935. Discharge 1,900 cfs. -- Keywords: Kayaderosseras Creek at West Milton, NY on Jan 10, 1935 [3636]</t>
  </si>
  <si>
    <t xml:space="preserve">East Stony Creek</t>
  </si>
  <si>
    <t xml:space="preserve">Maximum gage height 4.5 feet due to backwater from ice reported at USGS gage East Stony Creek near Northville on January 10, 1935 (period of record: 1933-35). -- Keywords: East Stony Creek at Northville, NY on Jan 10, 1935 [394]</t>
  </si>
  <si>
    <t xml:space="preserve">1935-01-09</t>
  </si>
  <si>
    <t xml:space="preserve">maximum annual gage height of 6.37 feet, affected by backwater from ice, reported at USGS gage West Canada Creek, at Kast Bridge, on January 9, 1935. -- Keywords: West Canada Creek at Kast Bridge, NY on Jan 09, 1935 [3663]</t>
  </si>
  <si>
    <t xml:space="preserve">maximum annual gage height of 8.10 feet, affected by backwater from ice, reported at USGS gage Sacandaga River near Hope, on January 9, 1935. -- Keywords: Sacandaga River at Hope, NY on Jan 09, 1935 [3598]</t>
  </si>
  <si>
    <t xml:space="preserve">1934-03-29</t>
  </si>
  <si>
    <t xml:space="preserve">maximum annual gage height of 12.93 feet, affected by backwater from ice, reported at USGS gage East Canada Creek at Dolgeville, on March 29, 1934. -- Keywords: East Canada Creek at Dolgeville, NY on Mar 29, 1934 [3671]</t>
  </si>
  <si>
    <t xml:space="preserve">1934-03-05</t>
  </si>
  <si>
    <t xml:space="preserve">maximum annual gage height of 8.50 feet, affected by backwater from ice, reported at USGS gage Beaver Kill at Cooks Falls, on March 5, 1934. -- Keywords: Beaver Kill at Cooks Falls, NY on Mar 05, 1934 [3824]</t>
  </si>
  <si>
    <t xml:space="preserve">Wappingers Falls</t>
  </si>
  <si>
    <t xml:space="preserve">Wappinger Creek</t>
  </si>
  <si>
    <t xml:space="preserve">maximum annual gage height of 11.78 feet, affected by backwater from ice, reported at USGS gage Wappinger Creek at Wappingers Falls, on March 5, 1934. -- Keywords: Wappinger Creek at Wappingers Falls, NY on Mar 05, 1934 [3747]</t>
  </si>
  <si>
    <t xml:space="preserve">maximum annual gage height of 17.04 feet, affected by backwater from ice, reported at USGS gage Wallkill River at Gardiner, on March 5, 1934. NWSFO/NERFC flood stage 15 ft  -- Keywords: Wallkill River at Gardiner, NY on Mar 05, 1934 [4464]</t>
  </si>
  <si>
    <t xml:space="preserve">maximum annual gage height of 7.34 feet, affected by backwater from ice, reported at USGS gage Kayaderosseras Creek near West Milton, on March 5, 1934. -- Keywords: Kayaderosseras Creek at West Milton, NY on Mar 05, 1934 [3635]</t>
  </si>
  <si>
    <t xml:space="preserve">1934-03-04</t>
  </si>
  <si>
    <t xml:space="preserve">maximum annual gage height of 11.44 feet, affected by backwater from ice, reported at USGS gage Rondout Creek at Rosendale, on March 4, 1934. NWSFO/NERFC flood stage 18 ft -- Keywords: Rondout Creek at Rosendale, NY on Mar 04, 1934 [3722]</t>
  </si>
  <si>
    <t xml:space="preserve">maximum annual gage height of 13.25 feet, affected by backwater from ice, reported at USGS gage East Branch Delaware River at Fishs Eddy, on March 4, 1934. -- Keywords: East Branch Delaware River at Fishs Eddy, NY on Mar 04, 1934 [3829]</t>
  </si>
  <si>
    <t xml:space="preserve">1934-03-03</t>
  </si>
  <si>
    <t xml:space="preserve">maximum annual gage height of 6.66 feet, affected by backwater from ice, reported at USGS gage Poesten Kill near Troy, on March 3, 1934. Discharge 1,760 cfs. -- Keywords: Poesten Kill at Troy, NY on Mar 03, 1934 [3707]</t>
  </si>
  <si>
    <t xml:space="preserve">maximum annual gage height of 7.67 feet, affected by backwater from ice, reported at USGS gage West Canada Creek at Kast Bridge, on March 3, 1934. -- Keywords: West Canada Creek at Kast Bridge, NY on Mar 03, 1934 [3662]</t>
  </si>
  <si>
    <t xml:space="preserve">1931-02-19</t>
  </si>
  <si>
    <t xml:space="preserve">maximum annual gage height of 11.12 feet, affected by backwater from ice, reported at USGS gage Wallkill River at Gardiner, on February 19, 1931. NWSFO/NERFC flood stage 15 ft  -- Keywords: Wallkill River at Gardiner, NY on Feb 19, 1931 [4463]</t>
  </si>
  <si>
    <t xml:space="preserve">1930-02-21</t>
  </si>
  <si>
    <t xml:space="preserve">maximum annual gage height of 13.51 feet, affected by backwater from ice, reported at USGS gage East Branch Delaware River at Fishs Eddy, on February 21, 1930. -- Keywords: East Branch Delaware River at Fishs Eddy, NY on Feb 21, 1930 [3828]</t>
  </si>
  <si>
    <t xml:space="preserve">maximum annual gage height of 10.69 feet, affected by backwater from ice, reported at USGS gage Wallkill River at Gardiner, on February 21, 1930. NWSFO/NERFC flood stage 15 ft  -- Keywords: Wallkill River at Gardiner, NY on Feb 21, 1930 [4462]</t>
  </si>
  <si>
    <t xml:space="preserve">1929-02-08</t>
  </si>
  <si>
    <t xml:space="preserve">maximum annual gage height of 8.35 feet, affected by backwater from ice, reported at USGS gage Wappinger Creek near Wappingers Falls, on February 8, 1929. Discharge 2,600 cfs. -- Keywords: Wappinger Creek at Wappingers Falls, NY on Feb 08, 1929 [3746]</t>
  </si>
  <si>
    <t xml:space="preserve">1929-02-07</t>
  </si>
  <si>
    <t xml:space="preserve">maximum annual gage height of 10.00 feet, affected by backwater from ice, reported at USGS gage Rondout Creek at Rosendale, on February 7, 1929. NWSFO/NERFC flood stage 18 ft -- Keywords: Rondout Creek at Rosendale, NY on Feb 07, 1929 [3721]</t>
  </si>
  <si>
    <t xml:space="preserve">1928-02-09</t>
  </si>
  <si>
    <t xml:space="preserve">maximum annual gage height of 11.30 feet, affected by backwater from ice, reported at USGS gage Wallkill River at Gardiner, on February 9, 1928. NWSFO/NERFC flood stage 15 ft  -- Keywords: Wallkill River at Gardiner, NY on Feb 09, 1928 [4461]</t>
  </si>
  <si>
    <t xml:space="preserve">Hudson - Mohawk River</t>
  </si>
  <si>
    <t xml:space="preserve">The USDA Weather Bureau reported an ice gorge below the gage on the Hudson - Mohawk River at Tribes Hill, NY  on January 31-February 15, 1928.  -- Keywords: Hudson - Mohawk River at Tribes Hill, NY on Jan 31, 1928 [20031017133046]</t>
  </si>
  <si>
    <t xml:space="preserve">1927-03-19</t>
  </si>
  <si>
    <t xml:space="preserve">maximum annual gage height of 10.7 feet, affected by backwater from ice, reported at USGS gage Hudson River at Hadley, on March 19, 1927. NWSFO/NERFC flood stage 14 ft -- Keywords: Hudson River at Hadley, NY on Mar 19, 1927 [3593]</t>
  </si>
  <si>
    <t xml:space="preserve">1927-01-23</t>
  </si>
  <si>
    <t xml:space="preserve">maximum annual gage height of 11.48 feet, affected by backwater from ice, reported at USGS gage Rondout Creek at Rosendale, on January 23, 1927. NWSFO/NERFC flood stage 18 ft -- Keywords: Rondout Creek at Rosendale, NY on Jan 23, 1927 [3720]</t>
  </si>
  <si>
    <t xml:space="preserve">1926-03-20</t>
  </si>
  <si>
    <t xml:space="preserve">maximum annual gage height of 7.7 feet, affected by backwater from ice, reported at USGS gage Poesten Kill near Troy, on March 20, 1926. -- Keywords: Poesten Kill at Troy, NY on Mar 20, 1926 [3706]</t>
  </si>
  <si>
    <t xml:space="preserve">1926-03-03</t>
  </si>
  <si>
    <t xml:space="preserve">maximum annual gage height of 11.7 feet, affected by backwater from ice, reported at USGS gage Wallkill River at Gardiner, on March 3, 1926. Discharge 5,500 cfs. NWSFO/NERFC flood stage 15 ft  -- Keywords: Wallkill River at Gardiner, NY on Mar 03, 1926 [4460]</t>
  </si>
  <si>
    <t xml:space="preserve">1926-01-19</t>
  </si>
  <si>
    <t xml:space="preserve">maximum annual gage height of 7.80 feet, affected by backwater from ice, reported at USGS gage Batten Kill at Battenville, on January 19, 1926. NWSFO/NERFC flood stage 11 ft -- Keywords: Batten Kill at Battenville, NY on Jan 19, 1926 [3621]</t>
  </si>
  <si>
    <t xml:space="preserve">1925-02-12</t>
  </si>
  <si>
    <t xml:space="preserve">maximum annual gage height of 13.31 feet, affected by backwater from ice, reported at USGS gage Wallkill River at Gardiner, on February 12, 1925. Discharge 8,500 cfs. NWSFO/NERFC flood stage 15 ft  -- Keywords: Wallkill River at Gardiner, NY on Feb 12, 1925 [4459]</t>
  </si>
  <si>
    <t xml:space="preserve">1925-02-11</t>
  </si>
  <si>
    <t xml:space="preserve">maximum annual gage height of 11.52 feet, affected by backwater from ice, reported at USGS gage Batten Kill at Battenville, on February 11, 1925. NWSFO/NERFC flood stage 11 ft -- Keywords: Batten Kill at Battenville, NY on Feb 11, 1925 [3620]</t>
  </si>
  <si>
    <t xml:space="preserve">maximum annual gage height of 11.87 feet, affected by backwater from ice, reported at USGS gage Hoosic River near Eagle Bridge, on February 11, 1925. NWSFO/NERFC flood stage 11 ft -- Keywords: Hoosic River at Eagle Bridge, NY on Feb 11, 1925 [3653]</t>
  </si>
  <si>
    <t xml:space="preserve">1923-03-19</t>
  </si>
  <si>
    <t xml:space="preserve">maximum annual gage height of 8.86 feet, affected by backwater from ice, reported at USGS gage Batten Kill at Battenville, on March 19, 1923. NWSFO/NERFC flood stage 11 ft -- Keywords: Batten Kill at Battenville, NY on Mar 19, 1923 [3619]</t>
  </si>
  <si>
    <t xml:space="preserve">1920-03-16</t>
  </si>
  <si>
    <t xml:space="preserve">maximum annual gage height of 6.90 feet, affected by backwater from ice, reported at USGS gage Sacandaga River near Hope, on March 16, 1920. -- Keywords: Sacandaga River at Hope, NY on Mar 16, 1920 [3597]</t>
  </si>
  <si>
    <t xml:space="preserve">1920-03-13</t>
  </si>
  <si>
    <t xml:space="preserve">maximum annual gage height of 13.8 feet, affected by backwater from ice, reported at USGS gage Hoosic River near Eagle Bridge, on March 13, 1920. NWSFO/NERFC flood stage 11 ft -- Keywords: Hoosic River at Eagle Bridge, NY on Mar 13, 1920 [3652]</t>
  </si>
  <si>
    <t xml:space="preserve">Discharge of 140,000 cfs result of release from ice jam; discharge estimated by State engineer and surveyor of New York. Gage height of 7.6 feet, reported at USGS gage Mohawk River at Vischer Ferry Dam, on March 28, 1914. -- Keywords: Mohawk River at Vischer Ferry Dam, NY on Mar 28, 1914 [3702] 
A 2014 look-back article describes the Mohawk sending 23' of water into Schenectady and blocks of ice the size of cattle.   "Gazette articles from the time recount wrecked bridges, hundreds of people forced from their homes and several deaths. No Schenectady flood since has equaled the water levels measured on March 28, 1914. Tropical Storm Irene missed the record by a full 7 feet."</t>
  </si>
  <si>
    <t xml:space="preserve">1908-01-11</t>
  </si>
  <si>
    <t xml:space="preserve">maximum annual gage height of 8.38 feet, affected by backwater from ice, reported at USGS gage Hudson River at Thurman, on January 11, 1908. -- Keywords: Hudson River at Thurman, NY on Jan 11, 1908 [3592]</t>
  </si>
  <si>
    <t xml:space="preserve">1907-03-14</t>
  </si>
  <si>
    <t xml:space="preserve">maximum annual gage height of 14.9 feet, affected by backwater from ice, reported at USGS gage Hoosic River at Buskirk, on March 14, 1907. -- Keywords: Hoosic River at Buskirk, NY on Mar 14, 1907 [3659]</t>
  </si>
  <si>
    <t xml:space="preserve">1904-03-08</t>
  </si>
  <si>
    <t xml:space="preserve">maximum annual gage height of 17.0 feet, affected by backwater from ice, reported at USGS gage Hoosic River at Buskirk, on March 8, 1904. -- Keywords: Hoosic River at Buskirk, NY on Mar 08, 1904 [3658]</t>
  </si>
  <si>
    <t xml:space="preserve">1857-02-09</t>
  </si>
  <si>
    <t xml:space="preserve">USGS Water Resources Data for New York WY 2003 reported an annual maximum peak stage of 21.71ft on 09-FEB-1857 due to an ice jam at USGS gaging station 01359139 Hudson River at Albany, NY. The average daily discharge was not reported.</t>
  </si>
  <si>
    <t xml:space="preserve">Source: USACE CRREL Ice Jam Database, NY records within 75 mi of Westerlo — the Catskills / Hudson Valley / Mohawk Valley / Capital Region footprint (retrieved 2026-09-20). 522 records, 1857–2026. Far-western NY, Adirondack north, St. Lawrence and Southern Tier excluded as outside the region. Sort/filter the Dist. column to tighten.</t>
  </si>
  <si>
    <t xml:space="preserve">REPORTING BIAS: record density reflects when CRREL was collecting reports (heavy 1940s–2000s), NOT when jams occurred. Do not read the count per year as frequency. Many rows share one jam event across nearby towns.</t>
  </si>
  <si>
    <t xml:space="preserve">Feature</t>
  </si>
  <si>
    <t xml:space="preserve">Town</t>
  </si>
  <si>
    <t xml:space="preserve">Formation (rock)</t>
  </si>
  <si>
    <t xml:space="preserve">Entrance / sink description</t>
  </si>
  <si>
    <t xml:space="preserve">Dimensions</t>
  </si>
  <si>
    <t xml:space="preserve">Hydrology</t>
  </si>
  <si>
    <t xml:space="preserve">Status / notes</t>
  </si>
  <si>
    <t xml:space="preserve">Knox Cave</t>
  </si>
  <si>
    <t xml:space="preserve">Knox (Albany Co.)</t>
  </si>
  <si>
    <t xml:space="preserve">Manlius &amp; Coeymans Ls (Helderberg Grp)</t>
  </si>
  <si>
    <t xml:space="preserve">Steep-sided entrance sinkhole with two vertical walls; mouth near bottom of a ~60-ft ravine</t>
  </si>
  <si>
    <t xml:space="preserve">3000+ ft passage; famous 'Gun Barrel' 47 ft long x 14 in dia; commercial tour reached ~110 ft below surface</t>
  </si>
  <si>
    <t xml:space="preserve">Two intermittent streams sink into it; a lower ~1000-ft stream canyon (dug open 1990s below the Alabaster Room) resurges as an artesian spring to Onesquethaw Creek - the only flowing water in an otherwise dry NY cave</t>
  </si>
  <si>
    <t xml:space="preserve">ACTIVE karst sink. 1975 fatal ice collapse (see Events). NCC preserve, permit required. 72 new timber steps Aug 2025.</t>
  </si>
  <si>
    <t xml:space="preserve">Onesquethaw Cave</t>
  </si>
  <si>
    <t xml:space="preserve">Clarksville / New Scotland</t>
  </si>
  <si>
    <t xml:space="preserve">Onondaga Ls (Middle Devonian)</t>
  </si>
  <si>
    <t xml:space="preserve">Sinking-stream cave; low-lying flooded entrance sink surrounded on the W by steep shale hills</t>
  </si>
  <si>
    <t xml:space="preserve">1.4 sq mi drainage; can flood to the ceiling its entire length; only 15 ft elevation loss over much of it</t>
  </si>
  <si>
    <t xml:space="preserve">Stream sinks ~1000 ft NW of entrance (or directly into it in high runoff); flow resurges at a gravity spring ~1 mi away off Route 32 (also traced to Jordan Cave); steep shale hills on the W side dump huge runoff volumes into the sink. Upstream at Rtes 443 &amp; 85 the creek runs underground through a limestone-pavement conduit most of the year but overflows to surface plunge-pools/rapids in snowmelt or heavy rain</t>
  </si>
  <si>
    <t xml:space="preserve">ACTIVE. Prone to sudden flooding after intense rain. A cornfield sink is forming between entrance &amp; road; Irene opened an 18-in x 6-ft hole (2011, see Events). NCC preserve.</t>
  </si>
  <si>
    <t xml:space="preserve">Clarksville Cave (Ward-Gregory)</t>
  </si>
  <si>
    <t xml:space="preserve">Clarksville (New Scotland)</t>
  </si>
  <si>
    <t xml:space="preserve">Onondaga Ls</t>
  </si>
  <si>
    <t xml:space="preserve">Multiple entrances (Ward, Gregory, Osborn); former North Entrance now filled in. Formed along a tectonic fault (slickensides &amp; folds exposed in the Onesquethaw Creek bed just E of the Plank Rd stone bridge); passage ceilings tilt W-to-E from fault movement</t>
  </si>
  <si>
    <t xml:space="preserve">Preserve 14.2 acres (older mgmt plan) / 19.4 acres (2023); Ward section ~1200 ft (subway-like) to The Lake artesian pool; Gregory section ~450 ft to a sump. The two caves were joined in summer 1962 when drought dropped the Gregory sump ~3 ft, letting explorers wade the connection</t>
  </si>
  <si>
    <t xml:space="preserve">Same Onondaga karst zone as Onesquethaw. Gregory Entrance produces a TEMPORARY ARTESIAN SPRING several times a year - a surging pool that flows up out of the cave; in warm weather it can form and vanish within 24 hrs after sudden heavy rain, then runs under Route 443. Passages hold glacial meltwater pebble/cobble-in-clay fill (deglaciation ~12,000 yr ago) even in the loftiest parts - so the cave predates the last ice-sheet retreat</t>
  </si>
  <si>
    <t xml:space="preserve">ACTIVE. Most-visited non-commercial cave in the Northeast; periodic rescues. NCC preserve.</t>
  </si>
  <si>
    <t xml:space="preserve">Ella Armstrong Cave</t>
  </si>
  <si>
    <t xml:space="preserve">near Knox (Helderberg crest)</t>
  </si>
  <si>
    <t xml:space="preserve">Narrow slot dropping 8 ft from a shallow sinkhole into a canyon, then a 23-ft drop</t>
  </si>
  <si>
    <t xml:space="preserve">~260 ft main passage, 10–20 ft high; formed by waterfall headward dissolution</t>
  </si>
  <si>
    <t xml:space="preserve">Small infeeder streams</t>
  </si>
  <si>
    <t xml:space="preserve">ACTIVE sink. NCC preserve near Knox &amp; Skull caves.</t>
  </si>
  <si>
    <t xml:space="preserve">Skull Cave</t>
  </si>
  <si>
    <t xml:space="preserve">near Knox</t>
  </si>
  <si>
    <t xml:space="preserve">Manlius/Coeymans Ls</t>
  </si>
  <si>
    <t xml:space="preserve">Vertical/sink entrance near Knox Cave</t>
  </si>
  <si>
    <t xml:space="preserve">Small; part of the Knox cluster</t>
  </si>
  <si>
    <t xml:space="preserve">Near Knox Cave; on the same karst crest.</t>
  </si>
  <si>
    <t xml:space="preserve">Slingerland (Chatter-Stone-Hole) / Leonard / Jordan</t>
  </si>
  <si>
    <t xml:space="preserve">New Scotland karst bench</t>
  </si>
  <si>
    <t xml:space="preserve">Sinks and resurgences in the Onondaga bench</t>
  </si>
  <si>
    <t xml:space="preserve">Part of the Onesquethaw–Clarksville karst zone; Jordan Cave is a resurgence</t>
  </si>
  <si>
    <t xml:space="preserve">ACTIVE karst zone bounded W by Hamilton shale hills, E by the Onondaga escarpment.</t>
  </si>
  <si>
    <t xml:space="preserve">McFails Cave</t>
  </si>
  <si>
    <t xml:space="preserve">Manlius &amp; Coeymans Ls</t>
  </si>
  <si>
    <t xml:space="preserve">Historic 110-ft vertical entrance sink (now collapsed/unstable); current access via two rope drops (Ackshack; a silo-like waterfall pit)</t>
  </si>
  <si>
    <t xml:space="preserve">7+ mi surveyed (longest in the NE); high canyons &amp; large decorated chambers; downstream sumps flood to the ceiling; entrance requires a 70-ft rappel (through a waterfall in wet weather)</t>
  </si>
  <si>
    <t xml:space="preserve">Fed by many fissures, sinks &amp; disappearing streams; normal flow dye-traced to Doc Shauls Spring (2+ mi); in heavy snowmelt/tropical-storm flow the excess overflows into Howe Caverns (2+ mi)</t>
  </si>
  <si>
    <t xml:space="preserve">ACTIVE. Historic entrance became unstable and COLLAPSED (see Events, date approx). NSS-owned, NCC-managed. Wetsuit required; trips up to 12 hrs.</t>
  </si>
  <si>
    <t xml:space="preserve">Doc Shauls Spring</t>
  </si>
  <si>
    <t xml:space="preserve">Cobleskill plateau</t>
  </si>
  <si>
    <t xml:space="preserve">Enormous artesian spring rising in a crater-like depression</t>
  </si>
  <si>
    <t xml:space="preserve">Resurgence of the McFails stream in normal flow; becomes tributary to Cobleskill Creek</t>
  </si>
  <si>
    <t xml:space="preserve">Karst resurgence / spring — the discharge end of the McFails system.</t>
  </si>
  <si>
    <t xml:space="preserve">Howe/Barytes/Bensons/Secret Caverns complex</t>
  </si>
  <si>
    <t xml:space="preserve">Howe Caves / Cobleskill (Schoharie Co.)</t>
  </si>
  <si>
    <t xml:space="preserve">Manlius &amp; Coeymans Ls (common base level)</t>
  </si>
  <si>
    <t xml:space="preserve">Interconnected caves + sinks; part of a suspected ~26-mi plateau system if fragments joined</t>
  </si>
  <si>
    <t xml:space="preserve">Howe Caverns commercial; Barytes joined to the quarried remnant of Howe; Bensons connects hydrologically to Secret Caverns</t>
  </si>
  <si>
    <t xml:space="preserve">McFails overflow reaches Howe in high water; shared base level over the aquiclude</t>
  </si>
  <si>
    <t xml:space="preserve">ACTIVE karst complex. The plateau above Cobleskill is pockmarked with sinkholes 70+ ft deep swallowing streams.</t>
  </si>
  <si>
    <t xml:space="preserve">Schoharie Caverns</t>
  </si>
  <si>
    <t xml:space="preserve">Barton Hill, Schoharie Co.</t>
  </si>
  <si>
    <t xml:space="preserve">Manlius/Coeymans/Onondaga Ls</t>
  </si>
  <si>
    <t xml:space="preserve">Slot-canyon cave; entrance at the base of a limestone cliff on the edge of the plateau above Fox &amp; Schoharie creeks</t>
  </si>
  <si>
    <t xml:space="preserve">~0.5 mi of streamway with intact stalactites/stalagmites</t>
  </si>
  <si>
    <t xml:space="preserve">Active streamway</t>
  </si>
  <si>
    <t xml:space="preserve">NSS-owned (donated by Jim Gage). Cabin on site for visiting cavers. Barton Hill is riddled with caves.</t>
  </si>
  <si>
    <t xml:space="preserve">Balls Cave</t>
  </si>
  <si>
    <t xml:space="preserve">Vertical entrance in heavily-wooded hillside; visited 150+ years</t>
  </si>
  <si>
    <t xml:space="preserve">Immense rooms + low crawlways; a flooded 'Lost Passage' requires an 'ear dip'</t>
  </si>
  <si>
    <t xml:space="preserve">NSS-owned: the James Gage Karst Preserve (Barton Hill), donated by the Gage family. Cave named for its 19th-c. landowner.</t>
  </si>
  <si>
    <t xml:space="preserve">Spider Cave</t>
  </si>
  <si>
    <t xml:space="preserve">'Storybook' entrance; agonizingly tight wet main passage 1000+ ft into the plateau</t>
  </si>
  <si>
    <t xml:space="preserve">1000+ ft; first ~100 ft easily accessible (and full of spiders)</t>
  </si>
  <si>
    <t xml:space="preserve">Recently donated to the NCC by a local landowner.</t>
  </si>
  <si>
    <t xml:space="preserve">TV Tower Cave</t>
  </si>
  <si>
    <t xml:space="preserve">Beaver Dam Rd, above Thacher Park (Albany Co.)</t>
  </si>
  <si>
    <t xml:space="preserve">Onondaga Ls (base) under Hamilton shale/sandstone</t>
  </si>
  <si>
    <t xml:space="preserve">Insurgence sinkhole with a mossy natural bridge; sits precisely at the contact between soluble Onondaga limestone and the overlying insoluble Hamilton strata</t>
  </si>
  <si>
    <t xml:space="preserve">Surface streams off the non-dissolving Hamilton uplands sink here where they meet the Onondaga limestone — a textbook insurgence point</t>
  </si>
  <si>
    <t xml:space="preserve">ACTIVE insurgence sink. Illustrates the limestone/shale contact that localizes plateau karst; marks the toe of the Catskill Delta.</t>
  </si>
  <si>
    <t xml:space="preserve">Old Skull Cave sinkhole (filled)</t>
  </si>
  <si>
    <t xml:space="preserve">Wide vertical sink ~60 ft deep, a few hundred yards from the Knox &amp; New Skull entrances; wall fluting shows it was a major water-insurgence point in the past</t>
  </si>
  <si>
    <t xml:space="preserve">~60 ft deep; upper ~10 ft still visible in the 1960s; now filled level with the fields</t>
  </si>
  <si>
    <t xml:space="preserve">Former insurgence point; underlying Old Skull Cave never re-entered</t>
  </si>
  <si>
    <t xml:space="preserve">FILLED / ERASED feature. A mid-1800s farmer dumped boulders then dirt into it after reportedly finding human &amp; large-animal bones (steer or Ice-Age ground sloth, per legend) on the chamber floor. Deliberately obliterated by hand - a human-filled karst sink.</t>
  </si>
  <si>
    <t xml:space="preserve">New Skull Cave</t>
  </si>
  <si>
    <t xml:space="preserve">Separate cave system &lt;1000 ft from Knox Cave; Knox's 'Frustration Crawl' heads straight toward it but is blocked by flowstone curtains</t>
  </si>
  <si>
    <t xml:space="preserve">5+ mi of tortuous wet muddy passage, not fully explored</t>
  </si>
  <si>
    <t xml:space="preserve">Own system; a Knox–New Skull connection would make one of the Northeast's largest caves</t>
  </si>
  <si>
    <t xml:space="preserve">ACTIVE, off-limits to sport cavers for years. Named for the nearby Old Skull sinkhole.</t>
  </si>
  <si>
    <t xml:space="preserve">Loden sinkhole</t>
  </si>
  <si>
    <t xml:space="preserve">Wright (Schoharie Co.), Middle Rd</t>
  </si>
  <si>
    <t xml:space="preserve">Becraft Ls over New Scotland Ls</t>
  </si>
  <si>
    <t xml:space="preserve">Steep-walled monster sink ~50 ft deep, large enough to appear on topo maps; punches through surface Becraft limestone into the underlying New Scotland limestone; close to Middle Rd</t>
  </si>
  <si>
    <t xml:space="preserve">~50 ft deep; takes a stream; muddy rubble-strewn bottom over a suspected sizable cave</t>
  </si>
  <si>
    <t xml:space="preserve">Dye-traced to Bogardus Spring near Route 443, ~2 mi away (crow-flies); water reaches the karst aquifer with no filtration</t>
  </si>
  <si>
    <t xml:space="preserve">ACTIVE stream-swallowing sink on private land (Loden family since 1918). Chronic illegal dumping (carcasses, tires, trash) enters the aquifer directly — a karst water-quality hazard. Near Skull Cave, also on Middle Rd. DEC notified 2014.</t>
  </si>
  <si>
    <t xml:space="preserve">Helderberg–Cobleskill karst (regional)</t>
  </si>
  <si>
    <t xml:space="preserve">Coeymans, Manlius, Onondaga Ls</t>
  </si>
  <si>
    <t xml:space="preserve">Thousands of sinkholes, swallets, fissures and grikes across many sq mi; disappearing streams</t>
  </si>
  <si>
    <t xml:space="preserve">Largest karst drainage in the Northeast</t>
  </si>
  <si>
    <t xml:space="preserve">Cobleskill Creek loses most of its flow underground where it crosses the Coeymans Ls; surface streams vanish into 'gaping fissures'</t>
  </si>
  <si>
    <t xml:space="preserve">STANDING HAZARD, not an event. Limestone dissolved by mildly acidic water down to an aquiclude (shale/sandstone) that sets base level; water then resurges as springs (Thacher Park cliffs, artesian springs). Bedrock within inches of the surface in places; sinkholes 70+ ft deep. Discrete collapses rarely reported/dated.</t>
  </si>
  <si>
    <t xml:space="preserve">Caboose Cave</t>
  </si>
  <si>
    <t xml:space="preserve">Barton Hill (Gallupville, Schoharie Co.)</t>
  </si>
  <si>
    <t xml:space="preserve">Helderberg Grp Ls (Manlius/Coeymans)</t>
  </si>
  <si>
    <t xml:space="preserve">One of the Barton Hill caves; entrances/passages follow the gentle SW dip of the strata, with cold springs bursting from the cliff base along Rtes 146/443</t>
  </si>
  <si>
    <t xml:space="preserve">(not measured in source)</t>
  </si>
  <si>
    <t xml:space="preserve">Part of the Barton Hill dip-parallel set; some insurgence points known, others buried under glacial cover</t>
  </si>
  <si>
    <t xml:space="preserve">Known cave (Nardacci, Altamont Enterprise 21 Apr 2016). Coordinates/dimensions NEEDED — Mylroie 1977 (NY Cave Survey Bull. 2) is the systematic source. Confidence C.</t>
  </si>
  <si>
    <t xml:space="preserve">Single X Cave</t>
  </si>
  <si>
    <t xml:space="preserve">Barton Hill cave known to sport cavers; parallels the other systems along the SW dip</t>
  </si>
  <si>
    <t xml:space="preserve">Barton Hill karst; insurgence not individually documented in source</t>
  </si>
  <si>
    <t xml:space="preserve">Known cave (Nardacci 2016). Coordinates/dimensions NEEDED. Confidence C.</t>
  </si>
  <si>
    <t xml:space="preserve">Joober Hole</t>
  </si>
  <si>
    <t xml:space="preserve">Helderberg Grp Ls</t>
  </si>
  <si>
    <t xml:space="preserve">Enormous OCCLUDED sinkhole — wholly/partly blocked by sediment; one of several on Barton Hill that imply far more cave than is currently enterable</t>
  </si>
  <si>
    <t xml:space="preserve">(large; not measured in source)</t>
  </si>
  <si>
    <t xml:space="preserve">Occluded sink: surface debris cuts off human entry and most water; the cave below is inferred, not entered</t>
  </si>
  <si>
    <t xml:space="preserve">Named occluded sinkhole (Nardacci 2016), Barton Hill. Coordinates NEEDED. Confidence C.</t>
  </si>
  <si>
    <t xml:space="preserve">Hannacroix Maze</t>
  </si>
  <si>
    <t xml:space="preserve">Joralemon Park, near Ravena (Coeymans, Albany Co.)</t>
  </si>
  <si>
    <t xml:space="preserve">Joint-controlled MAZE cave — acidic floodwater injected under pressure into a dense joint set carved a labyrinth</t>
  </si>
  <si>
    <t xml:space="preserve">True maze; NSS-mapped</t>
  </si>
  <si>
    <t xml:space="preserve">Drains an adjacent beaver pond; fetid standing water; feeds the Hannacroix Creek</t>
  </si>
  <si>
    <t xml:space="preserve">ACTIVE. A lowland Onondaga karst pocket SE of the escarpment cluster — the register's first Ravena/Coeymans-area feature. Nardacci 'Back Roads Geology'.</t>
  </si>
  <si>
    <t xml:space="preserve">Joralemon Cave</t>
  </si>
  <si>
    <t xml:space="preserve">Joralemon Park, Rte 102, Ravena (Coeymans, Albany Co.)</t>
  </si>
  <si>
    <t xml:space="preserve">Entrance on the E side of Rte 102 in a limestone bluff; a segment of a long-vanished cave system (erosional remnant)</t>
  </si>
  <si>
    <t xml:space="preserve">(not given in source)</t>
  </si>
  <si>
    <t xml:space="preserve">Part of the Joralemon karst — seeps, springs, sinkholes &amp; karst ponds under moisture-trapping hardwoods</t>
  </si>
  <si>
    <t xml:space="preserve">Named cave (Nardacci 'Back Roads Geology'). Coordinates/dimensions NEEDED. Lowland Onondaga karst near Ravena.</t>
  </si>
  <si>
    <t xml:space="preserve">This sheet is an INVENTORY of standing karst subsidence features on the Helderberg plateau, NOT a list of dated events. Karst collapse mostly happens unwitnessed; discrete DATED collapses (1975 Knox ice fall; 2011 Irene hole at Onesquethaw) are in the Events sheet under category 'Sinkhole / karst (event)'.</t>
  </si>
  <si>
    <t xml:space="preserve">Mechanism note: these are dissolution/collapse features in Devonian limestone — a DIFFERENT process from the infrastructure 'sinkholes' (water-main / culvert washouts: Madison Ave 2016, Troy 2023, McKownville 2023–24) which are in Events, tagged as human-caused. Filter by category, not the word 'sinkhole'.</t>
  </si>
  <si>
    <t xml:space="preserve">Source: Northeastern Cave Conservancy preserve management plans (necaveconservancy.org/preserves/), NSS 1991 Knox writeup, Altamont Enterprise 'Back Roads Geology' (Nardacci), NYSGA 1991 Helderberg karst field guide.</t>
  </si>
  <si>
    <t xml:space="preserve">Stratigraphy (oldest/lowest to youngest/highest, per Ver Straeten/Nardacci): Schenectady &amp; Indian Ladder beds (Ordovician) &lt; Brayman sh, Rondout (Silurian) &lt; Manlius, Coeymans (escarpment cave-formers) &lt; Kalkberg, New Scotland &lt; Becraft &lt; Oriskany Ss &lt; Esopus sh &lt; Onondaga Ls (Clarksville/Onesquethaw cave-former) &lt; Hamilton sh/ss (insoluble caprock). Caves form in the pure limestones (Manlius, Coeymans, Onondaga); insoluble shales above/below set the insurgence &amp; resurgence contacts.</t>
  </si>
  <si>
    <t xml:space="preserve">SYSTEMATIC DATA SOURCES (the way to catch collapses no newspaper covered): (1) USGS Kappel et al. 2020, Statewide Assessment of Karst Aquifers in NY, SIR 2020-5030 - GIS karst datasets, closed depressions, karst-prone bedrock, incl. Knox Cave. (2) USGS SIR 2021-5094, Albany-Buffalo karst aquifer methods. (3) SUNY Brockport (Paul Richards) LiDAR study of Albany Co. karst, 2014-15: classified 2,174 Definitely Karst / 412 Not Karst / 2,775 Possible Karst features, 150 field surveys, 17 GPR profiles. (4) Cornell karst / manure-management database (hydrology.bee.cornell.edu/Karst_Webpage). These are the register-grade inventory sources; the Nardacci columns are narrative color.</t>
  </si>
  <si>
    <t xml:space="preserve">FeatID</t>
  </si>
  <si>
    <t xml:space="preserve">Bedrock unit (MapUnit)</t>
  </si>
  <si>
    <t xml:space="preserve">Karst class</t>
  </si>
  <si>
    <t xml:space="preserve">Likely origin</t>
  </si>
  <si>
    <t xml:space="preserve">Description (USGS)</t>
  </si>
  <si>
    <t xml:space="preserve">Lat</t>
  </si>
  <si>
    <t xml:space="preserve">Lon</t>
  </si>
  <si>
    <t xml:space="preserve">LiDAR-36-001-16</t>
  </si>
  <si>
    <t xml:space="preserve">Albany County</t>
  </si>
  <si>
    <t xml:space="preserve">Onondaga</t>
  </si>
  <si>
    <t xml:space="preserve">karst-prone (carbonate)</t>
  </si>
  <si>
    <t xml:space="preserve">natural?</t>
  </si>
  <si>
    <t xml:space="preserve">Located in agricultural land, surface drainage terminates at copse of trees, "sinkhole" signature</t>
  </si>
  <si>
    <t xml:space="preserve">LiDAR-36-001-17</t>
  </si>
  <si>
    <t xml:space="preserve">Forested area</t>
  </si>
  <si>
    <t xml:space="preserve">LiDAR-36-001-14</t>
  </si>
  <si>
    <t xml:space="preserve">Non-carbonate</t>
  </si>
  <si>
    <t xml:space="preserve">non-carbonate</t>
  </si>
  <si>
    <t xml:space="preserve">non-karst</t>
  </si>
  <si>
    <t xml:space="preserve">LiDAR-36-001-13</t>
  </si>
  <si>
    <t xml:space="preserve">Possible shallow depression in wooded area</t>
  </si>
  <si>
    <t xml:space="preserve">LiDAR-36-001-15</t>
  </si>
  <si>
    <t xml:space="preserve">Forested area adjacent to agricultural land.</t>
  </si>
  <si>
    <t xml:space="preserve">LiDAR-36-039-1</t>
  </si>
  <si>
    <t xml:space="preserve">Greene County</t>
  </si>
  <si>
    <t xml:space="preserve">Akron</t>
  </si>
  <si>
    <t xml:space="preserve">anthropogenic</t>
  </si>
  <si>
    <t xml:space="preserve">Former gravel pit</t>
  </si>
  <si>
    <t xml:space="preserve">LiDAR-36-001-7</t>
  </si>
  <si>
    <t xml:space="preserve">Shallow depression, partially wooded, adjacent to gravel pit, usually wet or ponded</t>
  </si>
  <si>
    <t xml:space="preserve">LiDAR-36-001-6</t>
  </si>
  <si>
    <t xml:space="preserve">Shallow depression, partially wooded, adjacent to gravel pit</t>
  </si>
  <si>
    <t xml:space="preserve">LiDAR-36-001-11</t>
  </si>
  <si>
    <t xml:space="preserve">Forested area adjacent to agricultural land</t>
  </si>
  <si>
    <t xml:space="preserve">LiDAR-36-001-12</t>
  </si>
  <si>
    <t xml:space="preserve">LiDAR-36-001-9</t>
  </si>
  <si>
    <t xml:space="preserve">Partially forested area</t>
  </si>
  <si>
    <t xml:space="preserve">LiDAR-36-001-10</t>
  </si>
  <si>
    <t xml:space="preserve">LiDAR-36-001-5</t>
  </si>
  <si>
    <t xml:space="preserve">LiDAR-36-001-8</t>
  </si>
  <si>
    <t xml:space="preserve">LiDAR-36-039-2</t>
  </si>
  <si>
    <t xml:space="preserve">LiDAR-36-039-3</t>
  </si>
  <si>
    <t xml:space="preserve">Private residence, former gravel pit</t>
  </si>
  <si>
    <t xml:space="preserve">LiDAR-36-001-2</t>
  </si>
  <si>
    <t xml:space="preserve">Transects agricultural land and wooded area, no crop stress or standing liquid observed.</t>
  </si>
  <si>
    <t xml:space="preserve">LiDAR-36-001-4</t>
  </si>
  <si>
    <t xml:space="preserve">Partially forested</t>
  </si>
  <si>
    <t xml:space="preserve">LiDAR-36-001-1</t>
  </si>
  <si>
    <t xml:space="preserve">Transects wooded area and scrap yard</t>
  </si>
  <si>
    <t xml:space="preserve">LiDAR-36-001-3</t>
  </si>
  <si>
    <t xml:space="preserve">LiDAR-36-039-4</t>
  </si>
  <si>
    <t xml:space="preserve">LiDAR-36-021-3</t>
  </si>
  <si>
    <t xml:space="preserve">Columbia County</t>
  </si>
  <si>
    <t xml:space="preserve">Gravel pit</t>
  </si>
  <si>
    <t xml:space="preserve">LiDAR-36-021-5</t>
  </si>
  <si>
    <t xml:space="preserve">Detention basin in mixed-use development area</t>
  </si>
  <si>
    <t xml:space="preserve">LiDAR-36-021-4</t>
  </si>
  <si>
    <t xml:space="preserve">Located in partially forested area adjacent to agricultural land, possible sinkhole 50m NE at edge of forested area.</t>
  </si>
  <si>
    <t xml:space="preserve">LiDAR-36-039-5</t>
  </si>
  <si>
    <t xml:space="preserve">Quarry</t>
  </si>
  <si>
    <t xml:space="preserve">LiDAR-36-039-6</t>
  </si>
  <si>
    <t xml:space="preserve">LiDAR-36-039-7</t>
  </si>
  <si>
    <t xml:space="preserve">LiDAR-36-021-8</t>
  </si>
  <si>
    <t xml:space="preserve">Detention basin at industrial facility, wet/ponded some years</t>
  </si>
  <si>
    <t xml:space="preserve">LiDAR-36-021-7</t>
  </si>
  <si>
    <t xml:space="preserve">LiDAR-36-095-2</t>
  </si>
  <si>
    <t xml:space="preserve">Probable detention basin, located in wooded area adjacent to agricultural land, near Cobleskill Creek</t>
  </si>
  <si>
    <t xml:space="preserve">LiDAR-36-039-8</t>
  </si>
  <si>
    <t xml:space="preserve">LiDAR-36-093-2</t>
  </si>
  <si>
    <t xml:space="preserve">Forested area, adjacent to a mix of agricultural land and residential development.</t>
  </si>
  <si>
    <t xml:space="preserve">LiDAR-36-021-9</t>
  </si>
  <si>
    <t xml:space="preserve">Detention basin adjacent to orchard/agricultural land</t>
  </si>
  <si>
    <t xml:space="preserve">LiDAR-36-021-6</t>
  </si>
  <si>
    <t xml:space="preserve">Shallow depression in agricultural land, copse of trees in farm field, wet some years</t>
  </si>
  <si>
    <t xml:space="preserve">LiDAR-36-039-9</t>
  </si>
  <si>
    <t xml:space="preserve">LiDAR-36-093-1</t>
  </si>
  <si>
    <t xml:space="preserve">Wooded area, probable former gravel pit</t>
  </si>
  <si>
    <t xml:space="preserve">LiDAR-36-021-10</t>
  </si>
  <si>
    <t xml:space="preserve">LiDAR-36-057-1</t>
  </si>
  <si>
    <t xml:space="preserve">Montgomery County</t>
  </si>
  <si>
    <t xml:space="preserve">Beekmantown</t>
  </si>
  <si>
    <t xml:space="preserve">Former quarry, ponded most years.</t>
  </si>
  <si>
    <t xml:space="preserve">LiDAR-36-095-3</t>
  </si>
  <si>
    <t xml:space="preserve">Excavated pond associated with private residence</t>
  </si>
  <si>
    <t xml:space="preserve">LiDAR-36-057-3</t>
  </si>
  <si>
    <t xml:space="preserve">Detention basin in light-industrial development area</t>
  </si>
  <si>
    <t xml:space="preserve">LiDAR-36-057-4</t>
  </si>
  <si>
    <t xml:space="preserve">LiDAR-36-057-2</t>
  </si>
  <si>
    <t xml:space="preserve">LiDAR-36-021-11</t>
  </si>
  <si>
    <t xml:space="preserve">Shallow depression in agricultural land</t>
  </si>
  <si>
    <t xml:space="preserve">LiDAR-36-021-12</t>
  </si>
  <si>
    <t xml:space="preserve">LiDAR-36-083-1</t>
  </si>
  <si>
    <t xml:space="preserve">LiDAR-36-111-1</t>
  </si>
  <si>
    <t xml:space="preserve">Ulster County</t>
  </si>
  <si>
    <t xml:space="preserve">Bedrock quarry</t>
  </si>
  <si>
    <t xml:space="preserve">LiDAR-36-021-2</t>
  </si>
  <si>
    <t xml:space="preserve">CalciticDolomiticMarble</t>
  </si>
  <si>
    <t xml:space="preserve">LiDAR-36-021-1</t>
  </si>
  <si>
    <t xml:space="preserve">LiDAR-36-057-6</t>
  </si>
  <si>
    <t xml:space="preserve">Extent includes agricultural land and wetland land cover, wet area in the southwest portion noted on several years of imagery</t>
  </si>
  <si>
    <t xml:space="preserve">LiDAR-36-057-5</t>
  </si>
  <si>
    <t xml:space="preserve">LiDAR-36-021-15</t>
  </si>
  <si>
    <t xml:space="preserve">Shallow depression located in athletic field at campground</t>
  </si>
  <si>
    <t xml:space="preserve">LiDAR-36-083-2</t>
  </si>
  <si>
    <t xml:space="preserve">Copse of trees transecting agricultural land</t>
  </si>
  <si>
    <t xml:space="preserve">LiDAR-36-095-1</t>
  </si>
  <si>
    <t xml:space="preserve">Copse of trees in agricultural land, similar but smaller features observed 150m S and 250m E, smaller features exhibit "sinkhole" signature</t>
  </si>
  <si>
    <t xml:space="preserve">LiDAR-36-091-27</t>
  </si>
  <si>
    <t xml:space="preserve">Wooded area, identified as nature preserve on Google Maps, possible former sand/gravel pit.</t>
  </si>
  <si>
    <t xml:space="preserve">LiDAR-36-027-3</t>
  </si>
  <si>
    <t xml:space="preserve">Dutchess County</t>
  </si>
  <si>
    <t xml:space="preserve">Possible shallow depression in agricultural land.</t>
  </si>
  <si>
    <t xml:space="preserve">LiDAR-36-027-1</t>
  </si>
  <si>
    <t xml:space="preserve">Located adjacent to agricultural land, ponded some years</t>
  </si>
  <si>
    <t xml:space="preserve">LiDAR-36-111-2</t>
  </si>
  <si>
    <t xml:space="preserve">Forested area, no indication of plant stress or standing water</t>
  </si>
  <si>
    <t xml:space="preserve">LiDAR-36-027-2</t>
  </si>
  <si>
    <t xml:space="preserve">Shallow depression in agricultural land.</t>
  </si>
  <si>
    <t xml:space="preserve">LiDAR-36-111-3</t>
  </si>
  <si>
    <t xml:space="preserve">Created by driveway roadbed, wet/ponded most years.</t>
  </si>
  <si>
    <t xml:space="preserve">LiDAR-36-027-4</t>
  </si>
  <si>
    <t xml:space="preserve">Wooded wetland in agricultural land, similar feature located 100 meters due east</t>
  </si>
  <si>
    <t xml:space="preserve">LiDAR-36-091-26</t>
  </si>
  <si>
    <t xml:space="preserve">LiDAR-36-111-4</t>
  </si>
  <si>
    <t xml:space="preserve">LiDAR-36-111-6</t>
  </si>
  <si>
    <t xml:space="preserve">LiDAR-36-111-5</t>
  </si>
  <si>
    <t xml:space="preserve">LiDAR-36-111-7</t>
  </si>
  <si>
    <t xml:space="preserve">Former quarry</t>
  </si>
  <si>
    <t xml:space="preserve">LiDAR-36-091-25</t>
  </si>
  <si>
    <t xml:space="preserve">Wooded wetland</t>
  </si>
  <si>
    <t xml:space="preserve">LiDAR-36-021-13</t>
  </si>
  <si>
    <t xml:space="preserve">LiDAR-36-111-8</t>
  </si>
  <si>
    <t xml:space="preserve">LiDAR-36-077-5</t>
  </si>
  <si>
    <t xml:space="preserve">Otsego County</t>
  </si>
  <si>
    <t xml:space="preserve">Sand or gravel pit</t>
  </si>
  <si>
    <t xml:space="preserve">LiDAR-36-091-24</t>
  </si>
  <si>
    <t xml:space="preserve">LiDAR-36-027-5</t>
  </si>
  <si>
    <t xml:space="preserve">Possible shallow depression in area of mixed forest/rural residential land use.</t>
  </si>
  <si>
    <t xml:space="preserve">LiDAR-36-021-16</t>
  </si>
  <si>
    <t xml:space="preserve">Excavated farm pond</t>
  </si>
  <si>
    <t xml:space="preserve">LiDAR-36-021-14</t>
  </si>
  <si>
    <t xml:space="preserve">LiDAR-36-021-17</t>
  </si>
  <si>
    <t xml:space="preserve">LiDAR-36-077-4</t>
  </si>
  <si>
    <t xml:space="preserve">Non-carbonate over carbonate</t>
  </si>
  <si>
    <t xml:space="preserve">mixed (non-carb/carb)</t>
  </si>
  <si>
    <t xml:space="preserve">Created by US RT 20 roadbed, adjacent to agricultural land, ponded some years.</t>
  </si>
  <si>
    <t xml:space="preserve">LiDAR-36-111-9</t>
  </si>
  <si>
    <t xml:space="preserve">LiDAR-36-035-3</t>
  </si>
  <si>
    <t xml:space="preserve">Fulton County</t>
  </si>
  <si>
    <t xml:space="preserve">LiDAR-36-077-2</t>
  </si>
  <si>
    <t xml:space="preserve">Possible shallow depression in agricultural land, no crop stress or standing liquid noted.</t>
  </si>
  <si>
    <t xml:space="preserve">LiDAR-36-111-10</t>
  </si>
  <si>
    <t xml:space="preserve">LiDAR-36-027-6</t>
  </si>
  <si>
    <t xml:space="preserve">Wappinger Group</t>
  </si>
  <si>
    <t xml:space="preserve">Shallow depression in wooded area, ponding evident some years</t>
  </si>
  <si>
    <t xml:space="preserve">LiDAR-36-111-11</t>
  </si>
  <si>
    <t xml:space="preserve">LiDAR-36-035-2</t>
  </si>
  <si>
    <t xml:space="preserve">Heavily wooded area, possible tree plantation site</t>
  </si>
  <si>
    <t xml:space="preserve">LiDAR-36-035-1</t>
  </si>
  <si>
    <t xml:space="preserve">LiDAR-36-091-21</t>
  </si>
  <si>
    <t xml:space="preserve">Golf course water feature</t>
  </si>
  <si>
    <t xml:space="preserve">LiDAR-36-091-22</t>
  </si>
  <si>
    <t xml:space="preserve">Partially wooded, wet/ponded some years</t>
  </si>
  <si>
    <t xml:space="preserve">LiDAR-36-043-18</t>
  </si>
  <si>
    <t xml:space="preserve">Herkimer County</t>
  </si>
  <si>
    <t xml:space="preserve">Shallow depression transecting agricultural/plantation/fallow land</t>
  </si>
  <si>
    <t xml:space="preserve">LiDAR-36-091-20</t>
  </si>
  <si>
    <t xml:space="preserve">LiDAR-36-077-1</t>
  </si>
  <si>
    <t xml:space="preserve">Located in agricultural land, "sinkhole" signature, wet or ponded most years</t>
  </si>
  <si>
    <t xml:space="preserve">LiDAR-36-111-12</t>
  </si>
  <si>
    <t xml:space="preserve">Transects wooded wetland/agricultural land, no indication of crop stress or standing liquid.</t>
  </si>
  <si>
    <t xml:space="preserve">LiDAR-36-111-13</t>
  </si>
  <si>
    <t xml:space="preserve">Disturbed ground in wooded area adjacent to residential and agricutural land use.</t>
  </si>
  <si>
    <t xml:space="preserve">LiDAR-36-091-23</t>
  </si>
  <si>
    <t xml:space="preserve">LiDAR-36-043-20</t>
  </si>
  <si>
    <t xml:space="preserve">Shallow depression transecting agricultural/fallow land</t>
  </si>
  <si>
    <t xml:space="preserve">LiDAR-36-111-15</t>
  </si>
  <si>
    <t xml:space="preserve">Wooded area at private residence, adjacent to agricultural land, no indication of wet soil or ponding.</t>
  </si>
  <si>
    <t xml:space="preserve">LiDAR-36-091-19</t>
  </si>
  <si>
    <t xml:space="preserve">LiDAR-36-091-16</t>
  </si>
  <si>
    <t xml:space="preserve">LiDAR-36-091-18</t>
  </si>
  <si>
    <t xml:space="preserve">LiDAR-36-091-6</t>
  </si>
  <si>
    <t xml:space="preserve">Shallow depression located at golf course</t>
  </si>
  <si>
    <t xml:space="preserve">LiDAR-36-091-17</t>
  </si>
  <si>
    <t xml:space="preserve">LiDAR-36-111-14</t>
  </si>
  <si>
    <t xml:space="preserve">LiDAR-36-091-13</t>
  </si>
  <si>
    <t xml:space="preserve">LiDAR-36-091-14</t>
  </si>
  <si>
    <t xml:space="preserve">LiDAR-36-091-12</t>
  </si>
  <si>
    <t xml:space="preserve">LiDAR-36-091-15</t>
  </si>
  <si>
    <t xml:space="preserve">LiDAR-36-091-8</t>
  </si>
  <si>
    <t xml:space="preserve">LiDAR-36-091-9</t>
  </si>
  <si>
    <t xml:space="preserve">LiDAR-36-077-3</t>
  </si>
  <si>
    <t xml:space="preserve">Gravel pit, rock quarry, very evident structure on quarry floor</t>
  </si>
  <si>
    <t xml:space="preserve">LiDAR-36-091-10</t>
  </si>
  <si>
    <t xml:space="preserve">LiDAR-36-091-11</t>
  </si>
  <si>
    <t xml:space="preserve">Shallow depression in partially-cleared/forested area, adjacent to rural-residential development</t>
  </si>
  <si>
    <t xml:space="preserve">LiDAR-36-043-15</t>
  </si>
  <si>
    <t xml:space="preserve">Probable shallow depression in agricultural land, crop stress noted some years.</t>
  </si>
  <si>
    <t xml:space="preserve">LiDAR-36-091-7</t>
  </si>
  <si>
    <t xml:space="preserve">LiDAR-36-091-5</t>
  </si>
  <si>
    <t xml:space="preserve">LiDAR-36-027-7</t>
  </si>
  <si>
    <t xml:space="preserve">Possible former gravel/borrow pit</t>
  </si>
  <si>
    <t xml:space="preserve">LiDAR-36-027-9</t>
  </si>
  <si>
    <t xml:space="preserve">LiDAR-36-091-4</t>
  </si>
  <si>
    <t xml:space="preserve">LiDAR-36-111-16</t>
  </si>
  <si>
    <t xml:space="preserve">LiDAR-36-027-8</t>
  </si>
  <si>
    <t xml:space="preserve">Sand/gravel pit</t>
  </si>
  <si>
    <t xml:space="preserve">LiDAR-36-111-17</t>
  </si>
  <si>
    <t xml:space="preserve">Possible former gravel pit, ponded</t>
  </si>
  <si>
    <t xml:space="preserve">LiDAR-36-091-3</t>
  </si>
  <si>
    <t xml:space="preserve">Shallow depression located at landfill</t>
  </si>
  <si>
    <t xml:space="preserve">LiDAR-36-111-18</t>
  </si>
  <si>
    <t xml:space="preserve">Depression located within wooded area, ponded most years</t>
  </si>
  <si>
    <t xml:space="preserve">LiDAR-36-043-9</t>
  </si>
  <si>
    <t xml:space="preserve">Possible shallow depression in wooded area adjacent to agricultural land</t>
  </si>
  <si>
    <t xml:space="preserve">LiDAR-36-111-20</t>
  </si>
  <si>
    <t xml:space="preserve">Detention basin</t>
  </si>
  <si>
    <t xml:space="preserve">LiDAR-36-043-4</t>
  </si>
  <si>
    <t xml:space="preserve">Impeded drainage along former Erie Canal</t>
  </si>
  <si>
    <t xml:space="preserve">LiDAR-36-027-10</t>
  </si>
  <si>
    <t xml:space="preserve">LiDAR-36-091-1</t>
  </si>
  <si>
    <t xml:space="preserve">Probable former sand/gravel pit</t>
  </si>
  <si>
    <t xml:space="preserve">LiDAR-36-111-19</t>
  </si>
  <si>
    <t xml:space="preserve">LiDAR-36-111-21</t>
  </si>
  <si>
    <t xml:space="preserve">Possible former sand/gravel pit.</t>
  </si>
  <si>
    <t xml:space="preserve">LiDAR-36-091-2</t>
  </si>
  <si>
    <t xml:space="preserve">LiDAR-36-043-7</t>
  </si>
  <si>
    <t xml:space="preserve">Wooded area, former sand/gravel pit, adjacent to agricultural land and Mohawk River</t>
  </si>
  <si>
    <t xml:space="preserve">LiDAR-36-043-3</t>
  </si>
  <si>
    <t xml:space="preserve">Shallow depression in golf course, former agricultural land, small copse of trees 50m SW exhibits "sinkhole" signature.</t>
  </si>
  <si>
    <t xml:space="preserve">LiDAR-36-113-23</t>
  </si>
  <si>
    <t xml:space="preserve">Warren County</t>
  </si>
  <si>
    <t xml:space="preserve">Forested area adjacent to residential development.</t>
  </si>
  <si>
    <t xml:space="preserve">LiDAR-36-113-21</t>
  </si>
  <si>
    <t xml:space="preserve">Possible shallow depression in residential development</t>
  </si>
  <si>
    <t xml:space="preserve">LiDAR-36-113-22</t>
  </si>
  <si>
    <t xml:space="preserve">Possible shallow depression transects residential development and wooded area</t>
  </si>
  <si>
    <t xml:space="preserve">LiDAR-36-113-20</t>
  </si>
  <si>
    <t xml:space="preserve">LiDAR-36-115-11</t>
  </si>
  <si>
    <t xml:space="preserve">Washington County</t>
  </si>
  <si>
    <t xml:space="preserve">LiDAR-36-043-6</t>
  </si>
  <si>
    <t xml:space="preserve">Impeded drainage by RR bed</t>
  </si>
  <si>
    <t xml:space="preserve">LiDAR-36-115-10</t>
  </si>
  <si>
    <t xml:space="preserve">LiDAR-36-043-2</t>
  </si>
  <si>
    <t xml:space="preserve">Shallow depression, possible detention basin</t>
  </si>
  <si>
    <t xml:space="preserve">LiDAR-36-115-9</t>
  </si>
  <si>
    <t xml:space="preserve">LiDAR-36-043-5</t>
  </si>
  <si>
    <t xml:space="preserve">Shallow depression, ringed by roadbed/former RR bed, possibley a detention basin</t>
  </si>
  <si>
    <t xml:space="preserve">LiDAR-36-077-6</t>
  </si>
  <si>
    <t xml:space="preserve">Wooded wetland adjacent to agricultural land, wet/ponded some years</t>
  </si>
  <si>
    <t xml:space="preserve">LiDAR-36-043-10</t>
  </si>
  <si>
    <t xml:space="preserve">Forested area adjacent to agricultural land, possible former sand/gravel pit.</t>
  </si>
  <si>
    <t xml:space="preserve">LiDAR-36-113-19</t>
  </si>
  <si>
    <t xml:space="preserve">LiDAR-36-043-12</t>
  </si>
  <si>
    <t xml:space="preserve">LiDAR-36-043-13</t>
  </si>
  <si>
    <t xml:space="preserve">Former sand/gravel pit</t>
  </si>
  <si>
    <t xml:space="preserve">LiDAR-36-043-14</t>
  </si>
  <si>
    <t xml:space="preserve">LiDAR-36-043-17</t>
  </si>
  <si>
    <t xml:space="preserve">Forested area, possible former sand/gravel pit, probable sinkhole 200m E in adjacent agricultural field.</t>
  </si>
  <si>
    <t xml:space="preserve">LiDAR-36-113-17</t>
  </si>
  <si>
    <t xml:space="preserve">LiDAR-36-113-18</t>
  </si>
  <si>
    <t xml:space="preserve">LiDAR-36-043-8</t>
  </si>
  <si>
    <t xml:space="preserve">Camillus</t>
  </si>
  <si>
    <t xml:space="preserve">LiDAR-36-113-16</t>
  </si>
  <si>
    <t xml:space="preserve">Located in wooded area adjacent to mixed-use development area, possible impeded drainage (roadbed SR 149), northern extent ponded some years</t>
  </si>
  <si>
    <t xml:space="preserve">LiDAR-36-111-22</t>
  </si>
  <si>
    <t xml:space="preserve">LiDAR-36-027-11</t>
  </si>
  <si>
    <t xml:space="preserve">Excavated farm pond (2004)</t>
  </si>
  <si>
    <t xml:space="preserve">LiDAR-36-043-16</t>
  </si>
  <si>
    <t xml:space="preserve">Wooded area in agricultural land, feature in field to west exhibits "sinkhole" signature in all years</t>
  </si>
  <si>
    <t xml:space="preserve">LiDAR-36-113-15</t>
  </si>
  <si>
    <t xml:space="preserve">Possible depression/detention basin in residential development</t>
  </si>
  <si>
    <t xml:space="preserve">LiDAR-36-043-19</t>
  </si>
  <si>
    <t xml:space="preserve">Wooded area adjacent to agricultural land, ponding noted some years.</t>
  </si>
  <si>
    <t xml:space="preserve">LiDAR-36-027-13</t>
  </si>
  <si>
    <t xml:space="preserve">Wooded area in region of commercial/residential development, no indication of tree stress or ponding.</t>
  </si>
  <si>
    <t xml:space="preserve">LiDAR-36-113-14</t>
  </si>
  <si>
    <t xml:space="preserve">Created by roadbed, forested area, no indication of plant stress or standing liquid.</t>
  </si>
  <si>
    <t xml:space="preserve">LiDAR-36-113-13</t>
  </si>
  <si>
    <t xml:space="preserve">Transects area of forested and agricultural land use.</t>
  </si>
  <si>
    <t xml:space="preserve">LiDAR-36-113-12</t>
  </si>
  <si>
    <t xml:space="preserve">LiDAR-36-115-7</t>
  </si>
  <si>
    <t xml:space="preserve">Situated between wooded area and private residence, ponded some years</t>
  </si>
  <si>
    <t xml:space="preserve">LiDAR-36-027-14</t>
  </si>
  <si>
    <t xml:space="preserve">Possible shallow depression in wooded area within residential development</t>
  </si>
  <si>
    <t xml:space="preserve">LiDAR-36-043-11</t>
  </si>
  <si>
    <t xml:space="preserve">Former gravel pit, ponded most years, drains to North Winfield Cr</t>
  </si>
  <si>
    <t xml:space="preserve">LiDAR-36-115-8</t>
  </si>
  <si>
    <t xml:space="preserve">Cleared area adjacent to Champlain Canal, possible detention basin, northern extent ponded one year</t>
  </si>
  <si>
    <t xml:space="preserve">LiDAR-36-027-12</t>
  </si>
  <si>
    <t xml:space="preserve">Detention basin at quarry</t>
  </si>
  <si>
    <t xml:space="preserve">LiDAR-36-113-11</t>
  </si>
  <si>
    <t xml:space="preserve">Small pond in forested area</t>
  </si>
  <si>
    <t xml:space="preserve">LiDAR-36-115-5</t>
  </si>
  <si>
    <t xml:space="preserve">LiDAR-36-105-1</t>
  </si>
  <si>
    <t xml:space="preserve">Sullivan County</t>
  </si>
  <si>
    <t xml:space="preserve">LiDAR-36-115-4</t>
  </si>
  <si>
    <t xml:space="preserve">LiDAR-36-105-2</t>
  </si>
  <si>
    <t xml:space="preserve">LiDAR-36-027-15</t>
  </si>
  <si>
    <t xml:space="preserve">Possible shallow depression in agricultural land, small intermittent wet area, otherwise no plant stress noted.</t>
  </si>
  <si>
    <t xml:space="preserve">LiDAR-36-105-3</t>
  </si>
  <si>
    <t xml:space="preserve">Shallow depression in wooded area, adjacent to gravel pit</t>
  </si>
  <si>
    <t xml:space="preserve">LiDAR-36-053-9</t>
  </si>
  <si>
    <t xml:space="preserve">Madison County</t>
  </si>
  <si>
    <t xml:space="preserve">Located in agricultural land, lake/pond, wet/ponded most years</t>
  </si>
  <si>
    <t xml:space="preserve">LiDAR-36-065-9</t>
  </si>
  <si>
    <t xml:space="preserve">Oneida County</t>
  </si>
  <si>
    <t xml:space="preserve">Located in agricultural land, "sinkhole" signature, water-filled on several years of imagery</t>
  </si>
  <si>
    <t xml:space="preserve">LiDAR-36-043-1</t>
  </si>
  <si>
    <t xml:space="preserve">Intermittent gravel pit</t>
  </si>
  <si>
    <t xml:space="preserve">LiDAR-36-065-11</t>
  </si>
  <si>
    <t xml:space="preserve">One of 3 features located in agricultural land along NW-SE axis, northernmost feature exhibits "sinkhole" signature, features appear wet/water-filled on several years of imagery</t>
  </si>
  <si>
    <t xml:space="preserve">LiDAR-36-113-10</t>
  </si>
  <si>
    <t xml:space="preserve">LiDAR-36-115-6</t>
  </si>
  <si>
    <t xml:space="preserve">Small pond in forested area, dry some years</t>
  </si>
  <si>
    <t xml:space="preserve">LiDAR-36-113-9</t>
  </si>
  <si>
    <t xml:space="preserve">LiDAR-36-027-16</t>
  </si>
  <si>
    <t xml:space="preserve">Wooded wetland, wet/ponded some years.</t>
  </si>
  <si>
    <t xml:space="preserve">LiDAR-36-065-8</t>
  </si>
  <si>
    <t xml:space="preserve">In agricultural land, no crop stress or standing liquid observed</t>
  </si>
  <si>
    <t xml:space="preserve">LiDAR-36-113-8</t>
  </si>
  <si>
    <t xml:space="preserve">LiDAR-36-065-7</t>
  </si>
  <si>
    <t xml:space="preserve">Extent includes forested, wetland, and agricultural land, possible wet soil observed some years</t>
  </si>
  <si>
    <t xml:space="preserve">LiDAR-36-071-1</t>
  </si>
  <si>
    <t xml:space="preserve">LiDAR-36-113-7</t>
  </si>
  <si>
    <t xml:space="preserve">Forested area, possible former sand/gravel pit</t>
  </si>
  <si>
    <t xml:space="preserve">LiDAR-36-113-6</t>
  </si>
  <si>
    <t xml:space="preserve">LiDAR-36-115-2</t>
  </si>
  <si>
    <t xml:space="preserve">LiDAR-36-065-10</t>
  </si>
  <si>
    <t xml:space="preserve">LiDAR-36-115-3</t>
  </si>
  <si>
    <t xml:space="preserve">LiDAR-36-071-4</t>
  </si>
  <si>
    <t xml:space="preserve">LiDAR-36-071-6</t>
  </si>
  <si>
    <t xml:space="preserve">Wetland within agricultural area, wet/ponded all years, drainage from area partially impeded by RR bed.</t>
  </si>
  <si>
    <t xml:space="preserve">LiDAR-36-071-5</t>
  </si>
  <si>
    <t xml:space="preserve">Source: USGS Reddy, Kappel &amp; Root 2020, LiDAR Closed-Depression Database (data release for SIR 2020-5030), doi:10.5066/P9HGN5IJ. Filtered to 191 depressions within 75 mi of Westerlo out of 514 statewide in the file. Centroids computed from polygon vertices.</t>
  </si>
  <si>
    <t xml:space="preserve">READING THIS: A 'closed depression' is ANY hollow with no surface outlet - NOT proof of a sinkhole. 'Karst class' = the bedrock unit (Onondaga, Akron, Beekmantown etc. are carbonate/soluble; 'Non-carbonate' is insoluble). 'Likely origin' flags obvious human features (quarries, gravel pits, detention basins, roadbeds) from the USGS description. The best sinkhole candidates are: karst-prone bedrock + natural origin. Of 191 in-footprint depressions: 66 on karst bedrock, of which ~45 look natural and ~21 are quarries/pits on carbonate.</t>
  </si>
  <si>
    <t xml:space="preserve">CLOSEST natural karst-prone depressions to Westerlo: 3 Onondaga-limestone depressions in Albany County at 8.1, 10.0 and 11.6 mi (the nearest is in agricultural land where surface drainage terminates - a classic swallow-hole signature). Next natural cluster is 33+ mi out in Ulster/Columbia/Herkimer. NOTE: this statewide file is thresholded coarsely; county-scale LiDAR (10-30 cm depth) would show far more small sinks near Westerlo, incl. any on your own parcel.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</si>
</sst>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i val="true"/>
      <sz val="9"/>
      <color rgb="FFC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86.25" hidden="false" customHeight="true" outlineLevel="0" collapsed="false">
      <c r="A1" s="2" t="s">
        <v>0</v>
      </c>
      <c r="B1" s="3"/>
    </row>
    <row r="2" customFormat="false" ht="34.5" hidden="false" customHeight="true" outlineLevel="0" collapsed="false">
      <c r="A2" s="3" t="s">
        <v>1</v>
      </c>
      <c r="B2" s="3"/>
    </row>
    <row r="3" customFormat="false" ht="15" hidden="false" customHeight="true" outlineLevel="0" collapsed="false">
      <c r="A3" s="3" t="s">
        <v>2</v>
      </c>
      <c r="B3" s="4" t="n">
        <v>42.517</v>
      </c>
    </row>
    <row r="4" customFormat="false" ht="15" hidden="false" customHeight="true" outlineLevel="0" collapsed="false">
      <c r="A4" s="3" t="s">
        <v>3</v>
      </c>
      <c r="B4" s="4" t="n">
        <v>-74.045</v>
      </c>
    </row>
    <row r="5" customFormat="false" ht="15" hidden="false" customHeight="true" outlineLevel="0" collapsed="false">
      <c r="A5" s="3" t="s">
        <v>4</v>
      </c>
      <c r="B5" s="4" t="n">
        <v>30</v>
      </c>
    </row>
    <row r="6" customFormat="false" ht="191.25" hidden="false" customHeight="true" outlineLevel="0" collapsed="false">
      <c r="A6" s="3" t="s">
        <v>5</v>
      </c>
      <c r="B6" s="3"/>
    </row>
    <row r="7" customFormat="false" ht="15" hidden="false" customHeight="true" outlineLevel="0" collapsed="false">
      <c r="A7" s="5"/>
      <c r="B7" s="3"/>
    </row>
    <row r="8" customFormat="false" ht="15" hidden="false" customHeight="true" outlineLevel="0" collapsed="false">
      <c r="A8" s="3" t="s">
        <v>6</v>
      </c>
      <c r="B8" s="3"/>
    </row>
    <row r="9" customFormat="false" ht="15" hidden="false" customHeight="true" outlineLevel="0" collapsed="false">
      <c r="A9" s="3" t="s">
        <v>7</v>
      </c>
      <c r="B9" s="3" t="s">
        <v>8</v>
      </c>
    </row>
    <row r="10" customFormat="false" ht="34.5" hidden="false" customHeight="true" outlineLevel="0" collapsed="false">
      <c r="A10" s="3" t="s">
        <v>9</v>
      </c>
      <c r="B10" s="3" t="s">
        <v>10</v>
      </c>
    </row>
    <row r="11" customFormat="false" ht="15" hidden="false" customHeight="true" outlineLevel="0" collapsed="false">
      <c r="A11" s="3" t="s">
        <v>11</v>
      </c>
      <c r="B11" s="3" t="s">
        <v>12</v>
      </c>
    </row>
    <row r="12" customFormat="false" ht="15" hidden="false" customHeight="true" outlineLevel="0" collapsed="false">
      <c r="A12" s="3" t="s">
        <v>13</v>
      </c>
      <c r="B12" s="3" t="s">
        <v>14</v>
      </c>
    </row>
    <row r="13" customFormat="false" ht="15" hidden="false" customHeight="true" outlineLevel="0" collapsed="false">
      <c r="A13" s="5"/>
      <c r="B13" s="3"/>
    </row>
    <row r="14" customFormat="false" ht="15" hidden="false" customHeight="true" outlineLevel="0" collapsed="false">
      <c r="A14" s="3" t="s">
        <v>15</v>
      </c>
      <c r="B14" s="3"/>
    </row>
    <row r="15" customFormat="false" ht="15" hidden="false" customHeight="true" outlineLevel="0" collapsed="false">
      <c r="A15" s="3" t="s">
        <v>16</v>
      </c>
      <c r="B15" s="3" t="s">
        <v>17</v>
      </c>
    </row>
    <row r="16" customFormat="false" ht="15" hidden="false" customHeight="true" outlineLevel="0" collapsed="false">
      <c r="A16" s="3" t="s">
        <v>18</v>
      </c>
      <c r="B16" s="3" t="s">
        <v>19</v>
      </c>
    </row>
    <row r="17" customFormat="false" ht="15" hidden="false" customHeight="true" outlineLevel="0" collapsed="false">
      <c r="A17" s="3" t="s">
        <v>20</v>
      </c>
      <c r="B17" s="3" t="s">
        <v>21</v>
      </c>
    </row>
    <row r="18" customFormat="false" ht="15" hidden="false" customHeight="true" outlineLevel="0" collapsed="false">
      <c r="A18" s="5"/>
      <c r="B18" s="3"/>
    </row>
    <row r="19" customFormat="false" ht="23.25" hidden="false" customHeight="true" outlineLevel="0" collapsed="false">
      <c r="A19" s="3" t="s">
        <v>22</v>
      </c>
      <c r="B19" s="3" t="s">
        <v>23</v>
      </c>
    </row>
    <row r="20" customFormat="false" ht="15" hidden="false" customHeight="true" outlineLevel="0" collapsed="false">
      <c r="A20" s="5"/>
      <c r="B20" s="3"/>
    </row>
    <row r="21" customFormat="false" ht="15" hidden="false" customHeight="true" outlineLevel="0" collapsed="false">
      <c r="A21" s="3" t="s">
        <v>24</v>
      </c>
      <c r="B21" s="3"/>
    </row>
    <row r="22" customFormat="false" ht="23.25" hidden="false" customHeight="true" outlineLevel="0" collapsed="false">
      <c r="A22" s="3" t="s">
        <v>25</v>
      </c>
      <c r="B22" s="3" t="s">
        <v>26</v>
      </c>
    </row>
    <row r="23" customFormat="false" ht="23.25" hidden="false" customHeight="true" outlineLevel="0" collapsed="false">
      <c r="A23" s="3" t="s">
        <v>27</v>
      </c>
      <c r="B23" s="3" t="s">
        <v>28</v>
      </c>
    </row>
    <row r="24" customFormat="false" ht="15" hidden="false" customHeight="true" outlineLevel="0" collapsed="false">
      <c r="A24" s="3" t="s">
        <v>29</v>
      </c>
      <c r="B24" s="3" t="s">
        <v>30</v>
      </c>
    </row>
    <row r="25" customFormat="false" ht="15" hidden="false" customHeight="true" outlineLevel="0" collapsed="false">
      <c r="A25" s="3" t="s">
        <v>31</v>
      </c>
      <c r="B25" s="3" t="s">
        <v>32</v>
      </c>
    </row>
    <row r="26" customFormat="false" ht="23.25" hidden="false" customHeight="true" outlineLevel="0" collapsed="false">
      <c r="A26" s="3" t="s">
        <v>33</v>
      </c>
      <c r="B26" s="3" t="s">
        <v>34</v>
      </c>
    </row>
    <row r="27" customFormat="false" ht="15" hidden="false" customHeight="true" outlineLevel="0" collapsed="false">
      <c r="A27" s="3" t="s">
        <v>35</v>
      </c>
      <c r="B27" s="3" t="s">
        <v>36</v>
      </c>
    </row>
    <row r="28" customFormat="false" ht="15" hidden="false" customHeight="true" outlineLevel="0" collapsed="false">
      <c r="A28" s="3"/>
      <c r="B28" s="3"/>
    </row>
    <row r="29" customFormat="false" ht="34.5" hidden="false" customHeight="true" outlineLevel="0" collapsed="false">
      <c r="A29" s="3" t="s">
        <v>37</v>
      </c>
      <c r="B29" s="3" t="s">
        <v>38</v>
      </c>
    </row>
    <row r="30" customFormat="false" ht="23.25" hidden="false" customHeight="true" outlineLevel="0" collapsed="false">
      <c r="A30" s="3" t="s">
        <v>39</v>
      </c>
      <c r="B30" s="3" t="s">
        <v>40</v>
      </c>
    </row>
    <row r="31" customFormat="false" ht="23.25" hidden="false" customHeight="true" outlineLevel="0" collapsed="false">
      <c r="A31" s="3" t="s">
        <v>41</v>
      </c>
      <c r="B31" s="3" t="s">
        <v>42</v>
      </c>
    </row>
    <row r="32" customFormat="false" ht="34.5" hidden="false" customHeight="true" outlineLevel="0" collapsed="false">
      <c r="A32" s="3" t="s">
        <v>43</v>
      </c>
      <c r="B32"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3" min="2" style="1" width="12"/>
    <col collapsed="false" customWidth="true" hidden="false" outlineLevel="0" max="4" min="4" style="1" width="7"/>
    <col collapsed="false" customWidth="true" hidden="false" outlineLevel="0" max="5" min="5" style="1" width="9"/>
    <col collapsed="false" customWidth="true" hidden="false" outlineLevel="0" max="6" min="6" style="1" width="22"/>
    <col collapsed="false" customWidth="true" hidden="false" outlineLevel="0" max="7" min="7" style="1" width="34"/>
    <col collapsed="false" customWidth="true" hidden="false" outlineLevel="0" max="8" min="8" style="1" width="28"/>
    <col collapsed="false" customWidth="true" hidden="false" outlineLevel="0" max="9" min="9" style="1" width="40"/>
    <col collapsed="false" customWidth="true" hidden="false" outlineLevel="0" max="10" min="10" style="1" width="18"/>
    <col collapsed="false" customWidth="true" hidden="false" outlineLevel="0" max="11" min="11" style="1" width="55"/>
    <col collapsed="false" customWidth="true" hidden="false" outlineLevel="0" max="13" min="12" style="1" width="30"/>
    <col collapsed="false" customWidth="true" hidden="false" outlineLevel="0" max="15" min="14" style="1" width="10"/>
    <col collapsed="false" customWidth="true" hidden="false" outlineLevel="0" max="16" min="16" style="1" width="40"/>
    <col collapsed="false" customWidth="true" hidden="false" outlineLevel="0" max="17" min="17" style="1" width="13"/>
    <col collapsed="false" customWidth="true" hidden="false" outlineLevel="0" max="19" min="18" style="1" width="8"/>
    <col collapsed="false" customWidth="true" hidden="false" outlineLevel="0" max="20" min="20" style="1" width="7"/>
    <col collapsed="false" customWidth="true" hidden="false" outlineLevel="0" max="21" min="21" style="1" width="10"/>
    <col collapsed="false" customWidth="true" hidden="false" outlineLevel="0" max="22" min="22" style="1" width="40"/>
  </cols>
  <sheetData>
    <row r="1" customFormat="false" ht="45.75" hidden="false" customHeight="true" outlineLevel="0" collapsed="false">
      <c r="A1" s="6" t="s">
        <v>44</v>
      </c>
      <c r="B1" s="6" t="s">
        <v>45</v>
      </c>
      <c r="C1" s="6" t="s">
        <v>46</v>
      </c>
      <c r="D1" s="6" t="s">
        <v>47</v>
      </c>
      <c r="E1" s="6" t="s">
        <v>48</v>
      </c>
      <c r="F1" s="6" t="s">
        <v>49</v>
      </c>
      <c r="G1" s="6" t="s">
        <v>50</v>
      </c>
      <c r="H1" s="6" t="s">
        <v>51</v>
      </c>
      <c r="I1" s="6" t="s">
        <v>52</v>
      </c>
      <c r="J1" s="6" t="s">
        <v>53</v>
      </c>
      <c r="K1" s="6" t="s">
        <v>54</v>
      </c>
      <c r="L1" s="6" t="s">
        <v>55</v>
      </c>
      <c r="M1" s="6" t="s">
        <v>56</v>
      </c>
      <c r="N1" s="6" t="s">
        <v>57</v>
      </c>
      <c r="O1" s="6" t="s">
        <v>58</v>
      </c>
      <c r="P1" s="6" t="s">
        <v>59</v>
      </c>
      <c r="Q1" s="6" t="s">
        <v>60</v>
      </c>
      <c r="R1" s="6" t="s">
        <v>61</v>
      </c>
      <c r="S1" s="6" t="s">
        <v>62</v>
      </c>
      <c r="T1" s="6" t="s">
        <v>63</v>
      </c>
      <c r="U1" s="6" t="s">
        <v>64</v>
      </c>
      <c r="V1" s="6" t="s">
        <v>65</v>
      </c>
    </row>
    <row r="2" customFormat="false" ht="34.5" hidden="false" customHeight="true" outlineLevel="0" collapsed="false">
      <c r="A2" s="7" t="n">
        <v>1</v>
      </c>
      <c r="B2" s="7" t="s">
        <v>66</v>
      </c>
      <c r="C2" s="7" t="s">
        <v>66</v>
      </c>
      <c r="D2" s="7" t="n">
        <f aca="false">VALUE(LEFT(B2,4))</f>
        <v>1635</v>
      </c>
      <c r="E2" s="7" t="n">
        <f aca="false">INT((D2-1)/100)+1</f>
        <v>17</v>
      </c>
      <c r="F2" s="7" t="s">
        <v>67</v>
      </c>
      <c r="G2" s="7" t="s">
        <v>68</v>
      </c>
      <c r="H2" s="7" t="s">
        <v>69</v>
      </c>
      <c r="I2" s="7" t="s">
        <v>70</v>
      </c>
      <c r="J2" s="7" t="s">
        <v>71</v>
      </c>
      <c r="K2" s="7" t="s">
        <v>72</v>
      </c>
      <c r="L2" s="7" t="s">
        <v>73</v>
      </c>
      <c r="M2" s="7" t="s">
        <v>74</v>
      </c>
      <c r="N2" s="7" t="s">
        <v>20</v>
      </c>
      <c r="O2" s="7" t="s">
        <v>75</v>
      </c>
      <c r="P2" s="7" t="s">
        <v>76</v>
      </c>
      <c r="Q2" s="7" t="s">
        <v>66</v>
      </c>
      <c r="R2" s="7" t="n">
        <f aca="false">VALUE(LEFT(Q2,4))</f>
        <v>1635</v>
      </c>
      <c r="S2" s="7" t="n">
        <f aca="false">VALUE(MID(Q2,6,2))</f>
        <v>8</v>
      </c>
      <c r="T2" s="7" t="n">
        <f aca="false">VALUE(RIGHT(Q2,2))</f>
        <v>25</v>
      </c>
      <c r="U2" s="7" t="s">
        <v>77</v>
      </c>
      <c r="V2" s="7" t="s">
        <v>78</v>
      </c>
    </row>
    <row r="3" customFormat="false" ht="45.75" hidden="false" customHeight="true" outlineLevel="0" collapsed="false">
      <c r="A3" s="7" t="n">
        <v>2</v>
      </c>
      <c r="B3" s="7" t="s">
        <v>79</v>
      </c>
      <c r="C3" s="7" t="s">
        <v>79</v>
      </c>
      <c r="D3" s="7" t="n">
        <f aca="false">VALUE(LEFT(B3,4))</f>
        <v>1645</v>
      </c>
      <c r="E3" s="7" t="n">
        <f aca="false">INT((D3-1)/100)+1</f>
        <v>17</v>
      </c>
      <c r="F3" s="7" t="s">
        <v>80</v>
      </c>
      <c r="G3" s="7" t="s">
        <v>81</v>
      </c>
      <c r="H3" s="7" t="s">
        <v>82</v>
      </c>
      <c r="I3" s="7" t="s">
        <v>83</v>
      </c>
      <c r="J3" s="7" t="s">
        <v>84</v>
      </c>
      <c r="K3" s="7" t="s">
        <v>85</v>
      </c>
      <c r="L3" s="7" t="s">
        <v>86</v>
      </c>
      <c r="M3" s="7"/>
      <c r="N3" s="7" t="s">
        <v>18</v>
      </c>
      <c r="O3" s="7" t="s">
        <v>75</v>
      </c>
      <c r="P3" s="7" t="s">
        <v>87</v>
      </c>
      <c r="Q3" s="7" t="s">
        <v>79</v>
      </c>
      <c r="R3" s="7" t="n">
        <f aca="false">VALUE(LEFT(Q3,4))</f>
        <v>1645</v>
      </c>
      <c r="S3" s="7" t="n">
        <f aca="false">VALUE(MID(Q3,6,2))</f>
        <v>11</v>
      </c>
      <c r="T3" s="7" t="n">
        <f aca="false">VALUE(RIGHT(Q3,2))</f>
        <v>25</v>
      </c>
      <c r="U3" s="7" t="s">
        <v>77</v>
      </c>
      <c r="V3" s="7" t="s">
        <v>78</v>
      </c>
    </row>
    <row r="4" customFormat="false" ht="34.5" hidden="false" customHeight="true" outlineLevel="0" collapsed="false">
      <c r="A4" s="7" t="n">
        <v>3</v>
      </c>
      <c r="B4" s="7" t="s">
        <v>88</v>
      </c>
      <c r="C4" s="7" t="s">
        <v>88</v>
      </c>
      <c r="D4" s="7" t="n">
        <f aca="false">VALUE(LEFT(B4,4))</f>
        <v>1667</v>
      </c>
      <c r="E4" s="7" t="n">
        <f aca="false">INT((D4-1)/100)+1</f>
        <v>17</v>
      </c>
      <c r="F4" s="7" t="s">
        <v>67</v>
      </c>
      <c r="G4" s="7" t="s">
        <v>89</v>
      </c>
      <c r="H4" s="7" t="s">
        <v>90</v>
      </c>
      <c r="I4" s="7" t="s">
        <v>91</v>
      </c>
      <c r="J4" s="7" t="s">
        <v>92</v>
      </c>
      <c r="K4" s="7" t="s">
        <v>93</v>
      </c>
      <c r="L4" s="7" t="s">
        <v>73</v>
      </c>
      <c r="M4" s="7" t="s">
        <v>74</v>
      </c>
      <c r="N4" s="7" t="s">
        <v>20</v>
      </c>
      <c r="O4" s="7" t="s">
        <v>94</v>
      </c>
      <c r="P4" s="7" t="s">
        <v>95</v>
      </c>
      <c r="Q4" s="7" t="s">
        <v>88</v>
      </c>
      <c r="R4" s="7" t="n">
        <f aca="false">VALUE(LEFT(Q4,4))</f>
        <v>1667</v>
      </c>
      <c r="S4" s="7" t="n">
        <f aca="false">VALUE(MID(Q4,6,2))</f>
        <v>8</v>
      </c>
      <c r="T4" s="7" t="n">
        <f aca="false">VALUE(RIGHT(Q4,2))</f>
        <v>27</v>
      </c>
      <c r="U4" s="7" t="s">
        <v>77</v>
      </c>
      <c r="V4" s="7" t="s">
        <v>78</v>
      </c>
    </row>
    <row r="5" customFormat="false" ht="45.75" hidden="false" customHeight="true" outlineLevel="0" collapsed="false">
      <c r="A5" s="7" t="n">
        <v>4</v>
      </c>
      <c r="B5" s="7" t="s">
        <v>96</v>
      </c>
      <c r="C5" s="7" t="s">
        <v>96</v>
      </c>
      <c r="D5" s="7" t="n">
        <f aca="false">VALUE(LEFT(B5,4))</f>
        <v>1683</v>
      </c>
      <c r="E5" s="7" t="n">
        <f aca="false">INT((D5-1)/100)+1</f>
        <v>17</v>
      </c>
      <c r="F5" s="7" t="s">
        <v>97</v>
      </c>
      <c r="G5" s="7" t="s">
        <v>98</v>
      </c>
      <c r="H5" s="7" t="s">
        <v>99</v>
      </c>
      <c r="I5" s="7" t="s">
        <v>100</v>
      </c>
      <c r="J5" s="7" t="s">
        <v>101</v>
      </c>
      <c r="K5" s="7" t="s">
        <v>102</v>
      </c>
      <c r="L5" s="7" t="s">
        <v>73</v>
      </c>
      <c r="M5" s="7" t="s">
        <v>74</v>
      </c>
      <c r="N5" s="7" t="s">
        <v>20</v>
      </c>
      <c r="O5" s="7" t="s">
        <v>75</v>
      </c>
      <c r="P5" s="7" t="s">
        <v>103</v>
      </c>
      <c r="Q5" s="7" t="s">
        <v>96</v>
      </c>
      <c r="R5" s="7" t="n">
        <f aca="false">VALUE(LEFT(Q5,4))</f>
        <v>1683</v>
      </c>
      <c r="S5" s="7" t="n">
        <f aca="false">VALUE(MID(Q5,6,2))</f>
        <v>8</v>
      </c>
      <c r="T5" s="7" t="n">
        <f aca="false">VALUE(RIGHT(Q5,2))</f>
        <v>23</v>
      </c>
      <c r="U5" s="7" t="s">
        <v>77</v>
      </c>
      <c r="V5" s="7" t="s">
        <v>78</v>
      </c>
    </row>
    <row r="6" customFormat="false" ht="57" hidden="false" customHeight="true" outlineLevel="0" collapsed="false">
      <c r="A6" s="7" t="n">
        <v>5</v>
      </c>
      <c r="B6" s="7" t="s">
        <v>104</v>
      </c>
      <c r="C6" s="7" t="s">
        <v>105</v>
      </c>
      <c r="D6" s="7" t="n">
        <f aca="false">VALUE(LEFT(B6,4))</f>
        <v>1697</v>
      </c>
      <c r="E6" s="7" t="n">
        <f aca="false">INT((D6-1)/100)+1</f>
        <v>17</v>
      </c>
      <c r="F6" s="7" t="s">
        <v>106</v>
      </c>
      <c r="G6" s="7" t="s">
        <v>107</v>
      </c>
      <c r="H6" s="7" t="s">
        <v>108</v>
      </c>
      <c r="I6" s="7" t="s">
        <v>109</v>
      </c>
      <c r="J6" s="7" t="s">
        <v>110</v>
      </c>
      <c r="K6" s="7" t="s">
        <v>111</v>
      </c>
      <c r="L6" s="7" t="s">
        <v>86</v>
      </c>
      <c r="M6" s="7"/>
      <c r="N6" s="7" t="s">
        <v>18</v>
      </c>
      <c r="O6" s="7" t="s">
        <v>75</v>
      </c>
      <c r="P6" s="7" t="s">
        <v>112</v>
      </c>
      <c r="Q6" s="7" t="s">
        <v>113</v>
      </c>
      <c r="R6" s="7" t="n">
        <f aca="false">VALUE(LEFT(Q6,4))</f>
        <v>1698</v>
      </c>
      <c r="S6" s="7" t="n">
        <f aca="false">VALUE(MID(Q6,6,2))</f>
        <v>2</v>
      </c>
      <c r="T6" s="7" t="n">
        <f aca="false">VALUE(RIGHT(Q6,2))</f>
        <v>15</v>
      </c>
      <c r="U6" s="7" t="s">
        <v>114</v>
      </c>
      <c r="V6" s="7" t="s">
        <v>115</v>
      </c>
    </row>
    <row r="7" customFormat="false" ht="34.5" hidden="false" customHeight="true" outlineLevel="0" collapsed="false">
      <c r="A7" s="7" t="n">
        <v>6</v>
      </c>
      <c r="B7" s="7" t="s">
        <v>116</v>
      </c>
      <c r="C7" s="7" t="s">
        <v>117</v>
      </c>
      <c r="D7" s="7" t="n">
        <f aca="false">VALUE(LEFT(B7,4))</f>
        <v>1705</v>
      </c>
      <c r="E7" s="7" t="n">
        <f aca="false">INT((D7-1)/100)+1</f>
        <v>18</v>
      </c>
      <c r="F7" s="7" t="s">
        <v>118</v>
      </c>
      <c r="G7" s="7" t="s">
        <v>119</v>
      </c>
      <c r="H7" s="7" t="s">
        <v>120</v>
      </c>
      <c r="I7" s="7" t="s">
        <v>121</v>
      </c>
      <c r="J7" s="7" t="s">
        <v>122</v>
      </c>
      <c r="K7" s="7" t="s">
        <v>123</v>
      </c>
      <c r="L7" s="7" t="s">
        <v>86</v>
      </c>
      <c r="M7" s="7"/>
      <c r="N7" s="7" t="s">
        <v>18</v>
      </c>
      <c r="O7" s="7" t="s">
        <v>75</v>
      </c>
      <c r="P7" s="7" t="s">
        <v>124</v>
      </c>
      <c r="Q7" s="7" t="s">
        <v>116</v>
      </c>
      <c r="R7" s="7" t="n">
        <f aca="false">VALUE(LEFT(Q7,4))</f>
        <v>1705</v>
      </c>
      <c r="S7" s="7" t="n">
        <f aca="false">VALUE(MID(Q7,6,2))</f>
        <v>12</v>
      </c>
      <c r="T7" s="7" t="n">
        <f aca="false">VALUE(RIGHT(Q7,2))</f>
        <v>30</v>
      </c>
      <c r="U7" s="7" t="s">
        <v>125</v>
      </c>
      <c r="V7" s="7" t="s">
        <v>126</v>
      </c>
    </row>
    <row r="8" customFormat="false" ht="45.75" hidden="false" customHeight="true" outlineLevel="0" collapsed="false">
      <c r="A8" s="7" t="n">
        <v>7</v>
      </c>
      <c r="B8" s="7" t="s">
        <v>127</v>
      </c>
      <c r="C8" s="7" t="s">
        <v>128</v>
      </c>
      <c r="D8" s="7" t="n">
        <f aca="false">VALUE(LEFT(B8,4))</f>
        <v>1706</v>
      </c>
      <c r="E8" s="7" t="n">
        <f aca="false">INT((D8-1)/100)+1</f>
        <v>18</v>
      </c>
      <c r="F8" s="7" t="s">
        <v>129</v>
      </c>
      <c r="G8" s="7" t="s">
        <v>130</v>
      </c>
      <c r="H8" s="7" t="s">
        <v>131</v>
      </c>
      <c r="I8" s="7" t="s">
        <v>132</v>
      </c>
      <c r="J8" s="7" t="s">
        <v>133</v>
      </c>
      <c r="K8" s="7" t="s">
        <v>134</v>
      </c>
      <c r="L8" s="7" t="s">
        <v>73</v>
      </c>
      <c r="M8" s="7" t="s">
        <v>74</v>
      </c>
      <c r="N8" s="7" t="s">
        <v>18</v>
      </c>
      <c r="O8" s="7" t="s">
        <v>75</v>
      </c>
      <c r="P8" s="7" t="s">
        <v>135</v>
      </c>
      <c r="Q8" s="7" t="s">
        <v>127</v>
      </c>
      <c r="R8" s="7" t="n">
        <f aca="false">VALUE(LEFT(Q8,4))</f>
        <v>1706</v>
      </c>
      <c r="S8" s="7" t="n">
        <f aca="false">VALUE(MID(Q8,6,2))</f>
        <v>10</v>
      </c>
      <c r="T8" s="7" t="n">
        <f aca="false">VALUE(RIGHT(Q8,2))</f>
        <v>14</v>
      </c>
      <c r="U8" s="7" t="s">
        <v>125</v>
      </c>
      <c r="V8" s="7" t="s">
        <v>136</v>
      </c>
    </row>
    <row r="9" customFormat="false" ht="45.75" hidden="false" customHeight="true" outlineLevel="0" collapsed="false">
      <c r="A9" s="7" t="n">
        <v>8</v>
      </c>
      <c r="B9" s="7" t="s">
        <v>137</v>
      </c>
      <c r="C9" s="7" t="s">
        <v>138</v>
      </c>
      <c r="D9" s="7" t="n">
        <f aca="false">VALUE(LEFT(B9,4))</f>
        <v>1717</v>
      </c>
      <c r="E9" s="7" t="n">
        <f aca="false">INT((D9-1)/100)+1</f>
        <v>18</v>
      </c>
      <c r="F9" s="7" t="s">
        <v>139</v>
      </c>
      <c r="G9" s="7" t="s">
        <v>140</v>
      </c>
      <c r="H9" s="7" t="s">
        <v>141</v>
      </c>
      <c r="I9" s="7" t="s">
        <v>142</v>
      </c>
      <c r="J9" s="7" t="s">
        <v>143</v>
      </c>
      <c r="K9" s="7" t="s">
        <v>144</v>
      </c>
      <c r="L9" s="7" t="s">
        <v>86</v>
      </c>
      <c r="M9" s="7"/>
      <c r="N9" s="7" t="s">
        <v>18</v>
      </c>
      <c r="O9" s="7" t="s">
        <v>75</v>
      </c>
      <c r="P9" s="7" t="s">
        <v>145</v>
      </c>
      <c r="Q9" s="7" t="s">
        <v>138</v>
      </c>
      <c r="R9" s="7" t="n">
        <f aca="false">VALUE(LEFT(Q9,4))</f>
        <v>1717</v>
      </c>
      <c r="S9" s="7" t="n">
        <f aca="false">VALUE(MID(Q9,6,2))</f>
        <v>3</v>
      </c>
      <c r="T9" s="7" t="n">
        <f aca="false">VALUE(RIGHT(Q9,2))</f>
        <v>7</v>
      </c>
      <c r="U9" s="7" t="s">
        <v>125</v>
      </c>
      <c r="V9" s="7" t="s">
        <v>146</v>
      </c>
    </row>
    <row r="10" customFormat="false" ht="68.25" hidden="false" customHeight="true" outlineLevel="0" collapsed="false">
      <c r="A10" s="7" t="n">
        <v>9</v>
      </c>
      <c r="B10" s="7" t="s">
        <v>147</v>
      </c>
      <c r="C10" s="7" t="s">
        <v>148</v>
      </c>
      <c r="D10" s="7" t="n">
        <f aca="false">VALUE(LEFT(B10,4))</f>
        <v>1740</v>
      </c>
      <c r="E10" s="7" t="n">
        <f aca="false">INT((D10-1)/100)+1</f>
        <v>18</v>
      </c>
      <c r="F10" s="7" t="s">
        <v>106</v>
      </c>
      <c r="G10" s="7" t="s">
        <v>149</v>
      </c>
      <c r="H10" s="7" t="s">
        <v>150</v>
      </c>
      <c r="I10" s="7" t="s">
        <v>151</v>
      </c>
      <c r="J10" s="7" t="s">
        <v>152</v>
      </c>
      <c r="K10" s="7" t="s">
        <v>153</v>
      </c>
      <c r="L10" s="7" t="s">
        <v>86</v>
      </c>
      <c r="M10" s="7"/>
      <c r="N10" s="7" t="s">
        <v>18</v>
      </c>
      <c r="O10" s="7" t="s">
        <v>75</v>
      </c>
      <c r="P10" s="7" t="s">
        <v>154</v>
      </c>
      <c r="Q10" s="7" t="s">
        <v>155</v>
      </c>
      <c r="R10" s="7" t="n">
        <f aca="false">VALUE(LEFT(Q10,4))</f>
        <v>1740</v>
      </c>
      <c r="S10" s="7" t="n">
        <f aca="false">VALUE(MID(Q10,6,2))</f>
        <v>12</v>
      </c>
      <c r="T10" s="7" t="n">
        <f aca="false">VALUE(RIGHT(Q10,2))</f>
        <v>28</v>
      </c>
      <c r="U10" s="7" t="s">
        <v>77</v>
      </c>
      <c r="V10" s="7" t="s">
        <v>156</v>
      </c>
    </row>
    <row r="11" customFormat="false" ht="34.5" hidden="false" customHeight="true" outlineLevel="0" collapsed="false">
      <c r="A11" s="7" t="n">
        <v>10</v>
      </c>
      <c r="B11" s="7" t="s">
        <v>157</v>
      </c>
      <c r="C11" s="7" t="s">
        <v>158</v>
      </c>
      <c r="D11" s="7" t="n">
        <f aca="false">VALUE(LEFT(B11,4))</f>
        <v>1741</v>
      </c>
      <c r="E11" s="7" t="n">
        <f aca="false">INT((D11-1)/100)+1</f>
        <v>18</v>
      </c>
      <c r="F11" s="7" t="s">
        <v>159</v>
      </c>
      <c r="G11" s="7" t="s">
        <v>160</v>
      </c>
      <c r="H11" s="7" t="s">
        <v>161</v>
      </c>
      <c r="I11" s="7" t="s">
        <v>162</v>
      </c>
      <c r="J11" s="7" t="s">
        <v>163</v>
      </c>
      <c r="K11" s="7" t="s">
        <v>164</v>
      </c>
      <c r="L11" s="7" t="s">
        <v>86</v>
      </c>
      <c r="M11" s="7"/>
      <c r="N11" s="7" t="s">
        <v>18</v>
      </c>
      <c r="O11" s="7" t="s">
        <v>75</v>
      </c>
      <c r="P11" s="7" t="s">
        <v>165</v>
      </c>
      <c r="Q11" s="7" t="s">
        <v>157</v>
      </c>
      <c r="R11" s="7" t="n">
        <f aca="false">VALUE(LEFT(Q11,4))</f>
        <v>1741</v>
      </c>
      <c r="S11" s="7" t="n">
        <f aca="false">VALUE(MID(Q11,6,2))</f>
        <v>2</v>
      </c>
      <c r="T11" s="7" t="n">
        <f aca="false">VALUE(RIGHT(Q11,2))</f>
        <v>8</v>
      </c>
      <c r="U11" s="7" t="s">
        <v>125</v>
      </c>
      <c r="V11" s="7" t="s">
        <v>126</v>
      </c>
    </row>
    <row r="12" customFormat="false" ht="23.25" hidden="false" customHeight="true" outlineLevel="0" collapsed="false">
      <c r="A12" s="7" t="n">
        <v>11</v>
      </c>
      <c r="B12" s="7" t="s">
        <v>166</v>
      </c>
      <c r="C12" s="7" t="s">
        <v>166</v>
      </c>
      <c r="D12" s="7" t="n">
        <f aca="false">VALUE(LEFT(B12,4))</f>
        <v>1741</v>
      </c>
      <c r="E12" s="7" t="n">
        <f aca="false">INT((D12-1)/100)+1</f>
        <v>18</v>
      </c>
      <c r="F12" s="7" t="s">
        <v>167</v>
      </c>
      <c r="G12" s="7" t="s">
        <v>168</v>
      </c>
      <c r="H12" s="7" t="s">
        <v>169</v>
      </c>
      <c r="I12" s="7" t="s">
        <v>170</v>
      </c>
      <c r="J12" s="7" t="s">
        <v>171</v>
      </c>
      <c r="K12" s="7" t="s">
        <v>172</v>
      </c>
      <c r="L12" s="7" t="s">
        <v>86</v>
      </c>
      <c r="M12" s="7"/>
      <c r="N12" s="7" t="s">
        <v>18</v>
      </c>
      <c r="O12" s="7" t="s">
        <v>75</v>
      </c>
      <c r="P12" s="7" t="s">
        <v>173</v>
      </c>
      <c r="Q12" s="7" t="s">
        <v>166</v>
      </c>
      <c r="R12" s="7" t="n">
        <f aca="false">VALUE(LEFT(Q12,4))</f>
        <v>1741</v>
      </c>
      <c r="S12" s="7" t="n">
        <f aca="false">VALUE(MID(Q12,6,2))</f>
        <v>4</v>
      </c>
      <c r="T12" s="7" t="n">
        <f aca="false">VALUE(RIGHT(Q12,2))</f>
        <v>1</v>
      </c>
      <c r="U12" s="7" t="s">
        <v>77</v>
      </c>
      <c r="V12" s="7" t="s">
        <v>78</v>
      </c>
    </row>
    <row r="13" customFormat="false" ht="34.5" hidden="false" customHeight="true" outlineLevel="0" collapsed="false">
      <c r="A13" s="7" t="n">
        <v>12</v>
      </c>
      <c r="B13" s="7" t="s">
        <v>174</v>
      </c>
      <c r="C13" s="7" t="s">
        <v>175</v>
      </c>
      <c r="D13" s="7" t="n">
        <f aca="false">VALUE(LEFT(B13,4))</f>
        <v>1764</v>
      </c>
      <c r="E13" s="7" t="n">
        <f aca="false">INT((D13-1)/100)+1</f>
        <v>18</v>
      </c>
      <c r="F13" s="7" t="s">
        <v>176</v>
      </c>
      <c r="G13" s="7" t="s">
        <v>177</v>
      </c>
      <c r="H13" s="7" t="s">
        <v>178</v>
      </c>
      <c r="I13" s="7" t="s">
        <v>179</v>
      </c>
      <c r="J13" s="7" t="s">
        <v>180</v>
      </c>
      <c r="K13" s="7" t="s">
        <v>181</v>
      </c>
      <c r="L13" s="7" t="s">
        <v>86</v>
      </c>
      <c r="M13" s="7"/>
      <c r="N13" s="7" t="s">
        <v>18</v>
      </c>
      <c r="O13" s="7" t="s">
        <v>75</v>
      </c>
      <c r="P13" s="7"/>
      <c r="Q13" s="7" t="s">
        <v>174</v>
      </c>
      <c r="R13" s="7" t="n">
        <f aca="false">VALUE(LEFT(Q13,4))</f>
        <v>1764</v>
      </c>
      <c r="S13" s="7" t="n">
        <f aca="false">VALUE(MID(Q13,6,2))</f>
        <v>12</v>
      </c>
      <c r="T13" s="7" t="n">
        <f aca="false">VALUE(RIGHT(Q13,2))</f>
        <v>25</v>
      </c>
      <c r="U13" s="7" t="s">
        <v>125</v>
      </c>
      <c r="V13" s="7" t="s">
        <v>126</v>
      </c>
    </row>
    <row r="14" customFormat="false" ht="57" hidden="false" customHeight="true" outlineLevel="0" collapsed="false">
      <c r="A14" s="7" t="n">
        <v>13</v>
      </c>
      <c r="B14" s="7" t="s">
        <v>182</v>
      </c>
      <c r="C14" s="7" t="s">
        <v>183</v>
      </c>
      <c r="D14" s="7" t="n">
        <f aca="false">VALUE(LEFT(B14,4))</f>
        <v>1765</v>
      </c>
      <c r="E14" s="7" t="n">
        <f aca="false">INT((D14-1)/100)+1</f>
        <v>18</v>
      </c>
      <c r="F14" s="7" t="s">
        <v>118</v>
      </c>
      <c r="G14" s="7" t="s">
        <v>184</v>
      </c>
      <c r="H14" s="7" t="s">
        <v>120</v>
      </c>
      <c r="I14" s="7" t="s">
        <v>185</v>
      </c>
      <c r="J14" s="7" t="s">
        <v>186</v>
      </c>
      <c r="K14" s="7" t="s">
        <v>187</v>
      </c>
      <c r="L14" s="7" t="s">
        <v>86</v>
      </c>
      <c r="M14" s="7"/>
      <c r="N14" s="7" t="s">
        <v>18</v>
      </c>
      <c r="O14" s="7" t="s">
        <v>75</v>
      </c>
      <c r="P14" s="7"/>
      <c r="Q14" s="7" t="s">
        <v>182</v>
      </c>
      <c r="R14" s="7" t="n">
        <f aca="false">VALUE(LEFT(Q14,4))</f>
        <v>1765</v>
      </c>
      <c r="S14" s="7" t="n">
        <f aca="false">VALUE(MID(Q14,6,2))</f>
        <v>1</v>
      </c>
      <c r="T14" s="7" t="n">
        <f aca="false">VALUE(RIGHT(Q14,2))</f>
        <v>26</v>
      </c>
      <c r="U14" s="7" t="s">
        <v>125</v>
      </c>
      <c r="V14" s="7" t="s">
        <v>126</v>
      </c>
    </row>
    <row r="15" customFormat="false" ht="45.75" hidden="false" customHeight="true" outlineLevel="0" collapsed="false">
      <c r="A15" s="7" t="n">
        <v>14</v>
      </c>
      <c r="B15" s="7" t="s">
        <v>188</v>
      </c>
      <c r="C15" s="7" t="s">
        <v>188</v>
      </c>
      <c r="D15" s="7" t="n">
        <f aca="false">VALUE(LEFT(B15,4))</f>
        <v>1769</v>
      </c>
      <c r="E15" s="7" t="n">
        <f aca="false">INT((D15-1)/100)+1</f>
        <v>18</v>
      </c>
      <c r="F15" s="7" t="s">
        <v>67</v>
      </c>
      <c r="G15" s="7" t="s">
        <v>189</v>
      </c>
      <c r="H15" s="7" t="s">
        <v>190</v>
      </c>
      <c r="I15" s="7" t="s">
        <v>191</v>
      </c>
      <c r="J15" s="7" t="s">
        <v>192</v>
      </c>
      <c r="K15" s="7" t="s">
        <v>193</v>
      </c>
      <c r="L15" s="7" t="s">
        <v>194</v>
      </c>
      <c r="M15" s="7" t="s">
        <v>74</v>
      </c>
      <c r="N15" s="7" t="s">
        <v>20</v>
      </c>
      <c r="O15" s="7" t="s">
        <v>94</v>
      </c>
      <c r="P15" s="7" t="s">
        <v>195</v>
      </c>
      <c r="Q15" s="7" t="s">
        <v>188</v>
      </c>
      <c r="R15" s="7" t="n">
        <f aca="false">VALUE(LEFT(Q15,4))</f>
        <v>1769</v>
      </c>
      <c r="S15" s="7" t="n">
        <f aca="false">VALUE(MID(Q15,6,2))</f>
        <v>9</v>
      </c>
      <c r="T15" s="7" t="n">
        <f aca="false">VALUE(RIGHT(Q15,2))</f>
        <v>8</v>
      </c>
      <c r="U15" s="7" t="s">
        <v>77</v>
      </c>
      <c r="V15" s="7" t="s">
        <v>78</v>
      </c>
    </row>
    <row r="16" customFormat="false" ht="34.5" hidden="false" customHeight="true" outlineLevel="0" collapsed="false">
      <c r="A16" s="7" t="n">
        <v>15</v>
      </c>
      <c r="B16" s="7" t="s">
        <v>196</v>
      </c>
      <c r="C16" s="7" t="s">
        <v>196</v>
      </c>
      <c r="D16" s="7" t="n">
        <f aca="false">VALUE(LEFT(B16,4))</f>
        <v>1775</v>
      </c>
      <c r="E16" s="7" t="n">
        <f aca="false">INT((D16-1)/100)+1</f>
        <v>18</v>
      </c>
      <c r="F16" s="7" t="s">
        <v>67</v>
      </c>
      <c r="G16" s="7" t="s">
        <v>197</v>
      </c>
      <c r="H16" s="7" t="s">
        <v>198</v>
      </c>
      <c r="I16" s="7" t="s">
        <v>199</v>
      </c>
      <c r="J16" s="7" t="s">
        <v>200</v>
      </c>
      <c r="K16" s="7" t="s">
        <v>201</v>
      </c>
      <c r="L16" s="7" t="s">
        <v>194</v>
      </c>
      <c r="M16" s="7" t="s">
        <v>74</v>
      </c>
      <c r="N16" s="7" t="s">
        <v>20</v>
      </c>
      <c r="O16" s="7" t="s">
        <v>94</v>
      </c>
      <c r="P16" s="7" t="s">
        <v>202</v>
      </c>
      <c r="Q16" s="7" t="s">
        <v>196</v>
      </c>
      <c r="R16" s="7" t="n">
        <f aca="false">VALUE(LEFT(Q16,4))</f>
        <v>1775</v>
      </c>
      <c r="S16" s="7" t="n">
        <f aca="false">VALUE(MID(Q16,6,2))</f>
        <v>9</v>
      </c>
      <c r="T16" s="7" t="n">
        <f aca="false">VALUE(RIGHT(Q16,2))</f>
        <v>3</v>
      </c>
      <c r="U16" s="7" t="s">
        <v>77</v>
      </c>
      <c r="V16" s="7" t="s">
        <v>78</v>
      </c>
    </row>
    <row r="17" customFormat="false" ht="45.75" hidden="false" customHeight="true" outlineLevel="0" collapsed="false">
      <c r="A17" s="7" t="n">
        <v>16</v>
      </c>
      <c r="B17" s="7" t="s">
        <v>203</v>
      </c>
      <c r="C17" s="7" t="s">
        <v>203</v>
      </c>
      <c r="D17" s="7" t="n">
        <f aca="false">VALUE(LEFT(B17,4))</f>
        <v>1775</v>
      </c>
      <c r="E17" s="7" t="n">
        <f aca="false">INT((D17-1)/100)+1</f>
        <v>18</v>
      </c>
      <c r="F17" s="7" t="s">
        <v>139</v>
      </c>
      <c r="G17" s="7" t="s">
        <v>204</v>
      </c>
      <c r="H17" s="7" t="s">
        <v>205</v>
      </c>
      <c r="I17" s="7" t="s">
        <v>206</v>
      </c>
      <c r="J17" s="7" t="s">
        <v>207</v>
      </c>
      <c r="K17" s="7" t="s">
        <v>208</v>
      </c>
      <c r="L17" s="7" t="s">
        <v>86</v>
      </c>
      <c r="M17" s="7"/>
      <c r="N17" s="7" t="s">
        <v>18</v>
      </c>
      <c r="O17" s="7" t="s">
        <v>75</v>
      </c>
      <c r="P17" s="7"/>
      <c r="Q17" s="7" t="s">
        <v>203</v>
      </c>
      <c r="R17" s="7" t="n">
        <f aca="false">VALUE(LEFT(Q17,4))</f>
        <v>1775</v>
      </c>
      <c r="S17" s="7" t="n">
        <f aca="false">VALUE(MID(Q17,6,2))</f>
        <v>12</v>
      </c>
      <c r="T17" s="7" t="n">
        <f aca="false">VALUE(RIGHT(Q17,2))</f>
        <v>24</v>
      </c>
      <c r="U17" s="7" t="s">
        <v>77</v>
      </c>
      <c r="V17" s="7" t="s">
        <v>78</v>
      </c>
    </row>
    <row r="18" customFormat="false" ht="45.75" hidden="false" customHeight="true" outlineLevel="0" collapsed="false">
      <c r="A18" s="7" t="n">
        <v>17</v>
      </c>
      <c r="B18" s="7" t="s">
        <v>209</v>
      </c>
      <c r="C18" s="7" t="s">
        <v>210</v>
      </c>
      <c r="D18" s="7" t="n">
        <f aca="false">VALUE(LEFT(B18,4))</f>
        <v>1776</v>
      </c>
      <c r="E18" s="7" t="n">
        <f aca="false">INT((D18-1)/100)+1</f>
        <v>18</v>
      </c>
      <c r="F18" s="7" t="s">
        <v>211</v>
      </c>
      <c r="G18" s="7" t="s">
        <v>212</v>
      </c>
      <c r="H18" s="7" t="s">
        <v>213</v>
      </c>
      <c r="I18" s="7" t="s">
        <v>214</v>
      </c>
      <c r="J18" s="7" t="s">
        <v>215</v>
      </c>
      <c r="K18" s="7" t="s">
        <v>216</v>
      </c>
      <c r="L18" s="7" t="s">
        <v>86</v>
      </c>
      <c r="M18" s="7"/>
      <c r="N18" s="7" t="s">
        <v>18</v>
      </c>
      <c r="O18" s="7" t="s">
        <v>75</v>
      </c>
      <c r="P18" s="7"/>
      <c r="Q18" s="7" t="s">
        <v>209</v>
      </c>
      <c r="R18" s="7" t="n">
        <f aca="false">VALUE(LEFT(Q18,4))</f>
        <v>1776</v>
      </c>
      <c r="S18" s="7" t="n">
        <f aca="false">VALUE(MID(Q18,6,2))</f>
        <v>1</v>
      </c>
      <c r="T18" s="7" t="n">
        <f aca="false">VALUE(RIGHT(Q18,2))</f>
        <v>5</v>
      </c>
      <c r="U18" s="7" t="s">
        <v>125</v>
      </c>
      <c r="V18" s="7" t="s">
        <v>126</v>
      </c>
    </row>
    <row r="19" customFormat="false" ht="57" hidden="false" customHeight="true" outlineLevel="0" collapsed="false">
      <c r="A19" s="7" t="n">
        <v>18</v>
      </c>
      <c r="B19" s="7" t="s">
        <v>217</v>
      </c>
      <c r="C19" s="7" t="s">
        <v>218</v>
      </c>
      <c r="D19" s="7" t="n">
        <f aca="false">VALUE(LEFT(B19,4))</f>
        <v>1780</v>
      </c>
      <c r="E19" s="7" t="n">
        <f aca="false">INT((D19-1)/100)+1</f>
        <v>18</v>
      </c>
      <c r="F19" s="7" t="s">
        <v>219</v>
      </c>
      <c r="G19" s="7" t="s">
        <v>220</v>
      </c>
      <c r="H19" s="7" t="s">
        <v>221</v>
      </c>
      <c r="I19" s="7" t="s">
        <v>222</v>
      </c>
      <c r="J19" s="7" t="s">
        <v>223</v>
      </c>
      <c r="K19" s="7" t="s">
        <v>224</v>
      </c>
      <c r="L19" s="7" t="s">
        <v>86</v>
      </c>
      <c r="M19" s="7" t="s">
        <v>225</v>
      </c>
      <c r="N19" s="7" t="s">
        <v>18</v>
      </c>
      <c r="O19" s="7" t="s">
        <v>75</v>
      </c>
      <c r="P19" s="7" t="s">
        <v>226</v>
      </c>
      <c r="Q19" s="7" t="s">
        <v>217</v>
      </c>
      <c r="R19" s="7" t="n">
        <f aca="false">VALUE(LEFT(Q19,4))</f>
        <v>1780</v>
      </c>
      <c r="S19" s="7" t="n">
        <f aca="false">VALUE(MID(Q19,6,2))</f>
        <v>1</v>
      </c>
      <c r="T19" s="7" t="n">
        <f aca="false">VALUE(RIGHT(Q19,2))</f>
        <v>2</v>
      </c>
      <c r="U19" s="7" t="s">
        <v>125</v>
      </c>
      <c r="V19" s="7" t="s">
        <v>126</v>
      </c>
    </row>
    <row r="20" customFormat="false" ht="68.25" hidden="false" customHeight="true" outlineLevel="0" collapsed="false">
      <c r="A20" s="7" t="n">
        <v>19</v>
      </c>
      <c r="B20" s="7" t="s">
        <v>227</v>
      </c>
      <c r="C20" s="7" t="s">
        <v>228</v>
      </c>
      <c r="D20" s="7" t="n">
        <f aca="false">VALUE(LEFT(B20,4))</f>
        <v>1780</v>
      </c>
      <c r="E20" s="7" t="n">
        <f aca="false">INT((D20-1)/100)+1</f>
        <v>18</v>
      </c>
      <c r="F20" s="7" t="s">
        <v>106</v>
      </c>
      <c r="G20" s="7" t="s">
        <v>229</v>
      </c>
      <c r="H20" s="7" t="s">
        <v>230</v>
      </c>
      <c r="I20" s="7" t="s">
        <v>231</v>
      </c>
      <c r="J20" s="7" t="s">
        <v>232</v>
      </c>
      <c r="K20" s="7" t="s">
        <v>233</v>
      </c>
      <c r="L20" s="7" t="s">
        <v>86</v>
      </c>
      <c r="M20" s="7" t="s">
        <v>225</v>
      </c>
      <c r="N20" s="7" t="s">
        <v>18</v>
      </c>
      <c r="O20" s="7" t="s">
        <v>75</v>
      </c>
      <c r="P20" s="7" t="s">
        <v>234</v>
      </c>
      <c r="Q20" s="7" t="s">
        <v>235</v>
      </c>
      <c r="R20" s="7" t="n">
        <f aca="false">VALUE(LEFT(Q20,4))</f>
        <v>1780</v>
      </c>
      <c r="S20" s="7" t="n">
        <f aca="false">VALUE(MID(Q20,6,2))</f>
        <v>1</v>
      </c>
      <c r="T20" s="7" t="n">
        <f aca="false">VALUE(RIGHT(Q20,2))</f>
        <v>16</v>
      </c>
      <c r="U20" s="7" t="s">
        <v>77</v>
      </c>
      <c r="V20" s="7" t="s">
        <v>236</v>
      </c>
    </row>
    <row r="21" customFormat="false" ht="34.5" hidden="false" customHeight="true" outlineLevel="0" collapsed="false">
      <c r="A21" s="7" t="n">
        <v>20</v>
      </c>
      <c r="B21" s="7" t="s">
        <v>237</v>
      </c>
      <c r="C21" s="7" t="s">
        <v>237</v>
      </c>
      <c r="D21" s="7" t="n">
        <f aca="false">VALUE(LEFT(B21,4))</f>
        <v>1780</v>
      </c>
      <c r="E21" s="7" t="n">
        <f aca="false">INT((D21-1)/100)+1</f>
        <v>18</v>
      </c>
      <c r="F21" s="7" t="s">
        <v>238</v>
      </c>
      <c r="G21" s="7" t="s">
        <v>239</v>
      </c>
      <c r="H21" s="7" t="s">
        <v>240</v>
      </c>
      <c r="I21" s="7" t="s">
        <v>241</v>
      </c>
      <c r="J21" s="7" t="s">
        <v>242</v>
      </c>
      <c r="K21" s="7" t="s">
        <v>243</v>
      </c>
      <c r="L21" s="7" t="s">
        <v>86</v>
      </c>
      <c r="M21" s="7"/>
      <c r="N21" s="7" t="s">
        <v>18</v>
      </c>
      <c r="O21" s="7" t="s">
        <v>75</v>
      </c>
      <c r="P21" s="7"/>
      <c r="Q21" s="7" t="s">
        <v>237</v>
      </c>
      <c r="R21" s="7" t="n">
        <f aca="false">VALUE(LEFT(Q21,4))</f>
        <v>1780</v>
      </c>
      <c r="S21" s="7" t="n">
        <f aca="false">VALUE(MID(Q21,6,2))</f>
        <v>1</v>
      </c>
      <c r="T21" s="7" t="n">
        <f aca="false">VALUE(RIGHT(Q21,2))</f>
        <v>29</v>
      </c>
      <c r="U21" s="7" t="s">
        <v>77</v>
      </c>
      <c r="V21" s="7" t="s">
        <v>78</v>
      </c>
    </row>
    <row r="22" customFormat="false" ht="34.5" hidden="false" customHeight="true" outlineLevel="0" collapsed="false">
      <c r="A22" s="7" t="n">
        <v>21</v>
      </c>
      <c r="B22" s="7" t="s">
        <v>244</v>
      </c>
      <c r="C22" s="7" t="s">
        <v>245</v>
      </c>
      <c r="D22" s="7" t="n">
        <f aca="false">VALUE(LEFT(B22,4))</f>
        <v>1780</v>
      </c>
      <c r="E22" s="7" t="n">
        <f aca="false">INT((D22-1)/100)+1</f>
        <v>18</v>
      </c>
      <c r="F22" s="7" t="s">
        <v>80</v>
      </c>
      <c r="G22" s="7" t="s">
        <v>246</v>
      </c>
      <c r="H22" s="7" t="s">
        <v>247</v>
      </c>
      <c r="I22" s="7" t="s">
        <v>248</v>
      </c>
      <c r="J22" s="7" t="s">
        <v>249</v>
      </c>
      <c r="K22" s="7" t="s">
        <v>250</v>
      </c>
      <c r="L22" s="7" t="s">
        <v>86</v>
      </c>
      <c r="M22" s="7"/>
      <c r="N22" s="7" t="s">
        <v>18</v>
      </c>
      <c r="O22" s="7" t="s">
        <v>75</v>
      </c>
      <c r="P22" s="7"/>
      <c r="Q22" s="7" t="s">
        <v>245</v>
      </c>
      <c r="R22" s="7" t="n">
        <f aca="false">VALUE(LEFT(Q22,4))</f>
        <v>1780</v>
      </c>
      <c r="S22" s="7" t="n">
        <f aca="false">VALUE(MID(Q22,6,2))</f>
        <v>11</v>
      </c>
      <c r="T22" s="7" t="n">
        <f aca="false">VALUE(RIGHT(Q22,2))</f>
        <v>11</v>
      </c>
      <c r="U22" s="7" t="s">
        <v>77</v>
      </c>
      <c r="V22" s="7" t="s">
        <v>251</v>
      </c>
    </row>
    <row r="23" customFormat="false" ht="45.75" hidden="false" customHeight="true" outlineLevel="0" collapsed="false">
      <c r="A23" s="7" t="n">
        <v>22</v>
      </c>
      <c r="B23" s="7" t="s">
        <v>252</v>
      </c>
      <c r="C23" s="7" t="s">
        <v>253</v>
      </c>
      <c r="D23" s="7" t="n">
        <f aca="false">VALUE(LEFT(B23,4))</f>
        <v>1781</v>
      </c>
      <c r="E23" s="7" t="n">
        <f aca="false">INT((D23-1)/100)+1</f>
        <v>18</v>
      </c>
      <c r="F23" s="7" t="s">
        <v>254</v>
      </c>
      <c r="G23" s="7" t="s">
        <v>255</v>
      </c>
      <c r="H23" s="7" t="s">
        <v>256</v>
      </c>
      <c r="I23" s="7" t="s">
        <v>257</v>
      </c>
      <c r="J23" s="7" t="s">
        <v>258</v>
      </c>
      <c r="K23" s="7" t="s">
        <v>259</v>
      </c>
      <c r="L23" s="7" t="s">
        <v>86</v>
      </c>
      <c r="M23" s="7"/>
      <c r="N23" s="7" t="s">
        <v>18</v>
      </c>
      <c r="O23" s="7" t="s">
        <v>75</v>
      </c>
      <c r="P23" s="7"/>
      <c r="Q23" s="7" t="s">
        <v>252</v>
      </c>
      <c r="R23" s="7" t="n">
        <f aca="false">VALUE(LEFT(Q23,4))</f>
        <v>1781</v>
      </c>
      <c r="S23" s="7" t="n">
        <f aca="false">VALUE(MID(Q23,6,2))</f>
        <v>1</v>
      </c>
      <c r="T23" s="7" t="n">
        <f aca="false">VALUE(RIGHT(Q23,2))</f>
        <v>22</v>
      </c>
      <c r="U23" s="7" t="s">
        <v>125</v>
      </c>
      <c r="V23" s="7" t="s">
        <v>126</v>
      </c>
    </row>
    <row r="24" customFormat="false" ht="57" hidden="false" customHeight="true" outlineLevel="0" collapsed="false">
      <c r="A24" s="7" t="n">
        <v>23</v>
      </c>
      <c r="B24" s="7" t="s">
        <v>260</v>
      </c>
      <c r="C24" s="7" t="s">
        <v>261</v>
      </c>
      <c r="D24" s="7" t="n">
        <f aca="false">VALUE(LEFT(B24,4))</f>
        <v>1783</v>
      </c>
      <c r="E24" s="7" t="n">
        <f aca="false">INT((D24-1)/100)+1</f>
        <v>18</v>
      </c>
      <c r="F24" s="7" t="s">
        <v>262</v>
      </c>
      <c r="G24" s="7" t="s">
        <v>263</v>
      </c>
      <c r="H24" s="7" t="s">
        <v>264</v>
      </c>
      <c r="I24" s="7" t="s">
        <v>265</v>
      </c>
      <c r="J24" s="7" t="s">
        <v>266</v>
      </c>
      <c r="K24" s="7" t="s">
        <v>267</v>
      </c>
      <c r="L24" s="7" t="s">
        <v>194</v>
      </c>
      <c r="M24" s="7" t="s">
        <v>74</v>
      </c>
      <c r="N24" s="7" t="s">
        <v>20</v>
      </c>
      <c r="O24" s="7" t="s">
        <v>75</v>
      </c>
      <c r="P24" s="7" t="s">
        <v>268</v>
      </c>
      <c r="Q24" s="7" t="s">
        <v>260</v>
      </c>
      <c r="R24" s="7" t="n">
        <f aca="false">VALUE(LEFT(Q24,4))</f>
        <v>1783</v>
      </c>
      <c r="S24" s="7" t="n">
        <f aca="false">VALUE(MID(Q24,6,2))</f>
        <v>10</v>
      </c>
      <c r="T24" s="7" t="n">
        <f aca="false">VALUE(RIGHT(Q24,2))</f>
        <v>18</v>
      </c>
      <c r="U24" s="7" t="s">
        <v>125</v>
      </c>
      <c r="V24" s="7" t="s">
        <v>269</v>
      </c>
    </row>
    <row r="25" customFormat="false" ht="34.5" hidden="false" customHeight="true" outlineLevel="0" collapsed="false">
      <c r="A25" s="7" t="n">
        <v>24</v>
      </c>
      <c r="B25" s="7" t="s">
        <v>270</v>
      </c>
      <c r="C25" s="7" t="s">
        <v>271</v>
      </c>
      <c r="D25" s="7" t="n">
        <f aca="false">VALUE(LEFT(B25,4))</f>
        <v>1783</v>
      </c>
      <c r="E25" s="7" t="n">
        <f aca="false">INT((D25-1)/100)+1</f>
        <v>18</v>
      </c>
      <c r="F25" s="7" t="s">
        <v>176</v>
      </c>
      <c r="G25" s="7" t="s">
        <v>272</v>
      </c>
      <c r="H25" s="7" t="s">
        <v>273</v>
      </c>
      <c r="I25" s="7" t="s">
        <v>274</v>
      </c>
      <c r="J25" s="7" t="s">
        <v>275</v>
      </c>
      <c r="K25" s="7" t="s">
        <v>276</v>
      </c>
      <c r="L25" s="7" t="s">
        <v>86</v>
      </c>
      <c r="M25" s="7"/>
      <c r="N25" s="7" t="s">
        <v>18</v>
      </c>
      <c r="O25" s="7" t="s">
        <v>75</v>
      </c>
      <c r="P25" s="7"/>
      <c r="Q25" s="7" t="s">
        <v>270</v>
      </c>
      <c r="R25" s="7" t="n">
        <f aca="false">VALUE(LEFT(Q25,4))</f>
        <v>1783</v>
      </c>
      <c r="S25" s="7" t="n">
        <f aca="false">VALUE(MID(Q25,6,2))</f>
        <v>12</v>
      </c>
      <c r="T25" s="7" t="n">
        <f aca="false">VALUE(RIGHT(Q25,2))</f>
        <v>30</v>
      </c>
      <c r="U25" s="7" t="s">
        <v>125</v>
      </c>
      <c r="V25" s="7" t="s">
        <v>126</v>
      </c>
    </row>
    <row r="26" customFormat="false" ht="45.75" hidden="false" customHeight="true" outlineLevel="0" collapsed="false">
      <c r="A26" s="7" t="n">
        <v>25</v>
      </c>
      <c r="B26" s="7" t="s">
        <v>277</v>
      </c>
      <c r="C26" s="7" t="s">
        <v>278</v>
      </c>
      <c r="D26" s="7" t="n">
        <f aca="false">VALUE(LEFT(B26,4))</f>
        <v>1784</v>
      </c>
      <c r="E26" s="7" t="n">
        <f aca="false">INT((D26-1)/100)+1</f>
        <v>18</v>
      </c>
      <c r="F26" s="7" t="s">
        <v>238</v>
      </c>
      <c r="G26" s="7" t="s">
        <v>279</v>
      </c>
      <c r="H26" s="7" t="s">
        <v>280</v>
      </c>
      <c r="I26" s="7" t="s">
        <v>281</v>
      </c>
      <c r="J26" s="7" t="s">
        <v>282</v>
      </c>
      <c r="K26" s="7" t="s">
        <v>283</v>
      </c>
      <c r="L26" s="7" t="s">
        <v>86</v>
      </c>
      <c r="M26" s="7"/>
      <c r="N26" s="7" t="s">
        <v>18</v>
      </c>
      <c r="O26" s="7" t="s">
        <v>75</v>
      </c>
      <c r="P26" s="7" t="s">
        <v>284</v>
      </c>
      <c r="Q26" s="7" t="s">
        <v>277</v>
      </c>
      <c r="R26" s="7" t="n">
        <f aca="false">VALUE(LEFT(Q26,4))</f>
        <v>1784</v>
      </c>
      <c r="S26" s="7" t="n">
        <f aca="false">VALUE(MID(Q26,6,2))</f>
        <v>2</v>
      </c>
      <c r="T26" s="7" t="n">
        <f aca="false">VALUE(RIGHT(Q26,2))</f>
        <v>10</v>
      </c>
      <c r="U26" s="7" t="s">
        <v>125</v>
      </c>
      <c r="V26" s="7" t="s">
        <v>126</v>
      </c>
    </row>
    <row r="27" customFormat="false" ht="90.75" hidden="false" customHeight="true" outlineLevel="0" collapsed="false">
      <c r="A27" s="7" t="n">
        <v>26</v>
      </c>
      <c r="B27" s="7" t="s">
        <v>285</v>
      </c>
      <c r="C27" s="7" t="s">
        <v>285</v>
      </c>
      <c r="D27" s="7" t="n">
        <f aca="false">VALUE(LEFT(B27,4))</f>
        <v>1788</v>
      </c>
      <c r="E27" s="7" t="n">
        <f aca="false">INT((D27-1)/100)+1</f>
        <v>18</v>
      </c>
      <c r="F27" s="7" t="s">
        <v>286</v>
      </c>
      <c r="G27" s="7" t="s">
        <v>287</v>
      </c>
      <c r="H27" s="7" t="s">
        <v>288</v>
      </c>
      <c r="I27" s="7" t="s">
        <v>289</v>
      </c>
      <c r="J27" s="7" t="s">
        <v>290</v>
      </c>
      <c r="K27" s="7" t="s">
        <v>291</v>
      </c>
      <c r="L27" s="7" t="s">
        <v>194</v>
      </c>
      <c r="M27" s="7" t="s">
        <v>74</v>
      </c>
      <c r="N27" s="7" t="s">
        <v>18</v>
      </c>
      <c r="O27" s="7" t="s">
        <v>75</v>
      </c>
      <c r="P27" s="7" t="s">
        <v>292</v>
      </c>
      <c r="Q27" s="7" t="s">
        <v>285</v>
      </c>
      <c r="R27" s="7" t="n">
        <f aca="false">VALUE(LEFT(Q27,4))</f>
        <v>1788</v>
      </c>
      <c r="S27" s="7" t="n">
        <f aca="false">VALUE(MID(Q27,6,2))</f>
        <v>8</v>
      </c>
      <c r="T27" s="7" t="n">
        <f aca="false">VALUE(RIGHT(Q27,2))</f>
        <v>19</v>
      </c>
      <c r="U27" s="7" t="s">
        <v>77</v>
      </c>
      <c r="V27" s="7" t="s">
        <v>78</v>
      </c>
    </row>
    <row r="28" customFormat="false" ht="57" hidden="false" customHeight="true" outlineLevel="0" collapsed="false">
      <c r="A28" s="7" t="n">
        <v>27</v>
      </c>
      <c r="B28" s="7" t="s">
        <v>293</v>
      </c>
      <c r="C28" s="7" t="s">
        <v>294</v>
      </c>
      <c r="D28" s="7" t="n">
        <f aca="false">VALUE(LEFT(B28,4))</f>
        <v>1789</v>
      </c>
      <c r="E28" s="7" t="n">
        <f aca="false">INT((D28-1)/100)+1</f>
        <v>18</v>
      </c>
      <c r="F28" s="7" t="s">
        <v>238</v>
      </c>
      <c r="G28" s="7" t="s">
        <v>295</v>
      </c>
      <c r="H28" s="7" t="s">
        <v>296</v>
      </c>
      <c r="I28" s="7" t="s">
        <v>297</v>
      </c>
      <c r="J28" s="7" t="s">
        <v>298</v>
      </c>
      <c r="K28" s="7" t="s">
        <v>299</v>
      </c>
      <c r="L28" s="7" t="s">
        <v>86</v>
      </c>
      <c r="M28" s="7"/>
      <c r="N28" s="7" t="s">
        <v>18</v>
      </c>
      <c r="O28" s="7" t="s">
        <v>75</v>
      </c>
      <c r="P28" s="7" t="s">
        <v>300</v>
      </c>
      <c r="Q28" s="7" t="s">
        <v>293</v>
      </c>
      <c r="R28" s="7" t="n">
        <f aca="false">VALUE(LEFT(Q28,4))</f>
        <v>1789</v>
      </c>
      <c r="S28" s="7" t="n">
        <f aca="false">VALUE(MID(Q28,6,2))</f>
        <v>1</v>
      </c>
      <c r="T28" s="7" t="n">
        <f aca="false">VALUE(RIGHT(Q28,2))</f>
        <v>30</v>
      </c>
      <c r="U28" s="7" t="s">
        <v>125</v>
      </c>
      <c r="V28" s="7" t="s">
        <v>126</v>
      </c>
    </row>
    <row r="29" customFormat="false" ht="34.5" hidden="false" customHeight="true" outlineLevel="0" collapsed="false">
      <c r="A29" s="7" t="n">
        <v>28</v>
      </c>
      <c r="B29" s="7" t="s">
        <v>301</v>
      </c>
      <c r="C29" s="7" t="s">
        <v>301</v>
      </c>
      <c r="D29" s="7" t="n">
        <f aca="false">VALUE(LEFT(B29,4))</f>
        <v>1795</v>
      </c>
      <c r="E29" s="7" t="n">
        <f aca="false">INT((D29-1)/100)+1</f>
        <v>18</v>
      </c>
      <c r="F29" s="7" t="s">
        <v>67</v>
      </c>
      <c r="G29" s="7" t="s">
        <v>302</v>
      </c>
      <c r="H29" s="7" t="s">
        <v>120</v>
      </c>
      <c r="I29" s="7" t="s">
        <v>303</v>
      </c>
      <c r="J29" s="7" t="s">
        <v>304</v>
      </c>
      <c r="K29" s="7" t="s">
        <v>305</v>
      </c>
      <c r="L29" s="7" t="s">
        <v>194</v>
      </c>
      <c r="M29" s="7" t="s">
        <v>74</v>
      </c>
      <c r="N29" s="7" t="s">
        <v>20</v>
      </c>
      <c r="O29" s="7" t="s">
        <v>94</v>
      </c>
      <c r="P29" s="7" t="s">
        <v>306</v>
      </c>
      <c r="Q29" s="7" t="s">
        <v>301</v>
      </c>
      <c r="R29" s="7" t="n">
        <f aca="false">VALUE(LEFT(Q29,4))</f>
        <v>1795</v>
      </c>
      <c r="S29" s="7" t="n">
        <f aca="false">VALUE(MID(Q29,6,2))</f>
        <v>8</v>
      </c>
      <c r="T29" s="7" t="n">
        <f aca="false">VALUE(RIGHT(Q29,2))</f>
        <v>3</v>
      </c>
      <c r="U29" s="7" t="s">
        <v>77</v>
      </c>
      <c r="V29" s="7" t="s">
        <v>78</v>
      </c>
    </row>
    <row r="30" customFormat="false" ht="90.75" hidden="false" customHeight="true" outlineLevel="0" collapsed="false">
      <c r="A30" s="7" t="n">
        <v>29</v>
      </c>
      <c r="B30" s="7" t="s">
        <v>307</v>
      </c>
      <c r="C30" s="7" t="s">
        <v>308</v>
      </c>
      <c r="D30" s="7" t="n">
        <f aca="false">VALUE(LEFT(B30,4))</f>
        <v>1796</v>
      </c>
      <c r="E30" s="7" t="n">
        <f aca="false">INT((D30-1)/100)+1</f>
        <v>18</v>
      </c>
      <c r="F30" s="7" t="s">
        <v>106</v>
      </c>
      <c r="G30" s="7" t="s">
        <v>309</v>
      </c>
      <c r="H30" s="7" t="s">
        <v>310</v>
      </c>
      <c r="I30" s="7" t="s">
        <v>311</v>
      </c>
      <c r="J30" s="7" t="s">
        <v>312</v>
      </c>
      <c r="K30" s="7" t="s">
        <v>313</v>
      </c>
      <c r="L30" s="7" t="s">
        <v>314</v>
      </c>
      <c r="M30" s="7" t="s">
        <v>315</v>
      </c>
      <c r="N30" s="7" t="s">
        <v>18</v>
      </c>
      <c r="O30" s="7" t="s">
        <v>75</v>
      </c>
      <c r="P30" s="7"/>
      <c r="Q30" s="7" t="s">
        <v>316</v>
      </c>
      <c r="R30" s="7" t="n">
        <f aca="false">VALUE(LEFT(Q30,4))</f>
        <v>1796</v>
      </c>
      <c r="S30" s="7" t="n">
        <f aca="false">VALUE(MID(Q30,6,2))</f>
        <v>12</v>
      </c>
      <c r="T30" s="7" t="n">
        <f aca="false">VALUE(RIGHT(Q30,2))</f>
        <v>20</v>
      </c>
      <c r="U30" s="7" t="s">
        <v>317</v>
      </c>
      <c r="V30" s="7" t="s">
        <v>318</v>
      </c>
    </row>
    <row r="31" customFormat="false" ht="90.75" hidden="false" customHeight="true" outlineLevel="0" collapsed="false">
      <c r="A31" s="7" t="n">
        <v>30</v>
      </c>
      <c r="B31" s="7" t="s">
        <v>319</v>
      </c>
      <c r="C31" s="7" t="s">
        <v>320</v>
      </c>
      <c r="D31" s="7" t="n">
        <f aca="false">VALUE(LEFT(B31,4))</f>
        <v>1797</v>
      </c>
      <c r="E31" s="7" t="n">
        <f aca="false">INT((D31-1)/100)+1</f>
        <v>18</v>
      </c>
      <c r="F31" s="7" t="s">
        <v>106</v>
      </c>
      <c r="G31" s="7" t="s">
        <v>321</v>
      </c>
      <c r="H31" s="7" t="s">
        <v>310</v>
      </c>
      <c r="I31" s="7" t="s">
        <v>322</v>
      </c>
      <c r="J31" s="7" t="s">
        <v>312</v>
      </c>
      <c r="K31" s="7" t="s">
        <v>323</v>
      </c>
      <c r="L31" s="7" t="s">
        <v>314</v>
      </c>
      <c r="M31" s="7" t="s">
        <v>315</v>
      </c>
      <c r="N31" s="7" t="s">
        <v>18</v>
      </c>
      <c r="O31" s="7" t="s">
        <v>75</v>
      </c>
      <c r="P31" s="7"/>
      <c r="Q31" s="7" t="s">
        <v>324</v>
      </c>
      <c r="R31" s="7" t="n">
        <f aca="false">VALUE(LEFT(Q31,4))</f>
        <v>1798</v>
      </c>
      <c r="S31" s="7" t="n">
        <f aca="false">VALUE(MID(Q31,6,2))</f>
        <v>1</v>
      </c>
      <c r="T31" s="7" t="n">
        <f aca="false">VALUE(RIGHT(Q31,2))</f>
        <v>10</v>
      </c>
      <c r="U31" s="7" t="s">
        <v>114</v>
      </c>
      <c r="V31" s="7" t="s">
        <v>325</v>
      </c>
    </row>
    <row r="32" customFormat="false" ht="68.25" hidden="false" customHeight="true" outlineLevel="0" collapsed="false">
      <c r="A32" s="7" t="n">
        <v>31</v>
      </c>
      <c r="B32" s="7" t="s">
        <v>326</v>
      </c>
      <c r="C32" s="7" t="s">
        <v>327</v>
      </c>
      <c r="D32" s="7" t="n">
        <f aca="false">VALUE(LEFT(B32,4))</f>
        <v>1800</v>
      </c>
      <c r="E32" s="7" t="n">
        <f aca="false">INT((D32-1)/100)+1</f>
        <v>18</v>
      </c>
      <c r="F32" s="7" t="s">
        <v>328</v>
      </c>
      <c r="G32" s="7" t="s">
        <v>329</v>
      </c>
      <c r="H32" s="7" t="s">
        <v>330</v>
      </c>
      <c r="I32" s="7" t="s">
        <v>331</v>
      </c>
      <c r="J32" s="7" t="s">
        <v>332</v>
      </c>
      <c r="K32" s="7" t="s">
        <v>333</v>
      </c>
      <c r="L32" s="7" t="s">
        <v>334</v>
      </c>
      <c r="M32" s="7" t="s">
        <v>335</v>
      </c>
      <c r="N32" s="7" t="s">
        <v>18</v>
      </c>
      <c r="O32" s="7" t="s">
        <v>75</v>
      </c>
      <c r="P32" s="7" t="s">
        <v>336</v>
      </c>
      <c r="Q32" s="7" t="s">
        <v>337</v>
      </c>
      <c r="R32" s="7" t="n">
        <f aca="false">VALUE(LEFT(Q32,4))</f>
        <v>1975</v>
      </c>
      <c r="S32" s="7" t="n">
        <f aca="false">VALUE(MID(Q32,6,2))</f>
        <v>5</v>
      </c>
      <c r="T32" s="7" t="n">
        <f aca="false">VALUE(RIGHT(Q32,2))</f>
        <v>15</v>
      </c>
      <c r="U32" s="7" t="s">
        <v>338</v>
      </c>
      <c r="V32" s="7" t="s">
        <v>339</v>
      </c>
    </row>
    <row r="33" customFormat="false" ht="34.5" hidden="false" customHeight="true" outlineLevel="0" collapsed="false">
      <c r="A33" s="7" t="n">
        <v>32</v>
      </c>
      <c r="B33" s="7" t="s">
        <v>340</v>
      </c>
      <c r="C33" s="7" t="s">
        <v>341</v>
      </c>
      <c r="D33" s="7" t="n">
        <f aca="false">VALUE(LEFT(B33,4))</f>
        <v>1801</v>
      </c>
      <c r="E33" s="7" t="n">
        <f aca="false">INT((D33-1)/100)+1</f>
        <v>19</v>
      </c>
      <c r="F33" s="7" t="s">
        <v>342</v>
      </c>
      <c r="G33" s="7" t="s">
        <v>343</v>
      </c>
      <c r="H33" s="7" t="s">
        <v>344</v>
      </c>
      <c r="I33" s="7" t="s">
        <v>345</v>
      </c>
      <c r="J33" s="7" t="s">
        <v>346</v>
      </c>
      <c r="K33" s="7" t="s">
        <v>347</v>
      </c>
      <c r="L33" s="7" t="s">
        <v>86</v>
      </c>
      <c r="M33" s="7"/>
      <c r="N33" s="7" t="s">
        <v>18</v>
      </c>
      <c r="O33" s="7" t="s">
        <v>75</v>
      </c>
      <c r="P33" s="7"/>
      <c r="Q33" s="7" t="s">
        <v>348</v>
      </c>
      <c r="R33" s="7" t="n">
        <f aca="false">VALUE(LEFT(Q33,4))</f>
        <v>1802</v>
      </c>
      <c r="S33" s="7" t="n">
        <f aca="false">VALUE(MID(Q33,6,2))</f>
        <v>1</v>
      </c>
      <c r="T33" s="7" t="n">
        <f aca="false">VALUE(RIGHT(Q33,2))</f>
        <v>15</v>
      </c>
      <c r="U33" s="7" t="s">
        <v>114</v>
      </c>
      <c r="V33" s="7" t="s">
        <v>349</v>
      </c>
    </row>
    <row r="34" customFormat="false" ht="45.75" hidden="false" customHeight="true" outlineLevel="0" collapsed="false">
      <c r="A34" s="7" t="n">
        <v>33</v>
      </c>
      <c r="B34" s="7" t="s">
        <v>350</v>
      </c>
      <c r="C34" s="7" t="s">
        <v>351</v>
      </c>
      <c r="D34" s="7" t="n">
        <f aca="false">VALUE(LEFT(B34,4))</f>
        <v>1802</v>
      </c>
      <c r="E34" s="7" t="n">
        <f aca="false">INT((D34-1)/100)+1</f>
        <v>19</v>
      </c>
      <c r="F34" s="7" t="s">
        <v>159</v>
      </c>
      <c r="G34" s="7" t="s">
        <v>352</v>
      </c>
      <c r="H34" s="7" t="s">
        <v>150</v>
      </c>
      <c r="I34" s="7" t="s">
        <v>353</v>
      </c>
      <c r="J34" s="7" t="s">
        <v>354</v>
      </c>
      <c r="K34" s="7" t="s">
        <v>355</v>
      </c>
      <c r="L34" s="7" t="s">
        <v>86</v>
      </c>
      <c r="M34" s="7"/>
      <c r="N34" s="7" t="s">
        <v>18</v>
      </c>
      <c r="O34" s="7" t="s">
        <v>75</v>
      </c>
      <c r="P34" s="7" t="s">
        <v>356</v>
      </c>
      <c r="Q34" s="7" t="s">
        <v>350</v>
      </c>
      <c r="R34" s="7" t="n">
        <f aca="false">VALUE(LEFT(Q34,4))</f>
        <v>1802</v>
      </c>
      <c r="S34" s="7" t="n">
        <f aca="false">VALUE(MID(Q34,6,2))</f>
        <v>2</v>
      </c>
      <c r="T34" s="7" t="n">
        <f aca="false">VALUE(RIGHT(Q34,2))</f>
        <v>22</v>
      </c>
      <c r="U34" s="7" t="s">
        <v>125</v>
      </c>
      <c r="V34" s="7" t="s">
        <v>126</v>
      </c>
    </row>
    <row r="35" customFormat="false" ht="45.75" hidden="false" customHeight="true" outlineLevel="0" collapsed="false">
      <c r="A35" s="7" t="n">
        <v>34</v>
      </c>
      <c r="B35" s="7" t="s">
        <v>357</v>
      </c>
      <c r="C35" s="7" t="s">
        <v>358</v>
      </c>
      <c r="D35" s="7" t="n">
        <f aca="false">VALUE(LEFT(B35,4))</f>
        <v>1803</v>
      </c>
      <c r="E35" s="7" t="n">
        <f aca="false">INT((D35-1)/100)+1</f>
        <v>19</v>
      </c>
      <c r="F35" s="7" t="s">
        <v>359</v>
      </c>
      <c r="G35" s="7" t="s">
        <v>360</v>
      </c>
      <c r="H35" s="7" t="s">
        <v>361</v>
      </c>
      <c r="I35" s="7" t="s">
        <v>362</v>
      </c>
      <c r="J35" s="7" t="s">
        <v>363</v>
      </c>
      <c r="K35" s="7" t="s">
        <v>364</v>
      </c>
      <c r="L35" s="7" t="s">
        <v>86</v>
      </c>
      <c r="M35" s="7"/>
      <c r="N35" s="7" t="s">
        <v>18</v>
      </c>
      <c r="O35" s="7" t="s">
        <v>75</v>
      </c>
      <c r="P35" s="7" t="s">
        <v>365</v>
      </c>
      <c r="Q35" s="7" t="s">
        <v>357</v>
      </c>
      <c r="R35" s="7" t="n">
        <f aca="false">VALUE(LEFT(Q35,4))</f>
        <v>1803</v>
      </c>
      <c r="S35" s="7" t="n">
        <f aca="false">VALUE(MID(Q35,6,2))</f>
        <v>5</v>
      </c>
      <c r="T35" s="7" t="n">
        <f aca="false">VALUE(RIGHT(Q35,2))</f>
        <v>6</v>
      </c>
      <c r="U35" s="7" t="s">
        <v>125</v>
      </c>
      <c r="V35" s="7" t="s">
        <v>126</v>
      </c>
    </row>
    <row r="36" customFormat="false" ht="45.75" hidden="false" customHeight="true" outlineLevel="0" collapsed="false">
      <c r="A36" s="7" t="n">
        <v>35</v>
      </c>
      <c r="B36" s="7" t="s">
        <v>366</v>
      </c>
      <c r="C36" s="7" t="s">
        <v>367</v>
      </c>
      <c r="D36" s="7" t="n">
        <f aca="false">VALUE(LEFT(B36,4))</f>
        <v>1804</v>
      </c>
      <c r="E36" s="7" t="n">
        <f aca="false">INT((D36-1)/100)+1</f>
        <v>19</v>
      </c>
      <c r="F36" s="7" t="s">
        <v>368</v>
      </c>
      <c r="G36" s="7" t="s">
        <v>369</v>
      </c>
      <c r="H36" s="7" t="s">
        <v>370</v>
      </c>
      <c r="I36" s="7" t="s">
        <v>371</v>
      </c>
      <c r="J36" s="7" t="s">
        <v>372</v>
      </c>
      <c r="K36" s="7" t="s">
        <v>373</v>
      </c>
      <c r="L36" s="7" t="s">
        <v>86</v>
      </c>
      <c r="M36" s="7"/>
      <c r="N36" s="7" t="s">
        <v>18</v>
      </c>
      <c r="O36" s="7" t="s">
        <v>75</v>
      </c>
      <c r="P36" s="7"/>
      <c r="Q36" s="7" t="s">
        <v>374</v>
      </c>
      <c r="R36" s="7" t="n">
        <f aca="false">VALUE(LEFT(Q36,4))</f>
        <v>1804</v>
      </c>
      <c r="S36" s="7" t="n">
        <f aca="false">VALUE(MID(Q36,6,2))</f>
        <v>3</v>
      </c>
      <c r="T36" s="7" t="n">
        <f aca="false">VALUE(RIGHT(Q36,2))</f>
        <v>2</v>
      </c>
      <c r="U36" s="7" t="s">
        <v>77</v>
      </c>
      <c r="V36" s="7" t="s">
        <v>375</v>
      </c>
    </row>
    <row r="37" customFormat="false" ht="79.5" hidden="false" customHeight="true" outlineLevel="0" collapsed="false">
      <c r="A37" s="7" t="n">
        <v>36</v>
      </c>
      <c r="B37" s="7" t="s">
        <v>376</v>
      </c>
      <c r="C37" s="7" t="s">
        <v>376</v>
      </c>
      <c r="D37" s="7" t="n">
        <f aca="false">VALUE(LEFT(B37,4))</f>
        <v>1804</v>
      </c>
      <c r="E37" s="7" t="n">
        <f aca="false">INT((D37-1)/100)+1</f>
        <v>19</v>
      </c>
      <c r="F37" s="7" t="s">
        <v>377</v>
      </c>
      <c r="G37" s="7" t="s">
        <v>378</v>
      </c>
      <c r="H37" s="7" t="s">
        <v>379</v>
      </c>
      <c r="I37" s="7" t="s">
        <v>380</v>
      </c>
      <c r="J37" s="7" t="s">
        <v>381</v>
      </c>
      <c r="K37" s="7" t="s">
        <v>382</v>
      </c>
      <c r="L37" s="7" t="s">
        <v>194</v>
      </c>
      <c r="M37" s="7" t="s">
        <v>74</v>
      </c>
      <c r="N37" s="7" t="s">
        <v>16</v>
      </c>
      <c r="O37" s="7" t="s">
        <v>75</v>
      </c>
      <c r="P37" s="7" t="s">
        <v>383</v>
      </c>
      <c r="Q37" s="7" t="s">
        <v>376</v>
      </c>
      <c r="R37" s="7" t="n">
        <f aca="false">VALUE(LEFT(Q37,4))</f>
        <v>1804</v>
      </c>
      <c r="S37" s="7" t="n">
        <f aca="false">VALUE(MID(Q37,6,2))</f>
        <v>10</v>
      </c>
      <c r="T37" s="7" t="n">
        <f aca="false">VALUE(RIGHT(Q37,2))</f>
        <v>9</v>
      </c>
      <c r="U37" s="7" t="s">
        <v>77</v>
      </c>
      <c r="V37" s="7" t="s">
        <v>78</v>
      </c>
    </row>
    <row r="38" customFormat="false" ht="90.75" hidden="false" customHeight="true" outlineLevel="0" collapsed="false">
      <c r="A38" s="7" t="n">
        <v>37</v>
      </c>
      <c r="B38" s="7" t="s">
        <v>384</v>
      </c>
      <c r="C38" s="7" t="s">
        <v>385</v>
      </c>
      <c r="D38" s="7" t="n">
        <f aca="false">VALUE(LEFT(B38,4))</f>
        <v>1804</v>
      </c>
      <c r="E38" s="7" t="n">
        <f aca="false">INT((D38-1)/100)+1</f>
        <v>19</v>
      </c>
      <c r="F38" s="7" t="s">
        <v>106</v>
      </c>
      <c r="G38" s="7" t="s">
        <v>386</v>
      </c>
      <c r="H38" s="7" t="s">
        <v>310</v>
      </c>
      <c r="I38" s="7" t="s">
        <v>387</v>
      </c>
      <c r="J38" s="7" t="s">
        <v>312</v>
      </c>
      <c r="K38" s="7" t="s">
        <v>388</v>
      </c>
      <c r="L38" s="7" t="s">
        <v>314</v>
      </c>
      <c r="M38" s="7" t="s">
        <v>315</v>
      </c>
      <c r="N38" s="7" t="s">
        <v>18</v>
      </c>
      <c r="O38" s="7" t="s">
        <v>75</v>
      </c>
      <c r="P38" s="7"/>
      <c r="Q38" s="7" t="s">
        <v>389</v>
      </c>
      <c r="R38" s="7" t="n">
        <f aca="false">VALUE(LEFT(Q38,4))</f>
        <v>1805</v>
      </c>
      <c r="S38" s="7" t="n">
        <f aca="false">VALUE(MID(Q38,6,2))</f>
        <v>1</v>
      </c>
      <c r="T38" s="7" t="n">
        <f aca="false">VALUE(RIGHT(Q38,2))</f>
        <v>21</v>
      </c>
      <c r="U38" s="7" t="s">
        <v>114</v>
      </c>
      <c r="V38" s="7" t="s">
        <v>325</v>
      </c>
    </row>
    <row r="39" customFormat="false" ht="34.5" hidden="false" customHeight="true" outlineLevel="0" collapsed="false">
      <c r="A39" s="7" t="n">
        <v>38</v>
      </c>
      <c r="B39" s="7" t="s">
        <v>390</v>
      </c>
      <c r="C39" s="7" t="s">
        <v>391</v>
      </c>
      <c r="D39" s="7" t="n">
        <f aca="false">VALUE(LEFT(B39,4))</f>
        <v>1805</v>
      </c>
      <c r="E39" s="7" t="n">
        <f aca="false">INT((D39-1)/100)+1</f>
        <v>19</v>
      </c>
      <c r="F39" s="7" t="s">
        <v>392</v>
      </c>
      <c r="G39" s="7" t="s">
        <v>393</v>
      </c>
      <c r="H39" s="7" t="s">
        <v>120</v>
      </c>
      <c r="I39" s="7" t="s">
        <v>394</v>
      </c>
      <c r="J39" s="7" t="s">
        <v>395</v>
      </c>
      <c r="K39" s="7" t="s">
        <v>396</v>
      </c>
      <c r="L39" s="7" t="s">
        <v>86</v>
      </c>
      <c r="M39" s="7"/>
      <c r="N39" s="7" t="s">
        <v>18</v>
      </c>
      <c r="O39" s="7" t="s">
        <v>75</v>
      </c>
      <c r="P39" s="7"/>
      <c r="Q39" s="7" t="s">
        <v>390</v>
      </c>
      <c r="R39" s="7" t="n">
        <f aca="false">VALUE(LEFT(Q39,4))</f>
        <v>1805</v>
      </c>
      <c r="S39" s="7" t="n">
        <f aca="false">VALUE(MID(Q39,6,2))</f>
        <v>1</v>
      </c>
      <c r="T39" s="7" t="n">
        <f aca="false">VALUE(RIGHT(Q39,2))</f>
        <v>22</v>
      </c>
      <c r="U39" s="7" t="s">
        <v>125</v>
      </c>
      <c r="V39" s="7" t="s">
        <v>126</v>
      </c>
    </row>
    <row r="40" customFormat="false" ht="34.5" hidden="false" customHeight="true" outlineLevel="0" collapsed="false">
      <c r="A40" s="7" t="n">
        <v>39</v>
      </c>
      <c r="B40" s="7" t="s">
        <v>397</v>
      </c>
      <c r="C40" s="7" t="s">
        <v>398</v>
      </c>
      <c r="D40" s="7" t="n">
        <f aca="false">VALUE(LEFT(B40,4))</f>
        <v>1805</v>
      </c>
      <c r="E40" s="7" t="n">
        <f aca="false">INT((D40-1)/100)+1</f>
        <v>19</v>
      </c>
      <c r="F40" s="7" t="s">
        <v>139</v>
      </c>
      <c r="G40" s="7" t="s">
        <v>399</v>
      </c>
      <c r="H40" s="7" t="s">
        <v>120</v>
      </c>
      <c r="I40" s="7" t="s">
        <v>400</v>
      </c>
      <c r="J40" s="7" t="s">
        <v>401</v>
      </c>
      <c r="K40" s="7" t="s">
        <v>402</v>
      </c>
      <c r="L40" s="7" t="s">
        <v>86</v>
      </c>
      <c r="M40" s="7"/>
      <c r="N40" s="7" t="s">
        <v>18</v>
      </c>
      <c r="O40" s="7" t="s">
        <v>75</v>
      </c>
      <c r="P40" s="7"/>
      <c r="Q40" s="7" t="s">
        <v>397</v>
      </c>
      <c r="R40" s="7" t="n">
        <f aca="false">VALUE(LEFT(Q40,4))</f>
        <v>1805</v>
      </c>
      <c r="S40" s="7" t="n">
        <f aca="false">VALUE(MID(Q40,6,2))</f>
        <v>1</v>
      </c>
      <c r="T40" s="7" t="n">
        <f aca="false">VALUE(RIGHT(Q40,2))</f>
        <v>26</v>
      </c>
      <c r="U40" s="7" t="s">
        <v>125</v>
      </c>
      <c r="V40" s="7" t="s">
        <v>126</v>
      </c>
    </row>
    <row r="41" customFormat="false" ht="34.5" hidden="false" customHeight="true" outlineLevel="0" collapsed="false">
      <c r="A41" s="7" t="n">
        <v>40</v>
      </c>
      <c r="B41" s="7" t="s">
        <v>403</v>
      </c>
      <c r="C41" s="7" t="s">
        <v>403</v>
      </c>
      <c r="D41" s="7" t="n">
        <f aca="false">VALUE(LEFT(B41,4))</f>
        <v>1806</v>
      </c>
      <c r="E41" s="7" t="n">
        <f aca="false">INT((D41-1)/100)+1</f>
        <v>19</v>
      </c>
      <c r="F41" s="7" t="s">
        <v>67</v>
      </c>
      <c r="G41" s="7" t="s">
        <v>404</v>
      </c>
      <c r="H41" s="7" t="s">
        <v>405</v>
      </c>
      <c r="I41" s="7" t="s">
        <v>406</v>
      </c>
      <c r="J41" s="7" t="s">
        <v>407</v>
      </c>
      <c r="K41" s="7" t="s">
        <v>408</v>
      </c>
      <c r="L41" s="7" t="s">
        <v>194</v>
      </c>
      <c r="M41" s="7" t="s">
        <v>74</v>
      </c>
      <c r="N41" s="7" t="s">
        <v>20</v>
      </c>
      <c r="O41" s="7" t="s">
        <v>94</v>
      </c>
      <c r="P41" s="7" t="s">
        <v>409</v>
      </c>
      <c r="Q41" s="7" t="s">
        <v>403</v>
      </c>
      <c r="R41" s="7" t="n">
        <f aca="false">VALUE(LEFT(Q41,4))</f>
        <v>1806</v>
      </c>
      <c r="S41" s="7" t="n">
        <f aca="false">VALUE(MID(Q41,6,2))</f>
        <v>8</v>
      </c>
      <c r="T41" s="7" t="n">
        <f aca="false">VALUE(RIGHT(Q41,2))</f>
        <v>23</v>
      </c>
      <c r="U41" s="7" t="s">
        <v>77</v>
      </c>
      <c r="V41" s="7" t="s">
        <v>78</v>
      </c>
    </row>
    <row r="42" customFormat="false" ht="45.75" hidden="false" customHeight="true" outlineLevel="0" collapsed="false">
      <c r="A42" s="7" t="n">
        <v>41</v>
      </c>
      <c r="B42" s="7" t="s">
        <v>410</v>
      </c>
      <c r="C42" s="7" t="s">
        <v>411</v>
      </c>
      <c r="D42" s="7" t="n">
        <f aca="false">VALUE(LEFT(B42,4))</f>
        <v>1807</v>
      </c>
      <c r="E42" s="7" t="n">
        <f aca="false">INT((D42-1)/100)+1</f>
        <v>19</v>
      </c>
      <c r="F42" s="7" t="s">
        <v>412</v>
      </c>
      <c r="G42" s="7" t="s">
        <v>413</v>
      </c>
      <c r="H42" s="7" t="s">
        <v>414</v>
      </c>
      <c r="I42" s="7" t="s">
        <v>415</v>
      </c>
      <c r="J42" s="7" t="s">
        <v>416</v>
      </c>
      <c r="K42" s="7" t="s">
        <v>417</v>
      </c>
      <c r="L42" s="7" t="s">
        <v>86</v>
      </c>
      <c r="M42" s="7"/>
      <c r="N42" s="7" t="s">
        <v>18</v>
      </c>
      <c r="O42" s="7" t="s">
        <v>75</v>
      </c>
      <c r="P42" s="7" t="s">
        <v>418</v>
      </c>
      <c r="Q42" s="7" t="s">
        <v>410</v>
      </c>
      <c r="R42" s="7" t="n">
        <f aca="false">VALUE(LEFT(Q42,4))</f>
        <v>1807</v>
      </c>
      <c r="S42" s="7" t="n">
        <f aca="false">VALUE(MID(Q42,6,2))</f>
        <v>3</v>
      </c>
      <c r="T42" s="7" t="n">
        <f aca="false">VALUE(RIGHT(Q42,2))</f>
        <v>30</v>
      </c>
      <c r="U42" s="7" t="s">
        <v>125</v>
      </c>
      <c r="V42" s="7" t="s">
        <v>126</v>
      </c>
    </row>
    <row r="43" customFormat="false" ht="34.5" hidden="false" customHeight="true" outlineLevel="0" collapsed="false">
      <c r="A43" s="7" t="n">
        <v>42</v>
      </c>
      <c r="B43" s="7" t="s">
        <v>419</v>
      </c>
      <c r="C43" s="7" t="s">
        <v>419</v>
      </c>
      <c r="D43" s="7" t="n">
        <f aca="false">VALUE(LEFT(B43,4))</f>
        <v>1810</v>
      </c>
      <c r="E43" s="7" t="n">
        <f aca="false">INT((D43-1)/100)+1</f>
        <v>19</v>
      </c>
      <c r="F43" s="7" t="s">
        <v>420</v>
      </c>
      <c r="G43" s="7" t="s">
        <v>421</v>
      </c>
      <c r="H43" s="7" t="s">
        <v>422</v>
      </c>
      <c r="I43" s="7" t="s">
        <v>423</v>
      </c>
      <c r="J43" s="7" t="s">
        <v>332</v>
      </c>
      <c r="K43" s="7" t="s">
        <v>424</v>
      </c>
      <c r="L43" s="7" t="s">
        <v>425</v>
      </c>
      <c r="M43" s="7"/>
      <c r="N43" s="7" t="s">
        <v>20</v>
      </c>
      <c r="O43" s="7" t="s">
        <v>94</v>
      </c>
      <c r="P43" s="7"/>
      <c r="Q43" s="7" t="s">
        <v>419</v>
      </c>
      <c r="R43" s="7" t="n">
        <f aca="false">VALUE(LEFT(Q43,4))</f>
        <v>1810</v>
      </c>
      <c r="S43" s="7" t="n">
        <f aca="false">VALUE(MID(Q43,6,2))</f>
        <v>1</v>
      </c>
      <c r="T43" s="7" t="n">
        <f aca="false">VALUE(RIGHT(Q43,2))</f>
        <v>19</v>
      </c>
      <c r="U43" s="7" t="s">
        <v>77</v>
      </c>
      <c r="V43" s="7" t="s">
        <v>78</v>
      </c>
    </row>
    <row r="44" customFormat="false" ht="23.25" hidden="false" customHeight="true" outlineLevel="0" collapsed="false">
      <c r="A44" s="7" t="n">
        <v>43</v>
      </c>
      <c r="B44" s="7" t="s">
        <v>426</v>
      </c>
      <c r="C44" s="7" t="s">
        <v>427</v>
      </c>
      <c r="D44" s="7" t="n">
        <f aca="false">VALUE(LEFT(B44,4))</f>
        <v>1813</v>
      </c>
      <c r="E44" s="7" t="n">
        <f aca="false">INT((D44-1)/100)+1</f>
        <v>19</v>
      </c>
      <c r="F44" s="7" t="s">
        <v>342</v>
      </c>
      <c r="G44" s="7" t="s">
        <v>428</v>
      </c>
      <c r="H44" s="7" t="s">
        <v>429</v>
      </c>
      <c r="I44" s="7" t="s">
        <v>430</v>
      </c>
      <c r="J44" s="7" t="s">
        <v>431</v>
      </c>
      <c r="K44" s="7" t="s">
        <v>432</v>
      </c>
      <c r="L44" s="7" t="s">
        <v>86</v>
      </c>
      <c r="M44" s="7"/>
      <c r="N44" s="7" t="s">
        <v>18</v>
      </c>
      <c r="O44" s="7" t="s">
        <v>75</v>
      </c>
      <c r="P44" s="7"/>
      <c r="Q44" s="7" t="s">
        <v>433</v>
      </c>
      <c r="R44" s="7" t="n">
        <f aca="false">VALUE(LEFT(Q44,4))</f>
        <v>1814</v>
      </c>
      <c r="S44" s="7" t="n">
        <f aca="false">VALUE(MID(Q44,6,2))</f>
        <v>1</v>
      </c>
      <c r="T44" s="7" t="n">
        <f aca="false">VALUE(RIGHT(Q44,2))</f>
        <v>31</v>
      </c>
      <c r="U44" s="7" t="s">
        <v>77</v>
      </c>
      <c r="V44" s="7" t="s">
        <v>434</v>
      </c>
    </row>
    <row r="45" customFormat="false" ht="23.25" hidden="false" customHeight="true" outlineLevel="0" collapsed="false">
      <c r="A45" s="7" t="n">
        <v>44</v>
      </c>
      <c r="B45" s="7" t="s">
        <v>435</v>
      </c>
      <c r="C45" s="7" t="s">
        <v>436</v>
      </c>
      <c r="D45" s="7" t="n">
        <f aca="false">VALUE(LEFT(B45,4))</f>
        <v>1814</v>
      </c>
      <c r="E45" s="7" t="n">
        <f aca="false">INT((D45-1)/100)+1</f>
        <v>19</v>
      </c>
      <c r="F45" s="7" t="s">
        <v>238</v>
      </c>
      <c r="G45" s="7" t="s">
        <v>437</v>
      </c>
      <c r="H45" s="7" t="s">
        <v>438</v>
      </c>
      <c r="I45" s="7" t="s">
        <v>439</v>
      </c>
      <c r="J45" s="7" t="s">
        <v>431</v>
      </c>
      <c r="K45" s="7" t="s">
        <v>440</v>
      </c>
      <c r="L45" s="7" t="s">
        <v>86</v>
      </c>
      <c r="M45" s="7"/>
      <c r="N45" s="7" t="s">
        <v>18</v>
      </c>
      <c r="O45" s="7" t="s">
        <v>75</v>
      </c>
      <c r="P45" s="7"/>
      <c r="Q45" s="7" t="s">
        <v>435</v>
      </c>
      <c r="R45" s="7" t="n">
        <f aca="false">VALUE(LEFT(Q45,4))</f>
        <v>1814</v>
      </c>
      <c r="S45" s="7" t="n">
        <f aca="false">VALUE(MID(Q45,6,2))</f>
        <v>12</v>
      </c>
      <c r="T45" s="7" t="n">
        <f aca="false">VALUE(RIGHT(Q45,2))</f>
        <v>20</v>
      </c>
      <c r="U45" s="7" t="s">
        <v>125</v>
      </c>
      <c r="V45" s="7" t="s">
        <v>126</v>
      </c>
    </row>
    <row r="46" customFormat="false" ht="57" hidden="false" customHeight="true" outlineLevel="0" collapsed="false">
      <c r="A46" s="7" t="n">
        <v>45</v>
      </c>
      <c r="B46" s="7" t="s">
        <v>441</v>
      </c>
      <c r="C46" s="7" t="s">
        <v>442</v>
      </c>
      <c r="D46" s="7" t="n">
        <f aca="false">VALUE(LEFT(B46,4))</f>
        <v>1815</v>
      </c>
      <c r="E46" s="7" t="n">
        <f aca="false">INT((D46-1)/100)+1</f>
        <v>19</v>
      </c>
      <c r="F46" s="7" t="s">
        <v>238</v>
      </c>
      <c r="G46" s="7" t="s">
        <v>443</v>
      </c>
      <c r="H46" s="7" t="s">
        <v>444</v>
      </c>
      <c r="I46" s="7" t="s">
        <v>445</v>
      </c>
      <c r="J46" s="7" t="s">
        <v>446</v>
      </c>
      <c r="K46" s="7" t="s">
        <v>447</v>
      </c>
      <c r="L46" s="7" t="s">
        <v>86</v>
      </c>
      <c r="M46" s="7"/>
      <c r="N46" s="7" t="s">
        <v>18</v>
      </c>
      <c r="O46" s="7" t="s">
        <v>75</v>
      </c>
      <c r="P46" s="7" t="s">
        <v>448</v>
      </c>
      <c r="Q46" s="7" t="s">
        <v>441</v>
      </c>
      <c r="R46" s="7" t="n">
        <f aca="false">VALUE(LEFT(Q46,4))</f>
        <v>1815</v>
      </c>
      <c r="S46" s="7" t="n">
        <f aca="false">VALUE(MID(Q46,6,2))</f>
        <v>1</v>
      </c>
      <c r="T46" s="7" t="n">
        <f aca="false">VALUE(RIGHT(Q46,2))</f>
        <v>31</v>
      </c>
      <c r="U46" s="7" t="s">
        <v>125</v>
      </c>
      <c r="V46" s="7" t="s">
        <v>126</v>
      </c>
    </row>
    <row r="47" customFormat="false" ht="45.75" hidden="false" customHeight="true" outlineLevel="0" collapsed="false">
      <c r="A47" s="7" t="n">
        <v>46</v>
      </c>
      <c r="B47" s="7" t="s">
        <v>449</v>
      </c>
      <c r="C47" s="7" t="s">
        <v>449</v>
      </c>
      <c r="D47" s="7" t="n">
        <f aca="false">VALUE(LEFT(B47,4))</f>
        <v>1815</v>
      </c>
      <c r="E47" s="7" t="n">
        <f aca="false">INT((D47-1)/100)+1</f>
        <v>19</v>
      </c>
      <c r="F47" s="7" t="s">
        <v>67</v>
      </c>
      <c r="G47" s="7" t="s">
        <v>450</v>
      </c>
      <c r="H47" s="7" t="s">
        <v>451</v>
      </c>
      <c r="I47" s="7" t="s">
        <v>452</v>
      </c>
      <c r="J47" s="7" t="s">
        <v>453</v>
      </c>
      <c r="K47" s="7" t="s">
        <v>454</v>
      </c>
      <c r="L47" s="7" t="s">
        <v>455</v>
      </c>
      <c r="M47" s="7" t="s">
        <v>74</v>
      </c>
      <c r="N47" s="7" t="s">
        <v>20</v>
      </c>
      <c r="O47" s="7" t="s">
        <v>75</v>
      </c>
      <c r="P47" s="7" t="s">
        <v>456</v>
      </c>
      <c r="Q47" s="7" t="s">
        <v>449</v>
      </c>
      <c r="R47" s="7" t="n">
        <f aca="false">VALUE(LEFT(Q47,4))</f>
        <v>1815</v>
      </c>
      <c r="S47" s="7" t="n">
        <f aca="false">VALUE(MID(Q47,6,2))</f>
        <v>9</v>
      </c>
      <c r="T47" s="7" t="n">
        <f aca="false">VALUE(RIGHT(Q47,2))</f>
        <v>23</v>
      </c>
      <c r="U47" s="7" t="s">
        <v>77</v>
      </c>
      <c r="V47" s="7" t="s">
        <v>78</v>
      </c>
    </row>
    <row r="48" customFormat="false" ht="34.5" hidden="false" customHeight="true" outlineLevel="0" collapsed="false">
      <c r="A48" s="7" t="n">
        <v>47</v>
      </c>
      <c r="B48" s="7" t="s">
        <v>457</v>
      </c>
      <c r="C48" s="7" t="s">
        <v>458</v>
      </c>
      <c r="D48" s="7" t="n">
        <f aca="false">VALUE(LEFT(B48,4))</f>
        <v>1816</v>
      </c>
      <c r="E48" s="7" t="n">
        <f aca="false">INT((D48-1)/100)+1</f>
        <v>19</v>
      </c>
      <c r="F48" s="7" t="s">
        <v>459</v>
      </c>
      <c r="G48" s="7" t="s">
        <v>460</v>
      </c>
      <c r="H48" s="7" t="s">
        <v>461</v>
      </c>
      <c r="I48" s="7" t="s">
        <v>462</v>
      </c>
      <c r="J48" s="7" t="s">
        <v>332</v>
      </c>
      <c r="K48" s="7" t="s">
        <v>463</v>
      </c>
      <c r="L48" s="7" t="s">
        <v>425</v>
      </c>
      <c r="M48" s="7"/>
      <c r="N48" s="7" t="s">
        <v>18</v>
      </c>
      <c r="O48" s="7" t="s">
        <v>94</v>
      </c>
      <c r="P48" s="7"/>
      <c r="Q48" s="7" t="s">
        <v>457</v>
      </c>
      <c r="R48" s="7" t="n">
        <f aca="false">VALUE(LEFT(Q48,4))</f>
        <v>1816</v>
      </c>
      <c r="S48" s="7" t="n">
        <f aca="false">VALUE(MID(Q48,6,2))</f>
        <v>5</v>
      </c>
      <c r="T48" s="7" t="n">
        <f aca="false">VALUE(RIGHT(Q48,2))</f>
        <v>12</v>
      </c>
      <c r="U48" s="7" t="s">
        <v>125</v>
      </c>
      <c r="V48" s="7" t="s">
        <v>126</v>
      </c>
    </row>
    <row r="49" customFormat="false" ht="68.25" hidden="false" customHeight="true" outlineLevel="0" collapsed="false">
      <c r="A49" s="7" t="n">
        <v>48</v>
      </c>
      <c r="B49" s="7" t="s">
        <v>464</v>
      </c>
      <c r="C49" s="7" t="s">
        <v>465</v>
      </c>
      <c r="D49" s="7" t="n">
        <f aca="false">VALUE(LEFT(B49,4))</f>
        <v>1816</v>
      </c>
      <c r="E49" s="7" t="n">
        <f aca="false">INT((D49-1)/100)+1</f>
        <v>19</v>
      </c>
      <c r="F49" s="7" t="s">
        <v>466</v>
      </c>
      <c r="G49" s="7" t="s">
        <v>467</v>
      </c>
      <c r="H49" s="7" t="s">
        <v>468</v>
      </c>
      <c r="I49" s="7" t="s">
        <v>469</v>
      </c>
      <c r="J49" s="7" t="s">
        <v>470</v>
      </c>
      <c r="K49" s="7" t="s">
        <v>471</v>
      </c>
      <c r="L49" s="7" t="s">
        <v>86</v>
      </c>
      <c r="M49" s="7" t="s">
        <v>472</v>
      </c>
      <c r="N49" s="7" t="s">
        <v>18</v>
      </c>
      <c r="O49" s="7" t="s">
        <v>75</v>
      </c>
      <c r="P49" s="7" t="s">
        <v>473</v>
      </c>
      <c r="Q49" s="7" t="s">
        <v>464</v>
      </c>
      <c r="R49" s="7" t="n">
        <f aca="false">VALUE(LEFT(Q49,4))</f>
        <v>1816</v>
      </c>
      <c r="S49" s="7" t="n">
        <f aca="false">VALUE(MID(Q49,6,2))</f>
        <v>6</v>
      </c>
      <c r="T49" s="7" t="n">
        <f aca="false">VALUE(RIGHT(Q49,2))</f>
        <v>6</v>
      </c>
      <c r="U49" s="7" t="s">
        <v>125</v>
      </c>
      <c r="V49" s="7" t="s">
        <v>126</v>
      </c>
    </row>
    <row r="50" customFormat="false" ht="34.5" hidden="false" customHeight="true" outlineLevel="0" collapsed="false">
      <c r="A50" s="7" t="n">
        <v>49</v>
      </c>
      <c r="B50" s="7" t="s">
        <v>474</v>
      </c>
      <c r="C50" s="7" t="s">
        <v>475</v>
      </c>
      <c r="D50" s="7" t="n">
        <f aca="false">VALUE(LEFT(B50,4))</f>
        <v>1816</v>
      </c>
      <c r="E50" s="7" t="n">
        <f aca="false">INT((D50-1)/100)+1</f>
        <v>19</v>
      </c>
      <c r="F50" s="7" t="s">
        <v>459</v>
      </c>
      <c r="G50" s="7" t="s">
        <v>476</v>
      </c>
      <c r="H50" s="7" t="s">
        <v>477</v>
      </c>
      <c r="I50" s="7" t="s">
        <v>478</v>
      </c>
      <c r="J50" s="7" t="s">
        <v>479</v>
      </c>
      <c r="K50" s="7"/>
      <c r="L50" s="7" t="s">
        <v>425</v>
      </c>
      <c r="M50" s="7"/>
      <c r="N50" s="7" t="s">
        <v>20</v>
      </c>
      <c r="O50" s="7" t="s">
        <v>94</v>
      </c>
      <c r="P50" s="7" t="s">
        <v>480</v>
      </c>
      <c r="Q50" s="7" t="s">
        <v>474</v>
      </c>
      <c r="R50" s="7" t="n">
        <f aca="false">VALUE(LEFT(Q50,4))</f>
        <v>1816</v>
      </c>
      <c r="S50" s="7" t="n">
        <f aca="false">VALUE(MID(Q50,6,2))</f>
        <v>7</v>
      </c>
      <c r="T50" s="7" t="n">
        <f aca="false">VALUE(RIGHT(Q50,2))</f>
        <v>4</v>
      </c>
      <c r="U50" s="7" t="s">
        <v>125</v>
      </c>
      <c r="V50" s="7" t="s">
        <v>126</v>
      </c>
    </row>
    <row r="51" customFormat="false" ht="23.25" hidden="false" customHeight="true" outlineLevel="0" collapsed="false">
      <c r="A51" s="7" t="n">
        <v>50</v>
      </c>
      <c r="B51" s="7" t="s">
        <v>481</v>
      </c>
      <c r="C51" s="7" t="s">
        <v>481</v>
      </c>
      <c r="D51" s="7" t="n">
        <f aca="false">VALUE(LEFT(B51,4))</f>
        <v>1816</v>
      </c>
      <c r="E51" s="7" t="n">
        <f aca="false">INT((D51-1)/100)+1</f>
        <v>19</v>
      </c>
      <c r="F51" s="7" t="s">
        <v>459</v>
      </c>
      <c r="G51" s="7" t="s">
        <v>482</v>
      </c>
      <c r="H51" s="7" t="s">
        <v>483</v>
      </c>
      <c r="I51" s="7" t="s">
        <v>484</v>
      </c>
      <c r="J51" s="7" t="s">
        <v>485</v>
      </c>
      <c r="K51" s="7" t="s">
        <v>486</v>
      </c>
      <c r="L51" s="7" t="s">
        <v>86</v>
      </c>
      <c r="M51" s="7"/>
      <c r="N51" s="7" t="s">
        <v>18</v>
      </c>
      <c r="O51" s="7" t="s">
        <v>75</v>
      </c>
      <c r="P51" s="7"/>
      <c r="Q51" s="7" t="s">
        <v>481</v>
      </c>
      <c r="R51" s="7" t="n">
        <f aca="false">VALUE(LEFT(Q51,4))</f>
        <v>1816</v>
      </c>
      <c r="S51" s="7" t="n">
        <f aca="false">VALUE(MID(Q51,6,2))</f>
        <v>8</v>
      </c>
      <c r="T51" s="7" t="n">
        <f aca="false">VALUE(RIGHT(Q51,2))</f>
        <v>21</v>
      </c>
      <c r="U51" s="7" t="s">
        <v>77</v>
      </c>
      <c r="V51" s="7" t="s">
        <v>78</v>
      </c>
    </row>
    <row r="52" customFormat="false" ht="23.25" hidden="false" customHeight="true" outlineLevel="0" collapsed="false">
      <c r="A52" s="7" t="n">
        <v>51</v>
      </c>
      <c r="B52" s="7" t="s">
        <v>487</v>
      </c>
      <c r="C52" s="7" t="s">
        <v>487</v>
      </c>
      <c r="D52" s="7" t="n">
        <f aca="false">VALUE(LEFT(B52,4))</f>
        <v>1816</v>
      </c>
      <c r="E52" s="7" t="n">
        <f aca="false">INT((D52-1)/100)+1</f>
        <v>19</v>
      </c>
      <c r="F52" s="7" t="s">
        <v>459</v>
      </c>
      <c r="G52" s="7" t="s">
        <v>488</v>
      </c>
      <c r="H52" s="7" t="s">
        <v>483</v>
      </c>
      <c r="I52" s="7" t="s">
        <v>489</v>
      </c>
      <c r="J52" s="7" t="s">
        <v>485</v>
      </c>
      <c r="K52" s="7" t="s">
        <v>490</v>
      </c>
      <c r="L52" s="7" t="s">
        <v>86</v>
      </c>
      <c r="M52" s="7"/>
      <c r="N52" s="7" t="s">
        <v>18</v>
      </c>
      <c r="O52" s="7" t="s">
        <v>75</v>
      </c>
      <c r="P52" s="7"/>
      <c r="Q52" s="7" t="s">
        <v>487</v>
      </c>
      <c r="R52" s="7" t="n">
        <f aca="false">VALUE(LEFT(Q52,4))</f>
        <v>1816</v>
      </c>
      <c r="S52" s="7" t="n">
        <f aca="false">VALUE(MID(Q52,6,2))</f>
        <v>8</v>
      </c>
      <c r="T52" s="7" t="n">
        <f aca="false">VALUE(RIGHT(Q52,2))</f>
        <v>29</v>
      </c>
      <c r="U52" s="7" t="s">
        <v>77</v>
      </c>
      <c r="V52" s="7" t="s">
        <v>78</v>
      </c>
    </row>
    <row r="53" customFormat="false" ht="23.25" hidden="false" customHeight="true" outlineLevel="0" collapsed="false">
      <c r="A53" s="7" t="n">
        <v>52</v>
      </c>
      <c r="B53" s="7" t="s">
        <v>491</v>
      </c>
      <c r="C53" s="7" t="s">
        <v>491</v>
      </c>
      <c r="D53" s="7" t="n">
        <f aca="false">VALUE(LEFT(B53,4))</f>
        <v>1816</v>
      </c>
      <c r="E53" s="7" t="n">
        <f aca="false">INT((D53-1)/100)+1</f>
        <v>19</v>
      </c>
      <c r="F53" s="7" t="s">
        <v>459</v>
      </c>
      <c r="G53" s="7" t="s">
        <v>492</v>
      </c>
      <c r="H53" s="7" t="s">
        <v>493</v>
      </c>
      <c r="I53" s="7" t="s">
        <v>494</v>
      </c>
      <c r="J53" s="7" t="s">
        <v>485</v>
      </c>
      <c r="K53" s="7" t="s">
        <v>495</v>
      </c>
      <c r="L53" s="7" t="s">
        <v>86</v>
      </c>
      <c r="M53" s="7"/>
      <c r="N53" s="7" t="s">
        <v>18</v>
      </c>
      <c r="O53" s="7" t="s">
        <v>75</v>
      </c>
      <c r="P53" s="7"/>
      <c r="Q53" s="7" t="s">
        <v>491</v>
      </c>
      <c r="R53" s="7" t="n">
        <f aca="false">VALUE(LEFT(Q53,4))</f>
        <v>1816</v>
      </c>
      <c r="S53" s="7" t="n">
        <f aca="false">VALUE(MID(Q53,6,2))</f>
        <v>9</v>
      </c>
      <c r="T53" s="7" t="n">
        <f aca="false">VALUE(RIGHT(Q53,2))</f>
        <v>27</v>
      </c>
      <c r="U53" s="7" t="s">
        <v>77</v>
      </c>
      <c r="V53" s="7" t="s">
        <v>78</v>
      </c>
    </row>
    <row r="54" customFormat="false" ht="34.5" hidden="false" customHeight="true" outlineLevel="0" collapsed="false">
      <c r="A54" s="7" t="n">
        <v>53</v>
      </c>
      <c r="B54" s="7" t="s">
        <v>496</v>
      </c>
      <c r="C54" s="7" t="s">
        <v>497</v>
      </c>
      <c r="D54" s="7" t="n">
        <f aca="false">VALUE(LEFT(B54,4))</f>
        <v>1817</v>
      </c>
      <c r="E54" s="7" t="n">
        <f aca="false">INT((D54-1)/100)+1</f>
        <v>19</v>
      </c>
      <c r="F54" s="7" t="s">
        <v>238</v>
      </c>
      <c r="G54" s="7" t="s">
        <v>498</v>
      </c>
      <c r="H54" s="7" t="s">
        <v>422</v>
      </c>
      <c r="I54" s="7" t="s">
        <v>499</v>
      </c>
      <c r="J54" s="7" t="s">
        <v>500</v>
      </c>
      <c r="K54" s="7" t="s">
        <v>501</v>
      </c>
      <c r="L54" s="7" t="s">
        <v>86</v>
      </c>
      <c r="M54" s="7"/>
      <c r="N54" s="7" t="s">
        <v>18</v>
      </c>
      <c r="O54" s="7" t="s">
        <v>75</v>
      </c>
      <c r="P54" s="7"/>
      <c r="Q54" s="7" t="s">
        <v>496</v>
      </c>
      <c r="R54" s="7" t="n">
        <f aca="false">VALUE(LEFT(Q54,4))</f>
        <v>1817</v>
      </c>
      <c r="S54" s="7" t="n">
        <f aca="false">VALUE(MID(Q54,6,2))</f>
        <v>1</v>
      </c>
      <c r="T54" s="7" t="n">
        <f aca="false">VALUE(RIGHT(Q54,2))</f>
        <v>12</v>
      </c>
      <c r="U54" s="7" t="s">
        <v>125</v>
      </c>
      <c r="V54" s="7" t="s">
        <v>126</v>
      </c>
    </row>
    <row r="55" customFormat="false" ht="45.75" hidden="false" customHeight="true" outlineLevel="0" collapsed="false">
      <c r="A55" s="7" t="n">
        <v>54</v>
      </c>
      <c r="B55" s="7" t="s">
        <v>502</v>
      </c>
      <c r="C55" s="7" t="s">
        <v>502</v>
      </c>
      <c r="D55" s="7" t="n">
        <f aca="false">VALUE(LEFT(B55,4))</f>
        <v>1817</v>
      </c>
      <c r="E55" s="7" t="n">
        <f aca="false">INT((D55-1)/100)+1</f>
        <v>19</v>
      </c>
      <c r="F55" s="7" t="s">
        <v>238</v>
      </c>
      <c r="G55" s="7" t="s">
        <v>503</v>
      </c>
      <c r="H55" s="7" t="s">
        <v>504</v>
      </c>
      <c r="I55" s="7" t="s">
        <v>505</v>
      </c>
      <c r="J55" s="7" t="s">
        <v>506</v>
      </c>
      <c r="K55" s="7" t="s">
        <v>507</v>
      </c>
      <c r="L55" s="7" t="s">
        <v>86</v>
      </c>
      <c r="M55" s="7"/>
      <c r="N55" s="7" t="s">
        <v>18</v>
      </c>
      <c r="O55" s="7" t="s">
        <v>75</v>
      </c>
      <c r="P55" s="7" t="s">
        <v>508</v>
      </c>
      <c r="Q55" s="7" t="s">
        <v>502</v>
      </c>
      <c r="R55" s="7" t="n">
        <f aca="false">VALUE(LEFT(Q55,4))</f>
        <v>1817</v>
      </c>
      <c r="S55" s="7" t="n">
        <f aca="false">VALUE(MID(Q55,6,2))</f>
        <v>2</v>
      </c>
      <c r="T55" s="7" t="n">
        <f aca="false">VALUE(RIGHT(Q55,2))</f>
        <v>15</v>
      </c>
      <c r="U55" s="7" t="s">
        <v>77</v>
      </c>
      <c r="V55" s="7" t="s">
        <v>78</v>
      </c>
    </row>
    <row r="56" customFormat="false" ht="90.75" hidden="false" customHeight="true" outlineLevel="0" collapsed="false">
      <c r="A56" s="7" t="n">
        <v>55</v>
      </c>
      <c r="B56" s="7" t="s">
        <v>502</v>
      </c>
      <c r="C56" s="7" t="s">
        <v>502</v>
      </c>
      <c r="D56" s="7" t="n">
        <f aca="false">VALUE(LEFT(B56,4))</f>
        <v>1817</v>
      </c>
      <c r="E56" s="7" t="n">
        <f aca="false">INT((D56-1)/100)+1</f>
        <v>19</v>
      </c>
      <c r="F56" s="7" t="s">
        <v>238</v>
      </c>
      <c r="G56" s="7" t="s">
        <v>509</v>
      </c>
      <c r="H56" s="7" t="s">
        <v>310</v>
      </c>
      <c r="I56" s="7" t="s">
        <v>510</v>
      </c>
      <c r="J56" s="7" t="s">
        <v>312</v>
      </c>
      <c r="K56" s="7" t="s">
        <v>511</v>
      </c>
      <c r="L56" s="7" t="s">
        <v>314</v>
      </c>
      <c r="M56" s="7" t="s">
        <v>315</v>
      </c>
      <c r="N56" s="7" t="s">
        <v>16</v>
      </c>
      <c r="O56" s="7" t="s">
        <v>75</v>
      </c>
      <c r="P56" s="7" t="s">
        <v>512</v>
      </c>
      <c r="Q56" s="7" t="s">
        <v>502</v>
      </c>
      <c r="R56" s="7" t="n">
        <f aca="false">VALUE(LEFT(Q56,4))</f>
        <v>1817</v>
      </c>
      <c r="S56" s="7" t="n">
        <f aca="false">VALUE(MID(Q56,6,2))</f>
        <v>2</v>
      </c>
      <c r="T56" s="7" t="n">
        <f aca="false">VALUE(RIGHT(Q56,2))</f>
        <v>15</v>
      </c>
      <c r="U56" s="7" t="s">
        <v>77</v>
      </c>
      <c r="V56" s="7" t="s">
        <v>78</v>
      </c>
    </row>
    <row r="57" customFormat="false" ht="34.5" hidden="false" customHeight="true" outlineLevel="0" collapsed="false">
      <c r="A57" s="7" t="n">
        <v>56</v>
      </c>
      <c r="B57" s="7" t="s">
        <v>513</v>
      </c>
      <c r="C57" s="7" t="s">
        <v>514</v>
      </c>
      <c r="D57" s="7" t="n">
        <f aca="false">VALUE(LEFT(B57,4))</f>
        <v>1817</v>
      </c>
      <c r="E57" s="7" t="n">
        <f aca="false">INT((D57-1)/100)+1</f>
        <v>19</v>
      </c>
      <c r="F57" s="7" t="s">
        <v>159</v>
      </c>
      <c r="G57" s="7" t="s">
        <v>515</v>
      </c>
      <c r="H57" s="7" t="s">
        <v>516</v>
      </c>
      <c r="I57" s="7" t="s">
        <v>517</v>
      </c>
      <c r="J57" s="7" t="s">
        <v>518</v>
      </c>
      <c r="K57" s="7" t="s">
        <v>519</v>
      </c>
      <c r="L57" s="7" t="s">
        <v>86</v>
      </c>
      <c r="M57" s="7"/>
      <c r="N57" s="7" t="s">
        <v>18</v>
      </c>
      <c r="O57" s="7" t="s">
        <v>75</v>
      </c>
      <c r="P57" s="7" t="s">
        <v>520</v>
      </c>
      <c r="Q57" s="7" t="s">
        <v>513</v>
      </c>
      <c r="R57" s="7" t="n">
        <f aca="false">VALUE(LEFT(Q57,4))</f>
        <v>1817</v>
      </c>
      <c r="S57" s="7" t="n">
        <f aca="false">VALUE(MID(Q57,6,2))</f>
        <v>2</v>
      </c>
      <c r="T57" s="7" t="n">
        <f aca="false">VALUE(RIGHT(Q57,2))</f>
        <v>24</v>
      </c>
      <c r="U57" s="7" t="s">
        <v>125</v>
      </c>
      <c r="V57" s="7" t="s">
        <v>126</v>
      </c>
    </row>
    <row r="58" customFormat="false" ht="90.75" hidden="false" customHeight="true" outlineLevel="0" collapsed="false">
      <c r="A58" s="7" t="n">
        <v>57</v>
      </c>
      <c r="B58" s="7" t="s">
        <v>521</v>
      </c>
      <c r="C58" s="7" t="s">
        <v>521</v>
      </c>
      <c r="D58" s="7" t="n">
        <f aca="false">VALUE(LEFT(B58,4))</f>
        <v>1821</v>
      </c>
      <c r="E58" s="7" t="n">
        <f aca="false">INT((D58-1)/100)+1</f>
        <v>19</v>
      </c>
      <c r="F58" s="7" t="s">
        <v>118</v>
      </c>
      <c r="G58" s="7" t="s">
        <v>522</v>
      </c>
      <c r="H58" s="7" t="s">
        <v>310</v>
      </c>
      <c r="I58" s="7" t="s">
        <v>523</v>
      </c>
      <c r="J58" s="7" t="s">
        <v>312</v>
      </c>
      <c r="K58" s="7" t="s">
        <v>524</v>
      </c>
      <c r="L58" s="7" t="s">
        <v>314</v>
      </c>
      <c r="M58" s="7" t="s">
        <v>315</v>
      </c>
      <c r="N58" s="7" t="s">
        <v>16</v>
      </c>
      <c r="O58" s="7" t="s">
        <v>75</v>
      </c>
      <c r="P58" s="7" t="s">
        <v>525</v>
      </c>
      <c r="Q58" s="7" t="s">
        <v>521</v>
      </c>
      <c r="R58" s="7" t="n">
        <f aca="false">VALUE(LEFT(Q58,4))</f>
        <v>1821</v>
      </c>
      <c r="S58" s="7" t="n">
        <f aca="false">VALUE(MID(Q58,6,2))</f>
        <v>1</v>
      </c>
      <c r="T58" s="7" t="n">
        <f aca="false">VALUE(RIGHT(Q58,2))</f>
        <v>25</v>
      </c>
      <c r="U58" s="7" t="s">
        <v>77</v>
      </c>
      <c r="V58" s="7" t="s">
        <v>78</v>
      </c>
    </row>
    <row r="59" customFormat="false" ht="34.5" hidden="false" customHeight="true" outlineLevel="0" collapsed="false">
      <c r="A59" s="7" t="n">
        <v>58</v>
      </c>
      <c r="B59" s="7" t="s">
        <v>526</v>
      </c>
      <c r="C59" s="7" t="s">
        <v>526</v>
      </c>
      <c r="D59" s="7" t="n">
        <f aca="false">VALUE(LEFT(B59,4))</f>
        <v>1821</v>
      </c>
      <c r="E59" s="7" t="n">
        <f aca="false">INT((D59-1)/100)+1</f>
        <v>19</v>
      </c>
      <c r="F59" s="7" t="s">
        <v>67</v>
      </c>
      <c r="G59" s="7" t="s">
        <v>527</v>
      </c>
      <c r="H59" s="7" t="s">
        <v>120</v>
      </c>
      <c r="I59" s="7" t="s">
        <v>528</v>
      </c>
      <c r="J59" s="7" t="s">
        <v>332</v>
      </c>
      <c r="K59" s="7" t="s">
        <v>529</v>
      </c>
      <c r="L59" s="7" t="s">
        <v>425</v>
      </c>
      <c r="M59" s="7"/>
      <c r="N59" s="7" t="s">
        <v>20</v>
      </c>
      <c r="O59" s="7" t="s">
        <v>94</v>
      </c>
      <c r="P59" s="7"/>
      <c r="Q59" s="7" t="s">
        <v>526</v>
      </c>
      <c r="R59" s="7" t="n">
        <f aca="false">VALUE(LEFT(Q59,4))</f>
        <v>1821</v>
      </c>
      <c r="S59" s="7" t="n">
        <f aca="false">VALUE(MID(Q59,6,2))</f>
        <v>9</v>
      </c>
      <c r="T59" s="7" t="n">
        <f aca="false">VALUE(RIGHT(Q59,2))</f>
        <v>3</v>
      </c>
      <c r="U59" s="7" t="s">
        <v>77</v>
      </c>
      <c r="V59" s="7" t="s">
        <v>78</v>
      </c>
    </row>
    <row r="60" customFormat="false" ht="79.5" hidden="false" customHeight="true" outlineLevel="0" collapsed="false">
      <c r="A60" s="7" t="n">
        <v>59</v>
      </c>
      <c r="B60" s="7" t="s">
        <v>526</v>
      </c>
      <c r="C60" s="7" t="s">
        <v>526</v>
      </c>
      <c r="D60" s="7" t="n">
        <f aca="false">VALUE(LEFT(B60,4))</f>
        <v>1821</v>
      </c>
      <c r="E60" s="7" t="n">
        <f aca="false">INT((D60-1)/100)+1</f>
        <v>19</v>
      </c>
      <c r="F60" s="7" t="s">
        <v>67</v>
      </c>
      <c r="G60" s="7" t="s">
        <v>530</v>
      </c>
      <c r="H60" s="7" t="s">
        <v>531</v>
      </c>
      <c r="I60" s="7" t="s">
        <v>532</v>
      </c>
      <c r="J60" s="7" t="s">
        <v>533</v>
      </c>
      <c r="K60" s="7" t="s">
        <v>534</v>
      </c>
      <c r="L60" s="7" t="s">
        <v>455</v>
      </c>
      <c r="M60" s="7" t="s">
        <v>74</v>
      </c>
      <c r="N60" s="7" t="s">
        <v>18</v>
      </c>
      <c r="O60" s="7" t="s">
        <v>75</v>
      </c>
      <c r="P60" s="7" t="s">
        <v>535</v>
      </c>
      <c r="Q60" s="7" t="s">
        <v>526</v>
      </c>
      <c r="R60" s="7" t="n">
        <f aca="false">VALUE(LEFT(Q60,4))</f>
        <v>1821</v>
      </c>
      <c r="S60" s="7" t="n">
        <f aca="false">VALUE(MID(Q60,6,2))</f>
        <v>9</v>
      </c>
      <c r="T60" s="7" t="n">
        <f aca="false">VALUE(RIGHT(Q60,2))</f>
        <v>3</v>
      </c>
      <c r="U60" s="7" t="s">
        <v>77</v>
      </c>
      <c r="V60" s="7" t="s">
        <v>78</v>
      </c>
    </row>
    <row r="61" customFormat="false" ht="90.75" hidden="false" customHeight="true" outlineLevel="0" collapsed="false">
      <c r="A61" s="7" t="n">
        <v>60</v>
      </c>
      <c r="B61" s="7" t="s">
        <v>536</v>
      </c>
      <c r="C61" s="7" t="s">
        <v>536</v>
      </c>
      <c r="D61" s="7" t="n">
        <f aca="false">VALUE(LEFT(B61,4))</f>
        <v>1826</v>
      </c>
      <c r="E61" s="7" t="n">
        <f aca="false">INT((D61-1)/100)+1</f>
        <v>19</v>
      </c>
      <c r="F61" s="7" t="s">
        <v>420</v>
      </c>
      <c r="G61" s="7" t="s">
        <v>537</v>
      </c>
      <c r="H61" s="7" t="s">
        <v>310</v>
      </c>
      <c r="I61" s="7" t="s">
        <v>538</v>
      </c>
      <c r="J61" s="7" t="s">
        <v>312</v>
      </c>
      <c r="K61" s="7" t="s">
        <v>539</v>
      </c>
      <c r="L61" s="7" t="s">
        <v>314</v>
      </c>
      <c r="M61" s="7" t="s">
        <v>315</v>
      </c>
      <c r="N61" s="7" t="s">
        <v>18</v>
      </c>
      <c r="O61" s="7" t="s">
        <v>75</v>
      </c>
      <c r="P61" s="7"/>
      <c r="Q61" s="7" t="s">
        <v>536</v>
      </c>
      <c r="R61" s="7" t="n">
        <f aca="false">VALUE(LEFT(Q61,4))</f>
        <v>1826</v>
      </c>
      <c r="S61" s="7" t="n">
        <f aca="false">VALUE(MID(Q61,6,2))</f>
        <v>12</v>
      </c>
      <c r="T61" s="7" t="n">
        <f aca="false">VALUE(RIGHT(Q61,2))</f>
        <v>14</v>
      </c>
      <c r="U61" s="7" t="s">
        <v>77</v>
      </c>
      <c r="V61" s="7" t="s">
        <v>78</v>
      </c>
    </row>
    <row r="62" customFormat="false" ht="90.75" hidden="false" customHeight="true" outlineLevel="0" collapsed="false">
      <c r="A62" s="7" t="n">
        <v>61</v>
      </c>
      <c r="B62" s="7" t="s">
        <v>540</v>
      </c>
      <c r="C62" s="7" t="s">
        <v>541</v>
      </c>
      <c r="D62" s="7" t="n">
        <f aca="false">VALUE(LEFT(B62,4))</f>
        <v>1828</v>
      </c>
      <c r="E62" s="7" t="n">
        <f aca="false">INT((D62-1)/100)+1</f>
        <v>19</v>
      </c>
      <c r="F62" s="7" t="s">
        <v>106</v>
      </c>
      <c r="G62" s="7" t="s">
        <v>542</v>
      </c>
      <c r="H62" s="7" t="s">
        <v>310</v>
      </c>
      <c r="I62" s="7" t="s">
        <v>543</v>
      </c>
      <c r="J62" s="7" t="s">
        <v>312</v>
      </c>
      <c r="K62" s="7" t="s">
        <v>544</v>
      </c>
      <c r="L62" s="7" t="s">
        <v>314</v>
      </c>
      <c r="M62" s="7" t="s">
        <v>315</v>
      </c>
      <c r="N62" s="7" t="s">
        <v>18</v>
      </c>
      <c r="O62" s="7" t="s">
        <v>75</v>
      </c>
      <c r="P62" s="7"/>
      <c r="Q62" s="7" t="s">
        <v>545</v>
      </c>
      <c r="R62" s="7" t="n">
        <f aca="false">VALUE(LEFT(Q62,4))</f>
        <v>1829</v>
      </c>
      <c r="S62" s="7" t="n">
        <f aca="false">VALUE(MID(Q62,6,2))</f>
        <v>1</v>
      </c>
      <c r="T62" s="7" t="n">
        <f aca="false">VALUE(RIGHT(Q62,2))</f>
        <v>29</v>
      </c>
      <c r="U62" s="7" t="s">
        <v>114</v>
      </c>
      <c r="V62" s="7" t="s">
        <v>325</v>
      </c>
    </row>
    <row r="63" customFormat="false" ht="90.75" hidden="false" customHeight="true" outlineLevel="0" collapsed="false">
      <c r="A63" s="7" t="n">
        <v>62</v>
      </c>
      <c r="B63" s="7" t="s">
        <v>546</v>
      </c>
      <c r="C63" s="7" t="s">
        <v>547</v>
      </c>
      <c r="D63" s="7" t="n">
        <f aca="false">VALUE(LEFT(B63,4))</f>
        <v>1830</v>
      </c>
      <c r="E63" s="7" t="n">
        <f aca="false">INT((D63-1)/100)+1</f>
        <v>19</v>
      </c>
      <c r="F63" s="7" t="s">
        <v>106</v>
      </c>
      <c r="G63" s="7" t="s">
        <v>548</v>
      </c>
      <c r="H63" s="7" t="s">
        <v>310</v>
      </c>
      <c r="I63" s="7" t="s">
        <v>549</v>
      </c>
      <c r="J63" s="7" t="s">
        <v>312</v>
      </c>
      <c r="K63" s="7"/>
      <c r="L63" s="7" t="s">
        <v>314</v>
      </c>
      <c r="M63" s="7" t="s">
        <v>315</v>
      </c>
      <c r="N63" s="7" t="s">
        <v>18</v>
      </c>
      <c r="O63" s="7" t="s">
        <v>75</v>
      </c>
      <c r="P63" s="7"/>
      <c r="Q63" s="7" t="s">
        <v>550</v>
      </c>
      <c r="R63" s="7" t="n">
        <f aca="false">VALUE(LEFT(Q63,4))</f>
        <v>1831</v>
      </c>
      <c r="S63" s="7" t="n">
        <f aca="false">VALUE(MID(Q63,6,2))</f>
        <v>1</v>
      </c>
      <c r="T63" s="7" t="n">
        <f aca="false">VALUE(RIGHT(Q63,2))</f>
        <v>25</v>
      </c>
      <c r="U63" s="7" t="s">
        <v>114</v>
      </c>
      <c r="V63" s="7" t="s">
        <v>325</v>
      </c>
    </row>
    <row r="64" customFormat="false" ht="23.25" hidden="false" customHeight="true" outlineLevel="0" collapsed="false">
      <c r="A64" s="7" t="n">
        <v>63</v>
      </c>
      <c r="B64" s="7" t="s">
        <v>551</v>
      </c>
      <c r="C64" s="7" t="s">
        <v>552</v>
      </c>
      <c r="D64" s="7" t="n">
        <f aca="false">VALUE(LEFT(B64,4))</f>
        <v>1832</v>
      </c>
      <c r="E64" s="7" t="n">
        <f aca="false">INT((D64-1)/100)+1</f>
        <v>19</v>
      </c>
      <c r="F64" s="7" t="s">
        <v>553</v>
      </c>
      <c r="G64" s="7" t="s">
        <v>554</v>
      </c>
      <c r="H64" s="7" t="s">
        <v>555</v>
      </c>
      <c r="I64" s="7" t="s">
        <v>556</v>
      </c>
      <c r="J64" s="7" t="s">
        <v>557</v>
      </c>
      <c r="K64" s="7" t="s">
        <v>558</v>
      </c>
      <c r="L64" s="7" t="s">
        <v>559</v>
      </c>
      <c r="M64" s="7" t="s">
        <v>560</v>
      </c>
      <c r="N64" s="7" t="s">
        <v>20</v>
      </c>
      <c r="O64" s="7" t="s">
        <v>75</v>
      </c>
      <c r="P64" s="7" t="s">
        <v>561</v>
      </c>
      <c r="Q64" s="7" t="s">
        <v>562</v>
      </c>
      <c r="R64" s="7" t="n">
        <f aca="false">VALUE(LEFT(Q64,4))</f>
        <v>1832</v>
      </c>
      <c r="S64" s="7" t="n">
        <f aca="false">VALUE(MID(Q64,6,2))</f>
        <v>3</v>
      </c>
      <c r="T64" s="7" t="n">
        <f aca="false">VALUE(RIGHT(Q64,2))</f>
        <v>8</v>
      </c>
      <c r="U64" s="7" t="s">
        <v>317</v>
      </c>
      <c r="V64" s="7" t="s">
        <v>318</v>
      </c>
    </row>
    <row r="65" customFormat="false" ht="23.25" hidden="false" customHeight="true" outlineLevel="0" collapsed="false">
      <c r="A65" s="7" t="n">
        <v>64</v>
      </c>
      <c r="B65" s="7" t="s">
        <v>563</v>
      </c>
      <c r="C65" s="7" t="s">
        <v>564</v>
      </c>
      <c r="D65" s="7" t="n">
        <f aca="false">VALUE(LEFT(B65,4))</f>
        <v>1835</v>
      </c>
      <c r="E65" s="7" t="n">
        <f aca="false">INT((D65-1)/100)+1</f>
        <v>19</v>
      </c>
      <c r="F65" s="7" t="s">
        <v>238</v>
      </c>
      <c r="G65" s="7" t="s">
        <v>565</v>
      </c>
      <c r="H65" s="7" t="s">
        <v>566</v>
      </c>
      <c r="I65" s="7" t="s">
        <v>567</v>
      </c>
      <c r="J65" s="7" t="s">
        <v>332</v>
      </c>
      <c r="K65" s="7" t="s">
        <v>568</v>
      </c>
      <c r="L65" s="7" t="s">
        <v>569</v>
      </c>
      <c r="M65" s="7" t="s">
        <v>570</v>
      </c>
      <c r="N65" s="7" t="s">
        <v>18</v>
      </c>
      <c r="O65" s="7" t="s">
        <v>75</v>
      </c>
      <c r="P65" s="7" t="s">
        <v>571</v>
      </c>
      <c r="Q65" s="7" t="s">
        <v>563</v>
      </c>
      <c r="R65" s="7" t="n">
        <f aca="false">VALUE(LEFT(Q65,4))</f>
        <v>1835</v>
      </c>
      <c r="S65" s="7" t="n">
        <f aca="false">VALUE(MID(Q65,6,2))</f>
        <v>12</v>
      </c>
      <c r="T65" s="7" t="n">
        <f aca="false">VALUE(RIGHT(Q65,2))</f>
        <v>16</v>
      </c>
      <c r="U65" s="7" t="s">
        <v>125</v>
      </c>
      <c r="V65" s="7" t="s">
        <v>126</v>
      </c>
    </row>
    <row r="66" customFormat="false" ht="34.5" hidden="false" customHeight="true" outlineLevel="0" collapsed="false">
      <c r="A66" s="7" t="n">
        <v>65</v>
      </c>
      <c r="B66" s="7" t="s">
        <v>563</v>
      </c>
      <c r="C66" s="7" t="s">
        <v>572</v>
      </c>
      <c r="D66" s="7" t="n">
        <f aca="false">VALUE(LEFT(B66,4))</f>
        <v>1835</v>
      </c>
      <c r="E66" s="7" t="n">
        <f aca="false">INT((D66-1)/100)+1</f>
        <v>19</v>
      </c>
      <c r="F66" s="7" t="s">
        <v>106</v>
      </c>
      <c r="G66" s="7" t="s">
        <v>573</v>
      </c>
      <c r="H66" s="7" t="s">
        <v>574</v>
      </c>
      <c r="I66" s="7" t="s">
        <v>575</v>
      </c>
      <c r="J66" s="7" t="s">
        <v>332</v>
      </c>
      <c r="K66" s="7" t="s">
        <v>576</v>
      </c>
      <c r="L66" s="7" t="s">
        <v>425</v>
      </c>
      <c r="M66" s="7"/>
      <c r="N66" s="7" t="s">
        <v>20</v>
      </c>
      <c r="O66" s="7" t="s">
        <v>94</v>
      </c>
      <c r="P66" s="7" t="s">
        <v>577</v>
      </c>
      <c r="Q66" s="7" t="s">
        <v>578</v>
      </c>
      <c r="R66" s="7" t="n">
        <f aca="false">VALUE(LEFT(Q66,4))</f>
        <v>1836</v>
      </c>
      <c r="S66" s="7" t="n">
        <f aca="false">VALUE(MID(Q66,6,2))</f>
        <v>2</v>
      </c>
      <c r="T66" s="7" t="n">
        <f aca="false">VALUE(RIGHT(Q66,2))</f>
        <v>14</v>
      </c>
      <c r="U66" s="7" t="s">
        <v>114</v>
      </c>
      <c r="V66" s="7" t="s">
        <v>325</v>
      </c>
    </row>
    <row r="67" customFormat="false" ht="34.5" hidden="false" customHeight="true" outlineLevel="0" collapsed="false">
      <c r="A67" s="7" t="n">
        <v>66</v>
      </c>
      <c r="B67" s="7" t="s">
        <v>579</v>
      </c>
      <c r="C67" s="7" t="s">
        <v>579</v>
      </c>
      <c r="D67" s="7" t="n">
        <f aca="false">VALUE(LEFT(B67,4))</f>
        <v>1837</v>
      </c>
      <c r="E67" s="7" t="n">
        <f aca="false">INT((D67-1)/100)+1</f>
        <v>19</v>
      </c>
      <c r="F67" s="7" t="s">
        <v>580</v>
      </c>
      <c r="G67" s="7" t="s">
        <v>581</v>
      </c>
      <c r="H67" s="7" t="s">
        <v>582</v>
      </c>
      <c r="I67" s="7" t="s">
        <v>583</v>
      </c>
      <c r="J67" s="7" t="s">
        <v>332</v>
      </c>
      <c r="K67" s="7" t="s">
        <v>584</v>
      </c>
      <c r="L67" s="7" t="s">
        <v>585</v>
      </c>
      <c r="M67" s="7" t="s">
        <v>586</v>
      </c>
      <c r="N67" s="7" t="s">
        <v>18</v>
      </c>
      <c r="O67" s="7" t="s">
        <v>75</v>
      </c>
      <c r="P67" s="7" t="s">
        <v>587</v>
      </c>
      <c r="Q67" s="7" t="s">
        <v>579</v>
      </c>
      <c r="R67" s="7" t="n">
        <f aca="false">VALUE(LEFT(Q67,4))</f>
        <v>1837</v>
      </c>
      <c r="S67" s="7" t="n">
        <f aca="false">VALUE(MID(Q67,6,2))</f>
        <v>1</v>
      </c>
      <c r="T67" s="7" t="n">
        <f aca="false">VALUE(RIGHT(Q67,2))</f>
        <v>1</v>
      </c>
      <c r="U67" s="7" t="s">
        <v>77</v>
      </c>
      <c r="V67" s="7" t="s">
        <v>78</v>
      </c>
    </row>
    <row r="68" customFormat="false" ht="45.75" hidden="false" customHeight="true" outlineLevel="0" collapsed="false">
      <c r="A68" s="7" t="n">
        <v>67</v>
      </c>
      <c r="B68" s="7" t="s">
        <v>588</v>
      </c>
      <c r="C68" s="7" t="s">
        <v>588</v>
      </c>
      <c r="D68" s="7" t="n">
        <f aca="false">VALUE(LEFT(B68,4))</f>
        <v>1839</v>
      </c>
      <c r="E68" s="7" t="n">
        <f aca="false">INT((D68-1)/100)+1</f>
        <v>19</v>
      </c>
      <c r="F68" s="7" t="s">
        <v>377</v>
      </c>
      <c r="G68" s="7" t="s">
        <v>589</v>
      </c>
      <c r="H68" s="7" t="s">
        <v>590</v>
      </c>
      <c r="I68" s="7" t="s">
        <v>591</v>
      </c>
      <c r="J68" s="7" t="s">
        <v>592</v>
      </c>
      <c r="K68" s="7" t="s">
        <v>593</v>
      </c>
      <c r="L68" s="7" t="s">
        <v>455</v>
      </c>
      <c r="M68" s="7" t="s">
        <v>74</v>
      </c>
      <c r="N68" s="7" t="s">
        <v>20</v>
      </c>
      <c r="O68" s="7" t="s">
        <v>75</v>
      </c>
      <c r="P68" s="7" t="s">
        <v>594</v>
      </c>
      <c r="Q68" s="7" t="s">
        <v>588</v>
      </c>
      <c r="R68" s="7" t="n">
        <f aca="false">VALUE(LEFT(Q68,4))</f>
        <v>1839</v>
      </c>
      <c r="S68" s="7" t="n">
        <f aca="false">VALUE(MID(Q68,6,2))</f>
        <v>8</v>
      </c>
      <c r="T68" s="7" t="n">
        <f aca="false">VALUE(RIGHT(Q68,2))</f>
        <v>30</v>
      </c>
      <c r="U68" s="7" t="s">
        <v>77</v>
      </c>
      <c r="V68" s="7" t="s">
        <v>78</v>
      </c>
    </row>
    <row r="69" customFormat="false" ht="23.25" hidden="false" customHeight="true" outlineLevel="0" collapsed="false">
      <c r="A69" s="7" t="n">
        <v>68</v>
      </c>
      <c r="B69" s="7" t="s">
        <v>595</v>
      </c>
      <c r="C69" s="7" t="s">
        <v>596</v>
      </c>
      <c r="D69" s="7" t="n">
        <f aca="false">VALUE(LEFT(B69,4))</f>
        <v>1848</v>
      </c>
      <c r="E69" s="7" t="n">
        <f aca="false">INT((D69-1)/100)+1</f>
        <v>19</v>
      </c>
      <c r="F69" s="7" t="s">
        <v>553</v>
      </c>
      <c r="G69" s="7" t="s">
        <v>597</v>
      </c>
      <c r="H69" s="7" t="s">
        <v>598</v>
      </c>
      <c r="I69" s="7" t="s">
        <v>599</v>
      </c>
      <c r="J69" s="7" t="s">
        <v>332</v>
      </c>
      <c r="K69" s="7" t="s">
        <v>600</v>
      </c>
      <c r="L69" s="7" t="s">
        <v>569</v>
      </c>
      <c r="M69" s="7" t="s">
        <v>601</v>
      </c>
      <c r="N69" s="7" t="s">
        <v>18</v>
      </c>
      <c r="O69" s="7" t="s">
        <v>94</v>
      </c>
      <c r="P69" s="7" t="s">
        <v>602</v>
      </c>
      <c r="Q69" s="7" t="s">
        <v>595</v>
      </c>
      <c r="R69" s="7" t="n">
        <f aca="false">VALUE(LEFT(Q69,4))</f>
        <v>1848</v>
      </c>
      <c r="S69" s="7" t="n">
        <f aca="false">VALUE(MID(Q69,6,2))</f>
        <v>3</v>
      </c>
      <c r="T69" s="7" t="n">
        <f aca="false">VALUE(RIGHT(Q69,2))</f>
        <v>29</v>
      </c>
      <c r="U69" s="7" t="s">
        <v>125</v>
      </c>
      <c r="V69" s="7" t="s">
        <v>126</v>
      </c>
    </row>
    <row r="70" customFormat="false" ht="57" hidden="false" customHeight="true" outlineLevel="0" collapsed="false">
      <c r="A70" s="7" t="n">
        <v>69</v>
      </c>
      <c r="B70" s="7" t="s">
        <v>603</v>
      </c>
      <c r="C70" s="7" t="s">
        <v>604</v>
      </c>
      <c r="D70" s="7" t="n">
        <f aca="false">VALUE(LEFT(B70,4))</f>
        <v>1850</v>
      </c>
      <c r="E70" s="7" t="n">
        <f aca="false">INT((D70-1)/100)+1</f>
        <v>19</v>
      </c>
      <c r="F70" s="7" t="s">
        <v>67</v>
      </c>
      <c r="G70" s="7" t="s">
        <v>605</v>
      </c>
      <c r="H70" s="7" t="s">
        <v>606</v>
      </c>
      <c r="I70" s="7" t="s">
        <v>607</v>
      </c>
      <c r="J70" s="7" t="s">
        <v>608</v>
      </c>
      <c r="K70" s="7" t="s">
        <v>609</v>
      </c>
      <c r="L70" s="7" t="s">
        <v>610</v>
      </c>
      <c r="M70" s="7" t="s">
        <v>74</v>
      </c>
      <c r="N70" s="7" t="s">
        <v>20</v>
      </c>
      <c r="O70" s="7" t="s">
        <v>94</v>
      </c>
      <c r="P70" s="7" t="s">
        <v>611</v>
      </c>
      <c r="Q70" s="7" t="s">
        <v>603</v>
      </c>
      <c r="R70" s="7" t="n">
        <f aca="false">VALUE(LEFT(Q70,4))</f>
        <v>1850</v>
      </c>
      <c r="S70" s="7" t="n">
        <f aca="false">VALUE(MID(Q70,6,2))</f>
        <v>7</v>
      </c>
      <c r="T70" s="7" t="n">
        <f aca="false">VALUE(RIGHT(Q70,2))</f>
        <v>18</v>
      </c>
      <c r="U70" s="7" t="s">
        <v>125</v>
      </c>
      <c r="V70" s="7" t="s">
        <v>612</v>
      </c>
    </row>
    <row r="71" customFormat="false" ht="34.5" hidden="false" customHeight="true" outlineLevel="0" collapsed="false">
      <c r="A71" s="7" t="n">
        <v>70</v>
      </c>
      <c r="B71" s="7" t="s">
        <v>613</v>
      </c>
      <c r="C71" s="7" t="s">
        <v>614</v>
      </c>
      <c r="D71" s="7" t="n">
        <f aca="false">VALUE(LEFT(B71,4))</f>
        <v>1857</v>
      </c>
      <c r="E71" s="7" t="n">
        <f aca="false">INT((D71-1)/100)+1</f>
        <v>19</v>
      </c>
      <c r="F71" s="7" t="s">
        <v>615</v>
      </c>
      <c r="G71" s="7" t="s">
        <v>616</v>
      </c>
      <c r="H71" s="7" t="s">
        <v>240</v>
      </c>
      <c r="I71" s="7" t="s">
        <v>617</v>
      </c>
      <c r="J71" s="7" t="s">
        <v>332</v>
      </c>
      <c r="K71" s="7" t="s">
        <v>618</v>
      </c>
      <c r="L71" s="7" t="s">
        <v>425</v>
      </c>
      <c r="M71" s="7"/>
      <c r="N71" s="7" t="s">
        <v>20</v>
      </c>
      <c r="O71" s="7" t="s">
        <v>94</v>
      </c>
      <c r="P71" s="7"/>
      <c r="Q71" s="7" t="s">
        <v>613</v>
      </c>
      <c r="R71" s="7" t="n">
        <f aca="false">VALUE(LEFT(Q71,4))</f>
        <v>1857</v>
      </c>
      <c r="S71" s="7" t="n">
        <f aca="false">VALUE(MID(Q71,6,2))</f>
        <v>1</v>
      </c>
      <c r="T71" s="7" t="n">
        <f aca="false">VALUE(RIGHT(Q71,2))</f>
        <v>18</v>
      </c>
      <c r="U71" s="7" t="s">
        <v>125</v>
      </c>
      <c r="V71" s="7" t="s">
        <v>126</v>
      </c>
    </row>
    <row r="72" customFormat="false" ht="23.25" hidden="false" customHeight="true" outlineLevel="0" collapsed="false">
      <c r="A72" s="7" t="n">
        <v>71</v>
      </c>
      <c r="B72" s="7" t="s">
        <v>619</v>
      </c>
      <c r="C72" s="7" t="s">
        <v>620</v>
      </c>
      <c r="D72" s="7" t="n">
        <f aca="false">VALUE(LEFT(B72,4))</f>
        <v>1857</v>
      </c>
      <c r="E72" s="7" t="n">
        <f aca="false">INT((D72-1)/100)+1</f>
        <v>19</v>
      </c>
      <c r="F72" s="7" t="s">
        <v>621</v>
      </c>
      <c r="G72" s="7" t="s">
        <v>622</v>
      </c>
      <c r="H72" s="7" t="s">
        <v>623</v>
      </c>
      <c r="I72" s="7" t="s">
        <v>624</v>
      </c>
      <c r="J72" s="7" t="s">
        <v>625</v>
      </c>
      <c r="K72" s="7" t="s">
        <v>626</v>
      </c>
      <c r="L72" s="7" t="s">
        <v>627</v>
      </c>
      <c r="M72" s="7" t="s">
        <v>628</v>
      </c>
      <c r="N72" s="7" t="s">
        <v>16</v>
      </c>
      <c r="O72" s="7" t="s">
        <v>75</v>
      </c>
      <c r="P72" s="7" t="s">
        <v>629</v>
      </c>
      <c r="Q72" s="7" t="s">
        <v>630</v>
      </c>
      <c r="R72" s="7" t="n">
        <f aca="false">VALUE(LEFT(Q72,4))</f>
        <v>1857</v>
      </c>
      <c r="S72" s="7" t="n">
        <f aca="false">VALUE(MID(Q72,6,2))</f>
        <v>2</v>
      </c>
      <c r="T72" s="7" t="n">
        <f aca="false">VALUE(RIGHT(Q72,2))</f>
        <v>15</v>
      </c>
      <c r="U72" s="7" t="s">
        <v>317</v>
      </c>
      <c r="V72" s="7" t="s">
        <v>631</v>
      </c>
    </row>
    <row r="73" customFormat="false" ht="23.25" hidden="false" customHeight="true" outlineLevel="0" collapsed="false">
      <c r="A73" s="7" t="n">
        <v>72</v>
      </c>
      <c r="B73" s="7" t="s">
        <v>632</v>
      </c>
      <c r="C73" s="7" t="s">
        <v>632</v>
      </c>
      <c r="D73" s="7" t="n">
        <f aca="false">VALUE(LEFT(B73,4))</f>
        <v>1859</v>
      </c>
      <c r="E73" s="7" t="n">
        <f aca="false">INT((D73-1)/100)+1</f>
        <v>19</v>
      </c>
      <c r="F73" s="7" t="s">
        <v>580</v>
      </c>
      <c r="G73" s="7" t="s">
        <v>633</v>
      </c>
      <c r="H73" s="7" t="s">
        <v>634</v>
      </c>
      <c r="I73" s="7"/>
      <c r="J73" s="7" t="s">
        <v>332</v>
      </c>
      <c r="K73" s="7" t="s">
        <v>635</v>
      </c>
      <c r="L73" s="7" t="s">
        <v>636</v>
      </c>
      <c r="M73" s="7" t="s">
        <v>637</v>
      </c>
      <c r="N73" s="7" t="s">
        <v>20</v>
      </c>
      <c r="O73" s="7" t="s">
        <v>94</v>
      </c>
      <c r="P73" s="7" t="s">
        <v>638</v>
      </c>
      <c r="Q73" s="7" t="s">
        <v>632</v>
      </c>
      <c r="R73" s="7" t="n">
        <f aca="false">VALUE(LEFT(Q73,4))</f>
        <v>1859</v>
      </c>
      <c r="S73" s="7" t="n">
        <f aca="false">VALUE(MID(Q73,6,2))</f>
        <v>2</v>
      </c>
      <c r="T73" s="7" t="n">
        <f aca="false">VALUE(RIGHT(Q73,2))</f>
        <v>17</v>
      </c>
      <c r="U73" s="7" t="s">
        <v>77</v>
      </c>
      <c r="V73" s="7" t="s">
        <v>78</v>
      </c>
    </row>
    <row r="74" customFormat="false" ht="34.5" hidden="false" customHeight="true" outlineLevel="0" collapsed="false">
      <c r="A74" s="7" t="n">
        <v>73</v>
      </c>
      <c r="B74" s="7" t="s">
        <v>639</v>
      </c>
      <c r="C74" s="7" t="s">
        <v>640</v>
      </c>
      <c r="D74" s="7" t="n">
        <f aca="false">VALUE(LEFT(B74,4))</f>
        <v>1859</v>
      </c>
      <c r="E74" s="7" t="n">
        <f aca="false">INT((D74-1)/100)+1</f>
        <v>19</v>
      </c>
      <c r="F74" s="7" t="s">
        <v>459</v>
      </c>
      <c r="G74" s="7" t="s">
        <v>641</v>
      </c>
      <c r="H74" s="7" t="s">
        <v>642</v>
      </c>
      <c r="I74" s="7" t="s">
        <v>643</v>
      </c>
      <c r="J74" s="7" t="s">
        <v>332</v>
      </c>
      <c r="K74" s="7" t="s">
        <v>644</v>
      </c>
      <c r="L74" s="7" t="s">
        <v>425</v>
      </c>
      <c r="M74" s="7"/>
      <c r="N74" s="7" t="s">
        <v>20</v>
      </c>
      <c r="O74" s="7" t="s">
        <v>94</v>
      </c>
      <c r="P74" s="7"/>
      <c r="Q74" s="7" t="s">
        <v>639</v>
      </c>
      <c r="R74" s="7" t="n">
        <f aca="false">VALUE(LEFT(Q74,4))</f>
        <v>1859</v>
      </c>
      <c r="S74" s="7" t="n">
        <f aca="false">VALUE(MID(Q74,6,2))</f>
        <v>6</v>
      </c>
      <c r="T74" s="7" t="n">
        <f aca="false">VALUE(RIGHT(Q74,2))</f>
        <v>4</v>
      </c>
      <c r="U74" s="7" t="s">
        <v>125</v>
      </c>
      <c r="V74" s="7" t="s">
        <v>126</v>
      </c>
    </row>
    <row r="75" customFormat="false" ht="23.25" hidden="false" customHeight="true" outlineLevel="0" collapsed="false">
      <c r="A75" s="7" t="n">
        <v>74</v>
      </c>
      <c r="B75" s="7" t="s">
        <v>645</v>
      </c>
      <c r="C75" s="7" t="s">
        <v>646</v>
      </c>
      <c r="D75" s="7" t="n">
        <f aca="false">VALUE(LEFT(B75,4))</f>
        <v>1865</v>
      </c>
      <c r="E75" s="7" t="n">
        <f aca="false">INT((D75-1)/100)+1</f>
        <v>19</v>
      </c>
      <c r="F75" s="7" t="s">
        <v>553</v>
      </c>
      <c r="G75" s="7" t="s">
        <v>647</v>
      </c>
      <c r="H75" s="7" t="s">
        <v>555</v>
      </c>
      <c r="I75" s="7" t="s">
        <v>556</v>
      </c>
      <c r="J75" s="7" t="s">
        <v>557</v>
      </c>
      <c r="K75" s="7" t="s">
        <v>558</v>
      </c>
      <c r="L75" s="7" t="s">
        <v>559</v>
      </c>
      <c r="M75" s="7" t="s">
        <v>560</v>
      </c>
      <c r="N75" s="7" t="s">
        <v>20</v>
      </c>
      <c r="O75" s="7" t="s">
        <v>75</v>
      </c>
      <c r="P75" s="7" t="s">
        <v>561</v>
      </c>
      <c r="Q75" s="7" t="s">
        <v>648</v>
      </c>
      <c r="R75" s="7" t="n">
        <f aca="false">VALUE(LEFT(Q75,4))</f>
        <v>1865</v>
      </c>
      <c r="S75" s="7" t="n">
        <f aca="false">VALUE(MID(Q75,6,2))</f>
        <v>3</v>
      </c>
      <c r="T75" s="7" t="n">
        <f aca="false">VALUE(RIGHT(Q75,2))</f>
        <v>9</v>
      </c>
      <c r="U75" s="7" t="s">
        <v>317</v>
      </c>
      <c r="V75" s="7" t="s">
        <v>318</v>
      </c>
    </row>
    <row r="76" customFormat="false" ht="34.5" hidden="false" customHeight="true" outlineLevel="0" collapsed="false">
      <c r="A76" s="7" t="n">
        <v>75</v>
      </c>
      <c r="B76" s="7" t="s">
        <v>649</v>
      </c>
      <c r="C76" s="7" t="s">
        <v>650</v>
      </c>
      <c r="D76" s="7" t="n">
        <f aca="false">VALUE(LEFT(B76,4))</f>
        <v>1869</v>
      </c>
      <c r="E76" s="7" t="n">
        <f aca="false">INT((D76-1)/100)+1</f>
        <v>19</v>
      </c>
      <c r="F76" s="7" t="s">
        <v>129</v>
      </c>
      <c r="G76" s="7" t="s">
        <v>651</v>
      </c>
      <c r="H76" s="7" t="s">
        <v>150</v>
      </c>
      <c r="I76" s="7" t="s">
        <v>652</v>
      </c>
      <c r="J76" s="7" t="s">
        <v>332</v>
      </c>
      <c r="K76" s="7" t="s">
        <v>653</v>
      </c>
      <c r="L76" s="7" t="s">
        <v>425</v>
      </c>
      <c r="M76" s="7"/>
      <c r="N76" s="7" t="s">
        <v>20</v>
      </c>
      <c r="O76" s="7" t="s">
        <v>94</v>
      </c>
      <c r="P76" s="7"/>
      <c r="Q76" s="7" t="s">
        <v>649</v>
      </c>
      <c r="R76" s="7" t="n">
        <f aca="false">VALUE(LEFT(Q76,4))</f>
        <v>1869</v>
      </c>
      <c r="S76" s="7" t="n">
        <f aca="false">VALUE(MID(Q76,6,2))</f>
        <v>10</v>
      </c>
      <c r="T76" s="7" t="n">
        <f aca="false">VALUE(RIGHT(Q76,2))</f>
        <v>3</v>
      </c>
      <c r="U76" s="7" t="s">
        <v>125</v>
      </c>
      <c r="V76" s="7" t="s">
        <v>126</v>
      </c>
    </row>
    <row r="77" customFormat="false" ht="68.25" hidden="false" customHeight="true" outlineLevel="0" collapsed="false">
      <c r="A77" s="7" t="n">
        <v>76</v>
      </c>
      <c r="B77" s="7" t="s">
        <v>650</v>
      </c>
      <c r="C77" s="7" t="s">
        <v>650</v>
      </c>
      <c r="D77" s="7" t="n">
        <f aca="false">VALUE(LEFT(B77,4))</f>
        <v>1869</v>
      </c>
      <c r="E77" s="7" t="n">
        <f aca="false">INT((D77-1)/100)+1</f>
        <v>19</v>
      </c>
      <c r="F77" s="7" t="s">
        <v>654</v>
      </c>
      <c r="G77" s="7" t="s">
        <v>655</v>
      </c>
      <c r="H77" s="7" t="s">
        <v>656</v>
      </c>
      <c r="I77" s="7" t="s">
        <v>657</v>
      </c>
      <c r="J77" s="7" t="s">
        <v>658</v>
      </c>
      <c r="K77" s="7" t="s">
        <v>659</v>
      </c>
      <c r="L77" s="7" t="s">
        <v>660</v>
      </c>
      <c r="M77" s="7" t="s">
        <v>74</v>
      </c>
      <c r="N77" s="7" t="s">
        <v>18</v>
      </c>
      <c r="O77" s="7" t="s">
        <v>75</v>
      </c>
      <c r="P77" s="7" t="s">
        <v>661</v>
      </c>
      <c r="Q77" s="7" t="s">
        <v>650</v>
      </c>
      <c r="R77" s="7" t="n">
        <f aca="false">VALUE(LEFT(Q77,4))</f>
        <v>1869</v>
      </c>
      <c r="S77" s="7" t="n">
        <f aca="false">VALUE(MID(Q77,6,2))</f>
        <v>10</v>
      </c>
      <c r="T77" s="7" t="n">
        <f aca="false">VALUE(RIGHT(Q77,2))</f>
        <v>4</v>
      </c>
      <c r="U77" s="7" t="s">
        <v>77</v>
      </c>
      <c r="V77" s="7" t="s">
        <v>78</v>
      </c>
    </row>
    <row r="78" customFormat="false" ht="23.25" hidden="false" customHeight="true" outlineLevel="0" collapsed="false">
      <c r="A78" s="7" t="n">
        <v>77</v>
      </c>
      <c r="B78" s="7" t="s">
        <v>662</v>
      </c>
      <c r="C78" s="7" t="s">
        <v>663</v>
      </c>
      <c r="D78" s="7" t="n">
        <f aca="false">VALUE(LEFT(B78,4))</f>
        <v>1870</v>
      </c>
      <c r="E78" s="7" t="n">
        <f aca="false">INT((D78-1)/100)+1</f>
        <v>19</v>
      </c>
      <c r="F78" s="7" t="s">
        <v>553</v>
      </c>
      <c r="G78" s="7" t="s">
        <v>664</v>
      </c>
      <c r="H78" s="7" t="s">
        <v>555</v>
      </c>
      <c r="I78" s="7" t="s">
        <v>556</v>
      </c>
      <c r="J78" s="7" t="s">
        <v>557</v>
      </c>
      <c r="K78" s="7" t="s">
        <v>558</v>
      </c>
      <c r="L78" s="7" t="s">
        <v>559</v>
      </c>
      <c r="M78" s="7" t="s">
        <v>560</v>
      </c>
      <c r="N78" s="7" t="s">
        <v>20</v>
      </c>
      <c r="O78" s="7" t="s">
        <v>75</v>
      </c>
      <c r="P78" s="7" t="s">
        <v>561</v>
      </c>
      <c r="Q78" s="7" t="s">
        <v>665</v>
      </c>
      <c r="R78" s="7" t="n">
        <f aca="false">VALUE(LEFT(Q78,4))</f>
        <v>1870</v>
      </c>
      <c r="S78" s="7" t="n">
        <f aca="false">VALUE(MID(Q78,6,2))</f>
        <v>3</v>
      </c>
      <c r="T78" s="7" t="n">
        <f aca="false">VALUE(RIGHT(Q78,2))</f>
        <v>9</v>
      </c>
      <c r="U78" s="7" t="s">
        <v>317</v>
      </c>
      <c r="V78" s="7" t="s">
        <v>318</v>
      </c>
    </row>
    <row r="79" customFormat="false" ht="34.5" hidden="false" customHeight="true" outlineLevel="0" collapsed="false">
      <c r="A79" s="7" t="n">
        <v>78</v>
      </c>
      <c r="B79" s="7" t="s">
        <v>666</v>
      </c>
      <c r="C79" s="7" t="s">
        <v>666</v>
      </c>
      <c r="D79" s="7" t="n">
        <f aca="false">VALUE(LEFT(B79,4))</f>
        <v>1878</v>
      </c>
      <c r="E79" s="7" t="n">
        <f aca="false">INT((D79-1)/100)+1</f>
        <v>19</v>
      </c>
      <c r="F79" s="7" t="s">
        <v>67</v>
      </c>
      <c r="G79" s="7" t="s">
        <v>667</v>
      </c>
      <c r="H79" s="7" t="s">
        <v>668</v>
      </c>
      <c r="I79" s="7" t="s">
        <v>669</v>
      </c>
      <c r="J79" s="7" t="s">
        <v>332</v>
      </c>
      <c r="K79" s="7" t="s">
        <v>670</v>
      </c>
      <c r="L79" s="7" t="s">
        <v>425</v>
      </c>
      <c r="M79" s="7"/>
      <c r="N79" s="7" t="s">
        <v>20</v>
      </c>
      <c r="O79" s="7" t="s">
        <v>94</v>
      </c>
      <c r="P79" s="7"/>
      <c r="Q79" s="7" t="s">
        <v>666</v>
      </c>
      <c r="R79" s="7" t="n">
        <f aca="false">VALUE(LEFT(Q79,4))</f>
        <v>1878</v>
      </c>
      <c r="S79" s="7" t="n">
        <f aca="false">VALUE(MID(Q79,6,2))</f>
        <v>10</v>
      </c>
      <c r="T79" s="7" t="n">
        <f aca="false">VALUE(RIGHT(Q79,2))</f>
        <v>23</v>
      </c>
      <c r="U79" s="7" t="s">
        <v>77</v>
      </c>
      <c r="V79" s="7" t="s">
        <v>78</v>
      </c>
    </row>
    <row r="80" customFormat="false" ht="23.25" hidden="false" customHeight="true" outlineLevel="0" collapsed="false">
      <c r="A80" s="7" t="n">
        <v>79</v>
      </c>
      <c r="B80" s="7" t="s">
        <v>671</v>
      </c>
      <c r="C80" s="7" t="s">
        <v>672</v>
      </c>
      <c r="D80" s="7" t="n">
        <f aca="false">VALUE(LEFT(B80,4))</f>
        <v>1886</v>
      </c>
      <c r="E80" s="7" t="n">
        <f aca="false">INT((D80-1)/100)+1</f>
        <v>19</v>
      </c>
      <c r="F80" s="7" t="s">
        <v>553</v>
      </c>
      <c r="G80" s="7" t="s">
        <v>673</v>
      </c>
      <c r="H80" s="7" t="s">
        <v>674</v>
      </c>
      <c r="I80" s="7" t="s">
        <v>675</v>
      </c>
      <c r="J80" s="7" t="s">
        <v>676</v>
      </c>
      <c r="K80" s="7" t="s">
        <v>677</v>
      </c>
      <c r="L80" s="7" t="s">
        <v>559</v>
      </c>
      <c r="M80" s="7" t="s">
        <v>560</v>
      </c>
      <c r="N80" s="7" t="s">
        <v>18</v>
      </c>
      <c r="O80" s="7" t="s">
        <v>75</v>
      </c>
      <c r="P80" s="7"/>
      <c r="Q80" s="7" t="s">
        <v>671</v>
      </c>
      <c r="R80" s="7" t="n">
        <f aca="false">VALUE(LEFT(Q80,4))</f>
        <v>1886</v>
      </c>
      <c r="S80" s="7" t="n">
        <f aca="false">VALUE(MID(Q80,6,2))</f>
        <v>2</v>
      </c>
      <c r="T80" s="7" t="n">
        <f aca="false">VALUE(RIGHT(Q80,2))</f>
        <v>14</v>
      </c>
      <c r="U80" s="7" t="s">
        <v>125</v>
      </c>
      <c r="V80" s="7" t="s">
        <v>126</v>
      </c>
    </row>
    <row r="81" customFormat="false" ht="23.25" hidden="false" customHeight="true" outlineLevel="0" collapsed="false">
      <c r="A81" s="7" t="n">
        <v>80</v>
      </c>
      <c r="B81" s="7" t="s">
        <v>678</v>
      </c>
      <c r="C81" s="7" t="s">
        <v>679</v>
      </c>
      <c r="D81" s="7" t="n">
        <f aca="false">VALUE(LEFT(B81,4))</f>
        <v>1887</v>
      </c>
      <c r="E81" s="7" t="n">
        <f aca="false">INT((D81-1)/100)+1</f>
        <v>19</v>
      </c>
      <c r="F81" s="7" t="s">
        <v>139</v>
      </c>
      <c r="G81" s="7" t="s">
        <v>680</v>
      </c>
      <c r="H81" s="7" t="s">
        <v>681</v>
      </c>
      <c r="I81" s="7" t="s">
        <v>682</v>
      </c>
      <c r="J81" s="7" t="s">
        <v>310</v>
      </c>
      <c r="K81" s="7" t="s">
        <v>683</v>
      </c>
      <c r="L81" s="7" t="s">
        <v>627</v>
      </c>
      <c r="M81" s="7" t="s">
        <v>628</v>
      </c>
      <c r="N81" s="7" t="s">
        <v>16</v>
      </c>
      <c r="O81" s="7" t="s">
        <v>75</v>
      </c>
      <c r="P81" s="7"/>
      <c r="Q81" s="7" t="s">
        <v>678</v>
      </c>
      <c r="R81" s="7" t="n">
        <f aca="false">VALUE(LEFT(Q81,4))</f>
        <v>1887</v>
      </c>
      <c r="S81" s="7" t="n">
        <f aca="false">VALUE(MID(Q81,6,2))</f>
        <v>12</v>
      </c>
      <c r="T81" s="7" t="n">
        <f aca="false">VALUE(RIGHT(Q81,2))</f>
        <v>18</v>
      </c>
      <c r="U81" s="7" t="s">
        <v>125</v>
      </c>
      <c r="V81" s="7" t="s">
        <v>126</v>
      </c>
    </row>
    <row r="82" customFormat="false" ht="23.25" hidden="false" customHeight="true" outlineLevel="0" collapsed="false">
      <c r="A82" s="7" t="n">
        <v>81</v>
      </c>
      <c r="B82" s="7" t="s">
        <v>684</v>
      </c>
      <c r="C82" s="7" t="s">
        <v>685</v>
      </c>
      <c r="D82" s="7" t="n">
        <f aca="false">VALUE(LEFT(B82,4))</f>
        <v>1888</v>
      </c>
      <c r="E82" s="7" t="n">
        <f aca="false">INT((D82-1)/100)+1</f>
        <v>19</v>
      </c>
      <c r="F82" s="7" t="s">
        <v>219</v>
      </c>
      <c r="G82" s="7" t="s">
        <v>686</v>
      </c>
      <c r="H82" s="7" t="s">
        <v>687</v>
      </c>
      <c r="I82" s="7" t="s">
        <v>688</v>
      </c>
      <c r="J82" s="7" t="s">
        <v>310</v>
      </c>
      <c r="K82" s="7" t="s">
        <v>689</v>
      </c>
      <c r="L82" s="7" t="s">
        <v>627</v>
      </c>
      <c r="M82" s="7" t="s">
        <v>628</v>
      </c>
      <c r="N82" s="7" t="s">
        <v>16</v>
      </c>
      <c r="O82" s="7" t="s">
        <v>75</v>
      </c>
      <c r="P82" s="7" t="s">
        <v>690</v>
      </c>
      <c r="Q82" s="7" t="s">
        <v>684</v>
      </c>
      <c r="R82" s="7" t="n">
        <f aca="false">VALUE(LEFT(Q82,4))</f>
        <v>1888</v>
      </c>
      <c r="S82" s="7" t="n">
        <f aca="false">VALUE(MID(Q82,6,2))</f>
        <v>3</v>
      </c>
      <c r="T82" s="7" t="n">
        <f aca="false">VALUE(RIGHT(Q82,2))</f>
        <v>11</v>
      </c>
      <c r="U82" s="7" t="s">
        <v>125</v>
      </c>
      <c r="V82" s="7" t="s">
        <v>126</v>
      </c>
    </row>
    <row r="83" customFormat="false" ht="23.25" hidden="false" customHeight="true" outlineLevel="0" collapsed="false">
      <c r="A83" s="7" t="n">
        <v>82</v>
      </c>
      <c r="B83" s="7" t="s">
        <v>691</v>
      </c>
      <c r="C83" s="7" t="s">
        <v>692</v>
      </c>
      <c r="D83" s="7" t="n">
        <f aca="false">VALUE(LEFT(B83,4))</f>
        <v>1891</v>
      </c>
      <c r="E83" s="7" t="n">
        <f aca="false">INT((D83-1)/100)+1</f>
        <v>19</v>
      </c>
      <c r="F83" s="7" t="s">
        <v>553</v>
      </c>
      <c r="G83" s="7" t="s">
        <v>693</v>
      </c>
      <c r="H83" s="7" t="s">
        <v>555</v>
      </c>
      <c r="I83" s="7" t="s">
        <v>556</v>
      </c>
      <c r="J83" s="7" t="s">
        <v>557</v>
      </c>
      <c r="K83" s="7" t="s">
        <v>558</v>
      </c>
      <c r="L83" s="7" t="s">
        <v>559</v>
      </c>
      <c r="M83" s="7" t="s">
        <v>560</v>
      </c>
      <c r="N83" s="7" t="s">
        <v>20</v>
      </c>
      <c r="O83" s="7" t="s">
        <v>75</v>
      </c>
      <c r="P83" s="7" t="s">
        <v>561</v>
      </c>
      <c r="Q83" s="7" t="s">
        <v>694</v>
      </c>
      <c r="R83" s="7" t="n">
        <f aca="false">VALUE(LEFT(Q83,4))</f>
        <v>1891</v>
      </c>
      <c r="S83" s="7" t="n">
        <f aca="false">VALUE(MID(Q83,6,2))</f>
        <v>3</v>
      </c>
      <c r="T83" s="7" t="n">
        <f aca="false">VALUE(RIGHT(Q83,2))</f>
        <v>9</v>
      </c>
      <c r="U83" s="7" t="s">
        <v>317</v>
      </c>
      <c r="V83" s="7" t="s">
        <v>318</v>
      </c>
    </row>
    <row r="84" customFormat="false" ht="23.25" hidden="false" customHeight="true" outlineLevel="0" collapsed="false">
      <c r="A84" s="7" t="n">
        <v>83</v>
      </c>
      <c r="B84" s="7" t="s">
        <v>695</v>
      </c>
      <c r="C84" s="7" t="s">
        <v>696</v>
      </c>
      <c r="D84" s="7" t="n">
        <f aca="false">VALUE(LEFT(B84,4))</f>
        <v>1893</v>
      </c>
      <c r="E84" s="7" t="n">
        <f aca="false">INT((D84-1)/100)+1</f>
        <v>19</v>
      </c>
      <c r="F84" s="7" t="s">
        <v>553</v>
      </c>
      <c r="G84" s="7" t="s">
        <v>697</v>
      </c>
      <c r="H84" s="7" t="s">
        <v>555</v>
      </c>
      <c r="I84" s="7" t="s">
        <v>556</v>
      </c>
      <c r="J84" s="7" t="s">
        <v>557</v>
      </c>
      <c r="K84" s="7" t="s">
        <v>558</v>
      </c>
      <c r="L84" s="7" t="s">
        <v>559</v>
      </c>
      <c r="M84" s="7" t="s">
        <v>560</v>
      </c>
      <c r="N84" s="7" t="s">
        <v>20</v>
      </c>
      <c r="O84" s="7" t="s">
        <v>75</v>
      </c>
      <c r="P84" s="7" t="s">
        <v>561</v>
      </c>
      <c r="Q84" s="7" t="s">
        <v>698</v>
      </c>
      <c r="R84" s="7" t="n">
        <f aca="false">VALUE(LEFT(Q84,4))</f>
        <v>1893</v>
      </c>
      <c r="S84" s="7" t="n">
        <f aca="false">VALUE(MID(Q84,6,2))</f>
        <v>3</v>
      </c>
      <c r="T84" s="7" t="n">
        <f aca="false">VALUE(RIGHT(Q84,2))</f>
        <v>9</v>
      </c>
      <c r="U84" s="7" t="s">
        <v>317</v>
      </c>
      <c r="V84" s="7" t="s">
        <v>318</v>
      </c>
    </row>
    <row r="85" customFormat="false" ht="34.5" hidden="false" customHeight="true" outlineLevel="0" collapsed="false">
      <c r="A85" s="7" t="n">
        <v>84</v>
      </c>
      <c r="B85" s="7" t="s">
        <v>699</v>
      </c>
      <c r="C85" s="7" t="s">
        <v>699</v>
      </c>
      <c r="D85" s="7" t="n">
        <f aca="false">VALUE(LEFT(B85,4))</f>
        <v>1893</v>
      </c>
      <c r="E85" s="7" t="n">
        <f aca="false">INT((D85-1)/100)+1</f>
        <v>19</v>
      </c>
      <c r="F85" s="7" t="s">
        <v>67</v>
      </c>
      <c r="G85" s="7" t="s">
        <v>700</v>
      </c>
      <c r="H85" s="7" t="s">
        <v>120</v>
      </c>
      <c r="I85" s="7" t="s">
        <v>701</v>
      </c>
      <c r="J85" s="7" t="s">
        <v>332</v>
      </c>
      <c r="K85" s="7" t="s">
        <v>702</v>
      </c>
      <c r="L85" s="7" t="s">
        <v>425</v>
      </c>
      <c r="M85" s="7"/>
      <c r="N85" s="7" t="s">
        <v>20</v>
      </c>
      <c r="O85" s="7" t="s">
        <v>94</v>
      </c>
      <c r="P85" s="7"/>
      <c r="Q85" s="7" t="s">
        <v>699</v>
      </c>
      <c r="R85" s="7" t="n">
        <f aca="false">VALUE(LEFT(Q85,4))</f>
        <v>1893</v>
      </c>
      <c r="S85" s="7" t="n">
        <f aca="false">VALUE(MID(Q85,6,2))</f>
        <v>8</v>
      </c>
      <c r="T85" s="7" t="n">
        <f aca="false">VALUE(RIGHT(Q85,2))</f>
        <v>24</v>
      </c>
      <c r="U85" s="7" t="s">
        <v>77</v>
      </c>
      <c r="V85" s="7" t="s">
        <v>78</v>
      </c>
    </row>
    <row r="86" customFormat="false" ht="23.25" hidden="false" customHeight="true" outlineLevel="0" collapsed="false">
      <c r="A86" s="7" t="n">
        <v>85</v>
      </c>
      <c r="B86" s="7" t="s">
        <v>703</v>
      </c>
      <c r="C86" s="7" t="s">
        <v>704</v>
      </c>
      <c r="D86" s="7" t="n">
        <f aca="false">VALUE(LEFT(B86,4))</f>
        <v>1896</v>
      </c>
      <c r="E86" s="7" t="n">
        <f aca="false">INT((D86-1)/100)+1</f>
        <v>19</v>
      </c>
      <c r="F86" s="7" t="s">
        <v>705</v>
      </c>
      <c r="G86" s="7" t="s">
        <v>706</v>
      </c>
      <c r="H86" s="7" t="s">
        <v>240</v>
      </c>
      <c r="I86" s="7" t="s">
        <v>707</v>
      </c>
      <c r="J86" s="7" t="s">
        <v>708</v>
      </c>
      <c r="K86" s="7" t="s">
        <v>709</v>
      </c>
      <c r="L86" s="7" t="s">
        <v>569</v>
      </c>
      <c r="M86" s="7"/>
      <c r="N86" s="7" t="s">
        <v>18</v>
      </c>
      <c r="O86" s="7" t="s">
        <v>94</v>
      </c>
      <c r="P86" s="7"/>
      <c r="Q86" s="7" t="s">
        <v>710</v>
      </c>
      <c r="R86" s="7" t="n">
        <f aca="false">VALUE(LEFT(Q86,4))</f>
        <v>1896</v>
      </c>
      <c r="S86" s="7" t="n">
        <f aca="false">VALUE(MID(Q86,6,2))</f>
        <v>8</v>
      </c>
      <c r="T86" s="7" t="n">
        <f aca="false">VALUE(RIGHT(Q86,2))</f>
        <v>10</v>
      </c>
      <c r="U86" s="7" t="s">
        <v>711</v>
      </c>
      <c r="V86" s="7" t="s">
        <v>712</v>
      </c>
    </row>
    <row r="87" customFormat="false" ht="23.25" hidden="false" customHeight="true" outlineLevel="0" collapsed="false">
      <c r="A87" s="7" t="n">
        <v>86</v>
      </c>
      <c r="B87" s="7" t="s">
        <v>713</v>
      </c>
      <c r="C87" s="7" t="s">
        <v>714</v>
      </c>
      <c r="D87" s="7" t="n">
        <f aca="false">VALUE(LEFT(B87,4))</f>
        <v>1899</v>
      </c>
      <c r="E87" s="7" t="n">
        <f aca="false">INT((D87-1)/100)+1</f>
        <v>19</v>
      </c>
      <c r="F87" s="7" t="s">
        <v>715</v>
      </c>
      <c r="G87" s="7" t="s">
        <v>716</v>
      </c>
      <c r="H87" s="7" t="s">
        <v>717</v>
      </c>
      <c r="I87" s="7" t="s">
        <v>718</v>
      </c>
      <c r="J87" s="7" t="s">
        <v>719</v>
      </c>
      <c r="K87" s="7" t="s">
        <v>720</v>
      </c>
      <c r="L87" s="7" t="s">
        <v>569</v>
      </c>
      <c r="M87" s="7"/>
      <c r="N87" s="7" t="s">
        <v>18</v>
      </c>
      <c r="O87" s="7" t="s">
        <v>94</v>
      </c>
      <c r="P87" s="7" t="s">
        <v>721</v>
      </c>
      <c r="Q87" s="7" t="s">
        <v>722</v>
      </c>
      <c r="R87" s="7" t="n">
        <f aca="false">VALUE(LEFT(Q87,4))</f>
        <v>1899</v>
      </c>
      <c r="S87" s="7" t="n">
        <f aca="false">VALUE(MID(Q87,6,2))</f>
        <v>2</v>
      </c>
      <c r="T87" s="7" t="n">
        <f aca="false">VALUE(RIGHT(Q87,2))</f>
        <v>10</v>
      </c>
      <c r="U87" s="7" t="s">
        <v>125</v>
      </c>
      <c r="V87" s="7" t="s">
        <v>723</v>
      </c>
    </row>
    <row r="88" customFormat="false" ht="45.75" hidden="false" customHeight="true" outlineLevel="0" collapsed="false">
      <c r="A88" s="7" t="n">
        <v>87</v>
      </c>
      <c r="B88" s="7" t="s">
        <v>724</v>
      </c>
      <c r="C88" s="7" t="s">
        <v>725</v>
      </c>
      <c r="D88" s="7" t="n">
        <f aca="false">VALUE(LEFT(B88,4))</f>
        <v>1900</v>
      </c>
      <c r="E88" s="7" t="n">
        <f aca="false">INT((D88-1)/100)+1</f>
        <v>19</v>
      </c>
      <c r="F88" s="7" t="s">
        <v>726</v>
      </c>
      <c r="G88" s="7" t="s">
        <v>727</v>
      </c>
      <c r="H88" s="7" t="s">
        <v>728</v>
      </c>
      <c r="I88" s="7" t="s">
        <v>729</v>
      </c>
      <c r="J88" s="7" t="s">
        <v>730</v>
      </c>
      <c r="K88" s="7" t="s">
        <v>731</v>
      </c>
      <c r="L88" s="7" t="s">
        <v>732</v>
      </c>
      <c r="M88" s="7" t="s">
        <v>733</v>
      </c>
      <c r="N88" s="7" t="s">
        <v>20</v>
      </c>
      <c r="O88" s="7" t="s">
        <v>94</v>
      </c>
      <c r="P88" s="7" t="s">
        <v>734</v>
      </c>
      <c r="Q88" s="7" t="s">
        <v>725</v>
      </c>
      <c r="R88" s="7" t="n">
        <f aca="false">VALUE(LEFT(Q88,4))</f>
        <v>2023</v>
      </c>
      <c r="S88" s="7" t="n">
        <f aca="false">VALUE(MID(Q88,6,2))</f>
        <v>3</v>
      </c>
      <c r="T88" s="7" t="n">
        <f aca="false">VALUE(RIGHT(Q88,2))</f>
        <v>10</v>
      </c>
      <c r="U88" s="7" t="s">
        <v>338</v>
      </c>
      <c r="V88" s="7" t="s">
        <v>735</v>
      </c>
    </row>
    <row r="89" customFormat="false" ht="23.25" hidden="false" customHeight="true" outlineLevel="0" collapsed="false">
      <c r="A89" s="7" t="n">
        <v>88</v>
      </c>
      <c r="B89" s="7" t="s">
        <v>736</v>
      </c>
      <c r="C89" s="7" t="s">
        <v>737</v>
      </c>
      <c r="D89" s="7" t="n">
        <f aca="false">VALUE(LEFT(B89,4))</f>
        <v>1903</v>
      </c>
      <c r="E89" s="7" t="n">
        <f aca="false">INT((D89-1)/100)+1</f>
        <v>20</v>
      </c>
      <c r="F89" s="7" t="s">
        <v>553</v>
      </c>
      <c r="G89" s="7" t="s">
        <v>738</v>
      </c>
      <c r="H89" s="7" t="s">
        <v>739</v>
      </c>
      <c r="I89" s="7" t="s">
        <v>740</v>
      </c>
      <c r="J89" s="7" t="s">
        <v>741</v>
      </c>
      <c r="K89" s="7" t="s">
        <v>742</v>
      </c>
      <c r="L89" s="7" t="s">
        <v>743</v>
      </c>
      <c r="M89" s="7" t="s">
        <v>744</v>
      </c>
      <c r="N89" s="7" t="s">
        <v>18</v>
      </c>
      <c r="O89" s="7" t="s">
        <v>75</v>
      </c>
      <c r="P89" s="7"/>
      <c r="Q89" s="7" t="s">
        <v>745</v>
      </c>
      <c r="R89" s="7" t="n">
        <f aca="false">VALUE(LEFT(Q89,4))</f>
        <v>1903</v>
      </c>
      <c r="S89" s="7" t="n">
        <f aca="false">VALUE(MID(Q89,6,2))</f>
        <v>2</v>
      </c>
      <c r="T89" s="7" t="n">
        <f aca="false">VALUE(RIGHT(Q89,2))</f>
        <v>16</v>
      </c>
      <c r="U89" s="7" t="s">
        <v>114</v>
      </c>
      <c r="V89" s="7" t="s">
        <v>325</v>
      </c>
    </row>
    <row r="90" customFormat="false" ht="23.25" hidden="false" customHeight="true" outlineLevel="0" collapsed="false">
      <c r="A90" s="7" t="n">
        <v>89</v>
      </c>
      <c r="B90" s="7" t="s">
        <v>746</v>
      </c>
      <c r="C90" s="7" t="s">
        <v>747</v>
      </c>
      <c r="D90" s="7" t="n">
        <f aca="false">VALUE(LEFT(B90,4))</f>
        <v>1903</v>
      </c>
      <c r="E90" s="7" t="n">
        <f aca="false">INT((D90-1)/100)+1</f>
        <v>20</v>
      </c>
      <c r="F90" s="7" t="s">
        <v>129</v>
      </c>
      <c r="G90" s="7" t="s">
        <v>748</v>
      </c>
      <c r="H90" s="7" t="s">
        <v>749</v>
      </c>
      <c r="I90" s="7" t="s">
        <v>750</v>
      </c>
      <c r="J90" s="7" t="s">
        <v>719</v>
      </c>
      <c r="K90" s="7" t="s">
        <v>751</v>
      </c>
      <c r="L90" s="7" t="s">
        <v>569</v>
      </c>
      <c r="M90" s="7"/>
      <c r="N90" s="7" t="s">
        <v>18</v>
      </c>
      <c r="O90" s="7" t="s">
        <v>94</v>
      </c>
      <c r="P90" s="7"/>
      <c r="Q90" s="7" t="s">
        <v>746</v>
      </c>
      <c r="R90" s="7" t="n">
        <f aca="false">VALUE(LEFT(Q90,4))</f>
        <v>1903</v>
      </c>
      <c r="S90" s="7" t="n">
        <f aca="false">VALUE(MID(Q90,6,2))</f>
        <v>10</v>
      </c>
      <c r="T90" s="7" t="n">
        <f aca="false">VALUE(RIGHT(Q90,2))</f>
        <v>8</v>
      </c>
      <c r="U90" s="7" t="s">
        <v>125</v>
      </c>
      <c r="V90" s="7" t="s">
        <v>126</v>
      </c>
    </row>
    <row r="91" customFormat="false" ht="23.25" hidden="false" customHeight="true" outlineLevel="0" collapsed="false">
      <c r="A91" s="7" t="n">
        <v>90</v>
      </c>
      <c r="B91" s="7" t="s">
        <v>752</v>
      </c>
      <c r="C91" s="7" t="s">
        <v>753</v>
      </c>
      <c r="D91" s="7" t="n">
        <f aca="false">VALUE(LEFT(B91,4))</f>
        <v>1911</v>
      </c>
      <c r="E91" s="7" t="n">
        <f aca="false">INT((D91-1)/100)+1</f>
        <v>20</v>
      </c>
      <c r="F91" s="7" t="s">
        <v>705</v>
      </c>
      <c r="G91" s="7" t="s">
        <v>754</v>
      </c>
      <c r="H91" s="7" t="s">
        <v>240</v>
      </c>
      <c r="I91" s="7" t="s">
        <v>755</v>
      </c>
      <c r="J91" s="7" t="s">
        <v>310</v>
      </c>
      <c r="K91" s="7" t="s">
        <v>756</v>
      </c>
      <c r="L91" s="7" t="s">
        <v>569</v>
      </c>
      <c r="M91" s="7"/>
      <c r="N91" s="7" t="s">
        <v>18</v>
      </c>
      <c r="O91" s="7" t="s">
        <v>94</v>
      </c>
      <c r="P91" s="7" t="s">
        <v>757</v>
      </c>
      <c r="Q91" s="7" t="s">
        <v>752</v>
      </c>
      <c r="R91" s="7" t="n">
        <f aca="false">VALUE(LEFT(Q91,4))</f>
        <v>1911</v>
      </c>
      <c r="S91" s="7" t="n">
        <f aca="false">VALUE(MID(Q91,6,2))</f>
        <v>7</v>
      </c>
      <c r="T91" s="7" t="n">
        <f aca="false">VALUE(RIGHT(Q91,2))</f>
        <v>3</v>
      </c>
      <c r="U91" s="7" t="s">
        <v>125</v>
      </c>
      <c r="V91" s="7" t="s">
        <v>126</v>
      </c>
    </row>
    <row r="92" customFormat="false" ht="23.25" hidden="false" customHeight="true" outlineLevel="0" collapsed="false">
      <c r="A92" s="7" t="n">
        <v>91</v>
      </c>
      <c r="B92" s="7" t="s">
        <v>758</v>
      </c>
      <c r="C92" s="7" t="s">
        <v>758</v>
      </c>
      <c r="D92" s="7" t="n">
        <f aca="false">VALUE(LEFT(B92,4))</f>
        <v>1912</v>
      </c>
      <c r="E92" s="7" t="n">
        <f aca="false">INT((D92-1)/100)+1</f>
        <v>20</v>
      </c>
      <c r="F92" s="7" t="s">
        <v>553</v>
      </c>
      <c r="G92" s="7" t="s">
        <v>759</v>
      </c>
      <c r="H92" s="7" t="s">
        <v>760</v>
      </c>
      <c r="I92" s="7" t="s">
        <v>761</v>
      </c>
      <c r="J92" s="7" t="s">
        <v>332</v>
      </c>
      <c r="K92" s="7" t="s">
        <v>762</v>
      </c>
      <c r="L92" s="7" t="s">
        <v>569</v>
      </c>
      <c r="M92" s="7"/>
      <c r="N92" s="7" t="s">
        <v>18</v>
      </c>
      <c r="O92" s="7" t="s">
        <v>94</v>
      </c>
      <c r="P92" s="7" t="s">
        <v>763</v>
      </c>
      <c r="Q92" s="7" t="s">
        <v>758</v>
      </c>
      <c r="R92" s="7" t="n">
        <f aca="false">VALUE(LEFT(Q92,4))</f>
        <v>1912</v>
      </c>
      <c r="S92" s="7" t="n">
        <f aca="false">VALUE(MID(Q92,6,2))</f>
        <v>2</v>
      </c>
      <c r="T92" s="7" t="n">
        <f aca="false">VALUE(RIGHT(Q92,2))</f>
        <v>4</v>
      </c>
      <c r="U92" s="7" t="s">
        <v>77</v>
      </c>
      <c r="V92" s="7" t="s">
        <v>78</v>
      </c>
    </row>
    <row r="93" customFormat="false" ht="34.5" hidden="false" customHeight="true" outlineLevel="0" collapsed="false">
      <c r="A93" s="7" t="n">
        <v>92</v>
      </c>
      <c r="B93" s="7" t="s">
        <v>764</v>
      </c>
      <c r="C93" s="7" t="s">
        <v>765</v>
      </c>
      <c r="D93" s="7" t="n">
        <f aca="false">VALUE(LEFT(B93,4))</f>
        <v>1913</v>
      </c>
      <c r="E93" s="7" t="n">
        <f aca="false">INT((D93-1)/100)+1</f>
        <v>20</v>
      </c>
      <c r="F93" s="7" t="s">
        <v>766</v>
      </c>
      <c r="G93" s="7" t="s">
        <v>767</v>
      </c>
      <c r="H93" s="7" t="s">
        <v>768</v>
      </c>
      <c r="I93" s="7" t="s">
        <v>769</v>
      </c>
      <c r="J93" s="7" t="s">
        <v>770</v>
      </c>
      <c r="K93" s="7" t="s">
        <v>771</v>
      </c>
      <c r="L93" s="7" t="s">
        <v>627</v>
      </c>
      <c r="M93" s="7" t="s">
        <v>628</v>
      </c>
      <c r="N93" s="7" t="s">
        <v>16</v>
      </c>
      <c r="O93" s="7" t="s">
        <v>75</v>
      </c>
      <c r="P93" s="7"/>
      <c r="Q93" s="7" t="s">
        <v>764</v>
      </c>
      <c r="R93" s="7" t="n">
        <f aca="false">VALUE(LEFT(Q93,4))</f>
        <v>1913</v>
      </c>
      <c r="S93" s="7" t="n">
        <f aca="false">VALUE(MID(Q93,6,2))</f>
        <v>3</v>
      </c>
      <c r="T93" s="7" t="n">
        <f aca="false">VALUE(RIGHT(Q93,2))</f>
        <v>25</v>
      </c>
      <c r="U93" s="7" t="s">
        <v>125</v>
      </c>
      <c r="V93" s="7" t="s">
        <v>126</v>
      </c>
    </row>
    <row r="94" customFormat="false" ht="23.25" hidden="false" customHeight="true" outlineLevel="0" collapsed="false">
      <c r="A94" s="7" t="n">
        <v>93</v>
      </c>
      <c r="B94" s="7" t="s">
        <v>772</v>
      </c>
      <c r="C94" s="7" t="s">
        <v>772</v>
      </c>
      <c r="D94" s="7" t="n">
        <f aca="false">VALUE(LEFT(B94,4))</f>
        <v>1914</v>
      </c>
      <c r="E94" s="7" t="n">
        <f aca="false">INT((D94-1)/100)+1</f>
        <v>20</v>
      </c>
      <c r="F94" s="7" t="s">
        <v>219</v>
      </c>
      <c r="G94" s="7" t="s">
        <v>773</v>
      </c>
      <c r="H94" s="7" t="s">
        <v>774</v>
      </c>
      <c r="I94" s="7" t="s">
        <v>775</v>
      </c>
      <c r="J94" s="7" t="s">
        <v>310</v>
      </c>
      <c r="K94" s="7" t="s">
        <v>776</v>
      </c>
      <c r="L94" s="7" t="s">
        <v>627</v>
      </c>
      <c r="M94" s="7" t="s">
        <v>628</v>
      </c>
      <c r="N94" s="7" t="s">
        <v>16</v>
      </c>
      <c r="O94" s="7" t="s">
        <v>75</v>
      </c>
      <c r="P94" s="7"/>
      <c r="Q94" s="7" t="s">
        <v>772</v>
      </c>
      <c r="R94" s="7" t="n">
        <f aca="false">VALUE(LEFT(Q94,4))</f>
        <v>1914</v>
      </c>
      <c r="S94" s="7" t="n">
        <f aca="false">VALUE(MID(Q94,6,2))</f>
        <v>2</v>
      </c>
      <c r="T94" s="7" t="n">
        <f aca="false">VALUE(RIGHT(Q94,2))</f>
        <v>14</v>
      </c>
      <c r="U94" s="7" t="s">
        <v>77</v>
      </c>
      <c r="V94" s="7" t="s">
        <v>78</v>
      </c>
    </row>
    <row r="95" customFormat="false" ht="23.25" hidden="false" customHeight="true" outlineLevel="0" collapsed="false">
      <c r="A95" s="7" t="n">
        <v>94</v>
      </c>
      <c r="B95" s="7" t="s">
        <v>777</v>
      </c>
      <c r="C95" s="7" t="s">
        <v>777</v>
      </c>
      <c r="D95" s="7" t="n">
        <f aca="false">VALUE(LEFT(B95,4))</f>
        <v>1914</v>
      </c>
      <c r="E95" s="7" t="n">
        <f aca="false">INT((D95-1)/100)+1</f>
        <v>20</v>
      </c>
      <c r="F95" s="7" t="s">
        <v>621</v>
      </c>
      <c r="G95" s="7" t="s">
        <v>778</v>
      </c>
      <c r="H95" s="7" t="s">
        <v>779</v>
      </c>
      <c r="I95" s="7" t="s">
        <v>780</v>
      </c>
      <c r="J95" s="7" t="s">
        <v>781</v>
      </c>
      <c r="K95" s="7" t="s">
        <v>782</v>
      </c>
      <c r="L95" s="7" t="s">
        <v>627</v>
      </c>
      <c r="M95" s="7" t="s">
        <v>628</v>
      </c>
      <c r="N95" s="7" t="s">
        <v>16</v>
      </c>
      <c r="O95" s="7" t="s">
        <v>75</v>
      </c>
      <c r="P95" s="7"/>
      <c r="Q95" s="7" t="s">
        <v>777</v>
      </c>
      <c r="R95" s="7" t="n">
        <f aca="false">VALUE(LEFT(Q95,4))</f>
        <v>1914</v>
      </c>
      <c r="S95" s="7" t="n">
        <f aca="false">VALUE(MID(Q95,6,2))</f>
        <v>3</v>
      </c>
      <c r="T95" s="7" t="n">
        <f aca="false">VALUE(RIGHT(Q95,2))</f>
        <v>28</v>
      </c>
      <c r="U95" s="7" t="s">
        <v>77</v>
      </c>
      <c r="V95" s="7" t="s">
        <v>78</v>
      </c>
    </row>
    <row r="96" customFormat="false" ht="23.25" hidden="false" customHeight="true" outlineLevel="0" collapsed="false">
      <c r="A96" s="7" t="n">
        <v>95</v>
      </c>
      <c r="B96" s="7" t="s">
        <v>783</v>
      </c>
      <c r="C96" s="7" t="s">
        <v>784</v>
      </c>
      <c r="D96" s="7" t="n">
        <f aca="false">VALUE(LEFT(B96,4))</f>
        <v>1915</v>
      </c>
      <c r="E96" s="7" t="n">
        <f aca="false">INT((D96-1)/100)+1</f>
        <v>20</v>
      </c>
      <c r="F96" s="7" t="s">
        <v>139</v>
      </c>
      <c r="G96" s="7" t="s">
        <v>785</v>
      </c>
      <c r="H96" s="7" t="s">
        <v>786</v>
      </c>
      <c r="I96" s="7" t="s">
        <v>787</v>
      </c>
      <c r="J96" s="7" t="s">
        <v>310</v>
      </c>
      <c r="K96" s="7" t="s">
        <v>788</v>
      </c>
      <c r="L96" s="7" t="s">
        <v>627</v>
      </c>
      <c r="M96" s="7" t="s">
        <v>628</v>
      </c>
      <c r="N96" s="7" t="s">
        <v>16</v>
      </c>
      <c r="O96" s="7" t="s">
        <v>75</v>
      </c>
      <c r="P96" s="7"/>
      <c r="Q96" s="7" t="s">
        <v>783</v>
      </c>
      <c r="R96" s="7" t="n">
        <f aca="false">VALUE(LEFT(Q96,4))</f>
        <v>1915</v>
      </c>
      <c r="S96" s="7" t="n">
        <f aca="false">VALUE(MID(Q96,6,2))</f>
        <v>12</v>
      </c>
      <c r="T96" s="7" t="n">
        <f aca="false">VALUE(RIGHT(Q96,2))</f>
        <v>13</v>
      </c>
      <c r="U96" s="7" t="s">
        <v>125</v>
      </c>
      <c r="V96" s="7" t="s">
        <v>126</v>
      </c>
    </row>
    <row r="97" customFormat="false" ht="23.25" hidden="false" customHeight="true" outlineLevel="0" collapsed="false">
      <c r="A97" s="7" t="n">
        <v>96</v>
      </c>
      <c r="B97" s="7" t="s">
        <v>789</v>
      </c>
      <c r="C97" s="7" t="s">
        <v>790</v>
      </c>
      <c r="D97" s="7" t="n">
        <f aca="false">VALUE(LEFT(B97,4))</f>
        <v>1917</v>
      </c>
      <c r="E97" s="7" t="n">
        <f aca="false">INT((D97-1)/100)+1</f>
        <v>20</v>
      </c>
      <c r="F97" s="7" t="s">
        <v>106</v>
      </c>
      <c r="G97" s="7" t="s">
        <v>791</v>
      </c>
      <c r="H97" s="7" t="s">
        <v>240</v>
      </c>
      <c r="I97" s="7" t="s">
        <v>792</v>
      </c>
      <c r="J97" s="7" t="s">
        <v>719</v>
      </c>
      <c r="K97" s="7" t="s">
        <v>793</v>
      </c>
      <c r="L97" s="7" t="s">
        <v>569</v>
      </c>
      <c r="M97" s="7"/>
      <c r="N97" s="7" t="s">
        <v>18</v>
      </c>
      <c r="O97" s="7" t="s">
        <v>94</v>
      </c>
      <c r="P97" s="7"/>
      <c r="Q97" s="7" t="s">
        <v>794</v>
      </c>
      <c r="R97" s="7" t="n">
        <f aca="false">VALUE(LEFT(Q97,4))</f>
        <v>1917</v>
      </c>
      <c r="S97" s="7" t="n">
        <f aca="false">VALUE(MID(Q97,6,2))</f>
        <v>12</v>
      </c>
      <c r="T97" s="7" t="n">
        <f aca="false">VALUE(RIGHT(Q97,2))</f>
        <v>30</v>
      </c>
      <c r="U97" s="7" t="s">
        <v>125</v>
      </c>
      <c r="V97" s="7" t="s">
        <v>795</v>
      </c>
    </row>
    <row r="98" customFormat="false" ht="23.25" hidden="false" customHeight="true" outlineLevel="0" collapsed="false">
      <c r="A98" s="7" t="n">
        <v>97</v>
      </c>
      <c r="B98" s="7" t="s">
        <v>796</v>
      </c>
      <c r="C98" s="7" t="s">
        <v>797</v>
      </c>
      <c r="D98" s="7" t="n">
        <f aca="false">VALUE(LEFT(B98,4))</f>
        <v>1920</v>
      </c>
      <c r="E98" s="7" t="n">
        <f aca="false">INT((D98-1)/100)+1</f>
        <v>20</v>
      </c>
      <c r="F98" s="7" t="s">
        <v>159</v>
      </c>
      <c r="G98" s="7" t="s">
        <v>798</v>
      </c>
      <c r="H98" s="7" t="s">
        <v>566</v>
      </c>
      <c r="I98" s="7" t="s">
        <v>799</v>
      </c>
      <c r="J98" s="7" t="s">
        <v>708</v>
      </c>
      <c r="K98" s="7" t="s">
        <v>800</v>
      </c>
      <c r="L98" s="7" t="s">
        <v>569</v>
      </c>
      <c r="M98" s="7"/>
      <c r="N98" s="7" t="s">
        <v>18</v>
      </c>
      <c r="O98" s="7" t="s">
        <v>94</v>
      </c>
      <c r="P98" s="7"/>
      <c r="Q98" s="7" t="s">
        <v>796</v>
      </c>
      <c r="R98" s="7" t="n">
        <f aca="false">VALUE(LEFT(Q98,4))</f>
        <v>1920</v>
      </c>
      <c r="S98" s="7" t="n">
        <f aca="false">VALUE(MID(Q98,6,2))</f>
        <v>2</v>
      </c>
      <c r="T98" s="7" t="n">
        <f aca="false">VALUE(RIGHT(Q98,2))</f>
        <v>4</v>
      </c>
      <c r="U98" s="7" t="s">
        <v>125</v>
      </c>
      <c r="V98" s="7" t="s">
        <v>126</v>
      </c>
    </row>
    <row r="99" customFormat="false" ht="23.25" hidden="false" customHeight="true" outlineLevel="0" collapsed="false">
      <c r="A99" s="7" t="n">
        <v>98</v>
      </c>
      <c r="B99" s="7" t="s">
        <v>801</v>
      </c>
      <c r="C99" s="7" t="s">
        <v>802</v>
      </c>
      <c r="D99" s="7" t="n">
        <f aca="false">VALUE(LEFT(B99,4))</f>
        <v>1927</v>
      </c>
      <c r="E99" s="7" t="n">
        <f aca="false">INT((D99-1)/100)+1</f>
        <v>20</v>
      </c>
      <c r="F99" s="7" t="s">
        <v>654</v>
      </c>
      <c r="G99" s="7" t="s">
        <v>803</v>
      </c>
      <c r="H99" s="7" t="s">
        <v>804</v>
      </c>
      <c r="I99" s="7" t="s">
        <v>805</v>
      </c>
      <c r="J99" s="7" t="s">
        <v>623</v>
      </c>
      <c r="K99" s="7" t="s">
        <v>806</v>
      </c>
      <c r="L99" s="7" t="s">
        <v>627</v>
      </c>
      <c r="M99" s="7" t="s">
        <v>628</v>
      </c>
      <c r="N99" s="7" t="s">
        <v>16</v>
      </c>
      <c r="O99" s="7" t="s">
        <v>75</v>
      </c>
      <c r="P99" s="7"/>
      <c r="Q99" s="7" t="s">
        <v>801</v>
      </c>
      <c r="R99" s="7" t="n">
        <f aca="false">VALUE(LEFT(Q99,4))</f>
        <v>1927</v>
      </c>
      <c r="S99" s="7" t="n">
        <f aca="false">VALUE(MID(Q99,6,2))</f>
        <v>11</v>
      </c>
      <c r="T99" s="7" t="n">
        <f aca="false">VALUE(RIGHT(Q99,2))</f>
        <v>3</v>
      </c>
      <c r="U99" s="7" t="s">
        <v>125</v>
      </c>
      <c r="V99" s="7" t="s">
        <v>126</v>
      </c>
    </row>
    <row r="100" customFormat="false" ht="34.5" hidden="false" customHeight="true" outlineLevel="0" collapsed="false">
      <c r="A100" s="7" t="n">
        <v>99</v>
      </c>
      <c r="B100" s="7" t="s">
        <v>807</v>
      </c>
      <c r="C100" s="7" t="s">
        <v>807</v>
      </c>
      <c r="D100" s="7" t="n">
        <f aca="false">VALUE(LEFT(B100,4))</f>
        <v>1928</v>
      </c>
      <c r="E100" s="7" t="n">
        <f aca="false">INT((D100-1)/100)+1</f>
        <v>20</v>
      </c>
      <c r="F100" s="7" t="s">
        <v>553</v>
      </c>
      <c r="G100" s="7" t="s">
        <v>808</v>
      </c>
      <c r="H100" s="7" t="s">
        <v>809</v>
      </c>
      <c r="I100" s="7" t="s">
        <v>810</v>
      </c>
      <c r="J100" s="7" t="s">
        <v>811</v>
      </c>
      <c r="K100" s="7" t="s">
        <v>812</v>
      </c>
      <c r="L100" s="7" t="s">
        <v>813</v>
      </c>
      <c r="M100" s="7" t="s">
        <v>814</v>
      </c>
      <c r="N100" s="7" t="s">
        <v>20</v>
      </c>
      <c r="O100" s="7" t="s">
        <v>75</v>
      </c>
      <c r="P100" s="7" t="s">
        <v>815</v>
      </c>
      <c r="Q100" s="7" t="s">
        <v>807</v>
      </c>
      <c r="R100" s="7" t="n">
        <f aca="false">VALUE(LEFT(Q100,4))</f>
        <v>1928</v>
      </c>
      <c r="S100" s="7" t="n">
        <f aca="false">VALUE(MID(Q100,6,2))</f>
        <v>1</v>
      </c>
      <c r="T100" s="7" t="n">
        <f aca="false">VALUE(RIGHT(Q100,2))</f>
        <v>31</v>
      </c>
      <c r="U100" s="7" t="s">
        <v>77</v>
      </c>
      <c r="V100" s="7" t="s">
        <v>78</v>
      </c>
    </row>
    <row r="101" customFormat="false" ht="23.25" hidden="false" customHeight="true" outlineLevel="0" collapsed="false">
      <c r="A101" s="7" t="n">
        <v>100</v>
      </c>
      <c r="B101" s="7" t="s">
        <v>816</v>
      </c>
      <c r="C101" s="7" t="s">
        <v>817</v>
      </c>
      <c r="D101" s="7" t="n">
        <f aca="false">VALUE(LEFT(B101,4))</f>
        <v>1929</v>
      </c>
      <c r="E101" s="7" t="n">
        <f aca="false">INT((D101-1)/100)+1</f>
        <v>20</v>
      </c>
      <c r="F101" s="7" t="s">
        <v>818</v>
      </c>
      <c r="G101" s="7" t="s">
        <v>819</v>
      </c>
      <c r="H101" s="7" t="s">
        <v>820</v>
      </c>
      <c r="I101" s="7" t="s">
        <v>821</v>
      </c>
      <c r="J101" s="7" t="s">
        <v>719</v>
      </c>
      <c r="K101" s="7" t="s">
        <v>822</v>
      </c>
      <c r="L101" s="7" t="s">
        <v>627</v>
      </c>
      <c r="M101" s="7" t="s">
        <v>628</v>
      </c>
      <c r="N101" s="7" t="s">
        <v>20</v>
      </c>
      <c r="O101" s="7" t="s">
        <v>75</v>
      </c>
      <c r="P101" s="7" t="s">
        <v>823</v>
      </c>
      <c r="Q101" s="7" t="s">
        <v>824</v>
      </c>
      <c r="R101" s="7" t="n">
        <f aca="false">VALUE(LEFT(Q101,4))</f>
        <v>1929</v>
      </c>
      <c r="S101" s="7" t="n">
        <f aca="false">VALUE(MID(Q101,6,2))</f>
        <v>7</v>
      </c>
      <c r="T101" s="7" t="n">
        <f aca="false">VALUE(RIGHT(Q101,2))</f>
        <v>1</v>
      </c>
      <c r="U101" s="7" t="s">
        <v>338</v>
      </c>
      <c r="V101" s="7" t="s">
        <v>825</v>
      </c>
    </row>
    <row r="102" customFormat="false" ht="23.25" hidden="false" customHeight="true" outlineLevel="0" collapsed="false">
      <c r="A102" s="7" t="n">
        <v>101</v>
      </c>
      <c r="B102" s="7" t="s">
        <v>826</v>
      </c>
      <c r="C102" s="7" t="s">
        <v>827</v>
      </c>
      <c r="D102" s="7" t="n">
        <f aca="false">VALUE(LEFT(B102,4))</f>
        <v>1930</v>
      </c>
      <c r="E102" s="7" t="n">
        <f aca="false">INT((D102-1)/100)+1</f>
        <v>20</v>
      </c>
      <c r="F102" s="7" t="s">
        <v>828</v>
      </c>
      <c r="G102" s="7" t="s">
        <v>829</v>
      </c>
      <c r="H102" s="7" t="s">
        <v>830</v>
      </c>
      <c r="I102" s="7" t="s">
        <v>831</v>
      </c>
      <c r="J102" s="7" t="s">
        <v>719</v>
      </c>
      <c r="K102" s="7" t="s">
        <v>832</v>
      </c>
      <c r="L102" s="7" t="s">
        <v>569</v>
      </c>
      <c r="M102" s="7"/>
      <c r="N102" s="7" t="s">
        <v>18</v>
      </c>
      <c r="O102" s="7" t="s">
        <v>94</v>
      </c>
      <c r="P102" s="7"/>
      <c r="Q102" s="7" t="s">
        <v>833</v>
      </c>
      <c r="R102" s="7" t="n">
        <f aca="false">VALUE(LEFT(Q102,4))</f>
        <v>1930</v>
      </c>
      <c r="S102" s="7" t="n">
        <f aca="false">VALUE(MID(Q102,6,2))</f>
        <v>8</v>
      </c>
      <c r="T102" s="7" t="n">
        <f aca="false">VALUE(RIGHT(Q102,2))</f>
        <v>15</v>
      </c>
      <c r="U102" s="7" t="s">
        <v>114</v>
      </c>
      <c r="V102" s="7" t="s">
        <v>834</v>
      </c>
    </row>
    <row r="103" customFormat="false" ht="23.25" hidden="false" customHeight="true" outlineLevel="0" collapsed="false">
      <c r="A103" s="7" t="n">
        <v>102</v>
      </c>
      <c r="B103" s="7" t="s">
        <v>835</v>
      </c>
      <c r="C103" s="7" t="s">
        <v>835</v>
      </c>
      <c r="D103" s="7" t="n">
        <f aca="false">VALUE(LEFT(B103,4))</f>
        <v>1934</v>
      </c>
      <c r="E103" s="7" t="n">
        <f aca="false">INT((D103-1)/100)+1</f>
        <v>20</v>
      </c>
      <c r="F103" s="7" t="s">
        <v>238</v>
      </c>
      <c r="G103" s="7" t="s">
        <v>836</v>
      </c>
      <c r="H103" s="7" t="s">
        <v>240</v>
      </c>
      <c r="I103" s="7" t="s">
        <v>837</v>
      </c>
      <c r="J103" s="7" t="s">
        <v>838</v>
      </c>
      <c r="K103" s="7" t="s">
        <v>839</v>
      </c>
      <c r="L103" s="7" t="s">
        <v>569</v>
      </c>
      <c r="M103" s="7"/>
      <c r="N103" s="7" t="s">
        <v>18</v>
      </c>
      <c r="O103" s="7" t="s">
        <v>94</v>
      </c>
      <c r="P103" s="7" t="s">
        <v>840</v>
      </c>
      <c r="Q103" s="7" t="s">
        <v>835</v>
      </c>
      <c r="R103" s="7" t="n">
        <f aca="false">VALUE(LEFT(Q103,4))</f>
        <v>1934</v>
      </c>
      <c r="S103" s="7" t="n">
        <f aca="false">VALUE(MID(Q103,6,2))</f>
        <v>2</v>
      </c>
      <c r="T103" s="7" t="n">
        <f aca="false">VALUE(RIGHT(Q103,2))</f>
        <v>9</v>
      </c>
      <c r="U103" s="7" t="s">
        <v>77</v>
      </c>
      <c r="V103" s="7" t="s">
        <v>78</v>
      </c>
    </row>
    <row r="104" customFormat="false" ht="23.25" hidden="false" customHeight="true" outlineLevel="0" collapsed="false">
      <c r="A104" s="7" t="n">
        <v>103</v>
      </c>
      <c r="B104" s="7" t="s">
        <v>841</v>
      </c>
      <c r="C104" s="7" t="s">
        <v>841</v>
      </c>
      <c r="D104" s="7" t="n">
        <f aca="false">VALUE(LEFT(B104,4))</f>
        <v>1935</v>
      </c>
      <c r="E104" s="7" t="n">
        <f aca="false">INT((D104-1)/100)+1</f>
        <v>20</v>
      </c>
      <c r="F104" s="7" t="s">
        <v>842</v>
      </c>
      <c r="G104" s="7" t="s">
        <v>843</v>
      </c>
      <c r="H104" s="7" t="s">
        <v>844</v>
      </c>
      <c r="I104" s="7" t="s">
        <v>845</v>
      </c>
      <c r="J104" s="7" t="s">
        <v>719</v>
      </c>
      <c r="K104" s="7" t="s">
        <v>846</v>
      </c>
      <c r="L104" s="7" t="s">
        <v>569</v>
      </c>
      <c r="M104" s="7"/>
      <c r="N104" s="7" t="s">
        <v>18</v>
      </c>
      <c r="O104" s="7" t="s">
        <v>94</v>
      </c>
      <c r="P104" s="7"/>
      <c r="Q104" s="7" t="s">
        <v>841</v>
      </c>
      <c r="R104" s="7" t="n">
        <f aca="false">VALUE(LEFT(Q104,4))</f>
        <v>1935</v>
      </c>
      <c r="S104" s="7" t="n">
        <f aca="false">VALUE(MID(Q104,6,2))</f>
        <v>7</v>
      </c>
      <c r="T104" s="7" t="n">
        <f aca="false">VALUE(RIGHT(Q104,2))</f>
        <v>8</v>
      </c>
      <c r="U104" s="7" t="s">
        <v>77</v>
      </c>
      <c r="V104" s="7" t="s">
        <v>78</v>
      </c>
    </row>
    <row r="105" customFormat="false" ht="23.25" hidden="false" customHeight="true" outlineLevel="0" collapsed="false">
      <c r="A105" s="7" t="n">
        <v>104</v>
      </c>
      <c r="B105" s="7" t="s">
        <v>847</v>
      </c>
      <c r="C105" s="7" t="s">
        <v>848</v>
      </c>
      <c r="D105" s="7" t="n">
        <f aca="false">VALUE(LEFT(B105,4))</f>
        <v>1936</v>
      </c>
      <c r="E105" s="7" t="n">
        <f aca="false">INT((D105-1)/100)+1</f>
        <v>20</v>
      </c>
      <c r="F105" s="7" t="s">
        <v>766</v>
      </c>
      <c r="G105" s="7" t="s">
        <v>849</v>
      </c>
      <c r="H105" s="7" t="s">
        <v>240</v>
      </c>
      <c r="I105" s="7" t="s">
        <v>850</v>
      </c>
      <c r="J105" s="7" t="s">
        <v>851</v>
      </c>
      <c r="K105" s="7" t="s">
        <v>852</v>
      </c>
      <c r="L105" s="7" t="s">
        <v>627</v>
      </c>
      <c r="M105" s="7" t="s">
        <v>628</v>
      </c>
      <c r="N105" s="7" t="s">
        <v>16</v>
      </c>
      <c r="O105" s="7" t="s">
        <v>75</v>
      </c>
      <c r="P105" s="7"/>
      <c r="Q105" s="7" t="s">
        <v>847</v>
      </c>
      <c r="R105" s="7" t="n">
        <f aca="false">VALUE(LEFT(Q105,4))</f>
        <v>1936</v>
      </c>
      <c r="S105" s="7" t="n">
        <f aca="false">VALUE(MID(Q105,6,2))</f>
        <v>3</v>
      </c>
      <c r="T105" s="7" t="n">
        <f aca="false">VALUE(RIGHT(Q105,2))</f>
        <v>12</v>
      </c>
      <c r="U105" s="7" t="s">
        <v>125</v>
      </c>
      <c r="V105" s="7" t="s">
        <v>126</v>
      </c>
    </row>
    <row r="106" customFormat="false" ht="15" hidden="false" customHeight="true" outlineLevel="0" collapsed="false">
      <c r="A106" s="7" t="n">
        <v>105</v>
      </c>
      <c r="B106" s="7" t="s">
        <v>853</v>
      </c>
      <c r="C106" s="7" t="s">
        <v>854</v>
      </c>
      <c r="D106" s="7" t="n">
        <f aca="false">VALUE(LEFT(B106,4))</f>
        <v>1936</v>
      </c>
      <c r="E106" s="7" t="n">
        <f aca="false">INT((D106-1)/100)+1</f>
        <v>20</v>
      </c>
      <c r="F106" s="7" t="s">
        <v>705</v>
      </c>
      <c r="G106" s="7" t="s">
        <v>855</v>
      </c>
      <c r="H106" s="7" t="s">
        <v>240</v>
      </c>
      <c r="I106" s="7" t="s">
        <v>856</v>
      </c>
      <c r="J106" s="7" t="s">
        <v>719</v>
      </c>
      <c r="K106" s="7"/>
      <c r="L106" s="7" t="s">
        <v>857</v>
      </c>
      <c r="M106" s="7"/>
      <c r="N106" s="7" t="s">
        <v>18</v>
      </c>
      <c r="O106" s="7" t="s">
        <v>94</v>
      </c>
      <c r="P106" s="7"/>
      <c r="Q106" s="7" t="s">
        <v>858</v>
      </c>
      <c r="R106" s="7" t="n">
        <f aca="false">VALUE(LEFT(Q106,4))</f>
        <v>1936</v>
      </c>
      <c r="S106" s="7" t="n">
        <f aca="false">VALUE(MID(Q106,6,2))</f>
        <v>7</v>
      </c>
      <c r="T106" s="7" t="n">
        <f aca="false">VALUE(RIGHT(Q106,2))</f>
        <v>16</v>
      </c>
      <c r="U106" s="7" t="s">
        <v>317</v>
      </c>
      <c r="V106" s="7" t="s">
        <v>318</v>
      </c>
    </row>
    <row r="107" customFormat="false" ht="23.25" hidden="false" customHeight="true" outlineLevel="0" collapsed="false">
      <c r="A107" s="7" t="n">
        <v>106</v>
      </c>
      <c r="B107" s="7" t="s">
        <v>859</v>
      </c>
      <c r="C107" s="7" t="s">
        <v>859</v>
      </c>
      <c r="D107" s="7" t="n">
        <f aca="false">VALUE(LEFT(B107,4))</f>
        <v>1938</v>
      </c>
      <c r="E107" s="7" t="n">
        <f aca="false">INT((D107-1)/100)+1</f>
        <v>20</v>
      </c>
      <c r="F107" s="7" t="s">
        <v>553</v>
      </c>
      <c r="G107" s="7" t="s">
        <v>860</v>
      </c>
      <c r="H107" s="7" t="s">
        <v>760</v>
      </c>
      <c r="I107" s="7" t="s">
        <v>861</v>
      </c>
      <c r="J107" s="7" t="s">
        <v>332</v>
      </c>
      <c r="K107" s="7" t="s">
        <v>862</v>
      </c>
      <c r="L107" s="7" t="s">
        <v>569</v>
      </c>
      <c r="M107" s="7"/>
      <c r="N107" s="7" t="s">
        <v>18</v>
      </c>
      <c r="O107" s="7" t="s">
        <v>94</v>
      </c>
      <c r="P107" s="7" t="s">
        <v>763</v>
      </c>
      <c r="Q107" s="7" t="s">
        <v>859</v>
      </c>
      <c r="R107" s="7" t="n">
        <f aca="false">VALUE(LEFT(Q107,4))</f>
        <v>1938</v>
      </c>
      <c r="S107" s="7" t="n">
        <f aca="false">VALUE(MID(Q107,6,2))</f>
        <v>1</v>
      </c>
      <c r="T107" s="7" t="n">
        <f aca="false">VALUE(RIGHT(Q107,2))</f>
        <v>27</v>
      </c>
      <c r="U107" s="7" t="s">
        <v>77</v>
      </c>
      <c r="V107" s="7" t="s">
        <v>78</v>
      </c>
    </row>
    <row r="108" customFormat="false" ht="23.25" hidden="false" customHeight="true" outlineLevel="0" collapsed="false">
      <c r="A108" s="7" t="n">
        <v>107</v>
      </c>
      <c r="B108" s="7" t="s">
        <v>863</v>
      </c>
      <c r="C108" s="7" t="s">
        <v>864</v>
      </c>
      <c r="D108" s="7" t="n">
        <f aca="false">VALUE(LEFT(B108,4))</f>
        <v>1938</v>
      </c>
      <c r="E108" s="7" t="n">
        <f aca="false">INT((D108-1)/100)+1</f>
        <v>20</v>
      </c>
      <c r="F108" s="7" t="s">
        <v>67</v>
      </c>
      <c r="G108" s="7" t="s">
        <v>865</v>
      </c>
      <c r="H108" s="7" t="s">
        <v>866</v>
      </c>
      <c r="I108" s="7" t="s">
        <v>867</v>
      </c>
      <c r="J108" s="7" t="s">
        <v>623</v>
      </c>
      <c r="K108" s="7" t="s">
        <v>868</v>
      </c>
      <c r="L108" s="7" t="s">
        <v>627</v>
      </c>
      <c r="M108" s="7" t="s">
        <v>628</v>
      </c>
      <c r="N108" s="7" t="s">
        <v>16</v>
      </c>
      <c r="O108" s="7" t="s">
        <v>75</v>
      </c>
      <c r="P108" s="7"/>
      <c r="Q108" s="7" t="s">
        <v>863</v>
      </c>
      <c r="R108" s="7" t="n">
        <f aca="false">VALUE(LEFT(Q108,4))</f>
        <v>1938</v>
      </c>
      <c r="S108" s="7" t="n">
        <f aca="false">VALUE(MID(Q108,6,2))</f>
        <v>9</v>
      </c>
      <c r="T108" s="7" t="n">
        <f aca="false">VALUE(RIGHT(Q108,2))</f>
        <v>21</v>
      </c>
      <c r="U108" s="7" t="s">
        <v>125</v>
      </c>
      <c r="V108" s="7" t="s">
        <v>126</v>
      </c>
    </row>
    <row r="109" customFormat="false" ht="34.5" hidden="false" customHeight="true" outlineLevel="0" collapsed="false">
      <c r="A109" s="7" t="n">
        <v>108</v>
      </c>
      <c r="B109" s="7" t="s">
        <v>869</v>
      </c>
      <c r="C109" s="7" t="s">
        <v>869</v>
      </c>
      <c r="D109" s="7" t="n">
        <f aca="false">VALUE(LEFT(B109,4))</f>
        <v>1939</v>
      </c>
      <c r="E109" s="7" t="n">
        <f aca="false">INT((D109-1)/100)+1</f>
        <v>20</v>
      </c>
      <c r="F109" s="7" t="s">
        <v>553</v>
      </c>
      <c r="G109" s="7" t="s">
        <v>870</v>
      </c>
      <c r="H109" s="7" t="s">
        <v>871</v>
      </c>
      <c r="I109" s="7" t="s">
        <v>872</v>
      </c>
      <c r="J109" s="7" t="s">
        <v>811</v>
      </c>
      <c r="K109" s="7" t="s">
        <v>873</v>
      </c>
      <c r="L109" s="7" t="s">
        <v>813</v>
      </c>
      <c r="M109" s="7" t="s">
        <v>814</v>
      </c>
      <c r="N109" s="7" t="s">
        <v>20</v>
      </c>
      <c r="O109" s="7" t="s">
        <v>75</v>
      </c>
      <c r="P109" s="7"/>
      <c r="Q109" s="7" t="s">
        <v>869</v>
      </c>
      <c r="R109" s="7" t="n">
        <f aca="false">VALUE(LEFT(Q109,4))</f>
        <v>1939</v>
      </c>
      <c r="S109" s="7" t="n">
        <f aca="false">VALUE(MID(Q109,6,2))</f>
        <v>2</v>
      </c>
      <c r="T109" s="7" t="n">
        <f aca="false">VALUE(RIGHT(Q109,2))</f>
        <v>17</v>
      </c>
      <c r="U109" s="7" t="s">
        <v>77</v>
      </c>
      <c r="V109" s="7" t="s">
        <v>78</v>
      </c>
    </row>
    <row r="110" customFormat="false" ht="23.25" hidden="false" customHeight="true" outlineLevel="0" collapsed="false">
      <c r="A110" s="7" t="n">
        <v>109</v>
      </c>
      <c r="B110" s="7" t="s">
        <v>874</v>
      </c>
      <c r="C110" s="7" t="s">
        <v>874</v>
      </c>
      <c r="D110" s="7" t="n">
        <f aca="false">VALUE(LEFT(B110,4))</f>
        <v>1940</v>
      </c>
      <c r="E110" s="7" t="n">
        <f aca="false">INT((D110-1)/100)+1</f>
        <v>20</v>
      </c>
      <c r="F110" s="7" t="s">
        <v>139</v>
      </c>
      <c r="G110" s="7" t="s">
        <v>875</v>
      </c>
      <c r="H110" s="7" t="s">
        <v>240</v>
      </c>
      <c r="I110" s="7" t="s">
        <v>876</v>
      </c>
      <c r="J110" s="7" t="s">
        <v>719</v>
      </c>
      <c r="K110" s="7" t="s">
        <v>877</v>
      </c>
      <c r="L110" s="7" t="s">
        <v>569</v>
      </c>
      <c r="M110" s="7"/>
      <c r="N110" s="7" t="s">
        <v>18</v>
      </c>
      <c r="O110" s="7" t="s">
        <v>94</v>
      </c>
      <c r="P110" s="7"/>
      <c r="Q110" s="7" t="s">
        <v>874</v>
      </c>
      <c r="R110" s="7" t="n">
        <f aca="false">VALUE(LEFT(Q110,4))</f>
        <v>1940</v>
      </c>
      <c r="S110" s="7" t="n">
        <f aca="false">VALUE(MID(Q110,6,2))</f>
        <v>2</v>
      </c>
      <c r="T110" s="7" t="n">
        <f aca="false">VALUE(RIGHT(Q110,2))</f>
        <v>14</v>
      </c>
      <c r="U110" s="7" t="s">
        <v>77</v>
      </c>
      <c r="V110" s="7" t="s">
        <v>78</v>
      </c>
    </row>
    <row r="111" customFormat="false" ht="23.25" hidden="false" customHeight="true" outlineLevel="0" collapsed="false">
      <c r="A111" s="7" t="n">
        <v>110</v>
      </c>
      <c r="B111" s="7" t="s">
        <v>878</v>
      </c>
      <c r="C111" s="7" t="s">
        <v>879</v>
      </c>
      <c r="D111" s="7" t="n">
        <f aca="false">VALUE(LEFT(B111,4))</f>
        <v>1942</v>
      </c>
      <c r="E111" s="7" t="n">
        <f aca="false">INT((D111-1)/100)+1</f>
        <v>20</v>
      </c>
      <c r="F111" s="7" t="s">
        <v>842</v>
      </c>
      <c r="G111" s="7" t="s">
        <v>880</v>
      </c>
      <c r="H111" s="7" t="s">
        <v>881</v>
      </c>
      <c r="I111" s="7" t="s">
        <v>882</v>
      </c>
      <c r="J111" s="7" t="s">
        <v>883</v>
      </c>
      <c r="K111" s="7" t="s">
        <v>884</v>
      </c>
      <c r="L111" s="7" t="s">
        <v>569</v>
      </c>
      <c r="M111" s="7"/>
      <c r="N111" s="7" t="s">
        <v>18</v>
      </c>
      <c r="O111" s="7" t="s">
        <v>94</v>
      </c>
      <c r="P111" s="7"/>
      <c r="Q111" s="7" t="s">
        <v>878</v>
      </c>
      <c r="R111" s="7" t="n">
        <f aca="false">VALUE(LEFT(Q111,4))</f>
        <v>1942</v>
      </c>
      <c r="S111" s="7" t="n">
        <f aca="false">VALUE(MID(Q111,6,2))</f>
        <v>5</v>
      </c>
      <c r="T111" s="7" t="n">
        <f aca="false">VALUE(RIGHT(Q111,2))</f>
        <v>22</v>
      </c>
      <c r="U111" s="7" t="s">
        <v>125</v>
      </c>
      <c r="V111" s="7" t="s">
        <v>126</v>
      </c>
    </row>
    <row r="112" customFormat="false" ht="23.25" hidden="false" customHeight="true" outlineLevel="0" collapsed="false">
      <c r="A112" s="7" t="n">
        <v>111</v>
      </c>
      <c r="B112" s="7" t="s">
        <v>885</v>
      </c>
      <c r="C112" s="7" t="s">
        <v>886</v>
      </c>
      <c r="D112" s="7" t="n">
        <f aca="false">VALUE(LEFT(B112,4))</f>
        <v>1942</v>
      </c>
      <c r="E112" s="7" t="n">
        <f aca="false">INT((D112-1)/100)+1</f>
        <v>20</v>
      </c>
      <c r="F112" s="7" t="s">
        <v>818</v>
      </c>
      <c r="G112" s="7" t="s">
        <v>887</v>
      </c>
      <c r="H112" s="7" t="s">
        <v>668</v>
      </c>
      <c r="I112" s="7" t="s">
        <v>888</v>
      </c>
      <c r="J112" s="7" t="s">
        <v>719</v>
      </c>
      <c r="K112" s="7"/>
      <c r="L112" s="7" t="s">
        <v>627</v>
      </c>
      <c r="M112" s="7" t="s">
        <v>628</v>
      </c>
      <c r="N112" s="7" t="s">
        <v>18</v>
      </c>
      <c r="O112" s="7" t="s">
        <v>75</v>
      </c>
      <c r="P112" s="7"/>
      <c r="Q112" s="7" t="s">
        <v>885</v>
      </c>
      <c r="R112" s="7" t="n">
        <f aca="false">VALUE(LEFT(Q112,4))</f>
        <v>1942</v>
      </c>
      <c r="S112" s="7" t="n">
        <f aca="false">VALUE(MID(Q112,6,2))</f>
        <v>12</v>
      </c>
      <c r="T112" s="7" t="n">
        <f aca="false">VALUE(RIGHT(Q112,2))</f>
        <v>29</v>
      </c>
      <c r="U112" s="7" t="s">
        <v>125</v>
      </c>
      <c r="V112" s="7" t="s">
        <v>126</v>
      </c>
    </row>
    <row r="113" customFormat="false" ht="23.25" hidden="false" customHeight="true" outlineLevel="0" collapsed="false">
      <c r="A113" s="7" t="n">
        <v>112</v>
      </c>
      <c r="B113" s="7" t="s">
        <v>889</v>
      </c>
      <c r="C113" s="7" t="s">
        <v>889</v>
      </c>
      <c r="D113" s="7" t="n">
        <f aca="false">VALUE(LEFT(B113,4))</f>
        <v>1943</v>
      </c>
      <c r="E113" s="7" t="n">
        <f aca="false">INT((D113-1)/100)+1</f>
        <v>20</v>
      </c>
      <c r="F113" s="7" t="s">
        <v>238</v>
      </c>
      <c r="G113" s="7" t="s">
        <v>890</v>
      </c>
      <c r="H113" s="7" t="s">
        <v>681</v>
      </c>
      <c r="I113" s="7" t="s">
        <v>891</v>
      </c>
      <c r="J113" s="7" t="s">
        <v>719</v>
      </c>
      <c r="K113" s="7"/>
      <c r="L113" s="7" t="s">
        <v>569</v>
      </c>
      <c r="M113" s="7"/>
      <c r="N113" s="7" t="s">
        <v>20</v>
      </c>
      <c r="O113" s="7" t="s">
        <v>94</v>
      </c>
      <c r="P113" s="7" t="s">
        <v>892</v>
      </c>
      <c r="Q113" s="7" t="s">
        <v>889</v>
      </c>
      <c r="R113" s="7" t="n">
        <f aca="false">VALUE(LEFT(Q113,4))</f>
        <v>1943</v>
      </c>
      <c r="S113" s="7" t="n">
        <f aca="false">VALUE(MID(Q113,6,2))</f>
        <v>2</v>
      </c>
      <c r="T113" s="7" t="n">
        <f aca="false">VALUE(RIGHT(Q113,2))</f>
        <v>15</v>
      </c>
      <c r="U113" s="7" t="s">
        <v>77</v>
      </c>
      <c r="V113" s="7" t="s">
        <v>78</v>
      </c>
    </row>
    <row r="114" customFormat="false" ht="15" hidden="false" customHeight="true" outlineLevel="0" collapsed="false">
      <c r="A114" s="7" t="n">
        <v>113</v>
      </c>
      <c r="B114" s="7" t="s">
        <v>893</v>
      </c>
      <c r="C114" s="7" t="s">
        <v>893</v>
      </c>
      <c r="D114" s="7" t="n">
        <f aca="false">VALUE(LEFT(B114,4))</f>
        <v>1944</v>
      </c>
      <c r="E114" s="7" t="n">
        <f aca="false">INT((D114-1)/100)+1</f>
        <v>20</v>
      </c>
      <c r="F114" s="7" t="s">
        <v>67</v>
      </c>
      <c r="G114" s="7" t="s">
        <v>894</v>
      </c>
      <c r="H114" s="7" t="s">
        <v>574</v>
      </c>
      <c r="I114" s="7" t="s">
        <v>895</v>
      </c>
      <c r="J114" s="7" t="s">
        <v>719</v>
      </c>
      <c r="K114" s="7"/>
      <c r="L114" s="7" t="s">
        <v>896</v>
      </c>
      <c r="M114" s="7"/>
      <c r="N114" s="7" t="s">
        <v>18</v>
      </c>
      <c r="O114" s="7" t="s">
        <v>94</v>
      </c>
      <c r="P114" s="7"/>
      <c r="Q114" s="7" t="s">
        <v>893</v>
      </c>
      <c r="R114" s="7" t="n">
        <f aca="false">VALUE(LEFT(Q114,4))</f>
        <v>1944</v>
      </c>
      <c r="S114" s="7" t="n">
        <f aca="false">VALUE(MID(Q114,6,2))</f>
        <v>9</v>
      </c>
      <c r="T114" s="7" t="n">
        <f aca="false">VALUE(RIGHT(Q114,2))</f>
        <v>14</v>
      </c>
      <c r="U114" s="7" t="s">
        <v>77</v>
      </c>
      <c r="V114" s="7" t="s">
        <v>78</v>
      </c>
    </row>
    <row r="115" customFormat="false" ht="23.25" hidden="false" customHeight="true" outlineLevel="0" collapsed="false">
      <c r="A115" s="7" t="n">
        <v>114</v>
      </c>
      <c r="B115" s="7" t="s">
        <v>897</v>
      </c>
      <c r="C115" s="7" t="s">
        <v>897</v>
      </c>
      <c r="D115" s="7" t="n">
        <f aca="false">VALUE(LEFT(B115,4))</f>
        <v>1945</v>
      </c>
      <c r="E115" s="7" t="n">
        <f aca="false">INT((D115-1)/100)+1</f>
        <v>20</v>
      </c>
      <c r="F115" s="7" t="s">
        <v>898</v>
      </c>
      <c r="G115" s="7" t="s">
        <v>899</v>
      </c>
      <c r="H115" s="7" t="s">
        <v>820</v>
      </c>
      <c r="I115" s="7" t="s">
        <v>900</v>
      </c>
      <c r="J115" s="7" t="s">
        <v>310</v>
      </c>
      <c r="K115" s="7" t="s">
        <v>901</v>
      </c>
      <c r="L115" s="7" t="s">
        <v>627</v>
      </c>
      <c r="M115" s="7" t="s">
        <v>628</v>
      </c>
      <c r="N115" s="7" t="s">
        <v>16</v>
      </c>
      <c r="O115" s="7" t="s">
        <v>75</v>
      </c>
      <c r="P115" s="7" t="s">
        <v>902</v>
      </c>
      <c r="Q115" s="7" t="s">
        <v>897</v>
      </c>
      <c r="R115" s="7" t="n">
        <f aca="false">VALUE(LEFT(Q115,4))</f>
        <v>1945</v>
      </c>
      <c r="S115" s="7" t="n">
        <f aca="false">VALUE(MID(Q115,6,2))</f>
        <v>5</v>
      </c>
      <c r="T115" s="7" t="n">
        <f aca="false">VALUE(RIGHT(Q115,2))</f>
        <v>10</v>
      </c>
      <c r="U115" s="7" t="s">
        <v>77</v>
      </c>
      <c r="V115" s="7" t="s">
        <v>78</v>
      </c>
    </row>
    <row r="116" customFormat="false" ht="23.25" hidden="false" customHeight="true" outlineLevel="0" collapsed="false">
      <c r="A116" s="7" t="n">
        <v>115</v>
      </c>
      <c r="B116" s="7" t="s">
        <v>903</v>
      </c>
      <c r="C116" s="7" t="s">
        <v>903</v>
      </c>
      <c r="D116" s="7" t="n">
        <f aca="false">VALUE(LEFT(B116,4))</f>
        <v>1945</v>
      </c>
      <c r="E116" s="7" t="n">
        <f aca="false">INT((D116-1)/100)+1</f>
        <v>20</v>
      </c>
      <c r="F116" s="7" t="s">
        <v>842</v>
      </c>
      <c r="G116" s="7" t="s">
        <v>904</v>
      </c>
      <c r="H116" s="7" t="s">
        <v>905</v>
      </c>
      <c r="I116" s="7" t="s">
        <v>906</v>
      </c>
      <c r="J116" s="7" t="s">
        <v>907</v>
      </c>
      <c r="K116" s="7" t="s">
        <v>908</v>
      </c>
      <c r="L116" s="7" t="s">
        <v>627</v>
      </c>
      <c r="M116" s="7" t="s">
        <v>628</v>
      </c>
      <c r="N116" s="7" t="s">
        <v>16</v>
      </c>
      <c r="O116" s="7" t="s">
        <v>75</v>
      </c>
      <c r="P116" s="7"/>
      <c r="Q116" s="7" t="s">
        <v>903</v>
      </c>
      <c r="R116" s="7" t="n">
        <f aca="false">VALUE(LEFT(Q116,4))</f>
        <v>1945</v>
      </c>
      <c r="S116" s="7" t="n">
        <f aca="false">VALUE(MID(Q116,6,2))</f>
        <v>10</v>
      </c>
      <c r="T116" s="7" t="n">
        <f aca="false">VALUE(RIGHT(Q116,2))</f>
        <v>2</v>
      </c>
      <c r="U116" s="7" t="s">
        <v>77</v>
      </c>
      <c r="V116" s="7" t="s">
        <v>78</v>
      </c>
    </row>
    <row r="117" customFormat="false" ht="23.25" hidden="false" customHeight="true" outlineLevel="0" collapsed="false">
      <c r="A117" s="7" t="n">
        <v>116</v>
      </c>
      <c r="B117" s="7" t="s">
        <v>909</v>
      </c>
      <c r="C117" s="7" t="s">
        <v>909</v>
      </c>
      <c r="D117" s="7" t="n">
        <f aca="false">VALUE(LEFT(B117,4))</f>
        <v>1947</v>
      </c>
      <c r="E117" s="7" t="n">
        <f aca="false">INT((D117-1)/100)+1</f>
        <v>20</v>
      </c>
      <c r="F117" s="7" t="s">
        <v>139</v>
      </c>
      <c r="G117" s="7" t="s">
        <v>910</v>
      </c>
      <c r="H117" s="7" t="s">
        <v>120</v>
      </c>
      <c r="I117" s="7" t="s">
        <v>911</v>
      </c>
      <c r="J117" s="7" t="s">
        <v>912</v>
      </c>
      <c r="K117" s="7" t="s">
        <v>913</v>
      </c>
      <c r="L117" s="7" t="s">
        <v>569</v>
      </c>
      <c r="M117" s="7"/>
      <c r="N117" s="7" t="s">
        <v>18</v>
      </c>
      <c r="O117" s="7" t="s">
        <v>94</v>
      </c>
      <c r="P117" s="7"/>
      <c r="Q117" s="7" t="s">
        <v>909</v>
      </c>
      <c r="R117" s="7" t="n">
        <f aca="false">VALUE(LEFT(Q117,4))</f>
        <v>1947</v>
      </c>
      <c r="S117" s="7" t="n">
        <f aca="false">VALUE(MID(Q117,6,2))</f>
        <v>12</v>
      </c>
      <c r="T117" s="7" t="n">
        <f aca="false">VALUE(RIGHT(Q117,2))</f>
        <v>26</v>
      </c>
      <c r="U117" s="7" t="s">
        <v>77</v>
      </c>
      <c r="V117" s="7" t="s">
        <v>78</v>
      </c>
    </row>
    <row r="118" customFormat="false" ht="34.5" hidden="false" customHeight="true" outlineLevel="0" collapsed="false">
      <c r="A118" s="7" t="n">
        <v>117</v>
      </c>
      <c r="B118" s="7" t="s">
        <v>914</v>
      </c>
      <c r="C118" s="7" t="s">
        <v>914</v>
      </c>
      <c r="D118" s="7" t="n">
        <f aca="false">VALUE(LEFT(B118,4))</f>
        <v>1948</v>
      </c>
      <c r="E118" s="7" t="n">
        <f aca="false">INT((D118-1)/100)+1</f>
        <v>20</v>
      </c>
      <c r="F118" s="7" t="s">
        <v>553</v>
      </c>
      <c r="G118" s="7" t="s">
        <v>915</v>
      </c>
      <c r="H118" s="7" t="s">
        <v>916</v>
      </c>
      <c r="I118" s="7" t="s">
        <v>917</v>
      </c>
      <c r="J118" s="7" t="s">
        <v>811</v>
      </c>
      <c r="K118" s="7" t="s">
        <v>918</v>
      </c>
      <c r="L118" s="7" t="s">
        <v>813</v>
      </c>
      <c r="M118" s="7" t="s">
        <v>814</v>
      </c>
      <c r="N118" s="7" t="s">
        <v>20</v>
      </c>
      <c r="O118" s="7" t="s">
        <v>75</v>
      </c>
      <c r="P118" s="7"/>
      <c r="Q118" s="7" t="s">
        <v>914</v>
      </c>
      <c r="R118" s="7" t="n">
        <f aca="false">VALUE(LEFT(Q118,4))</f>
        <v>1948</v>
      </c>
      <c r="S118" s="7" t="n">
        <f aca="false">VALUE(MID(Q118,6,2))</f>
        <v>3</v>
      </c>
      <c r="T118" s="7" t="n">
        <f aca="false">VALUE(RIGHT(Q118,2))</f>
        <v>17</v>
      </c>
      <c r="U118" s="7" t="s">
        <v>77</v>
      </c>
      <c r="V118" s="7" t="s">
        <v>78</v>
      </c>
    </row>
    <row r="119" customFormat="false" ht="23.25" hidden="false" customHeight="true" outlineLevel="0" collapsed="false">
      <c r="A119" s="7" t="n">
        <v>118</v>
      </c>
      <c r="B119" s="7" t="s">
        <v>919</v>
      </c>
      <c r="C119" s="7" t="s">
        <v>920</v>
      </c>
      <c r="D119" s="7" t="n">
        <f aca="false">VALUE(LEFT(B119,4))</f>
        <v>1948</v>
      </c>
      <c r="E119" s="7" t="n">
        <f aca="false">INT((D119-1)/100)+1</f>
        <v>20</v>
      </c>
      <c r="F119" s="7" t="s">
        <v>921</v>
      </c>
      <c r="G119" s="7" t="s">
        <v>922</v>
      </c>
      <c r="H119" s="7" t="s">
        <v>923</v>
      </c>
      <c r="I119" s="7" t="s">
        <v>924</v>
      </c>
      <c r="J119" s="7" t="s">
        <v>623</v>
      </c>
      <c r="K119" s="7" t="s">
        <v>925</v>
      </c>
      <c r="L119" s="7" t="s">
        <v>627</v>
      </c>
      <c r="M119" s="7" t="s">
        <v>628</v>
      </c>
      <c r="N119" s="7" t="s">
        <v>16</v>
      </c>
      <c r="O119" s="7" t="s">
        <v>75</v>
      </c>
      <c r="P119" s="7"/>
      <c r="Q119" s="7" t="s">
        <v>919</v>
      </c>
      <c r="R119" s="7" t="n">
        <f aca="false">VALUE(LEFT(Q119,4))</f>
        <v>1948</v>
      </c>
      <c r="S119" s="7" t="n">
        <f aca="false">VALUE(MID(Q119,6,2))</f>
        <v>12</v>
      </c>
      <c r="T119" s="7" t="n">
        <f aca="false">VALUE(RIGHT(Q119,2))</f>
        <v>31</v>
      </c>
      <c r="U119" s="7" t="s">
        <v>125</v>
      </c>
      <c r="V119" s="7" t="s">
        <v>126</v>
      </c>
    </row>
    <row r="120" customFormat="false" ht="23.25" hidden="false" customHeight="true" outlineLevel="0" collapsed="false">
      <c r="A120" s="7" t="n">
        <v>119</v>
      </c>
      <c r="B120" s="7" t="s">
        <v>926</v>
      </c>
      <c r="C120" s="7" t="s">
        <v>927</v>
      </c>
      <c r="D120" s="7" t="n">
        <f aca="false">VALUE(LEFT(B120,4))</f>
        <v>1950</v>
      </c>
      <c r="E120" s="7" t="n">
        <f aca="false">INT((D120-1)/100)+1</f>
        <v>20</v>
      </c>
      <c r="F120" s="7" t="s">
        <v>928</v>
      </c>
      <c r="G120" s="7" t="s">
        <v>929</v>
      </c>
      <c r="H120" s="7" t="s">
        <v>668</v>
      </c>
      <c r="I120" s="7" t="s">
        <v>930</v>
      </c>
      <c r="J120" s="7" t="s">
        <v>310</v>
      </c>
      <c r="K120" s="7" t="s">
        <v>931</v>
      </c>
      <c r="L120" s="7" t="s">
        <v>627</v>
      </c>
      <c r="M120" s="7" t="s">
        <v>628</v>
      </c>
      <c r="N120" s="7" t="s">
        <v>16</v>
      </c>
      <c r="O120" s="7" t="s">
        <v>75</v>
      </c>
      <c r="P120" s="7" t="s">
        <v>932</v>
      </c>
      <c r="Q120" s="7" t="s">
        <v>926</v>
      </c>
      <c r="R120" s="7" t="n">
        <f aca="false">VALUE(LEFT(Q120,4))</f>
        <v>1950</v>
      </c>
      <c r="S120" s="7" t="n">
        <f aca="false">VALUE(MID(Q120,6,2))</f>
        <v>11</v>
      </c>
      <c r="T120" s="7" t="n">
        <f aca="false">VALUE(RIGHT(Q120,2))</f>
        <v>24</v>
      </c>
      <c r="U120" s="7" t="s">
        <v>125</v>
      </c>
      <c r="V120" s="7" t="s">
        <v>126</v>
      </c>
    </row>
    <row r="121" customFormat="false" ht="15" hidden="false" customHeight="true" outlineLevel="0" collapsed="false">
      <c r="A121" s="7" t="n">
        <v>120</v>
      </c>
      <c r="B121" s="7" t="s">
        <v>933</v>
      </c>
      <c r="C121" s="7" t="s">
        <v>933</v>
      </c>
      <c r="D121" s="7" t="n">
        <f aca="false">VALUE(LEFT(B121,4))</f>
        <v>1954</v>
      </c>
      <c r="E121" s="7" t="n">
        <f aca="false">INT((D121-1)/100)+1</f>
        <v>20</v>
      </c>
      <c r="F121" s="7" t="s">
        <v>67</v>
      </c>
      <c r="G121" s="7" t="s">
        <v>934</v>
      </c>
      <c r="H121" s="7" t="s">
        <v>668</v>
      </c>
      <c r="I121" s="7" t="s">
        <v>935</v>
      </c>
      <c r="J121" s="7" t="s">
        <v>719</v>
      </c>
      <c r="K121" s="7" t="s">
        <v>936</v>
      </c>
      <c r="L121" s="7" t="s">
        <v>896</v>
      </c>
      <c r="M121" s="7"/>
      <c r="N121" s="7" t="s">
        <v>18</v>
      </c>
      <c r="O121" s="7" t="s">
        <v>94</v>
      </c>
      <c r="P121" s="7"/>
      <c r="Q121" s="7" t="s">
        <v>933</v>
      </c>
      <c r="R121" s="7" t="n">
        <f aca="false">VALUE(LEFT(Q121,4))</f>
        <v>1954</v>
      </c>
      <c r="S121" s="7" t="n">
        <f aca="false">VALUE(MID(Q121,6,2))</f>
        <v>10</v>
      </c>
      <c r="T121" s="7" t="n">
        <f aca="false">VALUE(RIGHT(Q121,2))</f>
        <v>15</v>
      </c>
      <c r="U121" s="7" t="s">
        <v>77</v>
      </c>
      <c r="V121" s="7" t="s">
        <v>78</v>
      </c>
    </row>
    <row r="122" customFormat="false" ht="23.25" hidden="false" customHeight="true" outlineLevel="0" collapsed="false">
      <c r="A122" s="7" t="n">
        <v>121</v>
      </c>
      <c r="B122" s="7" t="s">
        <v>937</v>
      </c>
      <c r="C122" s="7" t="s">
        <v>938</v>
      </c>
      <c r="D122" s="7" t="n">
        <f aca="false">VALUE(LEFT(B122,4))</f>
        <v>1955</v>
      </c>
      <c r="E122" s="7" t="n">
        <f aca="false">INT((D122-1)/100)+1</f>
        <v>20</v>
      </c>
      <c r="F122" s="7" t="s">
        <v>97</v>
      </c>
      <c r="G122" s="7" t="s">
        <v>939</v>
      </c>
      <c r="H122" s="7" t="s">
        <v>940</v>
      </c>
      <c r="I122" s="7" t="s">
        <v>941</v>
      </c>
      <c r="J122" s="7" t="s">
        <v>942</v>
      </c>
      <c r="K122" s="7" t="s">
        <v>943</v>
      </c>
      <c r="L122" s="7" t="s">
        <v>627</v>
      </c>
      <c r="M122" s="7" t="s">
        <v>628</v>
      </c>
      <c r="N122" s="7" t="s">
        <v>16</v>
      </c>
      <c r="O122" s="7" t="s">
        <v>75</v>
      </c>
      <c r="P122" s="7"/>
      <c r="Q122" s="7" t="s">
        <v>937</v>
      </c>
      <c r="R122" s="7" t="n">
        <f aca="false">VALUE(LEFT(Q122,4))</f>
        <v>1955</v>
      </c>
      <c r="S122" s="7" t="n">
        <f aca="false">VALUE(MID(Q122,6,2))</f>
        <v>8</v>
      </c>
      <c r="T122" s="7" t="n">
        <f aca="false">VALUE(RIGHT(Q122,2))</f>
        <v>12</v>
      </c>
      <c r="U122" s="7" t="s">
        <v>125</v>
      </c>
      <c r="V122" s="7" t="s">
        <v>126</v>
      </c>
    </row>
    <row r="123" customFormat="false" ht="23.25" hidden="false" customHeight="true" outlineLevel="0" collapsed="false">
      <c r="A123" s="7" t="n">
        <v>122</v>
      </c>
      <c r="B123" s="7" t="s">
        <v>944</v>
      </c>
      <c r="C123" s="7" t="s">
        <v>945</v>
      </c>
      <c r="D123" s="7" t="n">
        <f aca="false">VALUE(LEFT(B123,4))</f>
        <v>1955</v>
      </c>
      <c r="E123" s="7" t="n">
        <f aca="false">INT((D123-1)/100)+1</f>
        <v>20</v>
      </c>
      <c r="F123" s="7" t="s">
        <v>129</v>
      </c>
      <c r="G123" s="7" t="s">
        <v>946</v>
      </c>
      <c r="H123" s="7" t="s">
        <v>947</v>
      </c>
      <c r="I123" s="7" t="s">
        <v>948</v>
      </c>
      <c r="J123" s="7" t="s">
        <v>949</v>
      </c>
      <c r="K123" s="7" t="s">
        <v>950</v>
      </c>
      <c r="L123" s="7" t="s">
        <v>627</v>
      </c>
      <c r="M123" s="7" t="s">
        <v>628</v>
      </c>
      <c r="N123" s="7" t="s">
        <v>16</v>
      </c>
      <c r="O123" s="7" t="s">
        <v>75</v>
      </c>
      <c r="P123" s="7"/>
      <c r="Q123" s="7" t="s">
        <v>944</v>
      </c>
      <c r="R123" s="7" t="n">
        <f aca="false">VALUE(LEFT(Q123,4))</f>
        <v>1955</v>
      </c>
      <c r="S123" s="7" t="n">
        <f aca="false">VALUE(MID(Q123,6,2))</f>
        <v>10</v>
      </c>
      <c r="T123" s="7" t="n">
        <f aca="false">VALUE(RIGHT(Q123,2))</f>
        <v>14</v>
      </c>
      <c r="U123" s="7" t="s">
        <v>125</v>
      </c>
      <c r="V123" s="7" t="s">
        <v>126</v>
      </c>
    </row>
    <row r="124" customFormat="false" ht="23.25" hidden="false" customHeight="true" outlineLevel="0" collapsed="false">
      <c r="A124" s="7" t="n">
        <v>123</v>
      </c>
      <c r="B124" s="7" t="s">
        <v>951</v>
      </c>
      <c r="C124" s="7" t="s">
        <v>952</v>
      </c>
      <c r="D124" s="7" t="n">
        <f aca="false">VALUE(LEFT(B124,4))</f>
        <v>1958</v>
      </c>
      <c r="E124" s="7" t="n">
        <f aca="false">INT((D124-1)/100)+1</f>
        <v>20</v>
      </c>
      <c r="F124" s="7" t="s">
        <v>219</v>
      </c>
      <c r="G124" s="7" t="s">
        <v>953</v>
      </c>
      <c r="H124" s="7" t="s">
        <v>954</v>
      </c>
      <c r="I124" s="7" t="s">
        <v>955</v>
      </c>
      <c r="J124" s="7" t="s">
        <v>310</v>
      </c>
      <c r="K124" s="7" t="s">
        <v>956</v>
      </c>
      <c r="L124" s="7" t="s">
        <v>627</v>
      </c>
      <c r="M124" s="7" t="s">
        <v>628</v>
      </c>
      <c r="N124" s="7" t="s">
        <v>16</v>
      </c>
      <c r="O124" s="7" t="s">
        <v>75</v>
      </c>
      <c r="P124" s="7"/>
      <c r="Q124" s="7" t="s">
        <v>951</v>
      </c>
      <c r="R124" s="7" t="n">
        <f aca="false">VALUE(LEFT(Q124,4))</f>
        <v>1958</v>
      </c>
      <c r="S124" s="7" t="n">
        <f aca="false">VALUE(MID(Q124,6,2))</f>
        <v>2</v>
      </c>
      <c r="T124" s="7" t="n">
        <f aca="false">VALUE(RIGHT(Q124,2))</f>
        <v>15</v>
      </c>
      <c r="U124" s="7" t="s">
        <v>125</v>
      </c>
      <c r="V124" s="7" t="s">
        <v>126</v>
      </c>
    </row>
    <row r="125" customFormat="false" ht="23.25" hidden="false" customHeight="true" outlineLevel="0" collapsed="false">
      <c r="A125" s="7" t="n">
        <v>124</v>
      </c>
      <c r="B125" s="7" t="s">
        <v>957</v>
      </c>
      <c r="C125" s="7" t="s">
        <v>958</v>
      </c>
      <c r="D125" s="7" t="n">
        <f aca="false">VALUE(LEFT(B125,4))</f>
        <v>1958</v>
      </c>
      <c r="E125" s="7" t="n">
        <f aca="false">INT((D125-1)/100)+1</f>
        <v>20</v>
      </c>
      <c r="F125" s="7" t="s">
        <v>959</v>
      </c>
      <c r="G125" s="7" t="s">
        <v>960</v>
      </c>
      <c r="H125" s="7" t="s">
        <v>961</v>
      </c>
      <c r="I125" s="7" t="s">
        <v>962</v>
      </c>
      <c r="J125" s="7" t="s">
        <v>719</v>
      </c>
      <c r="K125" s="7" t="s">
        <v>963</v>
      </c>
      <c r="L125" s="7" t="s">
        <v>569</v>
      </c>
      <c r="M125" s="7"/>
      <c r="N125" s="7" t="s">
        <v>18</v>
      </c>
      <c r="O125" s="7" t="s">
        <v>94</v>
      </c>
      <c r="P125" s="7"/>
      <c r="Q125" s="7" t="s">
        <v>957</v>
      </c>
      <c r="R125" s="7" t="n">
        <f aca="false">VALUE(LEFT(Q125,4))</f>
        <v>1958</v>
      </c>
      <c r="S125" s="7" t="n">
        <f aca="false">VALUE(MID(Q125,6,2))</f>
        <v>3</v>
      </c>
      <c r="T125" s="7" t="n">
        <f aca="false">VALUE(RIGHT(Q125,2))</f>
        <v>19</v>
      </c>
      <c r="U125" s="7" t="s">
        <v>125</v>
      </c>
      <c r="V125" s="7" t="s">
        <v>126</v>
      </c>
    </row>
    <row r="126" customFormat="false" ht="23.25" hidden="false" customHeight="true" outlineLevel="0" collapsed="false">
      <c r="A126" s="7" t="n">
        <v>125</v>
      </c>
      <c r="B126" s="7" t="s">
        <v>964</v>
      </c>
      <c r="C126" s="7" t="s">
        <v>964</v>
      </c>
      <c r="D126" s="7" t="n">
        <f aca="false">VALUE(LEFT(B126,4))</f>
        <v>1960</v>
      </c>
      <c r="E126" s="7" t="n">
        <f aca="false">INT((D126-1)/100)+1</f>
        <v>20</v>
      </c>
      <c r="F126" s="7" t="s">
        <v>766</v>
      </c>
      <c r="G126" s="7" t="s">
        <v>965</v>
      </c>
      <c r="H126" s="7" t="s">
        <v>634</v>
      </c>
      <c r="I126" s="7" t="s">
        <v>966</v>
      </c>
      <c r="J126" s="7" t="s">
        <v>967</v>
      </c>
      <c r="K126" s="7"/>
      <c r="L126" s="7" t="s">
        <v>968</v>
      </c>
      <c r="M126" s="7" t="s">
        <v>969</v>
      </c>
      <c r="N126" s="7" t="s">
        <v>16</v>
      </c>
      <c r="O126" s="7" t="s">
        <v>75</v>
      </c>
      <c r="P126" s="7"/>
      <c r="Q126" s="7" t="s">
        <v>964</v>
      </c>
      <c r="R126" s="7" t="n">
        <f aca="false">VALUE(LEFT(Q126,4))</f>
        <v>1960</v>
      </c>
      <c r="S126" s="7" t="n">
        <f aca="false">VALUE(MID(Q126,6,2))</f>
        <v>4</v>
      </c>
      <c r="T126" s="7" t="n">
        <f aca="false">VALUE(RIGHT(Q126,2))</f>
        <v>5</v>
      </c>
      <c r="U126" s="7" t="s">
        <v>77</v>
      </c>
      <c r="V126" s="7" t="s">
        <v>78</v>
      </c>
    </row>
    <row r="127" customFormat="false" ht="23.25" hidden="false" customHeight="true" outlineLevel="0" collapsed="false">
      <c r="A127" s="7" t="n">
        <v>126</v>
      </c>
      <c r="B127" s="7" t="s">
        <v>970</v>
      </c>
      <c r="C127" s="7" t="s">
        <v>970</v>
      </c>
      <c r="D127" s="7" t="n">
        <f aca="false">VALUE(LEFT(B127,4))</f>
        <v>1960</v>
      </c>
      <c r="E127" s="7" t="n">
        <f aca="false">INT((D127-1)/100)+1</f>
        <v>20</v>
      </c>
      <c r="F127" s="7" t="s">
        <v>971</v>
      </c>
      <c r="G127" s="7" t="s">
        <v>972</v>
      </c>
      <c r="H127" s="7" t="s">
        <v>973</v>
      </c>
      <c r="I127" s="7" t="s">
        <v>974</v>
      </c>
      <c r="J127" s="7" t="s">
        <v>975</v>
      </c>
      <c r="K127" s="7" t="s">
        <v>976</v>
      </c>
      <c r="L127" s="7" t="s">
        <v>977</v>
      </c>
      <c r="M127" s="7" t="s">
        <v>978</v>
      </c>
      <c r="N127" s="7" t="s">
        <v>16</v>
      </c>
      <c r="O127" s="7" t="s">
        <v>75</v>
      </c>
      <c r="P127" s="7"/>
      <c r="Q127" s="7" t="s">
        <v>970</v>
      </c>
      <c r="R127" s="7" t="n">
        <f aca="false">VALUE(LEFT(Q127,4))</f>
        <v>1960</v>
      </c>
      <c r="S127" s="7" t="n">
        <f aca="false">VALUE(MID(Q127,6,2))</f>
        <v>6</v>
      </c>
      <c r="T127" s="7" t="n">
        <f aca="false">VALUE(RIGHT(Q127,2))</f>
        <v>24</v>
      </c>
      <c r="U127" s="7" t="s">
        <v>77</v>
      </c>
      <c r="V127" s="7" t="s">
        <v>78</v>
      </c>
    </row>
    <row r="128" customFormat="false" ht="23.25" hidden="false" customHeight="true" outlineLevel="0" collapsed="false">
      <c r="A128" s="7" t="n">
        <v>127</v>
      </c>
      <c r="B128" s="7" t="s">
        <v>979</v>
      </c>
      <c r="C128" s="7" t="s">
        <v>980</v>
      </c>
      <c r="D128" s="7" t="n">
        <f aca="false">VALUE(LEFT(B128,4))</f>
        <v>1961</v>
      </c>
      <c r="E128" s="7" t="n">
        <f aca="false">INT((D128-1)/100)+1</f>
        <v>20</v>
      </c>
      <c r="F128" s="7" t="s">
        <v>219</v>
      </c>
      <c r="G128" s="7" t="s">
        <v>981</v>
      </c>
      <c r="H128" s="7" t="s">
        <v>954</v>
      </c>
      <c r="I128" s="7" t="s">
        <v>982</v>
      </c>
      <c r="J128" s="7" t="s">
        <v>719</v>
      </c>
      <c r="K128" s="7"/>
      <c r="L128" s="7" t="s">
        <v>569</v>
      </c>
      <c r="M128" s="7"/>
      <c r="N128" s="7" t="s">
        <v>18</v>
      </c>
      <c r="O128" s="7" t="s">
        <v>94</v>
      </c>
      <c r="P128" s="7"/>
      <c r="Q128" s="7" t="s">
        <v>979</v>
      </c>
      <c r="R128" s="7" t="n">
        <f aca="false">VALUE(LEFT(Q128,4))</f>
        <v>1961</v>
      </c>
      <c r="S128" s="7" t="n">
        <f aca="false">VALUE(MID(Q128,6,2))</f>
        <v>2</v>
      </c>
      <c r="T128" s="7" t="n">
        <f aca="false">VALUE(RIGHT(Q128,2))</f>
        <v>3</v>
      </c>
      <c r="U128" s="7" t="s">
        <v>125</v>
      </c>
      <c r="V128" s="7" t="s">
        <v>126</v>
      </c>
    </row>
    <row r="129" customFormat="false" ht="45.75" hidden="false" customHeight="true" outlineLevel="0" collapsed="false">
      <c r="A129" s="7" t="n">
        <v>128</v>
      </c>
      <c r="B129" s="7" t="s">
        <v>983</v>
      </c>
      <c r="C129" s="7" t="s">
        <v>984</v>
      </c>
      <c r="D129" s="7" t="n">
        <f aca="false">VALUE(LEFT(B129,4))</f>
        <v>1962</v>
      </c>
      <c r="E129" s="7" t="n">
        <f aca="false">INT((D129-1)/100)+1</f>
        <v>20</v>
      </c>
      <c r="F129" s="7" t="s">
        <v>828</v>
      </c>
      <c r="G129" s="7" t="s">
        <v>985</v>
      </c>
      <c r="H129" s="7" t="s">
        <v>240</v>
      </c>
      <c r="I129" s="7" t="s">
        <v>986</v>
      </c>
      <c r="J129" s="7" t="s">
        <v>719</v>
      </c>
      <c r="K129" s="7" t="s">
        <v>987</v>
      </c>
      <c r="L129" s="7" t="s">
        <v>569</v>
      </c>
      <c r="M129" s="7"/>
      <c r="N129" s="7" t="s">
        <v>18</v>
      </c>
      <c r="O129" s="7" t="s">
        <v>94</v>
      </c>
      <c r="P129" s="7"/>
      <c r="Q129" s="7" t="s">
        <v>988</v>
      </c>
      <c r="R129" s="7" t="n">
        <f aca="false">VALUE(LEFT(Q129,4))</f>
        <v>1965</v>
      </c>
      <c r="S129" s="7" t="n">
        <f aca="false">VALUE(MID(Q129,6,2))</f>
        <v>8</v>
      </c>
      <c r="T129" s="7" t="n">
        <f aca="false">VALUE(RIGHT(Q129,2))</f>
        <v>15</v>
      </c>
      <c r="U129" s="7" t="s">
        <v>114</v>
      </c>
      <c r="V129" s="7" t="s">
        <v>989</v>
      </c>
    </row>
    <row r="130" customFormat="false" ht="23.25" hidden="false" customHeight="true" outlineLevel="0" collapsed="false">
      <c r="A130" s="7" t="n">
        <v>129</v>
      </c>
      <c r="B130" s="7" t="s">
        <v>990</v>
      </c>
      <c r="C130" s="7" t="s">
        <v>991</v>
      </c>
      <c r="D130" s="7" t="n">
        <f aca="false">VALUE(LEFT(B130,4))</f>
        <v>1964</v>
      </c>
      <c r="E130" s="7" t="n">
        <f aca="false">INT((D130-1)/100)+1</f>
        <v>20</v>
      </c>
      <c r="F130" s="7" t="s">
        <v>219</v>
      </c>
      <c r="G130" s="7" t="s">
        <v>992</v>
      </c>
      <c r="H130" s="7" t="s">
        <v>954</v>
      </c>
      <c r="I130" s="7" t="s">
        <v>993</v>
      </c>
      <c r="J130" s="7" t="s">
        <v>310</v>
      </c>
      <c r="K130" s="7" t="s">
        <v>994</v>
      </c>
      <c r="L130" s="7" t="s">
        <v>627</v>
      </c>
      <c r="M130" s="7" t="s">
        <v>628</v>
      </c>
      <c r="N130" s="7" t="s">
        <v>16</v>
      </c>
      <c r="O130" s="7" t="s">
        <v>75</v>
      </c>
      <c r="P130" s="7"/>
      <c r="Q130" s="7" t="s">
        <v>990</v>
      </c>
      <c r="R130" s="7" t="n">
        <f aca="false">VALUE(LEFT(Q130,4))</f>
        <v>1964</v>
      </c>
      <c r="S130" s="7" t="n">
        <f aca="false">VALUE(MID(Q130,6,2))</f>
        <v>1</v>
      </c>
      <c r="T130" s="7" t="n">
        <f aca="false">VALUE(RIGHT(Q130,2))</f>
        <v>13</v>
      </c>
      <c r="U130" s="7" t="s">
        <v>125</v>
      </c>
      <c r="V130" s="7" t="s">
        <v>126</v>
      </c>
    </row>
    <row r="131" customFormat="false" ht="23.25" hidden="false" customHeight="true" outlineLevel="0" collapsed="false">
      <c r="A131" s="7" t="n">
        <v>130</v>
      </c>
      <c r="B131" s="7" t="s">
        <v>995</v>
      </c>
      <c r="C131" s="7" t="s">
        <v>995</v>
      </c>
      <c r="D131" s="7" t="n">
        <f aca="false">VALUE(LEFT(B131,4))</f>
        <v>1964</v>
      </c>
      <c r="E131" s="7" t="n">
        <f aca="false">INT((D131-1)/100)+1</f>
        <v>20</v>
      </c>
      <c r="F131" s="7" t="s">
        <v>553</v>
      </c>
      <c r="G131" s="7" t="s">
        <v>996</v>
      </c>
      <c r="H131" s="7" t="s">
        <v>997</v>
      </c>
      <c r="I131" s="7" t="s">
        <v>998</v>
      </c>
      <c r="J131" s="7" t="s">
        <v>999</v>
      </c>
      <c r="K131" s="7" t="s">
        <v>1000</v>
      </c>
      <c r="L131" s="7" t="s">
        <v>1001</v>
      </c>
      <c r="M131" s="7" t="s">
        <v>1002</v>
      </c>
      <c r="N131" s="7" t="s">
        <v>16</v>
      </c>
      <c r="O131" s="7" t="s">
        <v>75</v>
      </c>
      <c r="P131" s="7" t="s">
        <v>1003</v>
      </c>
      <c r="Q131" s="7" t="s">
        <v>995</v>
      </c>
      <c r="R131" s="7" t="n">
        <f aca="false">VALUE(LEFT(Q131,4))</f>
        <v>1964</v>
      </c>
      <c r="S131" s="7" t="n">
        <f aca="false">VALUE(MID(Q131,6,2))</f>
        <v>3</v>
      </c>
      <c r="T131" s="7" t="n">
        <f aca="false">VALUE(RIGHT(Q131,2))</f>
        <v>6</v>
      </c>
      <c r="U131" s="7" t="s">
        <v>77</v>
      </c>
      <c r="V131" s="7" t="s">
        <v>78</v>
      </c>
    </row>
    <row r="132" customFormat="false" ht="23.25" hidden="false" customHeight="true" outlineLevel="0" collapsed="false">
      <c r="A132" s="7" t="n">
        <v>131</v>
      </c>
      <c r="B132" s="7" t="s">
        <v>1004</v>
      </c>
      <c r="C132" s="7" t="s">
        <v>1005</v>
      </c>
      <c r="D132" s="7" t="n">
        <f aca="false">VALUE(LEFT(B132,4))</f>
        <v>1964</v>
      </c>
      <c r="E132" s="7" t="n">
        <f aca="false">INT((D132-1)/100)+1</f>
        <v>20</v>
      </c>
      <c r="F132" s="7" t="s">
        <v>818</v>
      </c>
      <c r="G132" s="7" t="s">
        <v>1006</v>
      </c>
      <c r="H132" s="7" t="s">
        <v>1007</v>
      </c>
      <c r="I132" s="7" t="s">
        <v>1008</v>
      </c>
      <c r="J132" s="7" t="s">
        <v>719</v>
      </c>
      <c r="K132" s="7" t="s">
        <v>1009</v>
      </c>
      <c r="L132" s="7" t="s">
        <v>627</v>
      </c>
      <c r="M132" s="7" t="s">
        <v>628</v>
      </c>
      <c r="N132" s="7" t="s">
        <v>16</v>
      </c>
      <c r="O132" s="7" t="s">
        <v>75</v>
      </c>
      <c r="P132" s="7"/>
      <c r="Q132" s="7" t="s">
        <v>1004</v>
      </c>
      <c r="R132" s="7" t="n">
        <f aca="false">VALUE(LEFT(Q132,4))</f>
        <v>1964</v>
      </c>
      <c r="S132" s="7" t="n">
        <f aca="false">VALUE(MID(Q132,6,2))</f>
        <v>12</v>
      </c>
      <c r="T132" s="7" t="n">
        <f aca="false">VALUE(RIGHT(Q132,2))</f>
        <v>4</v>
      </c>
      <c r="U132" s="7" t="s">
        <v>125</v>
      </c>
      <c r="V132" s="7" t="s">
        <v>126</v>
      </c>
    </row>
    <row r="133" customFormat="false" ht="23.25" hidden="false" customHeight="true" outlineLevel="0" collapsed="false">
      <c r="A133" s="7" t="n">
        <v>132</v>
      </c>
      <c r="B133" s="7" t="s">
        <v>1010</v>
      </c>
      <c r="C133" s="7" t="s">
        <v>1011</v>
      </c>
      <c r="D133" s="7" t="n">
        <f aca="false">VALUE(LEFT(B133,4))</f>
        <v>1966</v>
      </c>
      <c r="E133" s="7" t="n">
        <f aca="false">INT((D133-1)/100)+1</f>
        <v>20</v>
      </c>
      <c r="F133" s="7" t="s">
        <v>219</v>
      </c>
      <c r="G133" s="7" t="s">
        <v>1012</v>
      </c>
      <c r="H133" s="7" t="s">
        <v>1013</v>
      </c>
      <c r="I133" s="7" t="s">
        <v>1014</v>
      </c>
      <c r="J133" s="7" t="s">
        <v>310</v>
      </c>
      <c r="K133" s="7" t="s">
        <v>1015</v>
      </c>
      <c r="L133" s="7" t="s">
        <v>627</v>
      </c>
      <c r="M133" s="7" t="s">
        <v>628</v>
      </c>
      <c r="N133" s="7" t="s">
        <v>16</v>
      </c>
      <c r="O133" s="7" t="s">
        <v>75</v>
      </c>
      <c r="P133" s="7"/>
      <c r="Q133" s="7" t="s">
        <v>1010</v>
      </c>
      <c r="R133" s="7" t="n">
        <f aca="false">VALUE(LEFT(Q133,4))</f>
        <v>1966</v>
      </c>
      <c r="S133" s="7" t="n">
        <f aca="false">VALUE(MID(Q133,6,2))</f>
        <v>1</v>
      </c>
      <c r="T133" s="7" t="n">
        <f aca="false">VALUE(RIGHT(Q133,2))</f>
        <v>29</v>
      </c>
      <c r="U133" s="7" t="s">
        <v>125</v>
      </c>
      <c r="V133" s="7" t="s">
        <v>126</v>
      </c>
    </row>
    <row r="134" customFormat="false" ht="23.25" hidden="false" customHeight="true" outlineLevel="0" collapsed="false">
      <c r="A134" s="7" t="n">
        <v>133</v>
      </c>
      <c r="B134" s="7" t="s">
        <v>1016</v>
      </c>
      <c r="C134" s="7" t="s">
        <v>1017</v>
      </c>
      <c r="D134" s="7" t="n">
        <f aca="false">VALUE(LEFT(B134,4))</f>
        <v>1966</v>
      </c>
      <c r="E134" s="7" t="n">
        <f aca="false">INT((D134-1)/100)+1</f>
        <v>20</v>
      </c>
      <c r="F134" s="7" t="s">
        <v>1018</v>
      </c>
      <c r="G134" s="7" t="s">
        <v>1019</v>
      </c>
      <c r="H134" s="7" t="s">
        <v>954</v>
      </c>
      <c r="I134" s="7" t="s">
        <v>1020</v>
      </c>
      <c r="J134" s="7" t="s">
        <v>719</v>
      </c>
      <c r="K134" s="7" t="s">
        <v>1021</v>
      </c>
      <c r="L134" s="7" t="s">
        <v>569</v>
      </c>
      <c r="M134" s="7"/>
      <c r="N134" s="7" t="s">
        <v>18</v>
      </c>
      <c r="O134" s="7" t="s">
        <v>94</v>
      </c>
      <c r="P134" s="7"/>
      <c r="Q134" s="7" t="s">
        <v>1022</v>
      </c>
      <c r="R134" s="7" t="n">
        <f aca="false">VALUE(LEFT(Q134,4))</f>
        <v>1966</v>
      </c>
      <c r="S134" s="7" t="n">
        <f aca="false">VALUE(MID(Q134,6,2))</f>
        <v>7</v>
      </c>
      <c r="T134" s="7" t="n">
        <f aca="false">VALUE(RIGHT(Q134,2))</f>
        <v>3</v>
      </c>
      <c r="U134" s="7" t="s">
        <v>125</v>
      </c>
      <c r="V134" s="7" t="s">
        <v>1023</v>
      </c>
    </row>
    <row r="135" customFormat="false" ht="23.25" hidden="false" customHeight="true" outlineLevel="0" collapsed="false">
      <c r="A135" s="7" t="n">
        <v>134</v>
      </c>
      <c r="B135" s="7" t="s">
        <v>1024</v>
      </c>
      <c r="C135" s="7" t="s">
        <v>1025</v>
      </c>
      <c r="D135" s="7" t="n">
        <f aca="false">VALUE(LEFT(B135,4))</f>
        <v>1969</v>
      </c>
      <c r="E135" s="7" t="n">
        <f aca="false">INT((D135-1)/100)+1</f>
        <v>20</v>
      </c>
      <c r="F135" s="7" t="s">
        <v>139</v>
      </c>
      <c r="G135" s="7" t="s">
        <v>1026</v>
      </c>
      <c r="H135" s="7" t="s">
        <v>954</v>
      </c>
      <c r="I135" s="7" t="s">
        <v>1027</v>
      </c>
      <c r="J135" s="7" t="s">
        <v>310</v>
      </c>
      <c r="K135" s="7" t="s">
        <v>1028</v>
      </c>
      <c r="L135" s="7" t="s">
        <v>627</v>
      </c>
      <c r="M135" s="7" t="s">
        <v>628</v>
      </c>
      <c r="N135" s="7" t="s">
        <v>16</v>
      </c>
      <c r="O135" s="7" t="s">
        <v>75</v>
      </c>
      <c r="P135" s="7"/>
      <c r="Q135" s="7" t="s">
        <v>1024</v>
      </c>
      <c r="R135" s="7" t="n">
        <f aca="false">VALUE(LEFT(Q135,4))</f>
        <v>1969</v>
      </c>
      <c r="S135" s="7" t="n">
        <f aca="false">VALUE(MID(Q135,6,2))</f>
        <v>12</v>
      </c>
      <c r="T135" s="7" t="n">
        <f aca="false">VALUE(RIGHT(Q135,2))</f>
        <v>25</v>
      </c>
      <c r="U135" s="7" t="s">
        <v>125</v>
      </c>
      <c r="V135" s="7" t="s">
        <v>126</v>
      </c>
    </row>
    <row r="136" customFormat="false" ht="23.25" hidden="false" customHeight="true" outlineLevel="0" collapsed="false">
      <c r="A136" s="7" t="n">
        <v>135</v>
      </c>
      <c r="B136" s="7" t="s">
        <v>1029</v>
      </c>
      <c r="C136" s="7" t="s">
        <v>1029</v>
      </c>
      <c r="D136" s="7" t="n">
        <f aca="false">VALUE(LEFT(B136,4))</f>
        <v>1971</v>
      </c>
      <c r="E136" s="7" t="n">
        <f aca="false">INT((D136-1)/100)+1</f>
        <v>20</v>
      </c>
      <c r="F136" s="7" t="s">
        <v>238</v>
      </c>
      <c r="G136" s="7" t="s">
        <v>1030</v>
      </c>
      <c r="H136" s="7" t="s">
        <v>310</v>
      </c>
      <c r="I136" s="7" t="s">
        <v>1031</v>
      </c>
      <c r="J136" s="7" t="s">
        <v>310</v>
      </c>
      <c r="K136" s="7"/>
      <c r="L136" s="7" t="s">
        <v>569</v>
      </c>
      <c r="M136" s="7"/>
      <c r="N136" s="7" t="s">
        <v>18</v>
      </c>
      <c r="O136" s="7" t="s">
        <v>94</v>
      </c>
      <c r="P136" s="7" t="s">
        <v>1032</v>
      </c>
      <c r="Q136" s="7" t="s">
        <v>1029</v>
      </c>
      <c r="R136" s="7" t="n">
        <f aca="false">VALUE(LEFT(Q136,4))</f>
        <v>1971</v>
      </c>
      <c r="S136" s="7" t="n">
        <f aca="false">VALUE(MID(Q136,6,2))</f>
        <v>1</v>
      </c>
      <c r="T136" s="7" t="n">
        <f aca="false">VALUE(RIGHT(Q136,2))</f>
        <v>19</v>
      </c>
      <c r="U136" s="7" t="s">
        <v>77</v>
      </c>
      <c r="V136" s="7" t="s">
        <v>78</v>
      </c>
    </row>
    <row r="137" customFormat="false" ht="23.25" hidden="false" customHeight="true" outlineLevel="0" collapsed="false">
      <c r="A137" s="7" t="n">
        <v>136</v>
      </c>
      <c r="B137" s="7" t="s">
        <v>1033</v>
      </c>
      <c r="C137" s="7" t="s">
        <v>1034</v>
      </c>
      <c r="D137" s="7" t="n">
        <f aca="false">VALUE(LEFT(B137,4))</f>
        <v>1971</v>
      </c>
      <c r="E137" s="7" t="n">
        <f aca="false">INT((D137-1)/100)+1</f>
        <v>20</v>
      </c>
      <c r="F137" s="7" t="s">
        <v>139</v>
      </c>
      <c r="G137" s="7" t="s">
        <v>1035</v>
      </c>
      <c r="H137" s="7" t="s">
        <v>1036</v>
      </c>
      <c r="I137" s="7" t="s">
        <v>1037</v>
      </c>
      <c r="J137" s="7" t="s">
        <v>310</v>
      </c>
      <c r="K137" s="7" t="s">
        <v>1038</v>
      </c>
      <c r="L137" s="7" t="s">
        <v>627</v>
      </c>
      <c r="M137" s="7" t="s">
        <v>628</v>
      </c>
      <c r="N137" s="7" t="s">
        <v>16</v>
      </c>
      <c r="O137" s="7" t="s">
        <v>75</v>
      </c>
      <c r="P137" s="7"/>
      <c r="Q137" s="7" t="s">
        <v>1033</v>
      </c>
      <c r="R137" s="7" t="n">
        <f aca="false">VALUE(LEFT(Q137,4))</f>
        <v>1971</v>
      </c>
      <c r="S137" s="7" t="n">
        <f aca="false">VALUE(MID(Q137,6,2))</f>
        <v>11</v>
      </c>
      <c r="T137" s="7" t="n">
        <f aca="false">VALUE(RIGHT(Q137,2))</f>
        <v>24</v>
      </c>
      <c r="U137" s="7" t="s">
        <v>125</v>
      </c>
      <c r="V137" s="7" t="s">
        <v>126</v>
      </c>
    </row>
    <row r="138" customFormat="false" ht="23.25" hidden="false" customHeight="true" outlineLevel="0" collapsed="false">
      <c r="A138" s="7" t="n">
        <v>137</v>
      </c>
      <c r="B138" s="7" t="s">
        <v>1039</v>
      </c>
      <c r="C138" s="7" t="s">
        <v>1040</v>
      </c>
      <c r="D138" s="7" t="n">
        <f aca="false">VALUE(LEFT(B138,4))</f>
        <v>1972</v>
      </c>
      <c r="E138" s="7" t="n">
        <f aca="false">INT((D138-1)/100)+1</f>
        <v>20</v>
      </c>
      <c r="F138" s="7" t="s">
        <v>97</v>
      </c>
      <c r="G138" s="7" t="s">
        <v>1041</v>
      </c>
      <c r="H138" s="7" t="s">
        <v>1042</v>
      </c>
      <c r="I138" s="7" t="s">
        <v>1043</v>
      </c>
      <c r="J138" s="7" t="s">
        <v>942</v>
      </c>
      <c r="K138" s="7" t="s">
        <v>1044</v>
      </c>
      <c r="L138" s="7" t="s">
        <v>627</v>
      </c>
      <c r="M138" s="7" t="s">
        <v>628</v>
      </c>
      <c r="N138" s="7" t="s">
        <v>16</v>
      </c>
      <c r="O138" s="7" t="s">
        <v>75</v>
      </c>
      <c r="P138" s="7"/>
      <c r="Q138" s="7" t="s">
        <v>1039</v>
      </c>
      <c r="R138" s="7" t="n">
        <f aca="false">VALUE(LEFT(Q138,4))</f>
        <v>1972</v>
      </c>
      <c r="S138" s="7" t="n">
        <f aca="false">VALUE(MID(Q138,6,2))</f>
        <v>6</v>
      </c>
      <c r="T138" s="7" t="n">
        <f aca="false">VALUE(RIGHT(Q138,2))</f>
        <v>19</v>
      </c>
      <c r="U138" s="7" t="s">
        <v>125</v>
      </c>
      <c r="V138" s="7" t="s">
        <v>126</v>
      </c>
    </row>
    <row r="139" customFormat="false" ht="23.25" hidden="false" customHeight="true" outlineLevel="0" collapsed="false">
      <c r="A139" s="7" t="n">
        <v>138</v>
      </c>
      <c r="B139" s="7" t="s">
        <v>1045</v>
      </c>
      <c r="C139" s="7" t="s">
        <v>1045</v>
      </c>
      <c r="D139" s="7" t="n">
        <f aca="false">VALUE(LEFT(B139,4))</f>
        <v>1973</v>
      </c>
      <c r="E139" s="7" t="n">
        <f aca="false">INT((D139-1)/100)+1</f>
        <v>20</v>
      </c>
      <c r="F139" s="7" t="s">
        <v>971</v>
      </c>
      <c r="G139" s="7" t="s">
        <v>1046</v>
      </c>
      <c r="H139" s="7" t="s">
        <v>1047</v>
      </c>
      <c r="I139" s="7" t="s">
        <v>1048</v>
      </c>
      <c r="J139" s="7" t="s">
        <v>975</v>
      </c>
      <c r="K139" s="7" t="s">
        <v>976</v>
      </c>
      <c r="L139" s="7" t="s">
        <v>977</v>
      </c>
      <c r="M139" s="7" t="s">
        <v>978</v>
      </c>
      <c r="N139" s="7" t="s">
        <v>16</v>
      </c>
      <c r="O139" s="7" t="s">
        <v>75</v>
      </c>
      <c r="P139" s="7"/>
      <c r="Q139" s="7" t="s">
        <v>1045</v>
      </c>
      <c r="R139" s="7" t="n">
        <f aca="false">VALUE(LEFT(Q139,4))</f>
        <v>1973</v>
      </c>
      <c r="S139" s="7" t="n">
        <f aca="false">VALUE(MID(Q139,6,2))</f>
        <v>8</v>
      </c>
      <c r="T139" s="7" t="n">
        <f aca="false">VALUE(RIGHT(Q139,2))</f>
        <v>28</v>
      </c>
      <c r="U139" s="7" t="s">
        <v>77</v>
      </c>
      <c r="V139" s="7" t="s">
        <v>78</v>
      </c>
    </row>
    <row r="140" customFormat="false" ht="23.25" hidden="false" customHeight="true" outlineLevel="0" collapsed="false">
      <c r="A140" s="7" t="n">
        <v>139</v>
      </c>
      <c r="B140" s="7" t="s">
        <v>1049</v>
      </c>
      <c r="C140" s="7" t="s">
        <v>1050</v>
      </c>
      <c r="D140" s="7" t="n">
        <f aca="false">VALUE(LEFT(B140,4))</f>
        <v>1973</v>
      </c>
      <c r="E140" s="7" t="n">
        <f aca="false">INT((D140-1)/100)+1</f>
        <v>20</v>
      </c>
      <c r="F140" s="7" t="s">
        <v>818</v>
      </c>
      <c r="G140" s="7" t="s">
        <v>1051</v>
      </c>
      <c r="H140" s="7" t="s">
        <v>1052</v>
      </c>
      <c r="I140" s="7" t="s">
        <v>1053</v>
      </c>
      <c r="J140" s="7" t="s">
        <v>719</v>
      </c>
      <c r="K140" s="7"/>
      <c r="L140" s="7" t="s">
        <v>569</v>
      </c>
      <c r="M140" s="7"/>
      <c r="N140" s="7" t="s">
        <v>20</v>
      </c>
      <c r="O140" s="7" t="s">
        <v>94</v>
      </c>
      <c r="P140" s="7" t="s">
        <v>1054</v>
      </c>
      <c r="Q140" s="7" t="s">
        <v>1049</v>
      </c>
      <c r="R140" s="7" t="n">
        <f aca="false">VALUE(LEFT(Q140,4))</f>
        <v>1973</v>
      </c>
      <c r="S140" s="7" t="n">
        <f aca="false">VALUE(MID(Q140,6,2))</f>
        <v>12</v>
      </c>
      <c r="T140" s="7" t="n">
        <f aca="false">VALUE(RIGHT(Q140,2))</f>
        <v>16</v>
      </c>
      <c r="U140" s="7" t="s">
        <v>125</v>
      </c>
      <c r="V140" s="7" t="s">
        <v>126</v>
      </c>
    </row>
    <row r="141" customFormat="false" ht="23.25" hidden="false" customHeight="true" outlineLevel="0" collapsed="false">
      <c r="A141" s="7" t="n">
        <v>140</v>
      </c>
      <c r="B141" s="7" t="s">
        <v>1055</v>
      </c>
      <c r="C141" s="7" t="s">
        <v>1055</v>
      </c>
      <c r="D141" s="7" t="n">
        <f aca="false">VALUE(LEFT(B141,4))</f>
        <v>1974</v>
      </c>
      <c r="E141" s="7" t="n">
        <f aca="false">INT((D141-1)/100)+1</f>
        <v>20</v>
      </c>
      <c r="F141" s="7" t="s">
        <v>971</v>
      </c>
      <c r="G141" s="7" t="s">
        <v>1056</v>
      </c>
      <c r="H141" s="7" t="s">
        <v>1057</v>
      </c>
      <c r="I141" s="7" t="s">
        <v>1058</v>
      </c>
      <c r="J141" s="7" t="s">
        <v>975</v>
      </c>
      <c r="K141" s="7" t="s">
        <v>976</v>
      </c>
      <c r="L141" s="7" t="s">
        <v>977</v>
      </c>
      <c r="M141" s="7" t="s">
        <v>978</v>
      </c>
      <c r="N141" s="7" t="s">
        <v>16</v>
      </c>
      <c r="O141" s="7" t="s">
        <v>75</v>
      </c>
      <c r="P141" s="7"/>
      <c r="Q141" s="7" t="s">
        <v>1055</v>
      </c>
      <c r="R141" s="7" t="n">
        <f aca="false">VALUE(LEFT(Q141,4))</f>
        <v>1974</v>
      </c>
      <c r="S141" s="7" t="n">
        <f aca="false">VALUE(MID(Q141,6,2))</f>
        <v>6</v>
      </c>
      <c r="T141" s="7" t="n">
        <f aca="false">VALUE(RIGHT(Q141,2))</f>
        <v>16</v>
      </c>
      <c r="U141" s="7" t="s">
        <v>77</v>
      </c>
      <c r="V141" s="7" t="s">
        <v>78</v>
      </c>
    </row>
    <row r="142" customFormat="false" ht="135.75" hidden="false" customHeight="true" outlineLevel="0" collapsed="false">
      <c r="A142" s="7" t="n">
        <v>141</v>
      </c>
      <c r="B142" s="7" t="s">
        <v>337</v>
      </c>
      <c r="C142" s="7" t="s">
        <v>337</v>
      </c>
      <c r="D142" s="7" t="n">
        <f aca="false">VALUE(LEFT(B142,4))</f>
        <v>1975</v>
      </c>
      <c r="E142" s="7" t="n">
        <f aca="false">INT((D142-1)/100)+1</f>
        <v>20</v>
      </c>
      <c r="F142" s="7" t="s">
        <v>726</v>
      </c>
      <c r="G142" s="7" t="s">
        <v>1059</v>
      </c>
      <c r="H142" s="7" t="s">
        <v>1060</v>
      </c>
      <c r="I142" s="7" t="s">
        <v>1061</v>
      </c>
      <c r="J142" s="7" t="s">
        <v>1062</v>
      </c>
      <c r="K142" s="7" t="s">
        <v>1063</v>
      </c>
      <c r="L142" s="7" t="s">
        <v>1064</v>
      </c>
      <c r="M142" s="7" t="s">
        <v>733</v>
      </c>
      <c r="N142" s="7" t="s">
        <v>18</v>
      </c>
      <c r="O142" s="7" t="s">
        <v>75</v>
      </c>
      <c r="P142" s="7" t="s">
        <v>1065</v>
      </c>
      <c r="Q142" s="7" t="s">
        <v>337</v>
      </c>
      <c r="R142" s="7" t="n">
        <f aca="false">VALUE(LEFT(Q142,4))</f>
        <v>1975</v>
      </c>
      <c r="S142" s="7" t="n">
        <f aca="false">VALUE(MID(Q142,6,2))</f>
        <v>5</v>
      </c>
      <c r="T142" s="7" t="n">
        <f aca="false">VALUE(RIGHT(Q142,2))</f>
        <v>15</v>
      </c>
      <c r="U142" s="7" t="s">
        <v>77</v>
      </c>
      <c r="V142" s="7" t="s">
        <v>78</v>
      </c>
    </row>
    <row r="143" customFormat="false" ht="23.25" hidden="false" customHeight="true" outlineLevel="0" collapsed="false">
      <c r="A143" s="7" t="n">
        <v>142</v>
      </c>
      <c r="B143" s="7" t="s">
        <v>1066</v>
      </c>
      <c r="C143" s="7" t="s">
        <v>1067</v>
      </c>
      <c r="D143" s="7" t="n">
        <f aca="false">VALUE(LEFT(B143,4))</f>
        <v>1975</v>
      </c>
      <c r="E143" s="7" t="n">
        <f aca="false">INT((D143-1)/100)+1</f>
        <v>20</v>
      </c>
      <c r="F143" s="7" t="s">
        <v>97</v>
      </c>
      <c r="G143" s="7" t="s">
        <v>1068</v>
      </c>
      <c r="H143" s="7" t="s">
        <v>1069</v>
      </c>
      <c r="I143" s="7" t="s">
        <v>1070</v>
      </c>
      <c r="J143" s="7" t="s">
        <v>719</v>
      </c>
      <c r="K143" s="7"/>
      <c r="L143" s="7" t="s">
        <v>627</v>
      </c>
      <c r="M143" s="7" t="s">
        <v>628</v>
      </c>
      <c r="N143" s="7" t="s">
        <v>18</v>
      </c>
      <c r="O143" s="7" t="s">
        <v>75</v>
      </c>
      <c r="P143" s="7"/>
      <c r="Q143" s="7" t="s">
        <v>1066</v>
      </c>
      <c r="R143" s="7" t="n">
        <f aca="false">VALUE(LEFT(Q143,4))</f>
        <v>1975</v>
      </c>
      <c r="S143" s="7" t="n">
        <f aca="false">VALUE(MID(Q143,6,2))</f>
        <v>9</v>
      </c>
      <c r="T143" s="7" t="n">
        <f aca="false">VALUE(RIGHT(Q143,2))</f>
        <v>24</v>
      </c>
      <c r="U143" s="7" t="s">
        <v>125</v>
      </c>
      <c r="V143" s="7" t="s">
        <v>126</v>
      </c>
    </row>
    <row r="144" customFormat="false" ht="23.25" hidden="false" customHeight="true" outlineLevel="0" collapsed="false">
      <c r="A144" s="7" t="n">
        <v>143</v>
      </c>
      <c r="B144" s="7" t="s">
        <v>1071</v>
      </c>
      <c r="C144" s="7" t="s">
        <v>1072</v>
      </c>
      <c r="D144" s="7" t="n">
        <f aca="false">VALUE(LEFT(B144,4))</f>
        <v>1976</v>
      </c>
      <c r="E144" s="7" t="n">
        <f aca="false">INT((D144-1)/100)+1</f>
        <v>20</v>
      </c>
      <c r="F144" s="7" t="s">
        <v>553</v>
      </c>
      <c r="G144" s="7" t="s">
        <v>1073</v>
      </c>
      <c r="H144" s="7" t="s">
        <v>1074</v>
      </c>
      <c r="I144" s="7" t="s">
        <v>1075</v>
      </c>
      <c r="J144" s="7" t="s">
        <v>332</v>
      </c>
      <c r="K144" s="7" t="s">
        <v>1076</v>
      </c>
      <c r="L144" s="7" t="s">
        <v>1001</v>
      </c>
      <c r="M144" s="7" t="s">
        <v>1002</v>
      </c>
      <c r="N144" s="7" t="s">
        <v>18</v>
      </c>
      <c r="O144" s="7" t="s">
        <v>75</v>
      </c>
      <c r="P144" s="7" t="s">
        <v>1077</v>
      </c>
      <c r="Q144" s="7" t="s">
        <v>1078</v>
      </c>
      <c r="R144" s="7" t="n">
        <f aca="false">VALUE(LEFT(Q144,4))</f>
        <v>1976</v>
      </c>
      <c r="S144" s="7" t="n">
        <f aca="false">VALUE(MID(Q144,6,2))</f>
        <v>2</v>
      </c>
      <c r="T144" s="7" t="n">
        <f aca="false">VALUE(RIGHT(Q144,2))</f>
        <v>22</v>
      </c>
      <c r="U144" s="7" t="s">
        <v>317</v>
      </c>
      <c r="V144" s="7" t="s">
        <v>318</v>
      </c>
    </row>
    <row r="145" customFormat="false" ht="23.25" hidden="false" customHeight="true" outlineLevel="0" collapsed="false">
      <c r="A145" s="7" t="n">
        <v>144</v>
      </c>
      <c r="B145" s="7" t="s">
        <v>1079</v>
      </c>
      <c r="C145" s="7" t="s">
        <v>1079</v>
      </c>
      <c r="D145" s="7" t="n">
        <f aca="false">VALUE(LEFT(B145,4))</f>
        <v>1976</v>
      </c>
      <c r="E145" s="7" t="n">
        <f aca="false">INT((D145-1)/100)+1</f>
        <v>20</v>
      </c>
      <c r="F145" s="7" t="s">
        <v>1080</v>
      </c>
      <c r="G145" s="7" t="s">
        <v>1081</v>
      </c>
      <c r="H145" s="7" t="s">
        <v>310</v>
      </c>
      <c r="I145" s="7" t="s">
        <v>1082</v>
      </c>
      <c r="J145" s="7" t="s">
        <v>310</v>
      </c>
      <c r="K145" s="7" t="s">
        <v>1083</v>
      </c>
      <c r="L145" s="7" t="s">
        <v>627</v>
      </c>
      <c r="M145" s="7" t="s">
        <v>628</v>
      </c>
      <c r="N145" s="7" t="s">
        <v>16</v>
      </c>
      <c r="O145" s="7" t="s">
        <v>75</v>
      </c>
      <c r="P145" s="7"/>
      <c r="Q145" s="7" t="s">
        <v>1079</v>
      </c>
      <c r="R145" s="7" t="n">
        <f aca="false">VALUE(LEFT(Q145,4))</f>
        <v>1976</v>
      </c>
      <c r="S145" s="7" t="n">
        <f aca="false">VALUE(MID(Q145,6,2))</f>
        <v>2</v>
      </c>
      <c r="T145" s="7" t="n">
        <f aca="false">VALUE(RIGHT(Q145,2))</f>
        <v>2</v>
      </c>
      <c r="U145" s="7" t="s">
        <v>77</v>
      </c>
      <c r="V145" s="7" t="s">
        <v>78</v>
      </c>
    </row>
    <row r="146" customFormat="false" ht="23.25" hidden="false" customHeight="true" outlineLevel="0" collapsed="false">
      <c r="A146" s="7" t="n">
        <v>145</v>
      </c>
      <c r="B146" s="7" t="s">
        <v>1084</v>
      </c>
      <c r="C146" s="7" t="s">
        <v>1085</v>
      </c>
      <c r="D146" s="7" t="n">
        <f aca="false">VALUE(LEFT(B146,4))</f>
        <v>1977</v>
      </c>
      <c r="E146" s="7" t="n">
        <f aca="false">INT((D146-1)/100)+1</f>
        <v>20</v>
      </c>
      <c r="F146" s="7" t="s">
        <v>106</v>
      </c>
      <c r="G146" s="7" t="s">
        <v>1086</v>
      </c>
      <c r="H146" s="7" t="s">
        <v>717</v>
      </c>
      <c r="I146" s="7" t="s">
        <v>1087</v>
      </c>
      <c r="J146" s="7" t="s">
        <v>719</v>
      </c>
      <c r="K146" s="7" t="s">
        <v>1088</v>
      </c>
      <c r="L146" s="7" t="s">
        <v>569</v>
      </c>
      <c r="M146" s="7"/>
      <c r="N146" s="7" t="s">
        <v>18</v>
      </c>
      <c r="O146" s="7" t="s">
        <v>94</v>
      </c>
      <c r="P146" s="7"/>
      <c r="Q146" s="7" t="s">
        <v>1089</v>
      </c>
      <c r="R146" s="7" t="n">
        <f aca="false">VALUE(LEFT(Q146,4))</f>
        <v>1977</v>
      </c>
      <c r="S146" s="7" t="n">
        <f aca="false">VALUE(MID(Q146,6,2))</f>
        <v>1</v>
      </c>
      <c r="T146" s="7" t="n">
        <f aca="false">VALUE(RIGHT(Q146,2))</f>
        <v>17</v>
      </c>
      <c r="U146" s="7" t="s">
        <v>317</v>
      </c>
      <c r="V146" s="7" t="s">
        <v>1090</v>
      </c>
    </row>
    <row r="147" customFormat="false" ht="23.25" hidden="false" customHeight="true" outlineLevel="0" collapsed="false">
      <c r="A147" s="7" t="n">
        <v>146</v>
      </c>
      <c r="B147" s="7" t="s">
        <v>1091</v>
      </c>
      <c r="C147" s="7" t="s">
        <v>1092</v>
      </c>
      <c r="D147" s="7" t="n">
        <f aca="false">VALUE(LEFT(B147,4))</f>
        <v>1977</v>
      </c>
      <c r="E147" s="7" t="n">
        <f aca="false">INT((D147-1)/100)+1</f>
        <v>20</v>
      </c>
      <c r="F147" s="7" t="s">
        <v>766</v>
      </c>
      <c r="G147" s="7" t="s">
        <v>1093</v>
      </c>
      <c r="H147" s="7" t="s">
        <v>1094</v>
      </c>
      <c r="I147" s="7" t="s">
        <v>1095</v>
      </c>
      <c r="J147" s="7" t="s">
        <v>907</v>
      </c>
      <c r="K147" s="7" t="s">
        <v>1096</v>
      </c>
      <c r="L147" s="7" t="s">
        <v>627</v>
      </c>
      <c r="M147" s="7" t="s">
        <v>628</v>
      </c>
      <c r="N147" s="7" t="s">
        <v>16</v>
      </c>
      <c r="O147" s="7" t="s">
        <v>75</v>
      </c>
      <c r="P147" s="7"/>
      <c r="Q147" s="7" t="s">
        <v>1091</v>
      </c>
      <c r="R147" s="7" t="n">
        <f aca="false">VALUE(LEFT(Q147,4))</f>
        <v>1977</v>
      </c>
      <c r="S147" s="7" t="n">
        <f aca="false">VALUE(MID(Q147,6,2))</f>
        <v>3</v>
      </c>
      <c r="T147" s="7" t="n">
        <f aca="false">VALUE(RIGHT(Q147,2))</f>
        <v>13</v>
      </c>
      <c r="U147" s="7" t="s">
        <v>125</v>
      </c>
      <c r="V147" s="7" t="s">
        <v>126</v>
      </c>
    </row>
    <row r="148" customFormat="false" ht="23.25" hidden="false" customHeight="true" outlineLevel="0" collapsed="false">
      <c r="A148" s="7" t="n">
        <v>147</v>
      </c>
      <c r="B148" s="7" t="s">
        <v>1097</v>
      </c>
      <c r="C148" s="7" t="s">
        <v>1098</v>
      </c>
      <c r="D148" s="7" t="n">
        <f aca="false">VALUE(LEFT(B148,4))</f>
        <v>1978</v>
      </c>
      <c r="E148" s="7" t="n">
        <f aca="false">INT((D148-1)/100)+1</f>
        <v>20</v>
      </c>
      <c r="F148" s="7" t="s">
        <v>1099</v>
      </c>
      <c r="G148" s="7" t="s">
        <v>1100</v>
      </c>
      <c r="H148" s="7" t="s">
        <v>1101</v>
      </c>
      <c r="I148" s="7" t="s">
        <v>1102</v>
      </c>
      <c r="J148" s="7" t="s">
        <v>871</v>
      </c>
      <c r="K148" s="7" t="s">
        <v>1103</v>
      </c>
      <c r="L148" s="7" t="s">
        <v>627</v>
      </c>
      <c r="M148" s="7" t="s">
        <v>628</v>
      </c>
      <c r="N148" s="7" t="s">
        <v>16</v>
      </c>
      <c r="O148" s="7" t="s">
        <v>75</v>
      </c>
      <c r="P148" s="7"/>
      <c r="Q148" s="7" t="s">
        <v>1104</v>
      </c>
      <c r="R148" s="7" t="n">
        <f aca="false">VALUE(LEFT(Q148,4))</f>
        <v>1978</v>
      </c>
      <c r="S148" s="7" t="n">
        <f aca="false">VALUE(MID(Q148,6,2))</f>
        <v>1</v>
      </c>
      <c r="T148" s="7" t="n">
        <f aca="false">VALUE(RIGHT(Q148,2))</f>
        <v>16</v>
      </c>
      <c r="U148" s="7" t="s">
        <v>317</v>
      </c>
      <c r="V148" s="7" t="s">
        <v>318</v>
      </c>
    </row>
    <row r="149" customFormat="false" ht="23.25" hidden="false" customHeight="true" outlineLevel="0" collapsed="false">
      <c r="A149" s="7" t="n">
        <v>148</v>
      </c>
      <c r="B149" s="7" t="s">
        <v>1105</v>
      </c>
      <c r="C149" s="7" t="s">
        <v>1106</v>
      </c>
      <c r="D149" s="7" t="n">
        <f aca="false">VALUE(LEFT(B149,4))</f>
        <v>1978</v>
      </c>
      <c r="E149" s="7" t="n">
        <f aca="false">INT((D149-1)/100)+1</f>
        <v>20</v>
      </c>
      <c r="F149" s="7" t="s">
        <v>219</v>
      </c>
      <c r="G149" s="7" t="s">
        <v>1107</v>
      </c>
      <c r="H149" s="7" t="s">
        <v>954</v>
      </c>
      <c r="I149" s="7" t="s">
        <v>1108</v>
      </c>
      <c r="J149" s="7" t="s">
        <v>310</v>
      </c>
      <c r="K149" s="7" t="s">
        <v>1109</v>
      </c>
      <c r="L149" s="7" t="s">
        <v>627</v>
      </c>
      <c r="M149" s="7" t="s">
        <v>628</v>
      </c>
      <c r="N149" s="7" t="s">
        <v>16</v>
      </c>
      <c r="O149" s="7" t="s">
        <v>75</v>
      </c>
      <c r="P149" s="7"/>
      <c r="Q149" s="7" t="s">
        <v>1105</v>
      </c>
      <c r="R149" s="7" t="n">
        <f aca="false">VALUE(LEFT(Q149,4))</f>
        <v>1978</v>
      </c>
      <c r="S149" s="7" t="n">
        <f aca="false">VALUE(MID(Q149,6,2))</f>
        <v>2</v>
      </c>
      <c r="T149" s="7" t="n">
        <f aca="false">VALUE(RIGHT(Q149,2))</f>
        <v>6</v>
      </c>
      <c r="U149" s="7" t="s">
        <v>125</v>
      </c>
      <c r="V149" s="7" t="s">
        <v>126</v>
      </c>
    </row>
    <row r="150" customFormat="false" ht="45.75" hidden="false" customHeight="true" outlineLevel="0" collapsed="false">
      <c r="A150" s="7" t="n">
        <v>149</v>
      </c>
      <c r="B150" s="7" t="s">
        <v>1110</v>
      </c>
      <c r="C150" s="7" t="s">
        <v>1111</v>
      </c>
      <c r="D150" s="7" t="n">
        <f aca="false">VALUE(LEFT(B150,4))</f>
        <v>1979</v>
      </c>
      <c r="E150" s="7" t="n">
        <f aca="false">INT((D150-1)/100)+1</f>
        <v>20</v>
      </c>
      <c r="F150" s="7" t="s">
        <v>553</v>
      </c>
      <c r="G150" s="7" t="s">
        <v>1112</v>
      </c>
      <c r="H150" s="7" t="s">
        <v>1113</v>
      </c>
      <c r="I150" s="7" t="s">
        <v>1114</v>
      </c>
      <c r="J150" s="7" t="s">
        <v>332</v>
      </c>
      <c r="K150" s="7" t="s">
        <v>1115</v>
      </c>
      <c r="L150" s="7" t="s">
        <v>1001</v>
      </c>
      <c r="M150" s="7" t="s">
        <v>1002</v>
      </c>
      <c r="N150" s="7" t="s">
        <v>18</v>
      </c>
      <c r="O150" s="7" t="s">
        <v>75</v>
      </c>
      <c r="P150" s="7" t="s">
        <v>1116</v>
      </c>
      <c r="Q150" s="7" t="s">
        <v>1117</v>
      </c>
      <c r="R150" s="7" t="n">
        <f aca="false">VALUE(LEFT(Q150,4))</f>
        <v>1979</v>
      </c>
      <c r="S150" s="7" t="n">
        <f aca="false">VALUE(MID(Q150,6,2))</f>
        <v>2</v>
      </c>
      <c r="T150" s="7" t="n">
        <f aca="false">VALUE(RIGHT(Q150,2))</f>
        <v>13</v>
      </c>
      <c r="U150" s="7" t="s">
        <v>114</v>
      </c>
      <c r="V150" s="7" t="s">
        <v>325</v>
      </c>
    </row>
    <row r="151" customFormat="false" ht="23.25" hidden="false" customHeight="true" outlineLevel="0" collapsed="false">
      <c r="A151" s="7" t="n">
        <v>150</v>
      </c>
      <c r="B151" s="7" t="s">
        <v>1118</v>
      </c>
      <c r="C151" s="7" t="s">
        <v>1119</v>
      </c>
      <c r="D151" s="7" t="n">
        <f aca="false">VALUE(LEFT(B151,4))</f>
        <v>1979</v>
      </c>
      <c r="E151" s="7" t="n">
        <f aca="false">INT((D151-1)/100)+1</f>
        <v>20</v>
      </c>
      <c r="F151" s="7" t="s">
        <v>1099</v>
      </c>
      <c r="G151" s="7" t="s">
        <v>1120</v>
      </c>
      <c r="H151" s="7" t="s">
        <v>1121</v>
      </c>
      <c r="I151" s="7" t="s">
        <v>1122</v>
      </c>
      <c r="J151" s="7" t="s">
        <v>719</v>
      </c>
      <c r="K151" s="7"/>
      <c r="L151" s="7" t="s">
        <v>627</v>
      </c>
      <c r="M151" s="7" t="s">
        <v>628</v>
      </c>
      <c r="N151" s="7" t="s">
        <v>18</v>
      </c>
      <c r="O151" s="7" t="s">
        <v>75</v>
      </c>
      <c r="P151" s="7"/>
      <c r="Q151" s="7" t="s">
        <v>1123</v>
      </c>
      <c r="R151" s="7" t="n">
        <f aca="false">VALUE(LEFT(Q151,4))</f>
        <v>1979</v>
      </c>
      <c r="S151" s="7" t="n">
        <f aca="false">VALUE(MID(Q151,6,2))</f>
        <v>3</v>
      </c>
      <c r="T151" s="7" t="n">
        <f aca="false">VALUE(RIGHT(Q151,2))</f>
        <v>16</v>
      </c>
      <c r="U151" s="7" t="s">
        <v>317</v>
      </c>
      <c r="V151" s="7" t="s">
        <v>318</v>
      </c>
    </row>
    <row r="152" customFormat="false" ht="23.25" hidden="false" customHeight="true" outlineLevel="0" collapsed="false">
      <c r="A152" s="7" t="n">
        <v>151</v>
      </c>
      <c r="B152" s="7" t="s">
        <v>1124</v>
      </c>
      <c r="C152" s="7" t="s">
        <v>1125</v>
      </c>
      <c r="D152" s="7" t="n">
        <f aca="false">VALUE(LEFT(B152,4))</f>
        <v>1980</v>
      </c>
      <c r="E152" s="7" t="n">
        <f aca="false">INT((D152-1)/100)+1</f>
        <v>20</v>
      </c>
      <c r="F152" s="7" t="s">
        <v>129</v>
      </c>
      <c r="G152" s="7" t="s">
        <v>1126</v>
      </c>
      <c r="H152" s="7" t="s">
        <v>1127</v>
      </c>
      <c r="I152" s="7" t="s">
        <v>1128</v>
      </c>
      <c r="J152" s="7" t="s">
        <v>719</v>
      </c>
      <c r="K152" s="7" t="s">
        <v>1129</v>
      </c>
      <c r="L152" s="7" t="s">
        <v>627</v>
      </c>
      <c r="M152" s="7" t="s">
        <v>628</v>
      </c>
      <c r="N152" s="7" t="s">
        <v>16</v>
      </c>
      <c r="O152" s="7" t="s">
        <v>75</v>
      </c>
      <c r="P152" s="7"/>
      <c r="Q152" s="7" t="s">
        <v>1130</v>
      </c>
      <c r="R152" s="7" t="n">
        <f aca="false">VALUE(LEFT(Q152,4))</f>
        <v>1980</v>
      </c>
      <c r="S152" s="7" t="n">
        <f aca="false">VALUE(MID(Q152,6,2))</f>
        <v>3</v>
      </c>
      <c r="T152" s="7" t="n">
        <f aca="false">VALUE(RIGHT(Q152,2))</f>
        <v>16</v>
      </c>
      <c r="U152" s="7" t="s">
        <v>317</v>
      </c>
      <c r="V152" s="7" t="s">
        <v>318</v>
      </c>
    </row>
    <row r="153" customFormat="false" ht="23.25" hidden="false" customHeight="true" outlineLevel="0" collapsed="false">
      <c r="A153" s="7" t="n">
        <v>152</v>
      </c>
      <c r="B153" s="7" t="s">
        <v>1131</v>
      </c>
      <c r="C153" s="7" t="s">
        <v>1132</v>
      </c>
      <c r="D153" s="7" t="n">
        <f aca="false">VALUE(LEFT(B153,4))</f>
        <v>1980</v>
      </c>
      <c r="E153" s="7" t="n">
        <f aca="false">INT((D153-1)/100)+1</f>
        <v>20</v>
      </c>
      <c r="F153" s="7" t="s">
        <v>828</v>
      </c>
      <c r="G153" s="7" t="s">
        <v>1133</v>
      </c>
      <c r="H153" s="7" t="s">
        <v>1134</v>
      </c>
      <c r="I153" s="7" t="s">
        <v>1135</v>
      </c>
      <c r="J153" s="7" t="s">
        <v>719</v>
      </c>
      <c r="K153" s="7"/>
      <c r="L153" s="7" t="s">
        <v>569</v>
      </c>
      <c r="M153" s="7"/>
      <c r="N153" s="7" t="s">
        <v>18</v>
      </c>
      <c r="O153" s="7" t="s">
        <v>94</v>
      </c>
      <c r="P153" s="7"/>
      <c r="Q153" s="7" t="s">
        <v>1136</v>
      </c>
      <c r="R153" s="7" t="n">
        <f aca="false">VALUE(LEFT(Q153,4))</f>
        <v>1981</v>
      </c>
      <c r="S153" s="7" t="n">
        <f aca="false">VALUE(MID(Q153,6,2))</f>
        <v>1</v>
      </c>
      <c r="T153" s="7" t="n">
        <f aca="false">VALUE(RIGHT(Q153,2))</f>
        <v>15</v>
      </c>
      <c r="U153" s="7" t="s">
        <v>114</v>
      </c>
      <c r="V153" s="7" t="s">
        <v>1137</v>
      </c>
    </row>
    <row r="154" customFormat="false" ht="23.25" hidden="false" customHeight="true" outlineLevel="0" collapsed="false">
      <c r="A154" s="7" t="n">
        <v>153</v>
      </c>
      <c r="B154" s="7" t="s">
        <v>1138</v>
      </c>
      <c r="C154" s="7" t="s">
        <v>1139</v>
      </c>
      <c r="D154" s="7" t="n">
        <f aca="false">VALUE(LEFT(B154,4))</f>
        <v>1981</v>
      </c>
      <c r="E154" s="7" t="n">
        <f aca="false">INT((D154-1)/100)+1</f>
        <v>20</v>
      </c>
      <c r="F154" s="7" t="s">
        <v>1099</v>
      </c>
      <c r="G154" s="7" t="s">
        <v>1140</v>
      </c>
      <c r="H154" s="7" t="s">
        <v>1141</v>
      </c>
      <c r="I154" s="7" t="s">
        <v>1142</v>
      </c>
      <c r="J154" s="7" t="s">
        <v>719</v>
      </c>
      <c r="K154" s="7"/>
      <c r="L154" s="7" t="s">
        <v>627</v>
      </c>
      <c r="M154" s="7" t="s">
        <v>628</v>
      </c>
      <c r="N154" s="7" t="s">
        <v>18</v>
      </c>
      <c r="O154" s="7" t="s">
        <v>75</v>
      </c>
      <c r="P154" s="7"/>
      <c r="Q154" s="7" t="s">
        <v>1143</v>
      </c>
      <c r="R154" s="7" t="n">
        <f aca="false">VALUE(LEFT(Q154,4))</f>
        <v>1981</v>
      </c>
      <c r="S154" s="7" t="n">
        <f aca="false">VALUE(MID(Q154,6,2))</f>
        <v>2</v>
      </c>
      <c r="T154" s="7" t="n">
        <f aca="false">VALUE(RIGHT(Q154,2))</f>
        <v>14</v>
      </c>
      <c r="U154" s="7" t="s">
        <v>317</v>
      </c>
      <c r="V154" s="7" t="s">
        <v>318</v>
      </c>
    </row>
    <row r="155" customFormat="false" ht="23.25" hidden="false" customHeight="true" outlineLevel="0" collapsed="false">
      <c r="A155" s="7" t="n">
        <v>154</v>
      </c>
      <c r="B155" s="7" t="s">
        <v>1144</v>
      </c>
      <c r="C155" s="7" t="s">
        <v>1145</v>
      </c>
      <c r="D155" s="7" t="n">
        <f aca="false">VALUE(LEFT(B155,4))</f>
        <v>1982</v>
      </c>
      <c r="E155" s="7" t="n">
        <f aca="false">INT((D155-1)/100)+1</f>
        <v>20</v>
      </c>
      <c r="F155" s="7" t="s">
        <v>219</v>
      </c>
      <c r="G155" s="7" t="s">
        <v>1146</v>
      </c>
      <c r="H155" s="7" t="s">
        <v>954</v>
      </c>
      <c r="I155" s="7" t="s">
        <v>1147</v>
      </c>
      <c r="J155" s="7" t="s">
        <v>310</v>
      </c>
      <c r="K155" s="7" t="s">
        <v>1148</v>
      </c>
      <c r="L155" s="7" t="s">
        <v>627</v>
      </c>
      <c r="M155" s="7" t="s">
        <v>628</v>
      </c>
      <c r="N155" s="7" t="s">
        <v>16</v>
      </c>
      <c r="O155" s="7" t="s">
        <v>75</v>
      </c>
      <c r="P155" s="7"/>
      <c r="Q155" s="7" t="s">
        <v>1144</v>
      </c>
      <c r="R155" s="7" t="n">
        <f aca="false">VALUE(LEFT(Q155,4))</f>
        <v>1982</v>
      </c>
      <c r="S155" s="7" t="n">
        <f aca="false">VALUE(MID(Q155,6,2))</f>
        <v>4</v>
      </c>
      <c r="T155" s="7" t="n">
        <f aca="false">VALUE(RIGHT(Q155,2))</f>
        <v>6</v>
      </c>
      <c r="U155" s="7" t="s">
        <v>125</v>
      </c>
      <c r="V155" s="7" t="s">
        <v>126</v>
      </c>
    </row>
    <row r="156" customFormat="false" ht="23.25" hidden="false" customHeight="true" outlineLevel="0" collapsed="false">
      <c r="A156" s="7" t="n">
        <v>155</v>
      </c>
      <c r="B156" s="7" t="s">
        <v>1149</v>
      </c>
      <c r="C156" s="7" t="s">
        <v>1150</v>
      </c>
      <c r="D156" s="7" t="n">
        <f aca="false">VALUE(LEFT(B156,4))</f>
        <v>1983</v>
      </c>
      <c r="E156" s="7" t="n">
        <f aca="false">INT((D156-1)/100)+1</f>
        <v>20</v>
      </c>
      <c r="F156" s="7" t="s">
        <v>159</v>
      </c>
      <c r="G156" s="7" t="s">
        <v>1151</v>
      </c>
      <c r="H156" s="7" t="s">
        <v>954</v>
      </c>
      <c r="I156" s="7" t="s">
        <v>1152</v>
      </c>
      <c r="J156" s="7" t="s">
        <v>310</v>
      </c>
      <c r="K156" s="7" t="s">
        <v>1153</v>
      </c>
      <c r="L156" s="7" t="s">
        <v>627</v>
      </c>
      <c r="M156" s="7" t="s">
        <v>628</v>
      </c>
      <c r="N156" s="7" t="s">
        <v>16</v>
      </c>
      <c r="O156" s="7" t="s">
        <v>75</v>
      </c>
      <c r="P156" s="7"/>
      <c r="Q156" s="7" t="s">
        <v>1149</v>
      </c>
      <c r="R156" s="7" t="n">
        <f aca="false">VALUE(LEFT(Q156,4))</f>
        <v>1983</v>
      </c>
      <c r="S156" s="7" t="n">
        <f aca="false">VALUE(MID(Q156,6,2))</f>
        <v>1</v>
      </c>
      <c r="T156" s="7" t="n">
        <f aca="false">VALUE(RIGHT(Q156,2))</f>
        <v>15</v>
      </c>
      <c r="U156" s="7" t="s">
        <v>125</v>
      </c>
      <c r="V156" s="7" t="s">
        <v>126</v>
      </c>
    </row>
    <row r="157" customFormat="false" ht="23.25" hidden="false" customHeight="true" outlineLevel="0" collapsed="false">
      <c r="A157" s="7" t="n">
        <v>156</v>
      </c>
      <c r="B157" s="7" t="s">
        <v>1154</v>
      </c>
      <c r="C157" s="7" t="s">
        <v>1155</v>
      </c>
      <c r="D157" s="7" t="n">
        <f aca="false">VALUE(LEFT(B157,4))</f>
        <v>1983</v>
      </c>
      <c r="E157" s="7" t="n">
        <f aca="false">INT((D157-1)/100)+1</f>
        <v>20</v>
      </c>
      <c r="F157" s="7" t="s">
        <v>129</v>
      </c>
      <c r="G157" s="7" t="s">
        <v>1156</v>
      </c>
      <c r="H157" s="7" t="s">
        <v>954</v>
      </c>
      <c r="I157" s="7" t="s">
        <v>1157</v>
      </c>
      <c r="J157" s="7" t="s">
        <v>1158</v>
      </c>
      <c r="K157" s="7" t="s">
        <v>1159</v>
      </c>
      <c r="L157" s="7" t="s">
        <v>627</v>
      </c>
      <c r="M157" s="7" t="s">
        <v>628</v>
      </c>
      <c r="N157" s="7" t="s">
        <v>16</v>
      </c>
      <c r="O157" s="7" t="s">
        <v>75</v>
      </c>
      <c r="P157" s="7"/>
      <c r="Q157" s="7" t="s">
        <v>1160</v>
      </c>
      <c r="R157" s="7" t="n">
        <f aca="false">VALUE(LEFT(Q157,4))</f>
        <v>1983</v>
      </c>
      <c r="S157" s="7" t="n">
        <f aca="false">VALUE(MID(Q157,6,2))</f>
        <v>5</v>
      </c>
      <c r="T157" s="7" t="n">
        <f aca="false">VALUE(RIGHT(Q157,2))</f>
        <v>1</v>
      </c>
      <c r="U157" s="7" t="s">
        <v>77</v>
      </c>
      <c r="V157" s="7" t="s">
        <v>1161</v>
      </c>
    </row>
    <row r="158" customFormat="false" ht="15" hidden="false" customHeight="true" outlineLevel="0" collapsed="false">
      <c r="A158" s="7" t="n">
        <v>157</v>
      </c>
      <c r="B158" s="7" t="s">
        <v>1162</v>
      </c>
      <c r="C158" s="7" t="s">
        <v>1162</v>
      </c>
      <c r="D158" s="7" t="n">
        <f aca="false">VALUE(LEFT(B158,4))</f>
        <v>1985</v>
      </c>
      <c r="E158" s="7" t="n">
        <f aca="false">INT((D158-1)/100)+1</f>
        <v>20</v>
      </c>
      <c r="F158" s="7" t="s">
        <v>67</v>
      </c>
      <c r="G158" s="7" t="s">
        <v>1163</v>
      </c>
      <c r="H158" s="7" t="s">
        <v>574</v>
      </c>
      <c r="I158" s="7" t="s">
        <v>1164</v>
      </c>
      <c r="J158" s="7" t="s">
        <v>719</v>
      </c>
      <c r="K158" s="7"/>
      <c r="L158" s="7" t="s">
        <v>896</v>
      </c>
      <c r="M158" s="7"/>
      <c r="N158" s="7" t="s">
        <v>18</v>
      </c>
      <c r="O158" s="7" t="s">
        <v>94</v>
      </c>
      <c r="P158" s="7"/>
      <c r="Q158" s="7" t="s">
        <v>1162</v>
      </c>
      <c r="R158" s="7" t="n">
        <f aca="false">VALUE(LEFT(Q158,4))</f>
        <v>1985</v>
      </c>
      <c r="S158" s="7" t="n">
        <f aca="false">VALUE(MID(Q158,6,2))</f>
        <v>9</v>
      </c>
      <c r="T158" s="7" t="n">
        <f aca="false">VALUE(RIGHT(Q158,2))</f>
        <v>27</v>
      </c>
      <c r="U158" s="7" t="s">
        <v>77</v>
      </c>
      <c r="V158" s="7" t="s">
        <v>78</v>
      </c>
    </row>
    <row r="159" customFormat="false" ht="23.25" hidden="false" customHeight="true" outlineLevel="0" collapsed="false">
      <c r="A159" s="7" t="n">
        <v>158</v>
      </c>
      <c r="B159" s="7" t="s">
        <v>1165</v>
      </c>
      <c r="C159" s="7" t="s">
        <v>1166</v>
      </c>
      <c r="D159" s="7" t="n">
        <f aca="false">VALUE(LEFT(B159,4))</f>
        <v>1987</v>
      </c>
      <c r="E159" s="7" t="n">
        <f aca="false">INT((D159-1)/100)+1</f>
        <v>20</v>
      </c>
      <c r="F159" s="7" t="s">
        <v>766</v>
      </c>
      <c r="G159" s="7" t="s">
        <v>1167</v>
      </c>
      <c r="H159" s="7" t="s">
        <v>1168</v>
      </c>
      <c r="I159" s="7" t="s">
        <v>1169</v>
      </c>
      <c r="J159" s="7" t="s">
        <v>719</v>
      </c>
      <c r="K159" s="7" t="s">
        <v>1170</v>
      </c>
      <c r="L159" s="7" t="s">
        <v>627</v>
      </c>
      <c r="M159" s="7" t="s">
        <v>628</v>
      </c>
      <c r="N159" s="7" t="s">
        <v>16</v>
      </c>
      <c r="O159" s="7" t="s">
        <v>75</v>
      </c>
      <c r="P159" s="7"/>
      <c r="Q159" s="7" t="s">
        <v>1165</v>
      </c>
      <c r="R159" s="7" t="n">
        <f aca="false">VALUE(LEFT(Q159,4))</f>
        <v>1987</v>
      </c>
      <c r="S159" s="7" t="n">
        <f aca="false">VALUE(MID(Q159,6,2))</f>
        <v>4</v>
      </c>
      <c r="T159" s="7" t="n">
        <f aca="false">VALUE(RIGHT(Q159,2))</f>
        <v>4</v>
      </c>
      <c r="U159" s="7" t="s">
        <v>125</v>
      </c>
      <c r="V159" s="7" t="s">
        <v>126</v>
      </c>
    </row>
    <row r="160" customFormat="false" ht="23.25" hidden="false" customHeight="true" outlineLevel="0" collapsed="false">
      <c r="A160" s="7" t="n">
        <v>159</v>
      </c>
      <c r="B160" s="7" t="s">
        <v>1171</v>
      </c>
      <c r="C160" s="7" t="s">
        <v>1171</v>
      </c>
      <c r="D160" s="7" t="n">
        <f aca="false">VALUE(LEFT(B160,4))</f>
        <v>1987</v>
      </c>
      <c r="E160" s="7" t="n">
        <f aca="false">INT((D160-1)/100)+1</f>
        <v>20</v>
      </c>
      <c r="F160" s="7" t="s">
        <v>466</v>
      </c>
      <c r="G160" s="7" t="s">
        <v>1172</v>
      </c>
      <c r="H160" s="7" t="s">
        <v>1173</v>
      </c>
      <c r="I160" s="7" t="s">
        <v>1174</v>
      </c>
      <c r="J160" s="7" t="s">
        <v>310</v>
      </c>
      <c r="K160" s="7" t="s">
        <v>1175</v>
      </c>
      <c r="L160" s="7" t="s">
        <v>627</v>
      </c>
      <c r="M160" s="7" t="s">
        <v>628</v>
      </c>
      <c r="N160" s="7" t="s">
        <v>16</v>
      </c>
      <c r="O160" s="7" t="s">
        <v>75</v>
      </c>
      <c r="P160" s="7"/>
      <c r="Q160" s="7" t="s">
        <v>1171</v>
      </c>
      <c r="R160" s="7" t="n">
        <f aca="false">VALUE(LEFT(Q160,4))</f>
        <v>1987</v>
      </c>
      <c r="S160" s="7" t="n">
        <f aca="false">VALUE(MID(Q160,6,2))</f>
        <v>10</v>
      </c>
      <c r="T160" s="7" t="n">
        <f aca="false">VALUE(RIGHT(Q160,2))</f>
        <v>4</v>
      </c>
      <c r="U160" s="7" t="s">
        <v>77</v>
      </c>
      <c r="V160" s="7" t="s">
        <v>78</v>
      </c>
    </row>
    <row r="161" customFormat="false" ht="23.25" hidden="false" customHeight="true" outlineLevel="0" collapsed="false">
      <c r="A161" s="7" t="n">
        <v>160</v>
      </c>
      <c r="B161" s="7" t="s">
        <v>1176</v>
      </c>
      <c r="C161" s="7" t="s">
        <v>1177</v>
      </c>
      <c r="D161" s="7" t="n">
        <f aca="false">VALUE(LEFT(B161,4))</f>
        <v>1988</v>
      </c>
      <c r="E161" s="7" t="n">
        <f aca="false">INT((D161-1)/100)+1</f>
        <v>20</v>
      </c>
      <c r="F161" s="7" t="s">
        <v>1178</v>
      </c>
      <c r="G161" s="7" t="s">
        <v>1179</v>
      </c>
      <c r="H161" s="7" t="s">
        <v>954</v>
      </c>
      <c r="I161" s="7"/>
      <c r="J161" s="7" t="s">
        <v>719</v>
      </c>
      <c r="K161" s="7" t="s">
        <v>1180</v>
      </c>
      <c r="L161" s="7" t="s">
        <v>569</v>
      </c>
      <c r="M161" s="7"/>
      <c r="N161" s="7" t="s">
        <v>20</v>
      </c>
      <c r="O161" s="7" t="s">
        <v>94</v>
      </c>
      <c r="P161" s="7"/>
      <c r="Q161" s="7" t="s">
        <v>1181</v>
      </c>
      <c r="R161" s="7" t="n">
        <f aca="false">VALUE(LEFT(Q161,4))</f>
        <v>1988</v>
      </c>
      <c r="S161" s="7" t="n">
        <f aca="false">VALUE(MID(Q161,6,2))</f>
        <v>7</v>
      </c>
      <c r="T161" s="7" t="n">
        <f aca="false">VALUE(RIGHT(Q161,2))</f>
        <v>15</v>
      </c>
      <c r="U161" s="7" t="s">
        <v>114</v>
      </c>
      <c r="V161" s="7" t="s">
        <v>1182</v>
      </c>
    </row>
    <row r="162" customFormat="false" ht="34.5" hidden="false" customHeight="true" outlineLevel="0" collapsed="false">
      <c r="A162" s="7" t="n">
        <v>161</v>
      </c>
      <c r="B162" s="7" t="s">
        <v>1183</v>
      </c>
      <c r="C162" s="7" t="s">
        <v>1183</v>
      </c>
      <c r="D162" s="7" t="n">
        <f aca="false">VALUE(LEFT(B162,4))</f>
        <v>1989</v>
      </c>
      <c r="E162" s="7" t="n">
        <f aca="false">INT((D162-1)/100)+1</f>
        <v>20</v>
      </c>
      <c r="F162" s="7" t="s">
        <v>1184</v>
      </c>
      <c r="G162" s="7" t="s">
        <v>1185</v>
      </c>
      <c r="H162" s="7" t="s">
        <v>1186</v>
      </c>
      <c r="I162" s="7" t="s">
        <v>1187</v>
      </c>
      <c r="J162" s="7" t="s">
        <v>975</v>
      </c>
      <c r="K162" s="7" t="s">
        <v>1188</v>
      </c>
      <c r="L162" s="7" t="s">
        <v>569</v>
      </c>
      <c r="M162" s="7" t="s">
        <v>1189</v>
      </c>
      <c r="N162" s="7" t="s">
        <v>16</v>
      </c>
      <c r="O162" s="7" t="s">
        <v>75</v>
      </c>
      <c r="P162" s="7" t="s">
        <v>1190</v>
      </c>
      <c r="Q162" s="7" t="s">
        <v>1183</v>
      </c>
      <c r="R162" s="7" t="n">
        <f aca="false">VALUE(LEFT(Q162,4))</f>
        <v>1989</v>
      </c>
      <c r="S162" s="7" t="n">
        <f aca="false">VALUE(MID(Q162,6,2))</f>
        <v>7</v>
      </c>
      <c r="T162" s="7" t="n">
        <f aca="false">VALUE(RIGHT(Q162,2))</f>
        <v>10</v>
      </c>
      <c r="U162" s="7" t="s">
        <v>77</v>
      </c>
      <c r="V162" s="7" t="s">
        <v>78</v>
      </c>
    </row>
    <row r="163" customFormat="false" ht="23.25" hidden="false" customHeight="true" outlineLevel="0" collapsed="false">
      <c r="A163" s="7" t="n">
        <v>162</v>
      </c>
      <c r="B163" s="7" t="s">
        <v>1191</v>
      </c>
      <c r="C163" s="7" t="s">
        <v>1191</v>
      </c>
      <c r="D163" s="7" t="n">
        <f aca="false">VALUE(LEFT(B163,4))</f>
        <v>1989</v>
      </c>
      <c r="E163" s="7" t="n">
        <f aca="false">INT((D163-1)/100)+1</f>
        <v>20</v>
      </c>
      <c r="F163" s="7" t="s">
        <v>1192</v>
      </c>
      <c r="G163" s="7" t="s">
        <v>1193</v>
      </c>
      <c r="H163" s="7" t="s">
        <v>1194</v>
      </c>
      <c r="I163" s="7" t="s">
        <v>1195</v>
      </c>
      <c r="J163" s="7" t="s">
        <v>975</v>
      </c>
      <c r="K163" s="7" t="s">
        <v>1196</v>
      </c>
      <c r="L163" s="7" t="s">
        <v>977</v>
      </c>
      <c r="M163" s="7" t="s">
        <v>978</v>
      </c>
      <c r="N163" s="7" t="s">
        <v>16</v>
      </c>
      <c r="O163" s="7" t="s">
        <v>75</v>
      </c>
      <c r="P163" s="7" t="s">
        <v>1197</v>
      </c>
      <c r="Q163" s="7" t="s">
        <v>1191</v>
      </c>
      <c r="R163" s="7" t="n">
        <f aca="false">VALUE(LEFT(Q163,4))</f>
        <v>1989</v>
      </c>
      <c r="S163" s="7" t="n">
        <f aca="false">VALUE(MID(Q163,6,2))</f>
        <v>11</v>
      </c>
      <c r="T163" s="7" t="n">
        <f aca="false">VALUE(RIGHT(Q163,2))</f>
        <v>16</v>
      </c>
      <c r="U163" s="7" t="s">
        <v>77</v>
      </c>
      <c r="V163" s="7" t="s">
        <v>78</v>
      </c>
    </row>
    <row r="164" customFormat="false" ht="68.25" hidden="false" customHeight="true" outlineLevel="0" collapsed="false">
      <c r="A164" s="7" t="n">
        <v>163</v>
      </c>
      <c r="B164" s="7" t="s">
        <v>1198</v>
      </c>
      <c r="C164" s="7" t="s">
        <v>1199</v>
      </c>
      <c r="D164" s="7" t="n">
        <f aca="false">VALUE(LEFT(B164,4))</f>
        <v>1991</v>
      </c>
      <c r="E164" s="7" t="n">
        <f aca="false">INT((D164-1)/100)+1</f>
        <v>20</v>
      </c>
      <c r="F164" s="7" t="s">
        <v>1200</v>
      </c>
      <c r="G164" s="7" t="s">
        <v>1201</v>
      </c>
      <c r="H164" s="7" t="s">
        <v>1202</v>
      </c>
      <c r="I164" s="7" t="s">
        <v>1203</v>
      </c>
      <c r="J164" s="7" t="s">
        <v>730</v>
      </c>
      <c r="K164" s="7" t="s">
        <v>1204</v>
      </c>
      <c r="L164" s="7" t="s">
        <v>1205</v>
      </c>
      <c r="M164" s="7" t="s">
        <v>733</v>
      </c>
      <c r="N164" s="7" t="s">
        <v>20</v>
      </c>
      <c r="O164" s="7" t="s">
        <v>94</v>
      </c>
      <c r="P164" s="7" t="s">
        <v>1206</v>
      </c>
      <c r="Q164" s="7" t="s">
        <v>1207</v>
      </c>
      <c r="R164" s="7" t="n">
        <f aca="false">VALUE(LEFT(Q164,4))</f>
        <v>1991</v>
      </c>
      <c r="S164" s="7" t="n">
        <f aca="false">VALUE(MID(Q164,6,2))</f>
        <v>7</v>
      </c>
      <c r="T164" s="7" t="n">
        <f aca="false">VALUE(RIGHT(Q164,2))</f>
        <v>1</v>
      </c>
      <c r="U164" s="7" t="s">
        <v>338</v>
      </c>
      <c r="V164" s="7" t="s">
        <v>1208</v>
      </c>
    </row>
    <row r="165" customFormat="false" ht="23.25" hidden="false" customHeight="true" outlineLevel="0" collapsed="false">
      <c r="A165" s="7" t="n">
        <v>164</v>
      </c>
      <c r="B165" s="7" t="s">
        <v>1209</v>
      </c>
      <c r="C165" s="7" t="s">
        <v>1210</v>
      </c>
      <c r="D165" s="7" t="n">
        <f aca="false">VALUE(LEFT(B165,4))</f>
        <v>1992</v>
      </c>
      <c r="E165" s="7" t="n">
        <f aca="false">INT((D165-1)/100)+1</f>
        <v>20</v>
      </c>
      <c r="F165" s="7" t="s">
        <v>1211</v>
      </c>
      <c r="G165" s="7" t="s">
        <v>1212</v>
      </c>
      <c r="H165" s="7" t="s">
        <v>1213</v>
      </c>
      <c r="I165" s="7" t="s">
        <v>1214</v>
      </c>
      <c r="J165" s="7" t="s">
        <v>719</v>
      </c>
      <c r="K165" s="7" t="s">
        <v>1215</v>
      </c>
      <c r="L165" s="7" t="s">
        <v>627</v>
      </c>
      <c r="M165" s="7" t="s">
        <v>628</v>
      </c>
      <c r="N165" s="7" t="s">
        <v>16</v>
      </c>
      <c r="O165" s="7" t="s">
        <v>75</v>
      </c>
      <c r="P165" s="7" t="s">
        <v>1216</v>
      </c>
      <c r="Q165" s="7" t="s">
        <v>1209</v>
      </c>
      <c r="R165" s="7" t="n">
        <f aca="false">VALUE(LEFT(Q165,4))</f>
        <v>1992</v>
      </c>
      <c r="S165" s="7" t="n">
        <f aca="false">VALUE(MID(Q165,6,2))</f>
        <v>12</v>
      </c>
      <c r="T165" s="7" t="n">
        <f aca="false">VALUE(RIGHT(Q165,2))</f>
        <v>10</v>
      </c>
      <c r="U165" s="7" t="s">
        <v>125</v>
      </c>
      <c r="V165" s="7" t="s">
        <v>126</v>
      </c>
    </row>
    <row r="166" customFormat="false" ht="23.25" hidden="false" customHeight="true" outlineLevel="0" collapsed="false">
      <c r="A166" s="7" t="n">
        <v>165</v>
      </c>
      <c r="B166" s="7" t="s">
        <v>1217</v>
      </c>
      <c r="C166" s="7" t="s">
        <v>1218</v>
      </c>
      <c r="D166" s="7" t="n">
        <f aca="false">VALUE(LEFT(B166,4))</f>
        <v>1993</v>
      </c>
      <c r="E166" s="7" t="n">
        <f aca="false">INT((D166-1)/100)+1</f>
        <v>20</v>
      </c>
      <c r="F166" s="7" t="s">
        <v>219</v>
      </c>
      <c r="G166" s="7" t="s">
        <v>1219</v>
      </c>
      <c r="H166" s="7" t="s">
        <v>717</v>
      </c>
      <c r="I166" s="7" t="s">
        <v>1220</v>
      </c>
      <c r="J166" s="7" t="s">
        <v>310</v>
      </c>
      <c r="K166" s="7" t="s">
        <v>1221</v>
      </c>
      <c r="L166" s="7" t="s">
        <v>627</v>
      </c>
      <c r="M166" s="7" t="s">
        <v>628</v>
      </c>
      <c r="N166" s="7" t="s">
        <v>16</v>
      </c>
      <c r="O166" s="7" t="s">
        <v>75</v>
      </c>
      <c r="P166" s="7"/>
      <c r="Q166" s="7" t="s">
        <v>1217</v>
      </c>
      <c r="R166" s="7" t="n">
        <f aca="false">VALUE(LEFT(Q166,4))</f>
        <v>1993</v>
      </c>
      <c r="S166" s="7" t="n">
        <f aca="false">VALUE(MID(Q166,6,2))</f>
        <v>3</v>
      </c>
      <c r="T166" s="7" t="n">
        <f aca="false">VALUE(RIGHT(Q166,2))</f>
        <v>13</v>
      </c>
      <c r="U166" s="7" t="s">
        <v>125</v>
      </c>
      <c r="V166" s="7" t="s">
        <v>126</v>
      </c>
    </row>
    <row r="167" customFormat="false" ht="23.25" hidden="false" customHeight="true" outlineLevel="0" collapsed="false">
      <c r="A167" s="7" t="n">
        <v>166</v>
      </c>
      <c r="B167" s="7" t="s">
        <v>1222</v>
      </c>
      <c r="C167" s="7" t="s">
        <v>1223</v>
      </c>
      <c r="D167" s="7" t="n">
        <f aca="false">VALUE(LEFT(B167,4))</f>
        <v>1994</v>
      </c>
      <c r="E167" s="7" t="n">
        <f aca="false">INT((D167-1)/100)+1</f>
        <v>20</v>
      </c>
      <c r="F167" s="7" t="s">
        <v>1224</v>
      </c>
      <c r="G167" s="7" t="s">
        <v>1225</v>
      </c>
      <c r="H167" s="7" t="s">
        <v>954</v>
      </c>
      <c r="I167" s="7" t="s">
        <v>1226</v>
      </c>
      <c r="J167" s="7" t="s">
        <v>719</v>
      </c>
      <c r="K167" s="7" t="s">
        <v>1227</v>
      </c>
      <c r="L167" s="7" t="s">
        <v>569</v>
      </c>
      <c r="M167" s="7"/>
      <c r="N167" s="7" t="s">
        <v>18</v>
      </c>
      <c r="O167" s="7" t="s">
        <v>94</v>
      </c>
      <c r="P167" s="7"/>
      <c r="Q167" s="7" t="s">
        <v>1228</v>
      </c>
      <c r="R167" s="7" t="n">
        <f aca="false">VALUE(LEFT(Q167,4))</f>
        <v>1994</v>
      </c>
      <c r="S167" s="7" t="n">
        <f aca="false">VALUE(MID(Q167,6,2))</f>
        <v>1</v>
      </c>
      <c r="T167" s="7" t="n">
        <f aca="false">VALUE(RIGHT(Q167,2))</f>
        <v>19</v>
      </c>
      <c r="U167" s="7" t="s">
        <v>125</v>
      </c>
      <c r="V167" s="7" t="s">
        <v>1229</v>
      </c>
    </row>
    <row r="168" customFormat="false" ht="23.25" hidden="false" customHeight="true" outlineLevel="0" collapsed="false">
      <c r="A168" s="7" t="n">
        <v>167</v>
      </c>
      <c r="B168" s="7" t="s">
        <v>1230</v>
      </c>
      <c r="C168" s="7" t="s">
        <v>1230</v>
      </c>
      <c r="D168" s="7" t="n">
        <f aca="false">VALUE(LEFT(B168,4))</f>
        <v>1995</v>
      </c>
      <c r="E168" s="7" t="n">
        <f aca="false">INT((D168-1)/100)+1</f>
        <v>20</v>
      </c>
      <c r="F168" s="7" t="s">
        <v>1231</v>
      </c>
      <c r="G168" s="7" t="s">
        <v>1232</v>
      </c>
      <c r="H168" s="7" t="s">
        <v>1233</v>
      </c>
      <c r="I168" s="7" t="s">
        <v>1234</v>
      </c>
      <c r="J168" s="7" t="s">
        <v>975</v>
      </c>
      <c r="K168" s="7" t="s">
        <v>1235</v>
      </c>
      <c r="L168" s="7" t="s">
        <v>1236</v>
      </c>
      <c r="M168" s="7" t="s">
        <v>1237</v>
      </c>
      <c r="N168" s="7" t="s">
        <v>16</v>
      </c>
      <c r="O168" s="7" t="s">
        <v>75</v>
      </c>
      <c r="P168" s="7"/>
      <c r="Q168" s="7" t="s">
        <v>1230</v>
      </c>
      <c r="R168" s="7" t="n">
        <f aca="false">VALUE(LEFT(Q168,4))</f>
        <v>1995</v>
      </c>
      <c r="S168" s="7" t="n">
        <f aca="false">VALUE(MID(Q168,6,2))</f>
        <v>7</v>
      </c>
      <c r="T168" s="7" t="n">
        <f aca="false">VALUE(RIGHT(Q168,2))</f>
        <v>15</v>
      </c>
      <c r="U168" s="7" t="s">
        <v>77</v>
      </c>
      <c r="V168" s="7" t="s">
        <v>78</v>
      </c>
    </row>
    <row r="169" customFormat="false" ht="23.25" hidden="false" customHeight="true" outlineLevel="0" collapsed="false">
      <c r="A169" s="7" t="n">
        <v>168</v>
      </c>
      <c r="B169" s="7" t="s">
        <v>1238</v>
      </c>
      <c r="C169" s="7" t="s">
        <v>1239</v>
      </c>
      <c r="D169" s="7" t="n">
        <f aca="false">VALUE(LEFT(B169,4))</f>
        <v>1996</v>
      </c>
      <c r="E169" s="7" t="n">
        <f aca="false">INT((D169-1)/100)+1</f>
        <v>20</v>
      </c>
      <c r="F169" s="7" t="s">
        <v>219</v>
      </c>
      <c r="G169" s="7" t="s">
        <v>1240</v>
      </c>
      <c r="H169" s="7" t="s">
        <v>954</v>
      </c>
      <c r="I169" s="7" t="s">
        <v>1241</v>
      </c>
      <c r="J169" s="7" t="s">
        <v>719</v>
      </c>
      <c r="K169" s="7"/>
      <c r="L169" s="7" t="s">
        <v>569</v>
      </c>
      <c r="M169" s="7"/>
      <c r="N169" s="7" t="s">
        <v>18</v>
      </c>
      <c r="O169" s="7" t="s">
        <v>94</v>
      </c>
      <c r="P169" s="7"/>
      <c r="Q169" s="7" t="s">
        <v>1238</v>
      </c>
      <c r="R169" s="7" t="n">
        <f aca="false">VALUE(LEFT(Q169,4))</f>
        <v>1996</v>
      </c>
      <c r="S169" s="7" t="n">
        <f aca="false">VALUE(MID(Q169,6,2))</f>
        <v>1</v>
      </c>
      <c r="T169" s="7" t="n">
        <f aca="false">VALUE(RIGHT(Q169,2))</f>
        <v>7</v>
      </c>
      <c r="U169" s="7" t="s">
        <v>125</v>
      </c>
      <c r="V169" s="7" t="s">
        <v>126</v>
      </c>
    </row>
    <row r="170" customFormat="false" ht="23.25" hidden="false" customHeight="true" outlineLevel="0" collapsed="false">
      <c r="A170" s="7" t="n">
        <v>169</v>
      </c>
      <c r="B170" s="7" t="s">
        <v>1242</v>
      </c>
      <c r="C170" s="7" t="s">
        <v>1243</v>
      </c>
      <c r="D170" s="7" t="n">
        <f aca="false">VALUE(LEFT(B170,4))</f>
        <v>1996</v>
      </c>
      <c r="E170" s="7" t="n">
        <f aca="false">INT((D170-1)/100)+1</f>
        <v>20</v>
      </c>
      <c r="F170" s="7" t="s">
        <v>1244</v>
      </c>
      <c r="G170" s="7" t="s">
        <v>1245</v>
      </c>
      <c r="H170" s="7" t="s">
        <v>1246</v>
      </c>
      <c r="I170" s="7" t="s">
        <v>1247</v>
      </c>
      <c r="J170" s="7" t="s">
        <v>623</v>
      </c>
      <c r="K170" s="7" t="s">
        <v>1248</v>
      </c>
      <c r="L170" s="7" t="s">
        <v>627</v>
      </c>
      <c r="M170" s="7" t="s">
        <v>628</v>
      </c>
      <c r="N170" s="7" t="s">
        <v>16</v>
      </c>
      <c r="O170" s="7" t="s">
        <v>75</v>
      </c>
      <c r="P170" s="7"/>
      <c r="Q170" s="7" t="s">
        <v>1242</v>
      </c>
      <c r="R170" s="7" t="n">
        <f aca="false">VALUE(LEFT(Q170,4))</f>
        <v>1996</v>
      </c>
      <c r="S170" s="7" t="n">
        <f aca="false">VALUE(MID(Q170,6,2))</f>
        <v>1</v>
      </c>
      <c r="T170" s="7" t="n">
        <f aca="false">VALUE(RIGHT(Q170,2))</f>
        <v>19</v>
      </c>
      <c r="U170" s="7" t="s">
        <v>125</v>
      </c>
      <c r="V170" s="7" t="s">
        <v>126</v>
      </c>
    </row>
    <row r="171" customFormat="false" ht="23.25" hidden="false" customHeight="true" outlineLevel="0" collapsed="false">
      <c r="A171" s="7" t="n">
        <v>170</v>
      </c>
      <c r="B171" s="7" t="s">
        <v>1249</v>
      </c>
      <c r="C171" s="7" t="s">
        <v>1250</v>
      </c>
      <c r="D171" s="7" t="n">
        <f aca="false">VALUE(LEFT(B171,4))</f>
        <v>1996</v>
      </c>
      <c r="E171" s="7" t="n">
        <f aca="false">INT((D171-1)/100)+1</f>
        <v>20</v>
      </c>
      <c r="F171" s="7" t="s">
        <v>97</v>
      </c>
      <c r="G171" s="7" t="s">
        <v>1251</v>
      </c>
      <c r="H171" s="7" t="s">
        <v>1252</v>
      </c>
      <c r="I171" s="7" t="s">
        <v>1253</v>
      </c>
      <c r="J171" s="7" t="s">
        <v>719</v>
      </c>
      <c r="K171" s="7" t="s">
        <v>1254</v>
      </c>
      <c r="L171" s="7" t="s">
        <v>627</v>
      </c>
      <c r="M171" s="7" t="s">
        <v>628</v>
      </c>
      <c r="N171" s="7" t="s">
        <v>16</v>
      </c>
      <c r="O171" s="7" t="s">
        <v>75</v>
      </c>
      <c r="P171" s="7" t="s">
        <v>1255</v>
      </c>
      <c r="Q171" s="7" t="s">
        <v>1249</v>
      </c>
      <c r="R171" s="7" t="n">
        <f aca="false">VALUE(LEFT(Q171,4))</f>
        <v>1996</v>
      </c>
      <c r="S171" s="7" t="n">
        <f aca="false">VALUE(MID(Q171,6,2))</f>
        <v>7</v>
      </c>
      <c r="T171" s="7" t="n">
        <f aca="false">VALUE(RIGHT(Q171,2))</f>
        <v>12</v>
      </c>
      <c r="U171" s="7" t="s">
        <v>125</v>
      </c>
      <c r="V171" s="7" t="s">
        <v>126</v>
      </c>
    </row>
    <row r="172" customFormat="false" ht="23.25" hidden="false" customHeight="true" outlineLevel="0" collapsed="false">
      <c r="A172" s="7" t="n">
        <v>171</v>
      </c>
      <c r="B172" s="7" t="s">
        <v>1256</v>
      </c>
      <c r="C172" s="7" t="s">
        <v>1257</v>
      </c>
      <c r="D172" s="7" t="n">
        <f aca="false">VALUE(LEFT(B172,4))</f>
        <v>1998</v>
      </c>
      <c r="E172" s="7" t="n">
        <f aca="false">INT((D172-1)/100)+1</f>
        <v>20</v>
      </c>
      <c r="F172" s="7" t="s">
        <v>818</v>
      </c>
      <c r="G172" s="7" t="s">
        <v>1258</v>
      </c>
      <c r="H172" s="7" t="s">
        <v>504</v>
      </c>
      <c r="I172" s="7" t="s">
        <v>1259</v>
      </c>
      <c r="J172" s="7" t="s">
        <v>719</v>
      </c>
      <c r="K172" s="7" t="s">
        <v>1260</v>
      </c>
      <c r="L172" s="7" t="s">
        <v>627</v>
      </c>
      <c r="M172" s="7" t="s">
        <v>628</v>
      </c>
      <c r="N172" s="7" t="s">
        <v>16</v>
      </c>
      <c r="O172" s="7" t="s">
        <v>75</v>
      </c>
      <c r="P172" s="7"/>
      <c r="Q172" s="7" t="s">
        <v>1256</v>
      </c>
      <c r="R172" s="7" t="n">
        <f aca="false">VALUE(LEFT(Q172,4))</f>
        <v>1998</v>
      </c>
      <c r="S172" s="7" t="n">
        <f aca="false">VALUE(MID(Q172,6,2))</f>
        <v>1</v>
      </c>
      <c r="T172" s="7" t="n">
        <f aca="false">VALUE(RIGHT(Q172,2))</f>
        <v>5</v>
      </c>
      <c r="U172" s="7" t="s">
        <v>125</v>
      </c>
      <c r="V172" s="7" t="s">
        <v>126</v>
      </c>
    </row>
    <row r="173" customFormat="false" ht="23.25" hidden="false" customHeight="true" outlineLevel="0" collapsed="false">
      <c r="A173" s="7" t="n">
        <v>172</v>
      </c>
      <c r="B173" s="7" t="s">
        <v>1261</v>
      </c>
      <c r="C173" s="7" t="s">
        <v>1261</v>
      </c>
      <c r="D173" s="7" t="n">
        <f aca="false">VALUE(LEFT(B173,4))</f>
        <v>1998</v>
      </c>
      <c r="E173" s="7" t="n">
        <f aca="false">INT((D173-1)/100)+1</f>
        <v>20</v>
      </c>
      <c r="F173" s="7" t="s">
        <v>1262</v>
      </c>
      <c r="G173" s="7" t="s">
        <v>1263</v>
      </c>
      <c r="H173" s="7" t="s">
        <v>634</v>
      </c>
      <c r="I173" s="7" t="s">
        <v>1264</v>
      </c>
      <c r="J173" s="7" t="s">
        <v>967</v>
      </c>
      <c r="K173" s="7" t="s">
        <v>1265</v>
      </c>
      <c r="L173" s="7" t="s">
        <v>968</v>
      </c>
      <c r="M173" s="7" t="s">
        <v>969</v>
      </c>
      <c r="N173" s="7" t="s">
        <v>16</v>
      </c>
      <c r="O173" s="7" t="s">
        <v>75</v>
      </c>
      <c r="P173" s="7"/>
      <c r="Q173" s="7" t="s">
        <v>1261</v>
      </c>
      <c r="R173" s="7" t="n">
        <f aca="false">VALUE(LEFT(Q173,4))</f>
        <v>1998</v>
      </c>
      <c r="S173" s="7" t="n">
        <f aca="false">VALUE(MID(Q173,6,2))</f>
        <v>1</v>
      </c>
      <c r="T173" s="7" t="n">
        <f aca="false">VALUE(RIGHT(Q173,2))</f>
        <v>9</v>
      </c>
      <c r="U173" s="7" t="s">
        <v>77</v>
      </c>
      <c r="V173" s="7" t="s">
        <v>78</v>
      </c>
    </row>
    <row r="174" customFormat="false" ht="23.25" hidden="false" customHeight="true" outlineLevel="0" collapsed="false">
      <c r="A174" s="7" t="n">
        <v>173</v>
      </c>
      <c r="B174" s="7" t="s">
        <v>1266</v>
      </c>
      <c r="C174" s="7" t="s">
        <v>1266</v>
      </c>
      <c r="D174" s="7" t="n">
        <f aca="false">VALUE(LEFT(B174,4))</f>
        <v>1998</v>
      </c>
      <c r="E174" s="7" t="n">
        <f aca="false">INT((D174-1)/100)+1</f>
        <v>20</v>
      </c>
      <c r="F174" s="7" t="s">
        <v>1267</v>
      </c>
      <c r="G174" s="7" t="s">
        <v>1268</v>
      </c>
      <c r="H174" s="7" t="s">
        <v>1269</v>
      </c>
      <c r="I174" s="7" t="s">
        <v>1270</v>
      </c>
      <c r="J174" s="7" t="s">
        <v>975</v>
      </c>
      <c r="K174" s="7" t="s">
        <v>1271</v>
      </c>
      <c r="L174" s="7" t="s">
        <v>977</v>
      </c>
      <c r="M174" s="7" t="s">
        <v>978</v>
      </c>
      <c r="N174" s="7" t="s">
        <v>16</v>
      </c>
      <c r="O174" s="7" t="s">
        <v>75</v>
      </c>
      <c r="P174" s="7"/>
      <c r="Q174" s="7" t="s">
        <v>1266</v>
      </c>
      <c r="R174" s="7" t="n">
        <f aca="false">VALUE(LEFT(Q174,4))</f>
        <v>1998</v>
      </c>
      <c r="S174" s="7" t="n">
        <f aca="false">VALUE(MID(Q174,6,2))</f>
        <v>5</v>
      </c>
      <c r="T174" s="7" t="n">
        <f aca="false">VALUE(RIGHT(Q174,2))</f>
        <v>31</v>
      </c>
      <c r="U174" s="7" t="s">
        <v>77</v>
      </c>
      <c r="V174" s="7" t="s">
        <v>78</v>
      </c>
    </row>
    <row r="175" customFormat="false" ht="23.25" hidden="false" customHeight="true" outlineLevel="0" collapsed="false">
      <c r="A175" s="7" t="n">
        <v>174</v>
      </c>
      <c r="B175" s="7" t="s">
        <v>1272</v>
      </c>
      <c r="C175" s="7" t="s">
        <v>1273</v>
      </c>
      <c r="D175" s="7" t="n">
        <f aca="false">VALUE(LEFT(B175,4))</f>
        <v>1999</v>
      </c>
      <c r="E175" s="7" t="n">
        <f aca="false">INT((D175-1)/100)+1</f>
        <v>20</v>
      </c>
      <c r="F175" s="7" t="s">
        <v>1178</v>
      </c>
      <c r="G175" s="7" t="s">
        <v>1274</v>
      </c>
      <c r="H175" s="7" t="s">
        <v>954</v>
      </c>
      <c r="I175" s="7"/>
      <c r="J175" s="7" t="s">
        <v>719</v>
      </c>
      <c r="K175" s="7" t="s">
        <v>1275</v>
      </c>
      <c r="L175" s="7" t="s">
        <v>569</v>
      </c>
      <c r="M175" s="7"/>
      <c r="N175" s="7" t="s">
        <v>20</v>
      </c>
      <c r="O175" s="7" t="s">
        <v>94</v>
      </c>
      <c r="P175" s="7"/>
      <c r="Q175" s="7" t="s">
        <v>1276</v>
      </c>
      <c r="R175" s="7" t="n">
        <f aca="false">VALUE(LEFT(Q175,4))</f>
        <v>1999</v>
      </c>
      <c r="S175" s="7" t="n">
        <f aca="false">VALUE(MID(Q175,6,2))</f>
        <v>7</v>
      </c>
      <c r="T175" s="7" t="n">
        <f aca="false">VALUE(RIGHT(Q175,2))</f>
        <v>6</v>
      </c>
      <c r="U175" s="7" t="s">
        <v>114</v>
      </c>
      <c r="V175" s="7" t="s">
        <v>1277</v>
      </c>
    </row>
    <row r="176" customFormat="false" ht="23.25" hidden="false" customHeight="true" outlineLevel="0" collapsed="false">
      <c r="A176" s="7" t="n">
        <v>175</v>
      </c>
      <c r="B176" s="7" t="s">
        <v>1278</v>
      </c>
      <c r="C176" s="7" t="s">
        <v>1279</v>
      </c>
      <c r="D176" s="7" t="n">
        <f aca="false">VALUE(LEFT(B176,4))</f>
        <v>1999</v>
      </c>
      <c r="E176" s="7" t="n">
        <f aca="false">INT((D176-1)/100)+1</f>
        <v>20</v>
      </c>
      <c r="F176" s="7" t="s">
        <v>97</v>
      </c>
      <c r="G176" s="7" t="s">
        <v>1280</v>
      </c>
      <c r="H176" s="7" t="s">
        <v>954</v>
      </c>
      <c r="I176" s="7" t="s">
        <v>1281</v>
      </c>
      <c r="J176" s="7" t="s">
        <v>310</v>
      </c>
      <c r="K176" s="7" t="s">
        <v>1282</v>
      </c>
      <c r="L176" s="7" t="s">
        <v>627</v>
      </c>
      <c r="M176" s="7" t="s">
        <v>628</v>
      </c>
      <c r="N176" s="7" t="s">
        <v>16</v>
      </c>
      <c r="O176" s="7" t="s">
        <v>75</v>
      </c>
      <c r="P176" s="7" t="s">
        <v>1283</v>
      </c>
      <c r="Q176" s="7" t="s">
        <v>1278</v>
      </c>
      <c r="R176" s="7" t="n">
        <f aca="false">VALUE(LEFT(Q176,4))</f>
        <v>1999</v>
      </c>
      <c r="S176" s="7" t="n">
        <f aca="false">VALUE(MID(Q176,6,2))</f>
        <v>9</v>
      </c>
      <c r="T176" s="7" t="n">
        <f aca="false">VALUE(RIGHT(Q176,2))</f>
        <v>16</v>
      </c>
      <c r="U176" s="7" t="s">
        <v>125</v>
      </c>
      <c r="V176" s="7" t="s">
        <v>126</v>
      </c>
    </row>
    <row r="177" customFormat="false" ht="23.25" hidden="false" customHeight="true" outlineLevel="0" collapsed="false">
      <c r="A177" s="7" t="n">
        <v>176</v>
      </c>
      <c r="B177" s="7" t="s">
        <v>1284</v>
      </c>
      <c r="C177" s="7" t="s">
        <v>1284</v>
      </c>
      <c r="D177" s="7" t="n">
        <f aca="false">VALUE(LEFT(B177,4))</f>
        <v>2002</v>
      </c>
      <c r="E177" s="7" t="n">
        <f aca="false">INT((D177-1)/100)+1</f>
        <v>21</v>
      </c>
      <c r="F177" s="7" t="s">
        <v>898</v>
      </c>
      <c r="G177" s="7" t="s">
        <v>1285</v>
      </c>
      <c r="H177" s="7" t="s">
        <v>1286</v>
      </c>
      <c r="I177" s="7" t="s">
        <v>1287</v>
      </c>
      <c r="J177" s="7" t="s">
        <v>310</v>
      </c>
      <c r="K177" s="7" t="s">
        <v>1288</v>
      </c>
      <c r="L177" s="7" t="s">
        <v>627</v>
      </c>
      <c r="M177" s="7" t="s">
        <v>628</v>
      </c>
      <c r="N177" s="7" t="s">
        <v>16</v>
      </c>
      <c r="O177" s="7" t="s">
        <v>75</v>
      </c>
      <c r="P177" s="7"/>
      <c r="Q177" s="7" t="s">
        <v>1284</v>
      </c>
      <c r="R177" s="7" t="n">
        <f aca="false">VALUE(LEFT(Q177,4))</f>
        <v>2002</v>
      </c>
      <c r="S177" s="7" t="n">
        <f aca="false">VALUE(MID(Q177,6,2))</f>
        <v>5</v>
      </c>
      <c r="T177" s="7" t="n">
        <f aca="false">VALUE(RIGHT(Q177,2))</f>
        <v>18</v>
      </c>
      <c r="U177" s="7" t="s">
        <v>77</v>
      </c>
      <c r="V177" s="7" t="s">
        <v>78</v>
      </c>
    </row>
    <row r="178" customFormat="false" ht="23.25" hidden="false" customHeight="true" outlineLevel="0" collapsed="false">
      <c r="A178" s="7" t="n">
        <v>177</v>
      </c>
      <c r="B178" s="7" t="s">
        <v>1289</v>
      </c>
      <c r="C178" s="7" t="s">
        <v>1290</v>
      </c>
      <c r="D178" s="7" t="n">
        <f aca="false">VALUE(LEFT(B178,4))</f>
        <v>2002</v>
      </c>
      <c r="E178" s="7" t="n">
        <f aca="false">INT((D178-1)/100)+1</f>
        <v>21</v>
      </c>
      <c r="F178" s="7" t="s">
        <v>1291</v>
      </c>
      <c r="G178" s="7" t="s">
        <v>1292</v>
      </c>
      <c r="H178" s="7" t="s">
        <v>954</v>
      </c>
      <c r="I178" s="7" t="s">
        <v>1293</v>
      </c>
      <c r="J178" s="7" t="s">
        <v>310</v>
      </c>
      <c r="K178" s="7" t="s">
        <v>1294</v>
      </c>
      <c r="L178" s="7" t="s">
        <v>627</v>
      </c>
      <c r="M178" s="7" t="s">
        <v>628</v>
      </c>
      <c r="N178" s="7" t="s">
        <v>16</v>
      </c>
      <c r="O178" s="7" t="s">
        <v>75</v>
      </c>
      <c r="P178" s="7"/>
      <c r="Q178" s="7" t="s">
        <v>1289</v>
      </c>
      <c r="R178" s="7" t="n">
        <f aca="false">VALUE(LEFT(Q178,4))</f>
        <v>2002</v>
      </c>
      <c r="S178" s="7" t="n">
        <f aca="false">VALUE(MID(Q178,6,2))</f>
        <v>12</v>
      </c>
      <c r="T178" s="7" t="n">
        <f aca="false">VALUE(RIGHT(Q178,2))</f>
        <v>25</v>
      </c>
      <c r="U178" s="7" t="s">
        <v>125</v>
      </c>
      <c r="V178" s="7" t="s">
        <v>126</v>
      </c>
    </row>
    <row r="179" customFormat="false" ht="23.25" hidden="false" customHeight="true" outlineLevel="0" collapsed="false">
      <c r="A179" s="7" t="n">
        <v>178</v>
      </c>
      <c r="B179" s="7" t="s">
        <v>1295</v>
      </c>
      <c r="C179" s="7" t="s">
        <v>1295</v>
      </c>
      <c r="D179" s="7" t="n">
        <f aca="false">VALUE(LEFT(B179,4))</f>
        <v>2003</v>
      </c>
      <c r="E179" s="7" t="n">
        <f aca="false">INT((D179-1)/100)+1</f>
        <v>21</v>
      </c>
      <c r="F179" s="7" t="s">
        <v>159</v>
      </c>
      <c r="G179" s="7" t="s">
        <v>1296</v>
      </c>
      <c r="H179" s="7" t="s">
        <v>954</v>
      </c>
      <c r="I179" s="7" t="s">
        <v>1297</v>
      </c>
      <c r="J179" s="7" t="s">
        <v>719</v>
      </c>
      <c r="K179" s="7" t="s">
        <v>1298</v>
      </c>
      <c r="L179" s="7" t="s">
        <v>627</v>
      </c>
      <c r="M179" s="7" t="s">
        <v>628</v>
      </c>
      <c r="N179" s="7" t="s">
        <v>16</v>
      </c>
      <c r="O179" s="7" t="s">
        <v>75</v>
      </c>
      <c r="P179" s="7"/>
      <c r="Q179" s="7" t="s">
        <v>1295</v>
      </c>
      <c r="R179" s="7" t="n">
        <f aca="false">VALUE(LEFT(Q179,4))</f>
        <v>2003</v>
      </c>
      <c r="S179" s="7" t="n">
        <f aca="false">VALUE(MID(Q179,6,2))</f>
        <v>2</v>
      </c>
      <c r="T179" s="7" t="n">
        <f aca="false">VALUE(RIGHT(Q179,2))</f>
        <v>17</v>
      </c>
      <c r="U179" s="7" t="s">
        <v>77</v>
      </c>
      <c r="V179" s="7" t="s">
        <v>78</v>
      </c>
    </row>
    <row r="180" customFormat="false" ht="23.25" hidden="false" customHeight="true" outlineLevel="0" collapsed="false">
      <c r="A180" s="7" t="n">
        <v>179</v>
      </c>
      <c r="B180" s="7" t="s">
        <v>1299</v>
      </c>
      <c r="C180" s="7" t="s">
        <v>1300</v>
      </c>
      <c r="D180" s="7" t="n">
        <f aca="false">VALUE(LEFT(B180,4))</f>
        <v>2003</v>
      </c>
      <c r="E180" s="7" t="n">
        <f aca="false">INT((D180-1)/100)+1</f>
        <v>21</v>
      </c>
      <c r="F180" s="7" t="s">
        <v>1301</v>
      </c>
      <c r="G180" s="7" t="s">
        <v>1302</v>
      </c>
      <c r="H180" s="7" t="s">
        <v>1303</v>
      </c>
      <c r="I180" s="7" t="s">
        <v>1304</v>
      </c>
      <c r="J180" s="7" t="s">
        <v>719</v>
      </c>
      <c r="K180" s="7" t="s">
        <v>1305</v>
      </c>
      <c r="L180" s="7" t="s">
        <v>627</v>
      </c>
      <c r="M180" s="7" t="s">
        <v>628</v>
      </c>
      <c r="N180" s="7" t="s">
        <v>16</v>
      </c>
      <c r="O180" s="7" t="s">
        <v>75</v>
      </c>
      <c r="P180" s="7"/>
      <c r="Q180" s="7" t="s">
        <v>1299</v>
      </c>
      <c r="R180" s="7" t="n">
        <f aca="false">VALUE(LEFT(Q180,4))</f>
        <v>2003</v>
      </c>
      <c r="S180" s="7" t="n">
        <f aca="false">VALUE(MID(Q180,6,2))</f>
        <v>4</v>
      </c>
      <c r="T180" s="7" t="n">
        <f aca="false">VALUE(RIGHT(Q180,2))</f>
        <v>3</v>
      </c>
      <c r="U180" s="7" t="s">
        <v>125</v>
      </c>
      <c r="V180" s="7" t="s">
        <v>126</v>
      </c>
    </row>
    <row r="181" customFormat="false" ht="23.25" hidden="false" customHeight="true" outlineLevel="0" collapsed="false">
      <c r="A181" s="7" t="n">
        <v>180</v>
      </c>
      <c r="B181" s="7" t="s">
        <v>1306</v>
      </c>
      <c r="C181" s="7" t="s">
        <v>1306</v>
      </c>
      <c r="D181" s="7" t="n">
        <f aca="false">VALUE(LEFT(B181,4))</f>
        <v>2003</v>
      </c>
      <c r="E181" s="7" t="n">
        <f aca="false">INT((D181-1)/100)+1</f>
        <v>21</v>
      </c>
      <c r="F181" s="7" t="s">
        <v>1184</v>
      </c>
      <c r="G181" s="7" t="s">
        <v>1307</v>
      </c>
      <c r="H181" s="7" t="s">
        <v>1308</v>
      </c>
      <c r="I181" s="7" t="s">
        <v>1309</v>
      </c>
      <c r="J181" s="7" t="s">
        <v>975</v>
      </c>
      <c r="K181" s="7" t="s">
        <v>976</v>
      </c>
      <c r="L181" s="7" t="s">
        <v>977</v>
      </c>
      <c r="M181" s="7" t="s">
        <v>978</v>
      </c>
      <c r="N181" s="7" t="s">
        <v>16</v>
      </c>
      <c r="O181" s="7" t="s">
        <v>75</v>
      </c>
      <c r="P181" s="7"/>
      <c r="Q181" s="7" t="s">
        <v>1306</v>
      </c>
      <c r="R181" s="7" t="n">
        <f aca="false">VALUE(LEFT(Q181,4))</f>
        <v>2003</v>
      </c>
      <c r="S181" s="7" t="n">
        <f aca="false">VALUE(MID(Q181,6,2))</f>
        <v>7</v>
      </c>
      <c r="T181" s="7" t="n">
        <f aca="false">VALUE(RIGHT(Q181,2))</f>
        <v>21</v>
      </c>
      <c r="U181" s="7" t="s">
        <v>77</v>
      </c>
      <c r="V181" s="7" t="s">
        <v>78</v>
      </c>
    </row>
    <row r="182" customFormat="false" ht="23.25" hidden="false" customHeight="true" outlineLevel="0" collapsed="false">
      <c r="A182" s="7" t="n">
        <v>181</v>
      </c>
      <c r="B182" s="7" t="s">
        <v>1310</v>
      </c>
      <c r="C182" s="7" t="s">
        <v>1311</v>
      </c>
      <c r="D182" s="7" t="n">
        <f aca="false">VALUE(LEFT(B182,4))</f>
        <v>2003</v>
      </c>
      <c r="E182" s="7" t="n">
        <f aca="false">INT((D182-1)/100)+1</f>
        <v>21</v>
      </c>
      <c r="F182" s="7" t="s">
        <v>139</v>
      </c>
      <c r="G182" s="7" t="s">
        <v>1312</v>
      </c>
      <c r="H182" s="7" t="s">
        <v>1313</v>
      </c>
      <c r="I182" s="7" t="s">
        <v>1314</v>
      </c>
      <c r="J182" s="7" t="s">
        <v>1158</v>
      </c>
      <c r="K182" s="7" t="s">
        <v>1315</v>
      </c>
      <c r="L182" s="7" t="s">
        <v>627</v>
      </c>
      <c r="M182" s="7" t="s">
        <v>628</v>
      </c>
      <c r="N182" s="7" t="s">
        <v>16</v>
      </c>
      <c r="O182" s="7" t="s">
        <v>75</v>
      </c>
      <c r="P182" s="7"/>
      <c r="Q182" s="7" t="s">
        <v>1310</v>
      </c>
      <c r="R182" s="7" t="n">
        <f aca="false">VALUE(LEFT(Q182,4))</f>
        <v>2003</v>
      </c>
      <c r="S182" s="7" t="n">
        <f aca="false">VALUE(MID(Q182,6,2))</f>
        <v>12</v>
      </c>
      <c r="T182" s="7" t="n">
        <f aca="false">VALUE(RIGHT(Q182,2))</f>
        <v>6</v>
      </c>
      <c r="U182" s="7" t="s">
        <v>125</v>
      </c>
      <c r="V182" s="7" t="s">
        <v>126</v>
      </c>
    </row>
    <row r="183" customFormat="false" ht="23.25" hidden="false" customHeight="true" outlineLevel="0" collapsed="false">
      <c r="A183" s="7" t="n">
        <v>182</v>
      </c>
      <c r="B183" s="7" t="s">
        <v>1316</v>
      </c>
      <c r="C183" s="7" t="s">
        <v>1317</v>
      </c>
      <c r="D183" s="7" t="n">
        <f aca="false">VALUE(LEFT(B183,4))</f>
        <v>2004</v>
      </c>
      <c r="E183" s="7" t="n">
        <f aca="false">INT((D183-1)/100)+1</f>
        <v>21</v>
      </c>
      <c r="F183" s="7" t="s">
        <v>553</v>
      </c>
      <c r="G183" s="7" t="s">
        <v>1318</v>
      </c>
      <c r="H183" s="7" t="s">
        <v>1319</v>
      </c>
      <c r="I183" s="7" t="s">
        <v>1320</v>
      </c>
      <c r="J183" s="7" t="s">
        <v>332</v>
      </c>
      <c r="K183" s="7" t="s">
        <v>1321</v>
      </c>
      <c r="L183" s="7" t="s">
        <v>1001</v>
      </c>
      <c r="M183" s="7" t="s">
        <v>1002</v>
      </c>
      <c r="N183" s="7" t="s">
        <v>18</v>
      </c>
      <c r="O183" s="7" t="s">
        <v>75</v>
      </c>
      <c r="P183" s="7" t="s">
        <v>1322</v>
      </c>
      <c r="Q183" s="7" t="s">
        <v>1323</v>
      </c>
      <c r="R183" s="7" t="n">
        <f aca="false">VALUE(LEFT(Q183,4))</f>
        <v>2004</v>
      </c>
      <c r="S183" s="7" t="n">
        <f aca="false">VALUE(MID(Q183,6,2))</f>
        <v>2</v>
      </c>
      <c r="T183" s="7" t="n">
        <f aca="false">VALUE(RIGHT(Q183,2))</f>
        <v>14</v>
      </c>
      <c r="U183" s="7" t="s">
        <v>317</v>
      </c>
      <c r="V183" s="7" t="s">
        <v>318</v>
      </c>
    </row>
    <row r="184" customFormat="false" ht="23.25" hidden="false" customHeight="true" outlineLevel="0" collapsed="false">
      <c r="A184" s="7" t="n">
        <v>183</v>
      </c>
      <c r="B184" s="7" t="s">
        <v>1324</v>
      </c>
      <c r="C184" s="7" t="s">
        <v>1325</v>
      </c>
      <c r="D184" s="7" t="n">
        <f aca="false">VALUE(LEFT(B184,4))</f>
        <v>2004</v>
      </c>
      <c r="E184" s="7" t="n">
        <f aca="false">INT((D184-1)/100)+1</f>
        <v>21</v>
      </c>
      <c r="F184" s="7" t="s">
        <v>97</v>
      </c>
      <c r="G184" s="7" t="s">
        <v>1326</v>
      </c>
      <c r="H184" s="7" t="s">
        <v>954</v>
      </c>
      <c r="I184" s="7" t="s">
        <v>1327</v>
      </c>
      <c r="J184" s="7" t="s">
        <v>719</v>
      </c>
      <c r="K184" s="7"/>
      <c r="L184" s="7" t="s">
        <v>627</v>
      </c>
      <c r="M184" s="7" t="s">
        <v>628</v>
      </c>
      <c r="N184" s="7" t="s">
        <v>16</v>
      </c>
      <c r="O184" s="7" t="s">
        <v>75</v>
      </c>
      <c r="P184" s="7"/>
      <c r="Q184" s="7" t="s">
        <v>1324</v>
      </c>
      <c r="R184" s="7" t="n">
        <f aca="false">VALUE(LEFT(Q184,4))</f>
        <v>2004</v>
      </c>
      <c r="S184" s="7" t="n">
        <f aca="false">VALUE(MID(Q184,6,2))</f>
        <v>9</v>
      </c>
      <c r="T184" s="7" t="n">
        <f aca="false">VALUE(RIGHT(Q184,2))</f>
        <v>17</v>
      </c>
      <c r="U184" s="7" t="s">
        <v>125</v>
      </c>
      <c r="V184" s="7" t="s">
        <v>126</v>
      </c>
    </row>
    <row r="185" customFormat="false" ht="23.25" hidden="false" customHeight="true" outlineLevel="0" collapsed="false">
      <c r="A185" s="7" t="n">
        <v>184</v>
      </c>
      <c r="B185" s="7" t="s">
        <v>1328</v>
      </c>
      <c r="C185" s="7" t="s">
        <v>1329</v>
      </c>
      <c r="D185" s="7" t="n">
        <f aca="false">VALUE(LEFT(B185,4))</f>
        <v>2005</v>
      </c>
      <c r="E185" s="7" t="n">
        <f aca="false">INT((D185-1)/100)+1</f>
        <v>21</v>
      </c>
      <c r="F185" s="7" t="s">
        <v>1244</v>
      </c>
      <c r="G185" s="7" t="s">
        <v>1330</v>
      </c>
      <c r="H185" s="7" t="s">
        <v>954</v>
      </c>
      <c r="I185" s="7"/>
      <c r="J185" s="7" t="s">
        <v>719</v>
      </c>
      <c r="K185" s="7" t="s">
        <v>1331</v>
      </c>
      <c r="L185" s="7" t="s">
        <v>627</v>
      </c>
      <c r="M185" s="7" t="s">
        <v>628</v>
      </c>
      <c r="N185" s="7" t="s">
        <v>18</v>
      </c>
      <c r="O185" s="7" t="s">
        <v>75</v>
      </c>
      <c r="P185" s="7"/>
      <c r="Q185" s="7" t="s">
        <v>1328</v>
      </c>
      <c r="R185" s="7" t="n">
        <f aca="false">VALUE(LEFT(Q185,4))</f>
        <v>2005</v>
      </c>
      <c r="S185" s="7" t="n">
        <f aca="false">VALUE(MID(Q185,6,2))</f>
        <v>1</v>
      </c>
      <c r="T185" s="7" t="n">
        <f aca="false">VALUE(RIGHT(Q185,2))</f>
        <v>13</v>
      </c>
      <c r="U185" s="7" t="s">
        <v>125</v>
      </c>
      <c r="V185" s="7" t="s">
        <v>126</v>
      </c>
    </row>
    <row r="186" customFormat="false" ht="23.25" hidden="false" customHeight="true" outlineLevel="0" collapsed="false">
      <c r="A186" s="7" t="n">
        <v>185</v>
      </c>
      <c r="B186" s="7" t="s">
        <v>1332</v>
      </c>
      <c r="C186" s="7" t="s">
        <v>1333</v>
      </c>
      <c r="D186" s="7" t="n">
        <f aca="false">VALUE(LEFT(B186,4))</f>
        <v>2005</v>
      </c>
      <c r="E186" s="7" t="n">
        <f aca="false">INT((D186-1)/100)+1</f>
        <v>21</v>
      </c>
      <c r="F186" s="7" t="s">
        <v>129</v>
      </c>
      <c r="G186" s="7" t="s">
        <v>1334</v>
      </c>
      <c r="H186" s="7" t="s">
        <v>1335</v>
      </c>
      <c r="I186" s="7" t="s">
        <v>1336</v>
      </c>
      <c r="J186" s="7" t="s">
        <v>1337</v>
      </c>
      <c r="K186" s="7" t="s">
        <v>1338</v>
      </c>
      <c r="L186" s="7" t="s">
        <v>627</v>
      </c>
      <c r="M186" s="7" t="s">
        <v>628</v>
      </c>
      <c r="N186" s="7" t="s">
        <v>16</v>
      </c>
      <c r="O186" s="7" t="s">
        <v>75</v>
      </c>
      <c r="P186" s="7"/>
      <c r="Q186" s="7" t="s">
        <v>1332</v>
      </c>
      <c r="R186" s="7" t="n">
        <f aca="false">VALUE(LEFT(Q186,4))</f>
        <v>2005</v>
      </c>
      <c r="S186" s="7" t="n">
        <f aca="false">VALUE(MID(Q186,6,2))</f>
        <v>4</v>
      </c>
      <c r="T186" s="7" t="n">
        <f aca="false">VALUE(RIGHT(Q186,2))</f>
        <v>2</v>
      </c>
      <c r="U186" s="7" t="s">
        <v>125</v>
      </c>
      <c r="V186" s="7" t="s">
        <v>126</v>
      </c>
    </row>
    <row r="187" customFormat="false" ht="23.25" hidden="false" customHeight="true" outlineLevel="0" collapsed="false">
      <c r="A187" s="7" t="n">
        <v>186</v>
      </c>
      <c r="B187" s="7" t="s">
        <v>1339</v>
      </c>
      <c r="C187" s="7" t="s">
        <v>1340</v>
      </c>
      <c r="D187" s="7" t="n">
        <f aca="false">VALUE(LEFT(B187,4))</f>
        <v>2005</v>
      </c>
      <c r="E187" s="7" t="n">
        <f aca="false">INT((D187-1)/100)+1</f>
        <v>21</v>
      </c>
      <c r="F187" s="7" t="s">
        <v>129</v>
      </c>
      <c r="G187" s="7" t="s">
        <v>1341</v>
      </c>
      <c r="H187" s="7" t="s">
        <v>1342</v>
      </c>
      <c r="I187" s="7" t="s">
        <v>1343</v>
      </c>
      <c r="J187" s="7" t="s">
        <v>719</v>
      </c>
      <c r="K187" s="7" t="s">
        <v>1344</v>
      </c>
      <c r="L187" s="7" t="s">
        <v>627</v>
      </c>
      <c r="M187" s="7" t="s">
        <v>628</v>
      </c>
      <c r="N187" s="7" t="s">
        <v>16</v>
      </c>
      <c r="O187" s="7" t="s">
        <v>75</v>
      </c>
      <c r="P187" s="7"/>
      <c r="Q187" s="7" t="s">
        <v>1339</v>
      </c>
      <c r="R187" s="7" t="n">
        <f aca="false">VALUE(LEFT(Q187,4))</f>
        <v>2005</v>
      </c>
      <c r="S187" s="7" t="n">
        <f aca="false">VALUE(MID(Q187,6,2))</f>
        <v>10</v>
      </c>
      <c r="T187" s="7" t="n">
        <f aca="false">VALUE(RIGHT(Q187,2))</f>
        <v>7</v>
      </c>
      <c r="U187" s="7" t="s">
        <v>125</v>
      </c>
      <c r="V187" s="7" t="s">
        <v>126</v>
      </c>
    </row>
    <row r="188" customFormat="false" ht="23.25" hidden="false" customHeight="true" outlineLevel="0" collapsed="false">
      <c r="A188" s="7" t="n">
        <v>187</v>
      </c>
      <c r="B188" s="7" t="s">
        <v>1345</v>
      </c>
      <c r="C188" s="7" t="s">
        <v>1346</v>
      </c>
      <c r="D188" s="7" t="n">
        <f aca="false">VALUE(LEFT(B188,4))</f>
        <v>2006</v>
      </c>
      <c r="E188" s="7" t="n">
        <f aca="false">INT((D188-1)/100)+1</f>
        <v>21</v>
      </c>
      <c r="F188" s="7" t="s">
        <v>580</v>
      </c>
      <c r="G188" s="7" t="s">
        <v>1347</v>
      </c>
      <c r="H188" s="7" t="s">
        <v>1348</v>
      </c>
      <c r="I188" s="7" t="s">
        <v>1349</v>
      </c>
      <c r="J188" s="7" t="s">
        <v>332</v>
      </c>
      <c r="K188" s="7" t="s">
        <v>1350</v>
      </c>
      <c r="L188" s="7" t="s">
        <v>569</v>
      </c>
      <c r="M188" s="7" t="s">
        <v>1351</v>
      </c>
      <c r="N188" s="7" t="s">
        <v>18</v>
      </c>
      <c r="O188" s="7" t="s">
        <v>75</v>
      </c>
      <c r="P188" s="7"/>
      <c r="Q188" s="7" t="s">
        <v>1352</v>
      </c>
      <c r="R188" s="7" t="n">
        <f aca="false">VALUE(LEFT(Q188,4))</f>
        <v>2006</v>
      </c>
      <c r="S188" s="7" t="n">
        <f aca="false">VALUE(MID(Q188,6,2))</f>
        <v>7</v>
      </c>
      <c r="T188" s="7" t="n">
        <f aca="false">VALUE(RIGHT(Q188,2))</f>
        <v>16</v>
      </c>
      <c r="U188" s="7" t="s">
        <v>114</v>
      </c>
      <c r="V188" s="7" t="s">
        <v>325</v>
      </c>
    </row>
    <row r="189" customFormat="false" ht="23.25" hidden="false" customHeight="true" outlineLevel="0" collapsed="false">
      <c r="A189" s="7" t="n">
        <v>188</v>
      </c>
      <c r="B189" s="7" t="s">
        <v>1353</v>
      </c>
      <c r="C189" s="7" t="s">
        <v>1354</v>
      </c>
      <c r="D189" s="7" t="n">
        <f aca="false">VALUE(LEFT(B189,4))</f>
        <v>2006</v>
      </c>
      <c r="E189" s="7" t="n">
        <f aca="false">INT((D189-1)/100)+1</f>
        <v>21</v>
      </c>
      <c r="F189" s="7" t="s">
        <v>129</v>
      </c>
      <c r="G189" s="7" t="s">
        <v>1355</v>
      </c>
      <c r="H189" s="7" t="s">
        <v>1356</v>
      </c>
      <c r="I189" s="7" t="s">
        <v>1357</v>
      </c>
      <c r="J189" s="7" t="s">
        <v>719</v>
      </c>
      <c r="K189" s="7" t="s">
        <v>1358</v>
      </c>
      <c r="L189" s="7" t="s">
        <v>627</v>
      </c>
      <c r="M189" s="7" t="s">
        <v>628</v>
      </c>
      <c r="N189" s="7" t="s">
        <v>16</v>
      </c>
      <c r="O189" s="7" t="s">
        <v>75</v>
      </c>
      <c r="P189" s="7"/>
      <c r="Q189" s="7" t="s">
        <v>1353</v>
      </c>
      <c r="R189" s="7" t="n">
        <f aca="false">VALUE(LEFT(Q189,4))</f>
        <v>2006</v>
      </c>
      <c r="S189" s="7" t="n">
        <f aca="false">VALUE(MID(Q189,6,2))</f>
        <v>6</v>
      </c>
      <c r="T189" s="7" t="n">
        <f aca="false">VALUE(RIGHT(Q189,2))</f>
        <v>26</v>
      </c>
      <c r="U189" s="7" t="s">
        <v>125</v>
      </c>
      <c r="V189" s="7" t="s">
        <v>126</v>
      </c>
    </row>
    <row r="190" customFormat="false" ht="23.25" hidden="false" customHeight="true" outlineLevel="0" collapsed="false">
      <c r="A190" s="7" t="n">
        <v>189</v>
      </c>
      <c r="B190" s="7" t="s">
        <v>1359</v>
      </c>
      <c r="C190" s="7" t="s">
        <v>1360</v>
      </c>
      <c r="D190" s="7" t="n">
        <f aca="false">VALUE(LEFT(B190,4))</f>
        <v>2007</v>
      </c>
      <c r="E190" s="7" t="n">
        <f aca="false">INT((D190-1)/100)+1</f>
        <v>21</v>
      </c>
      <c r="F190" s="7" t="s">
        <v>818</v>
      </c>
      <c r="G190" s="7" t="s">
        <v>1361</v>
      </c>
      <c r="H190" s="7" t="s">
        <v>1362</v>
      </c>
      <c r="I190" s="7" t="s">
        <v>1363</v>
      </c>
      <c r="J190" s="7" t="s">
        <v>719</v>
      </c>
      <c r="K190" s="7"/>
      <c r="L190" s="7" t="s">
        <v>627</v>
      </c>
      <c r="M190" s="7" t="s">
        <v>628</v>
      </c>
      <c r="N190" s="7" t="s">
        <v>16</v>
      </c>
      <c r="O190" s="7" t="s">
        <v>75</v>
      </c>
      <c r="P190" s="7"/>
      <c r="Q190" s="7" t="s">
        <v>1359</v>
      </c>
      <c r="R190" s="7" t="n">
        <f aca="false">VALUE(LEFT(Q190,4))</f>
        <v>2007</v>
      </c>
      <c r="S190" s="7" t="n">
        <f aca="false">VALUE(MID(Q190,6,2))</f>
        <v>1</v>
      </c>
      <c r="T190" s="7" t="n">
        <f aca="false">VALUE(RIGHT(Q190,2))</f>
        <v>14</v>
      </c>
      <c r="U190" s="7" t="s">
        <v>125</v>
      </c>
      <c r="V190" s="7" t="s">
        <v>126</v>
      </c>
    </row>
    <row r="191" customFormat="false" ht="23.25" hidden="false" customHeight="true" outlineLevel="0" collapsed="false">
      <c r="A191" s="7" t="n">
        <v>190</v>
      </c>
      <c r="B191" s="7" t="s">
        <v>1364</v>
      </c>
      <c r="C191" s="7" t="s">
        <v>1364</v>
      </c>
      <c r="D191" s="7" t="n">
        <f aca="false">VALUE(LEFT(B191,4))</f>
        <v>2007</v>
      </c>
      <c r="E191" s="7" t="n">
        <f aca="false">INT((D191-1)/100)+1</f>
        <v>21</v>
      </c>
      <c r="F191" s="7" t="s">
        <v>159</v>
      </c>
      <c r="G191" s="7" t="s">
        <v>1365</v>
      </c>
      <c r="H191" s="7" t="s">
        <v>954</v>
      </c>
      <c r="I191" s="7" t="s">
        <v>1366</v>
      </c>
      <c r="J191" s="7" t="s">
        <v>719</v>
      </c>
      <c r="K191" s="7" t="s">
        <v>1015</v>
      </c>
      <c r="L191" s="7" t="s">
        <v>627</v>
      </c>
      <c r="M191" s="7" t="s">
        <v>628</v>
      </c>
      <c r="N191" s="7" t="s">
        <v>16</v>
      </c>
      <c r="O191" s="7" t="s">
        <v>75</v>
      </c>
      <c r="P191" s="7"/>
      <c r="Q191" s="7" t="s">
        <v>1364</v>
      </c>
      <c r="R191" s="7" t="n">
        <f aca="false">VALUE(LEFT(Q191,4))</f>
        <v>2007</v>
      </c>
      <c r="S191" s="7" t="n">
        <f aca="false">VALUE(MID(Q191,6,2))</f>
        <v>2</v>
      </c>
      <c r="T191" s="7" t="n">
        <f aca="false">VALUE(RIGHT(Q191,2))</f>
        <v>14</v>
      </c>
      <c r="U191" s="7" t="s">
        <v>77</v>
      </c>
      <c r="V191" s="7" t="s">
        <v>78</v>
      </c>
    </row>
    <row r="192" customFormat="false" ht="23.25" hidden="false" customHeight="true" outlineLevel="0" collapsed="false">
      <c r="A192" s="7" t="n">
        <v>191</v>
      </c>
      <c r="B192" s="7" t="s">
        <v>1367</v>
      </c>
      <c r="C192" s="7" t="s">
        <v>1368</v>
      </c>
      <c r="D192" s="7" t="n">
        <f aca="false">VALUE(LEFT(B192,4))</f>
        <v>2007</v>
      </c>
      <c r="E192" s="7" t="n">
        <f aca="false">INT((D192-1)/100)+1</f>
        <v>21</v>
      </c>
      <c r="F192" s="7" t="s">
        <v>1369</v>
      </c>
      <c r="G192" s="7" t="s">
        <v>1370</v>
      </c>
      <c r="H192" s="7" t="s">
        <v>1371</v>
      </c>
      <c r="I192" s="7" t="s">
        <v>1372</v>
      </c>
      <c r="J192" s="7" t="s">
        <v>719</v>
      </c>
      <c r="K192" s="7" t="s">
        <v>1373</v>
      </c>
      <c r="L192" s="7" t="s">
        <v>627</v>
      </c>
      <c r="M192" s="7" t="s">
        <v>628</v>
      </c>
      <c r="N192" s="7" t="s">
        <v>16</v>
      </c>
      <c r="O192" s="7" t="s">
        <v>75</v>
      </c>
      <c r="P192" s="7"/>
      <c r="Q192" s="7" t="s">
        <v>1367</v>
      </c>
      <c r="R192" s="7" t="n">
        <f aca="false">VALUE(LEFT(Q192,4))</f>
        <v>2007</v>
      </c>
      <c r="S192" s="7" t="n">
        <f aca="false">VALUE(MID(Q192,6,2))</f>
        <v>4</v>
      </c>
      <c r="T192" s="7" t="n">
        <f aca="false">VALUE(RIGHT(Q192,2))</f>
        <v>15</v>
      </c>
      <c r="U192" s="7" t="s">
        <v>125</v>
      </c>
      <c r="V192" s="7" t="s">
        <v>126</v>
      </c>
    </row>
    <row r="193" customFormat="false" ht="45.75" hidden="false" customHeight="true" outlineLevel="0" collapsed="false">
      <c r="A193" s="7" t="n">
        <v>192</v>
      </c>
      <c r="B193" s="7" t="s">
        <v>1374</v>
      </c>
      <c r="C193" s="7" t="s">
        <v>1375</v>
      </c>
      <c r="D193" s="7" t="n">
        <f aca="false">VALUE(LEFT(B193,4))</f>
        <v>2008</v>
      </c>
      <c r="E193" s="7" t="n">
        <f aca="false">INT((D193-1)/100)+1</f>
        <v>21</v>
      </c>
      <c r="F193" s="7" t="s">
        <v>1376</v>
      </c>
      <c r="G193" s="7" t="s">
        <v>1377</v>
      </c>
      <c r="H193" s="7" t="s">
        <v>1378</v>
      </c>
      <c r="I193" s="7" t="s">
        <v>1379</v>
      </c>
      <c r="J193" s="7" t="s">
        <v>1380</v>
      </c>
      <c r="K193" s="7" t="s">
        <v>1381</v>
      </c>
      <c r="L193" s="7" t="s">
        <v>1382</v>
      </c>
      <c r="M193" s="7" t="s">
        <v>1383</v>
      </c>
      <c r="N193" s="7" t="s">
        <v>20</v>
      </c>
      <c r="O193" s="7" t="s">
        <v>75</v>
      </c>
      <c r="P193" s="7" t="s">
        <v>1384</v>
      </c>
      <c r="Q193" s="7" t="s">
        <v>1385</v>
      </c>
      <c r="R193" s="7" t="n">
        <f aca="false">VALUE(LEFT(Q193,4))</f>
        <v>2008</v>
      </c>
      <c r="S193" s="7" t="n">
        <f aca="false">VALUE(MID(Q193,6,2))</f>
        <v>8</v>
      </c>
      <c r="T193" s="7" t="n">
        <f aca="false">VALUE(RIGHT(Q193,2))</f>
        <v>15</v>
      </c>
      <c r="U193" s="7" t="s">
        <v>317</v>
      </c>
      <c r="V193" s="7" t="s">
        <v>1386</v>
      </c>
    </row>
    <row r="194" customFormat="false" ht="23.25" hidden="false" customHeight="true" outlineLevel="0" collapsed="false">
      <c r="A194" s="7" t="n">
        <v>193</v>
      </c>
      <c r="B194" s="7" t="s">
        <v>1387</v>
      </c>
      <c r="C194" s="7" t="s">
        <v>1388</v>
      </c>
      <c r="D194" s="7" t="n">
        <f aca="false">VALUE(LEFT(B194,4))</f>
        <v>2008</v>
      </c>
      <c r="E194" s="7" t="n">
        <f aca="false">INT((D194-1)/100)+1</f>
        <v>21</v>
      </c>
      <c r="F194" s="7" t="s">
        <v>818</v>
      </c>
      <c r="G194" s="7" t="s">
        <v>1389</v>
      </c>
      <c r="H194" s="7" t="s">
        <v>1390</v>
      </c>
      <c r="I194" s="7" t="s">
        <v>1391</v>
      </c>
      <c r="J194" s="7" t="s">
        <v>719</v>
      </c>
      <c r="K194" s="7" t="s">
        <v>1392</v>
      </c>
      <c r="L194" s="7" t="s">
        <v>627</v>
      </c>
      <c r="M194" s="7" t="s">
        <v>628</v>
      </c>
      <c r="N194" s="7" t="s">
        <v>16</v>
      </c>
      <c r="O194" s="7" t="s">
        <v>75</v>
      </c>
      <c r="P194" s="7"/>
      <c r="Q194" s="7" t="s">
        <v>1387</v>
      </c>
      <c r="R194" s="7" t="n">
        <f aca="false">VALUE(LEFT(Q194,4))</f>
        <v>2008</v>
      </c>
      <c r="S194" s="7" t="n">
        <f aca="false">VALUE(MID(Q194,6,2))</f>
        <v>12</v>
      </c>
      <c r="T194" s="7" t="n">
        <f aca="false">VALUE(RIGHT(Q194,2))</f>
        <v>11</v>
      </c>
      <c r="U194" s="7" t="s">
        <v>125</v>
      </c>
      <c r="V194" s="7" t="s">
        <v>126</v>
      </c>
    </row>
    <row r="195" customFormat="false" ht="57" hidden="false" customHeight="true" outlineLevel="0" collapsed="false">
      <c r="A195" s="7" t="n">
        <v>194</v>
      </c>
      <c r="B195" s="7" t="s">
        <v>1393</v>
      </c>
      <c r="C195" s="7" t="s">
        <v>1394</v>
      </c>
      <c r="D195" s="7" t="n">
        <f aca="false">VALUE(LEFT(B195,4))</f>
        <v>2009</v>
      </c>
      <c r="E195" s="7" t="n">
        <f aca="false">INT((D195-1)/100)+1</f>
        <v>21</v>
      </c>
      <c r="F195" s="7" t="s">
        <v>1395</v>
      </c>
      <c r="G195" s="7" t="s">
        <v>1396</v>
      </c>
      <c r="H195" s="7" t="s">
        <v>1397</v>
      </c>
      <c r="I195" s="7" t="s">
        <v>1398</v>
      </c>
      <c r="J195" s="7" t="s">
        <v>1399</v>
      </c>
      <c r="K195" s="7" t="s">
        <v>1400</v>
      </c>
      <c r="L195" s="7" t="s">
        <v>1382</v>
      </c>
      <c r="M195" s="7" t="s">
        <v>1383</v>
      </c>
      <c r="N195" s="7" t="s">
        <v>20</v>
      </c>
      <c r="O195" s="7" t="s">
        <v>75</v>
      </c>
      <c r="P195" s="7" t="s">
        <v>1401</v>
      </c>
      <c r="Q195" s="7" t="s">
        <v>1402</v>
      </c>
      <c r="R195" s="7" t="n">
        <f aca="false">VALUE(LEFT(Q195,4))</f>
        <v>2009</v>
      </c>
      <c r="S195" s="7" t="n">
        <f aca="false">VALUE(MID(Q195,6,2))</f>
        <v>4</v>
      </c>
      <c r="T195" s="7" t="n">
        <f aca="false">VALUE(RIGHT(Q195,2))</f>
        <v>15</v>
      </c>
      <c r="U195" s="7" t="s">
        <v>317</v>
      </c>
      <c r="V195" s="7" t="s">
        <v>1403</v>
      </c>
    </row>
    <row r="196" customFormat="false" ht="34.5" hidden="false" customHeight="true" outlineLevel="0" collapsed="false">
      <c r="A196" s="7" t="n">
        <v>195</v>
      </c>
      <c r="B196" s="7" t="s">
        <v>1404</v>
      </c>
      <c r="C196" s="7" t="s">
        <v>1405</v>
      </c>
      <c r="D196" s="7" t="n">
        <f aca="false">VALUE(LEFT(B196,4))</f>
        <v>2010</v>
      </c>
      <c r="E196" s="7" t="n">
        <f aca="false">INT((D196-1)/100)+1</f>
        <v>21</v>
      </c>
      <c r="F196" s="7" t="s">
        <v>580</v>
      </c>
      <c r="G196" s="7" t="s">
        <v>1406</v>
      </c>
      <c r="H196" s="7" t="s">
        <v>1407</v>
      </c>
      <c r="I196" s="7" t="s">
        <v>1408</v>
      </c>
      <c r="J196" s="7" t="s">
        <v>332</v>
      </c>
      <c r="K196" s="7" t="s">
        <v>1409</v>
      </c>
      <c r="L196" s="7" t="s">
        <v>1410</v>
      </c>
      <c r="M196" s="7" t="s">
        <v>1411</v>
      </c>
      <c r="N196" s="7" t="s">
        <v>20</v>
      </c>
      <c r="O196" s="7" t="s">
        <v>75</v>
      </c>
      <c r="P196" s="7" t="s">
        <v>1412</v>
      </c>
      <c r="Q196" s="7" t="s">
        <v>1413</v>
      </c>
      <c r="R196" s="7" t="n">
        <f aca="false">VALUE(LEFT(Q196,4))</f>
        <v>2018</v>
      </c>
      <c r="S196" s="7" t="n">
        <f aca="false">VALUE(MID(Q196,6,2))</f>
        <v>2</v>
      </c>
      <c r="T196" s="7" t="n">
        <f aca="false">VALUE(RIGHT(Q196,2))</f>
        <v>22</v>
      </c>
      <c r="U196" s="7" t="s">
        <v>338</v>
      </c>
      <c r="V196" s="7" t="s">
        <v>1414</v>
      </c>
    </row>
    <row r="197" customFormat="false" ht="23.25" hidden="false" customHeight="true" outlineLevel="0" collapsed="false">
      <c r="A197" s="7" t="n">
        <v>196</v>
      </c>
      <c r="B197" s="7" t="s">
        <v>1415</v>
      </c>
      <c r="C197" s="7" t="s">
        <v>1416</v>
      </c>
      <c r="D197" s="7" t="n">
        <f aca="false">VALUE(LEFT(B197,4))</f>
        <v>2010</v>
      </c>
      <c r="E197" s="7" t="n">
        <f aca="false">INT((D197-1)/100)+1</f>
        <v>21</v>
      </c>
      <c r="F197" s="7" t="s">
        <v>1417</v>
      </c>
      <c r="G197" s="7" t="s">
        <v>1418</v>
      </c>
      <c r="H197" s="7" t="s">
        <v>1419</v>
      </c>
      <c r="I197" s="7" t="s">
        <v>1420</v>
      </c>
      <c r="J197" s="7" t="s">
        <v>719</v>
      </c>
      <c r="K197" s="7" t="s">
        <v>1421</v>
      </c>
      <c r="L197" s="7" t="s">
        <v>627</v>
      </c>
      <c r="M197" s="7" t="s">
        <v>628</v>
      </c>
      <c r="N197" s="7" t="s">
        <v>16</v>
      </c>
      <c r="O197" s="7" t="s">
        <v>75</v>
      </c>
      <c r="P197" s="7"/>
      <c r="Q197" s="7" t="s">
        <v>1415</v>
      </c>
      <c r="R197" s="7" t="n">
        <f aca="false">VALUE(LEFT(Q197,4))</f>
        <v>2010</v>
      </c>
      <c r="S197" s="7" t="n">
        <f aca="false">VALUE(MID(Q197,6,2))</f>
        <v>1</v>
      </c>
      <c r="T197" s="7" t="n">
        <f aca="false">VALUE(RIGHT(Q197,2))</f>
        <v>25</v>
      </c>
      <c r="U197" s="7" t="s">
        <v>125</v>
      </c>
      <c r="V197" s="7" t="s">
        <v>126</v>
      </c>
    </row>
    <row r="198" customFormat="false" ht="23.25" hidden="false" customHeight="true" outlineLevel="0" collapsed="false">
      <c r="A198" s="7" t="n">
        <v>197</v>
      </c>
      <c r="B198" s="7" t="s">
        <v>1422</v>
      </c>
      <c r="C198" s="7" t="s">
        <v>1423</v>
      </c>
      <c r="D198" s="7" t="n">
        <f aca="false">VALUE(LEFT(B198,4))</f>
        <v>2010</v>
      </c>
      <c r="E198" s="7" t="n">
        <f aca="false">INT((D198-1)/100)+1</f>
        <v>21</v>
      </c>
      <c r="F198" s="7" t="s">
        <v>1291</v>
      </c>
      <c r="G198" s="7" t="s">
        <v>1424</v>
      </c>
      <c r="H198" s="7" t="s">
        <v>1425</v>
      </c>
      <c r="I198" s="7" t="s">
        <v>1426</v>
      </c>
      <c r="J198" s="7" t="s">
        <v>719</v>
      </c>
      <c r="K198" s="7" t="s">
        <v>1427</v>
      </c>
      <c r="L198" s="7" t="s">
        <v>627</v>
      </c>
      <c r="M198" s="7" t="s">
        <v>628</v>
      </c>
      <c r="N198" s="7" t="s">
        <v>16</v>
      </c>
      <c r="O198" s="7" t="s">
        <v>75</v>
      </c>
      <c r="P198" s="7" t="s">
        <v>1428</v>
      </c>
      <c r="Q198" s="7" t="s">
        <v>1422</v>
      </c>
      <c r="R198" s="7" t="n">
        <f aca="false">VALUE(LEFT(Q198,4))</f>
        <v>2010</v>
      </c>
      <c r="S198" s="7" t="n">
        <f aca="false">VALUE(MID(Q198,6,2))</f>
        <v>2</v>
      </c>
      <c r="T198" s="7" t="n">
        <f aca="false">VALUE(RIGHT(Q198,2))</f>
        <v>23</v>
      </c>
      <c r="U198" s="7" t="s">
        <v>125</v>
      </c>
      <c r="V198" s="7" t="s">
        <v>126</v>
      </c>
    </row>
    <row r="199" customFormat="false" ht="23.25" hidden="false" customHeight="true" outlineLevel="0" collapsed="false">
      <c r="A199" s="7" t="n">
        <v>198</v>
      </c>
      <c r="B199" s="7" t="s">
        <v>1429</v>
      </c>
      <c r="C199" s="7" t="s">
        <v>1430</v>
      </c>
      <c r="D199" s="7" t="n">
        <f aca="false">VALUE(LEFT(B199,4))</f>
        <v>2010</v>
      </c>
      <c r="E199" s="7" t="n">
        <f aca="false">INT((D199-1)/100)+1</f>
        <v>21</v>
      </c>
      <c r="F199" s="7" t="s">
        <v>1431</v>
      </c>
      <c r="G199" s="7" t="s">
        <v>1432</v>
      </c>
      <c r="H199" s="7" t="s">
        <v>954</v>
      </c>
      <c r="I199" s="7" t="s">
        <v>1433</v>
      </c>
      <c r="J199" s="7" t="s">
        <v>310</v>
      </c>
      <c r="K199" s="7" t="s">
        <v>1434</v>
      </c>
      <c r="L199" s="7" t="s">
        <v>627</v>
      </c>
      <c r="M199" s="7" t="s">
        <v>628</v>
      </c>
      <c r="N199" s="7" t="s">
        <v>16</v>
      </c>
      <c r="O199" s="7" t="s">
        <v>75</v>
      </c>
      <c r="P199" s="7"/>
      <c r="Q199" s="7" t="s">
        <v>1429</v>
      </c>
      <c r="R199" s="7" t="n">
        <f aca="false">VALUE(LEFT(Q199,4))</f>
        <v>2010</v>
      </c>
      <c r="S199" s="7" t="n">
        <f aca="false">VALUE(MID(Q199,6,2))</f>
        <v>9</v>
      </c>
      <c r="T199" s="7" t="n">
        <f aca="false">VALUE(RIGHT(Q199,2))</f>
        <v>30</v>
      </c>
      <c r="U199" s="7" t="s">
        <v>125</v>
      </c>
      <c r="V199" s="7" t="s">
        <v>126</v>
      </c>
    </row>
    <row r="200" customFormat="false" ht="23.25" hidden="false" customHeight="true" outlineLevel="0" collapsed="false">
      <c r="A200" s="7" t="n">
        <v>199</v>
      </c>
      <c r="B200" s="7" t="s">
        <v>1435</v>
      </c>
      <c r="C200" s="7" t="s">
        <v>1436</v>
      </c>
      <c r="D200" s="7" t="n">
        <f aca="false">VALUE(LEFT(B200,4))</f>
        <v>2010</v>
      </c>
      <c r="E200" s="7" t="n">
        <f aca="false">INT((D200-1)/100)+1</f>
        <v>21</v>
      </c>
      <c r="F200" s="7" t="s">
        <v>159</v>
      </c>
      <c r="G200" s="7" t="s">
        <v>1437</v>
      </c>
      <c r="H200" s="7" t="s">
        <v>1438</v>
      </c>
      <c r="I200" s="7" t="s">
        <v>1439</v>
      </c>
      <c r="J200" s="7" t="s">
        <v>719</v>
      </c>
      <c r="K200" s="7" t="s">
        <v>1015</v>
      </c>
      <c r="L200" s="7" t="s">
        <v>627</v>
      </c>
      <c r="M200" s="7" t="s">
        <v>628</v>
      </c>
      <c r="N200" s="7" t="s">
        <v>16</v>
      </c>
      <c r="O200" s="7" t="s">
        <v>75</v>
      </c>
      <c r="P200" s="7"/>
      <c r="Q200" s="7" t="s">
        <v>1435</v>
      </c>
      <c r="R200" s="7" t="n">
        <f aca="false">VALUE(LEFT(Q200,4))</f>
        <v>2010</v>
      </c>
      <c r="S200" s="7" t="n">
        <f aca="false">VALUE(MID(Q200,6,2))</f>
        <v>12</v>
      </c>
      <c r="T200" s="7" t="n">
        <f aca="false">VALUE(RIGHT(Q200,2))</f>
        <v>26</v>
      </c>
      <c r="U200" s="7" t="s">
        <v>125</v>
      </c>
      <c r="V200" s="7" t="s">
        <v>126</v>
      </c>
    </row>
    <row r="201" customFormat="false" ht="23.25" hidden="false" customHeight="true" outlineLevel="0" collapsed="false">
      <c r="A201" s="7" t="n">
        <v>200</v>
      </c>
      <c r="B201" s="7" t="s">
        <v>1440</v>
      </c>
      <c r="C201" s="7" t="s">
        <v>1440</v>
      </c>
      <c r="D201" s="7" t="n">
        <f aca="false">VALUE(LEFT(B201,4))</f>
        <v>2011</v>
      </c>
      <c r="E201" s="7" t="n">
        <f aca="false">INT((D201-1)/100)+1</f>
        <v>21</v>
      </c>
      <c r="F201" s="7" t="s">
        <v>159</v>
      </c>
      <c r="G201" s="7" t="s">
        <v>1441</v>
      </c>
      <c r="H201" s="7" t="s">
        <v>954</v>
      </c>
      <c r="I201" s="7" t="s">
        <v>1442</v>
      </c>
      <c r="J201" s="7" t="s">
        <v>719</v>
      </c>
      <c r="K201" s="7"/>
      <c r="L201" s="7" t="s">
        <v>627</v>
      </c>
      <c r="M201" s="7" t="s">
        <v>628</v>
      </c>
      <c r="N201" s="7" t="s">
        <v>16</v>
      </c>
      <c r="O201" s="7" t="s">
        <v>75</v>
      </c>
      <c r="P201" s="7"/>
      <c r="Q201" s="7" t="s">
        <v>1440</v>
      </c>
      <c r="R201" s="7" t="n">
        <f aca="false">VALUE(LEFT(Q201,4))</f>
        <v>2011</v>
      </c>
      <c r="S201" s="7" t="n">
        <f aca="false">VALUE(MID(Q201,6,2))</f>
        <v>1</v>
      </c>
      <c r="T201" s="7" t="n">
        <f aca="false">VALUE(RIGHT(Q201,2))</f>
        <v>12</v>
      </c>
      <c r="U201" s="7" t="s">
        <v>77</v>
      </c>
      <c r="V201" s="7" t="s">
        <v>78</v>
      </c>
    </row>
    <row r="202" customFormat="false" ht="23.25" hidden="false" customHeight="true" outlineLevel="0" collapsed="false">
      <c r="A202" s="7" t="n">
        <v>201</v>
      </c>
      <c r="B202" s="7" t="s">
        <v>1443</v>
      </c>
      <c r="C202" s="7" t="s">
        <v>1444</v>
      </c>
      <c r="D202" s="7" t="n">
        <f aca="false">VALUE(LEFT(B202,4))</f>
        <v>2011</v>
      </c>
      <c r="E202" s="7" t="n">
        <f aca="false">INT((D202-1)/100)+1</f>
        <v>21</v>
      </c>
      <c r="F202" s="7" t="s">
        <v>1417</v>
      </c>
      <c r="G202" s="7" t="s">
        <v>1445</v>
      </c>
      <c r="H202" s="7" t="s">
        <v>1446</v>
      </c>
      <c r="I202" s="7" t="s">
        <v>1447</v>
      </c>
      <c r="J202" s="7" t="s">
        <v>719</v>
      </c>
      <c r="K202" s="7" t="s">
        <v>1448</v>
      </c>
      <c r="L202" s="7" t="s">
        <v>627</v>
      </c>
      <c r="M202" s="7" t="s">
        <v>628</v>
      </c>
      <c r="N202" s="7" t="s">
        <v>16</v>
      </c>
      <c r="O202" s="7" t="s">
        <v>75</v>
      </c>
      <c r="P202" s="7"/>
      <c r="Q202" s="7" t="s">
        <v>1443</v>
      </c>
      <c r="R202" s="7" t="n">
        <f aca="false">VALUE(LEFT(Q202,4))</f>
        <v>2011</v>
      </c>
      <c r="S202" s="7" t="n">
        <f aca="false">VALUE(MID(Q202,6,2))</f>
        <v>3</v>
      </c>
      <c r="T202" s="7" t="n">
        <f aca="false">VALUE(RIGHT(Q202,2))</f>
        <v>6</v>
      </c>
      <c r="U202" s="7" t="s">
        <v>125</v>
      </c>
      <c r="V202" s="7" t="s">
        <v>126</v>
      </c>
    </row>
    <row r="203" customFormat="false" ht="23.25" hidden="false" customHeight="true" outlineLevel="0" collapsed="false">
      <c r="A203" s="7" t="n">
        <v>202</v>
      </c>
      <c r="B203" s="7" t="s">
        <v>1449</v>
      </c>
      <c r="C203" s="7" t="s">
        <v>1450</v>
      </c>
      <c r="D203" s="7" t="n">
        <f aca="false">VALUE(LEFT(B203,4))</f>
        <v>2011</v>
      </c>
      <c r="E203" s="7" t="n">
        <f aca="false">INT((D203-1)/100)+1</f>
        <v>21</v>
      </c>
      <c r="F203" s="7" t="s">
        <v>705</v>
      </c>
      <c r="G203" s="7" t="s">
        <v>1451</v>
      </c>
      <c r="H203" s="7" t="s">
        <v>954</v>
      </c>
      <c r="I203" s="7"/>
      <c r="J203" s="7" t="s">
        <v>310</v>
      </c>
      <c r="K203" s="7"/>
      <c r="L203" s="7" t="s">
        <v>627</v>
      </c>
      <c r="M203" s="7" t="s">
        <v>628</v>
      </c>
      <c r="N203" s="7" t="s">
        <v>16</v>
      </c>
      <c r="O203" s="7" t="s">
        <v>75</v>
      </c>
      <c r="P203" s="7"/>
      <c r="Q203" s="7" t="s">
        <v>1452</v>
      </c>
      <c r="R203" s="7" t="n">
        <f aca="false">VALUE(LEFT(Q203,4))</f>
        <v>2011</v>
      </c>
      <c r="S203" s="7" t="n">
        <f aca="false">VALUE(MID(Q203,6,2))</f>
        <v>7</v>
      </c>
      <c r="T203" s="7" t="n">
        <f aca="false">VALUE(RIGHT(Q203,2))</f>
        <v>21</v>
      </c>
      <c r="U203" s="7" t="s">
        <v>125</v>
      </c>
      <c r="V203" s="7" t="s">
        <v>1453</v>
      </c>
    </row>
    <row r="204" customFormat="false" ht="23.25" hidden="false" customHeight="true" outlineLevel="0" collapsed="false">
      <c r="A204" s="7" t="n">
        <v>203</v>
      </c>
      <c r="B204" s="7" t="s">
        <v>1454</v>
      </c>
      <c r="C204" s="7" t="s">
        <v>1454</v>
      </c>
      <c r="D204" s="7" t="n">
        <f aca="false">VALUE(LEFT(B204,4))</f>
        <v>2011</v>
      </c>
      <c r="E204" s="7" t="n">
        <f aca="false">INT((D204-1)/100)+1</f>
        <v>21</v>
      </c>
      <c r="F204" s="7" t="s">
        <v>97</v>
      </c>
      <c r="G204" s="7" t="s">
        <v>1455</v>
      </c>
      <c r="H204" s="7" t="s">
        <v>1456</v>
      </c>
      <c r="I204" s="7" t="s">
        <v>1457</v>
      </c>
      <c r="J204" s="7" t="s">
        <v>719</v>
      </c>
      <c r="K204" s="7" t="s">
        <v>1458</v>
      </c>
      <c r="L204" s="7" t="s">
        <v>627</v>
      </c>
      <c r="M204" s="7" t="s">
        <v>628</v>
      </c>
      <c r="N204" s="7" t="s">
        <v>16</v>
      </c>
      <c r="O204" s="7" t="s">
        <v>75</v>
      </c>
      <c r="P204" s="7" t="s">
        <v>1459</v>
      </c>
      <c r="Q204" s="7" t="s">
        <v>1454</v>
      </c>
      <c r="R204" s="7" t="n">
        <f aca="false">VALUE(LEFT(Q204,4))</f>
        <v>2011</v>
      </c>
      <c r="S204" s="7" t="n">
        <f aca="false">VALUE(MID(Q204,6,2))</f>
        <v>8</v>
      </c>
      <c r="T204" s="7" t="n">
        <f aca="false">VALUE(RIGHT(Q204,2))</f>
        <v>28</v>
      </c>
      <c r="U204" s="7" t="s">
        <v>77</v>
      </c>
      <c r="V204" s="7" t="s">
        <v>78</v>
      </c>
    </row>
    <row r="205" customFormat="false" ht="57" hidden="false" customHeight="true" outlineLevel="0" collapsed="false">
      <c r="A205" s="7" t="n">
        <v>204</v>
      </c>
      <c r="B205" s="7" t="s">
        <v>1454</v>
      </c>
      <c r="C205" s="7" t="s">
        <v>1454</v>
      </c>
      <c r="D205" s="7" t="n">
        <f aca="false">VALUE(LEFT(B205,4))</f>
        <v>2011</v>
      </c>
      <c r="E205" s="7" t="n">
        <f aca="false">INT((D205-1)/100)+1</f>
        <v>21</v>
      </c>
      <c r="F205" s="7" t="s">
        <v>726</v>
      </c>
      <c r="G205" s="7" t="s">
        <v>1460</v>
      </c>
      <c r="H205" s="7" t="s">
        <v>1461</v>
      </c>
      <c r="I205" s="7" t="s">
        <v>1462</v>
      </c>
      <c r="J205" s="7" t="s">
        <v>1463</v>
      </c>
      <c r="K205" s="7" t="s">
        <v>1464</v>
      </c>
      <c r="L205" s="7" t="s">
        <v>1064</v>
      </c>
      <c r="M205" s="7" t="s">
        <v>1465</v>
      </c>
      <c r="N205" s="7" t="s">
        <v>18</v>
      </c>
      <c r="O205" s="7" t="s">
        <v>75</v>
      </c>
      <c r="P205" s="7" t="s">
        <v>1466</v>
      </c>
      <c r="Q205" s="7" t="s">
        <v>1454</v>
      </c>
      <c r="R205" s="7" t="n">
        <f aca="false">VALUE(LEFT(Q205,4))</f>
        <v>2011</v>
      </c>
      <c r="S205" s="7" t="n">
        <f aca="false">VALUE(MID(Q205,6,2))</f>
        <v>8</v>
      </c>
      <c r="T205" s="7" t="n">
        <f aca="false">VALUE(RIGHT(Q205,2))</f>
        <v>28</v>
      </c>
      <c r="U205" s="7" t="s">
        <v>77</v>
      </c>
      <c r="V205" s="7" t="s">
        <v>78</v>
      </c>
    </row>
    <row r="206" customFormat="false" ht="57" hidden="false" customHeight="true" outlineLevel="0" collapsed="false">
      <c r="A206" s="7" t="n">
        <v>205</v>
      </c>
      <c r="B206" s="7" t="s">
        <v>1454</v>
      </c>
      <c r="C206" s="7" t="s">
        <v>1454</v>
      </c>
      <c r="D206" s="7" t="n">
        <f aca="false">VALUE(LEFT(B206,4))</f>
        <v>2011</v>
      </c>
      <c r="E206" s="7" t="n">
        <f aca="false">INT((D206-1)/100)+1</f>
        <v>21</v>
      </c>
      <c r="F206" s="7" t="s">
        <v>726</v>
      </c>
      <c r="G206" s="7" t="s">
        <v>1467</v>
      </c>
      <c r="H206" s="7" t="s">
        <v>1468</v>
      </c>
      <c r="I206" s="7" t="s">
        <v>1469</v>
      </c>
      <c r="J206" s="7" t="s">
        <v>1470</v>
      </c>
      <c r="K206" s="7" t="s">
        <v>1471</v>
      </c>
      <c r="L206" s="7" t="s">
        <v>1472</v>
      </c>
      <c r="M206" s="7" t="s">
        <v>1473</v>
      </c>
      <c r="N206" s="7" t="s">
        <v>18</v>
      </c>
      <c r="O206" s="7" t="s">
        <v>75</v>
      </c>
      <c r="P206" s="7" t="s">
        <v>1474</v>
      </c>
      <c r="Q206" s="7" t="s">
        <v>1454</v>
      </c>
      <c r="R206" s="7" t="n">
        <f aca="false">VALUE(LEFT(Q206,4))</f>
        <v>2011</v>
      </c>
      <c r="S206" s="7" t="n">
        <f aca="false">VALUE(MID(Q206,6,2))</f>
        <v>8</v>
      </c>
      <c r="T206" s="7" t="n">
        <f aca="false">VALUE(RIGHT(Q206,2))</f>
        <v>28</v>
      </c>
      <c r="U206" s="7" t="s">
        <v>77</v>
      </c>
      <c r="V206" s="7" t="s">
        <v>78</v>
      </c>
    </row>
    <row r="207" customFormat="false" ht="45.75" hidden="false" customHeight="true" outlineLevel="0" collapsed="false">
      <c r="A207" s="7" t="n">
        <v>206</v>
      </c>
      <c r="B207" s="7" t="s">
        <v>1454</v>
      </c>
      <c r="C207" s="7" t="s">
        <v>1454</v>
      </c>
      <c r="D207" s="7" t="n">
        <f aca="false">VALUE(LEFT(B207,4))</f>
        <v>2011</v>
      </c>
      <c r="E207" s="7" t="n">
        <f aca="false">INT((D207-1)/100)+1</f>
        <v>21</v>
      </c>
      <c r="F207" s="7" t="s">
        <v>1475</v>
      </c>
      <c r="G207" s="7" t="s">
        <v>1476</v>
      </c>
      <c r="H207" s="7" t="s">
        <v>1477</v>
      </c>
      <c r="I207" s="7" t="s">
        <v>1478</v>
      </c>
      <c r="J207" s="7" t="s">
        <v>332</v>
      </c>
      <c r="K207" s="7" t="s">
        <v>1479</v>
      </c>
      <c r="L207" s="7" t="s">
        <v>1480</v>
      </c>
      <c r="M207" s="7" t="s">
        <v>1481</v>
      </c>
      <c r="N207" s="7" t="s">
        <v>16</v>
      </c>
      <c r="O207" s="7" t="s">
        <v>75</v>
      </c>
      <c r="P207" s="7" t="s">
        <v>1482</v>
      </c>
      <c r="Q207" s="7" t="s">
        <v>1454</v>
      </c>
      <c r="R207" s="7" t="n">
        <f aca="false">VALUE(LEFT(Q207,4))</f>
        <v>2011</v>
      </c>
      <c r="S207" s="7" t="n">
        <f aca="false">VALUE(MID(Q207,6,2))</f>
        <v>8</v>
      </c>
      <c r="T207" s="7" t="n">
        <f aca="false">VALUE(RIGHT(Q207,2))</f>
        <v>28</v>
      </c>
      <c r="U207" s="7" t="s">
        <v>77</v>
      </c>
      <c r="V207" s="7" t="s">
        <v>78</v>
      </c>
    </row>
    <row r="208" customFormat="false" ht="23.25" hidden="false" customHeight="true" outlineLevel="0" collapsed="false">
      <c r="A208" s="7" t="n">
        <v>207</v>
      </c>
      <c r="B208" s="7" t="s">
        <v>1483</v>
      </c>
      <c r="C208" s="7" t="s">
        <v>1484</v>
      </c>
      <c r="D208" s="7" t="n">
        <f aca="false">VALUE(LEFT(B208,4))</f>
        <v>2011</v>
      </c>
      <c r="E208" s="7" t="n">
        <f aca="false">INT((D208-1)/100)+1</f>
        <v>21</v>
      </c>
      <c r="F208" s="7" t="s">
        <v>1431</v>
      </c>
      <c r="G208" s="7" t="s">
        <v>1485</v>
      </c>
      <c r="H208" s="7" t="s">
        <v>954</v>
      </c>
      <c r="I208" s="7" t="s">
        <v>1486</v>
      </c>
      <c r="J208" s="7" t="s">
        <v>719</v>
      </c>
      <c r="K208" s="7" t="s">
        <v>1487</v>
      </c>
      <c r="L208" s="7" t="s">
        <v>627</v>
      </c>
      <c r="M208" s="7" t="s">
        <v>628</v>
      </c>
      <c r="N208" s="7" t="s">
        <v>16</v>
      </c>
      <c r="O208" s="7" t="s">
        <v>75</v>
      </c>
      <c r="P208" s="7"/>
      <c r="Q208" s="7" t="s">
        <v>1483</v>
      </c>
      <c r="R208" s="7" t="n">
        <f aca="false">VALUE(LEFT(Q208,4))</f>
        <v>2011</v>
      </c>
      <c r="S208" s="7" t="n">
        <f aca="false">VALUE(MID(Q208,6,2))</f>
        <v>9</v>
      </c>
      <c r="T208" s="7" t="n">
        <f aca="false">VALUE(RIGHT(Q208,2))</f>
        <v>5</v>
      </c>
      <c r="U208" s="7" t="s">
        <v>125</v>
      </c>
      <c r="V208" s="7" t="s">
        <v>126</v>
      </c>
    </row>
    <row r="209" customFormat="false" ht="23.25" hidden="false" customHeight="true" outlineLevel="0" collapsed="false">
      <c r="A209" s="7" t="n">
        <v>208</v>
      </c>
      <c r="B209" s="7" t="s">
        <v>1488</v>
      </c>
      <c r="C209" s="7" t="s">
        <v>1489</v>
      </c>
      <c r="D209" s="7" t="n">
        <f aca="false">VALUE(LEFT(B209,4))</f>
        <v>2011</v>
      </c>
      <c r="E209" s="7" t="n">
        <f aca="false">INT((D209-1)/100)+1</f>
        <v>21</v>
      </c>
      <c r="F209" s="7" t="s">
        <v>1490</v>
      </c>
      <c r="G209" s="7" t="s">
        <v>1491</v>
      </c>
      <c r="H209" s="7" t="s">
        <v>1492</v>
      </c>
      <c r="I209" s="7" t="s">
        <v>1493</v>
      </c>
      <c r="J209" s="7" t="s">
        <v>719</v>
      </c>
      <c r="K209" s="7" t="s">
        <v>1494</v>
      </c>
      <c r="L209" s="7" t="s">
        <v>627</v>
      </c>
      <c r="M209" s="7" t="s">
        <v>628</v>
      </c>
      <c r="N209" s="7" t="s">
        <v>16</v>
      </c>
      <c r="O209" s="7" t="s">
        <v>75</v>
      </c>
      <c r="P209" s="7"/>
      <c r="Q209" s="7" t="s">
        <v>1488</v>
      </c>
      <c r="R209" s="7" t="n">
        <f aca="false">VALUE(LEFT(Q209,4))</f>
        <v>2011</v>
      </c>
      <c r="S209" s="7" t="n">
        <f aca="false">VALUE(MID(Q209,6,2))</f>
        <v>10</v>
      </c>
      <c r="T209" s="7" t="n">
        <f aca="false">VALUE(RIGHT(Q209,2))</f>
        <v>29</v>
      </c>
      <c r="U209" s="7" t="s">
        <v>125</v>
      </c>
      <c r="V209" s="7" t="s">
        <v>126</v>
      </c>
    </row>
    <row r="210" customFormat="false" ht="23.25" hidden="false" customHeight="true" outlineLevel="0" collapsed="false">
      <c r="A210" s="7" t="n">
        <v>209</v>
      </c>
      <c r="B210" s="7" t="s">
        <v>1495</v>
      </c>
      <c r="C210" s="7" t="s">
        <v>1496</v>
      </c>
      <c r="D210" s="7" t="n">
        <f aca="false">VALUE(LEFT(B210,4))</f>
        <v>2012</v>
      </c>
      <c r="E210" s="7" t="n">
        <f aca="false">INT((D210-1)/100)+1</f>
        <v>21</v>
      </c>
      <c r="F210" s="7" t="s">
        <v>705</v>
      </c>
      <c r="G210" s="7" t="s">
        <v>1497</v>
      </c>
      <c r="H210" s="7" t="s">
        <v>830</v>
      </c>
      <c r="I210" s="7" t="s">
        <v>1498</v>
      </c>
      <c r="J210" s="7" t="s">
        <v>719</v>
      </c>
      <c r="K210" s="7" t="s">
        <v>1499</v>
      </c>
      <c r="L210" s="7" t="s">
        <v>569</v>
      </c>
      <c r="M210" s="7"/>
      <c r="N210" s="7" t="s">
        <v>18</v>
      </c>
      <c r="O210" s="7" t="s">
        <v>94</v>
      </c>
      <c r="P210" s="7"/>
      <c r="Q210" s="7" t="s">
        <v>1495</v>
      </c>
      <c r="R210" s="7" t="n">
        <f aca="false">VALUE(LEFT(Q210,4))</f>
        <v>2012</v>
      </c>
      <c r="S210" s="7" t="n">
        <f aca="false">VALUE(MID(Q210,6,2))</f>
        <v>3</v>
      </c>
      <c r="T210" s="7" t="n">
        <f aca="false">VALUE(RIGHT(Q210,2))</f>
        <v>18</v>
      </c>
      <c r="U210" s="7" t="s">
        <v>125</v>
      </c>
      <c r="V210" s="7" t="s">
        <v>126</v>
      </c>
    </row>
    <row r="211" customFormat="false" ht="23.25" hidden="false" customHeight="true" outlineLevel="0" collapsed="false">
      <c r="A211" s="7" t="n">
        <v>210</v>
      </c>
      <c r="B211" s="7" t="s">
        <v>1500</v>
      </c>
      <c r="C211" s="7" t="s">
        <v>1501</v>
      </c>
      <c r="D211" s="7" t="n">
        <f aca="false">VALUE(LEFT(B211,4))</f>
        <v>2012</v>
      </c>
      <c r="E211" s="7" t="n">
        <f aca="false">INT((D211-1)/100)+1</f>
        <v>21</v>
      </c>
      <c r="F211" s="7" t="s">
        <v>459</v>
      </c>
      <c r="G211" s="7" t="s">
        <v>1502</v>
      </c>
      <c r="H211" s="7" t="s">
        <v>830</v>
      </c>
      <c r="I211" s="7" t="s">
        <v>1503</v>
      </c>
      <c r="J211" s="7" t="s">
        <v>719</v>
      </c>
      <c r="K211" s="7" t="s">
        <v>1504</v>
      </c>
      <c r="L211" s="7" t="s">
        <v>569</v>
      </c>
      <c r="M211" s="7"/>
      <c r="N211" s="7" t="s">
        <v>18</v>
      </c>
      <c r="O211" s="7" t="s">
        <v>94</v>
      </c>
      <c r="P211" s="7" t="s">
        <v>1505</v>
      </c>
      <c r="Q211" s="7" t="s">
        <v>1500</v>
      </c>
      <c r="R211" s="7" t="n">
        <f aca="false">VALUE(LEFT(Q211,4))</f>
        <v>2012</v>
      </c>
      <c r="S211" s="7" t="n">
        <f aca="false">VALUE(MID(Q211,6,2))</f>
        <v>4</v>
      </c>
      <c r="T211" s="7" t="n">
        <f aca="false">VALUE(RIGHT(Q211,2))</f>
        <v>27</v>
      </c>
      <c r="U211" s="7" t="s">
        <v>125</v>
      </c>
      <c r="V211" s="7" t="s">
        <v>126</v>
      </c>
    </row>
    <row r="212" customFormat="false" ht="23.25" hidden="false" customHeight="true" outlineLevel="0" collapsed="false">
      <c r="A212" s="7" t="n">
        <v>211</v>
      </c>
      <c r="B212" s="7" t="s">
        <v>1506</v>
      </c>
      <c r="C212" s="7" t="s">
        <v>1506</v>
      </c>
      <c r="D212" s="7" t="n">
        <f aca="false">VALUE(LEFT(B212,4))</f>
        <v>2012</v>
      </c>
      <c r="E212" s="7" t="n">
        <f aca="false">INT((D212-1)/100)+1</f>
        <v>21</v>
      </c>
      <c r="F212" s="7" t="s">
        <v>67</v>
      </c>
      <c r="G212" s="7" t="s">
        <v>1507</v>
      </c>
      <c r="H212" s="7" t="s">
        <v>954</v>
      </c>
      <c r="I212" s="7" t="s">
        <v>1508</v>
      </c>
      <c r="J212" s="7" t="s">
        <v>1509</v>
      </c>
      <c r="K212" s="7" t="s">
        <v>1510</v>
      </c>
      <c r="L212" s="7" t="s">
        <v>627</v>
      </c>
      <c r="M212" s="7" t="s">
        <v>628</v>
      </c>
      <c r="N212" s="7" t="s">
        <v>16</v>
      </c>
      <c r="O212" s="7" t="s">
        <v>75</v>
      </c>
      <c r="P212" s="7"/>
      <c r="Q212" s="7" t="s">
        <v>1506</v>
      </c>
      <c r="R212" s="7" t="n">
        <f aca="false">VALUE(LEFT(Q212,4))</f>
        <v>2012</v>
      </c>
      <c r="S212" s="7" t="n">
        <f aca="false">VALUE(MID(Q212,6,2))</f>
        <v>10</v>
      </c>
      <c r="T212" s="7" t="n">
        <f aca="false">VALUE(RIGHT(Q212,2))</f>
        <v>29</v>
      </c>
      <c r="U212" s="7" t="s">
        <v>77</v>
      </c>
      <c r="V212" s="7" t="s">
        <v>78</v>
      </c>
    </row>
    <row r="213" customFormat="false" ht="23.25" hidden="false" customHeight="true" outlineLevel="0" collapsed="false">
      <c r="A213" s="7" t="n">
        <v>212</v>
      </c>
      <c r="B213" s="7" t="s">
        <v>1511</v>
      </c>
      <c r="C213" s="7" t="s">
        <v>1512</v>
      </c>
      <c r="D213" s="7" t="n">
        <f aca="false">VALUE(LEFT(B213,4))</f>
        <v>2013</v>
      </c>
      <c r="E213" s="7" t="n">
        <f aca="false">INT((D213-1)/100)+1</f>
        <v>21</v>
      </c>
      <c r="F213" s="7" t="s">
        <v>219</v>
      </c>
      <c r="G213" s="7" t="s">
        <v>1513</v>
      </c>
      <c r="H213" s="7" t="s">
        <v>954</v>
      </c>
      <c r="I213" s="7" t="s">
        <v>1442</v>
      </c>
      <c r="J213" s="7" t="s">
        <v>719</v>
      </c>
      <c r="K213" s="7"/>
      <c r="L213" s="7" t="s">
        <v>627</v>
      </c>
      <c r="M213" s="7" t="s">
        <v>628</v>
      </c>
      <c r="N213" s="7" t="s">
        <v>16</v>
      </c>
      <c r="O213" s="7" t="s">
        <v>75</v>
      </c>
      <c r="P213" s="7"/>
      <c r="Q213" s="7" t="s">
        <v>1511</v>
      </c>
      <c r="R213" s="7" t="n">
        <f aca="false">VALUE(LEFT(Q213,4))</f>
        <v>2013</v>
      </c>
      <c r="S213" s="7" t="n">
        <f aca="false">VALUE(MID(Q213,6,2))</f>
        <v>2</v>
      </c>
      <c r="T213" s="7" t="n">
        <f aca="false">VALUE(RIGHT(Q213,2))</f>
        <v>8</v>
      </c>
      <c r="U213" s="7" t="s">
        <v>125</v>
      </c>
      <c r="V213" s="7" t="s">
        <v>126</v>
      </c>
    </row>
    <row r="214" customFormat="false" ht="23.25" hidden="false" customHeight="true" outlineLevel="0" collapsed="false">
      <c r="A214" s="7" t="n">
        <v>213</v>
      </c>
      <c r="B214" s="7" t="s">
        <v>1514</v>
      </c>
      <c r="C214" s="7" t="s">
        <v>1514</v>
      </c>
      <c r="D214" s="7" t="n">
        <f aca="false">VALUE(LEFT(B214,4))</f>
        <v>2013</v>
      </c>
      <c r="E214" s="7" t="n">
        <f aca="false">INT((D214-1)/100)+1</f>
        <v>21</v>
      </c>
      <c r="F214" s="7" t="s">
        <v>1184</v>
      </c>
      <c r="G214" s="7" t="s">
        <v>1515</v>
      </c>
      <c r="H214" s="7" t="s">
        <v>1516</v>
      </c>
      <c r="I214" s="7" t="s">
        <v>1517</v>
      </c>
      <c r="J214" s="7" t="s">
        <v>975</v>
      </c>
      <c r="K214" s="7" t="s">
        <v>976</v>
      </c>
      <c r="L214" s="7" t="s">
        <v>627</v>
      </c>
      <c r="M214" s="7" t="s">
        <v>628</v>
      </c>
      <c r="N214" s="7" t="s">
        <v>16</v>
      </c>
      <c r="O214" s="7" t="s">
        <v>75</v>
      </c>
      <c r="P214" s="7"/>
      <c r="Q214" s="7" t="s">
        <v>1514</v>
      </c>
      <c r="R214" s="7" t="n">
        <f aca="false">VALUE(LEFT(Q214,4))</f>
        <v>2013</v>
      </c>
      <c r="S214" s="7" t="n">
        <f aca="false">VALUE(MID(Q214,6,2))</f>
        <v>5</v>
      </c>
      <c r="T214" s="7" t="n">
        <f aca="false">VALUE(RIGHT(Q214,2))</f>
        <v>29</v>
      </c>
      <c r="U214" s="7" t="s">
        <v>77</v>
      </c>
      <c r="V214" s="7" t="s">
        <v>78</v>
      </c>
    </row>
    <row r="215" customFormat="false" ht="23.25" hidden="false" customHeight="true" outlineLevel="0" collapsed="false">
      <c r="A215" s="7" t="n">
        <v>214</v>
      </c>
      <c r="B215" s="7" t="s">
        <v>1518</v>
      </c>
      <c r="C215" s="7" t="s">
        <v>1518</v>
      </c>
      <c r="D215" s="7" t="n">
        <f aca="false">VALUE(LEFT(B215,4))</f>
        <v>2013</v>
      </c>
      <c r="E215" s="7" t="n">
        <f aca="false">INT((D215-1)/100)+1</f>
        <v>21</v>
      </c>
      <c r="F215" s="7" t="s">
        <v>842</v>
      </c>
      <c r="G215" s="7" t="s">
        <v>1519</v>
      </c>
      <c r="H215" s="7" t="s">
        <v>1520</v>
      </c>
      <c r="I215" s="7" t="s">
        <v>1521</v>
      </c>
      <c r="J215" s="7" t="s">
        <v>719</v>
      </c>
      <c r="K215" s="7" t="s">
        <v>1522</v>
      </c>
      <c r="L215" s="7" t="s">
        <v>627</v>
      </c>
      <c r="M215" s="7" t="s">
        <v>628</v>
      </c>
      <c r="N215" s="7" t="s">
        <v>16</v>
      </c>
      <c r="O215" s="7" t="s">
        <v>75</v>
      </c>
      <c r="P215" s="7"/>
      <c r="Q215" s="7" t="s">
        <v>1518</v>
      </c>
      <c r="R215" s="7" t="n">
        <f aca="false">VALUE(LEFT(Q215,4))</f>
        <v>2013</v>
      </c>
      <c r="S215" s="7" t="n">
        <f aca="false">VALUE(MID(Q215,6,2))</f>
        <v>6</v>
      </c>
      <c r="T215" s="7" t="n">
        <f aca="false">VALUE(RIGHT(Q215,2))</f>
        <v>14</v>
      </c>
      <c r="U215" s="7" t="s">
        <v>77</v>
      </c>
      <c r="V215" s="7" t="s">
        <v>78</v>
      </c>
    </row>
    <row r="216" customFormat="false" ht="23.25" hidden="false" customHeight="true" outlineLevel="0" collapsed="false">
      <c r="A216" s="7" t="n">
        <v>215</v>
      </c>
      <c r="B216" s="7" t="s">
        <v>1523</v>
      </c>
      <c r="C216" s="7" t="s">
        <v>1523</v>
      </c>
      <c r="D216" s="7" t="n">
        <f aca="false">VALUE(LEFT(B216,4))</f>
        <v>2013</v>
      </c>
      <c r="E216" s="7" t="n">
        <f aca="false">INT((D216-1)/100)+1</f>
        <v>21</v>
      </c>
      <c r="F216" s="7" t="s">
        <v>842</v>
      </c>
      <c r="G216" s="7" t="s">
        <v>1524</v>
      </c>
      <c r="H216" s="7" t="s">
        <v>1525</v>
      </c>
      <c r="I216" s="7" t="s">
        <v>1526</v>
      </c>
      <c r="J216" s="7" t="s">
        <v>907</v>
      </c>
      <c r="K216" s="7" t="s">
        <v>1527</v>
      </c>
      <c r="L216" s="7" t="s">
        <v>627</v>
      </c>
      <c r="M216" s="7" t="s">
        <v>628</v>
      </c>
      <c r="N216" s="7" t="s">
        <v>16</v>
      </c>
      <c r="O216" s="7" t="s">
        <v>75</v>
      </c>
      <c r="P216" s="7"/>
      <c r="Q216" s="7" t="s">
        <v>1523</v>
      </c>
      <c r="R216" s="7" t="n">
        <f aca="false">VALUE(LEFT(Q216,4))</f>
        <v>2013</v>
      </c>
      <c r="S216" s="7" t="n">
        <f aca="false">VALUE(MID(Q216,6,2))</f>
        <v>6</v>
      </c>
      <c r="T216" s="7" t="n">
        <f aca="false">VALUE(RIGHT(Q216,2))</f>
        <v>28</v>
      </c>
      <c r="U216" s="7" t="s">
        <v>77</v>
      </c>
      <c r="V216" s="7" t="s">
        <v>78</v>
      </c>
    </row>
    <row r="217" customFormat="false" ht="23.25" hidden="false" customHeight="true" outlineLevel="0" collapsed="false">
      <c r="A217" s="7" t="n">
        <v>216</v>
      </c>
      <c r="B217" s="7" t="s">
        <v>1528</v>
      </c>
      <c r="C217" s="7" t="s">
        <v>1529</v>
      </c>
      <c r="D217" s="7" t="n">
        <f aca="false">VALUE(LEFT(B217,4))</f>
        <v>2013</v>
      </c>
      <c r="E217" s="7" t="n">
        <f aca="false">INT((D217-1)/100)+1</f>
        <v>21</v>
      </c>
      <c r="F217" s="7" t="s">
        <v>705</v>
      </c>
      <c r="G217" s="7" t="s">
        <v>1530</v>
      </c>
      <c r="H217" s="7" t="s">
        <v>954</v>
      </c>
      <c r="I217" s="7"/>
      <c r="J217" s="7" t="s">
        <v>310</v>
      </c>
      <c r="K217" s="7"/>
      <c r="L217" s="7" t="s">
        <v>627</v>
      </c>
      <c r="M217" s="7" t="s">
        <v>628</v>
      </c>
      <c r="N217" s="7" t="s">
        <v>16</v>
      </c>
      <c r="O217" s="7" t="s">
        <v>75</v>
      </c>
      <c r="P217" s="7"/>
      <c r="Q217" s="7" t="s">
        <v>1531</v>
      </c>
      <c r="R217" s="7" t="n">
        <f aca="false">VALUE(LEFT(Q217,4))</f>
        <v>2013</v>
      </c>
      <c r="S217" s="7" t="n">
        <f aca="false">VALUE(MID(Q217,6,2))</f>
        <v>7</v>
      </c>
      <c r="T217" s="7" t="n">
        <f aca="false">VALUE(RIGHT(Q217,2))</f>
        <v>18</v>
      </c>
      <c r="U217" s="7" t="s">
        <v>125</v>
      </c>
      <c r="V217" s="7" t="s">
        <v>1532</v>
      </c>
    </row>
    <row r="218" customFormat="false" ht="23.25" hidden="false" customHeight="true" outlineLevel="0" collapsed="false">
      <c r="A218" s="7" t="n">
        <v>217</v>
      </c>
      <c r="B218" s="7" t="s">
        <v>1533</v>
      </c>
      <c r="C218" s="7" t="s">
        <v>1533</v>
      </c>
      <c r="D218" s="7" t="n">
        <f aca="false">VALUE(LEFT(B218,4))</f>
        <v>2014</v>
      </c>
      <c r="E218" s="7" t="n">
        <f aca="false">INT((D218-1)/100)+1</f>
        <v>21</v>
      </c>
      <c r="F218" s="7" t="s">
        <v>971</v>
      </c>
      <c r="G218" s="7" t="s">
        <v>1534</v>
      </c>
      <c r="H218" s="7" t="s">
        <v>1535</v>
      </c>
      <c r="I218" s="7" t="s">
        <v>1536</v>
      </c>
      <c r="J218" s="7" t="s">
        <v>975</v>
      </c>
      <c r="K218" s="7" t="s">
        <v>976</v>
      </c>
      <c r="L218" s="7" t="s">
        <v>627</v>
      </c>
      <c r="M218" s="7" t="s">
        <v>628</v>
      </c>
      <c r="N218" s="7" t="s">
        <v>16</v>
      </c>
      <c r="O218" s="7" t="s">
        <v>75</v>
      </c>
      <c r="P218" s="7"/>
      <c r="Q218" s="7" t="s">
        <v>1533</v>
      </c>
      <c r="R218" s="7" t="n">
        <f aca="false">VALUE(LEFT(Q218,4))</f>
        <v>2014</v>
      </c>
      <c r="S218" s="7" t="n">
        <f aca="false">VALUE(MID(Q218,6,2))</f>
        <v>5</v>
      </c>
      <c r="T218" s="7" t="n">
        <f aca="false">VALUE(RIGHT(Q218,2))</f>
        <v>22</v>
      </c>
      <c r="U218" s="7" t="s">
        <v>77</v>
      </c>
      <c r="V218" s="7" t="s">
        <v>78</v>
      </c>
    </row>
    <row r="219" customFormat="false" ht="23.25" hidden="false" customHeight="true" outlineLevel="0" collapsed="false">
      <c r="A219" s="7" t="n">
        <v>218</v>
      </c>
      <c r="B219" s="7" t="s">
        <v>1537</v>
      </c>
      <c r="C219" s="7" t="s">
        <v>1538</v>
      </c>
      <c r="D219" s="7" t="n">
        <f aca="false">VALUE(LEFT(B219,4))</f>
        <v>2014</v>
      </c>
      <c r="E219" s="7" t="n">
        <f aca="false">INT((D219-1)/100)+1</f>
        <v>21</v>
      </c>
      <c r="F219" s="7" t="s">
        <v>159</v>
      </c>
      <c r="G219" s="7" t="s">
        <v>1539</v>
      </c>
      <c r="H219" s="7" t="s">
        <v>954</v>
      </c>
      <c r="I219" s="7" t="s">
        <v>1540</v>
      </c>
      <c r="J219" s="7" t="s">
        <v>310</v>
      </c>
      <c r="K219" s="7"/>
      <c r="L219" s="7" t="s">
        <v>627</v>
      </c>
      <c r="M219" s="7" t="s">
        <v>628</v>
      </c>
      <c r="N219" s="7" t="s">
        <v>16</v>
      </c>
      <c r="O219" s="7" t="s">
        <v>75</v>
      </c>
      <c r="P219" s="7"/>
      <c r="Q219" s="7" t="s">
        <v>1537</v>
      </c>
      <c r="R219" s="7" t="n">
        <f aca="false">VALUE(LEFT(Q219,4))</f>
        <v>2014</v>
      </c>
      <c r="S219" s="7" t="n">
        <f aca="false">VALUE(MID(Q219,6,2))</f>
        <v>11</v>
      </c>
      <c r="T219" s="7" t="n">
        <f aca="false">VALUE(RIGHT(Q219,2))</f>
        <v>26</v>
      </c>
      <c r="U219" s="7" t="s">
        <v>125</v>
      </c>
      <c r="V219" s="7" t="s">
        <v>126</v>
      </c>
    </row>
    <row r="220" customFormat="false" ht="23.25" hidden="false" customHeight="true" outlineLevel="0" collapsed="false">
      <c r="A220" s="7" t="n">
        <v>219</v>
      </c>
      <c r="B220" s="7" t="s">
        <v>1541</v>
      </c>
      <c r="C220" s="7" t="s">
        <v>1542</v>
      </c>
      <c r="D220" s="7" t="n">
        <f aca="false">VALUE(LEFT(B220,4))</f>
        <v>2015</v>
      </c>
      <c r="E220" s="7" t="n">
        <f aca="false">INT((D220-1)/100)+1</f>
        <v>21</v>
      </c>
      <c r="F220" s="7" t="s">
        <v>1543</v>
      </c>
      <c r="G220" s="7" t="s">
        <v>1544</v>
      </c>
      <c r="H220" s="7" t="s">
        <v>954</v>
      </c>
      <c r="I220" s="7" t="s">
        <v>1545</v>
      </c>
      <c r="J220" s="7" t="s">
        <v>310</v>
      </c>
      <c r="K220" s="7" t="s">
        <v>1546</v>
      </c>
      <c r="L220" s="7" t="s">
        <v>627</v>
      </c>
      <c r="M220" s="7" t="s">
        <v>628</v>
      </c>
      <c r="N220" s="7" t="s">
        <v>16</v>
      </c>
      <c r="O220" s="7" t="s">
        <v>75</v>
      </c>
      <c r="P220" s="7"/>
      <c r="Q220" s="7" t="s">
        <v>1547</v>
      </c>
      <c r="R220" s="7" t="n">
        <f aca="false">VALUE(LEFT(Q220,4))</f>
        <v>2015</v>
      </c>
      <c r="S220" s="7" t="n">
        <f aca="false">VALUE(MID(Q220,6,2))</f>
        <v>2</v>
      </c>
      <c r="T220" s="7" t="n">
        <f aca="false">VALUE(RIGHT(Q220,2))</f>
        <v>15</v>
      </c>
      <c r="U220" s="7" t="s">
        <v>317</v>
      </c>
      <c r="V220" s="7" t="s">
        <v>1548</v>
      </c>
    </row>
    <row r="221" customFormat="false" ht="23.25" hidden="false" customHeight="true" outlineLevel="0" collapsed="false">
      <c r="A221" s="7" t="n">
        <v>220</v>
      </c>
      <c r="B221" s="7" t="s">
        <v>1549</v>
      </c>
      <c r="C221" s="7" t="s">
        <v>1550</v>
      </c>
      <c r="D221" s="7" t="n">
        <f aca="false">VALUE(LEFT(B221,4))</f>
        <v>2016</v>
      </c>
      <c r="E221" s="7" t="n">
        <f aca="false">INT((D221-1)/100)+1</f>
        <v>21</v>
      </c>
      <c r="F221" s="7" t="s">
        <v>238</v>
      </c>
      <c r="G221" s="7" t="s">
        <v>1551</v>
      </c>
      <c r="H221" s="7" t="s">
        <v>954</v>
      </c>
      <c r="I221" s="7" t="s">
        <v>1552</v>
      </c>
      <c r="J221" s="7" t="s">
        <v>719</v>
      </c>
      <c r="K221" s="7"/>
      <c r="L221" s="7" t="s">
        <v>627</v>
      </c>
      <c r="M221" s="7" t="s">
        <v>628</v>
      </c>
      <c r="N221" s="7" t="s">
        <v>16</v>
      </c>
      <c r="O221" s="7" t="s">
        <v>75</v>
      </c>
      <c r="P221" s="7"/>
      <c r="Q221" s="7" t="s">
        <v>1549</v>
      </c>
      <c r="R221" s="7" t="n">
        <f aca="false">VALUE(LEFT(Q221,4))</f>
        <v>2016</v>
      </c>
      <c r="S221" s="7" t="n">
        <f aca="false">VALUE(MID(Q221,6,2))</f>
        <v>2</v>
      </c>
      <c r="T221" s="7" t="n">
        <f aca="false">VALUE(RIGHT(Q221,2))</f>
        <v>12</v>
      </c>
      <c r="U221" s="7" t="s">
        <v>125</v>
      </c>
      <c r="V221" s="7" t="s">
        <v>126</v>
      </c>
    </row>
    <row r="222" customFormat="false" ht="34.5" hidden="false" customHeight="true" outlineLevel="0" collapsed="false">
      <c r="A222" s="7" t="n">
        <v>221</v>
      </c>
      <c r="B222" s="7" t="s">
        <v>1553</v>
      </c>
      <c r="C222" s="7" t="s">
        <v>1553</v>
      </c>
      <c r="D222" s="7" t="n">
        <f aca="false">VALUE(LEFT(B222,4))</f>
        <v>2016</v>
      </c>
      <c r="E222" s="7" t="n">
        <f aca="false">INT((D222-1)/100)+1</f>
        <v>21</v>
      </c>
      <c r="F222" s="7" t="s">
        <v>1554</v>
      </c>
      <c r="G222" s="7" t="s">
        <v>1555</v>
      </c>
      <c r="H222" s="7" t="s">
        <v>1556</v>
      </c>
      <c r="I222" s="7" t="s">
        <v>1557</v>
      </c>
      <c r="J222" s="7" t="s">
        <v>332</v>
      </c>
      <c r="K222" s="7" t="s">
        <v>1558</v>
      </c>
      <c r="L222" s="7" t="s">
        <v>1559</v>
      </c>
      <c r="M222" s="7" t="s">
        <v>1560</v>
      </c>
      <c r="N222" s="7" t="s">
        <v>18</v>
      </c>
      <c r="O222" s="7" t="s">
        <v>75</v>
      </c>
      <c r="P222" s="7" t="s">
        <v>1561</v>
      </c>
      <c r="Q222" s="7" t="s">
        <v>1553</v>
      </c>
      <c r="R222" s="7" t="n">
        <f aca="false">VALUE(LEFT(Q222,4))</f>
        <v>2016</v>
      </c>
      <c r="S222" s="7" t="n">
        <f aca="false">VALUE(MID(Q222,6,2))</f>
        <v>5</v>
      </c>
      <c r="T222" s="7" t="n">
        <f aca="false">VALUE(RIGHT(Q222,2))</f>
        <v>3</v>
      </c>
      <c r="U222" s="7" t="s">
        <v>77</v>
      </c>
      <c r="V222" s="7" t="s">
        <v>78</v>
      </c>
    </row>
    <row r="223" customFormat="false" ht="23.25" hidden="false" customHeight="true" outlineLevel="0" collapsed="false">
      <c r="A223" s="7" t="n">
        <v>222</v>
      </c>
      <c r="B223" s="7" t="s">
        <v>1562</v>
      </c>
      <c r="C223" s="7" t="s">
        <v>1563</v>
      </c>
      <c r="D223" s="7" t="n">
        <f aca="false">VALUE(LEFT(B223,4))</f>
        <v>2016</v>
      </c>
      <c r="E223" s="7" t="n">
        <f aca="false">INT((D223-1)/100)+1</f>
        <v>21</v>
      </c>
      <c r="F223" s="7" t="s">
        <v>828</v>
      </c>
      <c r="G223" s="7" t="s">
        <v>1564</v>
      </c>
      <c r="H223" s="7" t="s">
        <v>1565</v>
      </c>
      <c r="I223" s="7" t="s">
        <v>1566</v>
      </c>
      <c r="J223" s="7" t="s">
        <v>719</v>
      </c>
      <c r="K223" s="7" t="s">
        <v>1567</v>
      </c>
      <c r="L223" s="7" t="s">
        <v>569</v>
      </c>
      <c r="M223" s="7"/>
      <c r="N223" s="7" t="s">
        <v>18</v>
      </c>
      <c r="O223" s="7" t="s">
        <v>94</v>
      </c>
      <c r="P223" s="7" t="s">
        <v>1568</v>
      </c>
      <c r="Q223" s="7" t="s">
        <v>1569</v>
      </c>
      <c r="R223" s="7" t="n">
        <f aca="false">VALUE(LEFT(Q223,4))</f>
        <v>2016</v>
      </c>
      <c r="S223" s="7" t="n">
        <f aca="false">VALUE(MID(Q223,6,2))</f>
        <v>8</v>
      </c>
      <c r="T223" s="7" t="n">
        <f aca="false">VALUE(RIGHT(Q223,2))</f>
        <v>15</v>
      </c>
      <c r="U223" s="7" t="s">
        <v>114</v>
      </c>
      <c r="V223" s="7" t="s">
        <v>1570</v>
      </c>
    </row>
    <row r="224" customFormat="false" ht="23.25" hidden="false" customHeight="true" outlineLevel="0" collapsed="false">
      <c r="A224" s="7" t="n">
        <v>223</v>
      </c>
      <c r="B224" s="7" t="s">
        <v>1571</v>
      </c>
      <c r="C224" s="7" t="s">
        <v>1571</v>
      </c>
      <c r="D224" s="7" t="n">
        <f aca="false">VALUE(LEFT(B224,4))</f>
        <v>2017</v>
      </c>
      <c r="E224" s="7" t="n">
        <f aca="false">INT((D224-1)/100)+1</f>
        <v>21</v>
      </c>
      <c r="F224" s="7" t="s">
        <v>219</v>
      </c>
      <c r="G224" s="7" t="s">
        <v>1572</v>
      </c>
      <c r="H224" s="7" t="s">
        <v>954</v>
      </c>
      <c r="I224" s="7" t="s">
        <v>1573</v>
      </c>
      <c r="J224" s="7" t="s">
        <v>310</v>
      </c>
      <c r="K224" s="7"/>
      <c r="L224" s="7" t="s">
        <v>627</v>
      </c>
      <c r="M224" s="7" t="s">
        <v>628</v>
      </c>
      <c r="N224" s="7" t="s">
        <v>16</v>
      </c>
      <c r="O224" s="7" t="s">
        <v>75</v>
      </c>
      <c r="P224" s="7"/>
      <c r="Q224" s="7" t="s">
        <v>1571</v>
      </c>
      <c r="R224" s="7" t="n">
        <f aca="false">VALUE(LEFT(Q224,4))</f>
        <v>2017</v>
      </c>
      <c r="S224" s="7" t="n">
        <f aca="false">VALUE(MID(Q224,6,2))</f>
        <v>3</v>
      </c>
      <c r="T224" s="7" t="n">
        <f aca="false">VALUE(RIGHT(Q224,2))</f>
        <v>14</v>
      </c>
      <c r="U224" s="7" t="s">
        <v>77</v>
      </c>
      <c r="V224" s="7" t="s">
        <v>78</v>
      </c>
    </row>
    <row r="225" customFormat="false" ht="23.25" hidden="false" customHeight="true" outlineLevel="0" collapsed="false">
      <c r="A225" s="7" t="n">
        <v>224</v>
      </c>
      <c r="B225" s="7" t="s">
        <v>1574</v>
      </c>
      <c r="C225" s="7" t="s">
        <v>1574</v>
      </c>
      <c r="D225" s="7" t="n">
        <f aca="false">VALUE(LEFT(B225,4))</f>
        <v>2017</v>
      </c>
      <c r="E225" s="7" t="n">
        <f aca="false">INT((D225-1)/100)+1</f>
        <v>21</v>
      </c>
      <c r="F225" s="7" t="s">
        <v>842</v>
      </c>
      <c r="G225" s="7" t="s">
        <v>1575</v>
      </c>
      <c r="H225" s="7" t="s">
        <v>1576</v>
      </c>
      <c r="I225" s="7" t="s">
        <v>1577</v>
      </c>
      <c r="J225" s="7" t="s">
        <v>719</v>
      </c>
      <c r="K225" s="7" t="s">
        <v>1578</v>
      </c>
      <c r="L225" s="7" t="s">
        <v>627</v>
      </c>
      <c r="M225" s="7" t="s">
        <v>628</v>
      </c>
      <c r="N225" s="7" t="s">
        <v>16</v>
      </c>
      <c r="O225" s="7" t="s">
        <v>75</v>
      </c>
      <c r="P225" s="7"/>
      <c r="Q225" s="7" t="s">
        <v>1574</v>
      </c>
      <c r="R225" s="7" t="n">
        <f aca="false">VALUE(LEFT(Q225,4))</f>
        <v>2017</v>
      </c>
      <c r="S225" s="7" t="n">
        <f aca="false">VALUE(MID(Q225,6,2))</f>
        <v>7</v>
      </c>
      <c r="T225" s="7" t="n">
        <f aca="false">VALUE(RIGHT(Q225,2))</f>
        <v>1</v>
      </c>
      <c r="U225" s="7" t="s">
        <v>77</v>
      </c>
      <c r="V225" s="7" t="s">
        <v>78</v>
      </c>
    </row>
    <row r="226" customFormat="false" ht="23.25" hidden="false" customHeight="true" outlineLevel="0" collapsed="false">
      <c r="A226" s="7" t="n">
        <v>225</v>
      </c>
      <c r="B226" s="7" t="s">
        <v>1579</v>
      </c>
      <c r="C226" s="7" t="s">
        <v>1580</v>
      </c>
      <c r="D226" s="7" t="n">
        <f aca="false">VALUE(LEFT(B226,4))</f>
        <v>2017</v>
      </c>
      <c r="E226" s="7" t="n">
        <f aca="false">INT((D226-1)/100)+1</f>
        <v>21</v>
      </c>
      <c r="F226" s="7" t="s">
        <v>1581</v>
      </c>
      <c r="G226" s="7" t="s">
        <v>1582</v>
      </c>
      <c r="H226" s="7" t="s">
        <v>954</v>
      </c>
      <c r="I226" s="7" t="s">
        <v>1583</v>
      </c>
      <c r="J226" s="7" t="s">
        <v>719</v>
      </c>
      <c r="K226" s="7"/>
      <c r="L226" s="7" t="s">
        <v>627</v>
      </c>
      <c r="M226" s="7" t="s">
        <v>628</v>
      </c>
      <c r="N226" s="7" t="s">
        <v>16</v>
      </c>
      <c r="O226" s="7" t="s">
        <v>75</v>
      </c>
      <c r="P226" s="7"/>
      <c r="Q226" s="7" t="s">
        <v>1579</v>
      </c>
      <c r="R226" s="7" t="n">
        <f aca="false">VALUE(LEFT(Q226,4))</f>
        <v>2017</v>
      </c>
      <c r="S226" s="7" t="n">
        <f aca="false">VALUE(MID(Q226,6,2))</f>
        <v>10</v>
      </c>
      <c r="T226" s="7" t="n">
        <f aca="false">VALUE(RIGHT(Q226,2))</f>
        <v>29</v>
      </c>
      <c r="U226" s="7" t="s">
        <v>125</v>
      </c>
      <c r="V226" s="7" t="s">
        <v>126</v>
      </c>
    </row>
    <row r="227" customFormat="false" ht="23.25" hidden="false" customHeight="true" outlineLevel="0" collapsed="false">
      <c r="A227" s="7" t="n">
        <v>226</v>
      </c>
      <c r="B227" s="7" t="s">
        <v>1584</v>
      </c>
      <c r="C227" s="7" t="s">
        <v>1585</v>
      </c>
      <c r="D227" s="7" t="n">
        <f aca="false">VALUE(LEFT(B227,4))</f>
        <v>2017</v>
      </c>
      <c r="E227" s="7" t="n">
        <f aca="false">INT((D227-1)/100)+1</f>
        <v>21</v>
      </c>
      <c r="F227" s="7" t="s">
        <v>238</v>
      </c>
      <c r="G227" s="7" t="s">
        <v>1586</v>
      </c>
      <c r="H227" s="7" t="s">
        <v>954</v>
      </c>
      <c r="I227" s="7" t="s">
        <v>1587</v>
      </c>
      <c r="J227" s="7" t="s">
        <v>719</v>
      </c>
      <c r="K227" s="7" t="s">
        <v>1588</v>
      </c>
      <c r="L227" s="7" t="s">
        <v>627</v>
      </c>
      <c r="M227" s="7" t="s">
        <v>628</v>
      </c>
      <c r="N227" s="7" t="s">
        <v>16</v>
      </c>
      <c r="O227" s="7" t="s">
        <v>75</v>
      </c>
      <c r="P227" s="7"/>
      <c r="Q227" s="7" t="s">
        <v>1589</v>
      </c>
      <c r="R227" s="7" t="n">
        <f aca="false">VALUE(LEFT(Q227,4))</f>
        <v>2018</v>
      </c>
      <c r="S227" s="7" t="n">
        <f aca="false">VALUE(MID(Q227,6,2))</f>
        <v>1</v>
      </c>
      <c r="T227" s="7" t="n">
        <f aca="false">VALUE(RIGHT(Q227,2))</f>
        <v>6</v>
      </c>
      <c r="U227" s="7" t="s">
        <v>125</v>
      </c>
      <c r="V227" s="7" t="s">
        <v>1590</v>
      </c>
    </row>
    <row r="228" customFormat="false" ht="23.25" hidden="false" customHeight="true" outlineLevel="0" collapsed="false">
      <c r="A228" s="7" t="n">
        <v>227</v>
      </c>
      <c r="B228" s="7" t="s">
        <v>1591</v>
      </c>
      <c r="C228" s="7" t="s">
        <v>1592</v>
      </c>
      <c r="D228" s="7" t="n">
        <f aca="false">VALUE(LEFT(B228,4))</f>
        <v>2018</v>
      </c>
      <c r="E228" s="7" t="n">
        <f aca="false">INT((D228-1)/100)+1</f>
        <v>21</v>
      </c>
      <c r="F228" s="7" t="s">
        <v>1099</v>
      </c>
      <c r="G228" s="7" t="s">
        <v>1593</v>
      </c>
      <c r="H228" s="7" t="s">
        <v>1594</v>
      </c>
      <c r="I228" s="7" t="s">
        <v>1595</v>
      </c>
      <c r="J228" s="7" t="s">
        <v>719</v>
      </c>
      <c r="K228" s="7" t="s">
        <v>1596</v>
      </c>
      <c r="L228" s="7" t="s">
        <v>627</v>
      </c>
      <c r="M228" s="7" t="s">
        <v>628</v>
      </c>
      <c r="N228" s="7" t="s">
        <v>16</v>
      </c>
      <c r="O228" s="7" t="s">
        <v>75</v>
      </c>
      <c r="P228" s="7"/>
      <c r="Q228" s="7" t="s">
        <v>1591</v>
      </c>
      <c r="R228" s="7" t="n">
        <f aca="false">VALUE(LEFT(Q228,4))</f>
        <v>2018</v>
      </c>
      <c r="S228" s="7" t="n">
        <f aca="false">VALUE(MID(Q228,6,2))</f>
        <v>1</v>
      </c>
      <c r="T228" s="7" t="n">
        <f aca="false">VALUE(RIGHT(Q228,2))</f>
        <v>12</v>
      </c>
      <c r="U228" s="7" t="s">
        <v>77</v>
      </c>
      <c r="V228" s="7" t="s">
        <v>1597</v>
      </c>
    </row>
    <row r="229" customFormat="false" ht="34.5" hidden="false" customHeight="true" outlineLevel="0" collapsed="false">
      <c r="A229" s="7" t="n">
        <v>228</v>
      </c>
      <c r="B229" s="7" t="s">
        <v>1413</v>
      </c>
      <c r="C229" s="7" t="s">
        <v>1413</v>
      </c>
      <c r="D229" s="7" t="n">
        <f aca="false">VALUE(LEFT(B229,4))</f>
        <v>2018</v>
      </c>
      <c r="E229" s="7" t="n">
        <f aca="false">INT((D229-1)/100)+1</f>
        <v>21</v>
      </c>
      <c r="F229" s="7" t="s">
        <v>553</v>
      </c>
      <c r="G229" s="7" t="s">
        <v>1598</v>
      </c>
      <c r="H229" s="7" t="s">
        <v>1599</v>
      </c>
      <c r="I229" s="7" t="s">
        <v>1600</v>
      </c>
      <c r="J229" s="7" t="s">
        <v>907</v>
      </c>
      <c r="K229" s="7" t="s">
        <v>1601</v>
      </c>
      <c r="L229" s="7" t="s">
        <v>1602</v>
      </c>
      <c r="M229" s="7" t="s">
        <v>1603</v>
      </c>
      <c r="N229" s="7" t="s">
        <v>16</v>
      </c>
      <c r="O229" s="7" t="s">
        <v>75</v>
      </c>
      <c r="P229" s="7" t="s">
        <v>1604</v>
      </c>
      <c r="Q229" s="7" t="s">
        <v>1413</v>
      </c>
      <c r="R229" s="7" t="n">
        <f aca="false">VALUE(LEFT(Q229,4))</f>
        <v>2018</v>
      </c>
      <c r="S229" s="7" t="n">
        <f aca="false">VALUE(MID(Q229,6,2))</f>
        <v>2</v>
      </c>
      <c r="T229" s="7" t="n">
        <f aca="false">VALUE(RIGHT(Q229,2))</f>
        <v>22</v>
      </c>
      <c r="U229" s="7" t="s">
        <v>77</v>
      </c>
      <c r="V229" s="7" t="s">
        <v>78</v>
      </c>
    </row>
    <row r="230" customFormat="false" ht="23.25" hidden="false" customHeight="true" outlineLevel="0" collapsed="false">
      <c r="A230" s="7" t="n">
        <v>229</v>
      </c>
      <c r="B230" s="7" t="s">
        <v>1413</v>
      </c>
      <c r="C230" s="7" t="s">
        <v>1413</v>
      </c>
      <c r="D230" s="7" t="n">
        <f aca="false">VALUE(LEFT(B230,4))</f>
        <v>2018</v>
      </c>
      <c r="E230" s="7" t="n">
        <f aca="false">INT((D230-1)/100)+1</f>
        <v>21</v>
      </c>
      <c r="F230" s="7" t="s">
        <v>580</v>
      </c>
      <c r="G230" s="7" t="s">
        <v>1605</v>
      </c>
      <c r="H230" s="7" t="s">
        <v>674</v>
      </c>
      <c r="I230" s="7" t="s">
        <v>1606</v>
      </c>
      <c r="J230" s="7" t="s">
        <v>332</v>
      </c>
      <c r="K230" s="7" t="s">
        <v>1607</v>
      </c>
      <c r="L230" s="7" t="s">
        <v>1410</v>
      </c>
      <c r="M230" s="7" t="s">
        <v>1608</v>
      </c>
      <c r="N230" s="7" t="s">
        <v>18</v>
      </c>
      <c r="O230" s="7" t="s">
        <v>75</v>
      </c>
      <c r="P230" s="7"/>
      <c r="Q230" s="7" t="s">
        <v>1413</v>
      </c>
      <c r="R230" s="7" t="n">
        <f aca="false">VALUE(LEFT(Q230,4))</f>
        <v>2018</v>
      </c>
      <c r="S230" s="7" t="n">
        <f aca="false">VALUE(MID(Q230,6,2))</f>
        <v>2</v>
      </c>
      <c r="T230" s="7" t="n">
        <f aca="false">VALUE(RIGHT(Q230,2))</f>
        <v>22</v>
      </c>
      <c r="U230" s="7" t="s">
        <v>77</v>
      </c>
      <c r="V230" s="7" t="s">
        <v>78</v>
      </c>
    </row>
    <row r="231" customFormat="false" ht="23.25" hidden="false" customHeight="true" outlineLevel="0" collapsed="false">
      <c r="A231" s="7" t="n">
        <v>230</v>
      </c>
      <c r="B231" s="7" t="s">
        <v>1609</v>
      </c>
      <c r="C231" s="7" t="s">
        <v>1610</v>
      </c>
      <c r="D231" s="7" t="n">
        <f aca="false">VALUE(LEFT(B231,4))</f>
        <v>2018</v>
      </c>
      <c r="E231" s="7" t="n">
        <f aca="false">INT((D231-1)/100)+1</f>
        <v>21</v>
      </c>
      <c r="F231" s="7" t="s">
        <v>1291</v>
      </c>
      <c r="G231" s="7" t="s">
        <v>1611</v>
      </c>
      <c r="H231" s="7" t="s">
        <v>954</v>
      </c>
      <c r="I231" s="7" t="s">
        <v>1612</v>
      </c>
      <c r="J231" s="7" t="s">
        <v>719</v>
      </c>
      <c r="K231" s="7"/>
      <c r="L231" s="7" t="s">
        <v>627</v>
      </c>
      <c r="M231" s="7" t="s">
        <v>628</v>
      </c>
      <c r="N231" s="7" t="s">
        <v>16</v>
      </c>
      <c r="O231" s="7" t="s">
        <v>75</v>
      </c>
      <c r="P231" s="7"/>
      <c r="Q231" s="7" t="s">
        <v>1613</v>
      </c>
      <c r="R231" s="7" t="n">
        <f aca="false">VALUE(LEFT(Q231,4))</f>
        <v>2018</v>
      </c>
      <c r="S231" s="7" t="n">
        <f aca="false">VALUE(MID(Q231,6,2))</f>
        <v>3</v>
      </c>
      <c r="T231" s="7" t="n">
        <f aca="false">VALUE(RIGHT(Q231,2))</f>
        <v>13</v>
      </c>
      <c r="U231" s="7" t="s">
        <v>125</v>
      </c>
      <c r="V231" s="7" t="s">
        <v>1614</v>
      </c>
    </row>
    <row r="232" customFormat="false" ht="23.25" hidden="false" customHeight="true" outlineLevel="0" collapsed="false">
      <c r="A232" s="7" t="n">
        <v>231</v>
      </c>
      <c r="B232" s="7" t="s">
        <v>1615</v>
      </c>
      <c r="C232" s="7" t="s">
        <v>1615</v>
      </c>
      <c r="D232" s="7" t="n">
        <f aca="false">VALUE(LEFT(B232,4))</f>
        <v>2018</v>
      </c>
      <c r="E232" s="7" t="n">
        <f aca="false">INT((D232-1)/100)+1</f>
        <v>21</v>
      </c>
      <c r="F232" s="7" t="s">
        <v>1616</v>
      </c>
      <c r="G232" s="7" t="s">
        <v>1617</v>
      </c>
      <c r="H232" s="7" t="s">
        <v>1618</v>
      </c>
      <c r="I232" s="7" t="s">
        <v>1619</v>
      </c>
      <c r="J232" s="7" t="s">
        <v>975</v>
      </c>
      <c r="K232" s="7" t="s">
        <v>1620</v>
      </c>
      <c r="L232" s="7" t="s">
        <v>627</v>
      </c>
      <c r="M232" s="7" t="s">
        <v>628</v>
      </c>
      <c r="N232" s="7" t="s">
        <v>16</v>
      </c>
      <c r="O232" s="7" t="s">
        <v>75</v>
      </c>
      <c r="P232" s="7" t="s">
        <v>1621</v>
      </c>
      <c r="Q232" s="7" t="s">
        <v>1615</v>
      </c>
      <c r="R232" s="7" t="n">
        <f aca="false">VALUE(LEFT(Q232,4))</f>
        <v>2018</v>
      </c>
      <c r="S232" s="7" t="n">
        <f aca="false">VALUE(MID(Q232,6,2))</f>
        <v>5</v>
      </c>
      <c r="T232" s="7" t="n">
        <f aca="false">VALUE(RIGHT(Q232,2))</f>
        <v>15</v>
      </c>
      <c r="U232" s="7" t="s">
        <v>77</v>
      </c>
      <c r="V232" s="7" t="s">
        <v>78</v>
      </c>
    </row>
    <row r="233" customFormat="false" ht="57" hidden="false" customHeight="true" outlineLevel="0" collapsed="false">
      <c r="A233" s="7" t="n">
        <v>232</v>
      </c>
      <c r="B233" s="7" t="s">
        <v>1622</v>
      </c>
      <c r="C233" s="7" t="s">
        <v>1623</v>
      </c>
      <c r="D233" s="7" t="n">
        <f aca="false">VALUE(LEFT(B233,4))</f>
        <v>2018</v>
      </c>
      <c r="E233" s="7" t="n">
        <f aca="false">INT((D233-1)/100)+1</f>
        <v>21</v>
      </c>
      <c r="F233" s="7" t="s">
        <v>1395</v>
      </c>
      <c r="G233" s="7" t="s">
        <v>1624</v>
      </c>
      <c r="H233" s="7" t="s">
        <v>1625</v>
      </c>
      <c r="I233" s="7" t="s">
        <v>1626</v>
      </c>
      <c r="J233" s="7" t="s">
        <v>1627</v>
      </c>
      <c r="K233" s="7" t="s">
        <v>1628</v>
      </c>
      <c r="L233" s="7" t="s">
        <v>1629</v>
      </c>
      <c r="M233" s="7" t="s">
        <v>1383</v>
      </c>
      <c r="N233" s="7" t="s">
        <v>20</v>
      </c>
      <c r="O233" s="7" t="s">
        <v>75</v>
      </c>
      <c r="P233" s="7" t="s">
        <v>1630</v>
      </c>
      <c r="Q233" s="7" t="s">
        <v>1623</v>
      </c>
      <c r="R233" s="7" t="n">
        <f aca="false">VALUE(LEFT(Q233,4))</f>
        <v>2018</v>
      </c>
      <c r="S233" s="7" t="n">
        <f aca="false">VALUE(MID(Q233,6,2))</f>
        <v>8</v>
      </c>
      <c r="T233" s="7" t="n">
        <f aca="false">VALUE(RIGHT(Q233,2))</f>
        <v>22</v>
      </c>
      <c r="U233" s="7" t="s">
        <v>125</v>
      </c>
      <c r="V233" s="7" t="s">
        <v>1631</v>
      </c>
    </row>
    <row r="234" customFormat="false" ht="23.25" hidden="false" customHeight="true" outlineLevel="0" collapsed="false">
      <c r="A234" s="7" t="n">
        <v>233</v>
      </c>
      <c r="B234" s="7" t="s">
        <v>1632</v>
      </c>
      <c r="C234" s="7" t="s">
        <v>1632</v>
      </c>
      <c r="D234" s="7" t="n">
        <f aca="false">VALUE(LEFT(B234,4))</f>
        <v>2019</v>
      </c>
      <c r="E234" s="7" t="n">
        <f aca="false">INT((D234-1)/100)+1</f>
        <v>21</v>
      </c>
      <c r="F234" s="7" t="s">
        <v>928</v>
      </c>
      <c r="G234" s="7" t="s">
        <v>1633</v>
      </c>
      <c r="H234" s="7" t="s">
        <v>954</v>
      </c>
      <c r="I234" s="7"/>
      <c r="J234" s="7" t="s">
        <v>719</v>
      </c>
      <c r="K234" s="7"/>
      <c r="L234" s="7" t="s">
        <v>627</v>
      </c>
      <c r="M234" s="7" t="s">
        <v>628</v>
      </c>
      <c r="N234" s="7" t="s">
        <v>16</v>
      </c>
      <c r="O234" s="7" t="s">
        <v>75</v>
      </c>
      <c r="P234" s="7"/>
      <c r="Q234" s="7" t="s">
        <v>1632</v>
      </c>
      <c r="R234" s="7" t="n">
        <f aca="false">VALUE(LEFT(Q234,4))</f>
        <v>2019</v>
      </c>
      <c r="S234" s="7" t="n">
        <f aca="false">VALUE(MID(Q234,6,2))</f>
        <v>2</v>
      </c>
      <c r="T234" s="7" t="n">
        <f aca="false">VALUE(RIGHT(Q234,2))</f>
        <v>25</v>
      </c>
      <c r="U234" s="7" t="s">
        <v>77</v>
      </c>
      <c r="V234" s="7" t="s">
        <v>78</v>
      </c>
    </row>
    <row r="235" customFormat="false" ht="34.5" hidden="false" customHeight="true" outlineLevel="0" collapsed="false">
      <c r="A235" s="7" t="n">
        <v>234</v>
      </c>
      <c r="B235" s="7" t="s">
        <v>1634</v>
      </c>
      <c r="C235" s="7" t="s">
        <v>1635</v>
      </c>
      <c r="D235" s="7" t="n">
        <f aca="false">VALUE(LEFT(B235,4))</f>
        <v>2019</v>
      </c>
      <c r="E235" s="7" t="n">
        <f aca="false">INT((D235-1)/100)+1</f>
        <v>21</v>
      </c>
      <c r="F235" s="7" t="s">
        <v>1636</v>
      </c>
      <c r="G235" s="7" t="s">
        <v>1637</v>
      </c>
      <c r="H235" s="7" t="s">
        <v>1638</v>
      </c>
      <c r="I235" s="7" t="s">
        <v>1639</v>
      </c>
      <c r="J235" s="7" t="s">
        <v>907</v>
      </c>
      <c r="K235" s="7" t="s">
        <v>1640</v>
      </c>
      <c r="L235" s="7" t="s">
        <v>627</v>
      </c>
      <c r="M235" s="7" t="s">
        <v>628</v>
      </c>
      <c r="N235" s="7" t="s">
        <v>16</v>
      </c>
      <c r="O235" s="7" t="s">
        <v>75</v>
      </c>
      <c r="P235" s="7"/>
      <c r="Q235" s="7" t="s">
        <v>1634</v>
      </c>
      <c r="R235" s="7" t="n">
        <f aca="false">VALUE(LEFT(Q235,4))</f>
        <v>2019</v>
      </c>
      <c r="S235" s="7" t="n">
        <f aca="false">VALUE(MID(Q235,6,2))</f>
        <v>10</v>
      </c>
      <c r="T235" s="7" t="n">
        <f aca="false">VALUE(RIGHT(Q235,2))</f>
        <v>31</v>
      </c>
      <c r="U235" s="7" t="s">
        <v>125</v>
      </c>
      <c r="V235" s="7" t="s">
        <v>126</v>
      </c>
    </row>
    <row r="236" customFormat="false" ht="23.25" hidden="false" customHeight="true" outlineLevel="0" collapsed="false">
      <c r="A236" s="7" t="n">
        <v>235</v>
      </c>
      <c r="B236" s="7" t="s">
        <v>1641</v>
      </c>
      <c r="C236" s="7" t="s">
        <v>1642</v>
      </c>
      <c r="D236" s="7" t="n">
        <f aca="false">VALUE(LEFT(B236,4))</f>
        <v>2019</v>
      </c>
      <c r="E236" s="7" t="n">
        <f aca="false">INT((D236-1)/100)+1</f>
        <v>21</v>
      </c>
      <c r="F236" s="7" t="s">
        <v>139</v>
      </c>
      <c r="G236" s="7" t="s">
        <v>1643</v>
      </c>
      <c r="H236" s="7" t="s">
        <v>954</v>
      </c>
      <c r="I236" s="7" t="s">
        <v>1644</v>
      </c>
      <c r="J236" s="7" t="s">
        <v>719</v>
      </c>
      <c r="K236" s="7"/>
      <c r="L236" s="7" t="s">
        <v>627</v>
      </c>
      <c r="M236" s="7" t="s">
        <v>628</v>
      </c>
      <c r="N236" s="7" t="s">
        <v>16</v>
      </c>
      <c r="O236" s="7" t="s">
        <v>75</v>
      </c>
      <c r="P236" s="7"/>
      <c r="Q236" s="7" t="s">
        <v>1641</v>
      </c>
      <c r="R236" s="7" t="n">
        <f aca="false">VALUE(LEFT(Q236,4))</f>
        <v>2019</v>
      </c>
      <c r="S236" s="7" t="n">
        <f aca="false">VALUE(MID(Q236,6,2))</f>
        <v>12</v>
      </c>
      <c r="T236" s="7" t="n">
        <f aca="false">VALUE(RIGHT(Q236,2))</f>
        <v>1</v>
      </c>
      <c r="U236" s="7" t="s">
        <v>125</v>
      </c>
      <c r="V236" s="7" t="s">
        <v>126</v>
      </c>
    </row>
    <row r="237" customFormat="false" ht="23.25" hidden="false" customHeight="true" outlineLevel="0" collapsed="false">
      <c r="A237" s="7" t="n">
        <v>236</v>
      </c>
      <c r="B237" s="7" t="s">
        <v>1645</v>
      </c>
      <c r="C237" s="7" t="s">
        <v>1645</v>
      </c>
      <c r="D237" s="7" t="n">
        <f aca="false">VALUE(LEFT(B237,4))</f>
        <v>2020</v>
      </c>
      <c r="E237" s="7" t="n">
        <f aca="false">INT((D237-1)/100)+1</f>
        <v>21</v>
      </c>
      <c r="F237" s="7" t="s">
        <v>1646</v>
      </c>
      <c r="G237" s="7" t="s">
        <v>1647</v>
      </c>
      <c r="H237" s="7" t="s">
        <v>1648</v>
      </c>
      <c r="I237" s="7"/>
      <c r="J237" s="7" t="s">
        <v>975</v>
      </c>
      <c r="K237" s="7"/>
      <c r="L237" s="7" t="s">
        <v>627</v>
      </c>
      <c r="M237" s="7" t="s">
        <v>628</v>
      </c>
      <c r="N237" s="7" t="s">
        <v>16</v>
      </c>
      <c r="O237" s="7" t="s">
        <v>75</v>
      </c>
      <c r="P237" s="7" t="s">
        <v>1649</v>
      </c>
      <c r="Q237" s="7" t="s">
        <v>1645</v>
      </c>
      <c r="R237" s="7" t="n">
        <f aca="false">VALUE(LEFT(Q237,4))</f>
        <v>2020</v>
      </c>
      <c r="S237" s="7" t="n">
        <f aca="false">VALUE(MID(Q237,6,2))</f>
        <v>5</v>
      </c>
      <c r="T237" s="7" t="n">
        <f aca="false">VALUE(RIGHT(Q237,2))</f>
        <v>15</v>
      </c>
      <c r="U237" s="7" t="s">
        <v>77</v>
      </c>
      <c r="V237" s="7" t="s">
        <v>78</v>
      </c>
    </row>
    <row r="238" customFormat="false" ht="23.25" hidden="false" customHeight="true" outlineLevel="0" collapsed="false">
      <c r="A238" s="7" t="n">
        <v>237</v>
      </c>
      <c r="B238" s="7" t="s">
        <v>1650</v>
      </c>
      <c r="C238" s="7" t="s">
        <v>1650</v>
      </c>
      <c r="D238" s="7" t="n">
        <f aca="false">VALUE(LEFT(B238,4))</f>
        <v>2020</v>
      </c>
      <c r="E238" s="7" t="n">
        <f aca="false">INT((D238-1)/100)+1</f>
        <v>21</v>
      </c>
      <c r="F238" s="7" t="s">
        <v>67</v>
      </c>
      <c r="G238" s="7" t="s">
        <v>1651</v>
      </c>
      <c r="H238" s="7" t="s">
        <v>954</v>
      </c>
      <c r="I238" s="7" t="s">
        <v>1652</v>
      </c>
      <c r="J238" s="7" t="s">
        <v>719</v>
      </c>
      <c r="K238" s="7"/>
      <c r="L238" s="7" t="s">
        <v>627</v>
      </c>
      <c r="M238" s="7" t="s">
        <v>628</v>
      </c>
      <c r="N238" s="7" t="s">
        <v>16</v>
      </c>
      <c r="O238" s="7" t="s">
        <v>75</v>
      </c>
      <c r="P238" s="7"/>
      <c r="Q238" s="7" t="s">
        <v>1650</v>
      </c>
      <c r="R238" s="7" t="n">
        <f aca="false">VALUE(LEFT(Q238,4))</f>
        <v>2020</v>
      </c>
      <c r="S238" s="7" t="n">
        <f aca="false">VALUE(MID(Q238,6,2))</f>
        <v>8</v>
      </c>
      <c r="T238" s="7" t="n">
        <f aca="false">VALUE(RIGHT(Q238,2))</f>
        <v>4</v>
      </c>
      <c r="U238" s="7" t="s">
        <v>77</v>
      </c>
      <c r="V238" s="7" t="s">
        <v>78</v>
      </c>
    </row>
    <row r="239" customFormat="false" ht="23.25" hidden="false" customHeight="true" outlineLevel="0" collapsed="false">
      <c r="A239" s="7" t="n">
        <v>238</v>
      </c>
      <c r="B239" s="7" t="s">
        <v>1653</v>
      </c>
      <c r="C239" s="7" t="s">
        <v>1653</v>
      </c>
      <c r="D239" s="7" t="n">
        <f aca="false">VALUE(LEFT(B239,4))</f>
        <v>2020</v>
      </c>
      <c r="E239" s="7" t="n">
        <f aca="false">INT((D239-1)/100)+1</f>
        <v>21</v>
      </c>
      <c r="F239" s="7" t="s">
        <v>1231</v>
      </c>
      <c r="G239" s="7" t="s">
        <v>1654</v>
      </c>
      <c r="H239" s="7" t="s">
        <v>954</v>
      </c>
      <c r="I239" s="7" t="s">
        <v>1655</v>
      </c>
      <c r="J239" s="7" t="s">
        <v>975</v>
      </c>
      <c r="K239" s="7"/>
      <c r="L239" s="7" t="s">
        <v>627</v>
      </c>
      <c r="M239" s="7" t="s">
        <v>628</v>
      </c>
      <c r="N239" s="7" t="s">
        <v>16</v>
      </c>
      <c r="O239" s="7" t="s">
        <v>75</v>
      </c>
      <c r="P239" s="7"/>
      <c r="Q239" s="7" t="s">
        <v>1653</v>
      </c>
      <c r="R239" s="7" t="n">
        <f aca="false">VALUE(LEFT(Q239,4))</f>
        <v>2020</v>
      </c>
      <c r="S239" s="7" t="n">
        <f aca="false">VALUE(MID(Q239,6,2))</f>
        <v>10</v>
      </c>
      <c r="T239" s="7" t="n">
        <f aca="false">VALUE(RIGHT(Q239,2))</f>
        <v>7</v>
      </c>
      <c r="U239" s="7" t="s">
        <v>77</v>
      </c>
      <c r="V239" s="7" t="s">
        <v>78</v>
      </c>
    </row>
    <row r="240" customFormat="false" ht="23.25" hidden="false" customHeight="true" outlineLevel="0" collapsed="false">
      <c r="A240" s="7" t="n">
        <v>239</v>
      </c>
      <c r="B240" s="7" t="s">
        <v>1656</v>
      </c>
      <c r="C240" s="7" t="s">
        <v>1657</v>
      </c>
      <c r="D240" s="7" t="n">
        <f aca="false">VALUE(LEFT(B240,4))</f>
        <v>2020</v>
      </c>
      <c r="E240" s="7" t="n">
        <f aca="false">INT((D240-1)/100)+1</f>
        <v>21</v>
      </c>
      <c r="F240" s="7" t="s">
        <v>139</v>
      </c>
      <c r="G240" s="7" t="s">
        <v>1658</v>
      </c>
      <c r="H240" s="7" t="s">
        <v>954</v>
      </c>
      <c r="I240" s="7" t="s">
        <v>1659</v>
      </c>
      <c r="J240" s="7" t="s">
        <v>310</v>
      </c>
      <c r="K240" s="7"/>
      <c r="L240" s="7" t="s">
        <v>627</v>
      </c>
      <c r="M240" s="7" t="s">
        <v>628</v>
      </c>
      <c r="N240" s="7" t="s">
        <v>16</v>
      </c>
      <c r="O240" s="7" t="s">
        <v>75</v>
      </c>
      <c r="P240" s="7" t="s">
        <v>1660</v>
      </c>
      <c r="Q240" s="7" t="s">
        <v>1656</v>
      </c>
      <c r="R240" s="7" t="n">
        <f aca="false">VALUE(LEFT(Q240,4))</f>
        <v>2020</v>
      </c>
      <c r="S240" s="7" t="n">
        <f aca="false">VALUE(MID(Q240,6,2))</f>
        <v>12</v>
      </c>
      <c r="T240" s="7" t="n">
        <f aca="false">VALUE(RIGHT(Q240,2))</f>
        <v>16</v>
      </c>
      <c r="U240" s="7" t="s">
        <v>125</v>
      </c>
      <c r="V240" s="7" t="s">
        <v>126</v>
      </c>
    </row>
    <row r="241" customFormat="false" ht="23.25" hidden="false" customHeight="true" outlineLevel="0" collapsed="false">
      <c r="A241" s="7" t="n">
        <v>240</v>
      </c>
      <c r="B241" s="7" t="s">
        <v>1661</v>
      </c>
      <c r="C241" s="7" t="s">
        <v>1662</v>
      </c>
      <c r="D241" s="7" t="n">
        <f aca="false">VALUE(LEFT(B241,4))</f>
        <v>2020</v>
      </c>
      <c r="E241" s="7" t="n">
        <f aca="false">INT((D241-1)/100)+1</f>
        <v>21</v>
      </c>
      <c r="F241" s="7" t="s">
        <v>1244</v>
      </c>
      <c r="G241" s="7" t="s">
        <v>1663</v>
      </c>
      <c r="H241" s="7" t="s">
        <v>1664</v>
      </c>
      <c r="I241" s="7" t="s">
        <v>1665</v>
      </c>
      <c r="J241" s="7" t="s">
        <v>719</v>
      </c>
      <c r="K241" s="7" t="s">
        <v>1666</v>
      </c>
      <c r="L241" s="7" t="s">
        <v>627</v>
      </c>
      <c r="M241" s="7" t="s">
        <v>628</v>
      </c>
      <c r="N241" s="7" t="s">
        <v>16</v>
      </c>
      <c r="O241" s="7" t="s">
        <v>75</v>
      </c>
      <c r="P241" s="7"/>
      <c r="Q241" s="7" t="s">
        <v>1661</v>
      </c>
      <c r="R241" s="7" t="n">
        <f aca="false">VALUE(LEFT(Q241,4))</f>
        <v>2020</v>
      </c>
      <c r="S241" s="7" t="n">
        <f aca="false">VALUE(MID(Q241,6,2))</f>
        <v>12</v>
      </c>
      <c r="T241" s="7" t="n">
        <f aca="false">VALUE(RIGHT(Q241,2))</f>
        <v>24</v>
      </c>
      <c r="U241" s="7" t="s">
        <v>125</v>
      </c>
      <c r="V241" s="7" t="s">
        <v>126</v>
      </c>
    </row>
    <row r="242" customFormat="false" ht="23.25" hidden="false" customHeight="true" outlineLevel="0" collapsed="false">
      <c r="A242" s="7" t="n">
        <v>241</v>
      </c>
      <c r="B242" s="7" t="s">
        <v>1667</v>
      </c>
      <c r="C242" s="7" t="s">
        <v>1667</v>
      </c>
      <c r="D242" s="7" t="n">
        <f aca="false">VALUE(LEFT(B242,4))</f>
        <v>2021</v>
      </c>
      <c r="E242" s="7" t="n">
        <f aca="false">INT((D242-1)/100)+1</f>
        <v>21</v>
      </c>
      <c r="F242" s="7" t="s">
        <v>1668</v>
      </c>
      <c r="G242" s="7" t="s">
        <v>1669</v>
      </c>
      <c r="H242" s="7" t="s">
        <v>1670</v>
      </c>
      <c r="I242" s="7"/>
      <c r="J242" s="7" t="s">
        <v>975</v>
      </c>
      <c r="K242" s="7" t="s">
        <v>1671</v>
      </c>
      <c r="L242" s="7" t="s">
        <v>627</v>
      </c>
      <c r="M242" s="7" t="s">
        <v>628</v>
      </c>
      <c r="N242" s="7" t="s">
        <v>18</v>
      </c>
      <c r="O242" s="7" t="s">
        <v>75</v>
      </c>
      <c r="P242" s="7" t="s">
        <v>1672</v>
      </c>
      <c r="Q242" s="7" t="s">
        <v>1667</v>
      </c>
      <c r="R242" s="7" t="n">
        <f aca="false">VALUE(LEFT(Q242,4))</f>
        <v>2021</v>
      </c>
      <c r="S242" s="7" t="n">
        <f aca="false">VALUE(MID(Q242,6,2))</f>
        <v>4</v>
      </c>
      <c r="T242" s="7" t="n">
        <f aca="false">VALUE(RIGHT(Q242,2))</f>
        <v>21</v>
      </c>
      <c r="U242" s="7" t="s">
        <v>77</v>
      </c>
      <c r="V242" s="7" t="s">
        <v>78</v>
      </c>
    </row>
    <row r="243" customFormat="false" ht="23.25" hidden="false" customHeight="true" outlineLevel="0" collapsed="false">
      <c r="A243" s="7" t="n">
        <v>242</v>
      </c>
      <c r="B243" s="7" t="s">
        <v>1673</v>
      </c>
      <c r="C243" s="7" t="s">
        <v>1674</v>
      </c>
      <c r="D243" s="7" t="n">
        <f aca="false">VALUE(LEFT(B243,4))</f>
        <v>2021</v>
      </c>
      <c r="E243" s="7" t="n">
        <f aca="false">INT((D243-1)/100)+1</f>
        <v>21</v>
      </c>
      <c r="F243" s="7" t="s">
        <v>1675</v>
      </c>
      <c r="G243" s="7" t="s">
        <v>1676</v>
      </c>
      <c r="H243" s="7" t="s">
        <v>954</v>
      </c>
      <c r="I243" s="7"/>
      <c r="J243" s="7" t="s">
        <v>719</v>
      </c>
      <c r="K243" s="7"/>
      <c r="L243" s="7" t="s">
        <v>627</v>
      </c>
      <c r="M243" s="7" t="s">
        <v>628</v>
      </c>
      <c r="N243" s="7" t="s">
        <v>16</v>
      </c>
      <c r="O243" s="7" t="s">
        <v>75</v>
      </c>
      <c r="P243" s="7"/>
      <c r="Q243" s="7" t="s">
        <v>1677</v>
      </c>
      <c r="R243" s="7" t="n">
        <f aca="false">VALUE(LEFT(Q243,4))</f>
        <v>2021</v>
      </c>
      <c r="S243" s="7" t="n">
        <f aca="false">VALUE(MID(Q243,6,2))</f>
        <v>7</v>
      </c>
      <c r="T243" s="7" t="n">
        <f aca="false">VALUE(RIGHT(Q243,2))</f>
        <v>15</v>
      </c>
      <c r="U243" s="7" t="s">
        <v>317</v>
      </c>
      <c r="V243" s="7" t="s">
        <v>1678</v>
      </c>
    </row>
    <row r="244" customFormat="false" ht="23.25" hidden="false" customHeight="true" outlineLevel="0" collapsed="false">
      <c r="A244" s="7" t="n">
        <v>243</v>
      </c>
      <c r="B244" s="7" t="s">
        <v>1679</v>
      </c>
      <c r="C244" s="7" t="s">
        <v>1680</v>
      </c>
      <c r="D244" s="7" t="n">
        <f aca="false">VALUE(LEFT(B244,4))</f>
        <v>2021</v>
      </c>
      <c r="E244" s="7" t="n">
        <f aca="false">INT((D244-1)/100)+1</f>
        <v>21</v>
      </c>
      <c r="F244" s="7" t="s">
        <v>1431</v>
      </c>
      <c r="G244" s="7" t="s">
        <v>1681</v>
      </c>
      <c r="H244" s="7" t="s">
        <v>1682</v>
      </c>
      <c r="I244" s="7" t="s">
        <v>1683</v>
      </c>
      <c r="J244" s="7" t="s">
        <v>719</v>
      </c>
      <c r="K244" s="7" t="s">
        <v>1684</v>
      </c>
      <c r="L244" s="7" t="s">
        <v>627</v>
      </c>
      <c r="M244" s="7" t="s">
        <v>628</v>
      </c>
      <c r="N244" s="7" t="s">
        <v>16</v>
      </c>
      <c r="O244" s="7" t="s">
        <v>75</v>
      </c>
      <c r="P244" s="7"/>
      <c r="Q244" s="7" t="s">
        <v>1679</v>
      </c>
      <c r="R244" s="7" t="n">
        <f aca="false">VALUE(LEFT(Q244,4))</f>
        <v>2021</v>
      </c>
      <c r="S244" s="7" t="n">
        <f aca="false">VALUE(MID(Q244,6,2))</f>
        <v>9</v>
      </c>
      <c r="T244" s="7" t="n">
        <f aca="false">VALUE(RIGHT(Q244,2))</f>
        <v>1</v>
      </c>
      <c r="U244" s="7" t="s">
        <v>125</v>
      </c>
      <c r="V244" s="7" t="s">
        <v>126</v>
      </c>
    </row>
    <row r="245" customFormat="false" ht="23.25" hidden="false" customHeight="true" outlineLevel="0" collapsed="false">
      <c r="A245" s="7" t="n">
        <v>244</v>
      </c>
      <c r="B245" s="7" t="s">
        <v>1685</v>
      </c>
      <c r="C245" s="7" t="s">
        <v>1686</v>
      </c>
      <c r="D245" s="7" t="n">
        <f aca="false">VALUE(LEFT(B245,4))</f>
        <v>2022</v>
      </c>
      <c r="E245" s="7" t="n">
        <f aca="false">INT((D245-1)/100)+1</f>
        <v>21</v>
      </c>
      <c r="F245" s="7" t="s">
        <v>818</v>
      </c>
      <c r="G245" s="7" t="s">
        <v>1687</v>
      </c>
      <c r="H245" s="7" t="s">
        <v>954</v>
      </c>
      <c r="I245" s="7"/>
      <c r="J245" s="7" t="s">
        <v>719</v>
      </c>
      <c r="K245" s="7"/>
      <c r="L245" s="7" t="s">
        <v>627</v>
      </c>
      <c r="M245" s="7" t="s">
        <v>628</v>
      </c>
      <c r="N245" s="7" t="s">
        <v>16</v>
      </c>
      <c r="O245" s="7" t="s">
        <v>75</v>
      </c>
      <c r="P245" s="7"/>
      <c r="Q245" s="7" t="s">
        <v>1685</v>
      </c>
      <c r="R245" s="7" t="n">
        <f aca="false">VALUE(LEFT(Q245,4))</f>
        <v>2022</v>
      </c>
      <c r="S245" s="7" t="n">
        <f aca="false">VALUE(MID(Q245,6,2))</f>
        <v>2</v>
      </c>
      <c r="T245" s="7" t="n">
        <f aca="false">VALUE(RIGHT(Q245,2))</f>
        <v>3</v>
      </c>
      <c r="U245" s="7" t="s">
        <v>125</v>
      </c>
      <c r="V245" s="7" t="s">
        <v>126</v>
      </c>
    </row>
    <row r="246" customFormat="false" ht="23.25" hidden="false" customHeight="true" outlineLevel="0" collapsed="false">
      <c r="A246" s="7" t="n">
        <v>245</v>
      </c>
      <c r="B246" s="7" t="s">
        <v>1688</v>
      </c>
      <c r="C246" s="7" t="s">
        <v>1689</v>
      </c>
      <c r="D246" s="7" t="n">
        <f aca="false">VALUE(LEFT(B246,4))</f>
        <v>2022</v>
      </c>
      <c r="E246" s="7" t="n">
        <f aca="false">INT((D246-1)/100)+1</f>
        <v>21</v>
      </c>
      <c r="F246" s="7" t="s">
        <v>898</v>
      </c>
      <c r="G246" s="7" t="s">
        <v>1690</v>
      </c>
      <c r="H246" s="7" t="s">
        <v>954</v>
      </c>
      <c r="I246" s="7"/>
      <c r="J246" s="7" t="s">
        <v>719</v>
      </c>
      <c r="K246" s="7"/>
      <c r="L246" s="7" t="s">
        <v>627</v>
      </c>
      <c r="M246" s="7" t="s">
        <v>628</v>
      </c>
      <c r="N246" s="7" t="s">
        <v>16</v>
      </c>
      <c r="O246" s="7" t="s">
        <v>75</v>
      </c>
      <c r="P246" s="7"/>
      <c r="Q246" s="7" t="s">
        <v>1688</v>
      </c>
      <c r="R246" s="7" t="n">
        <f aca="false">VALUE(LEFT(Q246,4))</f>
        <v>2022</v>
      </c>
      <c r="S246" s="7" t="n">
        <f aca="false">VALUE(MID(Q246,6,2))</f>
        <v>4</v>
      </c>
      <c r="T246" s="7" t="n">
        <f aca="false">VALUE(RIGHT(Q246,2))</f>
        <v>18</v>
      </c>
      <c r="U246" s="7" t="s">
        <v>125</v>
      </c>
      <c r="V246" s="7" t="s">
        <v>126</v>
      </c>
    </row>
    <row r="247" customFormat="false" ht="23.25" hidden="false" customHeight="true" outlineLevel="0" collapsed="false">
      <c r="A247" s="7" t="n">
        <v>246</v>
      </c>
      <c r="B247" s="7" t="s">
        <v>1691</v>
      </c>
      <c r="C247" s="7" t="s">
        <v>1692</v>
      </c>
      <c r="D247" s="7" t="n">
        <f aca="false">VALUE(LEFT(B247,4))</f>
        <v>2022</v>
      </c>
      <c r="E247" s="7" t="n">
        <f aca="false">INT((D247-1)/100)+1</f>
        <v>21</v>
      </c>
      <c r="F247" s="7" t="s">
        <v>159</v>
      </c>
      <c r="G247" s="7" t="s">
        <v>1693</v>
      </c>
      <c r="H247" s="7" t="s">
        <v>954</v>
      </c>
      <c r="I247" s="7"/>
      <c r="J247" s="7" t="s">
        <v>719</v>
      </c>
      <c r="K247" s="7"/>
      <c r="L247" s="7" t="s">
        <v>627</v>
      </c>
      <c r="M247" s="7" t="s">
        <v>628</v>
      </c>
      <c r="N247" s="7" t="s">
        <v>16</v>
      </c>
      <c r="O247" s="7" t="s">
        <v>75</v>
      </c>
      <c r="P247" s="7"/>
      <c r="Q247" s="7" t="s">
        <v>1691</v>
      </c>
      <c r="R247" s="7" t="n">
        <f aca="false">VALUE(LEFT(Q247,4))</f>
        <v>2022</v>
      </c>
      <c r="S247" s="7" t="n">
        <f aca="false">VALUE(MID(Q247,6,2))</f>
        <v>12</v>
      </c>
      <c r="T247" s="7" t="n">
        <f aca="false">VALUE(RIGHT(Q247,2))</f>
        <v>15</v>
      </c>
      <c r="U247" s="7" t="s">
        <v>125</v>
      </c>
      <c r="V247" s="7" t="s">
        <v>126</v>
      </c>
    </row>
    <row r="248" customFormat="false" ht="23.25" hidden="false" customHeight="true" outlineLevel="0" collapsed="false">
      <c r="A248" s="7" t="n">
        <v>247</v>
      </c>
      <c r="B248" s="7" t="s">
        <v>1694</v>
      </c>
      <c r="C248" s="7" t="s">
        <v>1695</v>
      </c>
      <c r="D248" s="7" t="n">
        <f aca="false">VALUE(LEFT(B248,4))</f>
        <v>2023</v>
      </c>
      <c r="E248" s="7" t="n">
        <f aca="false">INT((D248-1)/100)+1</f>
        <v>21</v>
      </c>
      <c r="F248" s="7" t="s">
        <v>238</v>
      </c>
      <c r="G248" s="7" t="s">
        <v>1696</v>
      </c>
      <c r="H248" s="7" t="s">
        <v>954</v>
      </c>
      <c r="I248" s="7" t="s">
        <v>1697</v>
      </c>
      <c r="J248" s="7" t="s">
        <v>719</v>
      </c>
      <c r="K248" s="7"/>
      <c r="L248" s="7" t="s">
        <v>627</v>
      </c>
      <c r="M248" s="7" t="s">
        <v>628</v>
      </c>
      <c r="N248" s="7" t="s">
        <v>16</v>
      </c>
      <c r="O248" s="7" t="s">
        <v>75</v>
      </c>
      <c r="P248" s="7"/>
      <c r="Q248" s="7" t="s">
        <v>1694</v>
      </c>
      <c r="R248" s="7" t="n">
        <f aca="false">VALUE(LEFT(Q248,4))</f>
        <v>2023</v>
      </c>
      <c r="S248" s="7" t="n">
        <f aca="false">VALUE(MID(Q248,6,2))</f>
        <v>2</v>
      </c>
      <c r="T248" s="7" t="n">
        <f aca="false">VALUE(RIGHT(Q248,2))</f>
        <v>3</v>
      </c>
      <c r="U248" s="7" t="s">
        <v>125</v>
      </c>
      <c r="V248" s="7" t="s">
        <v>126</v>
      </c>
    </row>
    <row r="249" customFormat="false" ht="23.25" hidden="false" customHeight="true" outlineLevel="0" collapsed="false">
      <c r="A249" s="7" t="n">
        <v>248</v>
      </c>
      <c r="B249" s="7" t="s">
        <v>1698</v>
      </c>
      <c r="C249" s="7" t="s">
        <v>1699</v>
      </c>
      <c r="D249" s="7" t="n">
        <f aca="false">VALUE(LEFT(B249,4))</f>
        <v>2023</v>
      </c>
      <c r="E249" s="7" t="n">
        <f aca="false">INT((D249-1)/100)+1</f>
        <v>21</v>
      </c>
      <c r="F249" s="7" t="s">
        <v>159</v>
      </c>
      <c r="G249" s="7" t="s">
        <v>1700</v>
      </c>
      <c r="H249" s="7" t="s">
        <v>1701</v>
      </c>
      <c r="I249" s="7" t="s">
        <v>1702</v>
      </c>
      <c r="J249" s="7" t="s">
        <v>719</v>
      </c>
      <c r="K249" s="7"/>
      <c r="L249" s="7" t="s">
        <v>627</v>
      </c>
      <c r="M249" s="7" t="s">
        <v>628</v>
      </c>
      <c r="N249" s="7" t="s">
        <v>16</v>
      </c>
      <c r="O249" s="7" t="s">
        <v>75</v>
      </c>
      <c r="P249" s="7"/>
      <c r="Q249" s="7" t="s">
        <v>1698</v>
      </c>
      <c r="R249" s="7" t="n">
        <f aca="false">VALUE(LEFT(Q249,4))</f>
        <v>2023</v>
      </c>
      <c r="S249" s="7" t="n">
        <f aca="false">VALUE(MID(Q249,6,2))</f>
        <v>3</v>
      </c>
      <c r="T249" s="7" t="n">
        <f aca="false">VALUE(RIGHT(Q249,2))</f>
        <v>13</v>
      </c>
      <c r="U249" s="7" t="s">
        <v>125</v>
      </c>
      <c r="V249" s="7" t="s">
        <v>126</v>
      </c>
    </row>
    <row r="250" customFormat="false" ht="15" hidden="false" customHeight="true" outlineLevel="0" collapsed="false">
      <c r="A250" s="7" t="n">
        <v>249</v>
      </c>
      <c r="B250" s="7" t="s">
        <v>1703</v>
      </c>
      <c r="C250" s="7" t="s">
        <v>1703</v>
      </c>
      <c r="D250" s="7" t="n">
        <f aca="false">VALUE(LEFT(B250,4))</f>
        <v>2023</v>
      </c>
      <c r="E250" s="7" t="n">
        <f aca="false">INT((D250-1)/100)+1</f>
        <v>21</v>
      </c>
      <c r="F250" s="7" t="s">
        <v>1554</v>
      </c>
      <c r="G250" s="7" t="s">
        <v>1704</v>
      </c>
      <c r="H250" s="7" t="s">
        <v>1705</v>
      </c>
      <c r="I250" s="7" t="s">
        <v>1706</v>
      </c>
      <c r="J250" s="7" t="s">
        <v>332</v>
      </c>
      <c r="K250" s="7" t="s">
        <v>1707</v>
      </c>
      <c r="L250" s="7" t="s">
        <v>1708</v>
      </c>
      <c r="M250" s="7" t="s">
        <v>1709</v>
      </c>
      <c r="N250" s="7" t="s">
        <v>18</v>
      </c>
      <c r="O250" s="7" t="s">
        <v>75</v>
      </c>
      <c r="P250" s="7"/>
      <c r="Q250" s="7" t="s">
        <v>1703</v>
      </c>
      <c r="R250" s="7" t="n">
        <f aca="false">VALUE(LEFT(Q250,4))</f>
        <v>2023</v>
      </c>
      <c r="S250" s="7" t="n">
        <f aca="false">VALUE(MID(Q250,6,2))</f>
        <v>3</v>
      </c>
      <c r="T250" s="7" t="n">
        <f aca="false">VALUE(RIGHT(Q250,2))</f>
        <v>17</v>
      </c>
      <c r="U250" s="7" t="s">
        <v>77</v>
      </c>
      <c r="V250" s="7" t="s">
        <v>78</v>
      </c>
    </row>
    <row r="251" customFormat="false" ht="23.25" hidden="false" customHeight="true" outlineLevel="0" collapsed="false">
      <c r="A251" s="7" t="n">
        <v>250</v>
      </c>
      <c r="B251" s="7" t="s">
        <v>1710</v>
      </c>
      <c r="C251" s="7" t="s">
        <v>1710</v>
      </c>
      <c r="D251" s="7" t="n">
        <f aca="false">VALUE(LEFT(B251,4))</f>
        <v>2023</v>
      </c>
      <c r="E251" s="7" t="n">
        <f aca="false">INT((D251-1)/100)+1</f>
        <v>21</v>
      </c>
      <c r="F251" s="7" t="s">
        <v>459</v>
      </c>
      <c r="G251" s="7" t="s">
        <v>1711</v>
      </c>
      <c r="H251" s="7" t="s">
        <v>574</v>
      </c>
      <c r="I251" s="7" t="s">
        <v>1712</v>
      </c>
      <c r="J251" s="7" t="s">
        <v>719</v>
      </c>
      <c r="K251" s="7" t="s">
        <v>1713</v>
      </c>
      <c r="L251" s="7" t="s">
        <v>569</v>
      </c>
      <c r="M251" s="7"/>
      <c r="N251" s="7" t="s">
        <v>18</v>
      </c>
      <c r="O251" s="7" t="s">
        <v>94</v>
      </c>
      <c r="P251" s="7" t="s">
        <v>1714</v>
      </c>
      <c r="Q251" s="7" t="s">
        <v>1710</v>
      </c>
      <c r="R251" s="7" t="n">
        <f aca="false">VALUE(LEFT(Q251,4))</f>
        <v>2023</v>
      </c>
      <c r="S251" s="7" t="n">
        <f aca="false">VALUE(MID(Q251,6,2))</f>
        <v>5</v>
      </c>
      <c r="T251" s="7" t="n">
        <f aca="false">VALUE(RIGHT(Q251,2))</f>
        <v>18</v>
      </c>
      <c r="U251" s="7" t="s">
        <v>77</v>
      </c>
      <c r="V251" s="7" t="s">
        <v>78</v>
      </c>
    </row>
    <row r="252" customFormat="false" ht="23.25" hidden="false" customHeight="true" outlineLevel="0" collapsed="false">
      <c r="A252" s="7" t="n">
        <v>251</v>
      </c>
      <c r="B252" s="7" t="s">
        <v>1715</v>
      </c>
      <c r="C252" s="7" t="s">
        <v>1716</v>
      </c>
      <c r="D252" s="7" t="n">
        <f aca="false">VALUE(LEFT(B252,4))</f>
        <v>2023</v>
      </c>
      <c r="E252" s="7" t="n">
        <f aca="false">INT((D252-1)/100)+1</f>
        <v>21</v>
      </c>
      <c r="F252" s="7" t="s">
        <v>1717</v>
      </c>
      <c r="G252" s="7" t="s">
        <v>1718</v>
      </c>
      <c r="H252" s="7" t="s">
        <v>1719</v>
      </c>
      <c r="I252" s="7" t="s">
        <v>1720</v>
      </c>
      <c r="J252" s="7" t="s">
        <v>719</v>
      </c>
      <c r="K252" s="7" t="s">
        <v>1721</v>
      </c>
      <c r="L252" s="7" t="s">
        <v>627</v>
      </c>
      <c r="M252" s="7" t="s">
        <v>628</v>
      </c>
      <c r="N252" s="7" t="s">
        <v>16</v>
      </c>
      <c r="O252" s="7" t="s">
        <v>75</v>
      </c>
      <c r="P252" s="7"/>
      <c r="Q252" s="7" t="s">
        <v>1715</v>
      </c>
      <c r="R252" s="7" t="n">
        <f aca="false">VALUE(LEFT(Q252,4))</f>
        <v>2023</v>
      </c>
      <c r="S252" s="7" t="n">
        <f aca="false">VALUE(MID(Q252,6,2))</f>
        <v>7</v>
      </c>
      <c r="T252" s="7" t="n">
        <f aca="false">VALUE(RIGHT(Q252,2))</f>
        <v>9</v>
      </c>
      <c r="U252" s="7" t="s">
        <v>125</v>
      </c>
      <c r="V252" s="7" t="s">
        <v>126</v>
      </c>
    </row>
    <row r="253" customFormat="false" ht="57" hidden="false" customHeight="true" outlineLevel="0" collapsed="false">
      <c r="A253" s="7" t="n">
        <v>252</v>
      </c>
      <c r="B253" s="7" t="s">
        <v>1722</v>
      </c>
      <c r="C253" s="7" t="s">
        <v>1723</v>
      </c>
      <c r="D253" s="7" t="n">
        <f aca="false">VALUE(LEFT(B253,4))</f>
        <v>2023</v>
      </c>
      <c r="E253" s="7" t="n">
        <f aca="false">INT((D253-1)/100)+1</f>
        <v>21</v>
      </c>
      <c r="F253" s="7" t="s">
        <v>1724</v>
      </c>
      <c r="G253" s="7" t="s">
        <v>1725</v>
      </c>
      <c r="H253" s="7" t="s">
        <v>1726</v>
      </c>
      <c r="I253" s="7" t="s">
        <v>1727</v>
      </c>
      <c r="J253" s="7" t="s">
        <v>1728</v>
      </c>
      <c r="K253" s="7" t="s">
        <v>1729</v>
      </c>
      <c r="L253" s="7" t="s">
        <v>1730</v>
      </c>
      <c r="M253" s="7" t="s">
        <v>1731</v>
      </c>
      <c r="N253" s="7" t="s">
        <v>18</v>
      </c>
      <c r="O253" s="7" t="s">
        <v>75</v>
      </c>
      <c r="P253" s="7" t="s">
        <v>1732</v>
      </c>
      <c r="Q253" s="7" t="s">
        <v>1733</v>
      </c>
      <c r="R253" s="7" t="n">
        <f aca="false">VALUE(LEFT(Q253,4))</f>
        <v>2023</v>
      </c>
      <c r="S253" s="7" t="n">
        <f aca="false">VALUE(MID(Q253,6,2))</f>
        <v>12</v>
      </c>
      <c r="T253" s="7" t="n">
        <f aca="false">VALUE(RIGHT(Q253,2))</f>
        <v>15</v>
      </c>
      <c r="U253" s="7" t="s">
        <v>317</v>
      </c>
      <c r="V253" s="7" t="s">
        <v>1734</v>
      </c>
    </row>
    <row r="254" customFormat="false" ht="23.25" hidden="false" customHeight="true" outlineLevel="0" collapsed="false">
      <c r="A254" s="7" t="n">
        <v>253</v>
      </c>
      <c r="B254" s="7" t="s">
        <v>1735</v>
      </c>
      <c r="C254" s="7" t="s">
        <v>1735</v>
      </c>
      <c r="D254" s="7" t="n">
        <f aca="false">VALUE(LEFT(B254,4))</f>
        <v>2023</v>
      </c>
      <c r="E254" s="7" t="n">
        <f aca="false">INT((D254-1)/100)+1</f>
        <v>21</v>
      </c>
      <c r="F254" s="7" t="s">
        <v>129</v>
      </c>
      <c r="G254" s="7" t="s">
        <v>1736</v>
      </c>
      <c r="H254" s="7" t="s">
        <v>954</v>
      </c>
      <c r="I254" s="7"/>
      <c r="J254" s="7" t="s">
        <v>719</v>
      </c>
      <c r="K254" s="7"/>
      <c r="L254" s="7" t="s">
        <v>627</v>
      </c>
      <c r="M254" s="7" t="s">
        <v>628</v>
      </c>
      <c r="N254" s="7" t="s">
        <v>16</v>
      </c>
      <c r="O254" s="7" t="s">
        <v>75</v>
      </c>
      <c r="P254" s="7"/>
      <c r="Q254" s="7" t="s">
        <v>1735</v>
      </c>
      <c r="R254" s="7" t="n">
        <f aca="false">VALUE(LEFT(Q254,4))</f>
        <v>2023</v>
      </c>
      <c r="S254" s="7" t="n">
        <f aca="false">VALUE(MID(Q254,6,2))</f>
        <v>12</v>
      </c>
      <c r="T254" s="7" t="n">
        <f aca="false">VALUE(RIGHT(Q254,2))</f>
        <v>18</v>
      </c>
      <c r="U254" s="7" t="s">
        <v>77</v>
      </c>
      <c r="V254" s="7" t="s">
        <v>78</v>
      </c>
    </row>
    <row r="255" customFormat="false" ht="45.75" hidden="false" customHeight="true" outlineLevel="0" collapsed="false">
      <c r="A255" s="7" t="n">
        <v>254</v>
      </c>
      <c r="B255" s="7" t="s">
        <v>1737</v>
      </c>
      <c r="C255" s="7" t="s">
        <v>1737</v>
      </c>
      <c r="D255" s="7" t="n">
        <f aca="false">VALUE(LEFT(B255,4))</f>
        <v>2024</v>
      </c>
      <c r="E255" s="7" t="n">
        <f aca="false">INT((D255-1)/100)+1</f>
        <v>21</v>
      </c>
      <c r="F255" s="7" t="s">
        <v>1738</v>
      </c>
      <c r="G255" s="7" t="s">
        <v>1739</v>
      </c>
      <c r="H255" s="7" t="s">
        <v>1740</v>
      </c>
      <c r="I255" s="7" t="s">
        <v>1741</v>
      </c>
      <c r="J255" s="7" t="s">
        <v>1742</v>
      </c>
      <c r="K255" s="7" t="s">
        <v>1743</v>
      </c>
      <c r="L255" s="7" t="s">
        <v>1730</v>
      </c>
      <c r="M255" s="7" t="s">
        <v>1744</v>
      </c>
      <c r="N255" s="7" t="s">
        <v>18</v>
      </c>
      <c r="O255" s="7" t="s">
        <v>75</v>
      </c>
      <c r="P255" s="7" t="s">
        <v>1745</v>
      </c>
      <c r="Q255" s="7" t="s">
        <v>1737</v>
      </c>
      <c r="R255" s="7" t="n">
        <f aca="false">VALUE(LEFT(Q255,4))</f>
        <v>2024</v>
      </c>
      <c r="S255" s="7" t="n">
        <f aca="false">VALUE(MID(Q255,6,2))</f>
        <v>3</v>
      </c>
      <c r="T255" s="7" t="n">
        <f aca="false">VALUE(RIGHT(Q255,2))</f>
        <v>7</v>
      </c>
      <c r="U255" s="7" t="s">
        <v>77</v>
      </c>
      <c r="V255" s="7" t="s">
        <v>78</v>
      </c>
    </row>
    <row r="256" customFormat="false" ht="23.25" hidden="false" customHeight="true" outlineLevel="0" collapsed="false">
      <c r="A256" s="7" t="n">
        <v>255</v>
      </c>
      <c r="B256" s="7" t="s">
        <v>1746</v>
      </c>
      <c r="C256" s="7" t="s">
        <v>1747</v>
      </c>
      <c r="D256" s="7" t="n">
        <f aca="false">VALUE(LEFT(B256,4))</f>
        <v>2024</v>
      </c>
      <c r="E256" s="7" t="n">
        <f aca="false">INT((D256-1)/100)+1</f>
        <v>21</v>
      </c>
      <c r="F256" s="7" t="s">
        <v>1748</v>
      </c>
      <c r="G256" s="7" t="s">
        <v>1749</v>
      </c>
      <c r="H256" s="7" t="s">
        <v>954</v>
      </c>
      <c r="I256" s="7"/>
      <c r="J256" s="7" t="s">
        <v>719</v>
      </c>
      <c r="K256" s="7"/>
      <c r="L256" s="7" t="s">
        <v>627</v>
      </c>
      <c r="M256" s="7" t="s">
        <v>628</v>
      </c>
      <c r="N256" s="7" t="s">
        <v>16</v>
      </c>
      <c r="O256" s="7" t="s">
        <v>75</v>
      </c>
      <c r="P256" s="7"/>
      <c r="Q256" s="7" t="s">
        <v>1746</v>
      </c>
      <c r="R256" s="7" t="n">
        <f aca="false">VALUE(LEFT(Q256,4))</f>
        <v>2024</v>
      </c>
      <c r="S256" s="7" t="n">
        <f aca="false">VALUE(MID(Q256,6,2))</f>
        <v>3</v>
      </c>
      <c r="T256" s="7" t="n">
        <f aca="false">VALUE(RIGHT(Q256,2))</f>
        <v>22</v>
      </c>
      <c r="U256" s="7" t="s">
        <v>125</v>
      </c>
      <c r="V256" s="7" t="s">
        <v>126</v>
      </c>
    </row>
    <row r="257" customFormat="false" ht="23.25" hidden="false" customHeight="true" outlineLevel="0" collapsed="false">
      <c r="A257" s="7" t="n">
        <v>256</v>
      </c>
      <c r="B257" s="7" t="s">
        <v>1750</v>
      </c>
      <c r="C257" s="7" t="s">
        <v>1751</v>
      </c>
      <c r="D257" s="7" t="n">
        <f aca="false">VALUE(LEFT(B257,4))</f>
        <v>2024</v>
      </c>
      <c r="E257" s="7" t="n">
        <f aca="false">INT((D257-1)/100)+1</f>
        <v>21</v>
      </c>
      <c r="F257" s="7" t="s">
        <v>1752</v>
      </c>
      <c r="G257" s="7" t="s">
        <v>1753</v>
      </c>
      <c r="H257" s="7" t="s">
        <v>954</v>
      </c>
      <c r="I257" s="7"/>
      <c r="J257" s="7" t="s">
        <v>719</v>
      </c>
      <c r="K257" s="7"/>
      <c r="L257" s="7" t="s">
        <v>627</v>
      </c>
      <c r="M257" s="7" t="s">
        <v>628</v>
      </c>
      <c r="N257" s="7" t="s">
        <v>16</v>
      </c>
      <c r="O257" s="7" t="s">
        <v>75</v>
      </c>
      <c r="P257" s="7"/>
      <c r="Q257" s="7" t="s">
        <v>1750</v>
      </c>
      <c r="R257" s="7" t="n">
        <f aca="false">VALUE(LEFT(Q257,4))</f>
        <v>2024</v>
      </c>
      <c r="S257" s="7" t="n">
        <f aca="false">VALUE(MID(Q257,6,2))</f>
        <v>4</v>
      </c>
      <c r="T257" s="7" t="n">
        <f aca="false">VALUE(RIGHT(Q257,2))</f>
        <v>3</v>
      </c>
      <c r="U257" s="7" t="s">
        <v>125</v>
      </c>
      <c r="V257" s="7" t="s">
        <v>126</v>
      </c>
    </row>
    <row r="258" customFormat="false" ht="23.25" hidden="false" customHeight="true" outlineLevel="0" collapsed="false">
      <c r="A258" s="7" t="n">
        <v>257</v>
      </c>
      <c r="B258" s="7" t="s">
        <v>1754</v>
      </c>
      <c r="C258" s="7" t="s">
        <v>1754</v>
      </c>
      <c r="D258" s="7" t="n">
        <f aca="false">VALUE(LEFT(B258,4))</f>
        <v>2024</v>
      </c>
      <c r="E258" s="7" t="n">
        <f aca="false">INT((D258-1)/100)+1</f>
        <v>21</v>
      </c>
      <c r="F258" s="7" t="s">
        <v>580</v>
      </c>
      <c r="G258" s="7" t="s">
        <v>1755</v>
      </c>
      <c r="H258" s="7" t="s">
        <v>1756</v>
      </c>
      <c r="I258" s="7" t="s">
        <v>1757</v>
      </c>
      <c r="J258" s="7" t="s">
        <v>332</v>
      </c>
      <c r="K258" s="7"/>
      <c r="L258" s="7" t="s">
        <v>1758</v>
      </c>
      <c r="M258" s="7" t="s">
        <v>1759</v>
      </c>
      <c r="N258" s="7" t="s">
        <v>18</v>
      </c>
      <c r="O258" s="7" t="s">
        <v>75</v>
      </c>
      <c r="P258" s="7" t="s">
        <v>1760</v>
      </c>
      <c r="Q258" s="7" t="s">
        <v>1754</v>
      </c>
      <c r="R258" s="7" t="n">
        <f aca="false">VALUE(LEFT(Q258,4))</f>
        <v>2024</v>
      </c>
      <c r="S258" s="7" t="n">
        <f aca="false">VALUE(MID(Q258,6,2))</f>
        <v>5</v>
      </c>
      <c r="T258" s="7" t="n">
        <f aca="false">VALUE(RIGHT(Q258,2))</f>
        <v>7</v>
      </c>
      <c r="U258" s="7" t="s">
        <v>77</v>
      </c>
      <c r="V258" s="7" t="s">
        <v>78</v>
      </c>
    </row>
    <row r="259" customFormat="false" ht="23.25" hidden="false" customHeight="true" outlineLevel="0" collapsed="false">
      <c r="A259" s="7" t="n">
        <v>258</v>
      </c>
      <c r="B259" s="7" t="s">
        <v>1761</v>
      </c>
      <c r="C259" s="7" t="s">
        <v>1761</v>
      </c>
      <c r="D259" s="7" t="n">
        <f aca="false">VALUE(LEFT(B259,4))</f>
        <v>2024</v>
      </c>
      <c r="E259" s="7" t="n">
        <f aca="false">INT((D259-1)/100)+1</f>
        <v>21</v>
      </c>
      <c r="F259" s="7" t="s">
        <v>1762</v>
      </c>
      <c r="G259" s="7" t="s">
        <v>1763</v>
      </c>
      <c r="H259" s="7" t="s">
        <v>954</v>
      </c>
      <c r="I259" s="7"/>
      <c r="J259" s="7" t="s">
        <v>719</v>
      </c>
      <c r="K259" s="7"/>
      <c r="L259" s="7" t="s">
        <v>627</v>
      </c>
      <c r="M259" s="7" t="s">
        <v>628</v>
      </c>
      <c r="N259" s="7" t="s">
        <v>16</v>
      </c>
      <c r="O259" s="7" t="s">
        <v>75</v>
      </c>
      <c r="P259" s="7"/>
      <c r="Q259" s="7" t="s">
        <v>1761</v>
      </c>
      <c r="R259" s="7" t="n">
        <f aca="false">VALUE(LEFT(Q259,4))</f>
        <v>2024</v>
      </c>
      <c r="S259" s="7" t="n">
        <f aca="false">VALUE(MID(Q259,6,2))</f>
        <v>7</v>
      </c>
      <c r="T259" s="7" t="n">
        <f aca="false">VALUE(RIGHT(Q259,2))</f>
        <v>16</v>
      </c>
      <c r="U259" s="7" t="s">
        <v>77</v>
      </c>
      <c r="V259" s="7" t="s">
        <v>78</v>
      </c>
    </row>
    <row r="260" customFormat="false" ht="23.25" hidden="false" customHeight="true" outlineLevel="0" collapsed="false">
      <c r="A260" s="7" t="n">
        <v>259</v>
      </c>
      <c r="B260" s="7" t="s">
        <v>1764</v>
      </c>
      <c r="C260" s="7" t="s">
        <v>1764</v>
      </c>
      <c r="D260" s="7" t="n">
        <f aca="false">VALUE(LEFT(B260,4))</f>
        <v>2024</v>
      </c>
      <c r="E260" s="7" t="n">
        <f aca="false">INT((D260-1)/100)+1</f>
        <v>21</v>
      </c>
      <c r="F260" s="7" t="s">
        <v>1431</v>
      </c>
      <c r="G260" s="7" t="s">
        <v>1765</v>
      </c>
      <c r="H260" s="7" t="s">
        <v>954</v>
      </c>
      <c r="I260" s="7"/>
      <c r="J260" s="7" t="s">
        <v>719</v>
      </c>
      <c r="K260" s="7"/>
      <c r="L260" s="7" t="s">
        <v>627</v>
      </c>
      <c r="M260" s="7" t="s">
        <v>628</v>
      </c>
      <c r="N260" s="7" t="s">
        <v>16</v>
      </c>
      <c r="O260" s="7" t="s">
        <v>75</v>
      </c>
      <c r="P260" s="7"/>
      <c r="Q260" s="7" t="s">
        <v>1764</v>
      </c>
      <c r="R260" s="7" t="n">
        <f aca="false">VALUE(LEFT(Q260,4))</f>
        <v>2024</v>
      </c>
      <c r="S260" s="7" t="n">
        <f aca="false">VALUE(MID(Q260,6,2))</f>
        <v>8</v>
      </c>
      <c r="T260" s="7" t="n">
        <f aca="false">VALUE(RIGHT(Q260,2))</f>
        <v>9</v>
      </c>
      <c r="U260" s="7" t="s">
        <v>77</v>
      </c>
      <c r="V260" s="7" t="s">
        <v>78</v>
      </c>
    </row>
    <row r="261" customFormat="false" ht="45.75" hidden="false" customHeight="true" outlineLevel="0" collapsed="false">
      <c r="A261" s="7" t="n">
        <v>260</v>
      </c>
      <c r="B261" s="7" t="s">
        <v>1764</v>
      </c>
      <c r="C261" s="7" t="s">
        <v>1764</v>
      </c>
      <c r="D261" s="7" t="n">
        <f aca="false">VALUE(LEFT(B261,4))</f>
        <v>2024</v>
      </c>
      <c r="E261" s="7" t="n">
        <f aca="false">INT((D261-1)/100)+1</f>
        <v>21</v>
      </c>
      <c r="F261" s="7" t="s">
        <v>1738</v>
      </c>
      <c r="G261" s="7" t="s">
        <v>1766</v>
      </c>
      <c r="H261" s="7" t="s">
        <v>1767</v>
      </c>
      <c r="I261" s="7" t="s">
        <v>1768</v>
      </c>
      <c r="J261" s="7" t="s">
        <v>1769</v>
      </c>
      <c r="K261" s="7" t="s">
        <v>1770</v>
      </c>
      <c r="L261" s="7" t="s">
        <v>1730</v>
      </c>
      <c r="M261" s="7" t="s">
        <v>1744</v>
      </c>
      <c r="N261" s="7" t="s">
        <v>18</v>
      </c>
      <c r="O261" s="7" t="s">
        <v>75</v>
      </c>
      <c r="P261" s="7" t="s">
        <v>1771</v>
      </c>
      <c r="Q261" s="7" t="s">
        <v>1764</v>
      </c>
      <c r="R261" s="7" t="n">
        <f aca="false">VALUE(LEFT(Q261,4))</f>
        <v>2024</v>
      </c>
      <c r="S261" s="7" t="n">
        <f aca="false">VALUE(MID(Q261,6,2))</f>
        <v>8</v>
      </c>
      <c r="T261" s="7" t="n">
        <f aca="false">VALUE(RIGHT(Q261,2))</f>
        <v>9</v>
      </c>
      <c r="U261" s="7" t="s">
        <v>77</v>
      </c>
      <c r="V261" s="7" t="s">
        <v>78</v>
      </c>
    </row>
    <row r="262" customFormat="false" ht="23.25" hidden="false" customHeight="true" outlineLevel="0" collapsed="false">
      <c r="A262" s="7" t="n">
        <v>261</v>
      </c>
      <c r="B262" s="7" t="s">
        <v>1772</v>
      </c>
      <c r="C262" s="7" t="s">
        <v>1773</v>
      </c>
      <c r="D262" s="7" t="n">
        <f aca="false">VALUE(LEFT(B262,4))</f>
        <v>2024</v>
      </c>
      <c r="E262" s="7" t="n">
        <f aca="false">INT((D262-1)/100)+1</f>
        <v>21</v>
      </c>
      <c r="F262" s="7" t="s">
        <v>1774</v>
      </c>
      <c r="G262" s="7" t="s">
        <v>1775</v>
      </c>
      <c r="H262" s="7" t="s">
        <v>574</v>
      </c>
      <c r="I262" s="7" t="s">
        <v>1776</v>
      </c>
      <c r="J262" s="7" t="s">
        <v>719</v>
      </c>
      <c r="K262" s="7" t="s">
        <v>1777</v>
      </c>
      <c r="L262" s="7" t="s">
        <v>569</v>
      </c>
      <c r="M262" s="7"/>
      <c r="N262" s="7" t="s">
        <v>18</v>
      </c>
      <c r="O262" s="7" t="s">
        <v>94</v>
      </c>
      <c r="P262" s="7"/>
      <c r="Q262" s="7" t="s">
        <v>1778</v>
      </c>
      <c r="R262" s="7" t="n">
        <f aca="false">VALUE(LEFT(Q262,4))</f>
        <v>2024</v>
      </c>
      <c r="S262" s="7" t="n">
        <f aca="false">VALUE(MID(Q262,6,2))</f>
        <v>11</v>
      </c>
      <c r="T262" s="7" t="n">
        <f aca="false">VALUE(RIGHT(Q262,2))</f>
        <v>9</v>
      </c>
      <c r="U262" s="7" t="s">
        <v>125</v>
      </c>
      <c r="V262" s="7" t="s">
        <v>1779</v>
      </c>
    </row>
    <row r="263" customFormat="false" ht="23.25" hidden="false" customHeight="true" outlineLevel="0" collapsed="false">
      <c r="A263" s="7" t="n">
        <v>262</v>
      </c>
      <c r="B263" s="7" t="s">
        <v>1780</v>
      </c>
      <c r="C263" s="7" t="s">
        <v>1781</v>
      </c>
      <c r="D263" s="7" t="n">
        <f aca="false">VALUE(LEFT(B263,4))</f>
        <v>2025</v>
      </c>
      <c r="E263" s="7" t="n">
        <f aca="false">INT((D263-1)/100)+1</f>
        <v>21</v>
      </c>
      <c r="F263" s="7" t="s">
        <v>1782</v>
      </c>
      <c r="G263" s="7" t="s">
        <v>1783</v>
      </c>
      <c r="H263" s="7" t="s">
        <v>954</v>
      </c>
      <c r="I263" s="7"/>
      <c r="J263" s="7" t="s">
        <v>719</v>
      </c>
      <c r="K263" s="7"/>
      <c r="L263" s="7" t="s">
        <v>627</v>
      </c>
      <c r="M263" s="7" t="s">
        <v>628</v>
      </c>
      <c r="N263" s="7" t="s">
        <v>16</v>
      </c>
      <c r="O263" s="7" t="s">
        <v>75</v>
      </c>
      <c r="P263" s="7"/>
      <c r="Q263" s="7" t="s">
        <v>1780</v>
      </c>
      <c r="R263" s="7" t="n">
        <f aca="false">VALUE(LEFT(Q263,4))</f>
        <v>2025</v>
      </c>
      <c r="S263" s="7" t="n">
        <f aca="false">VALUE(MID(Q263,6,2))</f>
        <v>1</v>
      </c>
      <c r="T263" s="7" t="n">
        <f aca="false">VALUE(RIGHT(Q263,2))</f>
        <v>1</v>
      </c>
      <c r="U263" s="7" t="s">
        <v>125</v>
      </c>
      <c r="V263" s="7" t="s">
        <v>126</v>
      </c>
    </row>
    <row r="264" customFormat="false" ht="23.25" hidden="false" customHeight="true" outlineLevel="0" collapsed="false">
      <c r="A264" s="7" t="n">
        <v>263</v>
      </c>
      <c r="B264" s="7" t="s">
        <v>1784</v>
      </c>
      <c r="C264" s="7" t="s">
        <v>1785</v>
      </c>
      <c r="D264" s="7" t="n">
        <f aca="false">VALUE(LEFT(B264,4))</f>
        <v>2025</v>
      </c>
      <c r="E264" s="7" t="n">
        <f aca="false">INT((D264-1)/100)+1</f>
        <v>21</v>
      </c>
      <c r="F264" s="7" t="s">
        <v>842</v>
      </c>
      <c r="G264" s="7" t="s">
        <v>1786</v>
      </c>
      <c r="H264" s="7" t="s">
        <v>1787</v>
      </c>
      <c r="I264" s="7" t="s">
        <v>1788</v>
      </c>
      <c r="J264" s="7" t="s">
        <v>1789</v>
      </c>
      <c r="K264" s="7" t="s">
        <v>1790</v>
      </c>
      <c r="L264" s="7" t="s">
        <v>1236</v>
      </c>
      <c r="M264" s="7" t="s">
        <v>1237</v>
      </c>
      <c r="N264" s="7" t="s">
        <v>16</v>
      </c>
      <c r="O264" s="7" t="s">
        <v>75</v>
      </c>
      <c r="P264" s="7" t="s">
        <v>1791</v>
      </c>
      <c r="Q264" s="7" t="s">
        <v>1784</v>
      </c>
      <c r="R264" s="7" t="n">
        <f aca="false">VALUE(LEFT(Q264,4))</f>
        <v>2025</v>
      </c>
      <c r="S264" s="7" t="n">
        <f aca="false">VALUE(MID(Q264,6,2))</f>
        <v>6</v>
      </c>
      <c r="T264" s="7" t="n">
        <f aca="false">VALUE(RIGHT(Q264,2))</f>
        <v>6</v>
      </c>
      <c r="U264" s="7" t="s">
        <v>125</v>
      </c>
      <c r="V264" s="7" t="s">
        <v>126</v>
      </c>
    </row>
    <row r="265" customFormat="false" ht="45.75" hidden="false" customHeight="true" outlineLevel="0" collapsed="false">
      <c r="A265" s="7" t="n">
        <v>264</v>
      </c>
      <c r="B265" s="7" t="s">
        <v>1792</v>
      </c>
      <c r="C265" s="7" t="s">
        <v>1793</v>
      </c>
      <c r="D265" s="7" t="n">
        <f aca="false">VALUE(LEFT(B265,4))</f>
        <v>2026</v>
      </c>
      <c r="E265" s="7" t="n">
        <f aca="false">INT((D265-1)/100)+1</f>
        <v>21</v>
      </c>
      <c r="F265" s="7" t="s">
        <v>842</v>
      </c>
      <c r="G265" s="7" t="s">
        <v>1794</v>
      </c>
      <c r="H265" s="7" t="s">
        <v>1795</v>
      </c>
      <c r="I265" s="7" t="s">
        <v>1796</v>
      </c>
      <c r="J265" s="7" t="s">
        <v>1797</v>
      </c>
      <c r="K265" s="7" t="s">
        <v>1798</v>
      </c>
      <c r="L265" s="7" t="s">
        <v>627</v>
      </c>
      <c r="M265" s="7" t="s">
        <v>1799</v>
      </c>
      <c r="N265" s="7" t="s">
        <v>16</v>
      </c>
      <c r="O265" s="7" t="s">
        <v>75</v>
      </c>
      <c r="P265" s="7" t="s">
        <v>1800</v>
      </c>
      <c r="Q265" s="7" t="s">
        <v>1792</v>
      </c>
      <c r="R265" s="7" t="n">
        <f aca="false">VALUE(LEFT(Q265,4))</f>
        <v>2026</v>
      </c>
      <c r="S265" s="7" t="n">
        <f aca="false">VALUE(MID(Q265,6,2))</f>
        <v>7</v>
      </c>
      <c r="T265" s="7" t="n">
        <f aca="false">VALUE(RIGHT(Q265,2))</f>
        <v>28</v>
      </c>
      <c r="U265" s="7" t="s">
        <v>125</v>
      </c>
      <c r="V265" s="7" t="s">
        <v>126</v>
      </c>
    </row>
    <row r="266" customFormat="false" ht="45.75" hidden="false" customHeight="true" outlineLevel="0" collapsed="false">
      <c r="A266" s="7" t="n">
        <v>265</v>
      </c>
      <c r="B266" s="7" t="s">
        <v>1454</v>
      </c>
      <c r="C266" s="7" t="s">
        <v>1454</v>
      </c>
      <c r="D266" s="7" t="n">
        <f aca="false">VALUE(LEFT(B266,4))</f>
        <v>2011</v>
      </c>
      <c r="E266" s="7" t="n">
        <f aca="false">INT((D266-1)/100)+1</f>
        <v>21</v>
      </c>
      <c r="F266" s="7" t="s">
        <v>1801</v>
      </c>
      <c r="G266" s="7" t="s">
        <v>1802</v>
      </c>
      <c r="H266" s="7" t="s">
        <v>1803</v>
      </c>
      <c r="I266" s="7" t="s">
        <v>1804</v>
      </c>
      <c r="J266" s="7" t="s">
        <v>1805</v>
      </c>
      <c r="K266" s="7" t="s">
        <v>1806</v>
      </c>
      <c r="L266" s="7" t="s">
        <v>1807</v>
      </c>
      <c r="M266" s="7"/>
      <c r="N266" s="7" t="s">
        <v>18</v>
      </c>
      <c r="O266" s="7" t="s">
        <v>75</v>
      </c>
      <c r="P266" s="7" t="s">
        <v>1808</v>
      </c>
      <c r="Q266" s="7" t="s">
        <v>1454</v>
      </c>
      <c r="R266" s="7" t="n">
        <f aca="false">VALUE(LEFT(Q266,4))</f>
        <v>2011</v>
      </c>
      <c r="S266" s="7" t="n">
        <f aca="false">VALUE(MID(Q266,6,2))</f>
        <v>8</v>
      </c>
      <c r="T266" s="7" t="n">
        <f aca="false">VALUE(RIGHT(Q266,2))</f>
        <v>28</v>
      </c>
      <c r="U266" s="7" t="s">
        <v>77</v>
      </c>
      <c r="V266" s="7" t="s">
        <v>78</v>
      </c>
    </row>
    <row r="267" customFormat="false" ht="45.75" hidden="false" customHeight="true" outlineLevel="0" collapsed="false">
      <c r="A267" s="7" t="n">
        <v>266</v>
      </c>
      <c r="B267" s="7" t="s">
        <v>1809</v>
      </c>
      <c r="C267" s="7" t="s">
        <v>1809</v>
      </c>
      <c r="D267" s="7" t="n">
        <f aca="false">VALUE(LEFT(B267,4))</f>
        <v>2011</v>
      </c>
      <c r="E267" s="7" t="n">
        <f aca="false">INT((D267-1)/100)+1</f>
        <v>21</v>
      </c>
      <c r="F267" s="7" t="s">
        <v>1801</v>
      </c>
      <c r="G267" s="7" t="s">
        <v>1810</v>
      </c>
      <c r="H267" s="7" t="s">
        <v>1811</v>
      </c>
      <c r="I267" s="7" t="s">
        <v>1812</v>
      </c>
      <c r="J267" s="7" t="s">
        <v>1805</v>
      </c>
      <c r="K267" s="7" t="s">
        <v>1813</v>
      </c>
      <c r="L267" s="7" t="s">
        <v>1807</v>
      </c>
      <c r="M267" s="7"/>
      <c r="N267" s="7" t="s">
        <v>18</v>
      </c>
      <c r="O267" s="7" t="s">
        <v>75</v>
      </c>
      <c r="P267" s="7" t="s">
        <v>1814</v>
      </c>
      <c r="Q267" s="7" t="s">
        <v>1809</v>
      </c>
      <c r="R267" s="7" t="n">
        <f aca="false">VALUE(LEFT(Q267,4))</f>
        <v>2011</v>
      </c>
      <c r="S267" s="7" t="n">
        <f aca="false">VALUE(MID(Q267,6,2))</f>
        <v>8</v>
      </c>
      <c r="T267" s="7" t="n">
        <f aca="false">VALUE(RIGHT(Q267,2))</f>
        <v>29</v>
      </c>
      <c r="U267" s="7" t="s">
        <v>77</v>
      </c>
      <c r="V267" s="7" t="s">
        <v>78</v>
      </c>
    </row>
    <row r="268" customFormat="false" ht="45.75" hidden="false" customHeight="true" outlineLevel="0" collapsed="false">
      <c r="A268" s="7" t="n">
        <v>267</v>
      </c>
      <c r="B268" s="7" t="s">
        <v>1809</v>
      </c>
      <c r="C268" s="7" t="s">
        <v>1809</v>
      </c>
      <c r="D268" s="7" t="n">
        <f aca="false">VALUE(LEFT(B268,4))</f>
        <v>2011</v>
      </c>
      <c r="E268" s="7" t="n">
        <f aca="false">INT((D268-1)/100)+1</f>
        <v>21</v>
      </c>
      <c r="F268" s="7" t="s">
        <v>1815</v>
      </c>
      <c r="G268" s="7" t="s">
        <v>1816</v>
      </c>
      <c r="H268" s="7" t="s">
        <v>1817</v>
      </c>
      <c r="I268" s="7" t="s">
        <v>1818</v>
      </c>
      <c r="J268" s="7" t="s">
        <v>1805</v>
      </c>
      <c r="K268" s="7" t="s">
        <v>1819</v>
      </c>
      <c r="L268" s="7" t="s">
        <v>1807</v>
      </c>
      <c r="M268" s="7"/>
      <c r="N268" s="7" t="s">
        <v>18</v>
      </c>
      <c r="O268" s="7" t="s">
        <v>75</v>
      </c>
      <c r="P268" s="7" t="s">
        <v>1820</v>
      </c>
      <c r="Q268" s="7" t="s">
        <v>1809</v>
      </c>
      <c r="R268" s="7" t="n">
        <f aca="false">VALUE(LEFT(Q268,4))</f>
        <v>2011</v>
      </c>
      <c r="S268" s="7" t="n">
        <f aca="false">VALUE(MID(Q268,6,2))</f>
        <v>8</v>
      </c>
      <c r="T268" s="7" t="n">
        <f aca="false">VALUE(RIGHT(Q268,2))</f>
        <v>29</v>
      </c>
      <c r="U268" s="7" t="s">
        <v>77</v>
      </c>
      <c r="V268" s="7" t="s">
        <v>78</v>
      </c>
    </row>
    <row r="269" customFormat="false" ht="45.75" hidden="false" customHeight="true" outlineLevel="0" collapsed="false">
      <c r="A269" s="7" t="n">
        <v>268</v>
      </c>
      <c r="B269" s="7" t="s">
        <v>1454</v>
      </c>
      <c r="C269" s="7" t="s">
        <v>1454</v>
      </c>
      <c r="D269" s="7" t="n">
        <f aca="false">VALUE(LEFT(B269,4))</f>
        <v>2011</v>
      </c>
      <c r="E269" s="7" t="n">
        <f aca="false">INT((D269-1)/100)+1</f>
        <v>21</v>
      </c>
      <c r="F269" s="7" t="s">
        <v>1821</v>
      </c>
      <c r="G269" s="7" t="s">
        <v>1822</v>
      </c>
      <c r="H269" s="7" t="s">
        <v>1823</v>
      </c>
      <c r="I269" s="7" t="s">
        <v>1824</v>
      </c>
      <c r="J269" s="7" t="s">
        <v>1805</v>
      </c>
      <c r="K269" s="7" t="s">
        <v>1825</v>
      </c>
      <c r="L269" s="7" t="s">
        <v>1807</v>
      </c>
      <c r="M269" s="7"/>
      <c r="N269" s="7" t="s">
        <v>18</v>
      </c>
      <c r="O269" s="7" t="s">
        <v>75</v>
      </c>
      <c r="P269" s="7" t="s">
        <v>1826</v>
      </c>
      <c r="Q269" s="7" t="s">
        <v>1454</v>
      </c>
      <c r="R269" s="7" t="n">
        <f aca="false">VALUE(LEFT(Q269,4))</f>
        <v>2011</v>
      </c>
      <c r="S269" s="7" t="n">
        <f aca="false">VALUE(MID(Q269,6,2))</f>
        <v>8</v>
      </c>
      <c r="T269" s="7" t="n">
        <f aca="false">VALUE(RIGHT(Q269,2))</f>
        <v>28</v>
      </c>
      <c r="U269" s="7" t="s">
        <v>77</v>
      </c>
      <c r="V269" s="7" t="s">
        <v>78</v>
      </c>
    </row>
    <row r="270" customFormat="false" ht="68.25" hidden="false" customHeight="true" outlineLevel="0" collapsed="false">
      <c r="A270" s="7" t="n">
        <v>269</v>
      </c>
      <c r="B270" s="7" t="s">
        <v>1827</v>
      </c>
      <c r="C270" s="7" t="s">
        <v>327</v>
      </c>
      <c r="D270" s="7" t="n">
        <f aca="false">VALUE(LEFT(B270,4))</f>
        <v>2016</v>
      </c>
      <c r="E270" s="7" t="n">
        <f aca="false">INT((D270-1)/100)+1</f>
        <v>21</v>
      </c>
      <c r="F270" s="7" t="s">
        <v>1828</v>
      </c>
      <c r="G270" s="7" t="s">
        <v>1829</v>
      </c>
      <c r="H270" s="7" t="s">
        <v>1830</v>
      </c>
      <c r="I270" s="7" t="s">
        <v>1831</v>
      </c>
      <c r="J270" s="7" t="s">
        <v>1832</v>
      </c>
      <c r="K270" s="7" t="s">
        <v>1833</v>
      </c>
      <c r="L270" s="7" t="s">
        <v>1834</v>
      </c>
      <c r="M270" s="7"/>
      <c r="N270" s="7" t="s">
        <v>18</v>
      </c>
      <c r="O270" s="7" t="s">
        <v>75</v>
      </c>
      <c r="P270" s="7" t="s">
        <v>1835</v>
      </c>
      <c r="Q270" s="7" t="s">
        <v>1827</v>
      </c>
      <c r="R270" s="7" t="n">
        <f aca="false">VALUE(LEFT(Q270,4))</f>
        <v>2016</v>
      </c>
      <c r="S270" s="7" t="n">
        <f aca="false">VALUE(MID(Q270,6,2))</f>
        <v>4</v>
      </c>
      <c r="T270" s="7" t="n">
        <f aca="false">VALUE(RIGHT(Q270,2))</f>
        <v>21</v>
      </c>
      <c r="U270" s="7" t="s">
        <v>338</v>
      </c>
      <c r="V270" s="7" t="s">
        <v>1836</v>
      </c>
    </row>
    <row r="271" customFormat="false" ht="68.25" hidden="false" customHeight="true" outlineLevel="0" collapsed="false">
      <c r="A271" s="7" t="n">
        <v>270</v>
      </c>
      <c r="B271" s="7" t="s">
        <v>1837</v>
      </c>
      <c r="C271" s="7" t="s">
        <v>1837</v>
      </c>
      <c r="D271" s="7" t="n">
        <f aca="false">VALUE(LEFT(B271,4))</f>
        <v>1926</v>
      </c>
      <c r="E271" s="7" t="n">
        <f aca="false">INT((D271-1)/100)+1</f>
        <v>20</v>
      </c>
      <c r="F271" s="7" t="s">
        <v>1838</v>
      </c>
      <c r="G271" s="7" t="s">
        <v>1839</v>
      </c>
      <c r="H271" s="7" t="s">
        <v>1840</v>
      </c>
      <c r="I271" s="7" t="s">
        <v>1841</v>
      </c>
      <c r="J271" s="7" t="s">
        <v>1842</v>
      </c>
      <c r="K271" s="7" t="s">
        <v>1843</v>
      </c>
      <c r="L271" s="7" t="s">
        <v>1844</v>
      </c>
      <c r="M271" s="7"/>
      <c r="N271" s="7" t="s">
        <v>18</v>
      </c>
      <c r="O271" s="7" t="s">
        <v>75</v>
      </c>
      <c r="P271" s="7" t="s">
        <v>1845</v>
      </c>
      <c r="Q271" s="7" t="s">
        <v>1837</v>
      </c>
      <c r="R271" s="7" t="n">
        <f aca="false">VALUE(LEFT(Q271,4))</f>
        <v>1926</v>
      </c>
      <c r="S271" s="7" t="n">
        <f aca="false">VALUE(MID(Q271,6,2))</f>
        <v>7</v>
      </c>
      <c r="T271" s="7" t="n">
        <f aca="false">VALUE(RIGHT(Q271,2))</f>
        <v>22</v>
      </c>
      <c r="U271" s="7" t="s">
        <v>77</v>
      </c>
      <c r="V271" s="7" t="s">
        <v>1846</v>
      </c>
    </row>
  </sheetData>
  <autoFilter ref="A1:V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18"/>
    <col collapsed="false" customWidth="true" hidden="false" outlineLevel="0" max="4" min="4" style="1" width="34"/>
    <col collapsed="false" customWidth="true" hidden="false" outlineLevel="0" max="5" min="5" style="1" width="18"/>
    <col collapsed="false" customWidth="true" hidden="false" outlineLevel="0" max="6" min="6" style="1" width="16"/>
    <col collapsed="false" customWidth="true" hidden="false" outlineLevel="0" max="7" min="7" style="1" width="9"/>
    <col collapsed="false" customWidth="true" hidden="false" outlineLevel="0" max="8" min="8" style="1" width="8"/>
    <col collapsed="false" customWidth="true" hidden="false" outlineLevel="0" max="9" min="9" style="1" width="7"/>
    <col collapsed="false" customWidth="true" hidden="false" outlineLevel="0" max="10" min="10" style="1" width="8"/>
    <col collapsed="false" customWidth="true" hidden="false" outlineLevel="0" max="14" min="11" style="1" width="9"/>
    <col collapsed="false" customWidth="true" hidden="false" outlineLevel="0" max="16" min="15" style="1" width="12"/>
    <col collapsed="false" customWidth="true" hidden="false" outlineLevel="0" max="17" min="17" style="1" width="10"/>
    <col collapsed="false" customWidth="true" hidden="false" outlineLevel="0" max="18" min="18" style="1" width="9"/>
    <col collapsed="false" customWidth="true" hidden="false" outlineLevel="0" max="19" min="19" style="1" width="26"/>
    <col collapsed="false" customWidth="true" hidden="false" outlineLevel="0" max="20" min="20" style="1" width="9"/>
    <col collapsed="false" customWidth="true" hidden="false" outlineLevel="0" max="21" min="21" style="1" width="45"/>
  </cols>
  <sheetData>
    <row r="1" customFormat="false" ht="34.5" hidden="false" customHeight="true" outlineLevel="0" collapsed="false">
      <c r="A1" s="6" t="s">
        <v>1847</v>
      </c>
      <c r="B1" s="6" t="s">
        <v>1848</v>
      </c>
      <c r="C1" s="6" t="s">
        <v>1849</v>
      </c>
      <c r="D1" s="6" t="s">
        <v>1850</v>
      </c>
      <c r="E1" s="6" t="s">
        <v>1851</v>
      </c>
      <c r="F1" s="6" t="s">
        <v>1852</v>
      </c>
      <c r="G1" s="6" t="s">
        <v>1853</v>
      </c>
      <c r="H1" s="6" t="s">
        <v>1854</v>
      </c>
      <c r="I1" s="6" t="s">
        <v>1855</v>
      </c>
      <c r="J1" s="6" t="s">
        <v>1856</v>
      </c>
      <c r="K1" s="6" t="s">
        <v>1857</v>
      </c>
      <c r="L1" s="6" t="s">
        <v>1858</v>
      </c>
      <c r="M1" s="6" t="s">
        <v>1859</v>
      </c>
      <c r="N1" s="6" t="s">
        <v>1860</v>
      </c>
      <c r="O1" s="6" t="s">
        <v>1861</v>
      </c>
      <c r="P1" s="6" t="s">
        <v>1862</v>
      </c>
      <c r="Q1" s="6" t="s">
        <v>1863</v>
      </c>
      <c r="R1" s="6" t="s">
        <v>1864</v>
      </c>
      <c r="S1" s="6" t="s">
        <v>1865</v>
      </c>
      <c r="T1" s="6" t="s">
        <v>57</v>
      </c>
      <c r="U1" s="6" t="s">
        <v>1866</v>
      </c>
    </row>
    <row r="2" customFormat="false" ht="15" hidden="false" customHeight="true" outlineLevel="0" collapsed="false">
      <c r="A2" s="7" t="s">
        <v>1867</v>
      </c>
      <c r="B2" s="7"/>
      <c r="C2" s="7" t="s">
        <v>1868</v>
      </c>
      <c r="D2" s="7" t="s">
        <v>1869</v>
      </c>
      <c r="E2" s="7" t="s">
        <v>971</v>
      </c>
      <c r="F2" s="7" t="s">
        <v>1870</v>
      </c>
      <c r="G2" s="7" t="n">
        <v>5.5</v>
      </c>
      <c r="H2" s="7" t="n">
        <v>100</v>
      </c>
      <c r="I2" s="7" t="n">
        <v>0</v>
      </c>
      <c r="J2" s="7" t="n">
        <v>0</v>
      </c>
      <c r="K2" s="7" t="n">
        <v>42.25</v>
      </c>
      <c r="L2" s="7" t="n">
        <v>-73.62</v>
      </c>
      <c r="M2" s="7"/>
      <c r="N2" s="7"/>
      <c r="O2" s="7" t="n">
        <f aca="false">IF(OR(K2="",L2=""),"",ROUND(3959*ACOS(MIN(1,SIN(RADIANS(README!$B$3))*SIN(RADIANS(K2))+COS(RADIANS(README!$B$3))*COS(RADIANS(K2))*COS(RADIANS(L2-README!$B$4)))),1))</f>
        <v>28.5</v>
      </c>
      <c r="P2" s="7" t="str">
        <f aca="false">IF(OR(M2="",N2=""),"",ROUND(3959*ACOS(MIN(1,SIN(RADIANS(README!$B$3))*SIN(RADIANS(M2))+COS(RADIANS(README!$B$3))*COS(RADIANS(M2))*COS(RADIANS(N2-README!$B$4)))),1))</f>
        <v/>
      </c>
      <c r="Q2" s="7" t="n">
        <f aca="false">IF(O2="","",IF(P2="",O2,MIN(O2,P2)))</f>
        <v>28.5</v>
      </c>
      <c r="R2" s="7" t="str">
        <f aca="false">IF(Q2="","n/a",IF(Q2&lt;=README!$B$5,"Yes","No"))</f>
        <v>Yes</v>
      </c>
      <c r="S2" s="7" t="s">
        <v>1871</v>
      </c>
      <c r="T2" s="7" t="s">
        <v>20</v>
      </c>
      <c r="U2" s="7" t="s">
        <v>1872</v>
      </c>
    </row>
    <row r="3" customFormat="false" ht="15" hidden="false" customHeight="true" outlineLevel="0" collapsed="false">
      <c r="A3" s="7" t="s">
        <v>1873</v>
      </c>
      <c r="B3" s="7"/>
      <c r="C3" s="7" t="s">
        <v>1868</v>
      </c>
      <c r="D3" s="7" t="s">
        <v>1869</v>
      </c>
      <c r="E3" s="7" t="s">
        <v>971</v>
      </c>
      <c r="F3" s="7" t="s">
        <v>1870</v>
      </c>
      <c r="G3" s="7"/>
      <c r="H3" s="7"/>
      <c r="I3" s="7" t="n">
        <v>0</v>
      </c>
      <c r="J3" s="7" t="n">
        <v>0</v>
      </c>
      <c r="K3" s="7" t="n">
        <v>42.25</v>
      </c>
      <c r="L3" s="7" t="n">
        <v>-73.62</v>
      </c>
      <c r="M3" s="7"/>
      <c r="N3" s="7"/>
      <c r="O3" s="7" t="n">
        <f aca="false">IF(OR(K3="",L3=""),"",ROUND(3959*ACOS(MIN(1,SIN(RADIANS(README!$B$3))*SIN(RADIANS(K3))+COS(RADIANS(README!$B$3))*COS(RADIANS(K3))*COS(RADIANS(L3-README!$B$4)))),1))</f>
        <v>28.5</v>
      </c>
      <c r="P3" s="7" t="str">
        <f aca="false">IF(OR(M3="",N3=""),"",ROUND(3959*ACOS(MIN(1,SIN(RADIANS(README!$B$3))*SIN(RADIANS(M3))+COS(RADIANS(README!$B$3))*COS(RADIANS(M3))*COS(RADIANS(N3-README!$B$4)))),1))</f>
        <v/>
      </c>
      <c r="Q3" s="7" t="n">
        <f aca="false">IF(O3="","",IF(P3="",O3,MIN(O3,P3)))</f>
        <v>28.5</v>
      </c>
      <c r="R3" s="7" t="str">
        <f aca="false">IF(Q3="","n/a",IF(Q3&lt;=README!$B$5,"Yes","No"))</f>
        <v>Yes</v>
      </c>
      <c r="S3" s="7" t="s">
        <v>1871</v>
      </c>
      <c r="T3" s="7" t="s">
        <v>20</v>
      </c>
      <c r="U3" s="7" t="s">
        <v>1874</v>
      </c>
    </row>
    <row r="4" customFormat="false" ht="15" hidden="false" customHeight="true" outlineLevel="0" collapsed="false">
      <c r="A4" s="7" t="s">
        <v>1875</v>
      </c>
      <c r="B4" s="7" t="s">
        <v>1876</v>
      </c>
      <c r="C4" s="7" t="s">
        <v>310</v>
      </c>
      <c r="D4" s="7" t="s">
        <v>1877</v>
      </c>
      <c r="E4" s="7" t="s">
        <v>971</v>
      </c>
      <c r="F4" s="7" t="s">
        <v>1878</v>
      </c>
      <c r="G4" s="7"/>
      <c r="H4" s="7"/>
      <c r="I4" s="7" t="n">
        <v>2</v>
      </c>
      <c r="J4" s="7" t="n">
        <v>0</v>
      </c>
      <c r="K4" s="7" t="n">
        <v>42.6</v>
      </c>
      <c r="L4" s="7" t="n">
        <v>-73.97</v>
      </c>
      <c r="M4" s="7"/>
      <c r="N4" s="7"/>
      <c r="O4" s="7" t="n">
        <f aca="false">IF(OR(K4="",L4=""),"",ROUND(3959*ACOS(MIN(1,SIN(RADIANS(README!$B$3))*SIN(RADIANS(K4))+COS(RADIANS(README!$B$3))*COS(RADIANS(K4))*COS(RADIANS(L4-README!$B$4)))),1))</f>
        <v>6.9</v>
      </c>
      <c r="P4" s="7" t="str">
        <f aca="false">IF(OR(M4="",N4=""),"",ROUND(3959*ACOS(MIN(1,SIN(RADIANS(README!$B$3))*SIN(RADIANS(M4))+COS(RADIANS(README!$B$3))*COS(RADIANS(M4))*COS(RADIANS(N4-README!$B$4)))),1))</f>
        <v/>
      </c>
      <c r="Q4" s="7" t="n">
        <f aca="false">IF(O4="","",IF(P4="",O4,MIN(O4,P4)))</f>
        <v>6.9</v>
      </c>
      <c r="R4" s="7" t="str">
        <f aca="false">IF(Q4="","n/a",IF(Q4&lt;=README!$B$5,"Yes","No"))</f>
        <v>Yes</v>
      </c>
      <c r="S4" s="7" t="s">
        <v>1871</v>
      </c>
      <c r="T4" s="7" t="s">
        <v>20</v>
      </c>
      <c r="U4" s="7" t="s">
        <v>1879</v>
      </c>
    </row>
    <row r="5" customFormat="false" ht="15" hidden="false" customHeight="true" outlineLevel="0" collapsed="false">
      <c r="A5" s="7" t="s">
        <v>1880</v>
      </c>
      <c r="B5" s="7" t="s">
        <v>1876</v>
      </c>
      <c r="C5" s="7" t="s">
        <v>1868</v>
      </c>
      <c r="D5" s="7" t="s">
        <v>1869</v>
      </c>
      <c r="E5" s="7" t="s">
        <v>971</v>
      </c>
      <c r="F5" s="7" t="s">
        <v>1878</v>
      </c>
      <c r="G5" s="7"/>
      <c r="H5" s="7"/>
      <c r="I5" s="7" t="n">
        <v>0</v>
      </c>
      <c r="J5" s="7" t="n">
        <v>0</v>
      </c>
      <c r="K5" s="7" t="n">
        <v>42.25</v>
      </c>
      <c r="L5" s="7" t="n">
        <v>-73.62</v>
      </c>
      <c r="M5" s="7"/>
      <c r="N5" s="7"/>
      <c r="O5" s="7" t="n">
        <f aca="false">IF(OR(K5="",L5=""),"",ROUND(3959*ACOS(MIN(1,SIN(RADIANS(README!$B$3))*SIN(RADIANS(K5))+COS(RADIANS(README!$B$3))*COS(RADIANS(K5))*COS(RADIANS(L5-README!$B$4)))),1))</f>
        <v>28.5</v>
      </c>
      <c r="P5" s="7" t="str">
        <f aca="false">IF(OR(M5="",N5=""),"",ROUND(3959*ACOS(MIN(1,SIN(RADIANS(README!$B$3))*SIN(RADIANS(M5))+COS(RADIANS(README!$B$3))*COS(RADIANS(M5))*COS(RADIANS(N5-README!$B$4)))),1))</f>
        <v/>
      </c>
      <c r="Q5" s="7" t="n">
        <f aca="false">IF(O5="","",IF(P5="",O5,MIN(O5,P5)))</f>
        <v>28.5</v>
      </c>
      <c r="R5" s="7" t="str">
        <f aca="false">IF(Q5="","n/a",IF(Q5&lt;=README!$B$5,"Yes","No"))</f>
        <v>Yes</v>
      </c>
      <c r="S5" s="7" t="s">
        <v>1871</v>
      </c>
      <c r="T5" s="7" t="s">
        <v>20</v>
      </c>
      <c r="U5" s="7" t="s">
        <v>1874</v>
      </c>
    </row>
    <row r="6" customFormat="false" ht="15" hidden="false" customHeight="true" outlineLevel="0" collapsed="false">
      <c r="A6" s="7" t="s">
        <v>1881</v>
      </c>
      <c r="B6" s="7" t="s">
        <v>1882</v>
      </c>
      <c r="C6" s="7" t="s">
        <v>310</v>
      </c>
      <c r="D6" s="7" t="s">
        <v>1877</v>
      </c>
      <c r="E6" s="7" t="s">
        <v>971</v>
      </c>
      <c r="F6" s="7" t="s">
        <v>1883</v>
      </c>
      <c r="G6" s="7" t="n">
        <v>0.5</v>
      </c>
      <c r="H6" s="7" t="n">
        <v>50</v>
      </c>
      <c r="I6" s="7" t="n">
        <v>0</v>
      </c>
      <c r="J6" s="7" t="n">
        <v>0</v>
      </c>
      <c r="K6" s="7" t="n">
        <v>42.6</v>
      </c>
      <c r="L6" s="7" t="n">
        <v>-73.97</v>
      </c>
      <c r="M6" s="7"/>
      <c r="N6" s="7"/>
      <c r="O6" s="7" t="n">
        <f aca="false">IF(OR(K6="",L6=""),"",ROUND(3959*ACOS(MIN(1,SIN(RADIANS(README!$B$3))*SIN(RADIANS(K6))+COS(RADIANS(README!$B$3))*COS(RADIANS(K6))*COS(RADIANS(L6-README!$B$4)))),1))</f>
        <v>6.9</v>
      </c>
      <c r="P6" s="7" t="str">
        <f aca="false">IF(OR(M6="",N6=""),"",ROUND(3959*ACOS(MIN(1,SIN(RADIANS(README!$B$3))*SIN(RADIANS(M6))+COS(RADIANS(README!$B$3))*COS(RADIANS(M6))*COS(RADIANS(N6-README!$B$4)))),1))</f>
        <v/>
      </c>
      <c r="Q6" s="7" t="n">
        <f aca="false">IF(O6="","",IF(P6="",O6,MIN(O6,P6)))</f>
        <v>6.9</v>
      </c>
      <c r="R6" s="7" t="str">
        <f aca="false">IF(Q6="","n/a",IF(Q6&lt;=README!$B$5,"Yes","No"))</f>
        <v>Yes</v>
      </c>
      <c r="S6" s="7" t="s">
        <v>1871</v>
      </c>
      <c r="T6" s="7" t="s">
        <v>20</v>
      </c>
      <c r="U6" s="7" t="s">
        <v>1874</v>
      </c>
    </row>
    <row r="7" customFormat="false" ht="15" hidden="false" customHeight="true" outlineLevel="0" collapsed="false">
      <c r="A7" s="7" t="s">
        <v>1884</v>
      </c>
      <c r="B7" s="7" t="s">
        <v>1885</v>
      </c>
      <c r="C7" s="7" t="s">
        <v>1886</v>
      </c>
      <c r="D7" s="7" t="s">
        <v>1887</v>
      </c>
      <c r="E7" s="7" t="s">
        <v>971</v>
      </c>
      <c r="F7" s="7" t="s">
        <v>1883</v>
      </c>
      <c r="G7" s="7"/>
      <c r="H7" s="7"/>
      <c r="I7" s="7" t="n">
        <v>0</v>
      </c>
      <c r="J7" s="7" t="n">
        <v>0</v>
      </c>
      <c r="K7" s="7" t="n">
        <v>42.28</v>
      </c>
      <c r="L7" s="7" t="n">
        <v>-74.12</v>
      </c>
      <c r="M7" s="7"/>
      <c r="N7" s="7"/>
      <c r="O7" s="7" t="n">
        <f aca="false">IF(OR(K7="",L7=""),"",ROUND(3959*ACOS(MIN(1,SIN(RADIANS(README!$B$3))*SIN(RADIANS(K7))+COS(RADIANS(README!$B$3))*COS(RADIANS(K7))*COS(RADIANS(L7-README!$B$4)))),1))</f>
        <v>16.8</v>
      </c>
      <c r="P7" s="7" t="str">
        <f aca="false">IF(OR(M7="",N7=""),"",ROUND(3959*ACOS(MIN(1,SIN(RADIANS(README!$B$3))*SIN(RADIANS(M7))+COS(RADIANS(README!$B$3))*COS(RADIANS(M7))*COS(RADIANS(N7-README!$B$4)))),1))</f>
        <v/>
      </c>
      <c r="Q7" s="7" t="n">
        <f aca="false">IF(O7="","",IF(P7="",O7,MIN(O7,P7)))</f>
        <v>16.8</v>
      </c>
      <c r="R7" s="7" t="str">
        <f aca="false">IF(Q7="","n/a",IF(Q7&lt;=README!$B$5,"Yes","No"))</f>
        <v>Yes</v>
      </c>
      <c r="S7" s="7" t="s">
        <v>1871</v>
      </c>
      <c r="T7" s="7" t="s">
        <v>20</v>
      </c>
      <c r="U7" s="7" t="s">
        <v>1874</v>
      </c>
    </row>
    <row r="8" customFormat="false" ht="34.5" hidden="false" customHeight="true" outlineLevel="0" collapsed="false">
      <c r="A8" s="7" t="s">
        <v>926</v>
      </c>
      <c r="B8" s="7" t="s">
        <v>1888</v>
      </c>
      <c r="C8" s="7" t="s">
        <v>310</v>
      </c>
      <c r="D8" s="7" t="s">
        <v>1889</v>
      </c>
      <c r="E8" s="7" t="s">
        <v>1890</v>
      </c>
      <c r="F8" s="7" t="s">
        <v>1891</v>
      </c>
      <c r="G8" s="7"/>
      <c r="H8" s="7"/>
      <c r="I8" s="7"/>
      <c r="J8" s="7"/>
      <c r="K8" s="7" t="n">
        <v>42.75</v>
      </c>
      <c r="L8" s="7" t="n">
        <v>-73.8</v>
      </c>
      <c r="M8" s="7"/>
      <c r="N8" s="7"/>
      <c r="O8" s="7" t="n">
        <f aca="false">IF(OR(K8="",L8=""),"",ROUND(3959*ACOS(MIN(1,SIN(RADIANS(README!$B$3))*SIN(RADIANS(K8))+COS(RADIANS(README!$B$3))*COS(RADIANS(K8))*COS(RADIANS(L8-README!$B$4)))),1))</f>
        <v>20.4</v>
      </c>
      <c r="P8" s="7" t="str">
        <f aca="false">IF(OR(M8="",N8=""),"",ROUND(3959*ACOS(MIN(1,SIN(RADIANS(README!$B$3))*SIN(RADIANS(M8))+COS(RADIANS(README!$B$3))*COS(RADIANS(M8))*COS(RADIANS(N8-README!$B$4)))),1))</f>
        <v/>
      </c>
      <c r="Q8" s="7" t="n">
        <f aca="false">IF(O8="","",IF(P8="",O8,MIN(O8,P8)))</f>
        <v>20.4</v>
      </c>
      <c r="R8" s="7" t="str">
        <f aca="false">IF(Q8="","n/a",IF(Q8&lt;=README!$B$5,"Yes","No"))</f>
        <v>Yes</v>
      </c>
      <c r="S8" s="7" t="s">
        <v>627</v>
      </c>
      <c r="T8" s="7" t="s">
        <v>16</v>
      </c>
      <c r="U8" s="7" t="s">
        <v>1892</v>
      </c>
    </row>
    <row r="9" customFormat="false" ht="23.25" hidden="false" customHeight="true" outlineLevel="0" collapsed="false">
      <c r="A9" s="7" t="s">
        <v>970</v>
      </c>
      <c r="B9" s="7" t="s">
        <v>1893</v>
      </c>
      <c r="C9" s="7" t="s">
        <v>674</v>
      </c>
      <c r="D9" s="7" t="s">
        <v>1894</v>
      </c>
      <c r="E9" s="7" t="s">
        <v>971</v>
      </c>
      <c r="F9" s="7" t="s">
        <v>1895</v>
      </c>
      <c r="G9" s="7"/>
      <c r="H9" s="7"/>
      <c r="I9" s="7" t="n">
        <v>0</v>
      </c>
      <c r="J9" s="7" t="n">
        <v>9</v>
      </c>
      <c r="K9" s="7" t="n">
        <v>42.8</v>
      </c>
      <c r="L9" s="7" t="n">
        <v>-73.88</v>
      </c>
      <c r="M9" s="7" t="n">
        <v>42.92</v>
      </c>
      <c r="N9" s="7" t="n">
        <v>-73.73</v>
      </c>
      <c r="O9" s="7" t="n">
        <f aca="false">IF(OR(K9="",L9=""),"",ROUND(3959*ACOS(MIN(1,SIN(RADIANS(README!$B$3))*SIN(RADIANS(K9))+COS(RADIANS(README!$B$3))*COS(RADIANS(K9))*COS(RADIANS(L9-README!$B$4)))),1))</f>
        <v>21.3</v>
      </c>
      <c r="P9" s="7" t="n">
        <f aca="false">IF(OR(M9="",N9=""),"",ROUND(3959*ACOS(MIN(1,SIN(RADIANS(README!$B$3))*SIN(RADIANS(M9))+COS(RADIANS(README!$B$3))*COS(RADIANS(M9))*COS(RADIANS(N9-README!$B$4)))),1))</f>
        <v>32.1</v>
      </c>
      <c r="Q9" s="7" t="n">
        <f aca="false">IF(O9="","",IF(P9="",O9,MIN(O9,P9)))</f>
        <v>21.3</v>
      </c>
      <c r="R9" s="7" t="str">
        <f aca="false">IF(Q9="","n/a",IF(Q9&lt;=README!$B$5,"Yes","No"))</f>
        <v>Yes</v>
      </c>
      <c r="S9" s="7" t="s">
        <v>977</v>
      </c>
      <c r="T9" s="7" t="s">
        <v>16</v>
      </c>
      <c r="U9" s="7" t="s">
        <v>1896</v>
      </c>
    </row>
    <row r="10" customFormat="false" ht="34.5" hidden="false" customHeight="true" outlineLevel="0" collapsed="false">
      <c r="A10" s="7" t="s">
        <v>1004</v>
      </c>
      <c r="B10" s="7"/>
      <c r="C10" s="7" t="s">
        <v>954</v>
      </c>
      <c r="D10" s="7" t="s">
        <v>1007</v>
      </c>
      <c r="E10" s="7" t="s">
        <v>1897</v>
      </c>
      <c r="F10" s="7" t="s">
        <v>1898</v>
      </c>
      <c r="G10" s="7"/>
      <c r="H10" s="7"/>
      <c r="I10" s="7"/>
      <c r="J10" s="7"/>
      <c r="K10" s="7" t="n">
        <v>42.75</v>
      </c>
      <c r="L10" s="7" t="n">
        <v>-73.8</v>
      </c>
      <c r="M10" s="7"/>
      <c r="N10" s="7"/>
      <c r="O10" s="7" t="n">
        <f aca="false">IF(OR(K10="",L10=""),"",ROUND(3959*ACOS(MIN(1,SIN(RADIANS(README!$B$3))*SIN(RADIANS(K10))+COS(RADIANS(README!$B$3))*COS(RADIANS(K10))*COS(RADIANS(L10-README!$B$4)))),1))</f>
        <v>20.4</v>
      </c>
      <c r="P10" s="7" t="str">
        <f aca="false">IF(OR(M10="",N10=""),"",ROUND(3959*ACOS(MIN(1,SIN(RADIANS(README!$B$3))*SIN(RADIANS(M10))+COS(RADIANS(README!$B$3))*COS(RADIANS(M10))*COS(RADIANS(N10-README!$B$4)))),1))</f>
        <v/>
      </c>
      <c r="Q10" s="7" t="n">
        <f aca="false">IF(O10="","",IF(P10="",O10,MIN(O10,P10)))</f>
        <v>20.4</v>
      </c>
      <c r="R10" s="7" t="str">
        <f aca="false">IF(Q10="","n/a",IF(Q10&lt;=README!$B$5,"Yes","No"))</f>
        <v>Yes</v>
      </c>
      <c r="S10" s="7" t="s">
        <v>627</v>
      </c>
      <c r="T10" s="7" t="s">
        <v>16</v>
      </c>
      <c r="U10" s="7" t="s">
        <v>1899</v>
      </c>
    </row>
    <row r="11" customFormat="false" ht="23.25" hidden="false" customHeight="true" outlineLevel="0" collapsed="false">
      <c r="A11" s="7" t="s">
        <v>1900</v>
      </c>
      <c r="B11" s="7" t="s">
        <v>1901</v>
      </c>
      <c r="C11" s="7" t="s">
        <v>310</v>
      </c>
      <c r="D11" s="7" t="s">
        <v>1902</v>
      </c>
      <c r="E11" s="7" t="s">
        <v>971</v>
      </c>
      <c r="F11" s="7" t="s">
        <v>1878</v>
      </c>
      <c r="G11" s="7" t="n">
        <v>1.3</v>
      </c>
      <c r="H11" s="7" t="n">
        <v>10</v>
      </c>
      <c r="I11" s="7" t="n">
        <v>0</v>
      </c>
      <c r="J11" s="7" t="n">
        <v>2</v>
      </c>
      <c r="K11" s="7" t="n">
        <v>42.55</v>
      </c>
      <c r="L11" s="7" t="n">
        <v>-74.05</v>
      </c>
      <c r="M11" s="7"/>
      <c r="N11" s="7"/>
      <c r="O11" s="7" t="n">
        <f aca="false">IF(OR(K11="",L11=""),"",ROUND(3959*ACOS(MIN(1,SIN(RADIANS(README!$B$3))*SIN(RADIANS(K11))+COS(RADIANS(README!$B$3))*COS(RADIANS(K11))*COS(RADIANS(L11-README!$B$4)))),1))</f>
        <v>2.3</v>
      </c>
      <c r="P11" s="7" t="str">
        <f aca="false">IF(OR(M11="",N11=""),"",ROUND(3959*ACOS(MIN(1,SIN(RADIANS(README!$B$3))*SIN(RADIANS(M11))+COS(RADIANS(README!$B$3))*COS(RADIANS(M11))*COS(RADIANS(N11-README!$B$4)))),1))</f>
        <v/>
      </c>
      <c r="Q11" s="7" t="n">
        <f aca="false">IF(O11="","",IF(P11="",O11,MIN(O11,P11)))</f>
        <v>2.3</v>
      </c>
      <c r="R11" s="7" t="str">
        <f aca="false">IF(Q11="","n/a",IF(Q11&lt;=README!$B$5,"Yes","No"))</f>
        <v>Yes</v>
      </c>
      <c r="S11" s="7" t="s">
        <v>977</v>
      </c>
      <c r="T11" s="7" t="s">
        <v>16</v>
      </c>
      <c r="U11" s="7" t="s">
        <v>1903</v>
      </c>
    </row>
    <row r="12" customFormat="false" ht="23.25" hidden="false" customHeight="true" outlineLevel="0" collapsed="false">
      <c r="A12" s="7" t="s">
        <v>1045</v>
      </c>
      <c r="B12" s="7" t="s">
        <v>1904</v>
      </c>
      <c r="C12" s="7" t="s">
        <v>1905</v>
      </c>
      <c r="D12" s="7" t="s">
        <v>1906</v>
      </c>
      <c r="E12" s="7" t="s">
        <v>971</v>
      </c>
      <c r="F12" s="7" t="s">
        <v>1883</v>
      </c>
      <c r="G12" s="7" t="n">
        <v>2.3</v>
      </c>
      <c r="H12" s="7" t="n">
        <v>83</v>
      </c>
      <c r="I12" s="7" t="n">
        <v>0</v>
      </c>
      <c r="J12" s="7" t="n">
        <v>1</v>
      </c>
      <c r="K12" s="7" t="n">
        <v>42.9</v>
      </c>
      <c r="L12" s="7" t="n">
        <v>-73.55</v>
      </c>
      <c r="M12" s="7" t="n">
        <v>42.92</v>
      </c>
      <c r="N12" s="7" t="n">
        <v>-73.48</v>
      </c>
      <c r="O12" s="7" t="n">
        <f aca="false">IF(OR(K12="",L12=""),"",ROUND(3959*ACOS(MIN(1,SIN(RADIANS(README!$B$3))*SIN(RADIANS(K12))+COS(RADIANS(README!$B$3))*COS(RADIANS(K12))*COS(RADIANS(L12-README!$B$4)))),1))</f>
        <v>36.5</v>
      </c>
      <c r="P12" s="7" t="n">
        <f aca="false">IF(OR(M12="",N12=""),"",ROUND(3959*ACOS(MIN(1,SIN(RADIANS(README!$B$3))*SIN(RADIANS(M12))+COS(RADIANS(README!$B$3))*COS(RADIANS(M12))*COS(RADIANS(N12-README!$B$4)))),1))</f>
        <v>40</v>
      </c>
      <c r="Q12" s="7" t="n">
        <f aca="false">IF(O12="","",IF(P12="",O12,MIN(O12,P12)))</f>
        <v>36.5</v>
      </c>
      <c r="R12" s="7" t="str">
        <f aca="false">IF(Q12="","n/a",IF(Q12&lt;=README!$B$5,"Yes","No"))</f>
        <v>No</v>
      </c>
      <c r="S12" s="7" t="s">
        <v>977</v>
      </c>
      <c r="T12" s="7" t="s">
        <v>16</v>
      </c>
      <c r="U12" s="7" t="s">
        <v>1907</v>
      </c>
    </row>
    <row r="13" customFormat="false" ht="23.25" hidden="false" customHeight="true" outlineLevel="0" collapsed="false">
      <c r="A13" s="7" t="s">
        <v>1045</v>
      </c>
      <c r="B13" s="7" t="s">
        <v>1908</v>
      </c>
      <c r="C13" s="7" t="s">
        <v>1868</v>
      </c>
      <c r="D13" s="7" t="s">
        <v>1909</v>
      </c>
      <c r="E13" s="7" t="s">
        <v>971</v>
      </c>
      <c r="F13" s="7" t="s">
        <v>1910</v>
      </c>
      <c r="G13" s="7" t="n">
        <v>3.4</v>
      </c>
      <c r="H13" s="7" t="n">
        <v>313</v>
      </c>
      <c r="I13" s="7" t="n">
        <v>0</v>
      </c>
      <c r="J13" s="7" t="n">
        <v>0</v>
      </c>
      <c r="K13" s="7" t="n">
        <v>42.42</v>
      </c>
      <c r="L13" s="7" t="n">
        <v>-73.42</v>
      </c>
      <c r="M13" s="7" t="n">
        <v>42.37</v>
      </c>
      <c r="N13" s="7" t="n">
        <v>-73.42</v>
      </c>
      <c r="O13" s="7" t="n">
        <f aca="false">IF(OR(K13="",L13=""),"",ROUND(3959*ACOS(MIN(1,SIN(RADIANS(README!$B$3))*SIN(RADIANS(K13))+COS(RADIANS(README!$B$3))*COS(RADIANS(K13))*COS(RADIANS(L13-README!$B$4)))),1))</f>
        <v>32.6</v>
      </c>
      <c r="P13" s="7" t="n">
        <f aca="false">IF(OR(M13="",N13=""),"",ROUND(3959*ACOS(MIN(1,SIN(RADIANS(README!$B$3))*SIN(RADIANS(M13))+COS(RADIANS(README!$B$3))*COS(RADIANS(M13))*COS(RADIANS(N13-README!$B$4)))),1))</f>
        <v>33.4</v>
      </c>
      <c r="Q13" s="7" t="n">
        <f aca="false">IF(O13="","",IF(P13="",O13,MIN(O13,P13)))</f>
        <v>32.6</v>
      </c>
      <c r="R13" s="7" t="str">
        <f aca="false">IF(Q13="","n/a",IF(Q13&lt;=README!$B$5,"Yes","No"))</f>
        <v>No</v>
      </c>
      <c r="S13" s="7" t="s">
        <v>977</v>
      </c>
      <c r="T13" s="7" t="s">
        <v>16</v>
      </c>
      <c r="U13" s="7" t="s">
        <v>1911</v>
      </c>
    </row>
    <row r="14" customFormat="false" ht="23.25" hidden="false" customHeight="true" outlineLevel="0" collapsed="false">
      <c r="A14" s="7" t="s">
        <v>1055</v>
      </c>
      <c r="B14" s="7" t="s">
        <v>1912</v>
      </c>
      <c r="C14" s="7" t="s">
        <v>1913</v>
      </c>
      <c r="D14" s="7" t="s">
        <v>1914</v>
      </c>
      <c r="E14" s="7" t="s">
        <v>971</v>
      </c>
      <c r="F14" s="7" t="s">
        <v>1895</v>
      </c>
      <c r="G14" s="7" t="n">
        <v>49.1</v>
      </c>
      <c r="H14" s="7"/>
      <c r="I14" s="7" t="n">
        <v>0</v>
      </c>
      <c r="J14" s="7" t="n">
        <v>0</v>
      </c>
      <c r="K14" s="7" t="n">
        <v>42.25</v>
      </c>
      <c r="L14" s="7" t="n">
        <v>-73.83</v>
      </c>
      <c r="M14" s="7" t="n">
        <v>42.92</v>
      </c>
      <c r="N14" s="7" t="n">
        <v>-73.88</v>
      </c>
      <c r="O14" s="7" t="n">
        <f aca="false">IF(OR(K14="",L14=""),"",ROUND(3959*ACOS(MIN(1,SIN(RADIANS(README!$B$3))*SIN(RADIANS(K14))+COS(RADIANS(README!$B$3))*COS(RADIANS(K14))*COS(RADIANS(L14-README!$B$4)))),1))</f>
        <v>21.5</v>
      </c>
      <c r="P14" s="7" t="n">
        <f aca="false">IF(OR(M14="",N14=""),"",ROUND(3959*ACOS(MIN(1,SIN(RADIANS(README!$B$3))*SIN(RADIANS(M14))+COS(RADIANS(README!$B$3))*COS(RADIANS(M14))*COS(RADIANS(N14-README!$B$4)))),1))</f>
        <v>29.1</v>
      </c>
      <c r="Q14" s="7" t="n">
        <f aca="false">IF(O14="","",IF(P14="",O14,MIN(O14,P14)))</f>
        <v>21.5</v>
      </c>
      <c r="R14" s="7" t="str">
        <f aca="false">IF(Q14="","n/a",IF(Q14&lt;=README!$B$5,"Yes","No"))</f>
        <v>Yes</v>
      </c>
      <c r="S14" s="7" t="s">
        <v>977</v>
      </c>
      <c r="T14" s="7" t="s">
        <v>16</v>
      </c>
      <c r="U14" s="7" t="s">
        <v>1915</v>
      </c>
    </row>
    <row r="15" customFormat="false" ht="23.25" hidden="false" customHeight="true" outlineLevel="0" collapsed="false">
      <c r="A15" s="7" t="s">
        <v>1916</v>
      </c>
      <c r="B15" s="7" t="s">
        <v>1917</v>
      </c>
      <c r="C15" s="7" t="s">
        <v>1905</v>
      </c>
      <c r="D15" s="7" t="s">
        <v>1906</v>
      </c>
      <c r="E15" s="7" t="s">
        <v>971</v>
      </c>
      <c r="F15" s="7" t="s">
        <v>1878</v>
      </c>
      <c r="G15" s="7"/>
      <c r="H15" s="7" t="n">
        <v>33</v>
      </c>
      <c r="I15" s="7" t="n">
        <v>0</v>
      </c>
      <c r="J15" s="7" t="n">
        <v>0</v>
      </c>
      <c r="K15" s="7" t="n">
        <v>42.83</v>
      </c>
      <c r="L15" s="7" t="n">
        <v>-73.5</v>
      </c>
      <c r="M15" s="7"/>
      <c r="N15" s="7"/>
      <c r="O15" s="7" t="n">
        <f aca="false">IF(OR(K15="",L15=""),"",ROUND(3959*ACOS(MIN(1,SIN(RADIANS(README!$B$3))*SIN(RADIANS(K15))+COS(RADIANS(README!$B$3))*COS(RADIANS(K15))*COS(RADIANS(L15-README!$B$4)))),1))</f>
        <v>35.1</v>
      </c>
      <c r="P15" s="7" t="str">
        <f aca="false">IF(OR(M15="",N15=""),"",ROUND(3959*ACOS(MIN(1,SIN(RADIANS(README!$B$3))*SIN(RADIANS(M15))+COS(RADIANS(README!$B$3))*COS(RADIANS(M15))*COS(RADIANS(N15-README!$B$4)))),1))</f>
        <v/>
      </c>
      <c r="Q15" s="7" t="n">
        <f aca="false">IF(O15="","",IF(P15="",O15,MIN(O15,P15)))</f>
        <v>35.1</v>
      </c>
      <c r="R15" s="7" t="str">
        <f aca="false">IF(Q15="","n/a",IF(Q15&lt;=README!$B$5,"Yes","No"))</f>
        <v>No</v>
      </c>
      <c r="S15" s="7" t="s">
        <v>977</v>
      </c>
      <c r="T15" s="7" t="s">
        <v>16</v>
      </c>
      <c r="U15" s="7"/>
    </row>
    <row r="16" customFormat="false" ht="23.25" hidden="false" customHeight="true" outlineLevel="0" collapsed="false">
      <c r="A16" s="7" t="s">
        <v>1918</v>
      </c>
      <c r="B16" s="7" t="s">
        <v>1893</v>
      </c>
      <c r="C16" s="7" t="s">
        <v>1919</v>
      </c>
      <c r="D16" s="7" t="s">
        <v>1920</v>
      </c>
      <c r="E16" s="7" t="s">
        <v>971</v>
      </c>
      <c r="F16" s="7" t="s">
        <v>1878</v>
      </c>
      <c r="G16" s="7" t="n">
        <v>7.1</v>
      </c>
      <c r="H16" s="7" t="n">
        <v>167</v>
      </c>
      <c r="I16" s="7" t="n">
        <v>0</v>
      </c>
      <c r="J16" s="7" t="n">
        <v>3</v>
      </c>
      <c r="K16" s="7" t="n">
        <v>41.97</v>
      </c>
      <c r="L16" s="7" t="n">
        <v>-74.07</v>
      </c>
      <c r="M16" s="7" t="n">
        <v>42.08</v>
      </c>
      <c r="N16" s="7" t="n">
        <v>-73.82</v>
      </c>
      <c r="O16" s="7" t="n">
        <f aca="false">IF(OR(K16="",L16=""),"",ROUND(3959*ACOS(MIN(1,SIN(RADIANS(README!$B$3))*SIN(RADIANS(K16))+COS(RADIANS(README!$B$3))*COS(RADIANS(K16))*COS(RADIANS(L16-README!$B$4)))),1))</f>
        <v>37.8</v>
      </c>
      <c r="P16" s="7" t="n">
        <f aca="false">IF(OR(M16="",N16=""),"",ROUND(3959*ACOS(MIN(1,SIN(RADIANS(README!$B$3))*SIN(RADIANS(M16))+COS(RADIANS(README!$B$3))*COS(RADIANS(M16))*COS(RADIANS(N16-README!$B$4)))),1))</f>
        <v>32.3</v>
      </c>
      <c r="Q16" s="7" t="n">
        <f aca="false">IF(O16="","",IF(P16="",O16,MIN(O16,P16)))</f>
        <v>32.3</v>
      </c>
      <c r="R16" s="7" t="str">
        <f aca="false">IF(Q16="","n/a",IF(Q16&lt;=README!$B$5,"Yes","No"))</f>
        <v>No</v>
      </c>
      <c r="S16" s="7" t="s">
        <v>977</v>
      </c>
      <c r="T16" s="7" t="s">
        <v>16</v>
      </c>
      <c r="U16" s="7"/>
    </row>
    <row r="17" customFormat="false" ht="34.5" hidden="false" customHeight="true" outlineLevel="0" collapsed="false">
      <c r="A17" s="7" t="s">
        <v>1079</v>
      </c>
      <c r="B17" s="7"/>
      <c r="C17" s="7" t="s">
        <v>310</v>
      </c>
      <c r="D17" s="7" t="s">
        <v>1921</v>
      </c>
      <c r="E17" s="7" t="s">
        <v>1890</v>
      </c>
      <c r="F17" s="7" t="s">
        <v>1922</v>
      </c>
      <c r="G17" s="7"/>
      <c r="H17" s="7"/>
      <c r="I17" s="7" t="n">
        <v>2</v>
      </c>
      <c r="J17" s="7"/>
      <c r="K17" s="7" t="n">
        <v>42.75</v>
      </c>
      <c r="L17" s="7" t="n">
        <v>-73.8</v>
      </c>
      <c r="M17" s="7"/>
      <c r="N17" s="7"/>
      <c r="O17" s="7" t="n">
        <f aca="false">IF(OR(K17="",L17=""),"",ROUND(3959*ACOS(MIN(1,SIN(RADIANS(README!$B$3))*SIN(RADIANS(K17))+COS(RADIANS(README!$B$3))*COS(RADIANS(K17))*COS(RADIANS(L17-README!$B$4)))),1))</f>
        <v>20.4</v>
      </c>
      <c r="P17" s="7" t="str">
        <f aca="false">IF(OR(M17="",N17=""),"",ROUND(3959*ACOS(MIN(1,SIN(RADIANS(README!$B$3))*SIN(RADIANS(M17))+COS(RADIANS(README!$B$3))*COS(RADIANS(M17))*COS(RADIANS(N17-README!$B$4)))),1))</f>
        <v/>
      </c>
      <c r="Q17" s="7" t="n">
        <f aca="false">IF(O17="","",IF(P17="",O17,MIN(O17,P17)))</f>
        <v>20.4</v>
      </c>
      <c r="R17" s="7" t="str">
        <f aca="false">IF(Q17="","n/a",IF(Q17&lt;=README!$B$5,"Yes","No"))</f>
        <v>Yes</v>
      </c>
      <c r="S17" s="7" t="s">
        <v>627</v>
      </c>
      <c r="T17" s="7" t="s">
        <v>16</v>
      </c>
      <c r="U17" s="7" t="s">
        <v>1923</v>
      </c>
    </row>
    <row r="18" customFormat="false" ht="23.25" hidden="false" customHeight="true" outlineLevel="0" collapsed="false">
      <c r="A18" s="7" t="s">
        <v>1924</v>
      </c>
      <c r="B18" s="7" t="s">
        <v>1925</v>
      </c>
      <c r="C18" s="7" t="s">
        <v>1886</v>
      </c>
      <c r="D18" s="7" t="s">
        <v>1926</v>
      </c>
      <c r="E18" s="7" t="s">
        <v>971</v>
      </c>
      <c r="F18" s="7" t="s">
        <v>1878</v>
      </c>
      <c r="G18" s="7" t="n">
        <v>1.8</v>
      </c>
      <c r="H18" s="7" t="n">
        <v>33</v>
      </c>
      <c r="I18" s="7" t="n">
        <v>0</v>
      </c>
      <c r="J18" s="7" t="n">
        <v>0</v>
      </c>
      <c r="K18" s="7" t="n">
        <v>42.2</v>
      </c>
      <c r="L18" s="7" t="n">
        <v>-74.22</v>
      </c>
      <c r="M18" s="7"/>
      <c r="N18" s="7"/>
      <c r="O18" s="7" t="n">
        <f aca="false">IF(OR(K18="",L18=""),"",ROUND(3959*ACOS(MIN(1,SIN(RADIANS(README!$B$3))*SIN(RADIANS(K18))+COS(RADIANS(README!$B$3))*COS(RADIANS(K18))*COS(RADIANS(L18-README!$B$4)))),1))</f>
        <v>23.7</v>
      </c>
      <c r="P18" s="7" t="str">
        <f aca="false">IF(OR(M18="",N18=""),"",ROUND(3959*ACOS(MIN(1,SIN(RADIANS(README!$B$3))*SIN(RADIANS(M18))+COS(RADIANS(README!$B$3))*COS(RADIANS(M18))*COS(RADIANS(N18-README!$B$4)))),1))</f>
        <v/>
      </c>
      <c r="Q18" s="7" t="n">
        <f aca="false">IF(O18="","",IF(P18="",O18,MIN(O18,P18)))</f>
        <v>23.7</v>
      </c>
      <c r="R18" s="7" t="str">
        <f aca="false">IF(Q18="","n/a",IF(Q18&lt;=README!$B$5,"Yes","No"))</f>
        <v>Yes</v>
      </c>
      <c r="S18" s="7" t="s">
        <v>977</v>
      </c>
      <c r="T18" s="7" t="s">
        <v>16</v>
      </c>
      <c r="U18" s="7"/>
    </row>
    <row r="19" customFormat="false" ht="23.25" hidden="false" customHeight="true" outlineLevel="0" collapsed="false">
      <c r="A19" s="7" t="s">
        <v>1927</v>
      </c>
      <c r="B19" s="7" t="s">
        <v>1928</v>
      </c>
      <c r="C19" s="7" t="s">
        <v>1868</v>
      </c>
      <c r="D19" s="7" t="s">
        <v>1929</v>
      </c>
      <c r="E19" s="7" t="s">
        <v>971</v>
      </c>
      <c r="F19" s="7" t="s">
        <v>1878</v>
      </c>
      <c r="G19" s="7" t="n">
        <v>0.7</v>
      </c>
      <c r="H19" s="7" t="n">
        <v>53</v>
      </c>
      <c r="I19" s="7" t="n">
        <v>0</v>
      </c>
      <c r="J19" s="7" t="n">
        <v>0</v>
      </c>
      <c r="K19" s="7" t="n">
        <v>42.17</v>
      </c>
      <c r="L19" s="7" t="n">
        <v>-73.75</v>
      </c>
      <c r="M19" s="7"/>
      <c r="N19" s="7"/>
      <c r="O19" s="7" t="n">
        <f aca="false">IF(OR(K19="",L19=""),"",ROUND(3959*ACOS(MIN(1,SIN(RADIANS(README!$B$3))*SIN(RADIANS(K19))+COS(RADIANS(README!$B$3))*COS(RADIANS(K19))*COS(RADIANS(L19-README!$B$4)))),1))</f>
        <v>28.3</v>
      </c>
      <c r="P19" s="7" t="str">
        <f aca="false">IF(OR(M19="",N19=""),"",ROUND(3959*ACOS(MIN(1,SIN(RADIANS(README!$B$3))*SIN(RADIANS(M19))+COS(RADIANS(README!$B$3))*COS(RADIANS(M19))*COS(RADIANS(N19-README!$B$4)))),1))</f>
        <v/>
      </c>
      <c r="Q19" s="7" t="n">
        <f aca="false">IF(O19="","",IF(P19="",O19,MIN(O19,P19)))</f>
        <v>28.3</v>
      </c>
      <c r="R19" s="7" t="str">
        <f aca="false">IF(Q19="","n/a",IF(Q19&lt;=README!$B$5,"Yes","No"))</f>
        <v>Yes</v>
      </c>
      <c r="S19" s="7" t="s">
        <v>977</v>
      </c>
      <c r="T19" s="7" t="s">
        <v>16</v>
      </c>
      <c r="U19" s="7"/>
    </row>
    <row r="20" customFormat="false" ht="23.25" hidden="false" customHeight="true" outlineLevel="0" collapsed="false">
      <c r="A20" s="7" t="s">
        <v>1930</v>
      </c>
      <c r="B20" s="7" t="s">
        <v>1931</v>
      </c>
      <c r="C20" s="7" t="s">
        <v>310</v>
      </c>
      <c r="D20" s="7" t="s">
        <v>1932</v>
      </c>
      <c r="E20" s="7" t="s">
        <v>971</v>
      </c>
      <c r="F20" s="7" t="s">
        <v>1933</v>
      </c>
      <c r="G20" s="7" t="n">
        <v>0.2</v>
      </c>
      <c r="H20" s="7" t="n">
        <v>133</v>
      </c>
      <c r="I20" s="7" t="n">
        <v>0</v>
      </c>
      <c r="J20" s="7" t="n">
        <v>0</v>
      </c>
      <c r="K20" s="7" t="n">
        <v>42.57</v>
      </c>
      <c r="L20" s="7" t="n">
        <v>-73.97</v>
      </c>
      <c r="M20" s="7"/>
      <c r="N20" s="7"/>
      <c r="O20" s="7" t="n">
        <f aca="false">IF(OR(K20="",L20=""),"",ROUND(3959*ACOS(MIN(1,SIN(RADIANS(README!$B$3))*SIN(RADIANS(K20))+COS(RADIANS(README!$B$3))*COS(RADIANS(K20))*COS(RADIANS(L20-README!$B$4)))),1))</f>
        <v>5.3</v>
      </c>
      <c r="P20" s="7" t="str">
        <f aca="false">IF(OR(M20="",N20=""),"",ROUND(3959*ACOS(MIN(1,SIN(RADIANS(README!$B$3))*SIN(RADIANS(M20))+COS(RADIANS(README!$B$3))*COS(RADIANS(M20))*COS(RADIANS(N20-README!$B$4)))),1))</f>
        <v/>
      </c>
      <c r="Q20" s="7" t="n">
        <f aca="false">IF(O20="","",IF(P20="",O20,MIN(O20,P20)))</f>
        <v>5.3</v>
      </c>
      <c r="R20" s="7" t="str">
        <f aca="false">IF(Q20="","n/a",IF(Q20&lt;=README!$B$5,"Yes","No"))</f>
        <v>Yes</v>
      </c>
      <c r="S20" s="7" t="s">
        <v>977</v>
      </c>
      <c r="T20" s="7" t="s">
        <v>16</v>
      </c>
      <c r="U20" s="7"/>
    </row>
    <row r="21" customFormat="false" ht="23.25" hidden="false" customHeight="true" outlineLevel="0" collapsed="false">
      <c r="A21" s="7" t="s">
        <v>1934</v>
      </c>
      <c r="B21" s="7" t="s">
        <v>1935</v>
      </c>
      <c r="C21" s="7" t="s">
        <v>310</v>
      </c>
      <c r="D21" s="7" t="s">
        <v>1936</v>
      </c>
      <c r="E21" s="7" t="s">
        <v>971</v>
      </c>
      <c r="F21" s="7" t="s">
        <v>1933</v>
      </c>
      <c r="G21" s="7"/>
      <c r="H21" s="7" t="n">
        <v>10</v>
      </c>
      <c r="I21" s="7" t="n">
        <v>0</v>
      </c>
      <c r="J21" s="7" t="n">
        <v>13</v>
      </c>
      <c r="K21" s="7" t="n">
        <v>42.7</v>
      </c>
      <c r="L21" s="7" t="n">
        <v>-74.03</v>
      </c>
      <c r="M21" s="7"/>
      <c r="N21" s="7"/>
      <c r="O21" s="7" t="n">
        <f aca="false">IF(OR(K21="",L21=""),"",ROUND(3959*ACOS(MIN(1,SIN(RADIANS(README!$B$3))*SIN(RADIANS(K21))+COS(RADIANS(README!$B$3))*COS(RADIANS(K21))*COS(RADIANS(L21-README!$B$4)))),1))</f>
        <v>12.7</v>
      </c>
      <c r="P21" s="7" t="str">
        <f aca="false">IF(OR(M21="",N21=""),"",ROUND(3959*ACOS(MIN(1,SIN(RADIANS(README!$B$3))*SIN(RADIANS(M21))+COS(RADIANS(README!$B$3))*COS(RADIANS(M21))*COS(RADIANS(N21-README!$B$4)))),1))</f>
        <v/>
      </c>
      <c r="Q21" s="7" t="n">
        <f aca="false">IF(O21="","",IF(P21="",O21,MIN(O21,P21)))</f>
        <v>12.7</v>
      </c>
      <c r="R21" s="7" t="str">
        <f aca="false">IF(Q21="","n/a",IF(Q21&lt;=README!$B$5,"Yes","No"))</f>
        <v>Yes</v>
      </c>
      <c r="S21" s="7" t="s">
        <v>977</v>
      </c>
      <c r="T21" s="7" t="s">
        <v>16</v>
      </c>
      <c r="U21" s="7" t="s">
        <v>1937</v>
      </c>
    </row>
    <row r="22" customFormat="false" ht="23.25" hidden="false" customHeight="true" outlineLevel="0" collapsed="false">
      <c r="A22" s="7" t="s">
        <v>1938</v>
      </c>
      <c r="B22" s="7" t="s">
        <v>1939</v>
      </c>
      <c r="C22" s="7" t="s">
        <v>1940</v>
      </c>
      <c r="D22" s="7" t="s">
        <v>1941</v>
      </c>
      <c r="E22" s="7" t="s">
        <v>971</v>
      </c>
      <c r="F22" s="7" t="s">
        <v>1883</v>
      </c>
      <c r="G22" s="7"/>
      <c r="H22" s="7"/>
      <c r="I22" s="7" t="n">
        <v>0</v>
      </c>
      <c r="J22" s="7" t="n">
        <v>0</v>
      </c>
      <c r="K22" s="7" t="n">
        <v>42.28</v>
      </c>
      <c r="L22" s="7" t="n">
        <v>-74.57</v>
      </c>
      <c r="M22" s="7"/>
      <c r="N22" s="7"/>
      <c r="O22" s="7" t="n">
        <f aca="false">IF(OR(K22="",L22=""),"",ROUND(3959*ACOS(MIN(1,SIN(RADIANS(README!$B$3))*SIN(RADIANS(K22))+COS(RADIANS(README!$B$3))*COS(RADIANS(K22))*COS(RADIANS(L22-README!$B$4)))),1))</f>
        <v>31.4</v>
      </c>
      <c r="P22" s="7" t="str">
        <f aca="false">IF(OR(M22="",N22=""),"",ROUND(3959*ACOS(MIN(1,SIN(RADIANS(README!$B$3))*SIN(RADIANS(M22))+COS(RADIANS(README!$B$3))*COS(RADIANS(M22))*COS(RADIANS(N22-README!$B$4)))),1))</f>
        <v/>
      </c>
      <c r="Q22" s="7" t="n">
        <f aca="false">IF(O22="","",IF(P22="",O22,MIN(O22,P22)))</f>
        <v>31.4</v>
      </c>
      <c r="R22" s="7" t="str">
        <f aca="false">IF(Q22="","n/a",IF(Q22&lt;=README!$B$5,"Yes","No"))</f>
        <v>No</v>
      </c>
      <c r="S22" s="7" t="s">
        <v>977</v>
      </c>
      <c r="T22" s="7" t="s">
        <v>16</v>
      </c>
      <c r="U22" s="7"/>
    </row>
    <row r="23" customFormat="false" ht="34.5" hidden="false" customHeight="true" outlineLevel="0" collapsed="false">
      <c r="A23" s="7" t="s">
        <v>1171</v>
      </c>
      <c r="B23" s="7"/>
      <c r="C23" s="7" t="s">
        <v>954</v>
      </c>
      <c r="D23" s="7" t="s">
        <v>1942</v>
      </c>
      <c r="E23" s="7" t="s">
        <v>1943</v>
      </c>
      <c r="F23" s="7"/>
      <c r="G23" s="7"/>
      <c r="H23" s="7"/>
      <c r="I23" s="7"/>
      <c r="J23" s="7"/>
      <c r="K23" s="7" t="n">
        <v>42.75</v>
      </c>
      <c r="L23" s="7" t="n">
        <v>-73.8</v>
      </c>
      <c r="M23" s="7"/>
      <c r="N23" s="7"/>
      <c r="O23" s="7" t="n">
        <f aca="false">IF(OR(K23="",L23=""),"",ROUND(3959*ACOS(MIN(1,SIN(RADIANS(README!$B$3))*SIN(RADIANS(K23))+COS(RADIANS(README!$B$3))*COS(RADIANS(K23))*COS(RADIANS(L23-README!$B$4)))),1))</f>
        <v>20.4</v>
      </c>
      <c r="P23" s="7" t="str">
        <f aca="false">IF(OR(M23="",N23=""),"",ROUND(3959*ACOS(MIN(1,SIN(RADIANS(README!$B$3))*SIN(RADIANS(M23))+COS(RADIANS(README!$B$3))*COS(RADIANS(M23))*COS(RADIANS(N23-README!$B$4)))),1))</f>
        <v/>
      </c>
      <c r="Q23" s="7" t="n">
        <f aca="false">IF(O23="","",IF(P23="",O23,MIN(O23,P23)))</f>
        <v>20.4</v>
      </c>
      <c r="R23" s="7" t="str">
        <f aca="false">IF(Q23="","n/a",IF(Q23&lt;=README!$B$5,"Yes","No"))</f>
        <v>Yes</v>
      </c>
      <c r="S23" s="7" t="s">
        <v>627</v>
      </c>
      <c r="T23" s="7" t="s">
        <v>16</v>
      </c>
      <c r="U23" s="7" t="s">
        <v>1899</v>
      </c>
    </row>
    <row r="24" customFormat="false" ht="23.25" hidden="false" customHeight="true" outlineLevel="0" collapsed="false">
      <c r="A24" s="7" t="s">
        <v>1183</v>
      </c>
      <c r="B24" s="7" t="s">
        <v>1944</v>
      </c>
      <c r="C24" s="7" t="s">
        <v>1945</v>
      </c>
      <c r="D24" s="7" t="s">
        <v>1946</v>
      </c>
      <c r="E24" s="7" t="s">
        <v>1947</v>
      </c>
      <c r="F24" s="7" t="s">
        <v>1910</v>
      </c>
      <c r="G24" s="7" t="n">
        <v>42</v>
      </c>
      <c r="H24" s="7" t="n">
        <v>1320</v>
      </c>
      <c r="I24" s="7" t="n">
        <v>0</v>
      </c>
      <c r="J24" s="7" t="n">
        <v>20</v>
      </c>
      <c r="K24" s="7" t="n">
        <v>42.83</v>
      </c>
      <c r="L24" s="7" t="n">
        <v>-74.53</v>
      </c>
      <c r="M24" s="7" t="n">
        <v>42.38</v>
      </c>
      <c r="N24" s="7" t="n">
        <v>-74.03</v>
      </c>
      <c r="O24" s="7" t="n">
        <f aca="false">IF(OR(K24="",L24=""),"",ROUND(3959*ACOS(MIN(1,SIN(RADIANS(README!$B$3))*SIN(RADIANS(K24))+COS(RADIANS(README!$B$3))*COS(RADIANS(K24))*COS(RADIANS(L24-README!$B$4)))),1))</f>
        <v>32.8</v>
      </c>
      <c r="P24" s="7" t="n">
        <f aca="false">IF(OR(M24="",N24=""),"",ROUND(3959*ACOS(MIN(1,SIN(RADIANS(README!$B$3))*SIN(RADIANS(M24))+COS(RADIANS(README!$B$3))*COS(RADIANS(M24))*COS(RADIANS(N24-README!$B$4)))),1))</f>
        <v>9.5</v>
      </c>
      <c r="Q24" s="7" t="n">
        <f aca="false">IF(O24="","",IF(P24="",O24,MIN(O24,P24)))</f>
        <v>9.5</v>
      </c>
      <c r="R24" s="7" t="str">
        <f aca="false">IF(Q24="","n/a",IF(Q24&lt;=README!$B$5,"Yes","No"))</f>
        <v>Yes</v>
      </c>
      <c r="S24" s="7" t="s">
        <v>1948</v>
      </c>
      <c r="T24" s="7" t="s">
        <v>16</v>
      </c>
      <c r="U24" s="7" t="s">
        <v>1949</v>
      </c>
    </row>
    <row r="25" customFormat="false" ht="23.25" hidden="false" customHeight="true" outlineLevel="0" collapsed="false">
      <c r="A25" s="7" t="s">
        <v>1191</v>
      </c>
      <c r="B25" s="7" t="s">
        <v>1950</v>
      </c>
      <c r="C25" s="7" t="s">
        <v>1905</v>
      </c>
      <c r="D25" s="7" t="s">
        <v>1906</v>
      </c>
      <c r="E25" s="7" t="s">
        <v>971</v>
      </c>
      <c r="F25" s="7" t="s">
        <v>1933</v>
      </c>
      <c r="G25" s="7" t="n">
        <v>0.1</v>
      </c>
      <c r="H25" s="7" t="n">
        <v>17</v>
      </c>
      <c r="I25" s="7" t="n">
        <v>0</v>
      </c>
      <c r="J25" s="7" t="n">
        <v>0</v>
      </c>
      <c r="K25" s="7" t="n">
        <v>42.95</v>
      </c>
      <c r="L25" s="7" t="n">
        <v>-73.43</v>
      </c>
      <c r="M25" s="7"/>
      <c r="N25" s="7"/>
      <c r="O25" s="7" t="n">
        <f aca="false">IF(OR(K25="",L25=""),"",ROUND(3959*ACOS(MIN(1,SIN(RADIANS(README!$B$3))*SIN(RADIANS(K25))+COS(RADIANS(README!$B$3))*COS(RADIANS(K25))*COS(RADIANS(L25-README!$B$4)))),1))</f>
        <v>43.2</v>
      </c>
      <c r="P25" s="7" t="str">
        <f aca="false">IF(OR(M25="",N25=""),"",ROUND(3959*ACOS(MIN(1,SIN(RADIANS(README!$B$3))*SIN(RADIANS(M25))+COS(RADIANS(README!$B$3))*COS(RADIANS(M25))*COS(RADIANS(N25-README!$B$4)))),1))</f>
        <v/>
      </c>
      <c r="Q25" s="7" t="n">
        <f aca="false">IF(O25="","",IF(P25="",O25,MIN(O25,P25)))</f>
        <v>43.2</v>
      </c>
      <c r="R25" s="7" t="str">
        <f aca="false">IF(Q25="","n/a",IF(Q25&lt;=README!$B$5,"Yes","No"))</f>
        <v>No</v>
      </c>
      <c r="S25" s="7" t="s">
        <v>977</v>
      </c>
      <c r="T25" s="7" t="s">
        <v>16</v>
      </c>
      <c r="U25" s="7" t="s">
        <v>1951</v>
      </c>
    </row>
    <row r="26" customFormat="false" ht="23.25" hidden="false" customHeight="true" outlineLevel="0" collapsed="false">
      <c r="A26" s="7" t="s">
        <v>1952</v>
      </c>
      <c r="B26" s="7" t="s">
        <v>1953</v>
      </c>
      <c r="C26" s="7" t="s">
        <v>1886</v>
      </c>
      <c r="D26" s="7" t="s">
        <v>1954</v>
      </c>
      <c r="E26" s="7" t="s">
        <v>971</v>
      </c>
      <c r="F26" s="7" t="s">
        <v>1933</v>
      </c>
      <c r="G26" s="7" t="n">
        <v>0.2</v>
      </c>
      <c r="H26" s="7" t="n">
        <v>10</v>
      </c>
      <c r="I26" s="7" t="n">
        <v>0</v>
      </c>
      <c r="J26" s="7" t="n">
        <v>1</v>
      </c>
      <c r="K26" s="7" t="n">
        <v>42.2</v>
      </c>
      <c r="L26" s="7" t="n">
        <v>-73.97</v>
      </c>
      <c r="M26" s="7"/>
      <c r="N26" s="7"/>
      <c r="O26" s="7" t="n">
        <f aca="false">IF(OR(K26="",L26=""),"",ROUND(3959*ACOS(MIN(1,SIN(RADIANS(README!$B$3))*SIN(RADIANS(K26))+COS(RADIANS(README!$B$3))*COS(RADIANS(K26))*COS(RADIANS(L26-README!$B$4)))),1))</f>
        <v>22.2</v>
      </c>
      <c r="P26" s="7" t="str">
        <f aca="false">IF(OR(M26="",N26=""),"",ROUND(3959*ACOS(MIN(1,SIN(RADIANS(README!$B$3))*SIN(RADIANS(M26))+COS(RADIANS(README!$B$3))*COS(RADIANS(M26))*COS(RADIANS(N26-README!$B$4)))),1))</f>
        <v/>
      </c>
      <c r="Q26" s="7" t="n">
        <f aca="false">IF(O26="","",IF(P26="",O26,MIN(O26,P26)))</f>
        <v>22.2</v>
      </c>
      <c r="R26" s="7" t="str">
        <f aca="false">IF(Q26="","n/a",IF(Q26&lt;=README!$B$5,"Yes","No"))</f>
        <v>Yes</v>
      </c>
      <c r="S26" s="7" t="s">
        <v>977</v>
      </c>
      <c r="T26" s="7" t="s">
        <v>16</v>
      </c>
      <c r="U26" s="7"/>
    </row>
    <row r="27" customFormat="false" ht="23.25" hidden="false" customHeight="true" outlineLevel="0" collapsed="false">
      <c r="A27" s="7" t="s">
        <v>1955</v>
      </c>
      <c r="B27" s="7" t="s">
        <v>1885</v>
      </c>
      <c r="C27" s="7" t="s">
        <v>310</v>
      </c>
      <c r="D27" s="7" t="s">
        <v>1956</v>
      </c>
      <c r="E27" s="7" t="s">
        <v>971</v>
      </c>
      <c r="F27" s="7" t="s">
        <v>1933</v>
      </c>
      <c r="G27" s="7" t="n">
        <v>0.3</v>
      </c>
      <c r="H27" s="7" t="n">
        <v>7</v>
      </c>
      <c r="I27" s="7" t="n">
        <v>0</v>
      </c>
      <c r="J27" s="7" t="n">
        <v>0</v>
      </c>
      <c r="K27" s="7" t="n">
        <v>42.75</v>
      </c>
      <c r="L27" s="7" t="n">
        <v>-74.1</v>
      </c>
      <c r="M27" s="7"/>
      <c r="N27" s="7"/>
      <c r="O27" s="7" t="n">
        <f aca="false">IF(OR(K27="",L27=""),"",ROUND(3959*ACOS(MIN(1,SIN(RADIANS(README!$B$3))*SIN(RADIANS(K27))+COS(RADIANS(README!$B$3))*COS(RADIANS(K27))*COS(RADIANS(L27-README!$B$4)))),1))</f>
        <v>16.3</v>
      </c>
      <c r="P27" s="7" t="str">
        <f aca="false">IF(OR(M27="",N27=""),"",ROUND(3959*ACOS(MIN(1,SIN(RADIANS(README!$B$3))*SIN(RADIANS(M27))+COS(RADIANS(README!$B$3))*COS(RADIANS(M27))*COS(RADIANS(N27-README!$B$4)))),1))</f>
        <v/>
      </c>
      <c r="Q27" s="7" t="n">
        <f aca="false">IF(O27="","",IF(P27="",O27,MIN(O27,P27)))</f>
        <v>16.3</v>
      </c>
      <c r="R27" s="7" t="str">
        <f aca="false">IF(Q27="","n/a",IF(Q27&lt;=README!$B$5,"Yes","No"))</f>
        <v>Yes</v>
      </c>
      <c r="S27" s="7" t="s">
        <v>977</v>
      </c>
      <c r="T27" s="7" t="s">
        <v>16</v>
      </c>
      <c r="U27" s="7" t="s">
        <v>1957</v>
      </c>
    </row>
    <row r="28" customFormat="false" ht="23.25" hidden="false" customHeight="true" outlineLevel="0" collapsed="false">
      <c r="A28" s="7" t="s">
        <v>1958</v>
      </c>
      <c r="B28" s="7" t="s">
        <v>1959</v>
      </c>
      <c r="C28" s="7" t="s">
        <v>1960</v>
      </c>
      <c r="D28" s="7" t="s">
        <v>1961</v>
      </c>
      <c r="E28" s="7" t="s">
        <v>971</v>
      </c>
      <c r="F28" s="7" t="s">
        <v>1878</v>
      </c>
      <c r="G28" s="7" t="n">
        <v>6</v>
      </c>
      <c r="H28" s="7" t="n">
        <v>73</v>
      </c>
      <c r="I28" s="7" t="n">
        <v>0</v>
      </c>
      <c r="J28" s="7" t="n">
        <v>0</v>
      </c>
      <c r="K28" s="7" t="n">
        <v>42.67</v>
      </c>
      <c r="L28" s="7" t="n">
        <v>-74.45</v>
      </c>
      <c r="M28" s="7" t="n">
        <v>42.6</v>
      </c>
      <c r="N28" s="7" t="n">
        <v>-74.35</v>
      </c>
      <c r="O28" s="7" t="n">
        <f aca="false">IF(OR(K28="",L28=""),"",ROUND(3959*ACOS(MIN(1,SIN(RADIANS(README!$B$3))*SIN(RADIANS(K28))+COS(RADIANS(README!$B$3))*COS(RADIANS(K28))*COS(RADIANS(L28-README!$B$4)))),1))</f>
        <v>23.2</v>
      </c>
      <c r="P28" s="7" t="n">
        <f aca="false">IF(OR(M28="",N28=""),"",ROUND(3959*ACOS(MIN(1,SIN(RADIANS(README!$B$3))*SIN(RADIANS(M28))+COS(RADIANS(README!$B$3))*COS(RADIANS(M28))*COS(RADIANS(N28-README!$B$4)))),1))</f>
        <v>16.5</v>
      </c>
      <c r="Q28" s="7" t="n">
        <f aca="false">IF(O28="","",IF(P28="",O28,MIN(O28,P28)))</f>
        <v>16.5</v>
      </c>
      <c r="R28" s="7" t="str">
        <f aca="false">IF(Q28="","n/a",IF(Q28&lt;=README!$B$5,"Yes","No"))</f>
        <v>Yes</v>
      </c>
      <c r="S28" s="7" t="s">
        <v>977</v>
      </c>
      <c r="T28" s="7" t="s">
        <v>16</v>
      </c>
      <c r="U28" s="7"/>
    </row>
    <row r="29" customFormat="false" ht="23.25" hidden="false" customHeight="true" outlineLevel="0" collapsed="false">
      <c r="A29" s="7" t="s">
        <v>1958</v>
      </c>
      <c r="B29" s="7" t="s">
        <v>1962</v>
      </c>
      <c r="C29" s="7" t="s">
        <v>1905</v>
      </c>
      <c r="D29" s="7" t="s">
        <v>1963</v>
      </c>
      <c r="E29" s="7" t="s">
        <v>971</v>
      </c>
      <c r="F29" s="7" t="s">
        <v>1878</v>
      </c>
      <c r="G29" s="7" t="n">
        <v>2</v>
      </c>
      <c r="H29" s="7" t="n">
        <v>100</v>
      </c>
      <c r="I29" s="7" t="n">
        <v>0</v>
      </c>
      <c r="J29" s="7" t="n">
        <v>0</v>
      </c>
      <c r="K29" s="7" t="n">
        <v>42.7</v>
      </c>
      <c r="L29" s="7" t="n">
        <v>-73.38</v>
      </c>
      <c r="M29" s="7"/>
      <c r="N29" s="7"/>
      <c r="O29" s="7" t="n">
        <f aca="false">IF(OR(K29="",L29=""),"",ROUND(3959*ACOS(MIN(1,SIN(RADIANS(README!$B$3))*SIN(RADIANS(K29))+COS(RADIANS(README!$B$3))*COS(RADIANS(K29))*COS(RADIANS(L29-README!$B$4)))),1))</f>
        <v>36.1</v>
      </c>
      <c r="P29" s="7" t="str">
        <f aca="false">IF(OR(M29="",N29=""),"",ROUND(3959*ACOS(MIN(1,SIN(RADIANS(README!$B$3))*SIN(RADIANS(M29))+COS(RADIANS(README!$B$3))*COS(RADIANS(M29))*COS(RADIANS(N29-README!$B$4)))),1))</f>
        <v/>
      </c>
      <c r="Q29" s="7" t="n">
        <f aca="false">IF(O29="","",IF(P29="",O29,MIN(O29,P29)))</f>
        <v>36.1</v>
      </c>
      <c r="R29" s="7" t="str">
        <f aca="false">IF(Q29="","n/a",IF(Q29&lt;=README!$B$5,"Yes","No"))</f>
        <v>No</v>
      </c>
      <c r="S29" s="7" t="s">
        <v>977</v>
      </c>
      <c r="T29" s="7" t="s">
        <v>16</v>
      </c>
      <c r="U29" s="7" t="s">
        <v>1964</v>
      </c>
    </row>
    <row r="30" customFormat="false" ht="23.25" hidden="false" customHeight="true" outlineLevel="0" collapsed="false">
      <c r="A30" s="7" t="s">
        <v>1965</v>
      </c>
      <c r="B30" s="7" t="s">
        <v>1966</v>
      </c>
      <c r="C30" s="7" t="s">
        <v>1967</v>
      </c>
      <c r="D30" s="7" t="s">
        <v>1968</v>
      </c>
      <c r="E30" s="7" t="s">
        <v>971</v>
      </c>
      <c r="F30" s="7" t="s">
        <v>1878</v>
      </c>
      <c r="G30" s="7"/>
      <c r="H30" s="7"/>
      <c r="I30" s="7" t="n">
        <v>0</v>
      </c>
      <c r="J30" s="7" t="n">
        <v>0</v>
      </c>
      <c r="K30" s="7" t="n">
        <v>42.93</v>
      </c>
      <c r="L30" s="7" t="n">
        <v>-74.18</v>
      </c>
      <c r="M30" s="7"/>
      <c r="N30" s="7"/>
      <c r="O30" s="7" t="n">
        <f aca="false">IF(OR(K30="",L30=""),"",ROUND(3959*ACOS(MIN(1,SIN(RADIANS(README!$B$3))*SIN(RADIANS(K30))+COS(RADIANS(README!$B$3))*COS(RADIANS(K30))*COS(RADIANS(L30-README!$B$4)))),1))</f>
        <v>29.3</v>
      </c>
      <c r="P30" s="7" t="str">
        <f aca="false">IF(OR(M30="",N30=""),"",ROUND(3959*ACOS(MIN(1,SIN(RADIANS(README!$B$3))*SIN(RADIANS(M30))+COS(RADIANS(README!$B$3))*COS(RADIANS(M30))*COS(RADIANS(N30-README!$B$4)))),1))</f>
        <v/>
      </c>
      <c r="Q30" s="7" t="n">
        <f aca="false">IF(O30="","",IF(P30="",O30,MIN(O30,P30)))</f>
        <v>29.3</v>
      </c>
      <c r="R30" s="7" t="str">
        <f aca="false">IF(Q30="","n/a",IF(Q30&lt;=README!$B$5,"Yes","No"))</f>
        <v>Yes</v>
      </c>
      <c r="S30" s="7" t="s">
        <v>977</v>
      </c>
      <c r="T30" s="7" t="s">
        <v>16</v>
      </c>
      <c r="U30" s="7"/>
    </row>
    <row r="31" customFormat="false" ht="23.25" hidden="false" customHeight="true" outlineLevel="0" collapsed="false">
      <c r="A31" s="7" t="s">
        <v>1969</v>
      </c>
      <c r="B31" s="7" t="s">
        <v>1970</v>
      </c>
      <c r="C31" s="7" t="s">
        <v>1971</v>
      </c>
      <c r="D31" s="7" t="s">
        <v>1972</v>
      </c>
      <c r="E31" s="7" t="s">
        <v>971</v>
      </c>
      <c r="F31" s="7" t="s">
        <v>1878</v>
      </c>
      <c r="G31" s="7"/>
      <c r="H31" s="7"/>
      <c r="I31" s="7" t="n">
        <v>0</v>
      </c>
      <c r="J31" s="7" t="n">
        <v>0</v>
      </c>
      <c r="K31" s="7" t="n">
        <v>42.08</v>
      </c>
      <c r="L31" s="7" t="n">
        <v>-73.95</v>
      </c>
      <c r="M31" s="7"/>
      <c r="N31" s="7"/>
      <c r="O31" s="7" t="n">
        <f aca="false">IF(OR(K31="",L31=""),"",ROUND(3959*ACOS(MIN(1,SIN(RADIANS(README!$B$3))*SIN(RADIANS(K31))+COS(RADIANS(README!$B$3))*COS(RADIANS(K31))*COS(RADIANS(L31-README!$B$4)))),1))</f>
        <v>30.6</v>
      </c>
      <c r="P31" s="7" t="str">
        <f aca="false">IF(OR(M31="",N31=""),"",ROUND(3959*ACOS(MIN(1,SIN(RADIANS(README!$B$3))*SIN(RADIANS(M31))+COS(RADIANS(README!$B$3))*COS(RADIANS(M31))*COS(RADIANS(N31-README!$B$4)))),1))</f>
        <v/>
      </c>
      <c r="Q31" s="7" t="n">
        <f aca="false">IF(O31="","",IF(P31="",O31,MIN(O31,P31)))</f>
        <v>30.6</v>
      </c>
      <c r="R31" s="7" t="str">
        <f aca="false">IF(Q31="","n/a",IF(Q31&lt;=README!$B$5,"Yes","No"))</f>
        <v>No</v>
      </c>
      <c r="S31" s="7" t="s">
        <v>977</v>
      </c>
      <c r="T31" s="7" t="s">
        <v>16</v>
      </c>
      <c r="U31" s="7"/>
    </row>
    <row r="32" customFormat="false" ht="23.25" hidden="false" customHeight="true" outlineLevel="0" collapsed="false">
      <c r="A32" s="7" t="s">
        <v>1973</v>
      </c>
      <c r="B32" s="7" t="s">
        <v>1953</v>
      </c>
      <c r="C32" s="7" t="s">
        <v>1905</v>
      </c>
      <c r="D32" s="7" t="s">
        <v>1906</v>
      </c>
      <c r="E32" s="7" t="s">
        <v>971</v>
      </c>
      <c r="F32" s="7" t="s">
        <v>1878</v>
      </c>
      <c r="G32" s="7" t="n">
        <v>1.5</v>
      </c>
      <c r="H32" s="7" t="n">
        <v>25</v>
      </c>
      <c r="I32" s="7" t="n">
        <v>0</v>
      </c>
      <c r="J32" s="7" t="n">
        <v>0</v>
      </c>
      <c r="K32" s="7" t="n">
        <v>42.95</v>
      </c>
      <c r="L32" s="7" t="n">
        <v>-73.4</v>
      </c>
      <c r="M32" s="7"/>
      <c r="N32" s="7"/>
      <c r="O32" s="7" t="n">
        <f aca="false">IF(OR(K32="",L32=""),"",ROUND(3959*ACOS(MIN(1,SIN(RADIANS(README!$B$3))*SIN(RADIANS(K32))+COS(RADIANS(README!$B$3))*COS(RADIANS(K32))*COS(RADIANS(L32-README!$B$4)))),1))</f>
        <v>44.3</v>
      </c>
      <c r="P32" s="7" t="str">
        <f aca="false">IF(OR(M32="",N32=""),"",ROUND(3959*ACOS(MIN(1,SIN(RADIANS(README!$B$3))*SIN(RADIANS(M32))+COS(RADIANS(README!$B$3))*COS(RADIANS(M32))*COS(RADIANS(N32-README!$B$4)))),1))</f>
        <v/>
      </c>
      <c r="Q32" s="7" t="n">
        <f aca="false">IF(O32="","",IF(P32="",O32,MIN(O32,P32)))</f>
        <v>44.3</v>
      </c>
      <c r="R32" s="7" t="str">
        <f aca="false">IF(Q32="","n/a",IF(Q32&lt;=README!$B$5,"Yes","No"))</f>
        <v>No</v>
      </c>
      <c r="S32" s="7" t="s">
        <v>977</v>
      </c>
      <c r="T32" s="7" t="s">
        <v>16</v>
      </c>
      <c r="U32" s="7"/>
    </row>
    <row r="33" customFormat="false" ht="23.25" hidden="false" customHeight="true" outlineLevel="0" collapsed="false">
      <c r="A33" s="7" t="s">
        <v>1974</v>
      </c>
      <c r="B33" s="7" t="s">
        <v>1975</v>
      </c>
      <c r="C33" s="7" t="s">
        <v>1868</v>
      </c>
      <c r="D33" s="7" t="s">
        <v>1976</v>
      </c>
      <c r="E33" s="7" t="s">
        <v>971</v>
      </c>
      <c r="F33" s="7" t="s">
        <v>1883</v>
      </c>
      <c r="G33" s="7" t="n">
        <v>15</v>
      </c>
      <c r="H33" s="7" t="n">
        <v>300</v>
      </c>
      <c r="I33" s="7" t="n">
        <v>0</v>
      </c>
      <c r="J33" s="7" t="n">
        <v>5</v>
      </c>
      <c r="K33" s="7" t="n">
        <v>42.2</v>
      </c>
      <c r="L33" s="7" t="n">
        <v>-73.78</v>
      </c>
      <c r="M33" s="7" t="n">
        <v>42.2</v>
      </c>
      <c r="N33" s="7" t="n">
        <v>-73.52</v>
      </c>
      <c r="O33" s="7" t="n">
        <f aca="false">IF(OR(K33="",L33=""),"",ROUND(3959*ACOS(MIN(1,SIN(RADIANS(README!$B$3))*SIN(RADIANS(K33))+COS(RADIANS(README!$B$3))*COS(RADIANS(K33))*COS(RADIANS(L33-README!$B$4)))),1))</f>
        <v>25.7</v>
      </c>
      <c r="P33" s="7" t="n">
        <f aca="false">IF(OR(M33="",N33=""),"",ROUND(3959*ACOS(MIN(1,SIN(RADIANS(README!$B$3))*SIN(RADIANS(M33))+COS(RADIANS(README!$B$3))*COS(RADIANS(M33))*COS(RADIANS(N33-README!$B$4)))),1))</f>
        <v>34.6</v>
      </c>
      <c r="Q33" s="7" t="n">
        <f aca="false">IF(O33="","",IF(P33="",O33,MIN(O33,P33)))</f>
        <v>25.7</v>
      </c>
      <c r="R33" s="7" t="str">
        <f aca="false">IF(Q33="","n/a",IF(Q33&lt;=README!$B$5,"Yes","No"))</f>
        <v>Yes</v>
      </c>
      <c r="S33" s="7" t="s">
        <v>977</v>
      </c>
      <c r="T33" s="7" t="s">
        <v>16</v>
      </c>
      <c r="U33" s="7"/>
    </row>
    <row r="34" customFormat="false" ht="15" hidden="false" customHeight="true" outlineLevel="0" collapsed="false">
      <c r="A34" s="7" t="s">
        <v>1230</v>
      </c>
      <c r="B34" s="7"/>
      <c r="C34" s="7" t="s">
        <v>1977</v>
      </c>
      <c r="D34" s="7" t="s">
        <v>1232</v>
      </c>
      <c r="E34" s="7" t="s">
        <v>1231</v>
      </c>
      <c r="F34" s="7" t="s">
        <v>1978</v>
      </c>
      <c r="G34" s="7"/>
      <c r="H34" s="7"/>
      <c r="I34" s="7" t="n">
        <v>1</v>
      </c>
      <c r="J34" s="7"/>
      <c r="K34" s="7" t="n">
        <v>42.75</v>
      </c>
      <c r="L34" s="7" t="n">
        <v>-73.8</v>
      </c>
      <c r="M34" s="7"/>
      <c r="N34" s="7"/>
      <c r="O34" s="7" t="n">
        <f aca="false">IF(OR(K34="",L34=""),"",ROUND(3959*ACOS(MIN(1,SIN(RADIANS(README!$B$3))*SIN(RADIANS(K34))+COS(RADIANS(README!$B$3))*COS(RADIANS(K34))*COS(RADIANS(L34-README!$B$4)))),1))</f>
        <v>20.4</v>
      </c>
      <c r="P34" s="7" t="str">
        <f aca="false">IF(OR(M34="",N34=""),"",ROUND(3959*ACOS(MIN(1,SIN(RADIANS(README!$B$3))*SIN(RADIANS(M34))+COS(RADIANS(README!$B$3))*COS(RADIANS(M34))*COS(RADIANS(N34-README!$B$4)))),1))</f>
        <v/>
      </c>
      <c r="Q34" s="7" t="n">
        <f aca="false">IF(O34="","",IF(P34="",O34,MIN(O34,P34)))</f>
        <v>20.4</v>
      </c>
      <c r="R34" s="7" t="str">
        <f aca="false">IF(Q34="","n/a",IF(Q34&lt;=README!$B$5,"Yes","No"))</f>
        <v>Yes</v>
      </c>
      <c r="S34" s="7" t="s">
        <v>1236</v>
      </c>
      <c r="T34" s="7" t="s">
        <v>16</v>
      </c>
      <c r="U34" s="7" t="s">
        <v>1979</v>
      </c>
    </row>
    <row r="35" customFormat="false" ht="23.25" hidden="false" customHeight="true" outlineLevel="0" collapsed="false">
      <c r="A35" s="7" t="s">
        <v>1980</v>
      </c>
      <c r="B35" s="7" t="s">
        <v>1981</v>
      </c>
      <c r="C35" s="7" t="s">
        <v>1868</v>
      </c>
      <c r="D35" s="7" t="s">
        <v>1929</v>
      </c>
      <c r="E35" s="7" t="s">
        <v>971</v>
      </c>
      <c r="F35" s="7" t="s">
        <v>1878</v>
      </c>
      <c r="G35" s="7" t="n">
        <v>5.3</v>
      </c>
      <c r="H35" s="7" t="n">
        <v>100</v>
      </c>
      <c r="I35" s="7" t="n">
        <v>0</v>
      </c>
      <c r="J35" s="7" t="n">
        <v>0</v>
      </c>
      <c r="K35" s="7" t="n">
        <v>42.12</v>
      </c>
      <c r="L35" s="7" t="n">
        <v>-73.6</v>
      </c>
      <c r="M35" s="7" t="n">
        <v>42.15</v>
      </c>
      <c r="N35" s="7" t="n">
        <v>-73.48</v>
      </c>
      <c r="O35" s="7" t="n">
        <f aca="false">IF(OR(K35="",L35=""),"",ROUND(3959*ACOS(MIN(1,SIN(RADIANS(README!$B$3))*SIN(RADIANS(K35))+COS(RADIANS(README!$B$3))*COS(RADIANS(K35))*COS(RADIANS(L35-README!$B$4)))),1))</f>
        <v>35.6</v>
      </c>
      <c r="P35" s="7" t="n">
        <f aca="false">IF(OR(M35="",N35=""),"",ROUND(3959*ACOS(MIN(1,SIN(RADIANS(README!$B$3))*SIN(RADIANS(M35))+COS(RADIANS(README!$B$3))*COS(RADIANS(M35))*COS(RADIANS(N35-README!$B$4)))),1))</f>
        <v>38.4</v>
      </c>
      <c r="Q35" s="7" t="n">
        <f aca="false">IF(O35="","",IF(P35="",O35,MIN(O35,P35)))</f>
        <v>35.6</v>
      </c>
      <c r="R35" s="7" t="str">
        <f aca="false">IF(Q35="","n/a",IF(Q35&lt;=README!$B$5,"Yes","No"))</f>
        <v>No</v>
      </c>
      <c r="S35" s="7" t="s">
        <v>977</v>
      </c>
      <c r="T35" s="7" t="s">
        <v>16</v>
      </c>
      <c r="U35" s="7"/>
    </row>
    <row r="36" customFormat="false" ht="23.25" hidden="false" customHeight="true" outlineLevel="0" collapsed="false">
      <c r="A36" s="7" t="s">
        <v>1980</v>
      </c>
      <c r="B36" s="7" t="s">
        <v>1982</v>
      </c>
      <c r="C36" s="7" t="s">
        <v>1868</v>
      </c>
      <c r="D36" s="7" t="s">
        <v>1929</v>
      </c>
      <c r="E36" s="7" t="s">
        <v>971</v>
      </c>
      <c r="F36" s="7" t="s">
        <v>1878</v>
      </c>
      <c r="G36" s="7" t="n">
        <v>1.2</v>
      </c>
      <c r="H36" s="7" t="n">
        <v>200</v>
      </c>
      <c r="I36" s="7" t="n">
        <v>0</v>
      </c>
      <c r="J36" s="7" t="n">
        <v>0</v>
      </c>
      <c r="K36" s="7" t="n">
        <v>42.4</v>
      </c>
      <c r="L36" s="7" t="n">
        <v>-73.43</v>
      </c>
      <c r="M36" s="7" t="n">
        <v>42.4</v>
      </c>
      <c r="N36" s="7" t="n">
        <v>-73.42</v>
      </c>
      <c r="O36" s="7" t="n">
        <f aca="false">IF(OR(K36="",L36=""),"",ROUND(3959*ACOS(MIN(1,SIN(RADIANS(README!$B$3))*SIN(RADIANS(K36))+COS(RADIANS(README!$B$3))*COS(RADIANS(K36))*COS(RADIANS(L36-README!$B$4)))),1))</f>
        <v>32.4</v>
      </c>
      <c r="P36" s="7" t="n">
        <f aca="false">IF(OR(M36="",N36=""),"",ROUND(3959*ACOS(MIN(1,SIN(RADIANS(README!$B$3))*SIN(RADIANS(M36))+COS(RADIANS(README!$B$3))*COS(RADIANS(M36))*COS(RADIANS(N36-README!$B$4)))),1))</f>
        <v>32.9</v>
      </c>
      <c r="Q36" s="7" t="n">
        <f aca="false">IF(O36="","",IF(P36="",O36,MIN(O36,P36)))</f>
        <v>32.4</v>
      </c>
      <c r="R36" s="7" t="str">
        <f aca="false">IF(Q36="","n/a",IF(Q36&lt;=README!$B$5,"Yes","No"))</f>
        <v>No</v>
      </c>
      <c r="S36" s="7" t="s">
        <v>977</v>
      </c>
      <c r="T36" s="7" t="s">
        <v>16</v>
      </c>
      <c r="U36" s="7"/>
    </row>
    <row r="37" customFormat="false" ht="23.25" hidden="false" customHeight="true" outlineLevel="0" collapsed="false">
      <c r="A37" s="7" t="s">
        <v>1980</v>
      </c>
      <c r="B37" s="7" t="s">
        <v>1983</v>
      </c>
      <c r="C37" s="7" t="s">
        <v>1868</v>
      </c>
      <c r="D37" s="7" t="s">
        <v>1984</v>
      </c>
      <c r="E37" s="7" t="s">
        <v>971</v>
      </c>
      <c r="F37" s="7" t="s">
        <v>1883</v>
      </c>
      <c r="G37" s="7" t="n">
        <v>1</v>
      </c>
      <c r="H37" s="7" t="n">
        <v>100</v>
      </c>
      <c r="I37" s="7" t="n">
        <v>0</v>
      </c>
      <c r="J37" s="7" t="n">
        <v>0</v>
      </c>
      <c r="K37" s="7" t="n">
        <v>42.4</v>
      </c>
      <c r="L37" s="7" t="n">
        <v>-73.42</v>
      </c>
      <c r="M37" s="7" t="n">
        <v>42.38</v>
      </c>
      <c r="N37" s="7" t="n">
        <v>-73.57</v>
      </c>
      <c r="O37" s="7" t="n">
        <f aca="false">IF(OR(K37="",L37=""),"",ROUND(3959*ACOS(MIN(1,SIN(RADIANS(README!$B$3))*SIN(RADIANS(K37))+COS(RADIANS(README!$B$3))*COS(RADIANS(K37))*COS(RADIANS(L37-README!$B$4)))),1))</f>
        <v>32.9</v>
      </c>
      <c r="P37" s="7" t="n">
        <f aca="false">IF(OR(M37="",N37=""),"",ROUND(3959*ACOS(MIN(1,SIN(RADIANS(README!$B$3))*SIN(RADIANS(M37))+COS(RADIANS(README!$B$3))*COS(RADIANS(M37))*COS(RADIANS(N37-README!$B$4)))),1))</f>
        <v>26</v>
      </c>
      <c r="Q37" s="7" t="n">
        <f aca="false">IF(O37="","",IF(P37="",O37,MIN(O37,P37)))</f>
        <v>26</v>
      </c>
      <c r="R37" s="7" t="str">
        <f aca="false">IF(Q37="","n/a",IF(Q37&lt;=README!$B$5,"Yes","No"))</f>
        <v>Yes</v>
      </c>
      <c r="S37" s="7" t="s">
        <v>977</v>
      </c>
      <c r="T37" s="7" t="s">
        <v>16</v>
      </c>
      <c r="U37" s="7"/>
    </row>
    <row r="38" customFormat="false" ht="23.25" hidden="false" customHeight="true" outlineLevel="0" collapsed="false">
      <c r="A38" s="7" t="s">
        <v>1266</v>
      </c>
      <c r="B38" s="7" t="s">
        <v>1985</v>
      </c>
      <c r="C38" s="7" t="s">
        <v>1986</v>
      </c>
      <c r="D38" s="7" t="s">
        <v>1987</v>
      </c>
      <c r="E38" s="7" t="s">
        <v>971</v>
      </c>
      <c r="F38" s="7" t="s">
        <v>1895</v>
      </c>
      <c r="G38" s="7" t="n">
        <v>20.3</v>
      </c>
      <c r="H38" s="7" t="n">
        <v>970</v>
      </c>
      <c r="I38" s="7" t="n">
        <v>0</v>
      </c>
      <c r="J38" s="7" t="n">
        <v>68</v>
      </c>
      <c r="K38" s="7" t="n">
        <v>42.92</v>
      </c>
      <c r="L38" s="7" t="n">
        <v>-73.77</v>
      </c>
      <c r="M38" s="7" t="n">
        <v>42.93</v>
      </c>
      <c r="N38" s="7" t="n">
        <v>-73.27</v>
      </c>
      <c r="O38" s="7" t="n">
        <f aca="false">IF(OR(K38="",L38=""),"",ROUND(3959*ACOS(MIN(1,SIN(RADIANS(README!$B$3))*SIN(RADIANS(K38))+COS(RADIANS(README!$B$3))*COS(RADIANS(K38))*COS(RADIANS(L38-README!$B$4)))),1))</f>
        <v>31.1</v>
      </c>
      <c r="P38" s="7" t="n">
        <f aca="false">IF(OR(M38="",N38=""),"",ROUND(3959*ACOS(MIN(1,SIN(RADIANS(README!$B$3))*SIN(RADIANS(M38))+COS(RADIANS(README!$B$3))*COS(RADIANS(M38))*COS(RADIANS(N38-README!$B$4)))),1))</f>
        <v>48.6</v>
      </c>
      <c r="Q38" s="7" t="n">
        <f aca="false">IF(O38="","",IF(P38="",O38,MIN(O38,P38)))</f>
        <v>31.1</v>
      </c>
      <c r="R38" s="7" t="str">
        <f aca="false">IF(Q38="","n/a",IF(Q38&lt;=README!$B$5,"Yes","No"))</f>
        <v>No</v>
      </c>
      <c r="S38" s="7" t="s">
        <v>977</v>
      </c>
      <c r="T38" s="7" t="s">
        <v>16</v>
      </c>
      <c r="U38" s="7" t="s">
        <v>1988</v>
      </c>
    </row>
    <row r="39" customFormat="false" ht="23.25" hidden="false" customHeight="true" outlineLevel="0" collapsed="false">
      <c r="A39" s="7" t="s">
        <v>1266</v>
      </c>
      <c r="B39" s="7" t="s">
        <v>1989</v>
      </c>
      <c r="C39" s="7" t="s">
        <v>310</v>
      </c>
      <c r="D39" s="7" t="s">
        <v>1932</v>
      </c>
      <c r="E39" s="7" t="s">
        <v>971</v>
      </c>
      <c r="F39" s="7" t="s">
        <v>1878</v>
      </c>
      <c r="G39" s="7" t="n">
        <v>3.5</v>
      </c>
      <c r="H39" s="7" t="n">
        <v>75</v>
      </c>
      <c r="I39" s="7" t="n">
        <v>0</v>
      </c>
      <c r="J39" s="7" t="n">
        <v>0</v>
      </c>
      <c r="K39" s="7" t="n">
        <v>42.73</v>
      </c>
      <c r="L39" s="7" t="n">
        <v>-73.87</v>
      </c>
      <c r="M39" s="7" t="n">
        <v>42.75</v>
      </c>
      <c r="N39" s="7" t="n">
        <v>-73.77</v>
      </c>
      <c r="O39" s="7" t="n">
        <f aca="false">IF(OR(K39="",L39=""),"",ROUND(3959*ACOS(MIN(1,SIN(RADIANS(README!$B$3))*SIN(RADIANS(K39))+COS(RADIANS(README!$B$3))*COS(RADIANS(K39))*COS(RADIANS(L39-README!$B$4)))),1))</f>
        <v>17.2</v>
      </c>
      <c r="P39" s="7" t="n">
        <f aca="false">IF(OR(M39="",N39=""),"",ROUND(3959*ACOS(MIN(1,SIN(RADIANS(README!$B$3))*SIN(RADIANS(M39))+COS(RADIANS(README!$B$3))*COS(RADIANS(M39))*COS(RADIANS(N39-README!$B$4)))),1))</f>
        <v>21.3</v>
      </c>
      <c r="Q39" s="7" t="n">
        <f aca="false">IF(O39="","",IF(P39="",O39,MIN(O39,P39)))</f>
        <v>17.2</v>
      </c>
      <c r="R39" s="7" t="str">
        <f aca="false">IF(Q39="","n/a",IF(Q39&lt;=README!$B$5,"Yes","No"))</f>
        <v>Yes</v>
      </c>
      <c r="S39" s="7" t="s">
        <v>977</v>
      </c>
      <c r="T39" s="7" t="s">
        <v>16</v>
      </c>
      <c r="U39" s="7"/>
    </row>
    <row r="40" customFormat="false" ht="23.25" hidden="false" customHeight="true" outlineLevel="0" collapsed="false">
      <c r="A40" s="7" t="s">
        <v>1266</v>
      </c>
      <c r="B40" s="7" t="s">
        <v>1990</v>
      </c>
      <c r="C40" s="7" t="s">
        <v>1905</v>
      </c>
      <c r="D40" s="7" t="s">
        <v>1906</v>
      </c>
      <c r="E40" s="7" t="s">
        <v>971</v>
      </c>
      <c r="F40" s="7" t="s">
        <v>1883</v>
      </c>
      <c r="G40" s="7" t="n">
        <v>8</v>
      </c>
      <c r="H40" s="7" t="n">
        <v>200</v>
      </c>
      <c r="I40" s="7" t="n">
        <v>0</v>
      </c>
      <c r="J40" s="7" t="n">
        <v>0</v>
      </c>
      <c r="K40" s="7" t="n">
        <v>42.58</v>
      </c>
      <c r="L40" s="7" t="n">
        <v>-73.65</v>
      </c>
      <c r="M40" s="7" t="n">
        <v>42.6</v>
      </c>
      <c r="N40" s="7" t="n">
        <v>-73.52</v>
      </c>
      <c r="O40" s="7" t="n">
        <f aca="false">IF(OR(K40="",L40=""),"",ROUND(3959*ACOS(MIN(1,SIN(RADIANS(README!$B$3))*SIN(RADIANS(K40))+COS(RADIANS(README!$B$3))*COS(RADIANS(K40))*COS(RADIANS(L40-README!$B$4)))),1))</f>
        <v>20.6</v>
      </c>
      <c r="P40" s="7" t="n">
        <f aca="false">IF(OR(M40="",N40=""),"",ROUND(3959*ACOS(MIN(1,SIN(RADIANS(README!$B$3))*SIN(RADIANS(M40))+COS(RADIANS(README!$B$3))*COS(RADIANS(M40))*COS(RADIANS(N40-README!$B$4)))),1))</f>
        <v>27.3</v>
      </c>
      <c r="Q40" s="7" t="n">
        <f aca="false">IF(O40="","",IF(P40="",O40,MIN(O40,P40)))</f>
        <v>20.6</v>
      </c>
      <c r="R40" s="7" t="str">
        <f aca="false">IF(Q40="","n/a",IF(Q40&lt;=README!$B$5,"Yes","No"))</f>
        <v>Yes</v>
      </c>
      <c r="S40" s="7" t="s">
        <v>977</v>
      </c>
      <c r="T40" s="7" t="s">
        <v>16</v>
      </c>
      <c r="U40" s="7"/>
    </row>
    <row r="41" customFormat="false" ht="15" hidden="false" customHeight="true" outlineLevel="0" collapsed="false">
      <c r="A41" s="7" t="s">
        <v>1991</v>
      </c>
      <c r="B41" s="7"/>
      <c r="C41" s="7" t="s">
        <v>310</v>
      </c>
      <c r="D41" s="7" t="s">
        <v>1932</v>
      </c>
      <c r="E41" s="7" t="s">
        <v>1992</v>
      </c>
      <c r="F41" s="7"/>
      <c r="G41" s="7"/>
      <c r="H41" s="7"/>
      <c r="I41" s="7" t="n">
        <v>0</v>
      </c>
      <c r="J41" s="7" t="n">
        <v>9</v>
      </c>
      <c r="K41" s="7" t="n">
        <v>42.75</v>
      </c>
      <c r="L41" s="7" t="n">
        <v>-73.8</v>
      </c>
      <c r="M41" s="7"/>
      <c r="N41" s="7"/>
      <c r="O41" s="7" t="n">
        <f aca="false">IF(OR(K41="",L41=""),"",ROUND(3959*ACOS(MIN(1,SIN(RADIANS(README!$B$3))*SIN(RADIANS(K41))+COS(RADIANS(README!$B$3))*COS(RADIANS(K41))*COS(RADIANS(L41-README!$B$4)))),1))</f>
        <v>20.4</v>
      </c>
      <c r="P41" s="7" t="str">
        <f aca="false">IF(OR(M41="",N41=""),"",ROUND(3959*ACOS(MIN(1,SIN(RADIANS(README!$B$3))*SIN(RADIANS(M41))+COS(RADIANS(README!$B$3))*COS(RADIANS(M41))*COS(RADIANS(N41-README!$B$4)))),1))</f>
        <v/>
      </c>
      <c r="Q41" s="7" t="n">
        <f aca="false">IF(O41="","",IF(P41="",O41,MIN(O41,P41)))</f>
        <v>20.4</v>
      </c>
      <c r="R41" s="7" t="str">
        <f aca="false">IF(Q41="","n/a",IF(Q41&lt;=README!$B$5,"Yes","No"))</f>
        <v>Yes</v>
      </c>
      <c r="S41" s="7" t="s">
        <v>1236</v>
      </c>
      <c r="T41" s="7" t="s">
        <v>16</v>
      </c>
      <c r="U41" s="7" t="s">
        <v>1993</v>
      </c>
    </row>
    <row r="42" customFormat="false" ht="23.25" hidden="false" customHeight="true" outlineLevel="0" collapsed="false">
      <c r="A42" s="7" t="s">
        <v>1306</v>
      </c>
      <c r="B42" s="7" t="s">
        <v>1994</v>
      </c>
      <c r="C42" s="7" t="s">
        <v>1886</v>
      </c>
      <c r="D42" s="7" t="s">
        <v>1954</v>
      </c>
      <c r="E42" s="7" t="s">
        <v>971</v>
      </c>
      <c r="F42" s="7" t="s">
        <v>1878</v>
      </c>
      <c r="G42" s="7" t="n">
        <v>0.5</v>
      </c>
      <c r="H42" s="7" t="n">
        <v>50</v>
      </c>
      <c r="I42" s="7" t="n">
        <v>0</v>
      </c>
      <c r="J42" s="7" t="n">
        <v>0</v>
      </c>
      <c r="K42" s="7" t="n">
        <v>42.18</v>
      </c>
      <c r="L42" s="7" t="n">
        <v>-74.02</v>
      </c>
      <c r="M42" s="7"/>
      <c r="N42" s="7"/>
      <c r="O42" s="7" t="n">
        <f aca="false">IF(OR(K42="",L42=""),"",ROUND(3959*ACOS(MIN(1,SIN(RADIANS(README!$B$3))*SIN(RADIANS(K42))+COS(RADIANS(README!$B$3))*COS(RADIANS(K42))*COS(RADIANS(L42-README!$B$4)))),1))</f>
        <v>23.3</v>
      </c>
      <c r="P42" s="7" t="str">
        <f aca="false">IF(OR(M42="",N42=""),"",ROUND(3959*ACOS(MIN(1,SIN(RADIANS(README!$B$3))*SIN(RADIANS(M42))+COS(RADIANS(README!$B$3))*COS(RADIANS(M42))*COS(RADIANS(N42-README!$B$4)))),1))</f>
        <v/>
      </c>
      <c r="Q42" s="7" t="n">
        <f aca="false">IF(O42="","",IF(P42="",O42,MIN(O42,P42)))</f>
        <v>23.3</v>
      </c>
      <c r="R42" s="7" t="str">
        <f aca="false">IF(Q42="","n/a",IF(Q42&lt;=README!$B$5,"Yes","No"))</f>
        <v>Yes</v>
      </c>
      <c r="S42" s="7" t="s">
        <v>977</v>
      </c>
      <c r="T42" s="7" t="s">
        <v>16</v>
      </c>
      <c r="U42" s="7"/>
    </row>
    <row r="43" customFormat="false" ht="23.25" hidden="false" customHeight="true" outlineLevel="0" collapsed="false">
      <c r="A43" s="7" t="s">
        <v>1306</v>
      </c>
      <c r="B43" s="7" t="s">
        <v>1995</v>
      </c>
      <c r="C43" s="7" t="s">
        <v>1886</v>
      </c>
      <c r="D43" s="7" t="s">
        <v>1996</v>
      </c>
      <c r="E43" s="7" t="s">
        <v>971</v>
      </c>
      <c r="F43" s="7" t="s">
        <v>1883</v>
      </c>
      <c r="G43" s="7" t="n">
        <v>1.5</v>
      </c>
      <c r="H43" s="7" t="n">
        <v>150</v>
      </c>
      <c r="I43" s="7" t="n">
        <v>0</v>
      </c>
      <c r="J43" s="7" t="n">
        <v>7</v>
      </c>
      <c r="K43" s="7" t="n">
        <v>42.2</v>
      </c>
      <c r="L43" s="7" t="n">
        <v>-73.97</v>
      </c>
      <c r="M43" s="7" t="n">
        <v>42.22</v>
      </c>
      <c r="N43" s="7" t="n">
        <v>-73.87</v>
      </c>
      <c r="O43" s="7" t="n">
        <f aca="false">IF(OR(K43="",L43=""),"",ROUND(3959*ACOS(MIN(1,SIN(RADIANS(README!$B$3))*SIN(RADIANS(K43))+COS(RADIANS(README!$B$3))*COS(RADIANS(K43))*COS(RADIANS(L43-README!$B$4)))),1))</f>
        <v>22.2</v>
      </c>
      <c r="P43" s="7" t="n">
        <f aca="false">IF(OR(M43="",N43=""),"",ROUND(3959*ACOS(MIN(1,SIN(RADIANS(README!$B$3))*SIN(RADIANS(M43))+COS(RADIANS(README!$B$3))*COS(RADIANS(M43))*COS(RADIANS(N43-README!$B$4)))),1))</f>
        <v>22.4</v>
      </c>
      <c r="Q43" s="7" t="n">
        <f aca="false">IF(O43="","",IF(P43="",O43,MIN(O43,P43)))</f>
        <v>22.2</v>
      </c>
      <c r="R43" s="7" t="str">
        <f aca="false">IF(Q43="","n/a",IF(Q43&lt;=README!$B$5,"Yes","No"))</f>
        <v>Yes</v>
      </c>
      <c r="S43" s="7" t="s">
        <v>977</v>
      </c>
      <c r="T43" s="7" t="s">
        <v>16</v>
      </c>
      <c r="U43" s="7" t="s">
        <v>1997</v>
      </c>
    </row>
    <row r="44" customFormat="false" ht="23.25" hidden="false" customHeight="true" outlineLevel="0" collapsed="false">
      <c r="A44" s="7" t="s">
        <v>1306</v>
      </c>
      <c r="B44" s="7" t="s">
        <v>1998</v>
      </c>
      <c r="C44" s="7" t="s">
        <v>1886</v>
      </c>
      <c r="D44" s="7" t="s">
        <v>1954</v>
      </c>
      <c r="E44" s="7" t="s">
        <v>971</v>
      </c>
      <c r="F44" s="7" t="s">
        <v>1878</v>
      </c>
      <c r="G44" s="7" t="n">
        <v>0.5</v>
      </c>
      <c r="H44" s="7" t="n">
        <v>50</v>
      </c>
      <c r="I44" s="7" t="n">
        <v>0</v>
      </c>
      <c r="J44" s="7" t="n">
        <v>0</v>
      </c>
      <c r="K44" s="7" t="n">
        <v>42.27</v>
      </c>
      <c r="L44" s="7" t="n">
        <v>-73.82</v>
      </c>
      <c r="M44" s="7"/>
      <c r="N44" s="7"/>
      <c r="O44" s="7" t="n">
        <f aca="false">IF(OR(K44="",L44=""),"",ROUND(3959*ACOS(MIN(1,SIN(RADIANS(README!$B$3))*SIN(RADIANS(K44))+COS(RADIANS(README!$B$3))*COS(RADIANS(K44))*COS(RADIANS(L44-README!$B$4)))),1))</f>
        <v>20.6</v>
      </c>
      <c r="P44" s="7" t="str">
        <f aca="false">IF(OR(M44="",N44=""),"",ROUND(3959*ACOS(MIN(1,SIN(RADIANS(README!$B$3))*SIN(RADIANS(M44))+COS(RADIANS(README!$B$3))*COS(RADIANS(M44))*COS(RADIANS(N44-README!$B$4)))),1))</f>
        <v/>
      </c>
      <c r="Q44" s="7" t="n">
        <f aca="false">IF(O44="","",IF(P44="",O44,MIN(O44,P44)))</f>
        <v>20.6</v>
      </c>
      <c r="R44" s="7" t="str">
        <f aca="false">IF(Q44="","n/a",IF(Q44&lt;=README!$B$5,"Yes","No"))</f>
        <v>Yes</v>
      </c>
      <c r="S44" s="7" t="s">
        <v>977</v>
      </c>
      <c r="T44" s="7" t="s">
        <v>16</v>
      </c>
      <c r="U44" s="7"/>
    </row>
    <row r="45" customFormat="false" ht="23.25" hidden="false" customHeight="true" outlineLevel="0" collapsed="false">
      <c r="A45" s="7" t="s">
        <v>1306</v>
      </c>
      <c r="B45" s="7" t="s">
        <v>1888</v>
      </c>
      <c r="C45" s="7" t="s">
        <v>1886</v>
      </c>
      <c r="D45" s="7" t="s">
        <v>1954</v>
      </c>
      <c r="E45" s="7" t="s">
        <v>971</v>
      </c>
      <c r="F45" s="7" t="s">
        <v>1878</v>
      </c>
      <c r="G45" s="7" t="n">
        <v>0.5</v>
      </c>
      <c r="H45" s="7" t="n">
        <v>150</v>
      </c>
      <c r="I45" s="7" t="n">
        <v>0</v>
      </c>
      <c r="J45" s="7" t="n">
        <v>0</v>
      </c>
      <c r="K45" s="7" t="n">
        <v>42.35</v>
      </c>
      <c r="L45" s="7" t="n">
        <v>-73.8</v>
      </c>
      <c r="M45" s="7"/>
      <c r="N45" s="7"/>
      <c r="O45" s="7" t="n">
        <f aca="false">IF(OR(K45="",L45=""),"",ROUND(3959*ACOS(MIN(1,SIN(RADIANS(README!$B$3))*SIN(RADIANS(K45))+COS(RADIANS(README!$B$3))*COS(RADIANS(K45))*COS(RADIANS(L45-README!$B$4)))),1))</f>
        <v>17</v>
      </c>
      <c r="P45" s="7" t="str">
        <f aca="false">IF(OR(M45="",N45=""),"",ROUND(3959*ACOS(MIN(1,SIN(RADIANS(README!$B$3))*SIN(RADIANS(M45))+COS(RADIANS(README!$B$3))*COS(RADIANS(M45))*COS(RADIANS(N45-README!$B$4)))),1))</f>
        <v/>
      </c>
      <c r="Q45" s="7" t="n">
        <f aca="false">IF(O45="","",IF(P45="",O45,MIN(O45,P45)))</f>
        <v>17</v>
      </c>
      <c r="R45" s="7" t="str">
        <f aca="false">IF(Q45="","n/a",IF(Q45&lt;=README!$B$5,"Yes","No"))</f>
        <v>Yes</v>
      </c>
      <c r="S45" s="7" t="s">
        <v>977</v>
      </c>
      <c r="T45" s="7" t="s">
        <v>16</v>
      </c>
      <c r="U45" s="7"/>
    </row>
    <row r="46" customFormat="false" ht="23.25" hidden="false" customHeight="true" outlineLevel="0" collapsed="false">
      <c r="A46" s="7" t="s">
        <v>1306</v>
      </c>
      <c r="B46" s="7" t="s">
        <v>1999</v>
      </c>
      <c r="C46" s="7" t="s">
        <v>1868</v>
      </c>
      <c r="D46" s="7" t="s">
        <v>1929</v>
      </c>
      <c r="E46" s="7" t="s">
        <v>971</v>
      </c>
      <c r="F46" s="7" t="s">
        <v>1878</v>
      </c>
      <c r="G46" s="7" t="n">
        <v>1.8</v>
      </c>
      <c r="H46" s="7" t="n">
        <v>90</v>
      </c>
      <c r="I46" s="7" t="n">
        <v>0</v>
      </c>
      <c r="J46" s="7" t="n">
        <v>0</v>
      </c>
      <c r="K46" s="7" t="n">
        <v>42.43</v>
      </c>
      <c r="L46" s="7" t="n">
        <v>-73.67</v>
      </c>
      <c r="M46" s="7"/>
      <c r="N46" s="7"/>
      <c r="O46" s="7" t="n">
        <f aca="false">IF(OR(K46="",L46=""),"",ROUND(3959*ACOS(MIN(1,SIN(RADIANS(README!$B$3))*SIN(RADIANS(K46))+COS(RADIANS(README!$B$3))*COS(RADIANS(K46))*COS(RADIANS(L46-README!$B$4)))),1))</f>
        <v>20</v>
      </c>
      <c r="P46" s="7" t="str">
        <f aca="false">IF(OR(M46="",N46=""),"",ROUND(3959*ACOS(MIN(1,SIN(RADIANS(README!$B$3))*SIN(RADIANS(M46))+COS(RADIANS(README!$B$3))*COS(RADIANS(M46))*COS(RADIANS(N46-README!$B$4)))),1))</f>
        <v/>
      </c>
      <c r="Q46" s="7" t="n">
        <f aca="false">IF(O46="","",IF(P46="",O46,MIN(O46,P46)))</f>
        <v>20</v>
      </c>
      <c r="R46" s="7" t="str">
        <f aca="false">IF(Q46="","n/a",IF(Q46&lt;=README!$B$5,"Yes","No"))</f>
        <v>Yes</v>
      </c>
      <c r="S46" s="7" t="s">
        <v>977</v>
      </c>
      <c r="T46" s="7" t="s">
        <v>16</v>
      </c>
      <c r="U46" s="7"/>
    </row>
    <row r="47" customFormat="false" ht="23.25" hidden="false" customHeight="true" outlineLevel="0" collapsed="false">
      <c r="A47" s="7" t="s">
        <v>1306</v>
      </c>
      <c r="B47" s="7" t="s">
        <v>2000</v>
      </c>
      <c r="C47" s="7" t="s">
        <v>1868</v>
      </c>
      <c r="D47" s="7" t="s">
        <v>1929</v>
      </c>
      <c r="E47" s="7" t="s">
        <v>971</v>
      </c>
      <c r="F47" s="7" t="s">
        <v>1933</v>
      </c>
      <c r="G47" s="7" t="n">
        <v>0.4</v>
      </c>
      <c r="H47" s="7" t="n">
        <v>125</v>
      </c>
      <c r="I47" s="7" t="n">
        <v>0</v>
      </c>
      <c r="J47" s="7" t="n">
        <v>0</v>
      </c>
      <c r="K47" s="7" t="n">
        <v>42.35</v>
      </c>
      <c r="L47" s="7" t="n">
        <v>-73.78</v>
      </c>
      <c r="M47" s="7"/>
      <c r="N47" s="7"/>
      <c r="O47" s="7" t="n">
        <f aca="false">IF(OR(K47="",L47=""),"",ROUND(3959*ACOS(MIN(1,SIN(RADIANS(README!$B$3))*SIN(RADIANS(K47))+COS(RADIANS(README!$B$3))*COS(RADIANS(K47))*COS(RADIANS(L47-README!$B$4)))),1))</f>
        <v>17.8</v>
      </c>
      <c r="P47" s="7" t="str">
        <f aca="false">IF(OR(M47="",N47=""),"",ROUND(3959*ACOS(MIN(1,SIN(RADIANS(README!$B$3))*SIN(RADIANS(M47))+COS(RADIANS(README!$B$3))*COS(RADIANS(M47))*COS(RADIANS(N47-README!$B$4)))),1))</f>
        <v/>
      </c>
      <c r="Q47" s="7" t="n">
        <f aca="false">IF(O47="","",IF(P47="",O47,MIN(O47,P47)))</f>
        <v>17.8</v>
      </c>
      <c r="R47" s="7" t="str">
        <f aca="false">IF(Q47="","n/a",IF(Q47&lt;=README!$B$5,"Yes","No"))</f>
        <v>Yes</v>
      </c>
      <c r="S47" s="7" t="s">
        <v>977</v>
      </c>
      <c r="T47" s="7" t="s">
        <v>16</v>
      </c>
      <c r="U47" s="7"/>
    </row>
    <row r="48" customFormat="false" ht="23.25" hidden="false" customHeight="true" outlineLevel="0" collapsed="false">
      <c r="A48" s="7" t="s">
        <v>1306</v>
      </c>
      <c r="B48" s="7" t="s">
        <v>2001</v>
      </c>
      <c r="C48" s="7" t="s">
        <v>1868</v>
      </c>
      <c r="D48" s="7" t="s">
        <v>1929</v>
      </c>
      <c r="E48" s="7" t="s">
        <v>971</v>
      </c>
      <c r="F48" s="7" t="s">
        <v>1933</v>
      </c>
      <c r="G48" s="7" t="n">
        <v>0.5</v>
      </c>
      <c r="H48" s="7" t="n">
        <v>60</v>
      </c>
      <c r="I48" s="7" t="n">
        <v>0</v>
      </c>
      <c r="J48" s="7" t="n">
        <v>0</v>
      </c>
      <c r="K48" s="7" t="n">
        <v>42.38</v>
      </c>
      <c r="L48" s="7" t="n">
        <v>-73.78</v>
      </c>
      <c r="M48" s="7"/>
      <c r="N48" s="7"/>
      <c r="O48" s="7" t="n">
        <f aca="false">IF(OR(K48="",L48=""),"",ROUND(3959*ACOS(MIN(1,SIN(RADIANS(README!$B$3))*SIN(RADIANS(K48))+COS(RADIANS(README!$B$3))*COS(RADIANS(K48))*COS(RADIANS(L48-README!$B$4)))),1))</f>
        <v>16.5</v>
      </c>
      <c r="P48" s="7" t="str">
        <f aca="false">IF(OR(M48="",N48=""),"",ROUND(3959*ACOS(MIN(1,SIN(RADIANS(README!$B$3))*SIN(RADIANS(M48))+COS(RADIANS(README!$B$3))*COS(RADIANS(M48))*COS(RADIANS(N48-README!$B$4)))),1))</f>
        <v/>
      </c>
      <c r="Q48" s="7" t="n">
        <f aca="false">IF(O48="","",IF(P48="",O48,MIN(O48,P48)))</f>
        <v>16.5</v>
      </c>
      <c r="R48" s="7" t="str">
        <f aca="false">IF(Q48="","n/a",IF(Q48&lt;=README!$B$5,"Yes","No"))</f>
        <v>Yes</v>
      </c>
      <c r="S48" s="7" t="s">
        <v>977</v>
      </c>
      <c r="T48" s="7" t="s">
        <v>16</v>
      </c>
      <c r="U48" s="7"/>
    </row>
    <row r="49" customFormat="false" ht="23.25" hidden="false" customHeight="true" outlineLevel="0" collapsed="false">
      <c r="A49" s="7" t="s">
        <v>1306</v>
      </c>
      <c r="B49" s="7" t="s">
        <v>2002</v>
      </c>
      <c r="C49" s="7" t="s">
        <v>1868</v>
      </c>
      <c r="D49" s="7" t="s">
        <v>1929</v>
      </c>
      <c r="E49" s="7" t="s">
        <v>971</v>
      </c>
      <c r="F49" s="7" t="s">
        <v>1933</v>
      </c>
      <c r="G49" s="7" t="n">
        <v>4</v>
      </c>
      <c r="H49" s="7" t="n">
        <v>50</v>
      </c>
      <c r="I49" s="7" t="n">
        <v>0</v>
      </c>
      <c r="J49" s="7" t="n">
        <v>0</v>
      </c>
      <c r="K49" s="7" t="n">
        <v>42.38</v>
      </c>
      <c r="L49" s="7" t="n">
        <v>-73.78</v>
      </c>
      <c r="M49" s="7"/>
      <c r="N49" s="7"/>
      <c r="O49" s="7" t="n">
        <f aca="false">IF(OR(K49="",L49=""),"",ROUND(3959*ACOS(MIN(1,SIN(RADIANS(README!$B$3))*SIN(RADIANS(K49))+COS(RADIANS(README!$B$3))*COS(RADIANS(K49))*COS(RADIANS(L49-README!$B$4)))),1))</f>
        <v>16.5</v>
      </c>
      <c r="P49" s="7" t="str">
        <f aca="false">IF(OR(M49="",N49=""),"",ROUND(3959*ACOS(MIN(1,SIN(RADIANS(README!$B$3))*SIN(RADIANS(M49))+COS(RADIANS(README!$B$3))*COS(RADIANS(M49))*COS(RADIANS(N49-README!$B$4)))),1))</f>
        <v/>
      </c>
      <c r="Q49" s="7" t="n">
        <f aca="false">IF(O49="","",IF(P49="",O49,MIN(O49,P49)))</f>
        <v>16.5</v>
      </c>
      <c r="R49" s="7" t="str">
        <f aca="false">IF(Q49="","n/a",IF(Q49&lt;=README!$B$5,"Yes","No"))</f>
        <v>Yes</v>
      </c>
      <c r="S49" s="7" t="s">
        <v>977</v>
      </c>
      <c r="T49" s="7" t="s">
        <v>16</v>
      </c>
      <c r="U49" s="7"/>
    </row>
    <row r="50" customFormat="false" ht="23.25" hidden="false" customHeight="true" outlineLevel="0" collapsed="false">
      <c r="A50" s="7" t="s">
        <v>1306</v>
      </c>
      <c r="B50" s="7" t="s">
        <v>2002</v>
      </c>
      <c r="C50" s="7" t="s">
        <v>1868</v>
      </c>
      <c r="D50" s="7" t="s">
        <v>1929</v>
      </c>
      <c r="E50" s="7" t="s">
        <v>971</v>
      </c>
      <c r="F50" s="7" t="s">
        <v>1933</v>
      </c>
      <c r="G50" s="7" t="n">
        <v>0.5</v>
      </c>
      <c r="H50" s="7" t="n">
        <v>60</v>
      </c>
      <c r="I50" s="7" t="n">
        <v>0</v>
      </c>
      <c r="J50" s="7" t="n">
        <v>0</v>
      </c>
      <c r="K50" s="7" t="n">
        <v>42.4</v>
      </c>
      <c r="L50" s="7" t="n">
        <v>-73.7</v>
      </c>
      <c r="M50" s="7"/>
      <c r="N50" s="7"/>
      <c r="O50" s="7" t="n">
        <f aca="false">IF(OR(K50="",L50=""),"",ROUND(3959*ACOS(MIN(1,SIN(RADIANS(README!$B$3))*SIN(RADIANS(K50))+COS(RADIANS(README!$B$3))*COS(RADIANS(K50))*COS(RADIANS(L50-README!$B$4)))),1))</f>
        <v>19.4</v>
      </c>
      <c r="P50" s="7" t="str">
        <f aca="false">IF(OR(M50="",N50=""),"",ROUND(3959*ACOS(MIN(1,SIN(RADIANS(README!$B$3))*SIN(RADIANS(M50))+COS(RADIANS(README!$B$3))*COS(RADIANS(M50))*COS(RADIANS(N50-README!$B$4)))),1))</f>
        <v/>
      </c>
      <c r="Q50" s="7" t="n">
        <f aca="false">IF(O50="","",IF(P50="",O50,MIN(O50,P50)))</f>
        <v>19.4</v>
      </c>
      <c r="R50" s="7" t="str">
        <f aca="false">IF(Q50="","n/a",IF(Q50&lt;=README!$B$5,"Yes","No"))</f>
        <v>Yes</v>
      </c>
      <c r="S50" s="7" t="s">
        <v>977</v>
      </c>
      <c r="T50" s="7" t="s">
        <v>16</v>
      </c>
      <c r="U50" s="7"/>
    </row>
    <row r="51" customFormat="false" ht="23.25" hidden="false" customHeight="true" outlineLevel="0" collapsed="false">
      <c r="A51" s="7" t="s">
        <v>1306</v>
      </c>
      <c r="B51" s="7" t="s">
        <v>2003</v>
      </c>
      <c r="C51" s="7" t="s">
        <v>1868</v>
      </c>
      <c r="D51" s="7" t="s">
        <v>1929</v>
      </c>
      <c r="E51" s="7" t="s">
        <v>971</v>
      </c>
      <c r="F51" s="7" t="s">
        <v>1883</v>
      </c>
      <c r="G51" s="7" t="n">
        <v>1.3</v>
      </c>
      <c r="H51" s="7" t="n">
        <v>50</v>
      </c>
      <c r="I51" s="7" t="n">
        <v>0</v>
      </c>
      <c r="J51" s="7" t="n">
        <v>1</v>
      </c>
      <c r="K51" s="7" t="n">
        <v>42.4</v>
      </c>
      <c r="L51" s="7" t="n">
        <v>-73.7</v>
      </c>
      <c r="M51" s="7"/>
      <c r="N51" s="7"/>
      <c r="O51" s="7" t="n">
        <f aca="false">IF(OR(K51="",L51=""),"",ROUND(3959*ACOS(MIN(1,SIN(RADIANS(README!$B$3))*SIN(RADIANS(K51))+COS(RADIANS(README!$B$3))*COS(RADIANS(K51))*COS(RADIANS(L51-README!$B$4)))),1))</f>
        <v>19.4</v>
      </c>
      <c r="P51" s="7" t="str">
        <f aca="false">IF(OR(M51="",N51=""),"",ROUND(3959*ACOS(MIN(1,SIN(RADIANS(README!$B$3))*SIN(RADIANS(M51))+COS(RADIANS(README!$B$3))*COS(RADIANS(M51))*COS(RADIANS(N51-README!$B$4)))),1))</f>
        <v/>
      </c>
      <c r="Q51" s="7" t="n">
        <f aca="false">IF(O51="","",IF(P51="",O51,MIN(O51,P51)))</f>
        <v>19.4</v>
      </c>
      <c r="R51" s="7" t="str">
        <f aca="false">IF(Q51="","n/a",IF(Q51&lt;=README!$B$5,"Yes","No"))</f>
        <v>Yes</v>
      </c>
      <c r="S51" s="7" t="s">
        <v>977</v>
      </c>
      <c r="T51" s="7" t="s">
        <v>16</v>
      </c>
      <c r="U51" s="7"/>
    </row>
    <row r="52" customFormat="false" ht="23.25" hidden="false" customHeight="true" outlineLevel="0" collapsed="false">
      <c r="A52" s="7" t="s">
        <v>1306</v>
      </c>
      <c r="B52" s="7" t="s">
        <v>2004</v>
      </c>
      <c r="C52" s="7" t="s">
        <v>1905</v>
      </c>
      <c r="D52" s="7" t="s">
        <v>2005</v>
      </c>
      <c r="E52" s="7" t="s">
        <v>971</v>
      </c>
      <c r="F52" s="7" t="s">
        <v>1878</v>
      </c>
      <c r="G52" s="7" t="n">
        <v>4.8</v>
      </c>
      <c r="H52" s="7" t="n">
        <v>90</v>
      </c>
      <c r="I52" s="7" t="n">
        <v>0</v>
      </c>
      <c r="J52" s="7" t="n">
        <v>0</v>
      </c>
      <c r="K52" s="7" t="n">
        <v>42.52</v>
      </c>
      <c r="L52" s="7" t="n">
        <v>-73.62</v>
      </c>
      <c r="M52" s="7" t="n">
        <v>42.9</v>
      </c>
      <c r="N52" s="7" t="n">
        <v>-73.58</v>
      </c>
      <c r="O52" s="7" t="n">
        <f aca="false">IF(OR(K52="",L52=""),"",ROUND(3959*ACOS(MIN(1,SIN(RADIANS(README!$B$3))*SIN(RADIANS(K52))+COS(RADIANS(README!$B$3))*COS(RADIANS(K52))*COS(RADIANS(L52-README!$B$4)))),1))</f>
        <v>21.6</v>
      </c>
      <c r="P52" s="7" t="n">
        <f aca="false">IF(OR(M52="",N52=""),"",ROUND(3959*ACOS(MIN(1,SIN(RADIANS(README!$B$3))*SIN(RADIANS(M52))+COS(RADIANS(README!$B$3))*COS(RADIANS(M52))*COS(RADIANS(N52-README!$B$4)))),1))</f>
        <v>35.5</v>
      </c>
      <c r="Q52" s="7" t="n">
        <f aca="false">IF(O52="","",IF(P52="",O52,MIN(O52,P52)))</f>
        <v>21.6</v>
      </c>
      <c r="R52" s="7" t="str">
        <f aca="false">IF(Q52="","n/a",IF(Q52&lt;=README!$B$5,"Yes","No"))</f>
        <v>Yes</v>
      </c>
      <c r="S52" s="7" t="s">
        <v>977</v>
      </c>
      <c r="T52" s="7" t="s">
        <v>16</v>
      </c>
      <c r="U52" s="7"/>
    </row>
    <row r="53" customFormat="false" ht="23.25" hidden="false" customHeight="true" outlineLevel="0" collapsed="false">
      <c r="A53" s="7" t="s">
        <v>2006</v>
      </c>
      <c r="B53" s="7" t="s">
        <v>2007</v>
      </c>
      <c r="C53" s="7" t="s">
        <v>1868</v>
      </c>
      <c r="D53" s="7" t="s">
        <v>1929</v>
      </c>
      <c r="E53" s="7" t="s">
        <v>971</v>
      </c>
      <c r="F53" s="7" t="s">
        <v>2008</v>
      </c>
      <c r="G53" s="7" t="n">
        <v>1.9</v>
      </c>
      <c r="H53" s="7" t="n">
        <v>300</v>
      </c>
      <c r="I53" s="7" t="n">
        <v>0</v>
      </c>
      <c r="J53" s="7" t="n">
        <v>0</v>
      </c>
      <c r="K53" s="7" t="n">
        <v>42.27</v>
      </c>
      <c r="L53" s="7" t="n">
        <v>-73.66</v>
      </c>
      <c r="M53" s="7" t="n">
        <v>42.29</v>
      </c>
      <c r="N53" s="7" t="n">
        <v>-73.65</v>
      </c>
      <c r="O53" s="7" t="n">
        <f aca="false">IF(OR(K53="",L53=""),"",ROUND(3959*ACOS(MIN(1,SIN(RADIANS(README!$B$3))*SIN(RADIANS(K53))+COS(RADIANS(README!$B$3))*COS(RADIANS(K53))*COS(RADIANS(L53-README!$B$4)))),1))</f>
        <v>26</v>
      </c>
      <c r="P53" s="7" t="n">
        <f aca="false">IF(OR(M53="",N53=""),"",ROUND(3959*ACOS(MIN(1,SIN(RADIANS(README!$B$3))*SIN(RADIANS(M53))+COS(RADIANS(README!$B$3))*COS(RADIANS(M53))*COS(RADIANS(N53-README!$B$4)))),1))</f>
        <v>25.5</v>
      </c>
      <c r="Q53" s="7" t="n">
        <f aca="false">IF(O53="","",IF(P53="",O53,MIN(O53,P53)))</f>
        <v>25.5</v>
      </c>
      <c r="R53" s="7" t="str">
        <f aca="false">IF(Q53="","n/a",IF(Q53&lt;=README!$B$5,"Yes","No"))</f>
        <v>Yes</v>
      </c>
      <c r="S53" s="7" t="s">
        <v>977</v>
      </c>
      <c r="T53" s="7" t="s">
        <v>16</v>
      </c>
      <c r="U53" s="7" t="s">
        <v>2009</v>
      </c>
    </row>
    <row r="54" customFormat="false" ht="23.25" hidden="false" customHeight="true" outlineLevel="0" collapsed="false">
      <c r="A54" s="7" t="s">
        <v>2010</v>
      </c>
      <c r="B54" s="7" t="s">
        <v>2011</v>
      </c>
      <c r="C54" s="7" t="s">
        <v>2012</v>
      </c>
      <c r="D54" s="7" t="s">
        <v>2013</v>
      </c>
      <c r="E54" s="7" t="s">
        <v>971</v>
      </c>
      <c r="F54" s="7" t="s">
        <v>2008</v>
      </c>
      <c r="G54" s="7"/>
      <c r="H54" s="7"/>
      <c r="I54" s="7" t="n">
        <v>0</v>
      </c>
      <c r="J54" s="7" t="n">
        <v>0</v>
      </c>
      <c r="K54" s="7" t="n">
        <v>42.9</v>
      </c>
      <c r="L54" s="7" t="n">
        <v>-74.17</v>
      </c>
      <c r="M54" s="7" t="n">
        <v>42.95</v>
      </c>
      <c r="N54" s="7" t="n">
        <v>-74.05</v>
      </c>
      <c r="O54" s="7" t="n">
        <f aca="false">IF(OR(K54="",L54=""),"",ROUND(3959*ACOS(MIN(1,SIN(RADIANS(README!$B$3))*SIN(RADIANS(K54))+COS(RADIANS(README!$B$3))*COS(RADIANS(K54))*COS(RADIANS(L54-README!$B$4)))),1))</f>
        <v>27.2</v>
      </c>
      <c r="P54" s="7" t="n">
        <f aca="false">IF(OR(M54="",N54=""),"",ROUND(3959*ACOS(MIN(1,SIN(RADIANS(README!$B$3))*SIN(RADIANS(M54))+COS(RADIANS(README!$B$3))*COS(RADIANS(M54))*COS(RADIANS(N54-README!$B$4)))),1))</f>
        <v>29.9</v>
      </c>
      <c r="Q54" s="7" t="n">
        <f aca="false">IF(O54="","",IF(P54="",O54,MIN(O54,P54)))</f>
        <v>27.2</v>
      </c>
      <c r="R54" s="7" t="str">
        <f aca="false">IF(Q54="","n/a",IF(Q54&lt;=README!$B$5,"Yes","No"))</f>
        <v>Yes</v>
      </c>
      <c r="S54" s="7" t="s">
        <v>977</v>
      </c>
      <c r="T54" s="7" t="s">
        <v>16</v>
      </c>
      <c r="U54" s="7"/>
    </row>
    <row r="55" customFormat="false" ht="15" hidden="false" customHeight="true" outlineLevel="0" collapsed="false">
      <c r="A55" s="7" t="s">
        <v>1514</v>
      </c>
      <c r="B55" s="7" t="s">
        <v>2014</v>
      </c>
      <c r="C55" s="7" t="s">
        <v>1960</v>
      </c>
      <c r="D55" s="7" t="s">
        <v>2015</v>
      </c>
      <c r="E55" s="7" t="s">
        <v>971</v>
      </c>
      <c r="F55" s="7" t="s">
        <v>2008</v>
      </c>
      <c r="G55" s="7" t="n">
        <v>1.6</v>
      </c>
      <c r="H55" s="7" t="n">
        <v>200</v>
      </c>
      <c r="I55" s="7" t="n">
        <v>0</v>
      </c>
      <c r="J55" s="7" t="n">
        <v>0</v>
      </c>
      <c r="K55" s="7" t="n">
        <v>42.57</v>
      </c>
      <c r="L55" s="7" t="n">
        <v>-74.55</v>
      </c>
      <c r="M55" s="7"/>
      <c r="N55" s="7"/>
      <c r="O55" s="7" t="n">
        <f aca="false">IF(OR(K55="",L55=""),"",ROUND(3959*ACOS(MIN(1,SIN(RADIANS(README!$B$3))*SIN(RADIANS(K55))+COS(RADIANS(README!$B$3))*COS(RADIANS(K55))*COS(RADIANS(L55-README!$B$4)))),1))</f>
        <v>26</v>
      </c>
      <c r="P55" s="7" t="str">
        <f aca="false">IF(OR(M55="",N55=""),"",ROUND(3959*ACOS(MIN(1,SIN(RADIANS(README!$B$3))*SIN(RADIANS(M55))+COS(RADIANS(README!$B$3))*COS(RADIANS(M55))*COS(RADIANS(N55-README!$B$4)))),1))</f>
        <v/>
      </c>
      <c r="Q55" s="7" t="n">
        <f aca="false">IF(O55="","",IF(P55="",O55,MIN(O55,P55)))</f>
        <v>26</v>
      </c>
      <c r="R55" s="7" t="str">
        <f aca="false">IF(Q55="","n/a",IF(Q55&lt;=README!$B$5,"Yes","No"))</f>
        <v>Yes</v>
      </c>
      <c r="S55" s="7" t="s">
        <v>2016</v>
      </c>
      <c r="T55" s="7" t="s">
        <v>18</v>
      </c>
      <c r="U55" s="7" t="s">
        <v>2017</v>
      </c>
    </row>
    <row r="56" customFormat="false" ht="23.25" hidden="false" customHeight="true" outlineLevel="0" collapsed="false">
      <c r="A56" s="7" t="s">
        <v>1514</v>
      </c>
      <c r="B56" s="7"/>
      <c r="C56" s="7" t="s">
        <v>2012</v>
      </c>
      <c r="D56" s="7" t="s">
        <v>2018</v>
      </c>
      <c r="E56" s="7" t="s">
        <v>971</v>
      </c>
      <c r="F56" s="7" t="s">
        <v>2019</v>
      </c>
      <c r="G56" s="7"/>
      <c r="H56" s="7" t="n">
        <v>1760</v>
      </c>
      <c r="I56" s="7" t="n">
        <v>0</v>
      </c>
      <c r="J56" s="7" t="n">
        <v>0</v>
      </c>
      <c r="K56" s="7" t="n">
        <v>42.85</v>
      </c>
      <c r="L56" s="7" t="n">
        <v>-74.07</v>
      </c>
      <c r="M56" s="7" t="n">
        <v>42.81</v>
      </c>
      <c r="N56" s="7" t="n">
        <v>-73.94</v>
      </c>
      <c r="O56" s="7" t="n">
        <f aca="false">IF(OR(K56="",L56=""),"",ROUND(3959*ACOS(MIN(1,SIN(RADIANS(README!$B$3))*SIN(RADIANS(K56))+COS(RADIANS(README!$B$3))*COS(RADIANS(K56))*COS(RADIANS(L56-README!$B$4)))),1))</f>
        <v>23</v>
      </c>
      <c r="P56" s="7" t="n">
        <f aca="false">IF(OR(M56="",N56=""),"",ROUND(3959*ACOS(MIN(1,SIN(RADIANS(README!$B$3))*SIN(RADIANS(M56))+COS(RADIANS(README!$B$3))*COS(RADIANS(M56))*COS(RADIANS(N56-README!$B$4)))),1))</f>
        <v>20.9</v>
      </c>
      <c r="Q56" s="7" t="n">
        <f aca="false">IF(O56="","",IF(P56="",O56,MIN(O56,P56)))</f>
        <v>20.9</v>
      </c>
      <c r="R56" s="7" t="str">
        <f aca="false">IF(Q56="","n/a",IF(Q56&lt;=README!$B$5,"Yes","No"))</f>
        <v>Yes</v>
      </c>
      <c r="S56" s="7" t="s">
        <v>2016</v>
      </c>
      <c r="T56" s="7" t="s">
        <v>18</v>
      </c>
      <c r="U56" s="7" t="s">
        <v>2020</v>
      </c>
    </row>
    <row r="57" customFormat="false" ht="15" hidden="false" customHeight="true" outlineLevel="0" collapsed="false">
      <c r="A57" s="7" t="s">
        <v>1514</v>
      </c>
      <c r="B57" s="7"/>
      <c r="C57" s="7" t="s">
        <v>2021</v>
      </c>
      <c r="D57" s="7" t="s">
        <v>2022</v>
      </c>
      <c r="E57" s="7" t="s">
        <v>971</v>
      </c>
      <c r="F57" s="7" t="s">
        <v>2008</v>
      </c>
      <c r="G57" s="7"/>
      <c r="H57" s="7"/>
      <c r="I57" s="7" t="n">
        <v>0</v>
      </c>
      <c r="J57" s="7" t="n">
        <v>0</v>
      </c>
      <c r="K57" s="7" t="n">
        <v>42.79</v>
      </c>
      <c r="L57" s="7" t="n">
        <v>-73.8</v>
      </c>
      <c r="M57" s="7"/>
      <c r="N57" s="7"/>
      <c r="O57" s="7" t="n">
        <f aca="false">IF(OR(K57="",L57=""),"",ROUND(3959*ACOS(MIN(1,SIN(RADIANS(README!$B$3))*SIN(RADIANS(K57))+COS(RADIANS(README!$B$3))*COS(RADIANS(K57))*COS(RADIANS(L57-README!$B$4)))),1))</f>
        <v>22.6</v>
      </c>
      <c r="P57" s="7" t="str">
        <f aca="false">IF(OR(M57="",N57=""),"",ROUND(3959*ACOS(MIN(1,SIN(RADIANS(README!$B$3))*SIN(RADIANS(M57))+COS(RADIANS(README!$B$3))*COS(RADIANS(M57))*COS(RADIANS(N57-README!$B$4)))),1))</f>
        <v/>
      </c>
      <c r="Q57" s="7" t="n">
        <f aca="false">IF(O57="","",IF(P57="",O57,MIN(O57,P57)))</f>
        <v>22.6</v>
      </c>
      <c r="R57" s="7" t="str">
        <f aca="false">IF(Q57="","n/a",IF(Q57&lt;=README!$B$5,"Yes","No"))</f>
        <v>Yes</v>
      </c>
      <c r="S57" s="7" t="s">
        <v>2016</v>
      </c>
      <c r="T57" s="7" t="s">
        <v>18</v>
      </c>
      <c r="U57" s="7" t="s">
        <v>2023</v>
      </c>
    </row>
    <row r="58" customFormat="false" ht="15" hidden="false" customHeight="true" outlineLevel="0" collapsed="false">
      <c r="A58" s="7" t="s">
        <v>1533</v>
      </c>
      <c r="B58" s="7"/>
      <c r="C58" s="7" t="s">
        <v>310</v>
      </c>
      <c r="D58" s="7" t="s">
        <v>2024</v>
      </c>
      <c r="E58" s="7" t="s">
        <v>971</v>
      </c>
      <c r="F58" s="7" t="s">
        <v>2008</v>
      </c>
      <c r="G58" s="7" t="n">
        <v>0.5</v>
      </c>
      <c r="H58" s="7" t="n">
        <v>440</v>
      </c>
      <c r="I58" s="7" t="n">
        <v>0</v>
      </c>
      <c r="J58" s="7" t="n">
        <v>0</v>
      </c>
      <c r="K58" s="7" t="n">
        <v>42.78</v>
      </c>
      <c r="L58" s="7" t="n">
        <v>-74.13</v>
      </c>
      <c r="M58" s="7"/>
      <c r="N58" s="7"/>
      <c r="O58" s="7" t="n">
        <f aca="false">IF(OR(K58="",L58=""),"",ROUND(3959*ACOS(MIN(1,SIN(RADIANS(README!$B$3))*SIN(RADIANS(K58))+COS(RADIANS(README!$B$3))*COS(RADIANS(K58))*COS(RADIANS(L58-README!$B$4)))),1))</f>
        <v>18.7</v>
      </c>
      <c r="P58" s="7" t="str">
        <f aca="false">IF(OR(M58="",N58=""),"",ROUND(3959*ACOS(MIN(1,SIN(RADIANS(README!$B$3))*SIN(RADIANS(M58))+COS(RADIANS(README!$B$3))*COS(RADIANS(M58))*COS(RADIANS(N58-README!$B$4)))),1))</f>
        <v/>
      </c>
      <c r="Q58" s="7" t="n">
        <f aca="false">IF(O58="","",IF(P58="",O58,MIN(O58,P58)))</f>
        <v>18.7</v>
      </c>
      <c r="R58" s="7" t="str">
        <f aca="false">IF(Q58="","n/a",IF(Q58&lt;=README!$B$5,"Yes","No"))</f>
        <v>Yes</v>
      </c>
      <c r="S58" s="7" t="s">
        <v>2025</v>
      </c>
      <c r="T58" s="7" t="s">
        <v>18</v>
      </c>
      <c r="U58" s="7" t="s">
        <v>2026</v>
      </c>
    </row>
    <row r="59" customFormat="false" ht="15" hidden="false" customHeight="true" outlineLevel="0" collapsed="false">
      <c r="A59" s="7" t="s">
        <v>1533</v>
      </c>
      <c r="B59" s="7" t="s">
        <v>2027</v>
      </c>
      <c r="C59" s="7" t="s">
        <v>674</v>
      </c>
      <c r="D59" s="7" t="s">
        <v>2028</v>
      </c>
      <c r="E59" s="7" t="s">
        <v>971</v>
      </c>
      <c r="F59" s="7" t="s">
        <v>2029</v>
      </c>
      <c r="G59" s="7"/>
      <c r="H59" s="7"/>
      <c r="I59" s="7" t="n">
        <v>0</v>
      </c>
      <c r="J59" s="7" t="n">
        <v>0</v>
      </c>
      <c r="K59" s="7" t="n">
        <v>42.85</v>
      </c>
      <c r="L59" s="7" t="n">
        <v>-74.13</v>
      </c>
      <c r="M59" s="7"/>
      <c r="N59" s="7"/>
      <c r="O59" s="7" t="n">
        <f aca="false">IF(OR(K59="",L59=""),"",ROUND(3959*ACOS(MIN(1,SIN(RADIANS(README!$B$3))*SIN(RADIANS(K59))+COS(RADIANS(README!$B$3))*COS(RADIANS(K59))*COS(RADIANS(L59-README!$B$4)))),1))</f>
        <v>23.4</v>
      </c>
      <c r="P59" s="7" t="str">
        <f aca="false">IF(OR(M59="",N59=""),"",ROUND(3959*ACOS(MIN(1,SIN(RADIANS(README!$B$3))*SIN(RADIANS(M59))+COS(RADIANS(README!$B$3))*COS(RADIANS(M59))*COS(RADIANS(N59-README!$B$4)))),1))</f>
        <v/>
      </c>
      <c r="Q59" s="7" t="n">
        <f aca="false">IF(O59="","",IF(P59="",O59,MIN(O59,P59)))</f>
        <v>23.4</v>
      </c>
      <c r="R59" s="7" t="str">
        <f aca="false">IF(Q59="","n/a",IF(Q59&lt;=README!$B$5,"Yes","No"))</f>
        <v>Yes</v>
      </c>
      <c r="S59" s="7" t="s">
        <v>2016</v>
      </c>
      <c r="T59" s="7" t="s">
        <v>18</v>
      </c>
      <c r="U59" s="7" t="s">
        <v>2030</v>
      </c>
    </row>
    <row r="60" customFormat="false" ht="34.5" hidden="false" customHeight="true" outlineLevel="0" collapsed="false">
      <c r="A60" s="7" t="s">
        <v>2031</v>
      </c>
      <c r="B60" s="7"/>
      <c r="C60" s="7" t="s">
        <v>954</v>
      </c>
      <c r="D60" s="7" t="s">
        <v>2032</v>
      </c>
      <c r="E60" s="7" t="s">
        <v>1992</v>
      </c>
      <c r="F60" s="7"/>
      <c r="G60" s="7"/>
      <c r="H60" s="7"/>
      <c r="I60" s="7"/>
      <c r="J60" s="7"/>
      <c r="K60" s="7" t="n">
        <v>42.75</v>
      </c>
      <c r="L60" s="7" t="n">
        <v>-73.8</v>
      </c>
      <c r="M60" s="7"/>
      <c r="N60" s="7"/>
      <c r="O60" s="7" t="n">
        <f aca="false">IF(OR(K60="",L60=""),"",ROUND(3959*ACOS(MIN(1,SIN(RADIANS(README!$B$3))*SIN(RADIANS(K60))+COS(RADIANS(README!$B$3))*COS(RADIANS(K60))*COS(RADIANS(L60-README!$B$4)))),1))</f>
        <v>20.4</v>
      </c>
      <c r="P60" s="7" t="str">
        <f aca="false">IF(OR(M60="",N60=""),"",ROUND(3959*ACOS(MIN(1,SIN(RADIANS(README!$B$3))*SIN(RADIANS(M60))+COS(RADIANS(README!$B$3))*COS(RADIANS(M60))*COS(RADIANS(N60-README!$B$4)))),1))</f>
        <v/>
      </c>
      <c r="Q60" s="7" t="n">
        <f aca="false">IF(O60="","",IF(P60="",O60,MIN(O60,P60)))</f>
        <v>20.4</v>
      </c>
      <c r="R60" s="7" t="str">
        <f aca="false">IF(Q60="","n/a",IF(Q60&lt;=README!$B$5,"Yes","No"))</f>
        <v>Yes</v>
      </c>
      <c r="S60" s="7" t="s">
        <v>627</v>
      </c>
      <c r="T60" s="7" t="s">
        <v>16</v>
      </c>
      <c r="U60" s="7"/>
    </row>
    <row r="61" customFormat="false" ht="15" hidden="false" customHeight="true" outlineLevel="0" collapsed="false">
      <c r="A61" s="7" t="s">
        <v>2033</v>
      </c>
      <c r="B61" s="7"/>
      <c r="C61" s="7" t="s">
        <v>674</v>
      </c>
      <c r="D61" s="7" t="s">
        <v>2034</v>
      </c>
      <c r="E61" s="7" t="s">
        <v>971</v>
      </c>
      <c r="F61" s="7" t="s">
        <v>2035</v>
      </c>
      <c r="G61" s="7"/>
      <c r="H61" s="7"/>
      <c r="I61" s="7" t="n">
        <v>0</v>
      </c>
      <c r="J61" s="7" t="n">
        <v>0</v>
      </c>
      <c r="K61" s="7" t="n">
        <v>42.83</v>
      </c>
      <c r="L61" s="7" t="n">
        <v>-73.96</v>
      </c>
      <c r="M61" s="7"/>
      <c r="N61" s="7"/>
      <c r="O61" s="7" t="n">
        <f aca="false">IF(OR(K61="",L61=""),"",ROUND(3959*ACOS(MIN(1,SIN(RADIANS(README!$B$3))*SIN(RADIANS(K61))+COS(RADIANS(README!$B$3))*COS(RADIANS(K61))*COS(RADIANS(L61-README!$B$4)))),1))</f>
        <v>22.1</v>
      </c>
      <c r="P61" s="7" t="str">
        <f aca="false">IF(OR(M61="",N61=""),"",ROUND(3959*ACOS(MIN(1,SIN(RADIANS(README!$B$3))*SIN(RADIANS(M61))+COS(RADIANS(README!$B$3))*COS(RADIANS(M61))*COS(RADIANS(N61-README!$B$4)))),1))</f>
        <v/>
      </c>
      <c r="Q61" s="7" t="n">
        <f aca="false">IF(O61="","",IF(P61="",O61,MIN(O61,P61)))</f>
        <v>22.1</v>
      </c>
      <c r="R61" s="7" t="str">
        <f aca="false">IF(Q61="","n/a",IF(Q61&lt;=README!$B$5,"Yes","No"))</f>
        <v>Yes</v>
      </c>
      <c r="S61" s="7" t="s">
        <v>2016</v>
      </c>
      <c r="T61" s="7" t="s">
        <v>18</v>
      </c>
      <c r="U61" s="7" t="s">
        <v>2036</v>
      </c>
    </row>
    <row r="62" customFormat="false" ht="34.5" hidden="false" customHeight="true" outlineLevel="0" collapsed="false">
      <c r="A62" s="7" t="s">
        <v>2037</v>
      </c>
      <c r="B62" s="7"/>
      <c r="C62" s="7" t="s">
        <v>2038</v>
      </c>
      <c r="D62" s="7" t="s">
        <v>2039</v>
      </c>
      <c r="E62" s="7" t="s">
        <v>1890</v>
      </c>
      <c r="F62" s="7"/>
      <c r="G62" s="7"/>
      <c r="H62" s="7"/>
      <c r="I62" s="7"/>
      <c r="J62" s="7"/>
      <c r="K62" s="7" t="n">
        <v>42.75</v>
      </c>
      <c r="L62" s="7" t="n">
        <v>-73.8</v>
      </c>
      <c r="M62" s="7"/>
      <c r="N62" s="7"/>
      <c r="O62" s="7" t="n">
        <f aca="false">IF(OR(K62="",L62=""),"",ROUND(3959*ACOS(MIN(1,SIN(RADIANS(README!$B$3))*SIN(RADIANS(K62))+COS(RADIANS(README!$B$3))*COS(RADIANS(K62))*COS(RADIANS(L62-README!$B$4)))),1))</f>
        <v>20.4</v>
      </c>
      <c r="P62" s="7" t="str">
        <f aca="false">IF(OR(M62="",N62=""),"",ROUND(3959*ACOS(MIN(1,SIN(RADIANS(README!$B$3))*SIN(RADIANS(M62))+COS(RADIANS(README!$B$3))*COS(RADIANS(M62))*COS(RADIANS(N62-README!$B$4)))),1))</f>
        <v/>
      </c>
      <c r="Q62" s="7" t="n">
        <f aca="false">IF(O62="","",IF(P62="",O62,MIN(O62,P62)))</f>
        <v>20.4</v>
      </c>
      <c r="R62" s="7" t="str">
        <f aca="false">IF(Q62="","n/a",IF(Q62&lt;=README!$B$5,"Yes","No"))</f>
        <v>Yes</v>
      </c>
      <c r="S62" s="7" t="s">
        <v>627</v>
      </c>
      <c r="T62" s="7" t="s">
        <v>16</v>
      </c>
      <c r="U62" s="7"/>
    </row>
    <row r="63" customFormat="false" ht="34.5" hidden="false" customHeight="true" outlineLevel="0" collapsed="false">
      <c r="A63" s="7" t="s">
        <v>2040</v>
      </c>
      <c r="B63" s="7"/>
      <c r="C63" s="7" t="s">
        <v>954</v>
      </c>
      <c r="D63" s="7" t="s">
        <v>1762</v>
      </c>
      <c r="E63" s="7" t="s">
        <v>1992</v>
      </c>
      <c r="F63" s="7"/>
      <c r="G63" s="7"/>
      <c r="H63" s="7"/>
      <c r="I63" s="7"/>
      <c r="J63" s="7"/>
      <c r="K63" s="7" t="n">
        <v>42.75</v>
      </c>
      <c r="L63" s="7" t="n">
        <v>-73.8</v>
      </c>
      <c r="M63" s="7"/>
      <c r="N63" s="7"/>
      <c r="O63" s="7" t="n">
        <f aca="false">IF(OR(K63="",L63=""),"",ROUND(3959*ACOS(MIN(1,SIN(RADIANS(README!$B$3))*SIN(RADIANS(K63))+COS(RADIANS(README!$B$3))*COS(RADIANS(K63))*COS(RADIANS(L63-README!$B$4)))),1))</f>
        <v>20.4</v>
      </c>
      <c r="P63" s="7" t="str">
        <f aca="false">IF(OR(M63="",N63=""),"",ROUND(3959*ACOS(MIN(1,SIN(RADIANS(README!$B$3))*SIN(RADIANS(M63))+COS(RADIANS(README!$B$3))*COS(RADIANS(M63))*COS(RADIANS(N63-README!$B$4)))),1))</f>
        <v/>
      </c>
      <c r="Q63" s="7" t="n">
        <f aca="false">IF(O63="","",IF(P63="",O63,MIN(O63,P63)))</f>
        <v>20.4</v>
      </c>
      <c r="R63" s="7" t="str">
        <f aca="false">IF(Q63="","n/a",IF(Q63&lt;=README!$B$5,"Yes","No"))</f>
        <v>Yes</v>
      </c>
      <c r="S63" s="7" t="s">
        <v>627</v>
      </c>
      <c r="T63" s="7" t="s">
        <v>16</v>
      </c>
      <c r="U63" s="7" t="s">
        <v>2041</v>
      </c>
    </row>
    <row r="64" customFormat="false" ht="34.5" hidden="false" customHeight="true" outlineLevel="0" collapsed="false">
      <c r="A64" s="7" t="s">
        <v>2042</v>
      </c>
      <c r="B64" s="7"/>
      <c r="C64" s="7" t="s">
        <v>954</v>
      </c>
      <c r="D64" s="7" t="s">
        <v>2043</v>
      </c>
      <c r="E64" s="7" t="s">
        <v>1992</v>
      </c>
      <c r="F64" s="7"/>
      <c r="G64" s="7"/>
      <c r="H64" s="7"/>
      <c r="I64" s="7"/>
      <c r="J64" s="7"/>
      <c r="K64" s="7" t="n">
        <v>42.75</v>
      </c>
      <c r="L64" s="7" t="n">
        <v>-73.8</v>
      </c>
      <c r="M64" s="7"/>
      <c r="N64" s="7"/>
      <c r="O64" s="7" t="n">
        <f aca="false">IF(OR(K64="",L64=""),"",ROUND(3959*ACOS(MIN(1,SIN(RADIANS(README!$B$3))*SIN(RADIANS(K64))+COS(RADIANS(README!$B$3))*COS(RADIANS(K64))*COS(RADIANS(L64-README!$B$4)))),1))</f>
        <v>20.4</v>
      </c>
      <c r="P64" s="7" t="str">
        <f aca="false">IF(OR(M64="",N64=""),"",ROUND(3959*ACOS(MIN(1,SIN(RADIANS(README!$B$3))*SIN(RADIANS(M64))+COS(RADIANS(README!$B$3))*COS(RADIANS(M64))*COS(RADIANS(N64-README!$B$4)))),1))</f>
        <v/>
      </c>
      <c r="Q64" s="7" t="n">
        <f aca="false">IF(O64="","",IF(P64="",O64,MIN(O64,P64)))</f>
        <v>20.4</v>
      </c>
      <c r="R64" s="7" t="str">
        <f aca="false">IF(Q64="","n/a",IF(Q64&lt;=README!$B$5,"Yes","No"))</f>
        <v>Yes</v>
      </c>
      <c r="S64" s="7" t="s">
        <v>627</v>
      </c>
      <c r="T64" s="7" t="s">
        <v>16</v>
      </c>
      <c r="U64" s="7" t="s">
        <v>2041</v>
      </c>
    </row>
    <row r="65" customFormat="false" ht="15" hidden="false" customHeight="true" outlineLevel="0" collapsed="false">
      <c r="A65" s="7" t="s">
        <v>2044</v>
      </c>
      <c r="B65" s="7" t="s">
        <v>2045</v>
      </c>
      <c r="C65" s="7" t="s">
        <v>1886</v>
      </c>
      <c r="D65" s="7" t="s">
        <v>1954</v>
      </c>
      <c r="E65" s="7" t="s">
        <v>971</v>
      </c>
      <c r="F65" s="7" t="s">
        <v>2035</v>
      </c>
      <c r="G65" s="7" t="n">
        <v>1.9</v>
      </c>
      <c r="H65" s="7" t="n">
        <v>67</v>
      </c>
      <c r="I65" s="7" t="n">
        <v>0</v>
      </c>
      <c r="J65" s="7" t="n">
        <v>0</v>
      </c>
      <c r="K65" s="7" t="n">
        <v>42.28</v>
      </c>
      <c r="L65" s="7" t="n">
        <v>-74.12</v>
      </c>
      <c r="M65" s="7"/>
      <c r="N65" s="7"/>
      <c r="O65" s="7" t="n">
        <f aca="false">IF(OR(K65="",L65=""),"",ROUND(3959*ACOS(MIN(1,SIN(RADIANS(README!$B$3))*SIN(RADIANS(K65))+COS(RADIANS(README!$B$3))*COS(RADIANS(K65))*COS(RADIANS(L65-README!$B$4)))),1))</f>
        <v>16.8</v>
      </c>
      <c r="P65" s="7" t="str">
        <f aca="false">IF(OR(M65="",N65=""),"",ROUND(3959*ACOS(MIN(1,SIN(RADIANS(README!$B$3))*SIN(RADIANS(M65))+COS(RADIANS(README!$B$3))*COS(RADIANS(M65))*COS(RADIANS(N65-README!$B$4)))),1))</f>
        <v/>
      </c>
      <c r="Q65" s="7" t="n">
        <f aca="false">IF(O65="","",IF(P65="",O65,MIN(O65,P65)))</f>
        <v>16.8</v>
      </c>
      <c r="R65" s="7" t="str">
        <f aca="false">IF(Q65="","n/a",IF(Q65&lt;=README!$B$5,"Yes","No"))</f>
        <v>Yes</v>
      </c>
      <c r="S65" s="7" t="s">
        <v>2046</v>
      </c>
      <c r="T65" s="7" t="s">
        <v>18</v>
      </c>
      <c r="U65" s="7" t="s">
        <v>1874</v>
      </c>
    </row>
    <row r="66" customFormat="false" ht="34.5" hidden="false" customHeight="true" outlineLevel="0" collapsed="false">
      <c r="A66" s="7" t="s">
        <v>1632</v>
      </c>
      <c r="B66" s="7"/>
      <c r="C66" s="7" t="s">
        <v>954</v>
      </c>
      <c r="D66" s="7" t="s">
        <v>2047</v>
      </c>
      <c r="E66" s="7" t="s">
        <v>1890</v>
      </c>
      <c r="F66" s="7"/>
      <c r="G66" s="7"/>
      <c r="H66" s="7"/>
      <c r="I66" s="7"/>
      <c r="J66" s="7"/>
      <c r="K66" s="7" t="n">
        <v>42.75</v>
      </c>
      <c r="L66" s="7" t="n">
        <v>-73.8</v>
      </c>
      <c r="M66" s="7"/>
      <c r="N66" s="7"/>
      <c r="O66" s="7" t="n">
        <f aca="false">IF(OR(K66="",L66=""),"",ROUND(3959*ACOS(MIN(1,SIN(RADIANS(README!$B$3))*SIN(RADIANS(K66))+COS(RADIANS(README!$B$3))*COS(RADIANS(K66))*COS(RADIANS(L66-README!$B$4)))),1))</f>
        <v>20.4</v>
      </c>
      <c r="P66" s="7" t="str">
        <f aca="false">IF(OR(M66="",N66=""),"",ROUND(3959*ACOS(MIN(1,SIN(RADIANS(README!$B$3))*SIN(RADIANS(M66))+COS(RADIANS(README!$B$3))*COS(RADIANS(M66))*COS(RADIANS(N66-README!$B$4)))),1))</f>
        <v/>
      </c>
      <c r="Q66" s="7" t="n">
        <f aca="false">IF(O66="","",IF(P66="",O66,MIN(O66,P66)))</f>
        <v>20.4</v>
      </c>
      <c r="R66" s="7" t="str">
        <f aca="false">IF(Q66="","n/a",IF(Q66&lt;=README!$B$5,"Yes","No"))</f>
        <v>Yes</v>
      </c>
      <c r="S66" s="7" t="s">
        <v>627</v>
      </c>
      <c r="T66" s="7" t="s">
        <v>16</v>
      </c>
      <c r="U66" s="7"/>
    </row>
    <row r="67" customFormat="false" ht="34.5" hidden="false" customHeight="true" outlineLevel="0" collapsed="false">
      <c r="A67" s="7" t="s">
        <v>1634</v>
      </c>
      <c r="B67" s="7"/>
      <c r="C67" s="7" t="s">
        <v>954</v>
      </c>
      <c r="D67" s="7" t="s">
        <v>2048</v>
      </c>
      <c r="E67" s="7" t="s">
        <v>1890</v>
      </c>
      <c r="F67" s="7" t="s">
        <v>2049</v>
      </c>
      <c r="G67" s="7"/>
      <c r="H67" s="7"/>
      <c r="I67" s="7"/>
      <c r="J67" s="7"/>
      <c r="K67" s="7" t="n">
        <v>42.75</v>
      </c>
      <c r="L67" s="7" t="n">
        <v>-73.8</v>
      </c>
      <c r="M67" s="7"/>
      <c r="N67" s="7"/>
      <c r="O67" s="7" t="n">
        <f aca="false">IF(OR(K67="",L67=""),"",ROUND(3959*ACOS(MIN(1,SIN(RADIANS(README!$B$3))*SIN(RADIANS(K67))+COS(RADIANS(README!$B$3))*COS(RADIANS(K67))*COS(RADIANS(L67-README!$B$4)))),1))</f>
        <v>20.4</v>
      </c>
      <c r="P67" s="7" t="str">
        <f aca="false">IF(OR(M67="",N67=""),"",ROUND(3959*ACOS(MIN(1,SIN(RADIANS(README!$B$3))*SIN(RADIANS(M67))+COS(RADIANS(README!$B$3))*COS(RADIANS(M67))*COS(RADIANS(N67-README!$B$4)))),1))</f>
        <v/>
      </c>
      <c r="Q67" s="7" t="n">
        <f aca="false">IF(O67="","",IF(P67="",O67,MIN(O67,P67)))</f>
        <v>20.4</v>
      </c>
      <c r="R67" s="7" t="str">
        <f aca="false">IF(Q67="","n/a",IF(Q67&lt;=README!$B$5,"Yes","No"))</f>
        <v>Yes</v>
      </c>
      <c r="S67" s="7" t="s">
        <v>627</v>
      </c>
      <c r="T67" s="7" t="s">
        <v>16</v>
      </c>
      <c r="U67" s="7" t="s">
        <v>2050</v>
      </c>
    </row>
    <row r="68" customFormat="false" ht="34.5" hidden="false" customHeight="true" outlineLevel="0" collapsed="false">
      <c r="A68" s="7" t="s">
        <v>1650</v>
      </c>
      <c r="B68" s="7"/>
      <c r="C68" s="7" t="s">
        <v>954</v>
      </c>
      <c r="D68" s="7" t="s">
        <v>1651</v>
      </c>
      <c r="E68" s="7" t="s">
        <v>2051</v>
      </c>
      <c r="F68" s="7"/>
      <c r="G68" s="7"/>
      <c r="H68" s="7"/>
      <c r="I68" s="7"/>
      <c r="J68" s="7"/>
      <c r="K68" s="7" t="n">
        <v>42.75</v>
      </c>
      <c r="L68" s="7" t="n">
        <v>-73.8</v>
      </c>
      <c r="M68" s="7"/>
      <c r="N68" s="7"/>
      <c r="O68" s="7" t="n">
        <f aca="false">IF(OR(K68="",L68=""),"",ROUND(3959*ACOS(MIN(1,SIN(RADIANS(README!$B$3))*SIN(RADIANS(K68))+COS(RADIANS(README!$B$3))*COS(RADIANS(K68))*COS(RADIANS(L68-README!$B$4)))),1))</f>
        <v>20.4</v>
      </c>
      <c r="P68" s="7" t="str">
        <f aca="false">IF(OR(M68="",N68=""),"",ROUND(3959*ACOS(MIN(1,SIN(RADIANS(README!$B$3))*SIN(RADIANS(M68))+COS(RADIANS(README!$B$3))*COS(RADIANS(M68))*COS(RADIANS(N68-README!$B$4)))),1))</f>
        <v/>
      </c>
      <c r="Q68" s="7" t="n">
        <f aca="false">IF(O68="","",IF(P68="",O68,MIN(O68,P68)))</f>
        <v>20.4</v>
      </c>
      <c r="R68" s="7" t="str">
        <f aca="false">IF(Q68="","n/a",IF(Q68&lt;=README!$B$5,"Yes","No"))</f>
        <v>Yes</v>
      </c>
      <c r="S68" s="7" t="s">
        <v>627</v>
      </c>
      <c r="T68" s="7" t="s">
        <v>16</v>
      </c>
      <c r="U68" s="7"/>
    </row>
    <row r="69" customFormat="false" ht="15" hidden="false" customHeight="true" outlineLevel="0" collapsed="false">
      <c r="A69" s="7" t="s">
        <v>2052</v>
      </c>
      <c r="B69" s="7"/>
      <c r="C69" s="7" t="s">
        <v>310</v>
      </c>
      <c r="D69" s="7" t="s">
        <v>1932</v>
      </c>
      <c r="E69" s="7" t="s">
        <v>1992</v>
      </c>
      <c r="F69" s="7"/>
      <c r="G69" s="7"/>
      <c r="H69" s="7"/>
      <c r="I69" s="7" t="n">
        <v>0</v>
      </c>
      <c r="J69" s="7" t="n">
        <v>0</v>
      </c>
      <c r="K69" s="7" t="n">
        <v>42.75</v>
      </c>
      <c r="L69" s="7" t="n">
        <v>-73.8</v>
      </c>
      <c r="M69" s="7"/>
      <c r="N69" s="7"/>
      <c r="O69" s="7" t="n">
        <f aca="false">IF(OR(K69="",L69=""),"",ROUND(3959*ACOS(MIN(1,SIN(RADIANS(README!$B$3))*SIN(RADIANS(K69))+COS(RADIANS(README!$B$3))*COS(RADIANS(K69))*COS(RADIANS(L69-README!$B$4)))),1))</f>
        <v>20.4</v>
      </c>
      <c r="P69" s="7" t="str">
        <f aca="false">IF(OR(M69="",N69=""),"",ROUND(3959*ACOS(MIN(1,SIN(RADIANS(README!$B$3))*SIN(RADIANS(M69))+COS(RADIANS(README!$B$3))*COS(RADIANS(M69))*COS(RADIANS(N69-README!$B$4)))),1))</f>
        <v/>
      </c>
      <c r="Q69" s="7" t="n">
        <f aca="false">IF(O69="","",IF(P69="",O69,MIN(O69,P69)))</f>
        <v>20.4</v>
      </c>
      <c r="R69" s="7" t="str">
        <f aca="false">IF(Q69="","n/a",IF(Q69&lt;=README!$B$5,"Yes","No"))</f>
        <v>Yes</v>
      </c>
      <c r="S69" s="7" t="s">
        <v>1236</v>
      </c>
      <c r="T69" s="7" t="s">
        <v>16</v>
      </c>
      <c r="U69" s="7" t="s">
        <v>2053</v>
      </c>
    </row>
    <row r="70" customFormat="false" ht="15" hidden="false" customHeight="true" outlineLevel="0" collapsed="false">
      <c r="A70" s="7" t="s">
        <v>2054</v>
      </c>
      <c r="B70" s="7" t="s">
        <v>2055</v>
      </c>
      <c r="C70" s="7" t="s">
        <v>1886</v>
      </c>
      <c r="D70" s="7" t="s">
        <v>1954</v>
      </c>
      <c r="E70" s="7" t="s">
        <v>971</v>
      </c>
      <c r="F70" s="7" t="s">
        <v>2008</v>
      </c>
      <c r="G70" s="7" t="n">
        <v>0.3</v>
      </c>
      <c r="H70" s="7" t="n">
        <v>25</v>
      </c>
      <c r="I70" s="7" t="n">
        <v>0</v>
      </c>
      <c r="J70" s="7" t="n">
        <v>0</v>
      </c>
      <c r="K70" s="7" t="n">
        <v>42.28</v>
      </c>
      <c r="L70" s="7" t="n">
        <v>-74.12</v>
      </c>
      <c r="M70" s="7"/>
      <c r="N70" s="7"/>
      <c r="O70" s="7" t="n">
        <f aca="false">IF(OR(K70="",L70=""),"",ROUND(3959*ACOS(MIN(1,SIN(RADIANS(README!$B$3))*SIN(RADIANS(K70))+COS(RADIANS(README!$B$3))*COS(RADIANS(K70))*COS(RADIANS(L70-README!$B$4)))),1))</f>
        <v>16.8</v>
      </c>
      <c r="P70" s="7" t="str">
        <f aca="false">IF(OR(M70="",N70=""),"",ROUND(3959*ACOS(MIN(1,SIN(RADIANS(README!$B$3))*SIN(RADIANS(M70))+COS(RADIANS(README!$B$3))*COS(RADIANS(M70))*COS(RADIANS(N70-README!$B$4)))),1))</f>
        <v/>
      </c>
      <c r="Q70" s="7" t="n">
        <f aca="false">IF(O70="","",IF(P70="",O70,MIN(O70,P70)))</f>
        <v>16.8</v>
      </c>
      <c r="R70" s="7" t="str">
        <f aca="false">IF(Q70="","n/a",IF(Q70&lt;=README!$B$5,"Yes","No"))</f>
        <v>Yes</v>
      </c>
      <c r="S70" s="7" t="s">
        <v>2046</v>
      </c>
      <c r="T70" s="7" t="s">
        <v>18</v>
      </c>
      <c r="U70" s="7" t="s">
        <v>1874</v>
      </c>
    </row>
    <row r="71" customFormat="false" ht="15" hidden="false" customHeight="true" outlineLevel="0" collapsed="false">
      <c r="A71" s="7" t="s">
        <v>2056</v>
      </c>
      <c r="B71" s="7" t="s">
        <v>2057</v>
      </c>
      <c r="C71" s="7" t="s">
        <v>1905</v>
      </c>
      <c r="D71" s="7" t="s">
        <v>2058</v>
      </c>
      <c r="E71" s="7" t="s">
        <v>971</v>
      </c>
      <c r="F71" s="7" t="s">
        <v>2008</v>
      </c>
      <c r="G71" s="7" t="n">
        <v>2.2</v>
      </c>
      <c r="H71" s="7" t="n">
        <v>100</v>
      </c>
      <c r="I71" s="7" t="n">
        <v>0</v>
      </c>
      <c r="J71" s="7" t="n">
        <v>0</v>
      </c>
      <c r="K71" s="7" t="n">
        <v>42.9</v>
      </c>
      <c r="L71" s="7" t="n">
        <v>-73.59</v>
      </c>
      <c r="M71" s="7"/>
      <c r="N71" s="7"/>
      <c r="O71" s="7" t="n">
        <f aca="false">IF(OR(K71="",L71=""),"",ROUND(3959*ACOS(MIN(1,SIN(RADIANS(README!$B$3))*SIN(RADIANS(K71))+COS(RADIANS(README!$B$3))*COS(RADIANS(K71))*COS(RADIANS(L71-README!$B$4)))),1))</f>
        <v>35.1</v>
      </c>
      <c r="P71" s="7" t="str">
        <f aca="false">IF(OR(M71="",N71=""),"",ROUND(3959*ACOS(MIN(1,SIN(RADIANS(README!$B$3))*SIN(RADIANS(M71))+COS(RADIANS(README!$B$3))*COS(RADIANS(M71))*COS(RADIANS(N71-README!$B$4)))),1))</f>
        <v/>
      </c>
      <c r="Q71" s="7" t="n">
        <f aca="false">IF(O71="","",IF(P71="",O71,MIN(O71,P71)))</f>
        <v>35.1</v>
      </c>
      <c r="R71" s="7" t="str">
        <f aca="false">IF(Q71="","n/a",IF(Q71&lt;=README!$B$5,"Yes","No"))</f>
        <v>No</v>
      </c>
      <c r="S71" s="7" t="s">
        <v>2046</v>
      </c>
      <c r="T71" s="7" t="s">
        <v>16</v>
      </c>
      <c r="U71" s="7"/>
    </row>
    <row r="72" customFormat="false" ht="34.5" hidden="false" customHeight="true" outlineLevel="0" collapsed="false">
      <c r="A72" s="7" t="s">
        <v>1653</v>
      </c>
      <c r="B72" s="7"/>
      <c r="C72" s="7" t="s">
        <v>954</v>
      </c>
      <c r="D72" s="7" t="s">
        <v>2059</v>
      </c>
      <c r="E72" s="7" t="s">
        <v>1231</v>
      </c>
      <c r="F72" s="7"/>
      <c r="G72" s="7"/>
      <c r="H72" s="7"/>
      <c r="I72" s="7"/>
      <c r="J72" s="7"/>
      <c r="K72" s="7" t="n">
        <v>42.75</v>
      </c>
      <c r="L72" s="7" t="n">
        <v>-73.8</v>
      </c>
      <c r="M72" s="7"/>
      <c r="N72" s="7"/>
      <c r="O72" s="7" t="n">
        <f aca="false">IF(OR(K72="",L72=""),"",ROUND(3959*ACOS(MIN(1,SIN(RADIANS(README!$B$3))*SIN(RADIANS(K72))+COS(RADIANS(README!$B$3))*COS(RADIANS(K72))*COS(RADIANS(L72-README!$B$4)))),1))</f>
        <v>20.4</v>
      </c>
      <c r="P72" s="7" t="str">
        <f aca="false">IF(OR(M72="",N72=""),"",ROUND(3959*ACOS(MIN(1,SIN(RADIANS(README!$B$3))*SIN(RADIANS(M72))+COS(RADIANS(README!$B$3))*COS(RADIANS(M72))*COS(RADIANS(N72-README!$B$4)))),1))</f>
        <v/>
      </c>
      <c r="Q72" s="7" t="n">
        <f aca="false">IF(O72="","",IF(P72="",O72,MIN(O72,P72)))</f>
        <v>20.4</v>
      </c>
      <c r="R72" s="7" t="str">
        <f aca="false">IF(Q72="","n/a",IF(Q72&lt;=README!$B$5,"Yes","No"))</f>
        <v>Yes</v>
      </c>
      <c r="S72" s="7" t="s">
        <v>627</v>
      </c>
      <c r="T72" s="7" t="s">
        <v>16</v>
      </c>
      <c r="U72" s="7" t="s">
        <v>1655</v>
      </c>
    </row>
    <row r="73" customFormat="false" ht="34.5" hidden="false" customHeight="true" outlineLevel="0" collapsed="false">
      <c r="A73" s="7" t="s">
        <v>1667</v>
      </c>
      <c r="B73" s="7"/>
      <c r="C73" s="7" t="s">
        <v>2060</v>
      </c>
      <c r="D73" s="7" t="s">
        <v>2061</v>
      </c>
      <c r="E73" s="7" t="s">
        <v>971</v>
      </c>
      <c r="F73" s="7"/>
      <c r="G73" s="7"/>
      <c r="H73" s="7"/>
      <c r="I73" s="7"/>
      <c r="J73" s="7"/>
      <c r="K73" s="7"/>
      <c r="L73" s="7"/>
      <c r="M73" s="7"/>
      <c r="N73" s="7"/>
      <c r="O73" s="7" t="str">
        <f aca="false">IF(OR(K73="",L73=""),"",ROUND(3959*ACOS(MIN(1,SIN(RADIANS(README!$B$3))*SIN(RADIANS(K73))+COS(RADIANS(README!$B$3))*COS(RADIANS(K73))*COS(RADIANS(L73-README!$B$4)))),1))</f>
        <v/>
      </c>
      <c r="P73" s="7" t="str">
        <f aca="false">IF(OR(M73="",N73=""),"",ROUND(3959*ACOS(MIN(1,SIN(RADIANS(README!$B$3))*SIN(RADIANS(M73))+COS(RADIANS(README!$B$3))*COS(RADIANS(M73))*COS(RADIANS(N73-README!$B$4)))),1))</f>
        <v/>
      </c>
      <c r="Q73" s="7" t="str">
        <f aca="false">IF(O73="","",IF(P73="",O73,MIN(O73,P73)))</f>
        <v/>
      </c>
      <c r="R73" s="7" t="str">
        <f aca="false">IF(Q73="","n/a",IF(Q73&lt;=README!$B$5,"Yes","No"))</f>
        <v>n/a</v>
      </c>
      <c r="S73" s="7" t="s">
        <v>627</v>
      </c>
      <c r="T73" s="7" t="s">
        <v>18</v>
      </c>
      <c r="U73" s="7" t="s">
        <v>2062</v>
      </c>
    </row>
    <row r="74" customFormat="false" ht="34.5" hidden="false" customHeight="true" outlineLevel="0" collapsed="false">
      <c r="A74" s="7" t="s">
        <v>2063</v>
      </c>
      <c r="B74" s="7"/>
      <c r="C74" s="7" t="s">
        <v>954</v>
      </c>
      <c r="D74" s="7" t="s">
        <v>1762</v>
      </c>
      <c r="E74" s="7" t="s">
        <v>1992</v>
      </c>
      <c r="F74" s="7"/>
      <c r="G74" s="7"/>
      <c r="H74" s="7"/>
      <c r="I74" s="7"/>
      <c r="J74" s="7"/>
      <c r="K74" s="7" t="n">
        <v>42.75</v>
      </c>
      <c r="L74" s="7" t="n">
        <v>-73.8</v>
      </c>
      <c r="M74" s="7"/>
      <c r="N74" s="7"/>
      <c r="O74" s="7" t="n">
        <f aca="false">IF(OR(K74="",L74=""),"",ROUND(3959*ACOS(MIN(1,SIN(RADIANS(README!$B$3))*SIN(RADIANS(K74))+COS(RADIANS(README!$B$3))*COS(RADIANS(K74))*COS(RADIANS(L74-README!$B$4)))),1))</f>
        <v>20.4</v>
      </c>
      <c r="P74" s="7" t="str">
        <f aca="false">IF(OR(M74="",N74=""),"",ROUND(3959*ACOS(MIN(1,SIN(RADIANS(README!$B$3))*SIN(RADIANS(M74))+COS(RADIANS(README!$B$3))*COS(RADIANS(M74))*COS(RADIANS(N74-README!$B$4)))),1))</f>
        <v/>
      </c>
      <c r="Q74" s="7" t="n">
        <f aca="false">IF(O74="","",IF(P74="",O74,MIN(O74,P74)))</f>
        <v>20.4</v>
      </c>
      <c r="R74" s="7" t="str">
        <f aca="false">IF(Q74="","n/a",IF(Q74&lt;=README!$B$5,"Yes","No"))</f>
        <v>Yes</v>
      </c>
      <c r="S74" s="7" t="s">
        <v>627</v>
      </c>
      <c r="T74" s="7" t="s">
        <v>16</v>
      </c>
      <c r="U74" s="7"/>
    </row>
    <row r="75" customFormat="false" ht="34.5" hidden="false" customHeight="true" outlineLevel="0" collapsed="false">
      <c r="A75" s="7" t="s">
        <v>1761</v>
      </c>
      <c r="B75" s="7"/>
      <c r="C75" s="7" t="s">
        <v>954</v>
      </c>
      <c r="D75" s="7" t="s">
        <v>1762</v>
      </c>
      <c r="E75" s="7" t="s">
        <v>1992</v>
      </c>
      <c r="F75" s="7"/>
      <c r="G75" s="7"/>
      <c r="H75" s="7"/>
      <c r="I75" s="7"/>
      <c r="J75" s="7"/>
      <c r="K75" s="7" t="n">
        <v>42.75</v>
      </c>
      <c r="L75" s="7" t="n">
        <v>-73.8</v>
      </c>
      <c r="M75" s="7"/>
      <c r="N75" s="7"/>
      <c r="O75" s="7" t="n">
        <f aca="false">IF(OR(K75="",L75=""),"",ROUND(3959*ACOS(MIN(1,SIN(RADIANS(README!$B$3))*SIN(RADIANS(K75))+COS(RADIANS(README!$B$3))*COS(RADIANS(K75))*COS(RADIANS(L75-README!$B$4)))),1))</f>
        <v>20.4</v>
      </c>
      <c r="P75" s="7" t="str">
        <f aca="false">IF(OR(M75="",N75=""),"",ROUND(3959*ACOS(MIN(1,SIN(RADIANS(README!$B$3))*SIN(RADIANS(M75))+COS(RADIANS(README!$B$3))*COS(RADIANS(M75))*COS(RADIANS(N75-README!$B$4)))),1))</f>
        <v/>
      </c>
      <c r="Q75" s="7" t="n">
        <f aca="false">IF(O75="","",IF(P75="",O75,MIN(O75,P75)))</f>
        <v>20.4</v>
      </c>
      <c r="R75" s="7" t="str">
        <f aca="false">IF(Q75="","n/a",IF(Q75&lt;=README!$B$5,"Yes","No"))</f>
        <v>Yes</v>
      </c>
      <c r="S75" s="7" t="s">
        <v>627</v>
      </c>
      <c r="T75" s="7" t="s">
        <v>16</v>
      </c>
      <c r="U75" s="7"/>
    </row>
    <row r="76" customFormat="false" ht="23.25" hidden="false" customHeight="true" outlineLevel="0" collapsed="false">
      <c r="A76" s="7" t="s">
        <v>2064</v>
      </c>
      <c r="B76" s="7"/>
      <c r="C76" s="7" t="s">
        <v>2021</v>
      </c>
      <c r="D76" s="7" t="s">
        <v>2065</v>
      </c>
      <c r="E76" s="7" t="s">
        <v>971</v>
      </c>
      <c r="F76" s="7" t="s">
        <v>2066</v>
      </c>
      <c r="G76" s="7"/>
      <c r="H76" s="7"/>
      <c r="I76" s="7" t="n">
        <v>0</v>
      </c>
      <c r="J76" s="7" t="n">
        <v>0</v>
      </c>
      <c r="K76" s="7" t="n">
        <v>43.15</v>
      </c>
      <c r="L76" s="7" t="n">
        <v>-73.72</v>
      </c>
      <c r="M76" s="7"/>
      <c r="N76" s="7"/>
      <c r="O76" s="7" t="n">
        <f aca="false">IF(OR(K76="",L76=""),"",ROUND(3959*ACOS(MIN(1,SIN(RADIANS(README!$B$3))*SIN(RADIANS(K76))+COS(RADIANS(README!$B$3))*COS(RADIANS(K76))*COS(RADIANS(L76-README!$B$4)))),1))</f>
        <v>46.7</v>
      </c>
      <c r="P76" s="7" t="str">
        <f aca="false">IF(OR(M76="",N76=""),"",ROUND(3959*ACOS(MIN(1,SIN(RADIANS(README!$B$3))*SIN(RADIANS(M76))+COS(RADIANS(README!$B$3))*COS(RADIANS(M76))*COS(RADIANS(N76-README!$B$4)))),1))</f>
        <v/>
      </c>
      <c r="Q76" s="7" t="n">
        <f aca="false">IF(O76="","",IF(P76="",O76,MIN(O76,P76)))</f>
        <v>46.7</v>
      </c>
      <c r="R76" s="7" t="str">
        <f aca="false">IF(Q76="","n/a",IF(Q76&lt;=README!$B$5,"Yes","No"))</f>
        <v>No</v>
      </c>
      <c r="S76" s="7" t="s">
        <v>2067</v>
      </c>
      <c r="T76" s="7" t="s">
        <v>18</v>
      </c>
      <c r="U76" s="7" t="s">
        <v>2068</v>
      </c>
    </row>
    <row r="78" customFormat="false" ht="15" hidden="false" customHeight="true" outlineLevel="0" collapsed="false">
      <c r="A78" s="8" t="s">
        <v>2069</v>
      </c>
    </row>
  </sheetData>
  <autoFilter ref="A1:U7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8"/>
    <col collapsed="false" customWidth="true" hidden="false" outlineLevel="0" max="3" min="3" style="1" width="3"/>
    <col collapsed="false" customWidth="true" hidden="false" outlineLevel="0" max="4" min="4" style="1" width="18"/>
    <col collapsed="false" customWidth="true" hidden="false" outlineLevel="0" max="5" min="5" style="1" width="8"/>
    <col collapsed="false" customWidth="true" hidden="false" outlineLevel="0" max="6" min="6" style="1" width="3"/>
    <col collapsed="false" customWidth="true" hidden="false" outlineLevel="0" max="7" min="7" style="1" width="14"/>
    <col collapsed="false" customWidth="true" hidden="false" outlineLevel="0" max="8" min="8" style="1" width="8"/>
    <col collapsed="false" customWidth="true" hidden="false" outlineLevel="0" max="9" min="9" style="1" width="3"/>
    <col collapsed="false" customWidth="true" hidden="false" outlineLevel="0" max="10" min="10" style="1" width="32"/>
    <col collapsed="false" customWidth="true" hidden="false" outlineLevel="0" max="11" min="11" style="1" width="10"/>
  </cols>
  <sheetData>
    <row r="1" customFormat="false" ht="15" hidden="false" customHeight="true" outlineLevel="0" collapsed="false">
      <c r="A1" s="9" t="s">
        <v>2070</v>
      </c>
      <c r="B1" s="10"/>
      <c r="C1" s="10"/>
      <c r="D1" s="9" t="s">
        <v>2071</v>
      </c>
      <c r="E1" s="10"/>
      <c r="F1" s="10"/>
      <c r="G1" s="9" t="s">
        <v>2072</v>
      </c>
      <c r="H1" s="10"/>
      <c r="I1" s="10"/>
      <c r="J1" s="9" t="s">
        <v>2073</v>
      </c>
      <c r="K1" s="10"/>
    </row>
    <row r="2" customFormat="false" ht="15" hidden="false" customHeight="true" outlineLevel="0" collapsed="false">
      <c r="A2" s="10" t="s">
        <v>49</v>
      </c>
      <c r="B2" s="10" t="s">
        <v>2074</v>
      </c>
      <c r="C2" s="10"/>
      <c r="D2" s="10" t="s">
        <v>16</v>
      </c>
      <c r="E2" s="10" t="n">
        <f aca="false">COUNTIF(Events!$N$2:$N$265,D2)</f>
        <v>119</v>
      </c>
      <c r="F2" s="10"/>
      <c r="G2" s="10" t="s">
        <v>2075</v>
      </c>
      <c r="H2" s="10" t="n">
        <f aca="false">COUNTIF(Events!$E$2:$E$265,18)</f>
        <v>26</v>
      </c>
      <c r="I2" s="10"/>
      <c r="J2" s="10" t="s">
        <v>2076</v>
      </c>
      <c r="K2" s="10" t="n">
        <f aca="false">COUNTIF('Wind &amp; Tornadoes'!$E$2:$E$76,"Tornado*")</f>
        <v>58</v>
      </c>
    </row>
    <row r="3" customFormat="false" ht="15" hidden="false" customHeight="true" outlineLevel="0" collapsed="false">
      <c r="A3" s="10" t="s">
        <v>238</v>
      </c>
      <c r="B3" s="10" t="n">
        <f aca="false">COUNTIF(Events!$F$2:$F$265,A3)</f>
        <v>15</v>
      </c>
      <c r="C3" s="10"/>
      <c r="D3" s="10" t="s">
        <v>18</v>
      </c>
      <c r="E3" s="10" t="n">
        <f aca="false">COUNTIF(Events!$N$2:$N$265,D3)</f>
        <v>105</v>
      </c>
      <c r="F3" s="10"/>
      <c r="G3" s="10" t="s">
        <v>2077</v>
      </c>
      <c r="H3" s="10" t="n">
        <f aca="false">COUNTIF(Events!$E$2:$E$265,19)</f>
        <v>56</v>
      </c>
      <c r="I3" s="10"/>
      <c r="J3" s="10" t="s">
        <v>2078</v>
      </c>
      <c r="K3" s="10" t="n">
        <f aca="false">COUNTIFS('Wind &amp; Tornadoes'!$E$2:$E$76,"Tornado*",'Wind &amp; Tornadoes'!$R$2:$R$76,"Yes")</f>
        <v>43</v>
      </c>
    </row>
    <row r="4" customFormat="false" ht="15" hidden="false" customHeight="true" outlineLevel="0" collapsed="false">
      <c r="A4" s="10" t="s">
        <v>715</v>
      </c>
      <c r="B4" s="10" t="n">
        <f aca="false">COUNTIF(Events!$F$2:$F$265,A4)</f>
        <v>1</v>
      </c>
      <c r="C4" s="10"/>
      <c r="D4" s="10" t="s">
        <v>20</v>
      </c>
      <c r="E4" s="10" t="n">
        <f aca="false">COUNTIF(Events!$N$2:$N$265,D4)</f>
        <v>40</v>
      </c>
      <c r="F4" s="10"/>
      <c r="G4" s="10" t="s">
        <v>2079</v>
      </c>
      <c r="H4" s="10" t="n">
        <f aca="false">COUNTIF(Events!$E$2:$E$265,20)</f>
        <v>88</v>
      </c>
      <c r="I4" s="10"/>
      <c r="J4" s="10" t="s">
        <v>2080</v>
      </c>
      <c r="K4" s="10" t="n">
        <f aca="false">SUMPRODUCT((LEFT('Wind &amp; Tornadoes'!$E$2:$E$76,7)="Tornado")*('Wind &amp; Tornadoes'!$R$2:$R$76="Yes")*(ISNUMBER(SEARCH("F2",'Wind &amp; Tornadoes'!$F$2:$F$76))+ISNUMBER(SEARCH("F3",'Wind &amp; Tornadoes'!$F$2:$F$76))+ISNUMBER(SEARCH("F4",'Wind &amp; Tornadoes'!$F$2:$F$76))))</f>
        <v>12</v>
      </c>
    </row>
    <row r="5" customFormat="false" ht="15" hidden="false" customHeight="true" outlineLevel="0" collapsed="false">
      <c r="A5" s="10" t="s">
        <v>1224</v>
      </c>
      <c r="B5" s="10" t="n">
        <f aca="false">COUNTIF(Events!$F$2:$F$265,A5)</f>
        <v>1</v>
      </c>
      <c r="C5" s="10"/>
      <c r="D5" s="10"/>
      <c r="E5" s="10"/>
      <c r="F5" s="10"/>
      <c r="G5" s="10" t="s">
        <v>2081</v>
      </c>
      <c r="H5" s="10" t="n">
        <f aca="false">COUNTIF(Events!$E$2:$E$265,21)</f>
        <v>89</v>
      </c>
      <c r="I5" s="10"/>
      <c r="J5" s="10" t="s">
        <v>2082</v>
      </c>
      <c r="K5" s="10" t="n">
        <f aca="false">MIN('Wind &amp; Tornadoes'!$Q$2:$Q$76)</f>
        <v>2.3</v>
      </c>
    </row>
    <row r="6" customFormat="false" ht="15" hidden="false" customHeight="true" outlineLevel="0" collapsed="false">
      <c r="A6" s="10" t="s">
        <v>118</v>
      </c>
      <c r="B6" s="10" t="n">
        <f aca="false">COUNTIF(Events!$F$2:$F$265,A6)</f>
        <v>3</v>
      </c>
      <c r="C6" s="10"/>
      <c r="D6" s="10" t="s">
        <v>2083</v>
      </c>
      <c r="E6" s="10" t="n">
        <f aca="false">COUNTIF(Events!$O$2:$O$265,"Y")</f>
        <v>208</v>
      </c>
      <c r="F6" s="10"/>
      <c r="G6" s="10"/>
      <c r="H6" s="10"/>
      <c r="I6" s="10"/>
      <c r="J6" s="10" t="s">
        <v>2084</v>
      </c>
      <c r="K6" s="10" t="n">
        <f aca="false">SUMIFS('Wind &amp; Tornadoes'!$J$2:$J$76,'Wind &amp; Tornadoes'!$E$2:$E$76,"Tornado*",'Wind &amp; Tornadoes'!$R$2:$R$76,"Yes")</f>
        <v>58</v>
      </c>
    </row>
    <row r="7" customFormat="false" ht="15" hidden="false" customHeight="true" outlineLevel="0" collapsed="false">
      <c r="A7" s="10" t="s">
        <v>219</v>
      </c>
      <c r="B7" s="10" t="n">
        <f aca="false">COUNTIF(Events!$F$2:$F$265,A7)</f>
        <v>13</v>
      </c>
      <c r="C7" s="10"/>
      <c r="D7" s="10" t="s">
        <v>2085</v>
      </c>
      <c r="E7" s="10" t="n">
        <f aca="false">COUNTIF(Events!$O$2:$O$265,"N")</f>
        <v>56</v>
      </c>
      <c r="F7" s="10"/>
      <c r="G7" s="10"/>
      <c r="H7" s="10"/>
      <c r="I7" s="10"/>
      <c r="J7" s="10"/>
      <c r="K7" s="10"/>
    </row>
    <row r="8" customFormat="false" ht="15" hidden="false" customHeight="true" outlineLevel="0" collapsed="false">
      <c r="A8" s="10" t="s">
        <v>615</v>
      </c>
      <c r="B8" s="10" t="n">
        <f aca="false">COUNTIF(Events!$F$2:$F$265,A8)</f>
        <v>1</v>
      </c>
      <c r="C8" s="10"/>
      <c r="D8" s="10"/>
      <c r="E8" s="10"/>
      <c r="F8" s="10"/>
      <c r="G8" s="10"/>
      <c r="H8" s="10"/>
      <c r="I8" s="10"/>
      <c r="J8" s="10"/>
      <c r="K8" s="10"/>
    </row>
    <row r="9" customFormat="false" ht="15" hidden="false" customHeight="true" outlineLevel="0" collapsed="false">
      <c r="A9" s="10" t="s">
        <v>176</v>
      </c>
      <c r="B9" s="10" t="n">
        <f aca="false">COUNTIF(Events!$F$2:$F$265,A9)</f>
        <v>2</v>
      </c>
      <c r="C9" s="10"/>
      <c r="D9" s="10"/>
      <c r="E9" s="10"/>
      <c r="F9" s="10"/>
      <c r="G9" s="10"/>
      <c r="H9" s="10"/>
      <c r="I9" s="10"/>
      <c r="J9" s="10"/>
      <c r="K9" s="10"/>
    </row>
    <row r="10" customFormat="false" ht="15" hidden="false" customHeight="true" outlineLevel="0" collapsed="false">
      <c r="A10" s="10" t="s">
        <v>254</v>
      </c>
      <c r="B10" s="10" t="n">
        <f aca="false">COUNTIF(Events!$F$2:$F$265,A10)</f>
        <v>1</v>
      </c>
      <c r="C10" s="10"/>
      <c r="D10" s="10"/>
      <c r="E10" s="10"/>
      <c r="F10" s="10"/>
      <c r="G10" s="10"/>
      <c r="H10" s="10"/>
      <c r="I10" s="10"/>
      <c r="J10" s="10"/>
      <c r="K10" s="10"/>
    </row>
    <row r="11" customFormat="false" ht="15" hidden="false" customHeight="true" outlineLevel="0" collapsed="false">
      <c r="A11" s="10" t="s">
        <v>1543</v>
      </c>
      <c r="B11" s="10" t="n">
        <f aca="false">COUNTIF(Events!$F$2:$F$265,A11)</f>
        <v>1</v>
      </c>
      <c r="C11" s="10"/>
      <c r="D11" s="10"/>
      <c r="E11" s="10"/>
      <c r="F11" s="10"/>
      <c r="G11" s="10"/>
      <c r="H11" s="10"/>
      <c r="I11" s="10"/>
      <c r="J11" s="10"/>
      <c r="K11" s="10"/>
    </row>
    <row r="12" customFormat="false" ht="15" hidden="false" customHeight="true" outlineLevel="0" collapsed="false">
      <c r="A12" s="10" t="s">
        <v>420</v>
      </c>
      <c r="B12" s="10" t="n">
        <f aca="false">COUNTIF(Events!$F$2:$F$265,A12)</f>
        <v>2</v>
      </c>
      <c r="C12" s="10"/>
      <c r="D12" s="10"/>
      <c r="E12" s="10"/>
      <c r="F12" s="10"/>
      <c r="G12" s="10"/>
      <c r="H12" s="10"/>
      <c r="I12" s="10"/>
      <c r="J12" s="10"/>
      <c r="K12" s="10"/>
    </row>
    <row r="13" customFormat="false" ht="15" hidden="false" customHeight="true" outlineLevel="0" collapsed="false">
      <c r="A13" s="10" t="s">
        <v>392</v>
      </c>
      <c r="B13" s="10" t="n">
        <f aca="false">COUNTIF(Events!$F$2:$F$265,A13)</f>
        <v>1</v>
      </c>
      <c r="C13" s="10"/>
      <c r="D13" s="10"/>
      <c r="E13" s="10"/>
      <c r="F13" s="10"/>
      <c r="G13" s="10"/>
      <c r="H13" s="10"/>
      <c r="I13" s="10"/>
      <c r="J13" s="10"/>
      <c r="K13" s="10"/>
    </row>
    <row r="14" customFormat="false" ht="15" hidden="false" customHeight="true" outlineLevel="0" collapsed="false">
      <c r="A14" s="10" t="s">
        <v>106</v>
      </c>
      <c r="B14" s="10" t="n">
        <f aca="false">COUNTIF(Events!$F$2:$F$265,A14)</f>
        <v>11</v>
      </c>
      <c r="C14" s="10"/>
      <c r="D14" s="10"/>
      <c r="E14" s="10"/>
      <c r="F14" s="10"/>
      <c r="G14" s="10"/>
      <c r="H14" s="10"/>
      <c r="I14" s="10"/>
      <c r="J14" s="10"/>
      <c r="K14" s="10"/>
    </row>
    <row r="15" customFormat="false" ht="15" hidden="false" customHeight="true" outlineLevel="0" collapsed="false">
      <c r="A15" s="10" t="s">
        <v>1231</v>
      </c>
      <c r="B15" s="10" t="n">
        <f aca="false">COUNTIF(Events!$F$2:$F$265,A15)</f>
        <v>2</v>
      </c>
      <c r="C15" s="10"/>
      <c r="D15" s="10"/>
      <c r="E15" s="10"/>
      <c r="F15" s="10"/>
      <c r="G15" s="10"/>
      <c r="H15" s="10"/>
      <c r="I15" s="10"/>
      <c r="J15" s="10"/>
      <c r="K15" s="10"/>
    </row>
    <row r="16" customFormat="false" ht="15" hidden="false" customHeight="true" outlineLevel="0" collapsed="false">
      <c r="A16" s="10" t="s">
        <v>1192</v>
      </c>
      <c r="B16" s="10" t="n">
        <f aca="false">COUNTIF(Events!$F$2:$F$265,A16)</f>
        <v>1</v>
      </c>
      <c r="C16" s="10"/>
      <c r="D16" s="10"/>
      <c r="E16" s="10"/>
      <c r="F16" s="10"/>
      <c r="G16" s="10"/>
      <c r="H16" s="10"/>
      <c r="I16" s="10"/>
      <c r="J16" s="10"/>
      <c r="K16" s="10"/>
    </row>
    <row r="17" customFormat="false" ht="15" hidden="false" customHeight="true" outlineLevel="0" collapsed="false">
      <c r="A17" s="10" t="s">
        <v>828</v>
      </c>
      <c r="B17" s="10" t="n">
        <f aca="false">COUNTIF(Events!$F$2:$F$265,A17)</f>
        <v>4</v>
      </c>
      <c r="C17" s="10"/>
      <c r="D17" s="10"/>
      <c r="E17" s="10"/>
      <c r="F17" s="10"/>
      <c r="G17" s="10"/>
      <c r="H17" s="10"/>
      <c r="I17" s="10"/>
      <c r="J17" s="10"/>
      <c r="K17" s="10"/>
    </row>
    <row r="18" customFormat="false" ht="15" hidden="false" customHeight="true" outlineLevel="0" collapsed="false">
      <c r="A18" s="10" t="s">
        <v>1178</v>
      </c>
      <c r="B18" s="10" t="n">
        <f aca="false">COUNTIF(Events!$F$2:$F$265,A18)</f>
        <v>2</v>
      </c>
      <c r="C18" s="10"/>
      <c r="D18" s="10"/>
      <c r="E18" s="10"/>
      <c r="F18" s="10"/>
      <c r="G18" s="10"/>
      <c r="H18" s="10"/>
      <c r="I18" s="10"/>
      <c r="J18" s="10"/>
      <c r="K18" s="10"/>
    </row>
    <row r="19" customFormat="false" ht="15" hidden="false" customHeight="true" outlineLevel="0" collapsed="false">
      <c r="A19" s="10" t="s">
        <v>1774</v>
      </c>
      <c r="B19" s="10" t="n">
        <f aca="false">COUNTIF(Events!$F$2:$F$265,A19)</f>
        <v>1</v>
      </c>
      <c r="C19" s="10"/>
      <c r="D19" s="10"/>
      <c r="E19" s="10"/>
      <c r="F19" s="10"/>
      <c r="G19" s="10"/>
      <c r="H19" s="10"/>
      <c r="I19" s="10"/>
      <c r="J19" s="10"/>
      <c r="K19" s="10"/>
    </row>
    <row r="20" customFormat="false" ht="15" hidden="false" customHeight="true" outlineLevel="0" collapsed="false">
      <c r="A20" s="10" t="s">
        <v>80</v>
      </c>
      <c r="B20" s="10" t="n">
        <f aca="false">COUNTIF(Events!$F$2:$F$265,A20)</f>
        <v>2</v>
      </c>
      <c r="C20" s="10"/>
      <c r="D20" s="10"/>
      <c r="E20" s="10"/>
      <c r="F20" s="10"/>
      <c r="G20" s="10"/>
      <c r="H20" s="10"/>
      <c r="I20" s="10"/>
      <c r="J20" s="10"/>
      <c r="K20" s="10"/>
    </row>
    <row r="21" customFormat="false" ht="15" hidden="false" customHeight="true" outlineLevel="0" collapsed="false">
      <c r="A21" s="10" t="s">
        <v>1490</v>
      </c>
      <c r="B21" s="10" t="n">
        <f aca="false">COUNTIF(Events!$F$2:$F$265,A21)</f>
        <v>1</v>
      </c>
      <c r="C21" s="10"/>
      <c r="D21" s="10"/>
      <c r="E21" s="10"/>
      <c r="F21" s="10"/>
      <c r="G21" s="10"/>
      <c r="H21" s="10"/>
      <c r="I21" s="10"/>
      <c r="J21" s="10"/>
      <c r="K21" s="10"/>
    </row>
    <row r="22" customFormat="false" ht="15" hidden="false" customHeight="true" outlineLevel="0" collapsed="false">
      <c r="A22" s="10" t="s">
        <v>466</v>
      </c>
      <c r="B22" s="10" t="n">
        <f aca="false">COUNTIF(Events!$F$2:$F$265,A22)</f>
        <v>2</v>
      </c>
      <c r="C22" s="10"/>
      <c r="D22" s="10"/>
      <c r="E22" s="10"/>
      <c r="F22" s="10"/>
      <c r="G22" s="10"/>
      <c r="H22" s="10"/>
      <c r="I22" s="10"/>
      <c r="J22" s="10"/>
      <c r="K22" s="10"/>
    </row>
    <row r="23" customFormat="false" ht="15" hidden="false" customHeight="true" outlineLevel="0" collapsed="false">
      <c r="A23" s="10" t="s">
        <v>842</v>
      </c>
      <c r="B23" s="10" t="n">
        <f aca="false">COUNTIF(Events!$F$2:$F$265,A23)</f>
        <v>8</v>
      </c>
      <c r="C23" s="10"/>
      <c r="D23" s="10"/>
      <c r="E23" s="10"/>
      <c r="F23" s="10"/>
      <c r="G23" s="10"/>
      <c r="H23" s="10"/>
      <c r="I23" s="10"/>
      <c r="J23" s="10"/>
      <c r="K23" s="10"/>
    </row>
    <row r="24" customFormat="false" ht="15" hidden="false" customHeight="true" outlineLevel="0" collapsed="false">
      <c r="A24" s="10" t="s">
        <v>1200</v>
      </c>
      <c r="B24" s="10" t="n">
        <f aca="false">COUNTIF(Events!$F$2:$F$265,A24)</f>
        <v>1</v>
      </c>
      <c r="C24" s="10"/>
      <c r="D24" s="10"/>
      <c r="E24" s="10"/>
      <c r="F24" s="10"/>
      <c r="G24" s="10"/>
      <c r="H24" s="10"/>
      <c r="I24" s="10"/>
      <c r="J24" s="10"/>
      <c r="K24" s="10"/>
    </row>
    <row r="25" customFormat="false" ht="15" hidden="false" customHeight="true" outlineLevel="0" collapsed="false">
      <c r="A25" s="10" t="s">
        <v>1738</v>
      </c>
      <c r="B25" s="10" t="n">
        <f aca="false">COUNTIF(Events!$F$2:$F$265,A25)</f>
        <v>2</v>
      </c>
      <c r="C25" s="10"/>
      <c r="D25" s="10"/>
      <c r="E25" s="10"/>
      <c r="F25" s="10"/>
      <c r="G25" s="10"/>
      <c r="H25" s="10"/>
      <c r="I25" s="10"/>
      <c r="J25" s="10"/>
      <c r="K25" s="10"/>
    </row>
    <row r="26" customFormat="false" ht="15" hidden="false" customHeight="true" outlineLevel="0" collapsed="false">
      <c r="A26" s="10" t="s">
        <v>1717</v>
      </c>
      <c r="B26" s="10" t="n">
        <f aca="false">COUNTIF(Events!$F$2:$F$265,A26)</f>
        <v>1</v>
      </c>
      <c r="C26" s="10"/>
      <c r="D26" s="10"/>
      <c r="E26" s="10"/>
      <c r="F26" s="10"/>
      <c r="G26" s="10"/>
      <c r="H26" s="10"/>
      <c r="I26" s="10"/>
      <c r="J26" s="10"/>
      <c r="K26" s="10"/>
    </row>
    <row r="27" customFormat="false" ht="15" hidden="false" customHeight="true" outlineLevel="0" collapsed="false">
      <c r="A27" s="10" t="s">
        <v>1675</v>
      </c>
      <c r="B27" s="10" t="n">
        <f aca="false">COUNTIF(Events!$F$2:$F$265,A27)</f>
        <v>1</v>
      </c>
      <c r="C27" s="10"/>
      <c r="D27" s="10"/>
      <c r="E27" s="10"/>
      <c r="F27" s="10"/>
      <c r="G27" s="10"/>
      <c r="H27" s="10"/>
      <c r="I27" s="10"/>
      <c r="J27" s="10"/>
      <c r="K27" s="10"/>
    </row>
    <row r="28" customFormat="false" ht="15" hidden="false" customHeight="true" outlineLevel="0" collapsed="false">
      <c r="A28" s="10" t="s">
        <v>1080</v>
      </c>
      <c r="B28" s="10" t="n">
        <f aca="false">COUNTIF(Events!$F$2:$F$265,A28)</f>
        <v>1</v>
      </c>
      <c r="C28" s="10"/>
      <c r="D28" s="10"/>
      <c r="E28" s="10"/>
      <c r="F28" s="10"/>
      <c r="G28" s="10"/>
      <c r="H28" s="10"/>
      <c r="I28" s="10"/>
      <c r="J28" s="10"/>
      <c r="K28" s="10"/>
    </row>
    <row r="29" customFormat="false" ht="15" hidden="false" customHeight="true" outlineLevel="0" collapsed="false">
      <c r="A29" s="10" t="s">
        <v>705</v>
      </c>
      <c r="B29" s="10" t="n">
        <f aca="false">COUNTIF(Events!$F$2:$F$265,A29)</f>
        <v>6</v>
      </c>
      <c r="C29" s="10"/>
      <c r="D29" s="10"/>
      <c r="E29" s="10"/>
      <c r="F29" s="10"/>
      <c r="G29" s="10"/>
      <c r="H29" s="10"/>
      <c r="I29" s="10"/>
      <c r="J29" s="10"/>
      <c r="K29" s="10"/>
    </row>
    <row r="30" customFormat="false" ht="15" hidden="false" customHeight="true" outlineLevel="0" collapsed="false">
      <c r="A30" s="10" t="s">
        <v>1018</v>
      </c>
      <c r="B30" s="10" t="n">
        <f aca="false">COUNTIF(Events!$F$2:$F$265,A30)</f>
        <v>1</v>
      </c>
      <c r="C30" s="10"/>
      <c r="D30" s="10"/>
      <c r="E30" s="10"/>
      <c r="F30" s="10"/>
      <c r="G30" s="10"/>
      <c r="H30" s="10"/>
      <c r="I30" s="10"/>
      <c r="J30" s="10"/>
      <c r="K30" s="10"/>
    </row>
    <row r="31" customFormat="false" ht="15" hidden="false" customHeight="true" outlineLevel="0" collapsed="false">
      <c r="A31" s="10" t="s">
        <v>1301</v>
      </c>
      <c r="B31" s="10" t="n">
        <f aca="false">COUNTIF(Events!$F$2:$F$265,A31)</f>
        <v>1</v>
      </c>
      <c r="C31" s="10"/>
      <c r="D31" s="10"/>
      <c r="E31" s="10"/>
      <c r="F31" s="10"/>
      <c r="G31" s="10"/>
      <c r="H31" s="10"/>
      <c r="I31" s="10"/>
      <c r="J31" s="10"/>
      <c r="K31" s="10"/>
    </row>
    <row r="32" customFormat="false" ht="15" hidden="false" customHeight="true" outlineLevel="0" collapsed="false">
      <c r="A32" s="10" t="s">
        <v>553</v>
      </c>
      <c r="B32" s="10" t="n">
        <f aca="false">COUNTIF(Events!$F$2:$F$265,A32)</f>
        <v>18</v>
      </c>
      <c r="C32" s="10"/>
      <c r="D32" s="10"/>
      <c r="E32" s="10"/>
      <c r="F32" s="10"/>
      <c r="G32" s="10"/>
      <c r="H32" s="10"/>
      <c r="I32" s="10"/>
      <c r="J32" s="10"/>
      <c r="K32" s="10"/>
    </row>
    <row r="33" customFormat="false" ht="15" hidden="false" customHeight="true" outlineLevel="0" collapsed="false">
      <c r="A33" s="10" t="s">
        <v>1262</v>
      </c>
      <c r="B33" s="10" t="n">
        <f aca="false">COUNTIF(Events!$F$2:$F$265,A33)</f>
        <v>1</v>
      </c>
      <c r="C33" s="10"/>
      <c r="D33" s="10"/>
      <c r="E33" s="10"/>
      <c r="F33" s="10"/>
      <c r="G33" s="10"/>
      <c r="H33" s="10"/>
      <c r="I33" s="10"/>
      <c r="J33" s="10"/>
      <c r="K33" s="10"/>
    </row>
    <row r="34" customFormat="false" ht="15" hidden="false" customHeight="true" outlineLevel="0" collapsed="false">
      <c r="A34" s="10" t="s">
        <v>818</v>
      </c>
      <c r="B34" s="10" t="n">
        <f aca="false">COUNTIF(Events!$F$2:$F$265,A34)</f>
        <v>8</v>
      </c>
      <c r="C34" s="10"/>
      <c r="D34" s="10"/>
      <c r="E34" s="10"/>
      <c r="F34" s="10"/>
      <c r="G34" s="10"/>
      <c r="H34" s="10"/>
      <c r="I34" s="10"/>
      <c r="J34" s="10"/>
      <c r="K34" s="10"/>
    </row>
    <row r="35" customFormat="false" ht="15" hidden="false" customHeight="true" outlineLevel="0" collapsed="false">
      <c r="A35" s="10" t="s">
        <v>1099</v>
      </c>
      <c r="B35" s="10" t="n">
        <f aca="false">COUNTIF(Events!$F$2:$F$265,A35)</f>
        <v>4</v>
      </c>
      <c r="C35" s="10"/>
      <c r="D35" s="10"/>
      <c r="E35" s="10"/>
      <c r="F35" s="10"/>
      <c r="G35" s="10"/>
      <c r="H35" s="10"/>
      <c r="I35" s="10"/>
      <c r="J35" s="10"/>
      <c r="K35" s="10"/>
    </row>
    <row r="36" customFormat="false" ht="15" hidden="false" customHeight="true" outlineLevel="0" collapsed="false">
      <c r="A36" s="10" t="s">
        <v>1376</v>
      </c>
      <c r="B36" s="10" t="n">
        <f aca="false">COUNTIF(Events!$F$2:$F$265,A36)</f>
        <v>1</v>
      </c>
      <c r="C36" s="10"/>
      <c r="D36" s="10"/>
      <c r="E36" s="10"/>
      <c r="F36" s="10"/>
      <c r="G36" s="10"/>
      <c r="H36" s="10"/>
      <c r="I36" s="10"/>
      <c r="J36" s="10"/>
      <c r="K36" s="10"/>
    </row>
    <row r="37" customFormat="false" ht="15" hidden="false" customHeight="true" outlineLevel="0" collapsed="false">
      <c r="A37" s="10" t="s">
        <v>1724</v>
      </c>
      <c r="B37" s="10" t="n">
        <f aca="false">COUNTIF(Events!$F$2:$F$265,A37)</f>
        <v>1</v>
      </c>
      <c r="C37" s="10"/>
      <c r="D37" s="10"/>
      <c r="E37" s="10"/>
      <c r="F37" s="10"/>
      <c r="G37" s="10"/>
      <c r="H37" s="10"/>
      <c r="I37" s="10"/>
      <c r="J37" s="10"/>
      <c r="K37" s="10"/>
    </row>
    <row r="38" customFormat="false" ht="15" hidden="false" customHeight="true" outlineLevel="0" collapsed="false">
      <c r="A38" s="10" t="s">
        <v>1782</v>
      </c>
      <c r="B38" s="10" t="n">
        <f aca="false">COUNTIF(Events!$F$2:$F$265,A38)</f>
        <v>1</v>
      </c>
      <c r="C38" s="10"/>
      <c r="D38" s="10"/>
      <c r="E38" s="10"/>
      <c r="F38" s="10"/>
      <c r="G38" s="10"/>
      <c r="H38" s="10"/>
      <c r="I38" s="10"/>
      <c r="J38" s="10"/>
      <c r="K38" s="10"/>
    </row>
    <row r="39" customFormat="false" ht="15" hidden="false" customHeight="true" outlineLevel="0" collapsed="false">
      <c r="A39" s="10" t="s">
        <v>580</v>
      </c>
      <c r="B39" s="10" t="n">
        <f aca="false">COUNTIF(Events!$F$2:$F$265,A39)</f>
        <v>6</v>
      </c>
      <c r="C39" s="10"/>
      <c r="D39" s="10"/>
      <c r="E39" s="10"/>
      <c r="F39" s="10"/>
      <c r="G39" s="10"/>
      <c r="H39" s="10"/>
      <c r="I39" s="10"/>
      <c r="J39" s="10"/>
      <c r="K39" s="10"/>
    </row>
    <row r="40" customFormat="false" ht="15" hidden="false" customHeight="true" outlineLevel="0" collapsed="false">
      <c r="A40" s="10" t="s">
        <v>1475</v>
      </c>
      <c r="B40" s="10" t="n">
        <f aca="false">COUNTIF(Events!$F$2:$F$265,A40)</f>
        <v>1</v>
      </c>
      <c r="C40" s="10"/>
      <c r="D40" s="10"/>
      <c r="E40" s="10"/>
      <c r="F40" s="10"/>
      <c r="G40" s="10"/>
      <c r="H40" s="10"/>
      <c r="I40" s="10"/>
      <c r="J40" s="10"/>
      <c r="K40" s="10"/>
    </row>
    <row r="41" customFormat="false" ht="15" hidden="false" customHeight="true" outlineLevel="0" collapsed="false">
      <c r="A41" s="10" t="s">
        <v>459</v>
      </c>
      <c r="B41" s="10" t="n">
        <f aca="false">COUNTIF(Events!$F$2:$F$265,A41)</f>
        <v>8</v>
      </c>
      <c r="C41" s="10"/>
      <c r="D41" s="10"/>
      <c r="E41" s="10"/>
      <c r="F41" s="10"/>
      <c r="G41" s="10"/>
      <c r="H41" s="10"/>
      <c r="I41" s="10"/>
      <c r="J41" s="10"/>
      <c r="K41" s="10"/>
    </row>
    <row r="42" customFormat="false" ht="15" hidden="false" customHeight="true" outlineLevel="0" collapsed="false">
      <c r="A42" s="10" t="s">
        <v>898</v>
      </c>
      <c r="B42" s="10" t="n">
        <f aca="false">COUNTIF(Events!$F$2:$F$265,A42)</f>
        <v>3</v>
      </c>
      <c r="C42" s="10"/>
      <c r="D42" s="10"/>
      <c r="E42" s="10"/>
      <c r="F42" s="10"/>
      <c r="G42" s="10"/>
      <c r="H42" s="10"/>
      <c r="I42" s="10"/>
      <c r="J42" s="10"/>
      <c r="K42" s="10"/>
    </row>
    <row r="43" customFormat="false" ht="15" hidden="false" customHeight="true" outlineLevel="0" collapsed="false">
      <c r="A43" s="10" t="s">
        <v>359</v>
      </c>
      <c r="B43" s="10" t="n">
        <f aca="false">COUNTIF(Events!$F$2:$F$265,A43)</f>
        <v>1</v>
      </c>
      <c r="C43" s="10"/>
      <c r="D43" s="10"/>
      <c r="E43" s="10"/>
      <c r="F43" s="10"/>
      <c r="G43" s="10"/>
      <c r="H43" s="10"/>
      <c r="I43" s="10"/>
      <c r="J43" s="10"/>
      <c r="K43" s="10"/>
    </row>
    <row r="44" customFormat="false" ht="15" hidden="false" customHeight="true" outlineLevel="0" collapsed="false">
      <c r="A44" s="10" t="s">
        <v>412</v>
      </c>
      <c r="B44" s="10" t="n">
        <f aca="false">COUNTIF(Events!$F$2:$F$265,A44)</f>
        <v>1</v>
      </c>
      <c r="C44" s="10"/>
      <c r="D44" s="10"/>
      <c r="E44" s="10"/>
      <c r="F44" s="10"/>
      <c r="G44" s="10"/>
      <c r="H44" s="10"/>
      <c r="I44" s="10"/>
      <c r="J44" s="10"/>
      <c r="K44" s="10"/>
    </row>
    <row r="45" customFormat="false" ht="15" hidden="false" customHeight="true" outlineLevel="0" collapsed="false">
      <c r="A45" s="10" t="s">
        <v>1616</v>
      </c>
      <c r="B45" s="10" t="n">
        <f aca="false">COUNTIF(Events!$F$2:$F$265,A45)</f>
        <v>1</v>
      </c>
      <c r="C45" s="10"/>
      <c r="D45" s="10"/>
      <c r="E45" s="10"/>
      <c r="F45" s="10"/>
      <c r="G45" s="10"/>
      <c r="H45" s="10"/>
      <c r="I45" s="10"/>
      <c r="J45" s="10"/>
      <c r="K45" s="10"/>
    </row>
    <row r="46" customFormat="false" ht="15" hidden="false" customHeight="true" outlineLevel="0" collapsed="false">
      <c r="A46" s="10" t="s">
        <v>342</v>
      </c>
      <c r="B46" s="10" t="n">
        <f aca="false">COUNTIF(Events!$F$2:$F$265,A46)</f>
        <v>2</v>
      </c>
      <c r="C46" s="10"/>
      <c r="D46" s="10"/>
      <c r="E46" s="10"/>
      <c r="F46" s="10"/>
      <c r="G46" s="10"/>
      <c r="H46" s="10"/>
      <c r="I46" s="10"/>
      <c r="J46" s="10"/>
      <c r="K46" s="10"/>
    </row>
    <row r="47" customFormat="false" ht="15" hidden="false" customHeight="true" outlineLevel="0" collapsed="false">
      <c r="A47" s="10" t="s">
        <v>1752</v>
      </c>
      <c r="B47" s="10" t="n">
        <f aca="false">COUNTIF(Events!$F$2:$F$265,A47)</f>
        <v>1</v>
      </c>
      <c r="C47" s="10"/>
      <c r="D47" s="10"/>
      <c r="E47" s="10"/>
      <c r="F47" s="10"/>
      <c r="G47" s="10"/>
      <c r="H47" s="10"/>
      <c r="I47" s="10"/>
      <c r="J47" s="10"/>
      <c r="K47" s="10"/>
    </row>
    <row r="48" customFormat="false" ht="15" hidden="false" customHeight="true" outlineLevel="0" collapsed="false">
      <c r="A48" s="10" t="s">
        <v>159</v>
      </c>
      <c r="B48" s="10" t="n">
        <f aca="false">COUNTIF(Events!$F$2:$F$265,A48)</f>
        <v>12</v>
      </c>
      <c r="C48" s="10"/>
      <c r="D48" s="10"/>
      <c r="E48" s="10"/>
      <c r="F48" s="10"/>
      <c r="G48" s="10"/>
      <c r="H48" s="10"/>
      <c r="I48" s="10"/>
      <c r="J48" s="10"/>
      <c r="K48" s="10"/>
    </row>
    <row r="49" customFormat="false" ht="15" hidden="false" customHeight="true" outlineLevel="0" collapsed="false">
      <c r="A49" s="10" t="s">
        <v>1211</v>
      </c>
      <c r="B49" s="10" t="n">
        <f aca="false">COUNTIF(Events!$F$2:$F$265,A49)</f>
        <v>1</v>
      </c>
      <c r="C49" s="10"/>
      <c r="D49" s="10"/>
      <c r="E49" s="10"/>
      <c r="F49" s="10"/>
      <c r="G49" s="10"/>
      <c r="H49" s="10"/>
      <c r="I49" s="10"/>
      <c r="J49" s="10"/>
      <c r="K49" s="10"/>
    </row>
    <row r="50" customFormat="false" ht="15" hidden="false" customHeight="true" outlineLevel="0" collapsed="false">
      <c r="A50" s="10" t="s">
        <v>1369</v>
      </c>
      <c r="B50" s="10" t="n">
        <f aca="false">COUNTIF(Events!$F$2:$F$265,A50)</f>
        <v>1</v>
      </c>
      <c r="C50" s="10"/>
      <c r="D50" s="10"/>
      <c r="E50" s="10"/>
      <c r="F50" s="10"/>
      <c r="G50" s="10"/>
      <c r="H50" s="10"/>
      <c r="I50" s="10"/>
      <c r="J50" s="10"/>
      <c r="K50" s="10"/>
    </row>
    <row r="51" customFormat="false" ht="15" hidden="false" customHeight="true" outlineLevel="0" collapsed="false">
      <c r="A51" s="10" t="s">
        <v>1291</v>
      </c>
      <c r="B51" s="10" t="n">
        <f aca="false">COUNTIF(Events!$F$2:$F$265,A51)</f>
        <v>3</v>
      </c>
      <c r="C51" s="10"/>
      <c r="D51" s="10"/>
      <c r="E51" s="10"/>
      <c r="F51" s="10"/>
      <c r="G51" s="10"/>
      <c r="H51" s="10"/>
      <c r="I51" s="10"/>
      <c r="J51" s="10"/>
      <c r="K51" s="10"/>
    </row>
    <row r="52" customFormat="false" ht="15" hidden="false" customHeight="true" outlineLevel="0" collapsed="false">
      <c r="A52" s="10" t="s">
        <v>129</v>
      </c>
      <c r="B52" s="10" t="n">
        <f aca="false">COUNTIF(Events!$F$2:$F$265,A52)</f>
        <v>10</v>
      </c>
      <c r="C52" s="10"/>
      <c r="D52" s="10"/>
      <c r="E52" s="10"/>
      <c r="F52" s="10"/>
      <c r="G52" s="10"/>
      <c r="H52" s="10"/>
      <c r="I52" s="10"/>
      <c r="J52" s="10"/>
      <c r="K52" s="10"/>
    </row>
    <row r="53" customFormat="false" ht="15" hidden="false" customHeight="true" outlineLevel="0" collapsed="false">
      <c r="A53" s="10" t="s">
        <v>654</v>
      </c>
      <c r="B53" s="10" t="n">
        <f aca="false">COUNTIF(Events!$F$2:$F$265,A53)</f>
        <v>2</v>
      </c>
      <c r="C53" s="10"/>
      <c r="D53" s="10"/>
      <c r="E53" s="10"/>
      <c r="F53" s="10"/>
      <c r="G53" s="10"/>
      <c r="H53" s="10"/>
      <c r="I53" s="10"/>
      <c r="J53" s="10"/>
      <c r="K53" s="10"/>
    </row>
    <row r="54" customFormat="false" ht="15" hidden="false" customHeight="true" outlineLevel="0" collapsed="false">
      <c r="A54" s="10" t="s">
        <v>1636</v>
      </c>
      <c r="B54" s="10" t="n">
        <f aca="false">COUNTIF(Events!$F$2:$F$265,A54)</f>
        <v>1</v>
      </c>
      <c r="C54" s="10"/>
      <c r="D54" s="10"/>
      <c r="E54" s="10"/>
      <c r="F54" s="10"/>
      <c r="G54" s="10"/>
      <c r="H54" s="10"/>
      <c r="I54" s="10"/>
      <c r="J54" s="10"/>
      <c r="K54" s="10"/>
    </row>
    <row r="55" customFormat="false" ht="15" hidden="false" customHeight="true" outlineLevel="0" collapsed="false">
      <c r="A55" s="10" t="s">
        <v>1244</v>
      </c>
      <c r="B55" s="10" t="n">
        <f aca="false">COUNTIF(Events!$F$2:$F$265,A55)</f>
        <v>3</v>
      </c>
      <c r="C55" s="10"/>
      <c r="D55" s="10"/>
      <c r="E55" s="10"/>
      <c r="F55" s="10"/>
      <c r="G55" s="10"/>
      <c r="H55" s="10"/>
      <c r="I55" s="10"/>
      <c r="J55" s="10"/>
      <c r="K55" s="10"/>
    </row>
    <row r="56" customFormat="false" ht="15" hidden="false" customHeight="true" outlineLevel="0" collapsed="false">
      <c r="A56" s="10" t="s">
        <v>1417</v>
      </c>
      <c r="B56" s="10" t="n">
        <f aca="false">COUNTIF(Events!$F$2:$F$265,A56)</f>
        <v>2</v>
      </c>
      <c r="C56" s="10"/>
      <c r="D56" s="10"/>
      <c r="E56" s="10"/>
      <c r="F56" s="10"/>
      <c r="G56" s="10"/>
      <c r="H56" s="10"/>
      <c r="I56" s="10"/>
      <c r="J56" s="10"/>
      <c r="K56" s="10"/>
    </row>
    <row r="57" customFormat="false" ht="15" hidden="false" customHeight="true" outlineLevel="0" collapsed="false">
      <c r="A57" s="10" t="s">
        <v>766</v>
      </c>
      <c r="B57" s="10" t="n">
        <f aca="false">COUNTIF(Events!$F$2:$F$265,A57)</f>
        <v>5</v>
      </c>
      <c r="C57" s="10"/>
      <c r="D57" s="10"/>
      <c r="E57" s="10"/>
      <c r="F57" s="10"/>
      <c r="G57" s="10"/>
      <c r="H57" s="10"/>
      <c r="I57" s="10"/>
      <c r="J57" s="10"/>
      <c r="K57" s="10"/>
    </row>
    <row r="58" customFormat="false" ht="15" hidden="false" customHeight="true" outlineLevel="0" collapsed="false">
      <c r="A58" s="10" t="s">
        <v>621</v>
      </c>
      <c r="B58" s="10" t="n">
        <f aca="false">COUNTIF(Events!$F$2:$F$265,A58)</f>
        <v>2</v>
      </c>
      <c r="C58" s="10"/>
      <c r="D58" s="10"/>
      <c r="E58" s="10"/>
      <c r="F58" s="10"/>
      <c r="G58" s="10"/>
      <c r="H58" s="10"/>
      <c r="I58" s="10"/>
      <c r="J58" s="10"/>
      <c r="K58" s="10"/>
    </row>
    <row r="59" customFormat="false" ht="15" hidden="false" customHeight="true" outlineLevel="0" collapsed="false">
      <c r="A59" s="10" t="s">
        <v>921</v>
      </c>
      <c r="B59" s="10" t="n">
        <f aca="false">COUNTIF(Events!$F$2:$F$265,A59)</f>
        <v>1</v>
      </c>
      <c r="C59" s="10"/>
      <c r="D59" s="10"/>
      <c r="E59" s="10"/>
      <c r="F59" s="10"/>
      <c r="G59" s="10"/>
      <c r="H59" s="10"/>
      <c r="I59" s="10"/>
      <c r="J59" s="10"/>
      <c r="K59" s="10"/>
    </row>
    <row r="60" customFormat="false" ht="15" hidden="false" customHeight="true" outlineLevel="0" collapsed="false">
      <c r="A60" s="10" t="s">
        <v>167</v>
      </c>
      <c r="B60" s="10" t="n">
        <f aca="false">COUNTIF(Events!$F$2:$F$265,A60)</f>
        <v>1</v>
      </c>
      <c r="C60" s="10"/>
      <c r="D60" s="10"/>
      <c r="E60" s="10"/>
      <c r="F60" s="10"/>
      <c r="G60" s="10"/>
      <c r="H60" s="10"/>
      <c r="I60" s="10"/>
      <c r="J60" s="10"/>
      <c r="K60" s="10"/>
    </row>
    <row r="61" customFormat="false" ht="15" hidden="false" customHeight="true" outlineLevel="0" collapsed="false">
      <c r="A61" s="10" t="s">
        <v>1762</v>
      </c>
      <c r="B61" s="10" t="n">
        <f aca="false">COUNTIF(Events!$F$2:$F$265,A61)</f>
        <v>1</v>
      </c>
      <c r="C61" s="10"/>
      <c r="D61" s="10"/>
      <c r="E61" s="10"/>
      <c r="F61" s="10"/>
      <c r="G61" s="10"/>
      <c r="H61" s="10"/>
      <c r="I61" s="10"/>
      <c r="J61" s="10"/>
      <c r="K61" s="10"/>
    </row>
    <row r="62" customFormat="false" ht="15" hidden="false" customHeight="true" outlineLevel="0" collapsed="false">
      <c r="A62" s="10" t="s">
        <v>1554</v>
      </c>
      <c r="B62" s="10" t="n">
        <f aca="false">COUNTIF(Events!$F$2:$F$265,A62)</f>
        <v>2</v>
      </c>
      <c r="C62" s="10"/>
      <c r="D62" s="10"/>
      <c r="E62" s="10"/>
      <c r="F62" s="10"/>
      <c r="G62" s="10"/>
      <c r="H62" s="10"/>
      <c r="I62" s="10"/>
      <c r="J62" s="10"/>
      <c r="K62" s="10"/>
    </row>
    <row r="63" customFormat="false" ht="15" hidden="false" customHeight="true" outlineLevel="0" collapsed="false">
      <c r="A63" s="10" t="s">
        <v>1395</v>
      </c>
      <c r="B63" s="10" t="n">
        <f aca="false">COUNTIF(Events!$F$2:$F$265,A63)</f>
        <v>2</v>
      </c>
      <c r="C63" s="10"/>
      <c r="D63" s="10"/>
      <c r="E63" s="10"/>
      <c r="F63" s="10"/>
      <c r="G63" s="10"/>
      <c r="H63" s="10"/>
      <c r="I63" s="10"/>
      <c r="J63" s="10"/>
      <c r="K63" s="10"/>
    </row>
    <row r="64" customFormat="false" ht="15" hidden="false" customHeight="true" outlineLevel="0" collapsed="false">
      <c r="A64" s="10" t="s">
        <v>328</v>
      </c>
      <c r="B64" s="10" t="n">
        <f aca="false">COUNTIF(Events!$F$2:$F$265,A64)</f>
        <v>1</v>
      </c>
      <c r="C64" s="10"/>
      <c r="D64" s="10"/>
      <c r="E64" s="10"/>
      <c r="F64" s="10"/>
      <c r="G64" s="10"/>
      <c r="H64" s="10"/>
      <c r="I64" s="10"/>
      <c r="J64" s="10"/>
      <c r="K64" s="10"/>
    </row>
    <row r="65" customFormat="false" ht="15" hidden="false" customHeight="true" outlineLevel="0" collapsed="false">
      <c r="A65" s="10" t="s">
        <v>726</v>
      </c>
      <c r="B65" s="10" t="n">
        <f aca="false">COUNTIF(Events!$F$2:$F$265,A65)</f>
        <v>4</v>
      </c>
      <c r="C65" s="10"/>
      <c r="D65" s="10"/>
      <c r="E65" s="10"/>
      <c r="F65" s="10"/>
      <c r="G65" s="10"/>
      <c r="H65" s="10"/>
      <c r="I65" s="10"/>
      <c r="J65" s="10"/>
      <c r="K65" s="10"/>
    </row>
    <row r="66" customFormat="false" ht="15" hidden="false" customHeight="true" outlineLevel="0" collapsed="false">
      <c r="A66" s="10" t="s">
        <v>1748</v>
      </c>
      <c r="B66" s="10" t="n">
        <f aca="false">COUNTIF(Events!$F$2:$F$265,A66)</f>
        <v>1</v>
      </c>
      <c r="C66" s="10"/>
      <c r="D66" s="10"/>
      <c r="E66" s="10"/>
      <c r="F66" s="10"/>
      <c r="G66" s="10"/>
      <c r="H66" s="10"/>
      <c r="I66" s="10"/>
      <c r="J66" s="10"/>
      <c r="K66" s="10"/>
    </row>
    <row r="67" customFormat="false" ht="15" hidden="false" customHeight="true" outlineLevel="0" collapsed="false">
      <c r="A67" s="10" t="s">
        <v>139</v>
      </c>
      <c r="B67" s="10" t="n">
        <f aca="false">COUNTIF(Events!$F$2:$F$265,A67)</f>
        <v>12</v>
      </c>
      <c r="C67" s="10"/>
      <c r="D67" s="10"/>
      <c r="E67" s="10"/>
      <c r="F67" s="10"/>
      <c r="G67" s="10"/>
      <c r="H67" s="10"/>
      <c r="I67" s="10"/>
      <c r="J67" s="10"/>
      <c r="K67" s="10"/>
    </row>
    <row r="68" customFormat="false" ht="15" hidden="false" customHeight="true" outlineLevel="0" collapsed="false">
      <c r="A68" s="10" t="s">
        <v>368</v>
      </c>
      <c r="B68" s="10" t="n">
        <f aca="false">COUNTIF(Events!$F$2:$F$265,A68)</f>
        <v>1</v>
      </c>
      <c r="C68" s="10"/>
      <c r="D68" s="10"/>
      <c r="E68" s="10"/>
      <c r="F68" s="10"/>
      <c r="G68" s="10"/>
      <c r="H68" s="10"/>
      <c r="I68" s="10"/>
      <c r="J68" s="10"/>
      <c r="K68" s="10"/>
    </row>
    <row r="69" customFormat="false" ht="15" hidden="false" customHeight="true" outlineLevel="0" collapsed="false">
      <c r="A69" s="10" t="s">
        <v>211</v>
      </c>
      <c r="B69" s="10" t="n">
        <f aca="false">COUNTIF(Events!$F$2:$F$265,A69)</f>
        <v>1</v>
      </c>
      <c r="C69" s="10"/>
      <c r="D69" s="10"/>
      <c r="E69" s="10"/>
      <c r="F69" s="10"/>
      <c r="G69" s="10"/>
      <c r="H69" s="10"/>
      <c r="I69" s="10"/>
      <c r="J69" s="10"/>
      <c r="K69" s="10"/>
    </row>
    <row r="70" customFormat="false" ht="15" hidden="false" customHeight="true" outlineLevel="0" collapsed="false">
      <c r="A70" s="10" t="s">
        <v>971</v>
      </c>
      <c r="B70" s="10" t="n">
        <f aca="false">COUNTIF(Events!$F$2:$F$265,A70)</f>
        <v>4</v>
      </c>
      <c r="C70" s="10"/>
      <c r="D70" s="10"/>
      <c r="E70" s="10"/>
      <c r="F70" s="10"/>
      <c r="G70" s="10"/>
      <c r="H70" s="10"/>
      <c r="I70" s="10"/>
      <c r="J70" s="10"/>
      <c r="K70" s="10"/>
    </row>
    <row r="71" customFormat="false" ht="15" hidden="false" customHeight="true" outlineLevel="0" collapsed="false">
      <c r="A71" s="10" t="s">
        <v>1267</v>
      </c>
      <c r="B71" s="10" t="n">
        <f aca="false">COUNTIF(Events!$F$2:$F$265,A71)</f>
        <v>1</v>
      </c>
      <c r="C71" s="10"/>
      <c r="D71" s="10"/>
      <c r="E71" s="10"/>
      <c r="F71" s="10"/>
      <c r="G71" s="10"/>
      <c r="H71" s="10"/>
      <c r="I71" s="10"/>
      <c r="J71" s="10"/>
      <c r="K71" s="10"/>
    </row>
    <row r="72" customFormat="false" ht="15" hidden="false" customHeight="true" outlineLevel="0" collapsed="false">
      <c r="A72" s="10" t="s">
        <v>1646</v>
      </c>
      <c r="B72" s="10" t="n">
        <f aca="false">COUNTIF(Events!$F$2:$F$265,A72)</f>
        <v>1</v>
      </c>
      <c r="C72" s="10"/>
      <c r="D72" s="10"/>
      <c r="E72" s="10"/>
      <c r="F72" s="10"/>
      <c r="G72" s="10"/>
      <c r="H72" s="10"/>
      <c r="I72" s="10"/>
      <c r="J72" s="10"/>
      <c r="K72" s="10"/>
    </row>
    <row r="73" customFormat="false" ht="15" hidden="false" customHeight="true" outlineLevel="0" collapsed="false">
      <c r="A73" s="10" t="s">
        <v>1184</v>
      </c>
      <c r="B73" s="10" t="n">
        <f aca="false">COUNTIF(Events!$F$2:$F$265,A73)</f>
        <v>3</v>
      </c>
      <c r="C73" s="10"/>
      <c r="D73" s="10"/>
      <c r="E73" s="10"/>
      <c r="F73" s="10"/>
      <c r="G73" s="10"/>
      <c r="H73" s="10"/>
      <c r="I73" s="10"/>
      <c r="J73" s="10"/>
      <c r="K73" s="10"/>
    </row>
    <row r="74" customFormat="false" ht="15" hidden="false" customHeight="true" outlineLevel="0" collapsed="false">
      <c r="A74" s="10" t="s">
        <v>1668</v>
      </c>
      <c r="B74" s="10" t="n">
        <f aca="false">COUNTIF(Events!$F$2:$F$265,A74)</f>
        <v>1</v>
      </c>
      <c r="C74" s="10"/>
      <c r="D74" s="10"/>
      <c r="E74" s="10"/>
      <c r="F74" s="10"/>
      <c r="G74" s="10"/>
      <c r="H74" s="10"/>
      <c r="I74" s="10"/>
      <c r="J74" s="10"/>
      <c r="K74" s="10"/>
    </row>
    <row r="75" customFormat="false" ht="15" hidden="false" customHeight="true" outlineLevel="0" collapsed="false">
      <c r="A75" s="10" t="s">
        <v>67</v>
      </c>
      <c r="B75" s="10" t="n">
        <f aca="false">COUNTIF(Events!$F$2:$F$265,A75)</f>
        <v>18</v>
      </c>
      <c r="C75" s="10"/>
      <c r="D75" s="10"/>
      <c r="E75" s="10"/>
      <c r="F75" s="10"/>
      <c r="G75" s="10"/>
      <c r="H75" s="10"/>
      <c r="I75" s="10"/>
      <c r="J75" s="10"/>
      <c r="K75" s="10"/>
    </row>
    <row r="76" customFormat="false" ht="15" hidden="false" customHeight="true" outlineLevel="0" collapsed="false">
      <c r="A76" s="10" t="s">
        <v>377</v>
      </c>
      <c r="B76" s="10" t="n">
        <f aca="false">COUNTIF(Events!$F$2:$F$265,A76)</f>
        <v>2</v>
      </c>
      <c r="C76" s="10"/>
      <c r="D76" s="10"/>
      <c r="E76" s="10"/>
      <c r="F76" s="10"/>
      <c r="G76" s="10"/>
      <c r="H76" s="10"/>
      <c r="I76" s="10"/>
      <c r="J76" s="10"/>
      <c r="K76" s="10"/>
    </row>
    <row r="77" customFormat="false" ht="15" hidden="false" customHeight="true" outlineLevel="0" collapsed="false">
      <c r="A77" s="10" t="s">
        <v>97</v>
      </c>
      <c r="B77" s="10" t="n">
        <f aca="false">COUNTIF(Events!$F$2:$F$265,A77)</f>
        <v>8</v>
      </c>
      <c r="C77" s="10"/>
      <c r="D77" s="10"/>
      <c r="E77" s="10"/>
      <c r="F77" s="10"/>
      <c r="G77" s="10"/>
      <c r="H77" s="10"/>
      <c r="I77" s="10"/>
      <c r="J77" s="10"/>
      <c r="K77" s="10"/>
    </row>
    <row r="78" customFormat="false" ht="15" hidden="false" customHeight="true" outlineLevel="0" collapsed="false">
      <c r="A78" s="10" t="s">
        <v>286</v>
      </c>
      <c r="B78" s="10" t="n">
        <f aca="false">COUNTIF(Events!$F$2:$F$265,A78)</f>
        <v>1</v>
      </c>
      <c r="C78" s="10"/>
      <c r="D78" s="10"/>
      <c r="E78" s="10"/>
      <c r="F78" s="10"/>
      <c r="G78" s="10"/>
      <c r="H78" s="10"/>
      <c r="I78" s="10"/>
      <c r="J78" s="10"/>
      <c r="K78" s="10"/>
    </row>
    <row r="79" customFormat="false" ht="15" hidden="false" customHeight="true" outlineLevel="0" collapsed="false">
      <c r="A79" s="10" t="s">
        <v>1431</v>
      </c>
      <c r="B79" s="10" t="n">
        <f aca="false">COUNTIF(Events!$F$2:$F$265,A79)</f>
        <v>4</v>
      </c>
      <c r="C79" s="10"/>
      <c r="D79" s="10"/>
      <c r="E79" s="10"/>
      <c r="F79" s="10"/>
      <c r="G79" s="10"/>
      <c r="H79" s="10"/>
      <c r="I79" s="10"/>
      <c r="J79" s="10"/>
      <c r="K79" s="10"/>
    </row>
    <row r="80" customFormat="false" ht="15" hidden="false" customHeight="true" outlineLevel="0" collapsed="false">
      <c r="A80" s="10" t="s">
        <v>262</v>
      </c>
      <c r="B80" s="10" t="n">
        <f aca="false">COUNTIF(Events!$F$2:$F$265,A80)</f>
        <v>1</v>
      </c>
      <c r="C80" s="10"/>
      <c r="D80" s="10"/>
      <c r="E80" s="10"/>
      <c r="F80" s="10"/>
      <c r="G80" s="10"/>
      <c r="H80" s="10"/>
      <c r="I80" s="10"/>
      <c r="J80" s="10"/>
      <c r="K80" s="10"/>
    </row>
    <row r="81" customFormat="false" ht="15" hidden="false" customHeight="true" outlineLevel="0" collapsed="false">
      <c r="A81" s="10" t="s">
        <v>959</v>
      </c>
      <c r="B81" s="10" t="n">
        <f aca="false">COUNTIF(Events!$F$2:$F$265,A81)</f>
        <v>1</v>
      </c>
      <c r="C81" s="10"/>
      <c r="D81" s="10"/>
      <c r="E81" s="10"/>
      <c r="F81" s="10"/>
      <c r="G81" s="10"/>
      <c r="H81" s="10"/>
      <c r="I81" s="10"/>
      <c r="J81" s="10"/>
      <c r="K81" s="10"/>
    </row>
    <row r="82" customFormat="false" ht="15" hidden="false" customHeight="true" outlineLevel="0" collapsed="false">
      <c r="A82" s="10" t="s">
        <v>1581</v>
      </c>
      <c r="B82" s="10" t="n">
        <f aca="false">COUNTIF(Events!$F$2:$F$265,A82)</f>
        <v>1</v>
      </c>
      <c r="C82" s="10"/>
      <c r="D82" s="10"/>
      <c r="E82" s="10"/>
      <c r="F82" s="10"/>
      <c r="G82" s="10"/>
      <c r="H82" s="10"/>
      <c r="I82" s="10"/>
      <c r="J82" s="10"/>
      <c r="K82" s="10"/>
    </row>
    <row r="83" customFormat="false" ht="15" hidden="false" customHeight="true" outlineLevel="0" collapsed="false">
      <c r="A83" s="10" t="s">
        <v>928</v>
      </c>
      <c r="B83" s="10" t="n">
        <f aca="false">COUNTIF(Events!$F$2:$F$265,A83)</f>
        <v>2</v>
      </c>
      <c r="C83" s="10"/>
      <c r="D83" s="10"/>
      <c r="E83" s="10"/>
      <c r="F83" s="10"/>
      <c r="G83" s="10"/>
      <c r="H83" s="10"/>
      <c r="I83" s="10"/>
      <c r="J83" s="10"/>
      <c r="K83" s="10"/>
    </row>
    <row r="84" customFormat="false" ht="15" hidden="false" customHeight="true" outlineLevel="0" collapsed="false">
      <c r="A84" s="10"/>
      <c r="B84" s="10"/>
      <c r="C84" s="10"/>
      <c r="D84" s="10"/>
      <c r="E84" s="10"/>
      <c r="F84" s="10"/>
      <c r="G84" s="10"/>
      <c r="H84" s="10"/>
      <c r="I84" s="10"/>
      <c r="J84" s="10"/>
      <c r="K84" s="10"/>
    </row>
    <row r="85" customFormat="false" ht="15" hidden="false" customHeight="true" outlineLevel="0" collapsed="false">
      <c r="A85" s="9" t="s">
        <v>2086</v>
      </c>
      <c r="B85" s="10" t="n">
        <f aca="false">SUM(B3:B84)</f>
        <v>264</v>
      </c>
      <c r="C85" s="10"/>
      <c r="D85" s="10"/>
      <c r="E85" s="10"/>
      <c r="F85" s="10"/>
      <c r="G85" s="10"/>
      <c r="H85" s="10"/>
      <c r="I85" s="10"/>
      <c r="J85" s="10"/>
      <c r="K85" s="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5"/>
    <col collapsed="false" customWidth="true" hidden="false" outlineLevel="0" max="2" min="2" style="1" width="60"/>
    <col collapsed="false" customWidth="true" hidden="false" outlineLevel="0" max="3" min="3" style="1" width="70"/>
  </cols>
  <sheetData>
    <row r="1" customFormat="false" ht="15" hidden="false" customHeight="true" outlineLevel="0" collapsed="false">
      <c r="A1" s="6" t="s">
        <v>1865</v>
      </c>
      <c r="B1" s="6" t="s">
        <v>2087</v>
      </c>
      <c r="C1" s="6" t="s">
        <v>2088</v>
      </c>
    </row>
    <row r="2" customFormat="false" ht="23.25" hidden="false" customHeight="true" outlineLevel="0" collapsed="false">
      <c r="A2" s="7" t="s">
        <v>627</v>
      </c>
      <c r="B2" s="7" t="s">
        <v>628</v>
      </c>
      <c r="C2" s="7" t="s">
        <v>2089</v>
      </c>
    </row>
    <row r="3" customFormat="false" ht="23.25" hidden="false" customHeight="true" outlineLevel="0" collapsed="false">
      <c r="A3" s="7" t="s">
        <v>2090</v>
      </c>
      <c r="B3" s="7" t="s">
        <v>1799</v>
      </c>
      <c r="C3" s="7" t="s">
        <v>2091</v>
      </c>
    </row>
    <row r="4" customFormat="false" ht="15" hidden="false" customHeight="true" outlineLevel="0" collapsed="false">
      <c r="A4" s="7" t="s">
        <v>2092</v>
      </c>
      <c r="B4" s="7" t="s">
        <v>2093</v>
      </c>
      <c r="C4" s="7" t="s">
        <v>2094</v>
      </c>
    </row>
    <row r="5" customFormat="false" ht="15" hidden="false" customHeight="true" outlineLevel="0" collapsed="false">
      <c r="A5" s="7" t="s">
        <v>977</v>
      </c>
      <c r="B5" s="7" t="s">
        <v>978</v>
      </c>
      <c r="C5" s="7" t="s">
        <v>2095</v>
      </c>
    </row>
    <row r="6" customFormat="false" ht="23.25" hidden="false" customHeight="true" outlineLevel="0" collapsed="false">
      <c r="A6" s="7" t="s">
        <v>1236</v>
      </c>
      <c r="B6" s="7" t="s">
        <v>1237</v>
      </c>
      <c r="C6" s="7" t="s">
        <v>2096</v>
      </c>
    </row>
    <row r="7" customFormat="false" ht="23.25" hidden="false" customHeight="true" outlineLevel="0" collapsed="false">
      <c r="A7" s="7" t="s">
        <v>2097</v>
      </c>
      <c r="B7" s="7" t="s">
        <v>628</v>
      </c>
      <c r="C7" s="7" t="s">
        <v>2098</v>
      </c>
    </row>
    <row r="8" customFormat="false" ht="23.25" hidden="false" customHeight="true" outlineLevel="0" collapsed="false">
      <c r="A8" s="7" t="s">
        <v>2099</v>
      </c>
      <c r="B8" s="7" t="s">
        <v>1189</v>
      </c>
      <c r="C8" s="7" t="s">
        <v>2100</v>
      </c>
    </row>
    <row r="9" customFormat="false" ht="68.25" hidden="false" customHeight="true" outlineLevel="0" collapsed="false">
      <c r="A9" s="7" t="s">
        <v>73</v>
      </c>
      <c r="B9" s="7" t="s">
        <v>74</v>
      </c>
      <c r="C9" s="7" t="s">
        <v>2101</v>
      </c>
    </row>
    <row r="10" customFormat="false" ht="34.5" hidden="false" customHeight="true" outlineLevel="0" collapsed="false">
      <c r="A10" s="7" t="s">
        <v>2102</v>
      </c>
      <c r="B10" s="7" t="s">
        <v>2103</v>
      </c>
      <c r="C10" s="7" t="s">
        <v>2104</v>
      </c>
    </row>
    <row r="11" customFormat="false" ht="34.5" hidden="false" customHeight="true" outlineLevel="0" collapsed="false">
      <c r="A11" s="7" t="s">
        <v>2105</v>
      </c>
      <c r="B11" s="7" t="s">
        <v>2106</v>
      </c>
      <c r="C11" s="7" t="s">
        <v>2107</v>
      </c>
    </row>
    <row r="12" customFormat="false" ht="45.75" hidden="false" customHeight="true" outlineLevel="0" collapsed="false">
      <c r="A12" s="7" t="s">
        <v>1064</v>
      </c>
      <c r="B12" s="7" t="s">
        <v>733</v>
      </c>
      <c r="C12" s="7" t="s">
        <v>2108</v>
      </c>
    </row>
    <row r="13" customFormat="false" ht="34.5" hidden="false" customHeight="true" outlineLevel="0" collapsed="false">
      <c r="A13" s="7" t="s">
        <v>813</v>
      </c>
      <c r="B13" s="7" t="s">
        <v>814</v>
      </c>
      <c r="C13" s="7" t="s">
        <v>2109</v>
      </c>
    </row>
    <row r="14" customFormat="false" ht="68.25" hidden="false" customHeight="true" outlineLevel="0" collapsed="false">
      <c r="A14" s="7" t="s">
        <v>314</v>
      </c>
      <c r="B14" s="7" t="s">
        <v>315</v>
      </c>
      <c r="C14" s="7" t="s">
        <v>2110</v>
      </c>
    </row>
    <row r="15" customFormat="false" ht="34.5" hidden="false" customHeight="true" outlineLevel="0" collapsed="false">
      <c r="A15" s="7" t="s">
        <v>2111</v>
      </c>
      <c r="B15" s="7"/>
      <c r="C15" s="7" t="s">
        <v>2112</v>
      </c>
    </row>
    <row r="16" customFormat="false" ht="23.25" hidden="false" customHeight="true" outlineLevel="0" collapsed="false">
      <c r="A16" s="7" t="s">
        <v>2113</v>
      </c>
      <c r="B16" s="7"/>
      <c r="C16" s="7" t="s">
        <v>2114</v>
      </c>
    </row>
    <row r="17" customFormat="false" ht="34.5" hidden="false" customHeight="true" outlineLevel="0" collapsed="false">
      <c r="A17" s="7" t="s">
        <v>2115</v>
      </c>
      <c r="B17" s="7"/>
      <c r="C17" s="7" t="s">
        <v>2116</v>
      </c>
    </row>
    <row r="18" customFormat="false" ht="23.25" hidden="false" customHeight="true" outlineLevel="0" collapsed="false">
      <c r="A18" s="7" t="s">
        <v>2117</v>
      </c>
      <c r="B18" s="7" t="s">
        <v>2118</v>
      </c>
      <c r="C18" s="7" t="s">
        <v>2119</v>
      </c>
    </row>
    <row r="19" customFormat="false" ht="34.5" hidden="false" customHeight="true" outlineLevel="0" collapsed="false">
      <c r="A19" s="7" t="s">
        <v>2120</v>
      </c>
      <c r="B19" s="7"/>
      <c r="C19" s="7" t="s">
        <v>2121</v>
      </c>
    </row>
    <row r="20" customFormat="false" ht="23.25" hidden="false" customHeight="true" outlineLevel="0" collapsed="false">
      <c r="A20" s="7" t="s">
        <v>2122</v>
      </c>
      <c r="B20" s="7" t="s">
        <v>2123</v>
      </c>
      <c r="C20" s="7" t="s">
        <v>2124</v>
      </c>
    </row>
    <row r="21" customFormat="false" ht="23.25" hidden="false" customHeight="true" outlineLevel="0" collapsed="false">
      <c r="A21" s="7" t="s">
        <v>2125</v>
      </c>
      <c r="B21" s="7" t="s">
        <v>2126</v>
      </c>
      <c r="C21" s="7" t="s">
        <v>2127</v>
      </c>
    </row>
    <row r="22" customFormat="false" ht="15" hidden="false" customHeight="true" outlineLevel="0" collapsed="false">
      <c r="A22" s="7" t="s">
        <v>2128</v>
      </c>
      <c r="B22" s="7" t="s">
        <v>2129</v>
      </c>
      <c r="C22" s="7" t="s">
        <v>2130</v>
      </c>
    </row>
    <row r="23" customFormat="false" ht="15" hidden="false" customHeight="true" outlineLevel="0" collapsed="false">
      <c r="A23" s="7" t="s">
        <v>2131</v>
      </c>
      <c r="B23" s="7" t="s">
        <v>2132</v>
      </c>
      <c r="C23" s="7" t="s">
        <v>2133</v>
      </c>
    </row>
    <row r="24" customFormat="false" ht="15" hidden="false" customHeight="true" outlineLevel="0" collapsed="false">
      <c r="A24" s="7" t="s">
        <v>2134</v>
      </c>
      <c r="B24" s="7" t="s">
        <v>2135</v>
      </c>
      <c r="C24" s="7" t="s">
        <v>2136</v>
      </c>
    </row>
    <row r="25" customFormat="false" ht="57" hidden="false" customHeight="true" outlineLevel="0" collapsed="false">
      <c r="A25" s="7" t="s">
        <v>2137</v>
      </c>
      <c r="B25" s="7"/>
      <c r="C25" s="7" t="s">
        <v>2138</v>
      </c>
    </row>
    <row r="26" customFormat="false" ht="45.75" hidden="false" customHeight="true" outlineLevel="0" collapsed="false">
      <c r="A26" s="7" t="s">
        <v>2139</v>
      </c>
      <c r="B26" s="7" t="s">
        <v>2140</v>
      </c>
      <c r="C26" s="7" t="s">
        <v>2141</v>
      </c>
    </row>
    <row r="27" customFormat="false" ht="68.25" hidden="false" customHeight="true" outlineLevel="0" collapsed="false">
      <c r="A27" s="7" t="s">
        <v>2142</v>
      </c>
      <c r="B27" s="7" t="s">
        <v>2143</v>
      </c>
      <c r="C27" s="7" t="s">
        <v>2144</v>
      </c>
    </row>
    <row r="28" customFormat="false" ht="90.75" hidden="false" customHeight="true" outlineLevel="0" collapsed="false">
      <c r="A28" s="7" t="s">
        <v>2145</v>
      </c>
      <c r="B28" s="7"/>
      <c r="C28" s="7" t="s">
        <v>2146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18"/>
    <col collapsed="false" customWidth="true" hidden="false" outlineLevel="0" max="4" min="4" style="1" width="15"/>
    <col collapsed="false" customWidth="true" hidden="false" outlineLevel="0" max="5" min="5" style="1" width="70"/>
  </cols>
  <sheetData>
    <row r="1" customFormat="false" ht="23.25" hidden="false" customHeight="true" outlineLevel="0" collapsed="false">
      <c r="A1" s="6" t="s">
        <v>2147</v>
      </c>
      <c r="B1" s="6" t="s">
        <v>2148</v>
      </c>
      <c r="C1" s="6" t="s">
        <v>2149</v>
      </c>
      <c r="D1" s="6" t="s">
        <v>2150</v>
      </c>
      <c r="E1" s="6" t="s">
        <v>2151</v>
      </c>
    </row>
    <row r="2" customFormat="false" ht="15" hidden="false" customHeight="true" outlineLevel="0" collapsed="false">
      <c r="A2" s="7" t="s">
        <v>2152</v>
      </c>
      <c r="B2" s="7" t="s">
        <v>2153</v>
      </c>
      <c r="C2" s="7"/>
      <c r="D2" s="7"/>
      <c r="E2" s="7" t="s">
        <v>2154</v>
      </c>
    </row>
    <row r="3" customFormat="false" ht="15" hidden="false" customHeight="true" outlineLevel="0" collapsed="false">
      <c r="A3" s="7" t="s">
        <v>2155</v>
      </c>
      <c r="B3" s="7" t="s">
        <v>2156</v>
      </c>
      <c r="C3" s="7"/>
      <c r="D3" s="7" t="s">
        <v>33</v>
      </c>
      <c r="E3" s="7" t="s">
        <v>2157</v>
      </c>
    </row>
    <row r="4" customFormat="false" ht="15" hidden="false" customHeight="true" outlineLevel="0" collapsed="false">
      <c r="A4" s="7" t="s">
        <v>2158</v>
      </c>
      <c r="B4" s="7" t="s">
        <v>2159</v>
      </c>
      <c r="C4" s="7"/>
      <c r="D4" s="7" t="s">
        <v>25</v>
      </c>
      <c r="E4" s="7" t="s">
        <v>2160</v>
      </c>
    </row>
    <row r="5" customFormat="false" ht="15" hidden="false" customHeight="true" outlineLevel="0" collapsed="false">
      <c r="A5" s="7" t="s">
        <v>2161</v>
      </c>
      <c r="B5" s="7" t="s">
        <v>2162</v>
      </c>
      <c r="C5" s="7"/>
      <c r="D5" s="7"/>
      <c r="E5" s="7" t="s">
        <v>2163</v>
      </c>
    </row>
    <row r="6" customFormat="false" ht="15" hidden="false" customHeight="true" outlineLevel="0" collapsed="false">
      <c r="A6" s="7" t="s">
        <v>2164</v>
      </c>
      <c r="B6" s="7" t="s">
        <v>2165</v>
      </c>
      <c r="C6" s="7"/>
      <c r="D6" s="7"/>
      <c r="E6" s="7" t="s">
        <v>2166</v>
      </c>
    </row>
    <row r="7" customFormat="false" ht="15" hidden="false" customHeight="true" outlineLevel="0" collapsed="false">
      <c r="A7" s="7" t="s">
        <v>2167</v>
      </c>
      <c r="B7" s="7" t="s">
        <v>2168</v>
      </c>
      <c r="C7" s="7"/>
      <c r="D7" s="7"/>
      <c r="E7" s="7" t="s">
        <v>2169</v>
      </c>
    </row>
    <row r="8" customFormat="false" ht="15" hidden="false" customHeight="true" outlineLevel="0" collapsed="false">
      <c r="A8" s="7" t="s">
        <v>2170</v>
      </c>
      <c r="B8" s="7" t="s">
        <v>2171</v>
      </c>
      <c r="C8" s="7" t="s">
        <v>2172</v>
      </c>
      <c r="D8" s="7"/>
      <c r="E8" s="7" t="s">
        <v>2173</v>
      </c>
    </row>
    <row r="9" customFormat="false" ht="15" hidden="false" customHeight="true" outlineLevel="0" collapsed="false">
      <c r="A9" s="7" t="s">
        <v>2174</v>
      </c>
      <c r="B9" s="7" t="s">
        <v>2175</v>
      </c>
      <c r="C9" s="7"/>
      <c r="D9" s="7"/>
      <c r="E9" s="7" t="s">
        <v>2176</v>
      </c>
    </row>
    <row r="10" customFormat="false" ht="15" hidden="false" customHeight="true" outlineLevel="0" collapsed="false">
      <c r="A10" s="7" t="s">
        <v>2177</v>
      </c>
      <c r="B10" s="7" t="s">
        <v>2178</v>
      </c>
      <c r="C10" s="7"/>
      <c r="D10" s="7" t="s">
        <v>27</v>
      </c>
      <c r="E10" s="7" t="s">
        <v>2179</v>
      </c>
    </row>
    <row r="11" customFormat="false" ht="15" hidden="false" customHeight="true" outlineLevel="0" collapsed="false">
      <c r="A11" s="7" t="s">
        <v>2180</v>
      </c>
      <c r="B11" s="7" t="s">
        <v>2178</v>
      </c>
      <c r="C11" s="7"/>
      <c r="D11" s="7" t="s">
        <v>27</v>
      </c>
      <c r="E11" s="7" t="s">
        <v>2181</v>
      </c>
    </row>
    <row r="12" customFormat="false" ht="15" hidden="false" customHeight="true" outlineLevel="0" collapsed="false">
      <c r="A12" s="7" t="s">
        <v>2182</v>
      </c>
      <c r="B12" s="7" t="s">
        <v>2183</v>
      </c>
      <c r="C12" s="7"/>
      <c r="D12" s="7"/>
      <c r="E12" s="7" t="s">
        <v>2184</v>
      </c>
    </row>
    <row r="13" customFormat="false" ht="15" hidden="false" customHeight="true" outlineLevel="0" collapsed="false">
      <c r="A13" s="7" t="s">
        <v>2185</v>
      </c>
      <c r="B13" s="7" t="s">
        <v>2186</v>
      </c>
      <c r="C13" s="7"/>
      <c r="D13" s="7"/>
      <c r="E13" s="7" t="s">
        <v>2187</v>
      </c>
    </row>
    <row r="14" customFormat="false" ht="15" hidden="false" customHeight="true" outlineLevel="0" collapsed="false">
      <c r="A14" s="7" t="s">
        <v>2188</v>
      </c>
      <c r="B14" s="7" t="s">
        <v>2153</v>
      </c>
      <c r="C14" s="7"/>
      <c r="D14" s="7"/>
      <c r="E14" s="7" t="s">
        <v>2189</v>
      </c>
    </row>
    <row r="15" customFormat="false" ht="15" hidden="false" customHeight="true" outlineLevel="0" collapsed="false">
      <c r="A15" s="7" t="s">
        <v>2190</v>
      </c>
      <c r="B15" s="7" t="s">
        <v>2191</v>
      </c>
      <c r="C15" s="7"/>
      <c r="D15" s="7"/>
      <c r="E15" s="7" t="s">
        <v>2192</v>
      </c>
    </row>
    <row r="16" customFormat="false" ht="15" hidden="false" customHeight="true" outlineLevel="0" collapsed="false">
      <c r="A16" s="7" t="s">
        <v>2193</v>
      </c>
      <c r="B16" s="7" t="s">
        <v>2168</v>
      </c>
      <c r="C16" s="7"/>
      <c r="D16" s="7" t="s">
        <v>2194</v>
      </c>
      <c r="E16" s="7" t="s">
        <v>2195</v>
      </c>
    </row>
    <row r="17" customFormat="false" ht="23.25" hidden="false" customHeight="true" outlineLevel="0" collapsed="false">
      <c r="A17" s="7" t="s">
        <v>2196</v>
      </c>
      <c r="B17" s="7" t="s">
        <v>2197</v>
      </c>
      <c r="C17" s="7"/>
      <c r="D17" s="7" t="s">
        <v>27</v>
      </c>
      <c r="E17" s="7" t="s">
        <v>2198</v>
      </c>
    </row>
    <row r="18" customFormat="false" ht="15" hidden="false" customHeight="true" outlineLevel="0" collapsed="false">
      <c r="A18" s="7" t="s">
        <v>2199</v>
      </c>
      <c r="B18" s="7" t="s">
        <v>2200</v>
      </c>
      <c r="C18" s="7" t="s">
        <v>2201</v>
      </c>
      <c r="D18" s="7"/>
      <c r="E18" s="7" t="s">
        <v>2202</v>
      </c>
    </row>
    <row r="19" customFormat="false" ht="15" hidden="false" customHeight="true" outlineLevel="0" collapsed="false">
      <c r="A19" s="7" t="s">
        <v>2203</v>
      </c>
      <c r="B19" s="7" t="s">
        <v>2204</v>
      </c>
      <c r="C19" s="7"/>
      <c r="D19" s="7" t="s">
        <v>31</v>
      </c>
      <c r="E19" s="7" t="s">
        <v>2205</v>
      </c>
    </row>
    <row r="20" customFormat="false" ht="15" hidden="false" customHeight="true" outlineLevel="0" collapsed="false">
      <c r="A20" s="7" t="s">
        <v>2206</v>
      </c>
      <c r="B20" s="7" t="s">
        <v>2207</v>
      </c>
      <c r="C20" s="7"/>
      <c r="D20" s="7"/>
      <c r="E20" s="7" t="s">
        <v>2208</v>
      </c>
    </row>
    <row r="21" customFormat="false" ht="15" hidden="false" customHeight="true" outlineLevel="0" collapsed="false">
      <c r="A21" s="7" t="s">
        <v>2209</v>
      </c>
      <c r="B21" s="7" t="s">
        <v>2159</v>
      </c>
      <c r="C21" s="7"/>
      <c r="D21" s="7" t="s">
        <v>35</v>
      </c>
      <c r="E21" s="7" t="s">
        <v>2210</v>
      </c>
    </row>
    <row r="22" customFormat="false" ht="15" hidden="false" customHeight="true" outlineLevel="0" collapsed="false">
      <c r="A22" s="7" t="s">
        <v>2211</v>
      </c>
      <c r="B22" s="7" t="s">
        <v>2212</v>
      </c>
      <c r="C22" s="7"/>
      <c r="D22" s="7" t="s">
        <v>25</v>
      </c>
      <c r="E22" s="7" t="s">
        <v>2213</v>
      </c>
    </row>
    <row r="23" customFormat="false" ht="15" hidden="false" customHeight="true" outlineLevel="0" collapsed="false">
      <c r="A23" s="7" t="s">
        <v>2214</v>
      </c>
      <c r="B23" s="7" t="s">
        <v>2215</v>
      </c>
      <c r="C23" s="7"/>
      <c r="D23" s="7"/>
      <c r="E23" s="7" t="s">
        <v>2216</v>
      </c>
    </row>
    <row r="24" customFormat="false" ht="15" hidden="false" customHeight="true" outlineLevel="0" collapsed="false">
      <c r="A24" s="7" t="s">
        <v>2217</v>
      </c>
      <c r="B24" s="7" t="s">
        <v>2218</v>
      </c>
      <c r="C24" s="7"/>
      <c r="D24" s="7" t="s">
        <v>27</v>
      </c>
      <c r="E24" s="7" t="s">
        <v>2205</v>
      </c>
    </row>
    <row r="25" customFormat="false" ht="15" hidden="false" customHeight="true" outlineLevel="0" collapsed="false">
      <c r="A25" s="7" t="s">
        <v>2219</v>
      </c>
      <c r="B25" s="7" t="s">
        <v>2171</v>
      </c>
      <c r="C25" s="7"/>
      <c r="D25" s="7" t="s">
        <v>31</v>
      </c>
      <c r="E25" s="7" t="s">
        <v>2205</v>
      </c>
    </row>
    <row r="26" customFormat="false" ht="15" hidden="false" customHeight="true" outlineLevel="0" collapsed="false">
      <c r="A26" s="7" t="s">
        <v>2220</v>
      </c>
      <c r="B26" s="7" t="s">
        <v>2221</v>
      </c>
      <c r="C26" s="7"/>
      <c r="D26" s="7" t="s">
        <v>2222</v>
      </c>
      <c r="E26" s="7" t="s">
        <v>2205</v>
      </c>
    </row>
    <row r="27" customFormat="false" ht="15" hidden="false" customHeight="true" outlineLevel="0" collapsed="false">
      <c r="A27" s="7" t="s">
        <v>2223</v>
      </c>
      <c r="B27" s="7" t="s">
        <v>2224</v>
      </c>
      <c r="C27" s="7"/>
      <c r="D27" s="7" t="s">
        <v>25</v>
      </c>
      <c r="E27" s="7" t="s">
        <v>2225</v>
      </c>
    </row>
    <row r="28" customFormat="false" ht="15" hidden="false" customHeight="true" outlineLevel="0" collapsed="false">
      <c r="A28" s="7" t="s">
        <v>2226</v>
      </c>
      <c r="B28" s="7" t="s">
        <v>2227</v>
      </c>
      <c r="C28" s="7"/>
      <c r="D28" s="7"/>
      <c r="E28" s="7" t="s">
        <v>2228</v>
      </c>
    </row>
    <row r="29" customFormat="false" ht="15" hidden="false" customHeight="true" outlineLevel="0" collapsed="false">
      <c r="A29" s="7" t="s">
        <v>2229</v>
      </c>
      <c r="B29" s="7" t="s">
        <v>2191</v>
      </c>
      <c r="C29" s="7"/>
      <c r="D29" s="7" t="s">
        <v>2230</v>
      </c>
      <c r="E29" s="7" t="s">
        <v>2231</v>
      </c>
    </row>
    <row r="30" customFormat="false" ht="23.25" hidden="false" customHeight="true" outlineLevel="0" collapsed="false">
      <c r="A30" s="7" t="s">
        <v>2232</v>
      </c>
      <c r="B30" s="7" t="s">
        <v>2233</v>
      </c>
      <c r="C30" s="7"/>
      <c r="D30" s="7" t="s">
        <v>2234</v>
      </c>
      <c r="E30" s="7" t="s">
        <v>2235</v>
      </c>
    </row>
    <row r="31" customFormat="false" ht="15" hidden="false" customHeight="true" outlineLevel="0" collapsed="false">
      <c r="A31" s="7" t="s">
        <v>2236</v>
      </c>
      <c r="B31" s="7" t="s">
        <v>2215</v>
      </c>
      <c r="C31" s="7"/>
      <c r="D31" s="7"/>
      <c r="E31" s="7" t="s">
        <v>2237</v>
      </c>
    </row>
    <row r="32" customFormat="false" ht="15" hidden="false" customHeight="true" outlineLevel="0" collapsed="false">
      <c r="A32" s="7" t="s">
        <v>2238</v>
      </c>
      <c r="B32" s="7" t="s">
        <v>2197</v>
      </c>
      <c r="C32" s="7"/>
      <c r="D32" s="7" t="s">
        <v>29</v>
      </c>
      <c r="E32" s="7" t="s">
        <v>2239</v>
      </c>
    </row>
    <row r="33" customFormat="false" ht="23.25" hidden="false" customHeight="true" outlineLevel="0" collapsed="false">
      <c r="A33" s="7" t="s">
        <v>2240</v>
      </c>
      <c r="B33" s="7" t="s">
        <v>2241</v>
      </c>
      <c r="C33" s="7"/>
      <c r="D33" s="7" t="s">
        <v>2242</v>
      </c>
      <c r="E33" s="7" t="s">
        <v>2243</v>
      </c>
    </row>
    <row r="34" customFormat="false" ht="15" hidden="false" customHeight="true" outlineLevel="0" collapsed="false">
      <c r="A34" s="7" t="s">
        <v>2244</v>
      </c>
      <c r="B34" s="7" t="s">
        <v>2197</v>
      </c>
      <c r="C34" s="7"/>
      <c r="D34" s="7" t="s">
        <v>2245</v>
      </c>
      <c r="E34" s="7" t="s">
        <v>2246</v>
      </c>
    </row>
    <row r="35" customFormat="false" ht="15" hidden="false" customHeight="true" outlineLevel="0" collapsed="false">
      <c r="A35" s="7" t="s">
        <v>2247</v>
      </c>
      <c r="B35" s="7" t="s">
        <v>2248</v>
      </c>
      <c r="C35" s="7"/>
      <c r="D35" s="7" t="s">
        <v>29</v>
      </c>
      <c r="E35" s="7" t="s">
        <v>2249</v>
      </c>
    </row>
    <row r="36" customFormat="false" ht="15" hidden="false" customHeight="true" outlineLevel="0" collapsed="false">
      <c r="A36" s="7" t="s">
        <v>2250</v>
      </c>
      <c r="B36" s="7" t="s">
        <v>2191</v>
      </c>
      <c r="C36" s="7" t="s">
        <v>2251</v>
      </c>
      <c r="D36" s="7"/>
      <c r="E36" s="7" t="s">
        <v>2252</v>
      </c>
    </row>
    <row r="37" customFormat="false" ht="15" hidden="false" customHeight="true" outlineLevel="0" collapsed="false">
      <c r="A37" s="7" t="s">
        <v>2253</v>
      </c>
      <c r="B37" s="7" t="s">
        <v>2186</v>
      </c>
      <c r="C37" s="7"/>
      <c r="D37" s="7"/>
      <c r="E37" s="7" t="s">
        <v>2166</v>
      </c>
    </row>
    <row r="38" customFormat="false" ht="15" hidden="false" customHeight="true" outlineLevel="0" collapsed="false">
      <c r="A38" s="7" t="s">
        <v>2254</v>
      </c>
      <c r="B38" s="7" t="s">
        <v>2197</v>
      </c>
      <c r="C38" s="7"/>
      <c r="D38" s="7"/>
      <c r="E38" s="7" t="s">
        <v>2255</v>
      </c>
    </row>
    <row r="39" customFormat="false" ht="15" hidden="false" customHeight="true" outlineLevel="0" collapsed="false">
      <c r="A39" s="7" t="s">
        <v>2256</v>
      </c>
      <c r="B39" s="7" t="s">
        <v>2248</v>
      </c>
      <c r="C39" s="7"/>
      <c r="D39" s="7" t="s">
        <v>29</v>
      </c>
      <c r="E39" s="7" t="s">
        <v>2205</v>
      </c>
    </row>
    <row r="40" customFormat="false" ht="23.25" hidden="false" customHeight="true" outlineLevel="0" collapsed="false">
      <c r="A40" s="7" t="s">
        <v>2257</v>
      </c>
      <c r="B40" s="7" t="s">
        <v>2258</v>
      </c>
      <c r="C40" s="7"/>
      <c r="D40" s="7"/>
      <c r="E40" s="7" t="s">
        <v>2259</v>
      </c>
    </row>
    <row r="41" customFormat="false" ht="15" hidden="false" customHeight="true" outlineLevel="0" collapsed="false">
      <c r="A41" s="7" t="s">
        <v>2260</v>
      </c>
      <c r="B41" s="7" t="s">
        <v>2261</v>
      </c>
      <c r="C41" s="7" t="s">
        <v>2262</v>
      </c>
      <c r="D41" s="7" t="s">
        <v>2230</v>
      </c>
      <c r="E41" s="7" t="s">
        <v>2263</v>
      </c>
    </row>
    <row r="42" customFormat="false" ht="15" hidden="false" customHeight="true" outlineLevel="0" collapsed="false">
      <c r="A42" s="7" t="s">
        <v>2264</v>
      </c>
      <c r="B42" s="7" t="s">
        <v>2265</v>
      </c>
      <c r="C42" s="7"/>
      <c r="D42" s="7" t="s">
        <v>29</v>
      </c>
      <c r="E42" s="7" t="s">
        <v>2266</v>
      </c>
    </row>
    <row r="43" customFormat="false" ht="23.25" hidden="false" customHeight="true" outlineLevel="0" collapsed="false">
      <c r="A43" s="7" t="s">
        <v>2267</v>
      </c>
      <c r="B43" s="7" t="s">
        <v>2268</v>
      </c>
      <c r="C43" s="7"/>
      <c r="D43" s="7" t="s">
        <v>33</v>
      </c>
      <c r="E43" s="7" t="s">
        <v>2269</v>
      </c>
    </row>
    <row r="44" customFormat="false" ht="15" hidden="false" customHeight="true" outlineLevel="0" collapsed="false">
      <c r="A44" s="7" t="s">
        <v>2270</v>
      </c>
      <c r="B44" s="7" t="s">
        <v>2271</v>
      </c>
      <c r="C44" s="7"/>
      <c r="D44" s="7" t="s">
        <v>2272</v>
      </c>
      <c r="E44" s="7" t="s">
        <v>2273</v>
      </c>
    </row>
    <row r="46" customFormat="false" ht="15" hidden="false" customHeight="true" outlineLevel="0" collapsed="false">
      <c r="A46" s="8" t="s">
        <v>2274</v>
      </c>
    </row>
    <row r="47" customFormat="false" ht="15" hidden="false" customHeight="true" outlineLevel="0" collapsed="false">
      <c r="A47" s="8" t="s">
        <v>2275</v>
      </c>
    </row>
  </sheetData>
  <autoFilter ref="A1:E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2"/>
    <col collapsed="false" customWidth="true" hidden="false" outlineLevel="0" max="4" min="4" style="1" width="12"/>
    <col collapsed="false" customWidth="true" hidden="false" outlineLevel="0" max="5" min="5" style="1" width="14"/>
    <col collapsed="false" customWidth="true" hidden="false" outlineLevel="0" max="6" min="6" style="1" width="70"/>
  </cols>
  <sheetData>
    <row r="1" customFormat="false" ht="34.5" hidden="false" customHeight="true" outlineLevel="0" collapsed="false">
      <c r="A1" s="6" t="s">
        <v>2276</v>
      </c>
      <c r="B1" s="6" t="s">
        <v>2277</v>
      </c>
      <c r="C1" s="6" t="s">
        <v>2278</v>
      </c>
      <c r="D1" s="6" t="s">
        <v>1851</v>
      </c>
      <c r="E1" s="6" t="s">
        <v>2279</v>
      </c>
      <c r="F1" s="6" t="s">
        <v>2280</v>
      </c>
    </row>
    <row r="2" customFormat="false" ht="34.5" hidden="false" customHeight="true" outlineLevel="0" collapsed="false">
      <c r="A2" s="7" t="s">
        <v>2281</v>
      </c>
      <c r="B2" s="7" t="s">
        <v>2282</v>
      </c>
      <c r="C2" s="7" t="s">
        <v>2283</v>
      </c>
      <c r="D2" s="7" t="s">
        <v>2284</v>
      </c>
      <c r="E2" s="7" t="n">
        <v>74.4</v>
      </c>
      <c r="F2" s="7" t="s">
        <v>2285</v>
      </c>
    </row>
    <row r="3" customFormat="false" ht="23.25" hidden="false" customHeight="true" outlineLevel="0" collapsed="false">
      <c r="A3" s="7" t="s">
        <v>2286</v>
      </c>
      <c r="B3" s="7" t="s">
        <v>674</v>
      </c>
      <c r="C3" s="7" t="s">
        <v>2287</v>
      </c>
      <c r="D3" s="7" t="s">
        <v>2284</v>
      </c>
      <c r="E3" s="7" t="n">
        <v>24.3</v>
      </c>
      <c r="F3" s="7" t="s">
        <v>2288</v>
      </c>
    </row>
    <row r="4" customFormat="false" ht="15" hidden="false" customHeight="true" outlineLevel="0" collapsed="false">
      <c r="A4" s="7" t="s">
        <v>2289</v>
      </c>
      <c r="B4" s="7" t="s">
        <v>2290</v>
      </c>
      <c r="C4" s="7" t="s">
        <v>2291</v>
      </c>
      <c r="D4" s="7" t="s">
        <v>2292</v>
      </c>
      <c r="E4" s="7" t="n">
        <v>68.1</v>
      </c>
      <c r="F4" s="7" t="s">
        <v>2293</v>
      </c>
    </row>
    <row r="5" customFormat="false" ht="370.5" hidden="false" customHeight="true" outlineLevel="0" collapsed="false">
      <c r="A5" s="7" t="s">
        <v>2294</v>
      </c>
      <c r="B5" s="7" t="s">
        <v>2295</v>
      </c>
      <c r="C5" s="7" t="s">
        <v>2283</v>
      </c>
      <c r="D5" s="7" t="s">
        <v>2296</v>
      </c>
      <c r="E5" s="7" t="n">
        <v>67.5</v>
      </c>
      <c r="F5" s="7" t="s">
        <v>2297</v>
      </c>
    </row>
    <row r="6" customFormat="false" ht="605.25" hidden="false" customHeight="true" outlineLevel="0" collapsed="false">
      <c r="A6" s="7" t="s">
        <v>2298</v>
      </c>
      <c r="B6" s="7" t="s">
        <v>2299</v>
      </c>
      <c r="C6" s="7" t="s">
        <v>2300</v>
      </c>
      <c r="D6" s="7" t="s">
        <v>2284</v>
      </c>
      <c r="E6" s="7" t="n">
        <v>54.2</v>
      </c>
      <c r="F6" s="7" t="s">
        <v>2301</v>
      </c>
    </row>
    <row r="7" customFormat="false" ht="34.5" hidden="false" customHeight="true" outlineLevel="0" collapsed="false">
      <c r="A7" s="7" t="s">
        <v>2302</v>
      </c>
      <c r="B7" s="7" t="s">
        <v>674</v>
      </c>
      <c r="C7" s="7" t="s">
        <v>2287</v>
      </c>
      <c r="D7" s="7" t="s">
        <v>2292</v>
      </c>
      <c r="E7" s="7" t="n">
        <v>21.5</v>
      </c>
      <c r="F7" s="7" t="s">
        <v>2303</v>
      </c>
    </row>
    <row r="8" customFormat="false" ht="15" hidden="false" customHeight="true" outlineLevel="0" collapsed="false">
      <c r="A8" s="7" t="s">
        <v>2304</v>
      </c>
      <c r="B8" s="7" t="s">
        <v>2305</v>
      </c>
      <c r="C8" s="7" t="s">
        <v>2306</v>
      </c>
      <c r="D8" s="7" t="s">
        <v>2284</v>
      </c>
      <c r="E8" s="7" t="n">
        <v>35.5</v>
      </c>
      <c r="F8" s="7"/>
    </row>
    <row r="9" customFormat="false" ht="15" hidden="false" customHeight="true" outlineLevel="0" collapsed="false">
      <c r="A9" s="7" t="s">
        <v>2307</v>
      </c>
      <c r="B9" s="7" t="s">
        <v>2308</v>
      </c>
      <c r="C9" s="7" t="s">
        <v>2287</v>
      </c>
      <c r="D9" s="7" t="s">
        <v>2284</v>
      </c>
      <c r="E9" s="7" t="n">
        <v>23</v>
      </c>
      <c r="F9" s="7"/>
    </row>
    <row r="10" customFormat="false" ht="15" hidden="false" customHeight="true" outlineLevel="0" collapsed="false">
      <c r="A10" s="7" t="s">
        <v>2309</v>
      </c>
      <c r="B10" s="7" t="s">
        <v>310</v>
      </c>
      <c r="C10" s="7" t="s">
        <v>2283</v>
      </c>
      <c r="D10" s="7" t="s">
        <v>2284</v>
      </c>
      <c r="E10" s="7" t="n">
        <v>18.1</v>
      </c>
      <c r="F10" s="7"/>
    </row>
    <row r="11" customFormat="false" ht="23.25" hidden="false" customHeight="true" outlineLevel="0" collapsed="false">
      <c r="A11" s="7" t="s">
        <v>2310</v>
      </c>
      <c r="B11" s="7" t="s">
        <v>2311</v>
      </c>
      <c r="C11" s="7" t="s">
        <v>2312</v>
      </c>
      <c r="D11" s="7" t="s">
        <v>2284</v>
      </c>
      <c r="E11" s="7" t="n">
        <v>45.2</v>
      </c>
      <c r="F11" s="7"/>
    </row>
    <row r="12" customFormat="false" ht="15" hidden="false" customHeight="true" outlineLevel="0" collapsed="false">
      <c r="A12" s="7" t="s">
        <v>2310</v>
      </c>
      <c r="B12" s="7" t="s">
        <v>674</v>
      </c>
      <c r="C12" s="7" t="s">
        <v>2287</v>
      </c>
      <c r="D12" s="7" t="s">
        <v>2284</v>
      </c>
      <c r="E12" s="7" t="n">
        <v>22.4</v>
      </c>
      <c r="F12" s="7"/>
    </row>
    <row r="13" customFormat="false" ht="15" hidden="false" customHeight="true" outlineLevel="0" collapsed="false">
      <c r="A13" s="7" t="s">
        <v>2310</v>
      </c>
      <c r="B13" s="7" t="s">
        <v>2313</v>
      </c>
      <c r="C13" s="7" t="s">
        <v>2314</v>
      </c>
      <c r="D13" s="7" t="s">
        <v>2284</v>
      </c>
      <c r="E13" s="7" t="n">
        <v>44.7</v>
      </c>
      <c r="F13" s="7"/>
    </row>
    <row r="14" customFormat="false" ht="15" hidden="false" customHeight="true" outlineLevel="0" collapsed="false">
      <c r="A14" s="7" t="s">
        <v>2315</v>
      </c>
      <c r="B14" s="7" t="s">
        <v>2316</v>
      </c>
      <c r="C14" s="7" t="s">
        <v>2317</v>
      </c>
      <c r="D14" s="7" t="s">
        <v>2284</v>
      </c>
      <c r="E14" s="7" t="n">
        <v>34.9</v>
      </c>
      <c r="F14" s="7"/>
    </row>
    <row r="15" customFormat="false" ht="15" hidden="false" customHeight="true" outlineLevel="0" collapsed="false">
      <c r="A15" s="7" t="s">
        <v>2318</v>
      </c>
      <c r="B15" s="7" t="s">
        <v>2319</v>
      </c>
      <c r="C15" s="7" t="s">
        <v>2320</v>
      </c>
      <c r="D15" s="7" t="s">
        <v>2284</v>
      </c>
      <c r="E15" s="7" t="n">
        <v>71.5</v>
      </c>
      <c r="F15" s="7"/>
    </row>
    <row r="16" customFormat="false" ht="15" hidden="false" customHeight="true" outlineLevel="0" collapsed="false">
      <c r="A16" s="7" t="s">
        <v>2318</v>
      </c>
      <c r="B16" s="7" t="s">
        <v>674</v>
      </c>
      <c r="C16" s="7" t="s">
        <v>2287</v>
      </c>
      <c r="D16" s="7" t="s">
        <v>2284</v>
      </c>
      <c r="E16" s="7" t="n">
        <v>24.4</v>
      </c>
      <c r="F16" s="7"/>
    </row>
    <row r="17" customFormat="false" ht="15" hidden="false" customHeight="true" outlineLevel="0" collapsed="false">
      <c r="A17" s="7" t="s">
        <v>2318</v>
      </c>
      <c r="B17" s="7" t="s">
        <v>2295</v>
      </c>
      <c r="C17" s="7" t="s">
        <v>2283</v>
      </c>
      <c r="D17" s="7" t="s">
        <v>2284</v>
      </c>
      <c r="E17" s="7" t="n">
        <v>66.4</v>
      </c>
      <c r="F17" s="7"/>
    </row>
    <row r="18" customFormat="false" ht="15" hidden="false" customHeight="true" outlineLevel="0" collapsed="false">
      <c r="A18" s="7" t="s">
        <v>2318</v>
      </c>
      <c r="B18" s="7" t="s">
        <v>2321</v>
      </c>
      <c r="C18" s="7" t="s">
        <v>2314</v>
      </c>
      <c r="D18" s="7" t="s">
        <v>2284</v>
      </c>
      <c r="E18" s="7" t="n">
        <v>43.5</v>
      </c>
      <c r="F18" s="7"/>
    </row>
    <row r="19" customFormat="false" ht="15" hidden="false" customHeight="true" outlineLevel="0" collapsed="false">
      <c r="A19" s="7" t="s">
        <v>1591</v>
      </c>
      <c r="B19" s="7" t="s">
        <v>2322</v>
      </c>
      <c r="C19" s="7" t="s">
        <v>2323</v>
      </c>
      <c r="D19" s="7" t="s">
        <v>2284</v>
      </c>
      <c r="E19" s="7" t="n">
        <v>61.4</v>
      </c>
      <c r="F19" s="7"/>
    </row>
    <row r="20" customFormat="false" ht="15" hidden="false" customHeight="true" outlineLevel="0" collapsed="false">
      <c r="A20" s="7" t="s">
        <v>1591</v>
      </c>
      <c r="B20" s="7" t="s">
        <v>2324</v>
      </c>
      <c r="C20" s="7" t="s">
        <v>2325</v>
      </c>
      <c r="D20" s="7" t="s">
        <v>2284</v>
      </c>
      <c r="E20" s="7" t="n">
        <v>52.1</v>
      </c>
      <c r="F20" s="7"/>
    </row>
    <row r="21" customFormat="false" ht="15" hidden="false" customHeight="true" outlineLevel="0" collapsed="false">
      <c r="A21" s="7" t="s">
        <v>1591</v>
      </c>
      <c r="B21" s="7" t="s">
        <v>2326</v>
      </c>
      <c r="C21" s="7" t="s">
        <v>2327</v>
      </c>
      <c r="D21" s="7" t="s">
        <v>2284</v>
      </c>
      <c r="E21" s="7" t="n">
        <v>74.9</v>
      </c>
      <c r="F21" s="7"/>
    </row>
    <row r="22" customFormat="false" ht="23.25" hidden="false" customHeight="true" outlineLevel="0" collapsed="false">
      <c r="A22" s="7" t="s">
        <v>1591</v>
      </c>
      <c r="B22" s="7" t="s">
        <v>2328</v>
      </c>
      <c r="C22" s="7" t="s">
        <v>2329</v>
      </c>
      <c r="D22" s="7" t="s">
        <v>2284</v>
      </c>
      <c r="E22" s="7" t="n">
        <v>66.4</v>
      </c>
      <c r="F22" s="7"/>
    </row>
    <row r="23" customFormat="false" ht="15" hidden="false" customHeight="true" outlineLevel="0" collapsed="false">
      <c r="A23" s="7" t="s">
        <v>2330</v>
      </c>
      <c r="B23" s="7" t="s">
        <v>674</v>
      </c>
      <c r="C23" s="7" t="s">
        <v>2287</v>
      </c>
      <c r="D23" s="7" t="s">
        <v>2284</v>
      </c>
      <c r="E23" s="7" t="n">
        <v>21.7</v>
      </c>
      <c r="F23" s="7"/>
    </row>
    <row r="24" customFormat="false" ht="102" hidden="false" customHeight="true" outlineLevel="0" collapsed="false">
      <c r="A24" s="7" t="s">
        <v>2331</v>
      </c>
      <c r="B24" s="7" t="s">
        <v>2313</v>
      </c>
      <c r="C24" s="7" t="s">
        <v>2314</v>
      </c>
      <c r="D24" s="7" t="s">
        <v>2292</v>
      </c>
      <c r="E24" s="7" t="n">
        <v>44.7</v>
      </c>
      <c r="F24" s="7" t="s">
        <v>2332</v>
      </c>
    </row>
    <row r="25" customFormat="false" ht="102" hidden="false" customHeight="true" outlineLevel="0" collapsed="false">
      <c r="A25" s="7" t="s">
        <v>2333</v>
      </c>
      <c r="B25" s="7" t="s">
        <v>2334</v>
      </c>
      <c r="C25" s="7" t="s">
        <v>2335</v>
      </c>
      <c r="D25" s="7" t="s">
        <v>2284</v>
      </c>
      <c r="E25" s="7" t="n">
        <v>50.5</v>
      </c>
      <c r="F25" s="7" t="s">
        <v>2336</v>
      </c>
    </row>
    <row r="26" customFormat="false" ht="168.75" hidden="false" customHeight="true" outlineLevel="0" collapsed="false">
      <c r="A26" s="7" t="s">
        <v>2337</v>
      </c>
      <c r="B26" s="7" t="s">
        <v>2338</v>
      </c>
      <c r="C26" s="7" t="s">
        <v>2339</v>
      </c>
      <c r="D26" s="7" t="s">
        <v>2284</v>
      </c>
      <c r="E26" s="7" t="n">
        <v>73.2</v>
      </c>
      <c r="F26" s="7" t="s">
        <v>2340</v>
      </c>
    </row>
    <row r="27" customFormat="false" ht="672.75" hidden="false" customHeight="true" outlineLevel="0" collapsed="false">
      <c r="A27" s="7" t="s">
        <v>2341</v>
      </c>
      <c r="B27" s="7" t="s">
        <v>2342</v>
      </c>
      <c r="C27" s="7" t="s">
        <v>2343</v>
      </c>
      <c r="D27" s="7" t="s">
        <v>2284</v>
      </c>
      <c r="E27" s="7" t="n">
        <v>59.8</v>
      </c>
      <c r="F27" s="7" t="s">
        <v>2344</v>
      </c>
    </row>
    <row r="28" customFormat="false" ht="57" hidden="false" customHeight="true" outlineLevel="0" collapsed="false">
      <c r="A28" s="7" t="s">
        <v>2345</v>
      </c>
      <c r="B28" s="7" t="s">
        <v>2305</v>
      </c>
      <c r="C28" s="7" t="s">
        <v>2306</v>
      </c>
      <c r="D28" s="7" t="s">
        <v>2284</v>
      </c>
      <c r="E28" s="7" t="n">
        <v>35.6</v>
      </c>
      <c r="F28" s="7" t="s">
        <v>2346</v>
      </c>
    </row>
    <row r="29" customFormat="false" ht="157.5" hidden="false" customHeight="true" outlineLevel="0" collapsed="false">
      <c r="A29" s="7" t="s">
        <v>2347</v>
      </c>
      <c r="B29" s="7" t="s">
        <v>2348</v>
      </c>
      <c r="C29" s="7" t="s">
        <v>2349</v>
      </c>
      <c r="D29" s="7" t="s">
        <v>2284</v>
      </c>
      <c r="E29" s="7" t="n">
        <v>72.5</v>
      </c>
      <c r="F29" s="7" t="s">
        <v>2350</v>
      </c>
    </row>
    <row r="30" customFormat="false" ht="102" hidden="false" customHeight="true" outlineLevel="0" collapsed="false">
      <c r="A30" s="7" t="s">
        <v>2351</v>
      </c>
      <c r="B30" s="7" t="s">
        <v>2313</v>
      </c>
      <c r="C30" s="7" t="s">
        <v>2314</v>
      </c>
      <c r="D30" s="7" t="s">
        <v>2284</v>
      </c>
      <c r="E30" s="7" t="n">
        <v>44.7</v>
      </c>
      <c r="F30" s="7" t="s">
        <v>2352</v>
      </c>
    </row>
    <row r="31" customFormat="false" ht="57" hidden="false" customHeight="true" outlineLevel="0" collapsed="false">
      <c r="A31" s="7" t="s">
        <v>2353</v>
      </c>
      <c r="B31" s="7" t="s">
        <v>2354</v>
      </c>
      <c r="C31" s="7" t="s">
        <v>2355</v>
      </c>
      <c r="D31" s="7" t="s">
        <v>2284</v>
      </c>
      <c r="E31" s="7" t="n">
        <v>46.3</v>
      </c>
      <c r="F31" s="7" t="s">
        <v>2356</v>
      </c>
    </row>
    <row r="32" customFormat="false" ht="706.5" hidden="false" customHeight="true" outlineLevel="0" collapsed="false">
      <c r="A32" s="7" t="s">
        <v>2357</v>
      </c>
      <c r="B32" s="7" t="s">
        <v>2358</v>
      </c>
      <c r="C32" s="7" t="s">
        <v>2359</v>
      </c>
      <c r="D32" s="7" t="s">
        <v>2284</v>
      </c>
      <c r="E32" s="7" t="n">
        <v>60.6</v>
      </c>
      <c r="F32" s="7" t="s">
        <v>2360</v>
      </c>
    </row>
    <row r="33" customFormat="false" ht="157.5" hidden="false" customHeight="true" outlineLevel="0" collapsed="false">
      <c r="A33" s="7" t="s">
        <v>2361</v>
      </c>
      <c r="B33" s="7" t="s">
        <v>2321</v>
      </c>
      <c r="C33" s="7" t="s">
        <v>2362</v>
      </c>
      <c r="D33" s="7" t="s">
        <v>2284</v>
      </c>
      <c r="E33" s="7" t="n">
        <v>41.8</v>
      </c>
      <c r="F33" s="7" t="s">
        <v>2363</v>
      </c>
    </row>
    <row r="34" customFormat="false" ht="102" hidden="false" customHeight="true" outlineLevel="0" collapsed="false">
      <c r="A34" s="7" t="s">
        <v>2364</v>
      </c>
      <c r="B34" s="7" t="s">
        <v>2348</v>
      </c>
      <c r="C34" s="7" t="s">
        <v>2283</v>
      </c>
      <c r="D34" s="7" t="s">
        <v>2284</v>
      </c>
      <c r="E34" s="7" t="n">
        <v>68.1</v>
      </c>
      <c r="F34" s="7" t="s">
        <v>2365</v>
      </c>
    </row>
    <row r="35" customFormat="false" ht="102" hidden="false" customHeight="true" outlineLevel="0" collapsed="false">
      <c r="A35" s="7" t="s">
        <v>2366</v>
      </c>
      <c r="B35" s="7" t="s">
        <v>2299</v>
      </c>
      <c r="C35" s="7" t="s">
        <v>2300</v>
      </c>
      <c r="D35" s="7" t="s">
        <v>2284</v>
      </c>
      <c r="E35" s="7" t="n">
        <v>54.6</v>
      </c>
      <c r="F35" s="7" t="s">
        <v>2367</v>
      </c>
    </row>
    <row r="36" customFormat="false" ht="57" hidden="false" customHeight="true" outlineLevel="0" collapsed="false">
      <c r="A36" s="7" t="s">
        <v>2368</v>
      </c>
      <c r="B36" s="7" t="s">
        <v>2369</v>
      </c>
      <c r="C36" s="7" t="s">
        <v>2370</v>
      </c>
      <c r="D36" s="7" t="s">
        <v>2284</v>
      </c>
      <c r="E36" s="7" t="n">
        <v>74.8</v>
      </c>
      <c r="F36" s="7" t="s">
        <v>2371</v>
      </c>
    </row>
    <row r="37" customFormat="false" ht="34.5" hidden="false" customHeight="true" outlineLevel="0" collapsed="false">
      <c r="A37" s="7" t="s">
        <v>2372</v>
      </c>
      <c r="B37" s="7" t="s">
        <v>2373</v>
      </c>
      <c r="C37" s="7" t="s">
        <v>2374</v>
      </c>
      <c r="D37" s="7" t="s">
        <v>2375</v>
      </c>
      <c r="E37" s="7" t="n">
        <v>37.7</v>
      </c>
      <c r="F37" s="7" t="s">
        <v>2376</v>
      </c>
    </row>
    <row r="38" customFormat="false" ht="45.75" hidden="false" customHeight="true" outlineLevel="0" collapsed="false">
      <c r="A38" s="7" t="s">
        <v>2372</v>
      </c>
      <c r="B38" s="7" t="s">
        <v>2377</v>
      </c>
      <c r="C38" s="7" t="s">
        <v>2378</v>
      </c>
      <c r="D38" s="7" t="s">
        <v>2296</v>
      </c>
      <c r="E38" s="7" t="n">
        <v>59.9</v>
      </c>
      <c r="F38" s="7" t="s">
        <v>2379</v>
      </c>
    </row>
    <row r="39" customFormat="false" ht="90.75" hidden="false" customHeight="true" outlineLevel="0" collapsed="false">
      <c r="A39" s="7" t="s">
        <v>2380</v>
      </c>
      <c r="B39" s="7" t="s">
        <v>2381</v>
      </c>
      <c r="C39" s="7" t="s">
        <v>2325</v>
      </c>
      <c r="D39" s="7" t="s">
        <v>2284</v>
      </c>
      <c r="E39" s="7" t="n">
        <v>58.9</v>
      </c>
      <c r="F39" s="7" t="s">
        <v>2382</v>
      </c>
    </row>
    <row r="40" customFormat="false" ht="348" hidden="false" customHeight="true" outlineLevel="0" collapsed="false">
      <c r="A40" s="7" t="s">
        <v>2380</v>
      </c>
      <c r="B40" s="7" t="s">
        <v>674</v>
      </c>
      <c r="C40" s="7" t="s">
        <v>2287</v>
      </c>
      <c r="D40" s="7" t="s">
        <v>2284</v>
      </c>
      <c r="E40" s="7" t="n">
        <v>22.4</v>
      </c>
      <c r="F40" s="7" t="s">
        <v>2383</v>
      </c>
    </row>
    <row r="41" customFormat="false" ht="292.5" hidden="false" customHeight="true" outlineLevel="0" collapsed="false">
      <c r="A41" s="7" t="s">
        <v>2384</v>
      </c>
      <c r="B41" s="7" t="s">
        <v>2385</v>
      </c>
      <c r="C41" s="7" t="s">
        <v>2386</v>
      </c>
      <c r="D41" s="7" t="s">
        <v>2284</v>
      </c>
      <c r="E41" s="7" t="n">
        <v>57.7</v>
      </c>
      <c r="F41" s="7" t="s">
        <v>2387</v>
      </c>
    </row>
    <row r="42" customFormat="false" ht="34.5" hidden="false" customHeight="true" outlineLevel="0" collapsed="false">
      <c r="A42" s="7" t="s">
        <v>2388</v>
      </c>
      <c r="B42" s="7" t="s">
        <v>2373</v>
      </c>
      <c r="C42" s="7" t="s">
        <v>2374</v>
      </c>
      <c r="D42" s="7" t="s">
        <v>2375</v>
      </c>
      <c r="E42" s="7" t="n">
        <v>37.7</v>
      </c>
      <c r="F42" s="7" t="s">
        <v>2389</v>
      </c>
    </row>
    <row r="43" customFormat="false" ht="15" hidden="false" customHeight="true" outlineLevel="0" collapsed="false">
      <c r="A43" s="7" t="s">
        <v>2390</v>
      </c>
      <c r="B43" s="7" t="s">
        <v>2322</v>
      </c>
      <c r="C43" s="7" t="s">
        <v>2323</v>
      </c>
      <c r="D43" s="7" t="s">
        <v>2292</v>
      </c>
      <c r="E43" s="7" t="n">
        <v>61.5</v>
      </c>
      <c r="F43" s="7"/>
    </row>
    <row r="44" customFormat="false" ht="34.5" hidden="false" customHeight="true" outlineLevel="0" collapsed="false">
      <c r="A44" s="7" t="s">
        <v>2391</v>
      </c>
      <c r="B44" s="7" t="s">
        <v>2392</v>
      </c>
      <c r="C44" s="7" t="s">
        <v>2393</v>
      </c>
      <c r="D44" s="7" t="s">
        <v>2375</v>
      </c>
      <c r="E44" s="7" t="n">
        <v>20.7</v>
      </c>
      <c r="F44" s="7" t="s">
        <v>2394</v>
      </c>
    </row>
    <row r="45" customFormat="false" ht="34.5" hidden="false" customHeight="true" outlineLevel="0" collapsed="false">
      <c r="A45" s="7" t="s">
        <v>2395</v>
      </c>
      <c r="B45" s="7" t="s">
        <v>2311</v>
      </c>
      <c r="C45" s="7" t="s">
        <v>2396</v>
      </c>
      <c r="D45" s="7" t="s">
        <v>2292</v>
      </c>
      <c r="E45" s="7" t="n">
        <v>47.4</v>
      </c>
      <c r="F45" s="7" t="s">
        <v>2397</v>
      </c>
    </row>
    <row r="46" customFormat="false" ht="135.75" hidden="false" customHeight="true" outlineLevel="0" collapsed="false">
      <c r="A46" s="7" t="s">
        <v>1416</v>
      </c>
      <c r="B46" s="7" t="s">
        <v>674</v>
      </c>
      <c r="C46" s="7" t="s">
        <v>2287</v>
      </c>
      <c r="D46" s="7" t="s">
        <v>2284</v>
      </c>
      <c r="E46" s="7" t="n">
        <v>23.1</v>
      </c>
      <c r="F46" s="7" t="s">
        <v>2398</v>
      </c>
    </row>
    <row r="47" customFormat="false" ht="68.25" hidden="false" customHeight="true" outlineLevel="0" collapsed="false">
      <c r="A47" s="7" t="s">
        <v>1415</v>
      </c>
      <c r="B47" s="7" t="s">
        <v>2399</v>
      </c>
      <c r="C47" s="7" t="s">
        <v>2400</v>
      </c>
      <c r="D47" s="7" t="s">
        <v>2284</v>
      </c>
      <c r="E47" s="7" t="n">
        <v>11.5</v>
      </c>
      <c r="F47" s="7" t="s">
        <v>2401</v>
      </c>
    </row>
    <row r="48" customFormat="false" ht="225" hidden="false" customHeight="true" outlineLevel="0" collapsed="false">
      <c r="A48" s="7" t="s">
        <v>1415</v>
      </c>
      <c r="B48" s="7" t="s">
        <v>2299</v>
      </c>
      <c r="C48" s="7" t="s">
        <v>2300</v>
      </c>
      <c r="D48" s="7" t="s">
        <v>2284</v>
      </c>
      <c r="E48" s="7" t="n">
        <v>54.6</v>
      </c>
      <c r="F48" s="7" t="s">
        <v>2402</v>
      </c>
    </row>
    <row r="49" customFormat="false" ht="34.5" hidden="false" customHeight="true" outlineLevel="0" collapsed="false">
      <c r="A49" s="7" t="s">
        <v>1415</v>
      </c>
      <c r="B49" s="7" t="s">
        <v>2373</v>
      </c>
      <c r="C49" s="7" t="s">
        <v>2374</v>
      </c>
      <c r="D49" s="7" t="s">
        <v>2375</v>
      </c>
      <c r="E49" s="7" t="n">
        <v>37.7</v>
      </c>
      <c r="F49" s="7" t="s">
        <v>2403</v>
      </c>
    </row>
    <row r="50" customFormat="false" ht="57" hidden="false" customHeight="true" outlineLevel="0" collapsed="false">
      <c r="A50" s="7" t="s">
        <v>2404</v>
      </c>
      <c r="B50" s="7" t="s">
        <v>2299</v>
      </c>
      <c r="C50" s="7" t="s">
        <v>2300</v>
      </c>
      <c r="D50" s="7" t="s">
        <v>2405</v>
      </c>
      <c r="E50" s="7" t="n">
        <v>54.6</v>
      </c>
      <c r="F50" s="7" t="s">
        <v>2406</v>
      </c>
    </row>
    <row r="51" customFormat="false" ht="124.5" hidden="false" customHeight="true" outlineLevel="0" collapsed="false">
      <c r="A51" s="7" t="s">
        <v>2407</v>
      </c>
      <c r="B51" s="7" t="s">
        <v>2299</v>
      </c>
      <c r="C51" s="7" t="s">
        <v>2300</v>
      </c>
      <c r="D51" s="7" t="s">
        <v>2284</v>
      </c>
      <c r="E51" s="7" t="n">
        <v>54.9</v>
      </c>
      <c r="F51" s="7" t="s">
        <v>2408</v>
      </c>
    </row>
    <row r="52" customFormat="false" ht="102" hidden="false" customHeight="true" outlineLevel="0" collapsed="false">
      <c r="A52" s="7" t="s">
        <v>2409</v>
      </c>
      <c r="B52" s="7" t="s">
        <v>674</v>
      </c>
      <c r="C52" s="7" t="s">
        <v>2287</v>
      </c>
      <c r="D52" s="7" t="s">
        <v>2284</v>
      </c>
      <c r="E52" s="7" t="n">
        <v>21.3</v>
      </c>
      <c r="F52" s="7" t="s">
        <v>2410</v>
      </c>
    </row>
    <row r="53" customFormat="false" ht="79.5" hidden="false" customHeight="true" outlineLevel="0" collapsed="false">
      <c r="A53" s="7" t="s">
        <v>2411</v>
      </c>
      <c r="B53" s="7" t="s">
        <v>2334</v>
      </c>
      <c r="C53" s="7" t="s">
        <v>2335</v>
      </c>
      <c r="D53" s="7" t="s">
        <v>2284</v>
      </c>
      <c r="E53" s="7" t="n">
        <v>50.6</v>
      </c>
      <c r="F53" s="7" t="s">
        <v>2412</v>
      </c>
    </row>
    <row r="54" customFormat="false" ht="68.25" hidden="false" customHeight="true" outlineLevel="0" collapsed="false">
      <c r="A54" s="7" t="s">
        <v>2413</v>
      </c>
      <c r="B54" s="7" t="s">
        <v>2313</v>
      </c>
      <c r="C54" s="7" t="s">
        <v>2314</v>
      </c>
      <c r="D54" s="7" t="s">
        <v>2284</v>
      </c>
      <c r="E54" s="7" t="n">
        <v>44.7</v>
      </c>
      <c r="F54" s="7" t="s">
        <v>2414</v>
      </c>
    </row>
    <row r="55" customFormat="false" ht="90.75" hidden="false" customHeight="true" outlineLevel="0" collapsed="false">
      <c r="A55" s="7" t="s">
        <v>2413</v>
      </c>
      <c r="B55" s="7" t="s">
        <v>2385</v>
      </c>
      <c r="C55" s="7" t="s">
        <v>2386</v>
      </c>
      <c r="D55" s="7" t="s">
        <v>2284</v>
      </c>
      <c r="E55" s="7" t="n">
        <v>57.7</v>
      </c>
      <c r="F55" s="7" t="s">
        <v>2415</v>
      </c>
    </row>
    <row r="56" customFormat="false" ht="79.5" hidden="false" customHeight="true" outlineLevel="0" collapsed="false">
      <c r="A56" s="7" t="s">
        <v>2416</v>
      </c>
      <c r="B56" s="7" t="s">
        <v>2417</v>
      </c>
      <c r="C56" s="7" t="s">
        <v>1101</v>
      </c>
      <c r="D56" s="7" t="s">
        <v>2284</v>
      </c>
      <c r="E56" s="7" t="n">
        <v>30.9</v>
      </c>
      <c r="F56" s="7" t="s">
        <v>2418</v>
      </c>
    </row>
    <row r="57" customFormat="false" ht="102" hidden="false" customHeight="true" outlineLevel="0" collapsed="false">
      <c r="A57" s="7" t="s">
        <v>2416</v>
      </c>
      <c r="B57" s="7" t="s">
        <v>2419</v>
      </c>
      <c r="C57" s="7" t="s">
        <v>2420</v>
      </c>
      <c r="D57" s="7" t="s">
        <v>2284</v>
      </c>
      <c r="E57" s="7" t="n">
        <v>59.2</v>
      </c>
      <c r="F57" s="7" t="s">
        <v>2421</v>
      </c>
    </row>
    <row r="58" customFormat="false" ht="102" hidden="false" customHeight="true" outlineLevel="0" collapsed="false">
      <c r="A58" s="7" t="s">
        <v>2422</v>
      </c>
      <c r="B58" s="7" t="s">
        <v>2423</v>
      </c>
      <c r="C58" s="7" t="s">
        <v>2424</v>
      </c>
      <c r="D58" s="7" t="s">
        <v>2292</v>
      </c>
      <c r="E58" s="7" t="n">
        <v>32.1</v>
      </c>
      <c r="F58" s="7" t="s">
        <v>2425</v>
      </c>
    </row>
    <row r="59" customFormat="false" ht="15" hidden="false" customHeight="true" outlineLevel="0" collapsed="false">
      <c r="A59" s="7" t="s">
        <v>2426</v>
      </c>
      <c r="B59" s="7" t="s">
        <v>674</v>
      </c>
      <c r="C59" s="7" t="s">
        <v>2287</v>
      </c>
      <c r="D59" s="7" t="s">
        <v>2296</v>
      </c>
      <c r="E59" s="7" t="n">
        <v>21.4</v>
      </c>
      <c r="F59" s="7"/>
    </row>
    <row r="60" customFormat="false" ht="124.5" hidden="false" customHeight="true" outlineLevel="0" collapsed="false">
      <c r="A60" s="7" t="s">
        <v>2427</v>
      </c>
      <c r="B60" s="7" t="s">
        <v>2321</v>
      </c>
      <c r="C60" s="7" t="s">
        <v>2314</v>
      </c>
      <c r="D60" s="7" t="s">
        <v>2292</v>
      </c>
      <c r="E60" s="7" t="n">
        <v>43.5</v>
      </c>
      <c r="F60" s="7" t="s">
        <v>2428</v>
      </c>
    </row>
    <row r="61" customFormat="false" ht="90.75" hidden="false" customHeight="true" outlineLevel="0" collapsed="false">
      <c r="A61" s="7" t="s">
        <v>2429</v>
      </c>
      <c r="B61" s="7" t="s">
        <v>634</v>
      </c>
      <c r="C61" s="7" t="s">
        <v>2283</v>
      </c>
      <c r="D61" s="7" t="s">
        <v>2430</v>
      </c>
      <c r="E61" s="7" t="n">
        <v>24.3</v>
      </c>
      <c r="F61" s="7" t="s">
        <v>2431</v>
      </c>
    </row>
    <row r="62" customFormat="false" ht="90.75" hidden="false" customHeight="true" outlineLevel="0" collapsed="false">
      <c r="A62" s="7" t="s">
        <v>2432</v>
      </c>
      <c r="B62" s="7" t="s">
        <v>2373</v>
      </c>
      <c r="C62" s="7" t="s">
        <v>2287</v>
      </c>
      <c r="D62" s="7" t="s">
        <v>2430</v>
      </c>
      <c r="E62" s="7" t="n">
        <v>38</v>
      </c>
      <c r="F62" s="7" t="s">
        <v>2433</v>
      </c>
    </row>
    <row r="63" customFormat="false" ht="90.75" hidden="false" customHeight="true" outlineLevel="0" collapsed="false">
      <c r="A63" s="7" t="s">
        <v>2432</v>
      </c>
      <c r="B63" s="7" t="s">
        <v>2434</v>
      </c>
      <c r="C63" s="7" t="s">
        <v>2287</v>
      </c>
      <c r="D63" s="7" t="s">
        <v>2430</v>
      </c>
      <c r="E63" s="7" t="n">
        <v>41</v>
      </c>
      <c r="F63" s="7" t="s">
        <v>2435</v>
      </c>
    </row>
    <row r="64" customFormat="false" ht="180" hidden="false" customHeight="true" outlineLevel="0" collapsed="false">
      <c r="A64" s="7" t="s">
        <v>2432</v>
      </c>
      <c r="B64" s="7" t="s">
        <v>674</v>
      </c>
      <c r="C64" s="7" t="s">
        <v>2287</v>
      </c>
      <c r="D64" s="7" t="s">
        <v>2430</v>
      </c>
      <c r="E64" s="7" t="n">
        <v>21.4</v>
      </c>
      <c r="F64" s="7" t="s">
        <v>2436</v>
      </c>
    </row>
    <row r="65" customFormat="false" ht="90.75" hidden="false" customHeight="true" outlineLevel="0" collapsed="false">
      <c r="A65" s="7" t="s">
        <v>2432</v>
      </c>
      <c r="B65" s="7" t="s">
        <v>2437</v>
      </c>
      <c r="C65" s="7" t="s">
        <v>2287</v>
      </c>
      <c r="D65" s="7" t="s">
        <v>2430</v>
      </c>
      <c r="E65" s="7" t="n">
        <v>35.5</v>
      </c>
      <c r="F65" s="7" t="s">
        <v>2438</v>
      </c>
    </row>
    <row r="66" customFormat="false" ht="113.25" hidden="false" customHeight="true" outlineLevel="0" collapsed="false">
      <c r="A66" s="7" t="s">
        <v>2439</v>
      </c>
      <c r="B66" s="7" t="s">
        <v>2385</v>
      </c>
      <c r="C66" s="7" t="s">
        <v>2386</v>
      </c>
      <c r="D66" s="7" t="s">
        <v>2430</v>
      </c>
      <c r="E66" s="7" t="n">
        <v>57.7</v>
      </c>
      <c r="F66" s="7" t="s">
        <v>2440</v>
      </c>
    </row>
    <row r="67" customFormat="false" ht="68.25" hidden="false" customHeight="true" outlineLevel="0" collapsed="false">
      <c r="A67" s="7" t="s">
        <v>2441</v>
      </c>
      <c r="B67" s="7" t="s">
        <v>2442</v>
      </c>
      <c r="C67" s="7" t="s">
        <v>2283</v>
      </c>
      <c r="D67" s="7" t="s">
        <v>2430</v>
      </c>
      <c r="E67" s="7" t="n">
        <v>45.8</v>
      </c>
      <c r="F67" s="7" t="s">
        <v>2443</v>
      </c>
    </row>
    <row r="68" customFormat="false" ht="68.25" hidden="false" customHeight="true" outlineLevel="0" collapsed="false">
      <c r="A68" s="7" t="s">
        <v>2444</v>
      </c>
      <c r="B68" s="7" t="s">
        <v>2377</v>
      </c>
      <c r="C68" s="7" t="s">
        <v>2378</v>
      </c>
      <c r="D68" s="7" t="s">
        <v>2284</v>
      </c>
      <c r="E68" s="7" t="n">
        <v>59.9</v>
      </c>
      <c r="F68" s="7" t="s">
        <v>2445</v>
      </c>
    </row>
    <row r="69" customFormat="false" ht="102" hidden="false" customHeight="true" outlineLevel="0" collapsed="false">
      <c r="A69" s="7" t="s">
        <v>2446</v>
      </c>
      <c r="B69" s="7" t="s">
        <v>2034</v>
      </c>
      <c r="C69" s="7" t="s">
        <v>2287</v>
      </c>
      <c r="D69" s="7" t="s">
        <v>2292</v>
      </c>
      <c r="E69" s="7" t="n">
        <v>23.1</v>
      </c>
      <c r="F69" s="7" t="s">
        <v>2447</v>
      </c>
    </row>
    <row r="70" customFormat="false" ht="57" hidden="false" customHeight="true" outlineLevel="0" collapsed="false">
      <c r="A70" s="7" t="s">
        <v>2448</v>
      </c>
      <c r="B70" s="7" t="s">
        <v>2348</v>
      </c>
      <c r="C70" s="7" t="s">
        <v>2283</v>
      </c>
      <c r="D70" s="7" t="s">
        <v>2284</v>
      </c>
      <c r="E70" s="7" t="n">
        <v>70</v>
      </c>
      <c r="F70" s="7" t="s">
        <v>2449</v>
      </c>
    </row>
    <row r="71" customFormat="false" ht="34.5" hidden="false" customHeight="true" outlineLevel="0" collapsed="false">
      <c r="A71" s="7" t="s">
        <v>2450</v>
      </c>
      <c r="B71" s="7" t="s">
        <v>2451</v>
      </c>
      <c r="C71" s="7" t="s">
        <v>2287</v>
      </c>
      <c r="D71" s="7" t="s">
        <v>2284</v>
      </c>
      <c r="E71" s="7" t="n">
        <v>72.9</v>
      </c>
      <c r="F71" s="7" t="s">
        <v>2452</v>
      </c>
    </row>
    <row r="72" customFormat="false" ht="57" hidden="false" customHeight="true" outlineLevel="0" collapsed="false">
      <c r="A72" s="7" t="s">
        <v>2453</v>
      </c>
      <c r="B72" s="7" t="s">
        <v>2381</v>
      </c>
      <c r="C72" s="7" t="s">
        <v>2325</v>
      </c>
      <c r="D72" s="7" t="s">
        <v>2296</v>
      </c>
      <c r="E72" s="7" t="n">
        <v>55.3</v>
      </c>
      <c r="F72" s="7" t="s">
        <v>2454</v>
      </c>
    </row>
    <row r="73" customFormat="false" ht="34.5" hidden="false" customHeight="true" outlineLevel="0" collapsed="false">
      <c r="A73" s="7" t="s">
        <v>2453</v>
      </c>
      <c r="B73" s="7" t="s">
        <v>2022</v>
      </c>
      <c r="C73" s="7" t="s">
        <v>2287</v>
      </c>
      <c r="D73" s="7" t="s">
        <v>2296</v>
      </c>
      <c r="E73" s="7" t="n">
        <v>22.5</v>
      </c>
      <c r="F73" s="7" t="s">
        <v>2455</v>
      </c>
    </row>
    <row r="74" customFormat="false" ht="34.5" hidden="false" customHeight="true" outlineLevel="0" collapsed="false">
      <c r="A74" s="7" t="s">
        <v>2453</v>
      </c>
      <c r="B74" s="7" t="s">
        <v>2392</v>
      </c>
      <c r="C74" s="7" t="s">
        <v>2287</v>
      </c>
      <c r="D74" s="7" t="s">
        <v>2296</v>
      </c>
      <c r="E74" s="7" t="n">
        <v>22.2</v>
      </c>
      <c r="F74" s="7" t="s">
        <v>2456</v>
      </c>
    </row>
    <row r="75" customFormat="false" ht="68.25" hidden="false" customHeight="true" outlineLevel="0" collapsed="false">
      <c r="A75" s="7" t="s">
        <v>2453</v>
      </c>
      <c r="B75" s="7" t="s">
        <v>2457</v>
      </c>
      <c r="C75" s="7" t="s">
        <v>2287</v>
      </c>
      <c r="D75" s="7" t="s">
        <v>2284</v>
      </c>
      <c r="E75" s="7" t="n">
        <v>24.5</v>
      </c>
      <c r="F75" s="7" t="s">
        <v>2458</v>
      </c>
    </row>
    <row r="76" customFormat="false" ht="90.75" hidden="false" customHeight="true" outlineLevel="0" collapsed="false">
      <c r="A76" s="7" t="s">
        <v>2459</v>
      </c>
      <c r="B76" s="7" t="s">
        <v>674</v>
      </c>
      <c r="C76" s="7" t="s">
        <v>2287</v>
      </c>
      <c r="D76" s="7" t="s">
        <v>2284</v>
      </c>
      <c r="E76" s="7" t="n">
        <v>21.2</v>
      </c>
      <c r="F76" s="7" t="s">
        <v>2460</v>
      </c>
    </row>
    <row r="77" customFormat="false" ht="68.25" hidden="false" customHeight="true" outlineLevel="0" collapsed="false">
      <c r="A77" s="7" t="s">
        <v>2459</v>
      </c>
      <c r="B77" s="7" t="s">
        <v>2417</v>
      </c>
      <c r="C77" s="7" t="s">
        <v>1101</v>
      </c>
      <c r="D77" s="7" t="s">
        <v>2284</v>
      </c>
      <c r="E77" s="7" t="n">
        <v>30.9</v>
      </c>
      <c r="F77" s="7" t="s">
        <v>2461</v>
      </c>
    </row>
    <row r="78" customFormat="false" ht="68.25" hidden="false" customHeight="true" outlineLevel="0" collapsed="false">
      <c r="A78" s="7" t="s">
        <v>2459</v>
      </c>
      <c r="B78" s="7" t="s">
        <v>871</v>
      </c>
      <c r="C78" s="7" t="s">
        <v>1101</v>
      </c>
      <c r="D78" s="7" t="s">
        <v>2292</v>
      </c>
      <c r="E78" s="7" t="n">
        <v>24.2</v>
      </c>
      <c r="F78" s="7" t="s">
        <v>2462</v>
      </c>
    </row>
    <row r="79" customFormat="false" ht="57" hidden="false" customHeight="true" outlineLevel="0" collapsed="false">
      <c r="A79" s="7" t="s">
        <v>2463</v>
      </c>
      <c r="B79" s="7" t="s">
        <v>2464</v>
      </c>
      <c r="C79" s="7" t="s">
        <v>1101</v>
      </c>
      <c r="D79" s="7" t="s">
        <v>2284</v>
      </c>
      <c r="E79" s="7" t="n">
        <v>24.5</v>
      </c>
      <c r="F79" s="7" t="s">
        <v>2465</v>
      </c>
    </row>
    <row r="80" customFormat="false" ht="1053" hidden="false" customHeight="true" outlineLevel="0" collapsed="false">
      <c r="A80" s="7" t="s">
        <v>2466</v>
      </c>
      <c r="B80" s="7" t="s">
        <v>2377</v>
      </c>
      <c r="C80" s="7" t="s">
        <v>2378</v>
      </c>
      <c r="D80" s="7" t="s">
        <v>2284</v>
      </c>
      <c r="E80" s="7" t="n">
        <v>59.5</v>
      </c>
      <c r="F80" s="7" t="s">
        <v>2467</v>
      </c>
    </row>
    <row r="81" customFormat="false" ht="57" hidden="false" customHeight="true" outlineLevel="0" collapsed="false">
      <c r="A81" s="7" t="s">
        <v>2468</v>
      </c>
      <c r="B81" s="7" t="s">
        <v>2469</v>
      </c>
      <c r="C81" s="7" t="s">
        <v>1101</v>
      </c>
      <c r="D81" s="7" t="s">
        <v>2284</v>
      </c>
      <c r="E81" s="7" t="n">
        <v>22.6</v>
      </c>
      <c r="F81" s="7" t="s">
        <v>2470</v>
      </c>
    </row>
    <row r="82" customFormat="false" ht="57" hidden="false" customHeight="true" outlineLevel="0" collapsed="false">
      <c r="A82" s="7" t="s">
        <v>2468</v>
      </c>
      <c r="B82" s="7" t="s">
        <v>2471</v>
      </c>
      <c r="C82" s="7" t="s">
        <v>1101</v>
      </c>
      <c r="D82" s="7" t="s">
        <v>2284</v>
      </c>
      <c r="E82" s="7" t="n">
        <v>22.6</v>
      </c>
      <c r="F82" s="7" t="s">
        <v>2472</v>
      </c>
    </row>
    <row r="83" customFormat="false" ht="45.75" hidden="false" customHeight="true" outlineLevel="0" collapsed="false">
      <c r="A83" s="7" t="s">
        <v>2468</v>
      </c>
      <c r="B83" s="7" t="s">
        <v>2473</v>
      </c>
      <c r="C83" s="7" t="s">
        <v>1101</v>
      </c>
      <c r="D83" s="7" t="s">
        <v>2284</v>
      </c>
      <c r="E83" s="7" t="n">
        <v>25.7</v>
      </c>
      <c r="F83" s="7" t="s">
        <v>2474</v>
      </c>
    </row>
    <row r="84" customFormat="false" ht="90.75" hidden="false" customHeight="true" outlineLevel="0" collapsed="false">
      <c r="A84" s="7" t="s">
        <v>2468</v>
      </c>
      <c r="B84" s="7" t="s">
        <v>2475</v>
      </c>
      <c r="C84" s="7" t="s">
        <v>1101</v>
      </c>
      <c r="D84" s="7" t="s">
        <v>2284</v>
      </c>
      <c r="E84" s="7" t="n">
        <v>30.9</v>
      </c>
      <c r="F84" s="7" t="s">
        <v>2476</v>
      </c>
    </row>
    <row r="85" customFormat="false" ht="45.75" hidden="false" customHeight="true" outlineLevel="0" collapsed="false">
      <c r="A85" s="7" t="s">
        <v>2468</v>
      </c>
      <c r="B85" s="7" t="s">
        <v>2342</v>
      </c>
      <c r="C85" s="7" t="s">
        <v>2287</v>
      </c>
      <c r="D85" s="7" t="s">
        <v>2296</v>
      </c>
      <c r="E85" s="7" t="n">
        <v>59.4</v>
      </c>
      <c r="F85" s="7" t="s">
        <v>2477</v>
      </c>
    </row>
    <row r="86" customFormat="false" ht="79.5" hidden="false" customHeight="true" outlineLevel="0" collapsed="false">
      <c r="A86" s="7" t="s">
        <v>2478</v>
      </c>
      <c r="B86" s="7" t="s">
        <v>2479</v>
      </c>
      <c r="C86" s="7" t="s">
        <v>1101</v>
      </c>
      <c r="D86" s="7" t="s">
        <v>2284</v>
      </c>
      <c r="E86" s="7" t="n">
        <v>22.5</v>
      </c>
      <c r="F86" s="7" t="s">
        <v>2480</v>
      </c>
    </row>
    <row r="87" customFormat="false" ht="45.75" hidden="false" customHeight="true" outlineLevel="0" collapsed="false">
      <c r="A87" s="7" t="s">
        <v>2481</v>
      </c>
      <c r="B87" s="7" t="s">
        <v>2482</v>
      </c>
      <c r="C87" s="7" t="s">
        <v>2483</v>
      </c>
      <c r="D87" s="7" t="s">
        <v>2296</v>
      </c>
      <c r="E87" s="7" t="n">
        <v>44.7</v>
      </c>
      <c r="F87" s="7" t="s">
        <v>2484</v>
      </c>
    </row>
    <row r="88" customFormat="false" ht="57" hidden="false" customHeight="true" outlineLevel="0" collapsed="false">
      <c r="A88" s="7" t="s">
        <v>2485</v>
      </c>
      <c r="B88" s="7" t="s">
        <v>871</v>
      </c>
      <c r="C88" s="7" t="s">
        <v>1101</v>
      </c>
      <c r="D88" s="7" t="s">
        <v>2292</v>
      </c>
      <c r="E88" s="7" t="n">
        <v>24.5</v>
      </c>
      <c r="F88" s="7" t="s">
        <v>2486</v>
      </c>
    </row>
    <row r="89" customFormat="false" ht="45.75" hidden="false" customHeight="true" outlineLevel="0" collapsed="false">
      <c r="A89" s="7" t="s">
        <v>2485</v>
      </c>
      <c r="B89" s="7" t="s">
        <v>2487</v>
      </c>
      <c r="C89" s="7" t="s">
        <v>2488</v>
      </c>
      <c r="D89" s="7" t="s">
        <v>2292</v>
      </c>
      <c r="E89" s="7" t="n">
        <v>50.6</v>
      </c>
      <c r="F89" s="7" t="s">
        <v>2489</v>
      </c>
    </row>
    <row r="90" customFormat="false" ht="34.5" hidden="false" customHeight="true" outlineLevel="0" collapsed="false">
      <c r="A90" s="7" t="s">
        <v>2485</v>
      </c>
      <c r="B90" s="7" t="s">
        <v>2295</v>
      </c>
      <c r="C90" s="7" t="s">
        <v>2283</v>
      </c>
      <c r="D90" s="7" t="s">
        <v>2292</v>
      </c>
      <c r="E90" s="7" t="n">
        <v>69</v>
      </c>
      <c r="F90" s="7" t="s">
        <v>2490</v>
      </c>
    </row>
    <row r="91" customFormat="false" ht="79.5" hidden="false" customHeight="true" outlineLevel="0" collapsed="false">
      <c r="A91" s="7" t="s">
        <v>2491</v>
      </c>
      <c r="B91" s="7" t="s">
        <v>2492</v>
      </c>
      <c r="C91" s="7" t="s">
        <v>2283</v>
      </c>
      <c r="D91" s="7" t="s">
        <v>2292</v>
      </c>
      <c r="E91" s="7" t="n">
        <v>51.4</v>
      </c>
      <c r="F91" s="7" t="s">
        <v>2493</v>
      </c>
    </row>
    <row r="92" customFormat="false" ht="68.25" hidden="false" customHeight="true" outlineLevel="0" collapsed="false">
      <c r="A92" s="7" t="s">
        <v>2494</v>
      </c>
      <c r="B92" s="7" t="s">
        <v>2495</v>
      </c>
      <c r="C92" s="7" t="s">
        <v>2283</v>
      </c>
      <c r="D92" s="7" t="s">
        <v>2284</v>
      </c>
      <c r="E92" s="7" t="n">
        <v>56.4</v>
      </c>
      <c r="F92" s="7" t="s">
        <v>2496</v>
      </c>
    </row>
    <row r="93" customFormat="false" ht="57" hidden="false" customHeight="true" outlineLevel="0" collapsed="false">
      <c r="A93" s="7" t="s">
        <v>2497</v>
      </c>
      <c r="B93" s="7" t="s">
        <v>2498</v>
      </c>
      <c r="C93" s="7" t="s">
        <v>2287</v>
      </c>
      <c r="D93" s="7" t="s">
        <v>2284</v>
      </c>
      <c r="E93" s="7" t="n">
        <v>26</v>
      </c>
      <c r="F93" s="7" t="s">
        <v>2499</v>
      </c>
    </row>
    <row r="94" customFormat="false" ht="147" hidden="false" customHeight="true" outlineLevel="0" collapsed="false">
      <c r="A94" s="7" t="s">
        <v>2497</v>
      </c>
      <c r="B94" s="7" t="s">
        <v>2500</v>
      </c>
      <c r="C94" s="7" t="s">
        <v>2283</v>
      </c>
      <c r="D94" s="7" t="s">
        <v>2284</v>
      </c>
      <c r="E94" s="7" t="n">
        <v>67.6</v>
      </c>
      <c r="F94" s="7" t="s">
        <v>2501</v>
      </c>
    </row>
    <row r="95" customFormat="false" ht="102" hidden="false" customHeight="true" outlineLevel="0" collapsed="false">
      <c r="A95" s="7" t="s">
        <v>2502</v>
      </c>
      <c r="B95" s="7" t="s">
        <v>2457</v>
      </c>
      <c r="C95" s="7" t="s">
        <v>2287</v>
      </c>
      <c r="D95" s="7" t="s">
        <v>2284</v>
      </c>
      <c r="E95" s="7" t="n">
        <v>24.5</v>
      </c>
      <c r="F95" s="7" t="s">
        <v>2503</v>
      </c>
    </row>
    <row r="96" customFormat="false" ht="68.25" hidden="false" customHeight="true" outlineLevel="0" collapsed="false">
      <c r="A96" s="7" t="s">
        <v>2504</v>
      </c>
      <c r="B96" s="7" t="s">
        <v>2022</v>
      </c>
      <c r="C96" s="7" t="s">
        <v>2287</v>
      </c>
      <c r="D96" s="7" t="s">
        <v>2284</v>
      </c>
      <c r="E96" s="7" t="n">
        <v>22.5</v>
      </c>
      <c r="F96" s="7" t="s">
        <v>2505</v>
      </c>
    </row>
    <row r="97" customFormat="false" ht="57" hidden="false" customHeight="true" outlineLevel="0" collapsed="false">
      <c r="A97" s="7" t="s">
        <v>2504</v>
      </c>
      <c r="B97" s="7" t="s">
        <v>2034</v>
      </c>
      <c r="C97" s="7" t="s">
        <v>2287</v>
      </c>
      <c r="D97" s="7" t="s">
        <v>2284</v>
      </c>
      <c r="E97" s="7" t="n">
        <v>21.8</v>
      </c>
      <c r="F97" s="7" t="s">
        <v>2506</v>
      </c>
    </row>
    <row r="98" customFormat="false" ht="45.75" hidden="false" customHeight="true" outlineLevel="0" collapsed="false">
      <c r="A98" s="7" t="s">
        <v>2507</v>
      </c>
      <c r="B98" s="7" t="s">
        <v>2373</v>
      </c>
      <c r="C98" s="7" t="s">
        <v>2374</v>
      </c>
      <c r="D98" s="7" t="s">
        <v>2296</v>
      </c>
      <c r="E98" s="7" t="n">
        <v>37.7</v>
      </c>
      <c r="F98" s="7" t="s">
        <v>2508</v>
      </c>
    </row>
    <row r="99" customFormat="false" ht="34.5" hidden="false" customHeight="true" outlineLevel="0" collapsed="false">
      <c r="A99" s="7" t="s">
        <v>2507</v>
      </c>
      <c r="B99" s="7" t="s">
        <v>2509</v>
      </c>
      <c r="C99" s="7" t="s">
        <v>2510</v>
      </c>
      <c r="D99" s="7" t="s">
        <v>2284</v>
      </c>
      <c r="E99" s="7" t="n">
        <v>63.3</v>
      </c>
      <c r="F99" s="7" t="s">
        <v>2511</v>
      </c>
    </row>
    <row r="100" customFormat="false" ht="45.75" hidden="false" customHeight="true" outlineLevel="0" collapsed="false">
      <c r="A100" s="7" t="s">
        <v>2507</v>
      </c>
      <c r="B100" s="7" t="s">
        <v>2512</v>
      </c>
      <c r="C100" s="7" t="s">
        <v>2287</v>
      </c>
      <c r="D100" s="7" t="s">
        <v>2284</v>
      </c>
      <c r="E100" s="7" t="n">
        <v>30</v>
      </c>
      <c r="F100" s="7" t="s">
        <v>2513</v>
      </c>
    </row>
    <row r="101" customFormat="false" ht="34.5" hidden="false" customHeight="true" outlineLevel="0" collapsed="false">
      <c r="A101" s="7" t="s">
        <v>2507</v>
      </c>
      <c r="B101" s="7" t="s">
        <v>2373</v>
      </c>
      <c r="C101" s="7" t="s">
        <v>2287</v>
      </c>
      <c r="D101" s="7" t="s">
        <v>2284</v>
      </c>
      <c r="E101" s="7" t="n">
        <v>37.9</v>
      </c>
      <c r="F101" s="7" t="s">
        <v>2514</v>
      </c>
    </row>
    <row r="102" customFormat="false" ht="202.5" hidden="false" customHeight="true" outlineLevel="0" collapsed="false">
      <c r="A102" s="7" t="s">
        <v>2507</v>
      </c>
      <c r="B102" s="7" t="s">
        <v>674</v>
      </c>
      <c r="C102" s="7" t="s">
        <v>2287</v>
      </c>
      <c r="D102" s="7" t="s">
        <v>2284</v>
      </c>
      <c r="E102" s="7" t="n">
        <v>21.2</v>
      </c>
      <c r="F102" s="7" t="s">
        <v>2515</v>
      </c>
    </row>
    <row r="103" customFormat="false" ht="45.75" hidden="false" customHeight="true" outlineLevel="0" collapsed="false">
      <c r="A103" s="7" t="s">
        <v>2516</v>
      </c>
      <c r="B103" s="7" t="s">
        <v>871</v>
      </c>
      <c r="C103" s="7" t="s">
        <v>1101</v>
      </c>
      <c r="D103" s="7" t="s">
        <v>2296</v>
      </c>
      <c r="E103" s="7" t="n">
        <v>24.2</v>
      </c>
      <c r="F103" s="7" t="s">
        <v>2517</v>
      </c>
    </row>
    <row r="104" customFormat="false" ht="68.25" hidden="false" customHeight="true" outlineLevel="0" collapsed="false">
      <c r="A104" s="7" t="s">
        <v>2516</v>
      </c>
      <c r="B104" s="7" t="s">
        <v>2518</v>
      </c>
      <c r="C104" s="7" t="s">
        <v>2519</v>
      </c>
      <c r="D104" s="7" t="s">
        <v>2284</v>
      </c>
      <c r="E104" s="7" t="n">
        <v>73.2</v>
      </c>
      <c r="F104" s="7" t="s">
        <v>2520</v>
      </c>
    </row>
    <row r="105" customFormat="false" ht="45.75" hidden="false" customHeight="true" outlineLevel="0" collapsed="false">
      <c r="A105" s="7" t="s">
        <v>2521</v>
      </c>
      <c r="B105" s="7" t="s">
        <v>2522</v>
      </c>
      <c r="C105" s="7" t="s">
        <v>2523</v>
      </c>
      <c r="D105" s="7" t="s">
        <v>2296</v>
      </c>
      <c r="E105" s="7" t="n">
        <v>40.2</v>
      </c>
      <c r="F105" s="7" t="s">
        <v>2524</v>
      </c>
    </row>
    <row r="106" customFormat="false" ht="45.75" hidden="false" customHeight="true" outlineLevel="0" collapsed="false">
      <c r="A106" s="7" t="s">
        <v>2525</v>
      </c>
      <c r="B106" s="7" t="s">
        <v>2526</v>
      </c>
      <c r="C106" s="7" t="s">
        <v>2527</v>
      </c>
      <c r="D106" s="7" t="s">
        <v>2296</v>
      </c>
      <c r="E106" s="7" t="n">
        <v>51</v>
      </c>
      <c r="F106" s="7" t="s">
        <v>2528</v>
      </c>
    </row>
    <row r="107" customFormat="false" ht="90.75" hidden="false" customHeight="true" outlineLevel="0" collapsed="false">
      <c r="A107" s="7" t="s">
        <v>2529</v>
      </c>
      <c r="B107" s="7" t="s">
        <v>2385</v>
      </c>
      <c r="C107" s="7" t="s">
        <v>2386</v>
      </c>
      <c r="D107" s="7" t="s">
        <v>2284</v>
      </c>
      <c r="E107" s="7" t="n">
        <v>58.1</v>
      </c>
      <c r="F107" s="7" t="s">
        <v>2530</v>
      </c>
    </row>
    <row r="108" customFormat="false" ht="90.75" hidden="false" customHeight="true" outlineLevel="0" collapsed="false">
      <c r="A108" s="7" t="s">
        <v>2529</v>
      </c>
      <c r="B108" s="7" t="s">
        <v>2531</v>
      </c>
      <c r="C108" s="7" t="s">
        <v>2532</v>
      </c>
      <c r="D108" s="7" t="s">
        <v>2292</v>
      </c>
      <c r="E108" s="7" t="n">
        <v>46.6</v>
      </c>
      <c r="F108" s="7" t="s">
        <v>2533</v>
      </c>
    </row>
    <row r="109" customFormat="false" ht="45.75" hidden="false" customHeight="true" outlineLevel="0" collapsed="false">
      <c r="A109" s="7" t="s">
        <v>2534</v>
      </c>
      <c r="B109" s="7" t="s">
        <v>2535</v>
      </c>
      <c r="C109" s="7" t="s">
        <v>2536</v>
      </c>
      <c r="D109" s="7" t="s">
        <v>2296</v>
      </c>
      <c r="E109" s="7" t="n">
        <v>74.2</v>
      </c>
      <c r="F109" s="7" t="s">
        <v>2537</v>
      </c>
    </row>
    <row r="110" customFormat="false" ht="68.25" hidden="false" customHeight="true" outlineLevel="0" collapsed="false">
      <c r="A110" s="7" t="s">
        <v>2538</v>
      </c>
      <c r="B110" s="7" t="s">
        <v>2342</v>
      </c>
      <c r="C110" s="7" t="s">
        <v>2291</v>
      </c>
      <c r="D110" s="7" t="s">
        <v>2284</v>
      </c>
      <c r="E110" s="7" t="n">
        <v>58.2</v>
      </c>
      <c r="F110" s="7" t="s">
        <v>2539</v>
      </c>
    </row>
    <row r="111" customFormat="false" ht="45.75" hidden="false" customHeight="true" outlineLevel="0" collapsed="false">
      <c r="A111" s="7" t="s">
        <v>2540</v>
      </c>
      <c r="B111" s="7" t="s">
        <v>2526</v>
      </c>
      <c r="C111" s="7" t="s">
        <v>2541</v>
      </c>
      <c r="D111" s="7" t="s">
        <v>2292</v>
      </c>
      <c r="E111" s="7" t="n">
        <v>22.4</v>
      </c>
      <c r="F111" s="7" t="s">
        <v>2542</v>
      </c>
    </row>
    <row r="112" customFormat="false" ht="135.75" hidden="false" customHeight="true" outlineLevel="0" collapsed="false">
      <c r="A112" s="7" t="s">
        <v>2540</v>
      </c>
      <c r="B112" s="7" t="s">
        <v>2322</v>
      </c>
      <c r="C112" s="7" t="s">
        <v>2323</v>
      </c>
      <c r="D112" s="7" t="s">
        <v>2292</v>
      </c>
      <c r="E112" s="7" t="n">
        <v>61.5</v>
      </c>
      <c r="F112" s="7" t="s">
        <v>2543</v>
      </c>
    </row>
    <row r="113" customFormat="false" ht="45.75" hidden="false" customHeight="true" outlineLevel="0" collapsed="false">
      <c r="A113" s="7" t="s">
        <v>2544</v>
      </c>
      <c r="B113" s="7" t="s">
        <v>871</v>
      </c>
      <c r="C113" s="7" t="s">
        <v>1101</v>
      </c>
      <c r="D113" s="7" t="s">
        <v>2292</v>
      </c>
      <c r="E113" s="7" t="n">
        <v>24.5</v>
      </c>
      <c r="F113" s="7" t="s">
        <v>2545</v>
      </c>
    </row>
    <row r="114" customFormat="false" ht="34.5" hidden="false" customHeight="true" outlineLevel="0" collapsed="false">
      <c r="A114" s="7" t="s">
        <v>2546</v>
      </c>
      <c r="B114" s="7" t="s">
        <v>2547</v>
      </c>
      <c r="C114" s="7" t="s">
        <v>2548</v>
      </c>
      <c r="D114" s="7" t="s">
        <v>2296</v>
      </c>
      <c r="E114" s="7" t="n">
        <v>51</v>
      </c>
      <c r="F114" s="7" t="s">
        <v>2549</v>
      </c>
    </row>
    <row r="115" customFormat="false" ht="34.5" hidden="false" customHeight="true" outlineLevel="0" collapsed="false">
      <c r="A115" s="7" t="s">
        <v>2550</v>
      </c>
      <c r="B115" s="7" t="s">
        <v>2526</v>
      </c>
      <c r="C115" s="7" t="s">
        <v>2551</v>
      </c>
      <c r="D115" s="7" t="s">
        <v>2296</v>
      </c>
      <c r="E115" s="7" t="n">
        <v>21.9</v>
      </c>
      <c r="F115" s="7" t="s">
        <v>2552</v>
      </c>
    </row>
    <row r="116" customFormat="false" ht="45.75" hidden="false" customHeight="true" outlineLevel="0" collapsed="false">
      <c r="A116" s="7" t="s">
        <v>2553</v>
      </c>
      <c r="B116" s="7" t="s">
        <v>2554</v>
      </c>
      <c r="C116" s="7" t="s">
        <v>2555</v>
      </c>
      <c r="D116" s="7" t="s">
        <v>2292</v>
      </c>
      <c r="E116" s="7" t="n">
        <v>67.5</v>
      </c>
      <c r="F116" s="7" t="s">
        <v>2556</v>
      </c>
    </row>
    <row r="117" customFormat="false" ht="45.75" hidden="false" customHeight="true" outlineLevel="0" collapsed="false">
      <c r="A117" s="7" t="s">
        <v>2557</v>
      </c>
      <c r="B117" s="7" t="s">
        <v>2558</v>
      </c>
      <c r="C117" s="7" t="s">
        <v>2559</v>
      </c>
      <c r="D117" s="7" t="s">
        <v>2375</v>
      </c>
      <c r="E117" s="7" t="n">
        <v>26.2</v>
      </c>
      <c r="F117" s="7" t="s">
        <v>2560</v>
      </c>
    </row>
    <row r="118" customFormat="false" ht="113.25" hidden="false" customHeight="true" outlineLevel="0" collapsed="false">
      <c r="A118" s="7" t="s">
        <v>2561</v>
      </c>
      <c r="B118" s="7" t="s">
        <v>2479</v>
      </c>
      <c r="C118" s="7" t="s">
        <v>1101</v>
      </c>
      <c r="D118" s="7" t="s">
        <v>2284</v>
      </c>
      <c r="E118" s="7" t="n">
        <v>22.7</v>
      </c>
      <c r="F118" s="7" t="s">
        <v>2562</v>
      </c>
    </row>
    <row r="119" customFormat="false" ht="34.5" hidden="false" customHeight="true" outlineLevel="0" collapsed="false">
      <c r="A119" s="7" t="s">
        <v>2561</v>
      </c>
      <c r="B119" s="7" t="s">
        <v>2434</v>
      </c>
      <c r="C119" s="7" t="s">
        <v>2287</v>
      </c>
      <c r="D119" s="7" t="s">
        <v>2375</v>
      </c>
      <c r="E119" s="7" t="n">
        <v>41</v>
      </c>
      <c r="F119" s="7" t="s">
        <v>2563</v>
      </c>
    </row>
    <row r="120" customFormat="false" ht="45.75" hidden="false" customHeight="true" outlineLevel="0" collapsed="false">
      <c r="A120" s="7" t="s">
        <v>2564</v>
      </c>
      <c r="B120" s="7" t="s">
        <v>2311</v>
      </c>
      <c r="C120" s="7" t="s">
        <v>2396</v>
      </c>
      <c r="D120" s="7" t="s">
        <v>2375</v>
      </c>
      <c r="E120" s="7" t="n">
        <v>47.4</v>
      </c>
      <c r="F120" s="7" t="s">
        <v>2565</v>
      </c>
    </row>
    <row r="121" customFormat="false" ht="34.5" hidden="false" customHeight="true" outlineLevel="0" collapsed="false">
      <c r="A121" s="7" t="s">
        <v>2566</v>
      </c>
      <c r="B121" s="7" t="s">
        <v>2526</v>
      </c>
      <c r="C121" s="7" t="s">
        <v>2551</v>
      </c>
      <c r="D121" s="7" t="s">
        <v>2375</v>
      </c>
      <c r="E121" s="7" t="n">
        <v>21.9</v>
      </c>
      <c r="F121" s="7" t="s">
        <v>2567</v>
      </c>
    </row>
    <row r="122" customFormat="false" ht="34.5" hidden="false" customHeight="true" outlineLevel="0" collapsed="false">
      <c r="A122" s="7" t="s">
        <v>2568</v>
      </c>
      <c r="B122" s="7" t="s">
        <v>2381</v>
      </c>
      <c r="C122" s="7" t="s">
        <v>2325</v>
      </c>
      <c r="D122" s="7" t="s">
        <v>2284</v>
      </c>
      <c r="E122" s="7" t="n">
        <v>55.6</v>
      </c>
      <c r="F122" s="7" t="s">
        <v>2569</v>
      </c>
    </row>
    <row r="123" customFormat="false" ht="113.25" hidden="false" customHeight="true" outlineLevel="0" collapsed="false">
      <c r="A123" s="7" t="s">
        <v>2570</v>
      </c>
      <c r="B123" s="7" t="s">
        <v>2295</v>
      </c>
      <c r="C123" s="7" t="s">
        <v>2283</v>
      </c>
      <c r="D123" s="7" t="s">
        <v>2375</v>
      </c>
      <c r="E123" s="7" t="n">
        <v>69</v>
      </c>
      <c r="F123" s="7" t="s">
        <v>2571</v>
      </c>
    </row>
    <row r="124" customFormat="false" ht="102" hidden="false" customHeight="true" outlineLevel="0" collapsed="false">
      <c r="A124" s="7" t="s">
        <v>2570</v>
      </c>
      <c r="B124" s="7" t="s">
        <v>2572</v>
      </c>
      <c r="C124" s="7" t="s">
        <v>2287</v>
      </c>
      <c r="D124" s="7" t="s">
        <v>2284</v>
      </c>
      <c r="E124" s="7" t="n">
        <v>25.2</v>
      </c>
      <c r="F124" s="7" t="s">
        <v>2573</v>
      </c>
    </row>
    <row r="125" customFormat="false" ht="79.5" hidden="false" customHeight="true" outlineLevel="0" collapsed="false">
      <c r="A125" s="7" t="s">
        <v>2570</v>
      </c>
      <c r="B125" s="7" t="s">
        <v>2498</v>
      </c>
      <c r="C125" s="7" t="s">
        <v>2287</v>
      </c>
      <c r="D125" s="7" t="s">
        <v>2375</v>
      </c>
      <c r="E125" s="7" t="n">
        <v>26.5</v>
      </c>
      <c r="F125" s="7" t="s">
        <v>2574</v>
      </c>
    </row>
    <row r="126" customFormat="false" ht="45.75" hidden="false" customHeight="true" outlineLevel="0" collapsed="false">
      <c r="A126" s="7" t="s">
        <v>2570</v>
      </c>
      <c r="B126" s="7" t="s">
        <v>2575</v>
      </c>
      <c r="C126" s="7" t="s">
        <v>2283</v>
      </c>
      <c r="D126" s="7" t="s">
        <v>2375</v>
      </c>
      <c r="E126" s="7" t="n">
        <v>24.3</v>
      </c>
      <c r="F126" s="7" t="s">
        <v>2576</v>
      </c>
    </row>
    <row r="127" customFormat="false" ht="45.75" hidden="false" customHeight="true" outlineLevel="0" collapsed="false">
      <c r="A127" s="7" t="s">
        <v>2577</v>
      </c>
      <c r="B127" s="7" t="s">
        <v>2311</v>
      </c>
      <c r="C127" s="7" t="s">
        <v>2396</v>
      </c>
      <c r="D127" s="7" t="s">
        <v>2375</v>
      </c>
      <c r="E127" s="7" t="n">
        <v>47.4</v>
      </c>
      <c r="F127" s="7" t="s">
        <v>2578</v>
      </c>
    </row>
    <row r="128" customFormat="false" ht="124.5" hidden="false" customHeight="true" outlineLevel="0" collapsed="false">
      <c r="A128" s="7" t="s">
        <v>2579</v>
      </c>
      <c r="B128" s="7" t="s">
        <v>674</v>
      </c>
      <c r="C128" s="7" t="s">
        <v>2287</v>
      </c>
      <c r="D128" s="7" t="s">
        <v>2375</v>
      </c>
      <c r="E128" s="7" t="n">
        <v>21.2</v>
      </c>
      <c r="F128" s="7" t="s">
        <v>2580</v>
      </c>
    </row>
    <row r="129" customFormat="false" ht="45.75" hidden="false" customHeight="true" outlineLevel="0" collapsed="false">
      <c r="A129" s="7" t="s">
        <v>2581</v>
      </c>
      <c r="B129" s="7" t="s">
        <v>871</v>
      </c>
      <c r="C129" s="7" t="s">
        <v>1101</v>
      </c>
      <c r="D129" s="7" t="s">
        <v>2375</v>
      </c>
      <c r="E129" s="7" t="n">
        <v>24.5</v>
      </c>
      <c r="F129" s="7" t="s">
        <v>2582</v>
      </c>
    </row>
    <row r="130" customFormat="false" ht="68.25" hidden="false" customHeight="true" outlineLevel="0" collapsed="false">
      <c r="A130" s="7" t="s">
        <v>2583</v>
      </c>
      <c r="B130" s="7" t="s">
        <v>2385</v>
      </c>
      <c r="C130" s="7" t="s">
        <v>2386</v>
      </c>
      <c r="D130" s="7" t="s">
        <v>2375</v>
      </c>
      <c r="E130" s="7" t="n">
        <v>58.1</v>
      </c>
      <c r="F130" s="7" t="s">
        <v>2584</v>
      </c>
    </row>
    <row r="131" customFormat="false" ht="45.75" hidden="false" customHeight="true" outlineLevel="0" collapsed="false">
      <c r="A131" s="7" t="s">
        <v>2585</v>
      </c>
      <c r="B131" s="7" t="s">
        <v>2535</v>
      </c>
      <c r="C131" s="7" t="s">
        <v>2536</v>
      </c>
      <c r="D131" s="7" t="s">
        <v>2375</v>
      </c>
      <c r="E131" s="7" t="n">
        <v>74.2</v>
      </c>
      <c r="F131" s="7" t="s">
        <v>2586</v>
      </c>
    </row>
    <row r="132" customFormat="false" ht="45.75" hidden="false" customHeight="true" outlineLevel="0" collapsed="false">
      <c r="A132" s="7" t="s">
        <v>2585</v>
      </c>
      <c r="B132" s="7" t="s">
        <v>2558</v>
      </c>
      <c r="C132" s="7" t="s">
        <v>2559</v>
      </c>
      <c r="D132" s="7" t="s">
        <v>2375</v>
      </c>
      <c r="E132" s="7" t="n">
        <v>26.2</v>
      </c>
      <c r="F132" s="7" t="s">
        <v>2587</v>
      </c>
    </row>
    <row r="133" customFormat="false" ht="68.25" hidden="false" customHeight="true" outlineLevel="0" collapsed="false">
      <c r="A133" s="7" t="s">
        <v>2588</v>
      </c>
      <c r="B133" s="7" t="s">
        <v>2589</v>
      </c>
      <c r="C133" s="7" t="s">
        <v>2590</v>
      </c>
      <c r="D133" s="7" t="s">
        <v>2375</v>
      </c>
      <c r="E133" s="7" t="n">
        <v>42</v>
      </c>
      <c r="F133" s="7" t="s">
        <v>2591</v>
      </c>
    </row>
    <row r="134" customFormat="false" ht="45.75" hidden="false" customHeight="true" outlineLevel="0" collapsed="false">
      <c r="A134" s="7" t="s">
        <v>2592</v>
      </c>
      <c r="B134" s="7" t="s">
        <v>2381</v>
      </c>
      <c r="C134" s="7" t="s">
        <v>2325</v>
      </c>
      <c r="D134" s="7" t="s">
        <v>2375</v>
      </c>
      <c r="E134" s="7" t="n">
        <v>58.9</v>
      </c>
      <c r="F134" s="7" t="s">
        <v>2593</v>
      </c>
    </row>
    <row r="135" customFormat="false" ht="57" hidden="false" customHeight="true" outlineLevel="0" collapsed="false">
      <c r="A135" s="7" t="s">
        <v>2594</v>
      </c>
      <c r="B135" s="7" t="s">
        <v>2457</v>
      </c>
      <c r="C135" s="7" t="s">
        <v>2287</v>
      </c>
      <c r="D135" s="7" t="s">
        <v>2292</v>
      </c>
      <c r="E135" s="7" t="n">
        <v>24.5</v>
      </c>
      <c r="F135" s="7" t="s">
        <v>2595</v>
      </c>
    </row>
    <row r="136" customFormat="false" ht="45.75" hidden="false" customHeight="true" outlineLevel="0" collapsed="false">
      <c r="A136" s="7" t="s">
        <v>2596</v>
      </c>
      <c r="B136" s="7" t="s">
        <v>2373</v>
      </c>
      <c r="C136" s="7" t="s">
        <v>2287</v>
      </c>
      <c r="D136" s="7" t="s">
        <v>2597</v>
      </c>
      <c r="E136" s="7" t="n">
        <v>37.9</v>
      </c>
      <c r="F136" s="7" t="s">
        <v>2598</v>
      </c>
    </row>
    <row r="137" customFormat="false" ht="79.5" hidden="false" customHeight="true" outlineLevel="0" collapsed="false">
      <c r="A137" s="7" t="s">
        <v>2599</v>
      </c>
      <c r="B137" s="7" t="s">
        <v>674</v>
      </c>
      <c r="C137" s="7" t="s">
        <v>2287</v>
      </c>
      <c r="D137" s="7" t="s">
        <v>2375</v>
      </c>
      <c r="E137" s="7" t="n">
        <v>21.2</v>
      </c>
      <c r="F137" s="7" t="s">
        <v>2600</v>
      </c>
    </row>
    <row r="138" customFormat="false" ht="202.5" hidden="false" customHeight="true" outlineLevel="0" collapsed="false">
      <c r="A138" s="7" t="s">
        <v>2599</v>
      </c>
      <c r="B138" s="7" t="s">
        <v>2601</v>
      </c>
      <c r="C138" s="7" t="s">
        <v>2386</v>
      </c>
      <c r="D138" s="7" t="s">
        <v>2375</v>
      </c>
      <c r="E138" s="7" t="n">
        <v>57.4</v>
      </c>
      <c r="F138" s="7" t="s">
        <v>2602</v>
      </c>
    </row>
    <row r="139" customFormat="false" ht="79.5" hidden="false" customHeight="true" outlineLevel="0" collapsed="false">
      <c r="A139" s="7" t="s">
        <v>2599</v>
      </c>
      <c r="B139" s="7" t="s">
        <v>2603</v>
      </c>
      <c r="C139" s="7" t="s">
        <v>2287</v>
      </c>
      <c r="D139" s="7" t="s">
        <v>2375</v>
      </c>
      <c r="E139" s="7" t="n">
        <v>34</v>
      </c>
      <c r="F139" s="7" t="s">
        <v>2604</v>
      </c>
    </row>
    <row r="140" customFormat="false" ht="102" hidden="false" customHeight="true" outlineLevel="0" collapsed="false">
      <c r="A140" s="7" t="s">
        <v>2605</v>
      </c>
      <c r="B140" s="7" t="s">
        <v>2606</v>
      </c>
      <c r="C140" s="7" t="s">
        <v>2607</v>
      </c>
      <c r="D140" s="7" t="s">
        <v>2375</v>
      </c>
      <c r="E140" s="7" t="n">
        <v>64.8</v>
      </c>
      <c r="F140" s="7" t="s">
        <v>2608</v>
      </c>
    </row>
    <row r="141" customFormat="false" ht="34.5" hidden="false" customHeight="true" outlineLevel="0" collapsed="false">
      <c r="A141" s="7" t="s">
        <v>2605</v>
      </c>
      <c r="B141" s="7" t="s">
        <v>2609</v>
      </c>
      <c r="C141" s="7" t="s">
        <v>2287</v>
      </c>
      <c r="D141" s="7" t="s">
        <v>2375</v>
      </c>
      <c r="E141" s="7" t="n">
        <v>44.5</v>
      </c>
      <c r="F141" s="7" t="s">
        <v>2610</v>
      </c>
    </row>
    <row r="142" customFormat="false" ht="57" hidden="false" customHeight="true" outlineLevel="0" collapsed="false">
      <c r="A142" s="7" t="s">
        <v>2611</v>
      </c>
      <c r="B142" s="7" t="s">
        <v>2547</v>
      </c>
      <c r="C142" s="7" t="s">
        <v>2548</v>
      </c>
      <c r="D142" s="7" t="s">
        <v>2375</v>
      </c>
      <c r="E142" s="7" t="n">
        <v>47.3</v>
      </c>
      <c r="F142" s="7" t="s">
        <v>2612</v>
      </c>
    </row>
    <row r="143" customFormat="false" ht="258.75" hidden="false" customHeight="true" outlineLevel="0" collapsed="false">
      <c r="A143" s="7" t="s">
        <v>2613</v>
      </c>
      <c r="B143" s="7" t="s">
        <v>2321</v>
      </c>
      <c r="C143" s="7" t="s">
        <v>2314</v>
      </c>
      <c r="D143" s="7" t="s">
        <v>2375</v>
      </c>
      <c r="E143" s="7" t="n">
        <v>41.4</v>
      </c>
      <c r="F143" s="7" t="s">
        <v>2614</v>
      </c>
    </row>
    <row r="144" customFormat="false" ht="79.5" hidden="false" customHeight="true" outlineLevel="0" collapsed="false">
      <c r="A144" s="7" t="s">
        <v>2613</v>
      </c>
      <c r="B144" s="7" t="s">
        <v>2615</v>
      </c>
      <c r="C144" s="7" t="s">
        <v>2616</v>
      </c>
      <c r="D144" s="7" t="s">
        <v>2375</v>
      </c>
      <c r="E144" s="7" t="n">
        <v>33.2</v>
      </c>
      <c r="F144" s="7" t="s">
        <v>2617</v>
      </c>
    </row>
    <row r="145" customFormat="false" ht="90.75" hidden="false" customHeight="true" outlineLevel="0" collapsed="false">
      <c r="A145" s="7" t="s">
        <v>2618</v>
      </c>
      <c r="B145" s="7" t="s">
        <v>2619</v>
      </c>
      <c r="C145" s="7" t="s">
        <v>2620</v>
      </c>
      <c r="D145" s="7" t="s">
        <v>2375</v>
      </c>
      <c r="E145" s="7" t="n">
        <v>52.4</v>
      </c>
      <c r="F145" s="7" t="s">
        <v>2621</v>
      </c>
    </row>
    <row r="146" customFormat="false" ht="34.5" hidden="false" customHeight="true" outlineLevel="0" collapsed="false">
      <c r="A146" s="7" t="s">
        <v>2622</v>
      </c>
      <c r="B146" s="7" t="s">
        <v>2554</v>
      </c>
      <c r="C146" s="7" t="s">
        <v>2555</v>
      </c>
      <c r="D146" s="7" t="s">
        <v>2292</v>
      </c>
      <c r="E146" s="7" t="n">
        <v>67.5</v>
      </c>
      <c r="F146" s="7" t="s">
        <v>2623</v>
      </c>
    </row>
    <row r="147" customFormat="false" ht="135.75" hidden="false" customHeight="true" outlineLevel="0" collapsed="false">
      <c r="A147" s="7" t="s">
        <v>2624</v>
      </c>
      <c r="B147" s="7" t="s">
        <v>2381</v>
      </c>
      <c r="C147" s="7" t="s">
        <v>2325</v>
      </c>
      <c r="D147" s="7" t="s">
        <v>2284</v>
      </c>
      <c r="E147" s="7" t="n">
        <v>55.6</v>
      </c>
      <c r="F147" s="7" t="s">
        <v>2625</v>
      </c>
    </row>
    <row r="148" customFormat="false" ht="57" hidden="false" customHeight="true" outlineLevel="0" collapsed="false">
      <c r="A148" s="7" t="s">
        <v>2626</v>
      </c>
      <c r="B148" s="7" t="s">
        <v>2299</v>
      </c>
      <c r="C148" s="7" t="s">
        <v>2300</v>
      </c>
      <c r="D148" s="7" t="s">
        <v>2375</v>
      </c>
      <c r="E148" s="7" t="n">
        <v>54.8</v>
      </c>
      <c r="F148" s="7" t="s">
        <v>2627</v>
      </c>
    </row>
    <row r="149" customFormat="false" ht="34.5" hidden="false" customHeight="true" outlineLevel="0" collapsed="false">
      <c r="A149" s="7" t="s">
        <v>2628</v>
      </c>
      <c r="B149" s="7" t="s">
        <v>2022</v>
      </c>
      <c r="C149" s="7" t="s">
        <v>2287</v>
      </c>
      <c r="D149" s="7" t="s">
        <v>2375</v>
      </c>
      <c r="E149" s="7" t="n">
        <v>22.5</v>
      </c>
      <c r="F149" s="7" t="s">
        <v>2629</v>
      </c>
    </row>
    <row r="150" customFormat="false" ht="57" hidden="false" customHeight="true" outlineLevel="0" collapsed="false">
      <c r="A150" s="7" t="s">
        <v>2628</v>
      </c>
      <c r="B150" s="7" t="s">
        <v>674</v>
      </c>
      <c r="C150" s="7" t="s">
        <v>2287</v>
      </c>
      <c r="D150" s="7" t="s">
        <v>2375</v>
      </c>
      <c r="E150" s="7" t="n">
        <v>21.2</v>
      </c>
      <c r="F150" s="7" t="s">
        <v>2630</v>
      </c>
    </row>
    <row r="151" customFormat="false" ht="68.25" hidden="false" customHeight="true" outlineLevel="0" collapsed="false">
      <c r="A151" s="7" t="s">
        <v>2631</v>
      </c>
      <c r="B151" s="7" t="s">
        <v>2498</v>
      </c>
      <c r="C151" s="7" t="s">
        <v>2287</v>
      </c>
      <c r="D151" s="7" t="s">
        <v>2375</v>
      </c>
      <c r="E151" s="7" t="n">
        <v>26.5</v>
      </c>
      <c r="F151" s="7" t="s">
        <v>2632</v>
      </c>
    </row>
    <row r="152" customFormat="false" ht="68.25" hidden="false" customHeight="true" outlineLevel="0" collapsed="false">
      <c r="A152" s="7" t="s">
        <v>2633</v>
      </c>
      <c r="B152" s="7" t="s">
        <v>2487</v>
      </c>
      <c r="C152" s="7" t="s">
        <v>2287</v>
      </c>
      <c r="D152" s="7" t="s">
        <v>2375</v>
      </c>
      <c r="E152" s="7" t="n">
        <v>50.6</v>
      </c>
      <c r="F152" s="7" t="s">
        <v>2634</v>
      </c>
    </row>
    <row r="153" customFormat="false" ht="45.75" hidden="false" customHeight="true" outlineLevel="0" collapsed="false">
      <c r="A153" s="7" t="s">
        <v>2633</v>
      </c>
      <c r="B153" s="7" t="s">
        <v>2635</v>
      </c>
      <c r="C153" s="7" t="s">
        <v>1101</v>
      </c>
      <c r="D153" s="7" t="s">
        <v>2284</v>
      </c>
      <c r="E153" s="7" t="n">
        <v>34.2</v>
      </c>
      <c r="F153" s="7" t="s">
        <v>2636</v>
      </c>
    </row>
    <row r="154" customFormat="false" ht="57" hidden="false" customHeight="true" outlineLevel="0" collapsed="false">
      <c r="A154" s="7" t="s">
        <v>2633</v>
      </c>
      <c r="B154" s="7" t="s">
        <v>2572</v>
      </c>
      <c r="C154" s="7" t="s">
        <v>2287</v>
      </c>
      <c r="D154" s="7" t="s">
        <v>2375</v>
      </c>
      <c r="E154" s="7" t="n">
        <v>25.3</v>
      </c>
      <c r="F154" s="7" t="s">
        <v>2637</v>
      </c>
    </row>
    <row r="155" customFormat="false" ht="57" hidden="false" customHeight="true" outlineLevel="0" collapsed="false">
      <c r="A155" s="7" t="s">
        <v>2638</v>
      </c>
      <c r="B155" s="7" t="s">
        <v>2322</v>
      </c>
      <c r="C155" s="7" t="s">
        <v>2323</v>
      </c>
      <c r="D155" s="7" t="s">
        <v>2375</v>
      </c>
      <c r="E155" s="7" t="n">
        <v>61.5</v>
      </c>
      <c r="F155" s="7" t="s">
        <v>2639</v>
      </c>
    </row>
    <row r="156" customFormat="false" ht="45.75" hidden="false" customHeight="true" outlineLevel="0" collapsed="false">
      <c r="A156" s="7" t="s">
        <v>2640</v>
      </c>
      <c r="B156" s="7" t="s">
        <v>2034</v>
      </c>
      <c r="C156" s="7" t="s">
        <v>2287</v>
      </c>
      <c r="D156" s="7" t="s">
        <v>2284</v>
      </c>
      <c r="E156" s="7" t="n">
        <v>21.8</v>
      </c>
      <c r="F156" s="7" t="s">
        <v>2641</v>
      </c>
    </row>
    <row r="157" customFormat="false" ht="68.25" hidden="false" customHeight="true" outlineLevel="0" collapsed="false">
      <c r="A157" s="7" t="s">
        <v>2640</v>
      </c>
      <c r="B157" s="7" t="s">
        <v>2642</v>
      </c>
      <c r="C157" s="7" t="s">
        <v>2643</v>
      </c>
      <c r="D157" s="7" t="s">
        <v>2284</v>
      </c>
      <c r="E157" s="7" t="n">
        <v>27.2</v>
      </c>
      <c r="F157" s="7" t="s">
        <v>2644</v>
      </c>
    </row>
    <row r="158" customFormat="false" ht="57" hidden="false" customHeight="true" outlineLevel="0" collapsed="false">
      <c r="A158" s="7" t="s">
        <v>2645</v>
      </c>
      <c r="B158" s="7" t="s">
        <v>2377</v>
      </c>
      <c r="C158" s="7" t="s">
        <v>2378</v>
      </c>
      <c r="D158" s="7" t="s">
        <v>2284</v>
      </c>
      <c r="E158" s="7" t="n">
        <v>35.3</v>
      </c>
      <c r="F158" s="7" t="s">
        <v>2646</v>
      </c>
    </row>
    <row r="159" customFormat="false" ht="68.25" hidden="false" customHeight="true" outlineLevel="0" collapsed="false">
      <c r="A159" s="7" t="s">
        <v>2647</v>
      </c>
      <c r="B159" s="7" t="s">
        <v>2299</v>
      </c>
      <c r="C159" s="7" t="s">
        <v>2300</v>
      </c>
      <c r="D159" s="7" t="s">
        <v>2284</v>
      </c>
      <c r="E159" s="7" t="n">
        <v>54.8</v>
      </c>
      <c r="F159" s="7" t="s">
        <v>2648</v>
      </c>
    </row>
    <row r="160" customFormat="false" ht="45.75" hidden="false" customHeight="true" outlineLevel="0" collapsed="false">
      <c r="A160" s="7" t="s">
        <v>2649</v>
      </c>
      <c r="B160" s="7" t="s">
        <v>2650</v>
      </c>
      <c r="C160" s="7" t="s">
        <v>2386</v>
      </c>
      <c r="D160" s="7" t="s">
        <v>2284</v>
      </c>
      <c r="E160" s="7" t="n">
        <v>55.1</v>
      </c>
      <c r="F160" s="7" t="s">
        <v>2651</v>
      </c>
    </row>
    <row r="161" customFormat="false" ht="45.75" hidden="false" customHeight="true" outlineLevel="0" collapsed="false">
      <c r="A161" s="7" t="s">
        <v>2652</v>
      </c>
      <c r="B161" s="7" t="s">
        <v>2385</v>
      </c>
      <c r="C161" s="7" t="s">
        <v>2386</v>
      </c>
      <c r="D161" s="7" t="s">
        <v>2284</v>
      </c>
      <c r="E161" s="7" t="n">
        <v>58.1</v>
      </c>
      <c r="F161" s="7" t="s">
        <v>2653</v>
      </c>
    </row>
    <row r="162" customFormat="false" ht="34.5" hidden="false" customHeight="true" outlineLevel="0" collapsed="false">
      <c r="A162" s="7" t="s">
        <v>2654</v>
      </c>
      <c r="B162" s="7" t="s">
        <v>2655</v>
      </c>
      <c r="C162" s="7" t="s">
        <v>2283</v>
      </c>
      <c r="D162" s="7" t="s">
        <v>2284</v>
      </c>
      <c r="E162" s="7" t="n">
        <v>22.7</v>
      </c>
      <c r="F162" s="7" t="s">
        <v>2656</v>
      </c>
    </row>
    <row r="163" customFormat="false" ht="45.75" hidden="false" customHeight="true" outlineLevel="0" collapsed="false">
      <c r="A163" s="7" t="s">
        <v>1243</v>
      </c>
      <c r="B163" s="7" t="s">
        <v>2657</v>
      </c>
      <c r="C163" s="7" t="s">
        <v>2658</v>
      </c>
      <c r="D163" s="7" t="s">
        <v>2296</v>
      </c>
      <c r="E163" s="7" t="n">
        <v>66.4</v>
      </c>
      <c r="F163" s="7" t="s">
        <v>2659</v>
      </c>
    </row>
    <row r="164" customFormat="false" ht="34.5" hidden="false" customHeight="true" outlineLevel="0" collapsed="false">
      <c r="A164" s="7" t="s">
        <v>1243</v>
      </c>
      <c r="B164" s="7" t="s">
        <v>2660</v>
      </c>
      <c r="C164" s="7" t="s">
        <v>2320</v>
      </c>
      <c r="D164" s="7" t="s">
        <v>2296</v>
      </c>
      <c r="E164" s="7" t="n">
        <v>74.7</v>
      </c>
      <c r="F164" s="7" t="s">
        <v>2661</v>
      </c>
    </row>
    <row r="165" customFormat="false" ht="45.75" hidden="false" customHeight="true" outlineLevel="0" collapsed="false">
      <c r="A165" s="7" t="s">
        <v>1242</v>
      </c>
      <c r="B165" s="7" t="s">
        <v>871</v>
      </c>
      <c r="C165" s="7" t="s">
        <v>1101</v>
      </c>
      <c r="D165" s="7" t="s">
        <v>2284</v>
      </c>
      <c r="E165" s="7" t="n">
        <v>23.8</v>
      </c>
      <c r="F165" s="7" t="s">
        <v>2662</v>
      </c>
    </row>
    <row r="166" customFormat="false" ht="68.25" hidden="false" customHeight="true" outlineLevel="0" collapsed="false">
      <c r="A166" s="7" t="s">
        <v>1242</v>
      </c>
      <c r="B166" s="7" t="s">
        <v>2377</v>
      </c>
      <c r="C166" s="7" t="s">
        <v>2287</v>
      </c>
      <c r="D166" s="7" t="s">
        <v>2284</v>
      </c>
      <c r="E166" s="7" t="n">
        <v>35.3</v>
      </c>
      <c r="F166" s="7" t="s">
        <v>2663</v>
      </c>
    </row>
    <row r="167" customFormat="false" ht="79.5" hidden="false" customHeight="true" outlineLevel="0" collapsed="false">
      <c r="A167" s="7" t="s">
        <v>1242</v>
      </c>
      <c r="B167" s="7" t="s">
        <v>2664</v>
      </c>
      <c r="C167" s="7" t="s">
        <v>2287</v>
      </c>
      <c r="D167" s="7" t="s">
        <v>2284</v>
      </c>
      <c r="E167" s="7" t="n">
        <v>60.2</v>
      </c>
      <c r="F167" s="7" t="s">
        <v>2665</v>
      </c>
    </row>
    <row r="168" customFormat="false" ht="68.25" hidden="false" customHeight="true" outlineLevel="0" collapsed="false">
      <c r="A168" s="7" t="s">
        <v>1242</v>
      </c>
      <c r="B168" s="7" t="s">
        <v>2342</v>
      </c>
      <c r="C168" s="7" t="s">
        <v>2287</v>
      </c>
      <c r="D168" s="7" t="s">
        <v>2284</v>
      </c>
      <c r="E168" s="7" t="n">
        <v>59.4</v>
      </c>
      <c r="F168" s="7" t="s">
        <v>2666</v>
      </c>
    </row>
    <row r="169" customFormat="false" ht="45.75" hidden="false" customHeight="true" outlineLevel="0" collapsed="false">
      <c r="A169" s="7" t="s">
        <v>1242</v>
      </c>
      <c r="B169" s="7" t="s">
        <v>2392</v>
      </c>
      <c r="C169" s="7" t="s">
        <v>2393</v>
      </c>
      <c r="D169" s="7" t="s">
        <v>2296</v>
      </c>
      <c r="E169" s="7" t="n">
        <v>20.7</v>
      </c>
      <c r="F169" s="7" t="s">
        <v>2667</v>
      </c>
    </row>
    <row r="170" customFormat="false" ht="34.5" hidden="false" customHeight="true" outlineLevel="0" collapsed="false">
      <c r="A170" s="7" t="s">
        <v>1242</v>
      </c>
      <c r="B170" s="7" t="s">
        <v>2668</v>
      </c>
      <c r="C170" s="7" t="s">
        <v>2314</v>
      </c>
      <c r="D170" s="7" t="s">
        <v>2284</v>
      </c>
      <c r="E170" s="7" t="n">
        <v>31.7</v>
      </c>
      <c r="F170" s="7" t="s">
        <v>2669</v>
      </c>
    </row>
    <row r="171" customFormat="false" ht="168.75" hidden="false" customHeight="true" outlineLevel="0" collapsed="false">
      <c r="A171" s="7" t="s">
        <v>2670</v>
      </c>
      <c r="B171" s="7" t="s">
        <v>2377</v>
      </c>
      <c r="C171" s="7" t="s">
        <v>2378</v>
      </c>
      <c r="D171" s="7" t="s">
        <v>2284</v>
      </c>
      <c r="E171" s="7" t="n">
        <v>59.5</v>
      </c>
      <c r="F171" s="7" t="s">
        <v>2671</v>
      </c>
    </row>
    <row r="172" customFormat="false" ht="90.75" hidden="false" customHeight="true" outlineLevel="0" collapsed="false">
      <c r="A172" s="7" t="s">
        <v>2672</v>
      </c>
      <c r="B172" s="7" t="s">
        <v>2487</v>
      </c>
      <c r="C172" s="7" t="s">
        <v>2287</v>
      </c>
      <c r="D172" s="7" t="s">
        <v>2284</v>
      </c>
      <c r="E172" s="7" t="n">
        <v>50.6</v>
      </c>
      <c r="F172" s="7" t="s">
        <v>2673</v>
      </c>
    </row>
    <row r="173" customFormat="false" ht="34.5" hidden="false" customHeight="true" outlineLevel="0" collapsed="false">
      <c r="A173" s="7" t="s">
        <v>2672</v>
      </c>
      <c r="B173" s="7" t="s">
        <v>2034</v>
      </c>
      <c r="C173" s="7" t="s">
        <v>2287</v>
      </c>
      <c r="D173" s="7" t="s">
        <v>2284</v>
      </c>
      <c r="E173" s="7" t="n">
        <v>21.8</v>
      </c>
      <c r="F173" s="7" t="s">
        <v>2674</v>
      </c>
    </row>
    <row r="174" customFormat="false" ht="34.5" hidden="false" customHeight="true" outlineLevel="0" collapsed="false">
      <c r="A174" s="7" t="s">
        <v>2675</v>
      </c>
      <c r="B174" s="7" t="s">
        <v>2385</v>
      </c>
      <c r="C174" s="7" t="s">
        <v>2386</v>
      </c>
      <c r="D174" s="7" t="s">
        <v>2375</v>
      </c>
      <c r="E174" s="7" t="n">
        <v>57.7</v>
      </c>
      <c r="F174" s="7" t="s">
        <v>2676</v>
      </c>
    </row>
    <row r="175" customFormat="false" ht="57" hidden="false" customHeight="true" outlineLevel="0" collapsed="false">
      <c r="A175" s="7" t="s">
        <v>2677</v>
      </c>
      <c r="B175" s="7" t="s">
        <v>2678</v>
      </c>
      <c r="C175" s="7" t="s">
        <v>2679</v>
      </c>
      <c r="D175" s="7" t="s">
        <v>2375</v>
      </c>
      <c r="E175" s="7" t="n">
        <v>42.9</v>
      </c>
      <c r="F175" s="7" t="s">
        <v>2680</v>
      </c>
    </row>
    <row r="176" customFormat="false" ht="45.75" hidden="false" customHeight="true" outlineLevel="0" collapsed="false">
      <c r="A176" s="7" t="s">
        <v>2677</v>
      </c>
      <c r="B176" s="7" t="s">
        <v>2531</v>
      </c>
      <c r="C176" s="7" t="s">
        <v>2532</v>
      </c>
      <c r="D176" s="7" t="s">
        <v>2375</v>
      </c>
      <c r="E176" s="7" t="n">
        <v>46.6</v>
      </c>
      <c r="F176" s="7" t="s">
        <v>2681</v>
      </c>
    </row>
    <row r="177" customFormat="false" ht="45.75" hidden="false" customHeight="true" outlineLevel="0" collapsed="false">
      <c r="A177" s="7" t="s">
        <v>2677</v>
      </c>
      <c r="B177" s="7" t="s">
        <v>2313</v>
      </c>
      <c r="C177" s="7" t="s">
        <v>2314</v>
      </c>
      <c r="D177" s="7" t="s">
        <v>2375</v>
      </c>
      <c r="E177" s="7" t="n">
        <v>44.7</v>
      </c>
      <c r="F177" s="7" t="s">
        <v>2682</v>
      </c>
    </row>
    <row r="178" customFormat="false" ht="57" hidden="false" customHeight="true" outlineLevel="0" collapsed="false">
      <c r="A178" s="7" t="s">
        <v>2683</v>
      </c>
      <c r="B178" s="7" t="s">
        <v>2377</v>
      </c>
      <c r="C178" s="7" t="s">
        <v>2378</v>
      </c>
      <c r="D178" s="7" t="s">
        <v>2284</v>
      </c>
      <c r="E178" s="7" t="n">
        <v>35.3</v>
      </c>
      <c r="F178" s="7" t="s">
        <v>2684</v>
      </c>
    </row>
    <row r="179" customFormat="false" ht="34.5" hidden="false" customHeight="true" outlineLevel="0" collapsed="false">
      <c r="A179" s="7" t="s">
        <v>2685</v>
      </c>
      <c r="B179" s="7" t="s">
        <v>2686</v>
      </c>
      <c r="C179" s="7" t="s">
        <v>2687</v>
      </c>
      <c r="D179" s="7" t="s">
        <v>2375</v>
      </c>
      <c r="E179" s="7" t="n">
        <v>48.1</v>
      </c>
      <c r="F179" s="7" t="s">
        <v>2688</v>
      </c>
    </row>
    <row r="180" customFormat="false" ht="34.5" hidden="false" customHeight="true" outlineLevel="0" collapsed="false">
      <c r="A180" s="7" t="s">
        <v>2689</v>
      </c>
      <c r="B180" s="7" t="s">
        <v>2358</v>
      </c>
      <c r="C180" s="7" t="s">
        <v>2690</v>
      </c>
      <c r="D180" s="7" t="s">
        <v>2375</v>
      </c>
      <c r="E180" s="7" t="n">
        <v>56.1</v>
      </c>
      <c r="F180" s="7" t="s">
        <v>2691</v>
      </c>
    </row>
    <row r="181" customFormat="false" ht="34.5" hidden="false" customHeight="true" outlineLevel="0" collapsed="false">
      <c r="A181" s="7" t="s">
        <v>2692</v>
      </c>
      <c r="B181" s="7" t="s">
        <v>2526</v>
      </c>
      <c r="C181" s="7" t="s">
        <v>2551</v>
      </c>
      <c r="D181" s="7" t="s">
        <v>2375</v>
      </c>
      <c r="E181" s="7" t="n">
        <v>21.9</v>
      </c>
      <c r="F181" s="7" t="s">
        <v>2693</v>
      </c>
    </row>
    <row r="182" customFormat="false" ht="45.75" hidden="false" customHeight="true" outlineLevel="0" collapsed="false">
      <c r="A182" s="7" t="s">
        <v>2694</v>
      </c>
      <c r="B182" s="7" t="s">
        <v>2695</v>
      </c>
      <c r="C182" s="7" t="s">
        <v>2696</v>
      </c>
      <c r="D182" s="7" t="s">
        <v>2375</v>
      </c>
      <c r="E182" s="7" t="n">
        <v>39.8</v>
      </c>
      <c r="F182" s="7" t="s">
        <v>2697</v>
      </c>
    </row>
    <row r="183" customFormat="false" ht="45.75" hidden="false" customHeight="true" outlineLevel="0" collapsed="false">
      <c r="A183" s="7" t="s">
        <v>2698</v>
      </c>
      <c r="B183" s="7" t="s">
        <v>2678</v>
      </c>
      <c r="C183" s="7" t="s">
        <v>2699</v>
      </c>
      <c r="D183" s="7" t="s">
        <v>2375</v>
      </c>
      <c r="E183" s="7" t="n">
        <v>44.6</v>
      </c>
      <c r="F183" s="7" t="s">
        <v>2700</v>
      </c>
    </row>
    <row r="184" customFormat="false" ht="34.5" hidden="false" customHeight="true" outlineLevel="0" collapsed="false">
      <c r="A184" s="7" t="s">
        <v>2701</v>
      </c>
      <c r="B184" s="7" t="s">
        <v>2702</v>
      </c>
      <c r="C184" s="7" t="s">
        <v>2703</v>
      </c>
      <c r="D184" s="7" t="s">
        <v>2375</v>
      </c>
      <c r="E184" s="7" t="n">
        <v>45.1</v>
      </c>
      <c r="F184" s="7" t="s">
        <v>2704</v>
      </c>
    </row>
    <row r="185" customFormat="false" ht="57" hidden="false" customHeight="true" outlineLevel="0" collapsed="false">
      <c r="A185" s="7" t="s">
        <v>2705</v>
      </c>
      <c r="B185" s="7" t="s">
        <v>2706</v>
      </c>
      <c r="C185" s="7" t="s">
        <v>1101</v>
      </c>
      <c r="D185" s="7" t="s">
        <v>2375</v>
      </c>
      <c r="E185" s="7" t="n">
        <v>27.4</v>
      </c>
      <c r="F185" s="7" t="s">
        <v>2707</v>
      </c>
    </row>
    <row r="186" customFormat="false" ht="45.75" hidden="false" customHeight="true" outlineLevel="0" collapsed="false">
      <c r="A186" s="7" t="s">
        <v>1218</v>
      </c>
      <c r="B186" s="7" t="s">
        <v>2708</v>
      </c>
      <c r="C186" s="7" t="s">
        <v>2555</v>
      </c>
      <c r="D186" s="7" t="s">
        <v>2292</v>
      </c>
      <c r="E186" s="7" t="n">
        <v>49.4</v>
      </c>
      <c r="F186" s="7" t="s">
        <v>2709</v>
      </c>
    </row>
    <row r="187" customFormat="false" ht="34.5" hidden="false" customHeight="true" outlineLevel="0" collapsed="false">
      <c r="A187" s="7" t="s">
        <v>2710</v>
      </c>
      <c r="B187" s="7" t="s">
        <v>2322</v>
      </c>
      <c r="C187" s="7" t="s">
        <v>2323</v>
      </c>
      <c r="D187" s="7" t="s">
        <v>2284</v>
      </c>
      <c r="E187" s="7" t="n">
        <v>61.5</v>
      </c>
      <c r="F187" s="7" t="s">
        <v>2711</v>
      </c>
    </row>
    <row r="188" customFormat="false" ht="34.5" hidden="false" customHeight="true" outlineLevel="0" collapsed="false">
      <c r="A188" s="7" t="s">
        <v>2712</v>
      </c>
      <c r="B188" s="7" t="s">
        <v>2492</v>
      </c>
      <c r="C188" s="7" t="s">
        <v>2283</v>
      </c>
      <c r="D188" s="7" t="s">
        <v>2713</v>
      </c>
      <c r="E188" s="7" t="n">
        <v>51.4</v>
      </c>
      <c r="F188" s="7" t="s">
        <v>2714</v>
      </c>
    </row>
    <row r="189" customFormat="false" ht="57" hidden="false" customHeight="true" outlineLevel="0" collapsed="false">
      <c r="A189" s="7" t="s">
        <v>2715</v>
      </c>
      <c r="B189" s="7" t="s">
        <v>2716</v>
      </c>
      <c r="C189" s="7" t="s">
        <v>2717</v>
      </c>
      <c r="D189" s="7" t="s">
        <v>2375</v>
      </c>
      <c r="E189" s="7" t="n">
        <v>65.5</v>
      </c>
      <c r="F189" s="7" t="s">
        <v>2718</v>
      </c>
    </row>
    <row r="190" customFormat="false" ht="45.75" hidden="false" customHeight="true" outlineLevel="0" collapsed="false">
      <c r="A190" s="7" t="s">
        <v>2719</v>
      </c>
      <c r="B190" s="7" t="s">
        <v>2526</v>
      </c>
      <c r="C190" s="7" t="s">
        <v>2551</v>
      </c>
      <c r="D190" s="7" t="s">
        <v>2375</v>
      </c>
      <c r="E190" s="7" t="n">
        <v>21.9</v>
      </c>
      <c r="F190" s="7" t="s">
        <v>2720</v>
      </c>
    </row>
    <row r="191" customFormat="false" ht="45.75" hidden="false" customHeight="true" outlineLevel="0" collapsed="false">
      <c r="A191" s="7" t="s">
        <v>2721</v>
      </c>
      <c r="B191" s="7" t="s">
        <v>2338</v>
      </c>
      <c r="C191" s="7" t="s">
        <v>2339</v>
      </c>
      <c r="D191" s="7" t="s">
        <v>2375</v>
      </c>
      <c r="E191" s="7" t="n">
        <v>73.8</v>
      </c>
      <c r="F191" s="7" t="s">
        <v>2722</v>
      </c>
    </row>
    <row r="192" customFormat="false" ht="68.25" hidden="false" customHeight="true" outlineLevel="0" collapsed="false">
      <c r="A192" s="7" t="s">
        <v>2721</v>
      </c>
      <c r="B192" s="7" t="s">
        <v>2723</v>
      </c>
      <c r="C192" s="7" t="s">
        <v>2312</v>
      </c>
      <c r="D192" s="7" t="s">
        <v>2375</v>
      </c>
      <c r="E192" s="7" t="n">
        <v>61</v>
      </c>
      <c r="F192" s="7" t="s">
        <v>2724</v>
      </c>
    </row>
    <row r="193" customFormat="false" ht="34.5" hidden="false" customHeight="true" outlineLevel="0" collapsed="false">
      <c r="A193" s="7" t="s">
        <v>2721</v>
      </c>
      <c r="B193" s="7" t="s">
        <v>2385</v>
      </c>
      <c r="C193" s="7" t="s">
        <v>2386</v>
      </c>
      <c r="D193" s="7" t="s">
        <v>2375</v>
      </c>
      <c r="E193" s="7" t="n">
        <v>57.7</v>
      </c>
      <c r="F193" s="7" t="s">
        <v>2725</v>
      </c>
    </row>
    <row r="194" customFormat="false" ht="45.75" hidden="false" customHeight="true" outlineLevel="0" collapsed="false">
      <c r="A194" s="7" t="s">
        <v>2721</v>
      </c>
      <c r="B194" s="7" t="s">
        <v>2479</v>
      </c>
      <c r="C194" s="7" t="s">
        <v>1101</v>
      </c>
      <c r="D194" s="7" t="s">
        <v>2375</v>
      </c>
      <c r="E194" s="7" t="n">
        <v>22.5</v>
      </c>
      <c r="F194" s="7" t="s">
        <v>2726</v>
      </c>
    </row>
    <row r="195" customFormat="false" ht="45.75" hidden="false" customHeight="true" outlineLevel="0" collapsed="false">
      <c r="A195" s="7" t="s">
        <v>2721</v>
      </c>
      <c r="B195" s="7" t="s">
        <v>2531</v>
      </c>
      <c r="C195" s="7" t="s">
        <v>2532</v>
      </c>
      <c r="D195" s="7" t="s">
        <v>2375</v>
      </c>
      <c r="E195" s="7" t="n">
        <v>46.6</v>
      </c>
      <c r="F195" s="7" t="s">
        <v>2727</v>
      </c>
    </row>
    <row r="196" customFormat="false" ht="68.25" hidden="false" customHeight="true" outlineLevel="0" collapsed="false">
      <c r="A196" s="7" t="s">
        <v>2721</v>
      </c>
      <c r="B196" s="7" t="s">
        <v>2728</v>
      </c>
      <c r="C196" s="7" t="s">
        <v>2729</v>
      </c>
      <c r="D196" s="7" t="s">
        <v>2375</v>
      </c>
      <c r="E196" s="7" t="n">
        <v>15.7</v>
      </c>
      <c r="F196" s="7" t="s">
        <v>2730</v>
      </c>
    </row>
    <row r="197" customFormat="false" ht="45.75" hidden="false" customHeight="true" outlineLevel="0" collapsed="false">
      <c r="A197" s="7" t="s">
        <v>2721</v>
      </c>
      <c r="B197" s="7" t="s">
        <v>2731</v>
      </c>
      <c r="C197" s="7" t="s">
        <v>2329</v>
      </c>
      <c r="D197" s="7" t="s">
        <v>2375</v>
      </c>
      <c r="E197" s="7" t="n">
        <v>68.9</v>
      </c>
      <c r="F197" s="7" t="s">
        <v>2732</v>
      </c>
    </row>
    <row r="198" customFormat="false" ht="57" hidden="false" customHeight="true" outlineLevel="0" collapsed="false">
      <c r="A198" s="7" t="s">
        <v>2733</v>
      </c>
      <c r="B198" s="7" t="s">
        <v>871</v>
      </c>
      <c r="C198" s="7" t="s">
        <v>1101</v>
      </c>
      <c r="D198" s="7" t="s">
        <v>2375</v>
      </c>
      <c r="E198" s="7" t="n">
        <v>24.2</v>
      </c>
      <c r="F198" s="7" t="s">
        <v>2734</v>
      </c>
    </row>
    <row r="199" customFormat="false" ht="34.5" hidden="false" customHeight="true" outlineLevel="0" collapsed="false">
      <c r="A199" s="7" t="s">
        <v>2735</v>
      </c>
      <c r="B199" s="7" t="s">
        <v>2369</v>
      </c>
      <c r="C199" s="7" t="s">
        <v>2370</v>
      </c>
      <c r="D199" s="7" t="s">
        <v>2375</v>
      </c>
      <c r="E199" s="7" t="n">
        <v>68.7</v>
      </c>
      <c r="F199" s="7" t="s">
        <v>2736</v>
      </c>
    </row>
    <row r="200" customFormat="false" ht="57" hidden="false" customHeight="true" outlineLevel="0" collapsed="false">
      <c r="A200" s="7" t="s">
        <v>2737</v>
      </c>
      <c r="B200" s="7" t="s">
        <v>2381</v>
      </c>
      <c r="C200" s="7" t="s">
        <v>2325</v>
      </c>
      <c r="D200" s="7" t="s">
        <v>2375</v>
      </c>
      <c r="E200" s="7" t="n">
        <v>58.9</v>
      </c>
      <c r="F200" s="7" t="s">
        <v>2738</v>
      </c>
    </row>
    <row r="201" customFormat="false" ht="57" hidden="false" customHeight="true" outlineLevel="0" collapsed="false">
      <c r="A201" s="7" t="s">
        <v>2739</v>
      </c>
      <c r="B201" s="7" t="s">
        <v>2338</v>
      </c>
      <c r="C201" s="7" t="s">
        <v>2339</v>
      </c>
      <c r="D201" s="7" t="s">
        <v>2375</v>
      </c>
      <c r="E201" s="7" t="n">
        <v>73.8</v>
      </c>
      <c r="F201" s="7" t="s">
        <v>2740</v>
      </c>
    </row>
    <row r="202" customFormat="false" ht="57" hidden="false" customHeight="true" outlineLevel="0" collapsed="false">
      <c r="A202" s="7" t="s">
        <v>2739</v>
      </c>
      <c r="B202" s="7" t="s">
        <v>2385</v>
      </c>
      <c r="C202" s="7" t="s">
        <v>2386</v>
      </c>
      <c r="D202" s="7" t="s">
        <v>2375</v>
      </c>
      <c r="E202" s="7" t="n">
        <v>57.7</v>
      </c>
      <c r="F202" s="7" t="s">
        <v>2741</v>
      </c>
    </row>
    <row r="203" customFormat="false" ht="57" hidden="false" customHeight="true" outlineLevel="0" collapsed="false">
      <c r="A203" s="7" t="s">
        <v>2739</v>
      </c>
      <c r="B203" s="7" t="s">
        <v>2381</v>
      </c>
      <c r="C203" s="7" t="s">
        <v>2325</v>
      </c>
      <c r="D203" s="7" t="s">
        <v>2375</v>
      </c>
      <c r="E203" s="7" t="n">
        <v>58.9</v>
      </c>
      <c r="F203" s="7" t="s">
        <v>2742</v>
      </c>
    </row>
    <row r="204" customFormat="false" ht="34.5" hidden="false" customHeight="true" outlineLevel="0" collapsed="false">
      <c r="A204" s="7" t="s">
        <v>2739</v>
      </c>
      <c r="B204" s="7" t="s">
        <v>310</v>
      </c>
      <c r="C204" s="7" t="s">
        <v>2743</v>
      </c>
      <c r="D204" s="7" t="s">
        <v>2375</v>
      </c>
      <c r="E204" s="7" t="n">
        <v>14.6</v>
      </c>
      <c r="F204" s="7" t="s">
        <v>2744</v>
      </c>
    </row>
    <row r="205" customFormat="false" ht="34.5" hidden="false" customHeight="true" outlineLevel="0" collapsed="false">
      <c r="A205" s="7" t="s">
        <v>2739</v>
      </c>
      <c r="B205" s="7" t="s">
        <v>2313</v>
      </c>
      <c r="C205" s="7" t="s">
        <v>2314</v>
      </c>
      <c r="D205" s="7" t="s">
        <v>2375</v>
      </c>
      <c r="E205" s="7" t="n">
        <v>44.7</v>
      </c>
      <c r="F205" s="7" t="s">
        <v>2745</v>
      </c>
    </row>
    <row r="206" customFormat="false" ht="45.75" hidden="false" customHeight="true" outlineLevel="0" collapsed="false">
      <c r="A206" s="7" t="s">
        <v>2746</v>
      </c>
      <c r="B206" s="7" t="s">
        <v>2747</v>
      </c>
      <c r="C206" s="7" t="s">
        <v>2748</v>
      </c>
      <c r="D206" s="7" t="s">
        <v>2375</v>
      </c>
      <c r="E206" s="7" t="n">
        <v>60</v>
      </c>
      <c r="F206" s="7" t="s">
        <v>2749</v>
      </c>
    </row>
    <row r="207" customFormat="false" ht="45.75" hidden="false" customHeight="true" outlineLevel="0" collapsed="false">
      <c r="A207" s="7" t="s">
        <v>2746</v>
      </c>
      <c r="B207" s="7" t="s">
        <v>2750</v>
      </c>
      <c r="C207" s="7" t="s">
        <v>2291</v>
      </c>
      <c r="D207" s="7" t="s">
        <v>2375</v>
      </c>
      <c r="E207" s="7" t="n">
        <v>61.2</v>
      </c>
      <c r="F207" s="7" t="s">
        <v>2751</v>
      </c>
    </row>
    <row r="208" customFormat="false" ht="45.75" hidden="false" customHeight="true" outlineLevel="0" collapsed="false">
      <c r="A208" s="7" t="s">
        <v>2746</v>
      </c>
      <c r="B208" s="7" t="s">
        <v>2686</v>
      </c>
      <c r="C208" s="7" t="s">
        <v>2687</v>
      </c>
      <c r="D208" s="7" t="s">
        <v>2375</v>
      </c>
      <c r="E208" s="7" t="n">
        <v>48.1</v>
      </c>
      <c r="F208" s="7" t="s">
        <v>2752</v>
      </c>
    </row>
    <row r="209" customFormat="false" ht="34.5" hidden="false" customHeight="true" outlineLevel="0" collapsed="false">
      <c r="A209" s="7" t="s">
        <v>2746</v>
      </c>
      <c r="B209" s="7" t="s">
        <v>871</v>
      </c>
      <c r="C209" s="7" t="s">
        <v>1101</v>
      </c>
      <c r="D209" s="7" t="s">
        <v>2375</v>
      </c>
      <c r="E209" s="7" t="n">
        <v>24.2</v>
      </c>
      <c r="F209" s="7" t="s">
        <v>2753</v>
      </c>
    </row>
    <row r="210" customFormat="false" ht="45.75" hidden="false" customHeight="true" outlineLevel="0" collapsed="false">
      <c r="A210" s="7" t="s">
        <v>2746</v>
      </c>
      <c r="B210" s="7" t="s">
        <v>2526</v>
      </c>
      <c r="C210" s="7" t="s">
        <v>2551</v>
      </c>
      <c r="D210" s="7" t="s">
        <v>2375</v>
      </c>
      <c r="E210" s="7" t="n">
        <v>21.9</v>
      </c>
      <c r="F210" s="7" t="s">
        <v>2754</v>
      </c>
    </row>
    <row r="211" customFormat="false" ht="34.5" hidden="false" customHeight="true" outlineLevel="0" collapsed="false">
      <c r="A211" s="7" t="s">
        <v>2746</v>
      </c>
      <c r="B211" s="7" t="s">
        <v>2755</v>
      </c>
      <c r="C211" s="7" t="s">
        <v>2756</v>
      </c>
      <c r="D211" s="7" t="s">
        <v>2375</v>
      </c>
      <c r="E211" s="7" t="n">
        <v>22.7</v>
      </c>
      <c r="F211" s="7" t="s">
        <v>2757</v>
      </c>
    </row>
    <row r="212" customFormat="false" ht="34.5" hidden="false" customHeight="true" outlineLevel="0" collapsed="false">
      <c r="A212" s="7" t="s">
        <v>2746</v>
      </c>
      <c r="B212" s="7" t="s">
        <v>2695</v>
      </c>
      <c r="C212" s="7" t="s">
        <v>2696</v>
      </c>
      <c r="D212" s="7" t="s">
        <v>2375</v>
      </c>
      <c r="E212" s="7" t="n">
        <v>39.8</v>
      </c>
      <c r="F212" s="7" t="s">
        <v>2758</v>
      </c>
    </row>
    <row r="213" customFormat="false" ht="45.75" hidden="false" customHeight="true" outlineLevel="0" collapsed="false">
      <c r="A213" s="7" t="s">
        <v>2746</v>
      </c>
      <c r="B213" s="7" t="s">
        <v>2759</v>
      </c>
      <c r="C213" s="7" t="s">
        <v>2760</v>
      </c>
      <c r="D213" s="7" t="s">
        <v>2375</v>
      </c>
      <c r="E213" s="7" t="n">
        <v>32.8</v>
      </c>
      <c r="F213" s="7" t="s">
        <v>2761</v>
      </c>
    </row>
    <row r="214" customFormat="false" ht="45.75" hidden="false" customHeight="true" outlineLevel="0" collapsed="false">
      <c r="A214" s="7" t="s">
        <v>2746</v>
      </c>
      <c r="B214" s="7" t="s">
        <v>2716</v>
      </c>
      <c r="C214" s="7" t="s">
        <v>2717</v>
      </c>
      <c r="D214" s="7" t="s">
        <v>2375</v>
      </c>
      <c r="E214" s="7" t="n">
        <v>65.5</v>
      </c>
      <c r="F214" s="7" t="s">
        <v>2762</v>
      </c>
    </row>
    <row r="215" customFormat="false" ht="45.75" hidden="false" customHeight="true" outlineLevel="0" collapsed="false">
      <c r="A215" s="7" t="s">
        <v>2763</v>
      </c>
      <c r="B215" s="7" t="s">
        <v>2759</v>
      </c>
      <c r="C215" s="7" t="s">
        <v>2760</v>
      </c>
      <c r="D215" s="7" t="s">
        <v>2375</v>
      </c>
      <c r="E215" s="7" t="n">
        <v>32.8</v>
      </c>
      <c r="F215" s="7" t="s">
        <v>2764</v>
      </c>
    </row>
    <row r="216" customFormat="false" ht="45.75" hidden="false" customHeight="true" outlineLevel="0" collapsed="false">
      <c r="A216" s="7" t="s">
        <v>2763</v>
      </c>
      <c r="B216" s="7" t="s">
        <v>2723</v>
      </c>
      <c r="C216" s="7" t="s">
        <v>2312</v>
      </c>
      <c r="D216" s="7" t="s">
        <v>2375</v>
      </c>
      <c r="E216" s="7" t="n">
        <v>61</v>
      </c>
      <c r="F216" s="7" t="s">
        <v>2765</v>
      </c>
    </row>
    <row r="217" customFormat="false" ht="57" hidden="false" customHeight="true" outlineLevel="0" collapsed="false">
      <c r="A217" s="7" t="s">
        <v>2763</v>
      </c>
      <c r="B217" s="7" t="s">
        <v>2385</v>
      </c>
      <c r="C217" s="7" t="s">
        <v>2386</v>
      </c>
      <c r="D217" s="7" t="s">
        <v>2375</v>
      </c>
      <c r="E217" s="7" t="n">
        <v>57.7</v>
      </c>
      <c r="F217" s="7" t="s">
        <v>2766</v>
      </c>
    </row>
    <row r="218" customFormat="false" ht="34.5" hidden="false" customHeight="true" outlineLevel="0" collapsed="false">
      <c r="A218" s="7" t="s">
        <v>2763</v>
      </c>
      <c r="B218" s="7" t="s">
        <v>2526</v>
      </c>
      <c r="C218" s="7" t="s">
        <v>2551</v>
      </c>
      <c r="D218" s="7" t="s">
        <v>2375</v>
      </c>
      <c r="E218" s="7" t="n">
        <v>21.9</v>
      </c>
      <c r="F218" s="7" t="s">
        <v>2767</v>
      </c>
    </row>
    <row r="219" customFormat="false" ht="45.75" hidden="false" customHeight="true" outlineLevel="0" collapsed="false">
      <c r="A219" s="7" t="s">
        <v>2763</v>
      </c>
      <c r="B219" s="7" t="s">
        <v>2755</v>
      </c>
      <c r="C219" s="7" t="s">
        <v>2756</v>
      </c>
      <c r="D219" s="7" t="s">
        <v>2375</v>
      </c>
      <c r="E219" s="7" t="n">
        <v>22.7</v>
      </c>
      <c r="F219" s="7" t="s">
        <v>2768</v>
      </c>
    </row>
    <row r="220" customFormat="false" ht="34.5" hidden="false" customHeight="true" outlineLevel="0" collapsed="false">
      <c r="A220" s="7" t="s">
        <v>2763</v>
      </c>
      <c r="B220" s="7" t="s">
        <v>2695</v>
      </c>
      <c r="C220" s="7" t="s">
        <v>2696</v>
      </c>
      <c r="D220" s="7" t="s">
        <v>2375</v>
      </c>
      <c r="E220" s="7" t="n">
        <v>39.8</v>
      </c>
      <c r="F220" s="7" t="s">
        <v>2769</v>
      </c>
    </row>
    <row r="221" customFormat="false" ht="34.5" hidden="false" customHeight="true" outlineLevel="0" collapsed="false">
      <c r="A221" s="7" t="s">
        <v>2763</v>
      </c>
      <c r="B221" s="7" t="s">
        <v>2313</v>
      </c>
      <c r="C221" s="7" t="s">
        <v>2314</v>
      </c>
      <c r="D221" s="7" t="s">
        <v>2375</v>
      </c>
      <c r="E221" s="7" t="n">
        <v>44.7</v>
      </c>
      <c r="F221" s="7" t="s">
        <v>2770</v>
      </c>
    </row>
    <row r="222" customFormat="false" ht="34.5" hidden="false" customHeight="true" outlineLevel="0" collapsed="false">
      <c r="A222" s="7" t="s">
        <v>2771</v>
      </c>
      <c r="B222" s="7" t="s">
        <v>2526</v>
      </c>
      <c r="C222" s="7" t="s">
        <v>2551</v>
      </c>
      <c r="D222" s="7" t="s">
        <v>2292</v>
      </c>
      <c r="E222" s="7" t="n">
        <v>21.9</v>
      </c>
      <c r="F222" s="7" t="s">
        <v>2772</v>
      </c>
    </row>
    <row r="223" customFormat="false" ht="34.5" hidden="false" customHeight="true" outlineLevel="0" collapsed="false">
      <c r="A223" s="7" t="s">
        <v>2771</v>
      </c>
      <c r="B223" s="7" t="s">
        <v>2526</v>
      </c>
      <c r="C223" s="7" t="s">
        <v>2551</v>
      </c>
      <c r="D223" s="7" t="s">
        <v>2292</v>
      </c>
      <c r="E223" s="7" t="n">
        <v>21.9</v>
      </c>
      <c r="F223" s="7" t="s">
        <v>2773</v>
      </c>
    </row>
    <row r="224" customFormat="false" ht="45.75" hidden="false" customHeight="true" outlineLevel="0" collapsed="false">
      <c r="A224" s="7" t="s">
        <v>2774</v>
      </c>
      <c r="B224" s="7" t="s">
        <v>2775</v>
      </c>
      <c r="C224" s="7" t="s">
        <v>2306</v>
      </c>
      <c r="D224" s="7" t="s">
        <v>2375</v>
      </c>
      <c r="E224" s="7" t="n">
        <v>36.7</v>
      </c>
      <c r="F224" s="7" t="s">
        <v>2776</v>
      </c>
    </row>
    <row r="225" customFormat="false" ht="102" hidden="false" customHeight="true" outlineLevel="0" collapsed="false">
      <c r="A225" s="7" t="s">
        <v>2777</v>
      </c>
      <c r="B225" s="7" t="s">
        <v>871</v>
      </c>
      <c r="C225" s="7" t="s">
        <v>1101</v>
      </c>
      <c r="D225" s="7" t="s">
        <v>2375</v>
      </c>
      <c r="E225" s="7" t="n">
        <v>24.1</v>
      </c>
      <c r="F225" s="7" t="s">
        <v>2778</v>
      </c>
    </row>
    <row r="226" customFormat="false" ht="34.5" hidden="false" customHeight="true" outlineLevel="0" collapsed="false">
      <c r="A226" s="7" t="s">
        <v>2777</v>
      </c>
      <c r="B226" s="7" t="s">
        <v>2434</v>
      </c>
      <c r="C226" s="7" t="s">
        <v>2355</v>
      </c>
      <c r="D226" s="7" t="s">
        <v>2375</v>
      </c>
      <c r="E226" s="7" t="n">
        <v>41</v>
      </c>
      <c r="F226" s="7" t="s">
        <v>2779</v>
      </c>
    </row>
    <row r="227" customFormat="false" ht="34.5" hidden="false" customHeight="true" outlineLevel="0" collapsed="false">
      <c r="A227" s="7" t="s">
        <v>2777</v>
      </c>
      <c r="B227" s="7" t="s">
        <v>2780</v>
      </c>
      <c r="C227" s="7" t="s">
        <v>2703</v>
      </c>
      <c r="D227" s="7" t="s">
        <v>2375</v>
      </c>
      <c r="E227" s="7" t="n">
        <v>65.7</v>
      </c>
      <c r="F227" s="7" t="s">
        <v>2781</v>
      </c>
    </row>
    <row r="228" customFormat="false" ht="45.75" hidden="false" customHeight="true" outlineLevel="0" collapsed="false">
      <c r="A228" s="7" t="s">
        <v>2782</v>
      </c>
      <c r="B228" s="7" t="s">
        <v>2728</v>
      </c>
      <c r="C228" s="7" t="s">
        <v>2729</v>
      </c>
      <c r="D228" s="7" t="s">
        <v>2375</v>
      </c>
      <c r="E228" s="7" t="n">
        <v>15.7</v>
      </c>
      <c r="F228" s="7" t="s">
        <v>2783</v>
      </c>
    </row>
    <row r="229" customFormat="false" ht="90.75" hidden="false" customHeight="true" outlineLevel="0" collapsed="false">
      <c r="A229" s="7" t="s">
        <v>2784</v>
      </c>
      <c r="B229" s="7" t="s">
        <v>2385</v>
      </c>
      <c r="C229" s="7" t="s">
        <v>2386</v>
      </c>
      <c r="D229" s="7" t="s">
        <v>2375</v>
      </c>
      <c r="E229" s="7" t="n">
        <v>57.7</v>
      </c>
      <c r="F229" s="7" t="s">
        <v>2785</v>
      </c>
    </row>
    <row r="230" customFormat="false" ht="68.25" hidden="false" customHeight="true" outlineLevel="0" collapsed="false">
      <c r="A230" s="7" t="s">
        <v>2786</v>
      </c>
      <c r="B230" s="7" t="s">
        <v>2728</v>
      </c>
      <c r="C230" s="7" t="s">
        <v>2729</v>
      </c>
      <c r="D230" s="7" t="s">
        <v>2375</v>
      </c>
      <c r="E230" s="7" t="n">
        <v>15.7</v>
      </c>
      <c r="F230" s="7" t="s">
        <v>2787</v>
      </c>
    </row>
    <row r="231" customFormat="false" ht="102" hidden="false" customHeight="true" outlineLevel="0" collapsed="false">
      <c r="A231" s="7" t="s">
        <v>2788</v>
      </c>
      <c r="B231" s="7" t="s">
        <v>2385</v>
      </c>
      <c r="C231" s="7" t="s">
        <v>2386</v>
      </c>
      <c r="D231" s="7" t="s">
        <v>2375</v>
      </c>
      <c r="E231" s="7" t="n">
        <v>57.7</v>
      </c>
      <c r="F231" s="7" t="s">
        <v>2789</v>
      </c>
    </row>
    <row r="232" customFormat="false" ht="68.25" hidden="false" customHeight="true" outlineLevel="0" collapsed="false">
      <c r="A232" s="7" t="s">
        <v>2790</v>
      </c>
      <c r="B232" s="7" t="s">
        <v>2728</v>
      </c>
      <c r="C232" s="7" t="s">
        <v>2729</v>
      </c>
      <c r="D232" s="7" t="s">
        <v>2375</v>
      </c>
      <c r="E232" s="7" t="n">
        <v>15.7</v>
      </c>
      <c r="F232" s="7" t="s">
        <v>2791</v>
      </c>
    </row>
    <row r="233" customFormat="false" ht="45.75" hidden="false" customHeight="true" outlineLevel="0" collapsed="false">
      <c r="A233" s="7" t="s">
        <v>2792</v>
      </c>
      <c r="B233" s="7" t="s">
        <v>2731</v>
      </c>
      <c r="C233" s="7" t="s">
        <v>2329</v>
      </c>
      <c r="D233" s="7" t="s">
        <v>2375</v>
      </c>
      <c r="E233" s="7" t="n">
        <v>68.9</v>
      </c>
      <c r="F233" s="7" t="s">
        <v>2793</v>
      </c>
    </row>
    <row r="234" customFormat="false" ht="34.5" hidden="false" customHeight="true" outlineLevel="0" collapsed="false">
      <c r="A234" s="7" t="s">
        <v>2792</v>
      </c>
      <c r="B234" s="7" t="s">
        <v>2755</v>
      </c>
      <c r="C234" s="7" t="s">
        <v>2794</v>
      </c>
      <c r="D234" s="7" t="s">
        <v>2375</v>
      </c>
      <c r="E234" s="7" t="n">
        <v>21.4</v>
      </c>
      <c r="F234" s="7" t="s">
        <v>2795</v>
      </c>
    </row>
    <row r="235" customFormat="false" ht="57" hidden="false" customHeight="true" outlineLevel="0" collapsed="false">
      <c r="A235" s="7" t="s">
        <v>2792</v>
      </c>
      <c r="B235" s="7" t="s">
        <v>2313</v>
      </c>
      <c r="C235" s="7" t="s">
        <v>2314</v>
      </c>
      <c r="D235" s="7" t="s">
        <v>2375</v>
      </c>
      <c r="E235" s="7" t="n">
        <v>44.7</v>
      </c>
      <c r="F235" s="7" t="s">
        <v>2796</v>
      </c>
    </row>
    <row r="236" customFormat="false" ht="90.75" hidden="false" customHeight="true" outlineLevel="0" collapsed="false">
      <c r="A236" s="7" t="s">
        <v>2797</v>
      </c>
      <c r="B236" s="7" t="s">
        <v>871</v>
      </c>
      <c r="C236" s="7" t="s">
        <v>1101</v>
      </c>
      <c r="D236" s="7" t="s">
        <v>2375</v>
      </c>
      <c r="E236" s="7" t="n">
        <v>24.1</v>
      </c>
      <c r="F236" s="7" t="s">
        <v>2798</v>
      </c>
    </row>
    <row r="237" customFormat="false" ht="34.5" hidden="false" customHeight="true" outlineLevel="0" collapsed="false">
      <c r="A237" s="7" t="s">
        <v>2797</v>
      </c>
      <c r="B237" s="7" t="s">
        <v>2686</v>
      </c>
      <c r="C237" s="7" t="s">
        <v>2687</v>
      </c>
      <c r="D237" s="7" t="s">
        <v>2375</v>
      </c>
      <c r="E237" s="7" t="n">
        <v>48.1</v>
      </c>
      <c r="F237" s="7" t="s">
        <v>2799</v>
      </c>
    </row>
    <row r="238" customFormat="false" ht="90.75" hidden="false" customHeight="true" outlineLevel="0" collapsed="false">
      <c r="A238" s="7" t="s">
        <v>2800</v>
      </c>
      <c r="B238" s="7" t="s">
        <v>2385</v>
      </c>
      <c r="C238" s="7" t="s">
        <v>2386</v>
      </c>
      <c r="D238" s="7" t="s">
        <v>2375</v>
      </c>
      <c r="E238" s="7" t="n">
        <v>57.7</v>
      </c>
      <c r="F238" s="7" t="s">
        <v>2801</v>
      </c>
    </row>
    <row r="239" customFormat="false" ht="57" hidden="false" customHeight="true" outlineLevel="0" collapsed="false">
      <c r="A239" s="7" t="s">
        <v>2802</v>
      </c>
      <c r="B239" s="7" t="s">
        <v>2313</v>
      </c>
      <c r="C239" s="7" t="s">
        <v>2314</v>
      </c>
      <c r="D239" s="7" t="s">
        <v>2375</v>
      </c>
      <c r="E239" s="7" t="n">
        <v>44.7</v>
      </c>
      <c r="F239" s="7" t="s">
        <v>2803</v>
      </c>
    </row>
    <row r="240" customFormat="false" ht="34.5" hidden="false" customHeight="true" outlineLevel="0" collapsed="false">
      <c r="A240" s="7" t="s">
        <v>2804</v>
      </c>
      <c r="B240" s="7" t="s">
        <v>2338</v>
      </c>
      <c r="C240" s="7" t="s">
        <v>2339</v>
      </c>
      <c r="D240" s="7" t="s">
        <v>2375</v>
      </c>
      <c r="E240" s="7" t="n">
        <v>73.9</v>
      </c>
      <c r="F240" s="7" t="s">
        <v>2805</v>
      </c>
    </row>
    <row r="241" customFormat="false" ht="68.25" hidden="false" customHeight="true" outlineLevel="0" collapsed="false">
      <c r="A241" s="7" t="s">
        <v>2806</v>
      </c>
      <c r="B241" s="7" t="s">
        <v>2728</v>
      </c>
      <c r="C241" s="7" t="s">
        <v>2729</v>
      </c>
      <c r="D241" s="7" t="s">
        <v>2375</v>
      </c>
      <c r="E241" s="7" t="n">
        <v>15.7</v>
      </c>
      <c r="F241" s="7" t="s">
        <v>2807</v>
      </c>
    </row>
    <row r="242" customFormat="false" ht="79.5" hidden="false" customHeight="true" outlineLevel="0" collapsed="false">
      <c r="A242" s="7" t="s">
        <v>2808</v>
      </c>
      <c r="B242" s="7" t="s">
        <v>2526</v>
      </c>
      <c r="C242" s="7" t="s">
        <v>2551</v>
      </c>
      <c r="D242" s="7" t="s">
        <v>2375</v>
      </c>
      <c r="E242" s="7" t="n">
        <v>21.7</v>
      </c>
      <c r="F242" s="7" t="s">
        <v>2809</v>
      </c>
    </row>
    <row r="243" customFormat="false" ht="34.5" hidden="false" customHeight="true" outlineLevel="0" collapsed="false">
      <c r="A243" s="7" t="s">
        <v>2810</v>
      </c>
      <c r="B243" s="7" t="s">
        <v>2811</v>
      </c>
      <c r="C243" s="7" t="s">
        <v>2812</v>
      </c>
      <c r="D243" s="7" t="s">
        <v>2375</v>
      </c>
      <c r="E243" s="7" t="n">
        <v>52.9</v>
      </c>
      <c r="F243" s="7" t="s">
        <v>2813</v>
      </c>
    </row>
    <row r="244" customFormat="false" ht="79.5" hidden="false" customHeight="true" outlineLevel="0" collapsed="false">
      <c r="A244" s="7" t="s">
        <v>2814</v>
      </c>
      <c r="B244" s="7" t="s">
        <v>871</v>
      </c>
      <c r="C244" s="7" t="s">
        <v>1101</v>
      </c>
      <c r="D244" s="7" t="s">
        <v>2375</v>
      </c>
      <c r="E244" s="7" t="n">
        <v>24.1</v>
      </c>
      <c r="F244" s="7" t="s">
        <v>2815</v>
      </c>
    </row>
    <row r="245" customFormat="false" ht="34.5" hidden="false" customHeight="true" outlineLevel="0" collapsed="false">
      <c r="A245" s="7" t="s">
        <v>2814</v>
      </c>
      <c r="B245" s="7" t="s">
        <v>2434</v>
      </c>
      <c r="C245" s="7" t="s">
        <v>2355</v>
      </c>
      <c r="D245" s="7" t="s">
        <v>2375</v>
      </c>
      <c r="E245" s="7" t="n">
        <v>41</v>
      </c>
      <c r="F245" s="7" t="s">
        <v>2816</v>
      </c>
    </row>
    <row r="246" customFormat="false" ht="45.75" hidden="false" customHeight="true" outlineLevel="0" collapsed="false">
      <c r="A246" s="7" t="s">
        <v>2817</v>
      </c>
      <c r="B246" s="7" t="s">
        <v>2385</v>
      </c>
      <c r="C246" s="7" t="s">
        <v>2386</v>
      </c>
      <c r="D246" s="7" t="s">
        <v>2375</v>
      </c>
      <c r="E246" s="7" t="n">
        <v>57.7</v>
      </c>
      <c r="F246" s="7" t="s">
        <v>2818</v>
      </c>
    </row>
    <row r="247" customFormat="false" ht="34.5" hidden="false" customHeight="true" outlineLevel="0" collapsed="false">
      <c r="A247" s="7" t="s">
        <v>2819</v>
      </c>
      <c r="B247" s="7" t="s">
        <v>2702</v>
      </c>
      <c r="C247" s="7" t="s">
        <v>2703</v>
      </c>
      <c r="D247" s="7" t="s">
        <v>2375</v>
      </c>
      <c r="E247" s="7" t="n">
        <v>45.1</v>
      </c>
      <c r="F247" s="7" t="s">
        <v>2820</v>
      </c>
    </row>
    <row r="248" customFormat="false" ht="34.5" hidden="false" customHeight="true" outlineLevel="0" collapsed="false">
      <c r="A248" s="7" t="s">
        <v>2821</v>
      </c>
      <c r="B248" s="7" t="s">
        <v>2526</v>
      </c>
      <c r="C248" s="7" t="s">
        <v>2551</v>
      </c>
      <c r="D248" s="7" t="s">
        <v>2375</v>
      </c>
      <c r="E248" s="7" t="n">
        <v>21.7</v>
      </c>
      <c r="F248" s="7" t="s">
        <v>2822</v>
      </c>
    </row>
    <row r="249" customFormat="false" ht="34.5" hidden="false" customHeight="true" outlineLevel="0" collapsed="false">
      <c r="A249" s="7" t="s">
        <v>2823</v>
      </c>
      <c r="B249" s="7" t="s">
        <v>2702</v>
      </c>
      <c r="C249" s="7" t="s">
        <v>2703</v>
      </c>
      <c r="D249" s="7" t="s">
        <v>2375</v>
      </c>
      <c r="E249" s="7" t="n">
        <v>45.1</v>
      </c>
      <c r="F249" s="7" t="s">
        <v>2824</v>
      </c>
    </row>
    <row r="250" customFormat="false" ht="34.5" hidden="false" customHeight="true" outlineLevel="0" collapsed="false">
      <c r="A250" s="7" t="s">
        <v>2823</v>
      </c>
      <c r="B250" s="7" t="s">
        <v>2755</v>
      </c>
      <c r="C250" s="7" t="s">
        <v>2794</v>
      </c>
      <c r="D250" s="7" t="s">
        <v>2375</v>
      </c>
      <c r="E250" s="7" t="n">
        <v>21.4</v>
      </c>
      <c r="F250" s="7" t="s">
        <v>2825</v>
      </c>
    </row>
    <row r="251" customFormat="false" ht="34.5" hidden="false" customHeight="true" outlineLevel="0" collapsed="false">
      <c r="A251" s="7" t="s">
        <v>2826</v>
      </c>
      <c r="B251" s="7" t="s">
        <v>2338</v>
      </c>
      <c r="C251" s="7" t="s">
        <v>2827</v>
      </c>
      <c r="D251" s="7" t="s">
        <v>2375</v>
      </c>
      <c r="E251" s="7" t="n">
        <v>73.3</v>
      </c>
      <c r="F251" s="7" t="s">
        <v>2828</v>
      </c>
    </row>
    <row r="252" customFormat="false" ht="34.5" hidden="false" customHeight="true" outlineLevel="0" collapsed="false">
      <c r="A252" s="7" t="s">
        <v>2826</v>
      </c>
      <c r="B252" s="7" t="s">
        <v>2385</v>
      </c>
      <c r="C252" s="7" t="s">
        <v>2386</v>
      </c>
      <c r="D252" s="7" t="s">
        <v>2375</v>
      </c>
      <c r="E252" s="7" t="n">
        <v>57.7</v>
      </c>
      <c r="F252" s="7" t="s">
        <v>2829</v>
      </c>
    </row>
    <row r="253" customFormat="false" ht="90.75" hidden="false" customHeight="true" outlineLevel="0" collapsed="false">
      <c r="A253" s="7" t="s">
        <v>2826</v>
      </c>
      <c r="B253" s="7" t="s">
        <v>871</v>
      </c>
      <c r="C253" s="7" t="s">
        <v>1101</v>
      </c>
      <c r="D253" s="7" t="s">
        <v>2292</v>
      </c>
      <c r="E253" s="7" t="n">
        <v>24.5</v>
      </c>
      <c r="F253" s="7" t="s">
        <v>2830</v>
      </c>
    </row>
    <row r="254" customFormat="false" ht="34.5" hidden="false" customHeight="true" outlineLevel="0" collapsed="false">
      <c r="A254" s="7" t="s">
        <v>2826</v>
      </c>
      <c r="B254" s="7" t="s">
        <v>2526</v>
      </c>
      <c r="C254" s="7" t="s">
        <v>2551</v>
      </c>
      <c r="D254" s="7" t="s">
        <v>2375</v>
      </c>
      <c r="E254" s="7" t="n">
        <v>21.7</v>
      </c>
      <c r="F254" s="7" t="s">
        <v>2831</v>
      </c>
    </row>
    <row r="255" customFormat="false" ht="45.75" hidden="false" customHeight="true" outlineLevel="0" collapsed="false">
      <c r="A255" s="7" t="s">
        <v>2826</v>
      </c>
      <c r="B255" s="7" t="s">
        <v>2728</v>
      </c>
      <c r="C255" s="7" t="s">
        <v>2729</v>
      </c>
      <c r="D255" s="7" t="s">
        <v>2375</v>
      </c>
      <c r="E255" s="7" t="n">
        <v>15.7</v>
      </c>
      <c r="F255" s="7" t="s">
        <v>2832</v>
      </c>
    </row>
    <row r="256" customFormat="false" ht="34.5" hidden="false" customHeight="true" outlineLevel="0" collapsed="false">
      <c r="A256" s="7" t="s">
        <v>2826</v>
      </c>
      <c r="B256" s="7" t="s">
        <v>2702</v>
      </c>
      <c r="C256" s="7" t="s">
        <v>2703</v>
      </c>
      <c r="D256" s="7" t="s">
        <v>2375</v>
      </c>
      <c r="E256" s="7" t="n">
        <v>45.1</v>
      </c>
      <c r="F256" s="7" t="s">
        <v>2833</v>
      </c>
    </row>
    <row r="257" customFormat="false" ht="45.75" hidden="false" customHeight="true" outlineLevel="0" collapsed="false">
      <c r="A257" s="7" t="s">
        <v>2834</v>
      </c>
      <c r="B257" s="7" t="s">
        <v>2835</v>
      </c>
      <c r="C257" s="7" t="s">
        <v>2283</v>
      </c>
      <c r="D257" s="7" t="s">
        <v>2375</v>
      </c>
      <c r="E257" s="7" t="n">
        <v>56.7</v>
      </c>
      <c r="F257" s="7" t="s">
        <v>2836</v>
      </c>
    </row>
    <row r="258" customFormat="false" ht="34.5" hidden="false" customHeight="true" outlineLevel="0" collapsed="false">
      <c r="A258" s="7" t="s">
        <v>2837</v>
      </c>
      <c r="B258" s="7" t="s">
        <v>2338</v>
      </c>
      <c r="C258" s="7" t="s">
        <v>2827</v>
      </c>
      <c r="D258" s="7" t="s">
        <v>2375</v>
      </c>
      <c r="E258" s="7" t="n">
        <v>73.3</v>
      </c>
      <c r="F258" s="7" t="s">
        <v>2838</v>
      </c>
    </row>
    <row r="259" customFormat="false" ht="34.5" hidden="false" customHeight="true" outlineLevel="0" collapsed="false">
      <c r="A259" s="7" t="s">
        <v>2837</v>
      </c>
      <c r="B259" s="7" t="s">
        <v>2313</v>
      </c>
      <c r="C259" s="7" t="s">
        <v>2314</v>
      </c>
      <c r="D259" s="7" t="s">
        <v>2375</v>
      </c>
      <c r="E259" s="7" t="n">
        <v>44.7</v>
      </c>
      <c r="F259" s="7" t="s">
        <v>2839</v>
      </c>
    </row>
    <row r="260" customFormat="false" ht="45.75" hidden="false" customHeight="true" outlineLevel="0" collapsed="false">
      <c r="A260" s="7" t="s">
        <v>2840</v>
      </c>
      <c r="B260" s="7" t="s">
        <v>871</v>
      </c>
      <c r="C260" s="7" t="s">
        <v>1101</v>
      </c>
      <c r="D260" s="7" t="s">
        <v>2375</v>
      </c>
      <c r="E260" s="7" t="n">
        <v>24.1</v>
      </c>
      <c r="F260" s="7" t="s">
        <v>2841</v>
      </c>
    </row>
    <row r="261" customFormat="false" ht="34.5" hidden="false" customHeight="true" outlineLevel="0" collapsed="false">
      <c r="A261" s="7" t="s">
        <v>2842</v>
      </c>
      <c r="B261" s="7" t="s">
        <v>2728</v>
      </c>
      <c r="C261" s="7" t="s">
        <v>2729</v>
      </c>
      <c r="D261" s="7" t="s">
        <v>2375</v>
      </c>
      <c r="E261" s="7" t="n">
        <v>15.7</v>
      </c>
      <c r="F261" s="7" t="s">
        <v>2843</v>
      </c>
    </row>
    <row r="262" customFormat="false" ht="34.5" hidden="false" customHeight="true" outlineLevel="0" collapsed="false">
      <c r="A262" s="7" t="s">
        <v>2844</v>
      </c>
      <c r="B262" s="7" t="s">
        <v>2686</v>
      </c>
      <c r="C262" s="7" t="s">
        <v>2687</v>
      </c>
      <c r="D262" s="7" t="s">
        <v>2375</v>
      </c>
      <c r="E262" s="7" t="n">
        <v>48.1</v>
      </c>
      <c r="F262" s="7" t="s">
        <v>2845</v>
      </c>
    </row>
    <row r="263" customFormat="false" ht="45.75" hidden="false" customHeight="true" outlineLevel="0" collapsed="false">
      <c r="A263" s="7" t="s">
        <v>995</v>
      </c>
      <c r="B263" s="7" t="s">
        <v>2572</v>
      </c>
      <c r="C263" s="7" t="s">
        <v>2287</v>
      </c>
      <c r="D263" s="7" t="s">
        <v>2296</v>
      </c>
      <c r="E263" s="7" t="n">
        <v>25.2</v>
      </c>
      <c r="F263" s="7" t="s">
        <v>2846</v>
      </c>
    </row>
    <row r="264" customFormat="false" ht="45.75" hidden="false" customHeight="true" outlineLevel="0" collapsed="false">
      <c r="A264" s="7" t="s">
        <v>995</v>
      </c>
      <c r="B264" s="7" t="s">
        <v>2572</v>
      </c>
      <c r="C264" s="7" t="s">
        <v>2287</v>
      </c>
      <c r="D264" s="7" t="s">
        <v>2375</v>
      </c>
      <c r="E264" s="7" t="n">
        <v>25.2</v>
      </c>
      <c r="F264" s="7" t="s">
        <v>2847</v>
      </c>
    </row>
    <row r="265" customFormat="false" ht="45.75" hidden="false" customHeight="true" outlineLevel="0" collapsed="false">
      <c r="A265" s="7" t="s">
        <v>2848</v>
      </c>
      <c r="B265" s="7" t="s">
        <v>2747</v>
      </c>
      <c r="C265" s="7" t="s">
        <v>2748</v>
      </c>
      <c r="D265" s="7" t="s">
        <v>2375</v>
      </c>
      <c r="E265" s="7" t="n">
        <v>60</v>
      </c>
      <c r="F265" s="7" t="s">
        <v>2849</v>
      </c>
    </row>
    <row r="266" customFormat="false" ht="57" hidden="false" customHeight="true" outlineLevel="0" collapsed="false">
      <c r="A266" s="7" t="s">
        <v>2850</v>
      </c>
      <c r="B266" s="7" t="s">
        <v>2385</v>
      </c>
      <c r="C266" s="7" t="s">
        <v>2386</v>
      </c>
      <c r="D266" s="7" t="s">
        <v>2375</v>
      </c>
      <c r="E266" s="7" t="n">
        <v>57.7</v>
      </c>
      <c r="F266" s="7" t="s">
        <v>2851</v>
      </c>
    </row>
    <row r="267" customFormat="false" ht="45.75" hidden="false" customHeight="true" outlineLevel="0" collapsed="false">
      <c r="A267" s="7" t="s">
        <v>2852</v>
      </c>
      <c r="B267" s="7" t="s">
        <v>2853</v>
      </c>
      <c r="C267" s="7" t="s">
        <v>2854</v>
      </c>
      <c r="D267" s="7" t="s">
        <v>2375</v>
      </c>
      <c r="E267" s="7" t="n">
        <v>57.1</v>
      </c>
      <c r="F267" s="7" t="s">
        <v>2855</v>
      </c>
    </row>
    <row r="268" customFormat="false" ht="45.75" hidden="false" customHeight="true" outlineLevel="0" collapsed="false">
      <c r="A268" s="7" t="s">
        <v>2852</v>
      </c>
      <c r="B268" s="7" t="s">
        <v>2856</v>
      </c>
      <c r="C268" s="7" t="s">
        <v>2857</v>
      </c>
      <c r="D268" s="7" t="s">
        <v>2375</v>
      </c>
      <c r="E268" s="7" t="n">
        <v>63.4</v>
      </c>
      <c r="F268" s="7" t="s">
        <v>2858</v>
      </c>
    </row>
    <row r="269" customFormat="false" ht="45.75" hidden="false" customHeight="true" outlineLevel="0" collapsed="false">
      <c r="A269" s="7" t="s">
        <v>2852</v>
      </c>
      <c r="B269" s="7" t="s">
        <v>871</v>
      </c>
      <c r="C269" s="7" t="s">
        <v>1101</v>
      </c>
      <c r="D269" s="7" t="s">
        <v>2375</v>
      </c>
      <c r="E269" s="7" t="n">
        <v>24.2</v>
      </c>
      <c r="F269" s="7" t="s">
        <v>2859</v>
      </c>
    </row>
    <row r="270" customFormat="false" ht="34.5" hidden="false" customHeight="true" outlineLevel="0" collapsed="false">
      <c r="A270" s="7" t="s">
        <v>2852</v>
      </c>
      <c r="B270" s="7" t="s">
        <v>634</v>
      </c>
      <c r="C270" s="7" t="s">
        <v>2860</v>
      </c>
      <c r="D270" s="7" t="s">
        <v>2375</v>
      </c>
      <c r="E270" s="7" t="n">
        <v>25.7</v>
      </c>
      <c r="F270" s="7" t="s">
        <v>2861</v>
      </c>
    </row>
    <row r="271" customFormat="false" ht="45.75" hidden="false" customHeight="true" outlineLevel="0" collapsed="false">
      <c r="A271" s="7" t="s">
        <v>2852</v>
      </c>
      <c r="B271" s="7" t="s">
        <v>2862</v>
      </c>
      <c r="C271" s="7" t="s">
        <v>2329</v>
      </c>
      <c r="D271" s="7" t="s">
        <v>2375</v>
      </c>
      <c r="E271" s="7" t="n">
        <v>64.7</v>
      </c>
      <c r="F271" s="7" t="s">
        <v>2863</v>
      </c>
    </row>
    <row r="272" customFormat="false" ht="45.75" hidden="false" customHeight="true" outlineLevel="0" collapsed="false">
      <c r="A272" s="7" t="s">
        <v>2852</v>
      </c>
      <c r="B272" s="7" t="s">
        <v>2338</v>
      </c>
      <c r="C272" s="7" t="s">
        <v>2827</v>
      </c>
      <c r="D272" s="7" t="s">
        <v>2375</v>
      </c>
      <c r="E272" s="7" t="n">
        <v>73.3</v>
      </c>
      <c r="F272" s="7" t="s">
        <v>2864</v>
      </c>
    </row>
    <row r="273" customFormat="false" ht="45.75" hidden="false" customHeight="true" outlineLevel="0" collapsed="false">
      <c r="A273" s="7" t="s">
        <v>2865</v>
      </c>
      <c r="B273" s="7" t="s">
        <v>2657</v>
      </c>
      <c r="C273" s="7" t="s">
        <v>2658</v>
      </c>
      <c r="D273" s="7" t="s">
        <v>2375</v>
      </c>
      <c r="E273" s="7" t="n">
        <v>66.4</v>
      </c>
      <c r="F273" s="7" t="s">
        <v>2866</v>
      </c>
    </row>
    <row r="274" customFormat="false" ht="45.75" hidden="false" customHeight="true" outlineLevel="0" collapsed="false">
      <c r="A274" s="7" t="s">
        <v>990</v>
      </c>
      <c r="B274" s="7" t="s">
        <v>2867</v>
      </c>
      <c r="C274" s="7" t="s">
        <v>2868</v>
      </c>
      <c r="D274" s="7" t="s">
        <v>2375</v>
      </c>
      <c r="E274" s="7" t="n">
        <v>57.8</v>
      </c>
      <c r="F274" s="7" t="s">
        <v>2869</v>
      </c>
    </row>
    <row r="275" customFormat="false" ht="45.75" hidden="false" customHeight="true" outlineLevel="0" collapsed="false">
      <c r="A275" s="7" t="s">
        <v>2870</v>
      </c>
      <c r="B275" s="7" t="s">
        <v>2479</v>
      </c>
      <c r="C275" s="7" t="s">
        <v>1101</v>
      </c>
      <c r="D275" s="7" t="s">
        <v>2375</v>
      </c>
      <c r="E275" s="7" t="n">
        <v>22.5</v>
      </c>
      <c r="F275" s="7" t="s">
        <v>2871</v>
      </c>
    </row>
    <row r="276" customFormat="false" ht="45.75" hidden="false" customHeight="true" outlineLevel="0" collapsed="false">
      <c r="A276" s="7" t="s">
        <v>2870</v>
      </c>
      <c r="B276" s="7" t="s">
        <v>2434</v>
      </c>
      <c r="C276" s="7" t="s">
        <v>2355</v>
      </c>
      <c r="D276" s="7" t="s">
        <v>2375</v>
      </c>
      <c r="E276" s="7" t="n">
        <v>41</v>
      </c>
      <c r="F276" s="7" t="s">
        <v>2872</v>
      </c>
    </row>
    <row r="277" customFormat="false" ht="45.75" hidden="false" customHeight="true" outlineLevel="0" collapsed="false">
      <c r="A277" s="7" t="s">
        <v>2873</v>
      </c>
      <c r="B277" s="7" t="s">
        <v>2385</v>
      </c>
      <c r="C277" s="7" t="s">
        <v>2386</v>
      </c>
      <c r="D277" s="7" t="s">
        <v>2375</v>
      </c>
      <c r="E277" s="7" t="n">
        <v>57.7</v>
      </c>
      <c r="F277" s="7" t="s">
        <v>2874</v>
      </c>
    </row>
    <row r="278" customFormat="false" ht="45.75" hidden="false" customHeight="true" outlineLevel="0" collapsed="false">
      <c r="A278" s="7" t="s">
        <v>2873</v>
      </c>
      <c r="B278" s="7" t="s">
        <v>2856</v>
      </c>
      <c r="C278" s="7" t="s">
        <v>2857</v>
      </c>
      <c r="D278" s="7" t="s">
        <v>2375</v>
      </c>
      <c r="E278" s="7" t="n">
        <v>63.4</v>
      </c>
      <c r="F278" s="7" t="s">
        <v>2875</v>
      </c>
    </row>
    <row r="279" customFormat="false" ht="34.5" hidden="false" customHeight="true" outlineLevel="0" collapsed="false">
      <c r="A279" s="7" t="s">
        <v>2876</v>
      </c>
      <c r="B279" s="7" t="s">
        <v>2385</v>
      </c>
      <c r="C279" s="7" t="s">
        <v>2386</v>
      </c>
      <c r="D279" s="7" t="s">
        <v>2375</v>
      </c>
      <c r="E279" s="7" t="n">
        <v>57.7</v>
      </c>
      <c r="F279" s="7" t="s">
        <v>2877</v>
      </c>
    </row>
    <row r="280" customFormat="false" ht="34.5" hidden="false" customHeight="true" outlineLevel="0" collapsed="false">
      <c r="A280" s="7" t="s">
        <v>2876</v>
      </c>
      <c r="B280" s="7" t="s">
        <v>2531</v>
      </c>
      <c r="C280" s="7" t="s">
        <v>2532</v>
      </c>
      <c r="D280" s="7" t="s">
        <v>2375</v>
      </c>
      <c r="E280" s="7" t="n">
        <v>46.6</v>
      </c>
      <c r="F280" s="7" t="s">
        <v>2878</v>
      </c>
    </row>
    <row r="281" customFormat="false" ht="34.5" hidden="false" customHeight="true" outlineLevel="0" collapsed="false">
      <c r="A281" s="7" t="s">
        <v>2876</v>
      </c>
      <c r="B281" s="7" t="s">
        <v>2879</v>
      </c>
      <c r="C281" s="7" t="s">
        <v>2555</v>
      </c>
      <c r="D281" s="7" t="s">
        <v>2375</v>
      </c>
      <c r="E281" s="7" t="n">
        <v>59.7</v>
      </c>
      <c r="F281" s="7" t="s">
        <v>2880</v>
      </c>
    </row>
    <row r="282" customFormat="false" ht="57" hidden="false" customHeight="true" outlineLevel="0" collapsed="false">
      <c r="A282" s="7" t="s">
        <v>2881</v>
      </c>
      <c r="B282" s="7" t="s">
        <v>2385</v>
      </c>
      <c r="C282" s="7" t="s">
        <v>2386</v>
      </c>
      <c r="D282" s="7" t="s">
        <v>2375</v>
      </c>
      <c r="E282" s="7" t="n">
        <v>57.4</v>
      </c>
      <c r="F282" s="7" t="s">
        <v>2882</v>
      </c>
    </row>
    <row r="283" customFormat="false" ht="34.5" hidden="false" customHeight="true" outlineLevel="0" collapsed="false">
      <c r="A283" s="7" t="s">
        <v>2883</v>
      </c>
      <c r="B283" s="7" t="s">
        <v>2547</v>
      </c>
      <c r="C283" s="7" t="s">
        <v>2548</v>
      </c>
      <c r="D283" s="7" t="s">
        <v>2375</v>
      </c>
      <c r="E283" s="7" t="n">
        <v>51</v>
      </c>
      <c r="F283" s="7" t="s">
        <v>2884</v>
      </c>
    </row>
    <row r="284" customFormat="false" ht="45.75" hidden="false" customHeight="true" outlineLevel="0" collapsed="false">
      <c r="A284" s="7" t="s">
        <v>2883</v>
      </c>
      <c r="B284" s="7" t="s">
        <v>2750</v>
      </c>
      <c r="C284" s="7" t="s">
        <v>2291</v>
      </c>
      <c r="D284" s="7" t="s">
        <v>2375</v>
      </c>
      <c r="E284" s="7" t="n">
        <v>61.6</v>
      </c>
      <c r="F284" s="7" t="s">
        <v>2885</v>
      </c>
    </row>
    <row r="285" customFormat="false" ht="45.75" hidden="false" customHeight="true" outlineLevel="0" collapsed="false">
      <c r="A285" s="7" t="s">
        <v>2883</v>
      </c>
      <c r="B285" s="7" t="s">
        <v>2856</v>
      </c>
      <c r="C285" s="7" t="s">
        <v>2857</v>
      </c>
      <c r="D285" s="7" t="s">
        <v>2375</v>
      </c>
      <c r="E285" s="7" t="n">
        <v>63.4</v>
      </c>
      <c r="F285" s="7" t="s">
        <v>2886</v>
      </c>
    </row>
    <row r="286" customFormat="false" ht="34.5" hidden="false" customHeight="true" outlineLevel="0" collapsed="false">
      <c r="A286" s="7" t="s">
        <v>2883</v>
      </c>
      <c r="B286" s="7" t="s">
        <v>2381</v>
      </c>
      <c r="C286" s="7" t="s">
        <v>2325</v>
      </c>
      <c r="D286" s="7" t="s">
        <v>2375</v>
      </c>
      <c r="E286" s="7" t="n">
        <v>58.9</v>
      </c>
      <c r="F286" s="7" t="s">
        <v>2887</v>
      </c>
    </row>
    <row r="287" customFormat="false" ht="34.5" hidden="false" customHeight="true" outlineLevel="0" collapsed="false">
      <c r="A287" s="7" t="s">
        <v>2883</v>
      </c>
      <c r="B287" s="7" t="s">
        <v>2888</v>
      </c>
      <c r="C287" s="7" t="s">
        <v>2616</v>
      </c>
      <c r="D287" s="7" t="s">
        <v>2375</v>
      </c>
      <c r="E287" s="7" t="n">
        <v>20</v>
      </c>
      <c r="F287" s="7" t="s">
        <v>2889</v>
      </c>
    </row>
    <row r="288" customFormat="false" ht="34.5" hidden="false" customHeight="true" outlineLevel="0" collapsed="false">
      <c r="A288" s="7" t="s">
        <v>2890</v>
      </c>
      <c r="B288" s="7" t="s">
        <v>2702</v>
      </c>
      <c r="C288" s="7" t="s">
        <v>2891</v>
      </c>
      <c r="D288" s="7" t="s">
        <v>2375</v>
      </c>
      <c r="E288" s="7" t="n">
        <v>42.2</v>
      </c>
      <c r="F288" s="7" t="s">
        <v>2892</v>
      </c>
    </row>
    <row r="289" customFormat="false" ht="34.5" hidden="false" customHeight="true" outlineLevel="0" collapsed="false">
      <c r="A289" s="7" t="s">
        <v>2890</v>
      </c>
      <c r="B289" s="7" t="s">
        <v>2695</v>
      </c>
      <c r="C289" s="7" t="s">
        <v>2696</v>
      </c>
      <c r="D289" s="7" t="s">
        <v>2375</v>
      </c>
      <c r="E289" s="7" t="n">
        <v>40</v>
      </c>
      <c r="F289" s="7" t="s">
        <v>2893</v>
      </c>
    </row>
    <row r="290" customFormat="false" ht="34.5" hidden="false" customHeight="true" outlineLevel="0" collapsed="false">
      <c r="A290" s="7" t="s">
        <v>2894</v>
      </c>
      <c r="B290" s="7" t="s">
        <v>2895</v>
      </c>
      <c r="C290" s="7" t="s">
        <v>2703</v>
      </c>
      <c r="D290" s="7" t="s">
        <v>2375</v>
      </c>
      <c r="E290" s="7" t="n">
        <v>44.9</v>
      </c>
      <c r="F290" s="7" t="s">
        <v>2896</v>
      </c>
    </row>
    <row r="291" customFormat="false" ht="45.75" hidden="false" customHeight="true" outlineLevel="0" collapsed="false">
      <c r="A291" s="7" t="s">
        <v>2897</v>
      </c>
      <c r="B291" s="7" t="s">
        <v>871</v>
      </c>
      <c r="C291" s="7" t="s">
        <v>1101</v>
      </c>
      <c r="D291" s="7" t="s">
        <v>2375</v>
      </c>
      <c r="E291" s="7" t="n">
        <v>24.5</v>
      </c>
      <c r="F291" s="7" t="s">
        <v>2898</v>
      </c>
    </row>
    <row r="292" customFormat="false" ht="34.5" hidden="false" customHeight="true" outlineLevel="0" collapsed="false">
      <c r="A292" s="7" t="s">
        <v>2897</v>
      </c>
      <c r="B292" s="7" t="s">
        <v>2434</v>
      </c>
      <c r="C292" s="7" t="s">
        <v>2355</v>
      </c>
      <c r="D292" s="7" t="s">
        <v>2375</v>
      </c>
      <c r="E292" s="7" t="n">
        <v>41.1</v>
      </c>
      <c r="F292" s="7" t="s">
        <v>2899</v>
      </c>
    </row>
    <row r="293" customFormat="false" ht="45.75" hidden="false" customHeight="true" outlineLevel="0" collapsed="false">
      <c r="A293" s="7" t="s">
        <v>2900</v>
      </c>
      <c r="B293" s="7" t="s">
        <v>2479</v>
      </c>
      <c r="C293" s="7" t="s">
        <v>1101</v>
      </c>
      <c r="D293" s="7" t="s">
        <v>2375</v>
      </c>
      <c r="E293" s="7" t="n">
        <v>22.5</v>
      </c>
      <c r="F293" s="7" t="s">
        <v>2901</v>
      </c>
    </row>
    <row r="294" customFormat="false" ht="45.75" hidden="false" customHeight="true" outlineLevel="0" collapsed="false">
      <c r="A294" s="7" t="s">
        <v>2902</v>
      </c>
      <c r="B294" s="7" t="s">
        <v>2903</v>
      </c>
      <c r="C294" s="7" t="s">
        <v>2904</v>
      </c>
      <c r="D294" s="7" t="s">
        <v>2375</v>
      </c>
      <c r="E294" s="7" t="n">
        <v>66.7</v>
      </c>
      <c r="F294" s="7" t="s">
        <v>2905</v>
      </c>
    </row>
    <row r="295" customFormat="false" ht="34.5" hidden="false" customHeight="true" outlineLevel="0" collapsed="false">
      <c r="A295" s="7" t="s">
        <v>2906</v>
      </c>
      <c r="B295" s="7" t="s">
        <v>2747</v>
      </c>
      <c r="C295" s="7" t="s">
        <v>2748</v>
      </c>
      <c r="D295" s="7" t="s">
        <v>2375</v>
      </c>
      <c r="E295" s="7" t="n">
        <v>60.3</v>
      </c>
      <c r="F295" s="7" t="s">
        <v>2907</v>
      </c>
    </row>
    <row r="296" customFormat="false" ht="34.5" hidden="false" customHeight="true" outlineLevel="0" collapsed="false">
      <c r="A296" s="7" t="s">
        <v>2908</v>
      </c>
      <c r="B296" s="7" t="s">
        <v>2909</v>
      </c>
      <c r="C296" s="7" t="s">
        <v>2910</v>
      </c>
      <c r="D296" s="7" t="s">
        <v>2375</v>
      </c>
      <c r="E296" s="7" t="n">
        <v>58.2</v>
      </c>
      <c r="F296" s="7" t="s">
        <v>2911</v>
      </c>
    </row>
    <row r="297" customFormat="false" ht="34.5" hidden="false" customHeight="true" outlineLevel="0" collapsed="false">
      <c r="A297" s="7" t="s">
        <v>2912</v>
      </c>
      <c r="B297" s="7" t="s">
        <v>634</v>
      </c>
      <c r="C297" s="7" t="s">
        <v>2860</v>
      </c>
      <c r="D297" s="7" t="s">
        <v>2375</v>
      </c>
      <c r="E297" s="7" t="n">
        <v>25.2</v>
      </c>
      <c r="F297" s="7" t="s">
        <v>2913</v>
      </c>
    </row>
    <row r="298" customFormat="false" ht="34.5" hidden="false" customHeight="true" outlineLevel="0" collapsed="false">
      <c r="A298" s="7" t="s">
        <v>2914</v>
      </c>
      <c r="B298" s="7" t="s">
        <v>2895</v>
      </c>
      <c r="C298" s="7" t="s">
        <v>2703</v>
      </c>
      <c r="D298" s="7" t="s">
        <v>2375</v>
      </c>
      <c r="E298" s="7" t="n">
        <v>44.9</v>
      </c>
      <c r="F298" s="7" t="s">
        <v>2915</v>
      </c>
    </row>
    <row r="299" customFormat="false" ht="45.75" hidden="false" customHeight="true" outlineLevel="0" collapsed="false">
      <c r="A299" s="7" t="s">
        <v>2914</v>
      </c>
      <c r="B299" s="7" t="s">
        <v>2385</v>
      </c>
      <c r="C299" s="7" t="s">
        <v>2386</v>
      </c>
      <c r="D299" s="7" t="s">
        <v>2375</v>
      </c>
      <c r="E299" s="7" t="n">
        <v>57.4</v>
      </c>
      <c r="F299" s="7" t="s">
        <v>2916</v>
      </c>
    </row>
    <row r="300" customFormat="false" ht="34.5" hidden="false" customHeight="true" outlineLevel="0" collapsed="false">
      <c r="A300" s="7" t="s">
        <v>2917</v>
      </c>
      <c r="B300" s="7" t="s">
        <v>2867</v>
      </c>
      <c r="C300" s="7" t="s">
        <v>2868</v>
      </c>
      <c r="D300" s="7" t="s">
        <v>2375</v>
      </c>
      <c r="E300" s="7" t="n">
        <v>57.8</v>
      </c>
      <c r="F300" s="7" t="s">
        <v>2918</v>
      </c>
    </row>
    <row r="301" customFormat="false" ht="34.5" hidden="false" customHeight="true" outlineLevel="0" collapsed="false">
      <c r="A301" s="7" t="s">
        <v>2917</v>
      </c>
      <c r="B301" s="7" t="s">
        <v>2919</v>
      </c>
      <c r="C301" s="7" t="s">
        <v>2320</v>
      </c>
      <c r="D301" s="7" t="s">
        <v>2375</v>
      </c>
      <c r="E301" s="7" t="n">
        <v>66.9</v>
      </c>
      <c r="F301" s="7" t="s">
        <v>2920</v>
      </c>
    </row>
    <row r="302" customFormat="false" ht="34.5" hidden="false" customHeight="true" outlineLevel="0" collapsed="false">
      <c r="A302" s="7" t="s">
        <v>2917</v>
      </c>
      <c r="B302" s="7" t="s">
        <v>2856</v>
      </c>
      <c r="C302" s="7" t="s">
        <v>2857</v>
      </c>
      <c r="D302" s="7" t="s">
        <v>2375</v>
      </c>
      <c r="E302" s="7" t="n">
        <v>63.4</v>
      </c>
      <c r="F302" s="7" t="s">
        <v>2921</v>
      </c>
    </row>
    <row r="303" customFormat="false" ht="34.5" hidden="false" customHeight="true" outlineLevel="0" collapsed="false">
      <c r="A303" s="7" t="s">
        <v>2917</v>
      </c>
      <c r="B303" s="7" t="s">
        <v>2381</v>
      </c>
      <c r="C303" s="7" t="s">
        <v>2325</v>
      </c>
      <c r="D303" s="7" t="s">
        <v>2375</v>
      </c>
      <c r="E303" s="7" t="n">
        <v>58.9</v>
      </c>
      <c r="F303" s="7" t="s">
        <v>2922</v>
      </c>
    </row>
    <row r="304" customFormat="false" ht="45.75" hidden="false" customHeight="true" outlineLevel="0" collapsed="false">
      <c r="A304" s="7" t="s">
        <v>2917</v>
      </c>
      <c r="B304" s="7" t="s">
        <v>2531</v>
      </c>
      <c r="C304" s="7" t="s">
        <v>2532</v>
      </c>
      <c r="D304" s="7" t="s">
        <v>2375</v>
      </c>
      <c r="E304" s="7" t="n">
        <v>46.6</v>
      </c>
      <c r="F304" s="7" t="s">
        <v>2923</v>
      </c>
    </row>
    <row r="305" customFormat="false" ht="34.5" hidden="false" customHeight="true" outlineLevel="0" collapsed="false">
      <c r="A305" s="7" t="s">
        <v>2917</v>
      </c>
      <c r="B305" s="7" t="s">
        <v>2924</v>
      </c>
      <c r="C305" s="7" t="s">
        <v>2925</v>
      </c>
      <c r="D305" s="7" t="s">
        <v>2375</v>
      </c>
      <c r="E305" s="7" t="n">
        <v>55.3</v>
      </c>
      <c r="F305" s="7" t="s">
        <v>2926</v>
      </c>
    </row>
    <row r="306" customFormat="false" ht="34.5" hidden="false" customHeight="true" outlineLevel="0" collapsed="false">
      <c r="A306" s="7" t="s">
        <v>2917</v>
      </c>
      <c r="B306" s="7" t="s">
        <v>2927</v>
      </c>
      <c r="C306" s="7" t="s">
        <v>2928</v>
      </c>
      <c r="D306" s="7" t="s">
        <v>2375</v>
      </c>
      <c r="E306" s="7" t="n">
        <v>51.4</v>
      </c>
      <c r="F306" s="7" t="s">
        <v>2929</v>
      </c>
    </row>
    <row r="307" customFormat="false" ht="34.5" hidden="false" customHeight="true" outlineLevel="0" collapsed="false">
      <c r="A307" s="7" t="s">
        <v>2917</v>
      </c>
      <c r="B307" s="7" t="s">
        <v>2853</v>
      </c>
      <c r="C307" s="7" t="s">
        <v>2854</v>
      </c>
      <c r="D307" s="7" t="s">
        <v>2375</v>
      </c>
      <c r="E307" s="7" t="n">
        <v>57.1</v>
      </c>
      <c r="F307" s="7" t="s">
        <v>2930</v>
      </c>
    </row>
    <row r="308" customFormat="false" ht="34.5" hidden="false" customHeight="true" outlineLevel="0" collapsed="false">
      <c r="A308" s="7" t="s">
        <v>2917</v>
      </c>
      <c r="B308" s="7" t="s">
        <v>2931</v>
      </c>
      <c r="C308" s="7" t="s">
        <v>2854</v>
      </c>
      <c r="D308" s="7" t="s">
        <v>2375</v>
      </c>
      <c r="E308" s="7" t="n">
        <v>48.2</v>
      </c>
      <c r="F308" s="7" t="s">
        <v>2932</v>
      </c>
    </row>
    <row r="309" customFormat="false" ht="45.75" hidden="false" customHeight="true" outlineLevel="0" collapsed="false">
      <c r="A309" s="7" t="s">
        <v>2917</v>
      </c>
      <c r="B309" s="7" t="s">
        <v>2547</v>
      </c>
      <c r="C309" s="7" t="s">
        <v>2548</v>
      </c>
      <c r="D309" s="7" t="s">
        <v>2375</v>
      </c>
      <c r="E309" s="7" t="n">
        <v>51</v>
      </c>
      <c r="F309" s="7" t="s">
        <v>2933</v>
      </c>
    </row>
    <row r="310" customFormat="false" ht="34.5" hidden="false" customHeight="true" outlineLevel="0" collapsed="false">
      <c r="A310" s="7" t="s">
        <v>2934</v>
      </c>
      <c r="B310" s="7" t="s">
        <v>2935</v>
      </c>
      <c r="C310" s="7" t="s">
        <v>2936</v>
      </c>
      <c r="D310" s="7" t="s">
        <v>2375</v>
      </c>
      <c r="E310" s="7" t="n">
        <v>62.5</v>
      </c>
      <c r="F310" s="7" t="s">
        <v>2937</v>
      </c>
    </row>
    <row r="311" customFormat="false" ht="34.5" hidden="false" customHeight="true" outlineLevel="0" collapsed="false">
      <c r="A311" s="7" t="s">
        <v>2934</v>
      </c>
      <c r="B311" s="7" t="s">
        <v>2867</v>
      </c>
      <c r="C311" s="7" t="s">
        <v>2938</v>
      </c>
      <c r="D311" s="7" t="s">
        <v>2375</v>
      </c>
      <c r="E311" s="7" t="n">
        <v>58.8</v>
      </c>
      <c r="F311" s="7" t="s">
        <v>2939</v>
      </c>
    </row>
    <row r="312" customFormat="false" ht="34.5" hidden="false" customHeight="true" outlineLevel="0" collapsed="false">
      <c r="A312" s="7" t="s">
        <v>2934</v>
      </c>
      <c r="B312" s="7" t="s">
        <v>2888</v>
      </c>
      <c r="C312" s="7" t="s">
        <v>2616</v>
      </c>
      <c r="D312" s="7" t="s">
        <v>2375</v>
      </c>
      <c r="E312" s="7" t="n">
        <v>20</v>
      </c>
      <c r="F312" s="7" t="s">
        <v>2940</v>
      </c>
    </row>
    <row r="313" customFormat="false" ht="45.75" hidden="false" customHeight="true" outlineLevel="0" collapsed="false">
      <c r="A313" s="7" t="s">
        <v>2934</v>
      </c>
      <c r="B313" s="7" t="s">
        <v>2313</v>
      </c>
      <c r="C313" s="7" t="s">
        <v>2314</v>
      </c>
      <c r="D313" s="7" t="s">
        <v>2375</v>
      </c>
      <c r="E313" s="7" t="n">
        <v>44.9</v>
      </c>
      <c r="F313" s="7" t="s">
        <v>2941</v>
      </c>
    </row>
    <row r="314" customFormat="false" ht="34.5" hidden="false" customHeight="true" outlineLevel="0" collapsed="false">
      <c r="A314" s="7" t="s">
        <v>2942</v>
      </c>
      <c r="B314" s="7" t="s">
        <v>2750</v>
      </c>
      <c r="C314" s="7" t="s">
        <v>2291</v>
      </c>
      <c r="D314" s="7" t="s">
        <v>2375</v>
      </c>
      <c r="E314" s="7" t="n">
        <v>61.6</v>
      </c>
      <c r="F314" s="7" t="s">
        <v>2943</v>
      </c>
    </row>
    <row r="315" customFormat="false" ht="34.5" hidden="false" customHeight="true" outlineLevel="0" collapsed="false">
      <c r="A315" s="7" t="s">
        <v>2944</v>
      </c>
      <c r="B315" s="7" t="s">
        <v>2775</v>
      </c>
      <c r="C315" s="7" t="s">
        <v>2306</v>
      </c>
      <c r="D315" s="7" t="s">
        <v>2375</v>
      </c>
      <c r="E315" s="7" t="n">
        <v>36.6</v>
      </c>
      <c r="F315" s="7" t="s">
        <v>2945</v>
      </c>
    </row>
    <row r="316" customFormat="false" ht="57" hidden="false" customHeight="true" outlineLevel="0" collapsed="false">
      <c r="A316" s="7" t="s">
        <v>2946</v>
      </c>
      <c r="B316" s="7" t="s">
        <v>2385</v>
      </c>
      <c r="C316" s="7" t="s">
        <v>2386</v>
      </c>
      <c r="D316" s="7" t="s">
        <v>2375</v>
      </c>
      <c r="E316" s="7" t="n">
        <v>57.4</v>
      </c>
      <c r="F316" s="7" t="s">
        <v>2947</v>
      </c>
    </row>
    <row r="317" customFormat="false" ht="34.5" hidden="false" customHeight="true" outlineLevel="0" collapsed="false">
      <c r="A317" s="7" t="s">
        <v>2948</v>
      </c>
      <c r="B317" s="7" t="s">
        <v>2909</v>
      </c>
      <c r="C317" s="7" t="s">
        <v>2910</v>
      </c>
      <c r="D317" s="7" t="s">
        <v>2375</v>
      </c>
      <c r="E317" s="7" t="n">
        <v>58.2</v>
      </c>
      <c r="F317" s="7" t="s">
        <v>2949</v>
      </c>
    </row>
    <row r="318" customFormat="false" ht="34.5" hidden="false" customHeight="true" outlineLevel="0" collapsed="false">
      <c r="A318" s="7" t="s">
        <v>2950</v>
      </c>
      <c r="B318" s="7" t="s">
        <v>2434</v>
      </c>
      <c r="C318" s="7" t="s">
        <v>2355</v>
      </c>
      <c r="D318" s="7" t="s">
        <v>2375</v>
      </c>
      <c r="E318" s="7" t="n">
        <v>41.1</v>
      </c>
      <c r="F318" s="7" t="s">
        <v>2951</v>
      </c>
    </row>
    <row r="319" customFormat="false" ht="34.5" hidden="false" customHeight="true" outlineLevel="0" collapsed="false">
      <c r="A319" s="7" t="s">
        <v>2952</v>
      </c>
      <c r="B319" s="7" t="s">
        <v>2867</v>
      </c>
      <c r="C319" s="7" t="s">
        <v>2868</v>
      </c>
      <c r="D319" s="7" t="s">
        <v>2375</v>
      </c>
      <c r="E319" s="7" t="n">
        <v>57.8</v>
      </c>
      <c r="F319" s="7" t="s">
        <v>2953</v>
      </c>
    </row>
    <row r="320" customFormat="false" ht="34.5" hidden="false" customHeight="true" outlineLevel="0" collapsed="false">
      <c r="A320" s="7" t="s">
        <v>2952</v>
      </c>
      <c r="B320" s="7" t="s">
        <v>2385</v>
      </c>
      <c r="C320" s="7" t="s">
        <v>2386</v>
      </c>
      <c r="D320" s="7" t="s">
        <v>2375</v>
      </c>
      <c r="E320" s="7" t="n">
        <v>57.4</v>
      </c>
      <c r="F320" s="7" t="s">
        <v>2954</v>
      </c>
    </row>
    <row r="321" customFormat="false" ht="34.5" hidden="false" customHeight="true" outlineLevel="0" collapsed="false">
      <c r="A321" s="7" t="s">
        <v>2952</v>
      </c>
      <c r="B321" s="7" t="s">
        <v>2955</v>
      </c>
      <c r="C321" s="7" t="s">
        <v>2956</v>
      </c>
      <c r="D321" s="7" t="s">
        <v>2375</v>
      </c>
      <c r="E321" s="7" t="n">
        <v>70.3</v>
      </c>
      <c r="F321" s="7" t="s">
        <v>2957</v>
      </c>
    </row>
    <row r="322" customFormat="false" ht="45.75" hidden="false" customHeight="true" outlineLevel="0" collapsed="false">
      <c r="A322" s="7" t="s">
        <v>2952</v>
      </c>
      <c r="B322" s="7" t="s">
        <v>2479</v>
      </c>
      <c r="C322" s="7" t="s">
        <v>1101</v>
      </c>
      <c r="D322" s="7" t="s">
        <v>2375</v>
      </c>
      <c r="E322" s="7" t="n">
        <v>22.5</v>
      </c>
      <c r="F322" s="7" t="s">
        <v>2958</v>
      </c>
    </row>
    <row r="323" customFormat="false" ht="45.75" hidden="false" customHeight="true" outlineLevel="0" collapsed="false">
      <c r="A323" s="7" t="s">
        <v>2952</v>
      </c>
      <c r="B323" s="7" t="s">
        <v>871</v>
      </c>
      <c r="C323" s="7" t="s">
        <v>1101</v>
      </c>
      <c r="D323" s="7" t="s">
        <v>2375</v>
      </c>
      <c r="E323" s="7" t="n">
        <v>24.5</v>
      </c>
      <c r="F323" s="7" t="s">
        <v>2959</v>
      </c>
    </row>
    <row r="324" customFormat="false" ht="34.5" hidden="false" customHeight="true" outlineLevel="0" collapsed="false">
      <c r="A324" s="7" t="s">
        <v>2952</v>
      </c>
      <c r="B324" s="7" t="s">
        <v>2381</v>
      </c>
      <c r="C324" s="7" t="s">
        <v>2325</v>
      </c>
      <c r="D324" s="7" t="s">
        <v>2375</v>
      </c>
      <c r="E324" s="7" t="n">
        <v>58.9</v>
      </c>
      <c r="F324" s="7" t="s">
        <v>2960</v>
      </c>
    </row>
    <row r="325" customFormat="false" ht="34.5" hidden="false" customHeight="true" outlineLevel="0" collapsed="false">
      <c r="A325" s="7" t="s">
        <v>2952</v>
      </c>
      <c r="B325" s="7" t="s">
        <v>2961</v>
      </c>
      <c r="C325" s="7" t="s">
        <v>2962</v>
      </c>
      <c r="D325" s="7" t="s">
        <v>2375</v>
      </c>
      <c r="E325" s="7" t="n">
        <v>47.8</v>
      </c>
      <c r="F325" s="7" t="s">
        <v>2963</v>
      </c>
    </row>
    <row r="326" customFormat="false" ht="34.5" hidden="false" customHeight="true" outlineLevel="0" collapsed="false">
      <c r="A326" s="7" t="s">
        <v>2952</v>
      </c>
      <c r="B326" s="7" t="s">
        <v>2487</v>
      </c>
      <c r="C326" s="7" t="s">
        <v>2287</v>
      </c>
      <c r="D326" s="7" t="s">
        <v>2375</v>
      </c>
      <c r="E326" s="7" t="n">
        <v>50.6</v>
      </c>
      <c r="F326" s="7" t="s">
        <v>2964</v>
      </c>
    </row>
    <row r="327" customFormat="false" ht="34.5" hidden="false" customHeight="true" outlineLevel="0" collapsed="false">
      <c r="A327" s="7" t="s">
        <v>2952</v>
      </c>
      <c r="B327" s="7" t="s">
        <v>2775</v>
      </c>
      <c r="C327" s="7" t="s">
        <v>2306</v>
      </c>
      <c r="D327" s="7" t="s">
        <v>2375</v>
      </c>
      <c r="E327" s="7" t="n">
        <v>36.6</v>
      </c>
      <c r="F327" s="7" t="s">
        <v>2965</v>
      </c>
    </row>
    <row r="328" customFormat="false" ht="45.75" hidden="false" customHeight="true" outlineLevel="0" collapsed="false">
      <c r="A328" s="7" t="s">
        <v>2952</v>
      </c>
      <c r="B328" s="7" t="s">
        <v>2313</v>
      </c>
      <c r="C328" s="7" t="s">
        <v>2314</v>
      </c>
      <c r="D328" s="7" t="s">
        <v>2375</v>
      </c>
      <c r="E328" s="7" t="n">
        <v>44.9</v>
      </c>
      <c r="F328" s="7" t="s">
        <v>2966</v>
      </c>
    </row>
    <row r="329" customFormat="false" ht="34.5" hidden="false" customHeight="true" outlineLevel="0" collapsed="false">
      <c r="A329" s="7" t="s">
        <v>2952</v>
      </c>
      <c r="B329" s="7" t="s">
        <v>2903</v>
      </c>
      <c r="C329" s="7" t="s">
        <v>2904</v>
      </c>
      <c r="D329" s="7" t="s">
        <v>2375</v>
      </c>
      <c r="E329" s="7" t="n">
        <v>66.7</v>
      </c>
      <c r="F329" s="7" t="s">
        <v>2967</v>
      </c>
    </row>
    <row r="330" customFormat="false" ht="34.5" hidden="false" customHeight="true" outlineLevel="0" collapsed="false">
      <c r="A330" s="7" t="s">
        <v>2952</v>
      </c>
      <c r="B330" s="7" t="s">
        <v>2968</v>
      </c>
      <c r="C330" s="7" t="s">
        <v>2854</v>
      </c>
      <c r="D330" s="7" t="s">
        <v>2375</v>
      </c>
      <c r="E330" s="7" t="n">
        <v>62</v>
      </c>
      <c r="F330" s="7" t="s">
        <v>2969</v>
      </c>
    </row>
    <row r="331" customFormat="false" ht="34.5" hidden="false" customHeight="true" outlineLevel="0" collapsed="false">
      <c r="A331" s="7" t="s">
        <v>2952</v>
      </c>
      <c r="B331" s="7" t="s">
        <v>2853</v>
      </c>
      <c r="C331" s="7" t="s">
        <v>2854</v>
      </c>
      <c r="D331" s="7" t="s">
        <v>2375</v>
      </c>
      <c r="E331" s="7" t="n">
        <v>57.1</v>
      </c>
      <c r="F331" s="7" t="s">
        <v>2970</v>
      </c>
    </row>
    <row r="332" customFormat="false" ht="34.5" hidden="false" customHeight="true" outlineLevel="0" collapsed="false">
      <c r="A332" s="7" t="s">
        <v>2952</v>
      </c>
      <c r="B332" s="7" t="s">
        <v>2931</v>
      </c>
      <c r="C332" s="7" t="s">
        <v>2854</v>
      </c>
      <c r="D332" s="7" t="s">
        <v>2375</v>
      </c>
      <c r="E332" s="7" t="n">
        <v>48.2</v>
      </c>
      <c r="F332" s="7" t="s">
        <v>2971</v>
      </c>
    </row>
    <row r="333" customFormat="false" ht="57" hidden="false" customHeight="true" outlineLevel="0" collapsed="false">
      <c r="A333" s="7" t="s">
        <v>2952</v>
      </c>
      <c r="B333" s="7" t="s">
        <v>2547</v>
      </c>
      <c r="C333" s="7" t="s">
        <v>2548</v>
      </c>
      <c r="D333" s="7" t="s">
        <v>2375</v>
      </c>
      <c r="E333" s="7" t="n">
        <v>51</v>
      </c>
      <c r="F333" s="7" t="s">
        <v>2972</v>
      </c>
    </row>
    <row r="334" customFormat="false" ht="34.5" hidden="false" customHeight="true" outlineLevel="0" collapsed="false">
      <c r="A334" s="7" t="s">
        <v>2973</v>
      </c>
      <c r="B334" s="7" t="s">
        <v>2702</v>
      </c>
      <c r="C334" s="7" t="s">
        <v>2891</v>
      </c>
      <c r="D334" s="7" t="s">
        <v>2375</v>
      </c>
      <c r="E334" s="7" t="n">
        <v>42.2</v>
      </c>
      <c r="F334" s="7" t="s">
        <v>2974</v>
      </c>
    </row>
    <row r="335" customFormat="false" ht="34.5" hidden="false" customHeight="true" outlineLevel="0" collapsed="false">
      <c r="A335" s="7" t="s">
        <v>2975</v>
      </c>
      <c r="B335" s="7" t="s">
        <v>2976</v>
      </c>
      <c r="C335" s="7" t="s">
        <v>2977</v>
      </c>
      <c r="D335" s="7" t="s">
        <v>2375</v>
      </c>
      <c r="E335" s="7" t="n">
        <v>67.2</v>
      </c>
      <c r="F335" s="7" t="s">
        <v>2978</v>
      </c>
    </row>
    <row r="336" customFormat="false" ht="34.5" hidden="false" customHeight="true" outlineLevel="0" collapsed="false">
      <c r="A336" s="7" t="s">
        <v>2979</v>
      </c>
      <c r="B336" s="7" t="s">
        <v>2547</v>
      </c>
      <c r="C336" s="7" t="s">
        <v>2548</v>
      </c>
      <c r="D336" s="7" t="s">
        <v>2375</v>
      </c>
      <c r="E336" s="7" t="n">
        <v>51</v>
      </c>
      <c r="F336" s="7" t="s">
        <v>2980</v>
      </c>
    </row>
    <row r="337" customFormat="false" ht="34.5" hidden="false" customHeight="true" outlineLevel="0" collapsed="false">
      <c r="A337" s="7" t="s">
        <v>2981</v>
      </c>
      <c r="B337" s="7" t="s">
        <v>2775</v>
      </c>
      <c r="C337" s="7" t="s">
        <v>2982</v>
      </c>
      <c r="D337" s="7" t="s">
        <v>2375</v>
      </c>
      <c r="E337" s="7" t="n">
        <v>35.9</v>
      </c>
      <c r="F337" s="7" t="s">
        <v>2983</v>
      </c>
    </row>
    <row r="338" customFormat="false" ht="57" hidden="false" customHeight="true" outlineLevel="0" collapsed="false">
      <c r="A338" s="7" t="s">
        <v>2984</v>
      </c>
      <c r="B338" s="7" t="s">
        <v>2381</v>
      </c>
      <c r="C338" s="7" t="s">
        <v>2325</v>
      </c>
      <c r="D338" s="7" t="s">
        <v>2375</v>
      </c>
      <c r="E338" s="7" t="n">
        <v>58.9</v>
      </c>
      <c r="F338" s="7" t="s">
        <v>2985</v>
      </c>
    </row>
    <row r="339" customFormat="false" ht="34.5" hidden="false" customHeight="true" outlineLevel="0" collapsed="false">
      <c r="A339" s="7" t="s">
        <v>2984</v>
      </c>
      <c r="B339" s="7" t="s">
        <v>2775</v>
      </c>
      <c r="C339" s="7" t="s">
        <v>2306</v>
      </c>
      <c r="D339" s="7" t="s">
        <v>2375</v>
      </c>
      <c r="E339" s="7" t="n">
        <v>36.6</v>
      </c>
      <c r="F339" s="7" t="s">
        <v>2986</v>
      </c>
    </row>
    <row r="340" customFormat="false" ht="34.5" hidden="false" customHeight="true" outlineLevel="0" collapsed="false">
      <c r="A340" s="7" t="s">
        <v>2987</v>
      </c>
      <c r="B340" s="7" t="s">
        <v>2547</v>
      </c>
      <c r="C340" s="7" t="s">
        <v>2548</v>
      </c>
      <c r="D340" s="7" t="s">
        <v>2375</v>
      </c>
      <c r="E340" s="7" t="n">
        <v>51</v>
      </c>
      <c r="F340" s="7" t="s">
        <v>2988</v>
      </c>
    </row>
    <row r="341" customFormat="false" ht="57" hidden="false" customHeight="true" outlineLevel="0" collapsed="false">
      <c r="A341" s="7" t="s">
        <v>2987</v>
      </c>
      <c r="B341" s="7" t="s">
        <v>2434</v>
      </c>
      <c r="C341" s="7" t="s">
        <v>2355</v>
      </c>
      <c r="D341" s="7" t="s">
        <v>2375</v>
      </c>
      <c r="E341" s="7" t="n">
        <v>41.1</v>
      </c>
      <c r="F341" s="7" t="s">
        <v>2989</v>
      </c>
    </row>
    <row r="342" customFormat="false" ht="34.5" hidden="false" customHeight="true" outlineLevel="0" collapsed="false">
      <c r="A342" s="7" t="s">
        <v>2990</v>
      </c>
      <c r="B342" s="7" t="s">
        <v>2991</v>
      </c>
      <c r="C342" s="7" t="s">
        <v>2977</v>
      </c>
      <c r="D342" s="7" t="s">
        <v>2375</v>
      </c>
      <c r="E342" s="7" t="n">
        <v>71.9</v>
      </c>
      <c r="F342" s="7" t="s">
        <v>2992</v>
      </c>
    </row>
    <row r="343" customFormat="false" ht="45.75" hidden="false" customHeight="true" outlineLevel="0" collapsed="false">
      <c r="A343" s="7" t="s">
        <v>2993</v>
      </c>
      <c r="B343" s="7" t="s">
        <v>2313</v>
      </c>
      <c r="C343" s="7" t="s">
        <v>2314</v>
      </c>
      <c r="D343" s="7" t="s">
        <v>2375</v>
      </c>
      <c r="E343" s="7" t="n">
        <v>44.9</v>
      </c>
      <c r="F343" s="7" t="s">
        <v>2994</v>
      </c>
    </row>
    <row r="344" customFormat="false" ht="34.5" hidden="false" customHeight="true" outlineLevel="0" collapsed="false">
      <c r="A344" s="7" t="s">
        <v>2993</v>
      </c>
      <c r="B344" s="7" t="s">
        <v>2695</v>
      </c>
      <c r="C344" s="7" t="s">
        <v>2696</v>
      </c>
      <c r="D344" s="7" t="s">
        <v>2375</v>
      </c>
      <c r="E344" s="7" t="n">
        <v>40</v>
      </c>
      <c r="F344" s="7" t="s">
        <v>2995</v>
      </c>
    </row>
    <row r="345" customFormat="false" ht="34.5" hidden="false" customHeight="true" outlineLevel="0" collapsed="false">
      <c r="A345" s="7" t="s">
        <v>2996</v>
      </c>
      <c r="B345" s="7" t="s">
        <v>2775</v>
      </c>
      <c r="C345" s="7" t="s">
        <v>2306</v>
      </c>
      <c r="D345" s="7" t="s">
        <v>2375</v>
      </c>
      <c r="E345" s="7" t="n">
        <v>36.6</v>
      </c>
      <c r="F345" s="7" t="s">
        <v>2997</v>
      </c>
    </row>
    <row r="346" customFormat="false" ht="34.5" hidden="false" customHeight="true" outlineLevel="0" collapsed="false">
      <c r="A346" s="7" t="s">
        <v>2998</v>
      </c>
      <c r="B346" s="7" t="s">
        <v>2547</v>
      </c>
      <c r="C346" s="7" t="s">
        <v>2548</v>
      </c>
      <c r="D346" s="7" t="s">
        <v>2375</v>
      </c>
      <c r="E346" s="7" t="n">
        <v>51</v>
      </c>
      <c r="F346" s="7" t="s">
        <v>2999</v>
      </c>
    </row>
    <row r="347" customFormat="false" ht="34.5" hidden="false" customHeight="true" outlineLevel="0" collapsed="false">
      <c r="A347" s="7" t="s">
        <v>2998</v>
      </c>
      <c r="B347" s="7" t="s">
        <v>2381</v>
      </c>
      <c r="C347" s="7" t="s">
        <v>2325</v>
      </c>
      <c r="D347" s="7" t="s">
        <v>2375</v>
      </c>
      <c r="E347" s="7" t="n">
        <v>58.9</v>
      </c>
      <c r="F347" s="7" t="s">
        <v>3000</v>
      </c>
    </row>
    <row r="348" customFormat="false" ht="34.5" hidden="false" customHeight="true" outlineLevel="0" collapsed="false">
      <c r="A348" s="7" t="s">
        <v>2998</v>
      </c>
      <c r="B348" s="7" t="s">
        <v>2961</v>
      </c>
      <c r="C348" s="7" t="s">
        <v>2962</v>
      </c>
      <c r="D348" s="7" t="s">
        <v>2375</v>
      </c>
      <c r="E348" s="7" t="n">
        <v>47.8</v>
      </c>
      <c r="F348" s="7" t="s">
        <v>3001</v>
      </c>
    </row>
    <row r="349" customFormat="false" ht="34.5" hidden="false" customHeight="true" outlineLevel="0" collapsed="false">
      <c r="A349" s="7" t="s">
        <v>2998</v>
      </c>
      <c r="B349" s="7" t="s">
        <v>2747</v>
      </c>
      <c r="C349" s="7" t="s">
        <v>2748</v>
      </c>
      <c r="D349" s="7" t="s">
        <v>2375</v>
      </c>
      <c r="E349" s="7" t="n">
        <v>60.3</v>
      </c>
      <c r="F349" s="7" t="s">
        <v>3002</v>
      </c>
    </row>
    <row r="350" customFormat="false" ht="34.5" hidden="false" customHeight="true" outlineLevel="0" collapsed="false">
      <c r="A350" s="7" t="s">
        <v>3003</v>
      </c>
      <c r="B350" s="7" t="s">
        <v>2968</v>
      </c>
      <c r="C350" s="7" t="s">
        <v>2854</v>
      </c>
      <c r="D350" s="7" t="s">
        <v>2375</v>
      </c>
      <c r="E350" s="7" t="n">
        <v>62</v>
      </c>
      <c r="F350" s="7" t="s">
        <v>3004</v>
      </c>
    </row>
    <row r="351" customFormat="false" ht="34.5" hidden="false" customHeight="true" outlineLevel="0" collapsed="false">
      <c r="A351" s="7" t="s">
        <v>3003</v>
      </c>
      <c r="B351" s="7" t="s">
        <v>2867</v>
      </c>
      <c r="C351" s="7" t="s">
        <v>2868</v>
      </c>
      <c r="D351" s="7" t="s">
        <v>2375</v>
      </c>
      <c r="E351" s="7" t="n">
        <v>57.8</v>
      </c>
      <c r="F351" s="7" t="s">
        <v>3005</v>
      </c>
    </row>
    <row r="352" customFormat="false" ht="34.5" hidden="false" customHeight="true" outlineLevel="0" collapsed="false">
      <c r="A352" s="7" t="s">
        <v>3003</v>
      </c>
      <c r="B352" s="7" t="s">
        <v>2338</v>
      </c>
      <c r="C352" s="7" t="s">
        <v>2827</v>
      </c>
      <c r="D352" s="7" t="s">
        <v>2375</v>
      </c>
      <c r="E352" s="7" t="n">
        <v>73</v>
      </c>
      <c r="F352" s="7" t="s">
        <v>3006</v>
      </c>
    </row>
    <row r="353" customFormat="false" ht="45.75" hidden="false" customHeight="true" outlineLevel="0" collapsed="false">
      <c r="A353" s="7" t="s">
        <v>3007</v>
      </c>
      <c r="B353" s="7" t="s">
        <v>2479</v>
      </c>
      <c r="C353" s="7" t="s">
        <v>1101</v>
      </c>
      <c r="D353" s="7" t="s">
        <v>2375</v>
      </c>
      <c r="E353" s="7" t="n">
        <v>22.5</v>
      </c>
      <c r="F353" s="7" t="s">
        <v>3008</v>
      </c>
    </row>
    <row r="354" customFormat="false" ht="57" hidden="false" customHeight="true" outlineLevel="0" collapsed="false">
      <c r="A354" s="7" t="s">
        <v>3009</v>
      </c>
      <c r="B354" s="7" t="s">
        <v>2434</v>
      </c>
      <c r="C354" s="7" t="s">
        <v>2355</v>
      </c>
      <c r="D354" s="7" t="s">
        <v>2375</v>
      </c>
      <c r="E354" s="7" t="n">
        <v>41.1</v>
      </c>
      <c r="F354" s="7" t="s">
        <v>3010</v>
      </c>
    </row>
    <row r="355" customFormat="false" ht="34.5" hidden="false" customHeight="true" outlineLevel="0" collapsed="false">
      <c r="A355" s="7" t="s">
        <v>3011</v>
      </c>
      <c r="B355" s="7" t="s">
        <v>2867</v>
      </c>
      <c r="C355" s="7" t="s">
        <v>2938</v>
      </c>
      <c r="D355" s="7" t="s">
        <v>2375</v>
      </c>
      <c r="E355" s="7" t="n">
        <v>58.8</v>
      </c>
      <c r="F355" s="7" t="s">
        <v>3012</v>
      </c>
    </row>
    <row r="356" customFormat="false" ht="34.5" hidden="false" customHeight="true" outlineLevel="0" collapsed="false">
      <c r="A356" s="7" t="s">
        <v>3013</v>
      </c>
      <c r="B356" s="7" t="s">
        <v>2547</v>
      </c>
      <c r="C356" s="7" t="s">
        <v>2548</v>
      </c>
      <c r="D356" s="7" t="s">
        <v>2375</v>
      </c>
      <c r="E356" s="7" t="n">
        <v>51</v>
      </c>
      <c r="F356" s="7" t="s">
        <v>3014</v>
      </c>
    </row>
    <row r="357" customFormat="false" ht="45.75" hidden="false" customHeight="true" outlineLevel="0" collapsed="false">
      <c r="A357" s="7" t="s">
        <v>3015</v>
      </c>
      <c r="B357" s="7" t="s">
        <v>871</v>
      </c>
      <c r="C357" s="7" t="s">
        <v>1101</v>
      </c>
      <c r="D357" s="7" t="s">
        <v>2375</v>
      </c>
      <c r="E357" s="7" t="n">
        <v>24.5</v>
      </c>
      <c r="F357" s="7" t="s">
        <v>3016</v>
      </c>
    </row>
    <row r="358" customFormat="false" ht="34.5" hidden="false" customHeight="true" outlineLevel="0" collapsed="false">
      <c r="A358" s="7" t="s">
        <v>3017</v>
      </c>
      <c r="B358" s="7" t="s">
        <v>2747</v>
      </c>
      <c r="C358" s="7" t="s">
        <v>2748</v>
      </c>
      <c r="D358" s="7" t="s">
        <v>2375</v>
      </c>
      <c r="E358" s="7" t="n">
        <v>60.3</v>
      </c>
      <c r="F358" s="7" t="s">
        <v>3018</v>
      </c>
    </row>
    <row r="359" customFormat="false" ht="34.5" hidden="false" customHeight="true" outlineLevel="0" collapsed="false">
      <c r="A359" s="7" t="s">
        <v>3019</v>
      </c>
      <c r="B359" s="7" t="s">
        <v>871</v>
      </c>
      <c r="C359" s="7" t="s">
        <v>1101</v>
      </c>
      <c r="D359" s="7" t="s">
        <v>2375</v>
      </c>
      <c r="E359" s="7" t="n">
        <v>24.5</v>
      </c>
      <c r="F359" s="7" t="s">
        <v>3020</v>
      </c>
    </row>
    <row r="360" customFormat="false" ht="34.5" hidden="false" customHeight="true" outlineLevel="0" collapsed="false">
      <c r="A360" s="7" t="s">
        <v>3021</v>
      </c>
      <c r="B360" s="7" t="s">
        <v>2385</v>
      </c>
      <c r="C360" s="7" t="s">
        <v>2386</v>
      </c>
      <c r="D360" s="7" t="s">
        <v>2375</v>
      </c>
      <c r="E360" s="7" t="n">
        <v>57.4</v>
      </c>
      <c r="F360" s="7" t="s">
        <v>3022</v>
      </c>
    </row>
    <row r="361" customFormat="false" ht="45.75" hidden="false" customHeight="true" outlineLevel="0" collapsed="false">
      <c r="A361" s="7" t="s">
        <v>3023</v>
      </c>
      <c r="B361" s="7" t="s">
        <v>2479</v>
      </c>
      <c r="C361" s="7" t="s">
        <v>1101</v>
      </c>
      <c r="D361" s="7" t="s">
        <v>2375</v>
      </c>
      <c r="E361" s="7" t="n">
        <v>22.5</v>
      </c>
      <c r="F361" s="7" t="s">
        <v>3024</v>
      </c>
    </row>
    <row r="362" customFormat="false" ht="34.5" hidden="false" customHeight="true" outlineLevel="0" collapsed="false">
      <c r="A362" s="7" t="s">
        <v>3025</v>
      </c>
      <c r="B362" s="7" t="s">
        <v>2311</v>
      </c>
      <c r="C362" s="7" t="s">
        <v>2312</v>
      </c>
      <c r="D362" s="7" t="s">
        <v>2375</v>
      </c>
      <c r="E362" s="7" t="n">
        <v>48.3</v>
      </c>
      <c r="F362" s="7" t="s">
        <v>3026</v>
      </c>
    </row>
    <row r="363" customFormat="false" ht="34.5" hidden="false" customHeight="true" outlineLevel="0" collapsed="false">
      <c r="A363" s="7" t="s">
        <v>3025</v>
      </c>
      <c r="B363" s="7" t="s">
        <v>2385</v>
      </c>
      <c r="C363" s="7" t="s">
        <v>2386</v>
      </c>
      <c r="D363" s="7" t="s">
        <v>2375</v>
      </c>
      <c r="E363" s="7" t="n">
        <v>57.4</v>
      </c>
      <c r="F363" s="7" t="s">
        <v>3027</v>
      </c>
    </row>
    <row r="364" customFormat="false" ht="34.5" hidden="false" customHeight="true" outlineLevel="0" collapsed="false">
      <c r="A364" s="7" t="s">
        <v>3025</v>
      </c>
      <c r="B364" s="7" t="s">
        <v>2862</v>
      </c>
      <c r="C364" s="7" t="s">
        <v>2329</v>
      </c>
      <c r="D364" s="7" t="s">
        <v>2375</v>
      </c>
      <c r="E364" s="7" t="n">
        <v>65</v>
      </c>
      <c r="F364" s="7" t="s">
        <v>3028</v>
      </c>
    </row>
    <row r="365" customFormat="false" ht="34.5" hidden="false" customHeight="true" outlineLevel="0" collapsed="false">
      <c r="A365" s="7" t="s">
        <v>3029</v>
      </c>
      <c r="B365" s="7" t="s">
        <v>634</v>
      </c>
      <c r="C365" s="7" t="s">
        <v>2860</v>
      </c>
      <c r="D365" s="7" t="s">
        <v>2375</v>
      </c>
      <c r="E365" s="7" t="n">
        <v>25.2</v>
      </c>
      <c r="F365" s="7" t="s">
        <v>3030</v>
      </c>
    </row>
    <row r="366" customFormat="false" ht="34.5" hidden="false" customHeight="true" outlineLevel="0" collapsed="false">
      <c r="A366" s="7" t="s">
        <v>3029</v>
      </c>
      <c r="B366" s="7" t="s">
        <v>2702</v>
      </c>
      <c r="C366" s="7" t="s">
        <v>2891</v>
      </c>
      <c r="D366" s="7" t="s">
        <v>2375</v>
      </c>
      <c r="E366" s="7" t="n">
        <v>42.2</v>
      </c>
      <c r="F366" s="7" t="s">
        <v>3031</v>
      </c>
    </row>
    <row r="367" customFormat="false" ht="34.5" hidden="false" customHeight="true" outlineLevel="0" collapsed="false">
      <c r="A367" s="7" t="s">
        <v>3029</v>
      </c>
      <c r="B367" s="7" t="s">
        <v>2895</v>
      </c>
      <c r="C367" s="7" t="s">
        <v>2703</v>
      </c>
      <c r="D367" s="7" t="s">
        <v>2375</v>
      </c>
      <c r="E367" s="7" t="n">
        <v>44.9</v>
      </c>
      <c r="F367" s="7" t="s">
        <v>3032</v>
      </c>
    </row>
    <row r="368" customFormat="false" ht="34.5" hidden="false" customHeight="true" outlineLevel="0" collapsed="false">
      <c r="A368" s="7" t="s">
        <v>3033</v>
      </c>
      <c r="B368" s="7" t="s">
        <v>2775</v>
      </c>
      <c r="C368" s="7" t="s">
        <v>2982</v>
      </c>
      <c r="D368" s="7" t="s">
        <v>2375</v>
      </c>
      <c r="E368" s="7" t="n">
        <v>35.9</v>
      </c>
      <c r="F368" s="7" t="s">
        <v>3034</v>
      </c>
    </row>
    <row r="369" customFormat="false" ht="34.5" hidden="false" customHeight="true" outlineLevel="0" collapsed="false">
      <c r="A369" s="7" t="s">
        <v>3035</v>
      </c>
      <c r="B369" s="7" t="s">
        <v>2495</v>
      </c>
      <c r="C369" s="7" t="s">
        <v>2283</v>
      </c>
      <c r="D369" s="7" t="s">
        <v>2375</v>
      </c>
      <c r="E369" s="7" t="n">
        <v>56.4</v>
      </c>
      <c r="F369" s="7" t="s">
        <v>3036</v>
      </c>
    </row>
    <row r="370" customFormat="false" ht="34.5" hidden="false" customHeight="true" outlineLevel="0" collapsed="false">
      <c r="A370" s="7" t="s">
        <v>914</v>
      </c>
      <c r="B370" s="7" t="s">
        <v>2385</v>
      </c>
      <c r="C370" s="7" t="s">
        <v>2386</v>
      </c>
      <c r="D370" s="7" t="s">
        <v>2375</v>
      </c>
      <c r="E370" s="7" t="n">
        <v>57.4</v>
      </c>
      <c r="F370" s="7" t="s">
        <v>3037</v>
      </c>
    </row>
    <row r="371" customFormat="false" ht="34.5" hidden="false" customHeight="true" outlineLevel="0" collapsed="false">
      <c r="A371" s="7" t="s">
        <v>914</v>
      </c>
      <c r="B371" s="7" t="s">
        <v>2888</v>
      </c>
      <c r="C371" s="7" t="s">
        <v>2616</v>
      </c>
      <c r="D371" s="7" t="s">
        <v>2375</v>
      </c>
      <c r="E371" s="7" t="n">
        <v>20</v>
      </c>
      <c r="F371" s="7" t="s">
        <v>3038</v>
      </c>
    </row>
    <row r="372" customFormat="false" ht="34.5" hidden="false" customHeight="true" outlineLevel="0" collapsed="false">
      <c r="A372" s="7" t="s">
        <v>3039</v>
      </c>
      <c r="B372" s="7" t="s">
        <v>2853</v>
      </c>
      <c r="C372" s="7" t="s">
        <v>2854</v>
      </c>
      <c r="D372" s="7" t="s">
        <v>2375</v>
      </c>
      <c r="E372" s="7" t="n">
        <v>57.1</v>
      </c>
      <c r="F372" s="7" t="s">
        <v>3040</v>
      </c>
    </row>
    <row r="373" customFormat="false" ht="45.75" hidden="false" customHeight="true" outlineLevel="0" collapsed="false">
      <c r="A373" s="7" t="s">
        <v>3039</v>
      </c>
      <c r="B373" s="7" t="s">
        <v>2479</v>
      </c>
      <c r="C373" s="7" t="s">
        <v>1101</v>
      </c>
      <c r="D373" s="7" t="s">
        <v>2375</v>
      </c>
      <c r="E373" s="7" t="n">
        <v>22.5</v>
      </c>
      <c r="F373" s="7" t="s">
        <v>3041</v>
      </c>
    </row>
    <row r="374" customFormat="false" ht="45.75" hidden="false" customHeight="true" outlineLevel="0" collapsed="false">
      <c r="A374" s="7" t="s">
        <v>3039</v>
      </c>
      <c r="B374" s="7" t="s">
        <v>2531</v>
      </c>
      <c r="C374" s="7" t="s">
        <v>2532</v>
      </c>
      <c r="D374" s="7" t="s">
        <v>2375</v>
      </c>
      <c r="E374" s="7" t="n">
        <v>46.6</v>
      </c>
      <c r="F374" s="7" t="s">
        <v>3042</v>
      </c>
    </row>
    <row r="375" customFormat="false" ht="34.5" hidden="false" customHeight="true" outlineLevel="0" collapsed="false">
      <c r="A375" s="7" t="s">
        <v>3039</v>
      </c>
      <c r="B375" s="7" t="s">
        <v>2702</v>
      </c>
      <c r="C375" s="7" t="s">
        <v>2891</v>
      </c>
      <c r="D375" s="7" t="s">
        <v>2375</v>
      </c>
      <c r="E375" s="7" t="n">
        <v>42.2</v>
      </c>
      <c r="F375" s="7" t="s">
        <v>3043</v>
      </c>
    </row>
    <row r="376" customFormat="false" ht="34.5" hidden="false" customHeight="true" outlineLevel="0" collapsed="false">
      <c r="A376" s="7" t="s">
        <v>3044</v>
      </c>
      <c r="B376" s="7" t="s">
        <v>2862</v>
      </c>
      <c r="C376" s="7" t="s">
        <v>2329</v>
      </c>
      <c r="D376" s="7" t="s">
        <v>2375</v>
      </c>
      <c r="E376" s="7" t="n">
        <v>65</v>
      </c>
      <c r="F376" s="7" t="s">
        <v>3045</v>
      </c>
    </row>
    <row r="377" customFormat="false" ht="34.5" hidden="false" customHeight="true" outlineLevel="0" collapsed="false">
      <c r="A377" s="7" t="s">
        <v>3046</v>
      </c>
      <c r="B377" s="7" t="s">
        <v>2811</v>
      </c>
      <c r="C377" s="7" t="s">
        <v>2812</v>
      </c>
      <c r="D377" s="7" t="s">
        <v>2375</v>
      </c>
      <c r="E377" s="7" t="n">
        <v>52.9</v>
      </c>
      <c r="F377" s="7" t="s">
        <v>3047</v>
      </c>
    </row>
    <row r="378" customFormat="false" ht="45.75" hidden="false" customHeight="true" outlineLevel="0" collapsed="false">
      <c r="A378" s="7" t="s">
        <v>3046</v>
      </c>
      <c r="B378" s="7" t="s">
        <v>871</v>
      </c>
      <c r="C378" s="7" t="s">
        <v>1101</v>
      </c>
      <c r="D378" s="7" t="s">
        <v>2375</v>
      </c>
      <c r="E378" s="7" t="n">
        <v>24.5</v>
      </c>
      <c r="F378" s="7" t="s">
        <v>3048</v>
      </c>
    </row>
    <row r="379" customFormat="false" ht="34.5" hidden="false" customHeight="true" outlineLevel="0" collapsed="false">
      <c r="A379" s="7" t="s">
        <v>3046</v>
      </c>
      <c r="B379" s="7" t="s">
        <v>3049</v>
      </c>
      <c r="C379" s="7" t="s">
        <v>2555</v>
      </c>
      <c r="D379" s="7" t="s">
        <v>2375</v>
      </c>
      <c r="E379" s="7" t="n">
        <v>52.7</v>
      </c>
      <c r="F379" s="7" t="s">
        <v>3050</v>
      </c>
    </row>
    <row r="380" customFormat="false" ht="34.5" hidden="false" customHeight="true" outlineLevel="0" collapsed="false">
      <c r="A380" s="7" t="s">
        <v>3046</v>
      </c>
      <c r="B380" s="7" t="s">
        <v>3051</v>
      </c>
      <c r="C380" s="7" t="s">
        <v>3052</v>
      </c>
      <c r="D380" s="7" t="s">
        <v>2375</v>
      </c>
      <c r="E380" s="7" t="n">
        <v>52.6</v>
      </c>
      <c r="F380" s="7" t="s">
        <v>3053</v>
      </c>
    </row>
    <row r="381" customFormat="false" ht="34.5" hidden="false" customHeight="true" outlineLevel="0" collapsed="false">
      <c r="A381" s="7" t="s">
        <v>3054</v>
      </c>
      <c r="B381" s="7" t="s">
        <v>2862</v>
      </c>
      <c r="C381" s="7" t="s">
        <v>2329</v>
      </c>
      <c r="D381" s="7" t="s">
        <v>2375</v>
      </c>
      <c r="E381" s="7" t="n">
        <v>65</v>
      </c>
      <c r="F381" s="7" t="s">
        <v>3055</v>
      </c>
    </row>
    <row r="382" customFormat="false" ht="45.75" hidden="false" customHeight="true" outlineLevel="0" collapsed="false">
      <c r="A382" s="7" t="s">
        <v>3054</v>
      </c>
      <c r="B382" s="7" t="s">
        <v>871</v>
      </c>
      <c r="C382" s="7" t="s">
        <v>1101</v>
      </c>
      <c r="D382" s="7" t="s">
        <v>2375</v>
      </c>
      <c r="E382" s="7" t="n">
        <v>24.5</v>
      </c>
      <c r="F382" s="7" t="s">
        <v>3056</v>
      </c>
    </row>
    <row r="383" customFormat="false" ht="34.5" hidden="false" customHeight="true" outlineLevel="0" collapsed="false">
      <c r="A383" s="7" t="s">
        <v>3054</v>
      </c>
      <c r="B383" s="7" t="s">
        <v>2702</v>
      </c>
      <c r="C383" s="7" t="s">
        <v>2891</v>
      </c>
      <c r="D383" s="7" t="s">
        <v>2375</v>
      </c>
      <c r="E383" s="7" t="n">
        <v>42.2</v>
      </c>
      <c r="F383" s="7" t="s">
        <v>3057</v>
      </c>
    </row>
    <row r="384" customFormat="false" ht="34.5" hidden="false" customHeight="true" outlineLevel="0" collapsed="false">
      <c r="A384" s="7" t="s">
        <v>3054</v>
      </c>
      <c r="B384" s="7" t="s">
        <v>2311</v>
      </c>
      <c r="C384" s="7" t="s">
        <v>2396</v>
      </c>
      <c r="D384" s="7" t="s">
        <v>2375</v>
      </c>
      <c r="E384" s="7" t="n">
        <v>47.8</v>
      </c>
      <c r="F384" s="7" t="s">
        <v>3058</v>
      </c>
    </row>
    <row r="385" customFormat="false" ht="34.5" hidden="false" customHeight="true" outlineLevel="0" collapsed="false">
      <c r="A385" s="7" t="s">
        <v>3059</v>
      </c>
      <c r="B385" s="7" t="s">
        <v>634</v>
      </c>
      <c r="C385" s="7" t="s">
        <v>2860</v>
      </c>
      <c r="D385" s="7" t="s">
        <v>2375</v>
      </c>
      <c r="E385" s="7" t="n">
        <v>25.2</v>
      </c>
      <c r="F385" s="7" t="s">
        <v>3060</v>
      </c>
    </row>
    <row r="386" customFormat="false" ht="34.5" hidden="false" customHeight="true" outlineLevel="0" collapsed="false">
      <c r="A386" s="7" t="s">
        <v>3061</v>
      </c>
      <c r="B386" s="7" t="s">
        <v>2955</v>
      </c>
      <c r="C386" s="7" t="s">
        <v>2956</v>
      </c>
      <c r="D386" s="7" t="s">
        <v>2375</v>
      </c>
      <c r="E386" s="7" t="n">
        <v>70.1</v>
      </c>
      <c r="F386" s="7" t="s">
        <v>3062</v>
      </c>
    </row>
    <row r="387" customFormat="false" ht="68.25" hidden="false" customHeight="true" outlineLevel="0" collapsed="false">
      <c r="A387" s="7" t="s">
        <v>3063</v>
      </c>
      <c r="B387" s="7" t="s">
        <v>2660</v>
      </c>
      <c r="C387" s="7" t="s">
        <v>2320</v>
      </c>
      <c r="D387" s="7" t="s">
        <v>2375</v>
      </c>
      <c r="E387" s="7" t="n">
        <v>74.9</v>
      </c>
      <c r="F387" s="7" t="s">
        <v>3064</v>
      </c>
    </row>
    <row r="388" customFormat="false" ht="34.5" hidden="false" customHeight="true" outlineLevel="0" collapsed="false">
      <c r="A388" s="7" t="s">
        <v>3065</v>
      </c>
      <c r="B388" s="7" t="s">
        <v>3066</v>
      </c>
      <c r="C388" s="7" t="s">
        <v>3067</v>
      </c>
      <c r="D388" s="7" t="s">
        <v>2375</v>
      </c>
      <c r="E388" s="7" t="n">
        <v>38.4</v>
      </c>
      <c r="F388" s="7" t="s">
        <v>3068</v>
      </c>
    </row>
    <row r="389" customFormat="false" ht="34.5" hidden="false" customHeight="true" outlineLevel="0" collapsed="false">
      <c r="A389" s="7" t="s">
        <v>3069</v>
      </c>
      <c r="B389" s="7" t="s">
        <v>634</v>
      </c>
      <c r="C389" s="7" t="s">
        <v>2860</v>
      </c>
      <c r="D389" s="7" t="s">
        <v>2375</v>
      </c>
      <c r="E389" s="7" t="n">
        <v>25.2</v>
      </c>
      <c r="F389" s="7" t="s">
        <v>3070</v>
      </c>
    </row>
    <row r="390" customFormat="false" ht="34.5" hidden="false" customHeight="true" outlineLevel="0" collapsed="false">
      <c r="A390" s="7" t="s">
        <v>3069</v>
      </c>
      <c r="B390" s="7" t="s">
        <v>2381</v>
      </c>
      <c r="C390" s="7" t="s">
        <v>2325</v>
      </c>
      <c r="D390" s="7" t="s">
        <v>2375</v>
      </c>
      <c r="E390" s="7" t="n">
        <v>58.9</v>
      </c>
      <c r="F390" s="7" t="s">
        <v>3071</v>
      </c>
    </row>
    <row r="391" customFormat="false" ht="57" hidden="false" customHeight="true" outlineLevel="0" collapsed="false">
      <c r="A391" s="7" t="s">
        <v>3072</v>
      </c>
      <c r="B391" s="7" t="s">
        <v>2660</v>
      </c>
      <c r="C391" s="7" t="s">
        <v>2320</v>
      </c>
      <c r="D391" s="7" t="s">
        <v>2375</v>
      </c>
      <c r="E391" s="7" t="n">
        <v>74.9</v>
      </c>
      <c r="F391" s="7" t="s">
        <v>3073</v>
      </c>
    </row>
    <row r="392" customFormat="false" ht="34.5" hidden="false" customHeight="true" outlineLevel="0" collapsed="false">
      <c r="A392" s="7" t="s">
        <v>3074</v>
      </c>
      <c r="B392" s="7" t="s">
        <v>3051</v>
      </c>
      <c r="C392" s="7" t="s">
        <v>3052</v>
      </c>
      <c r="D392" s="7" t="s">
        <v>2375</v>
      </c>
      <c r="E392" s="7" t="n">
        <v>52.6</v>
      </c>
      <c r="F392" s="7" t="s">
        <v>3075</v>
      </c>
    </row>
    <row r="393" customFormat="false" ht="34.5" hidden="false" customHeight="true" outlineLevel="0" collapsed="false">
      <c r="A393" s="7" t="s">
        <v>3074</v>
      </c>
      <c r="B393" s="7" t="s">
        <v>2991</v>
      </c>
      <c r="C393" s="7" t="s">
        <v>2977</v>
      </c>
      <c r="D393" s="7" t="s">
        <v>2375</v>
      </c>
      <c r="E393" s="7" t="n">
        <v>71.9</v>
      </c>
      <c r="F393" s="7" t="s">
        <v>3076</v>
      </c>
    </row>
    <row r="394" customFormat="false" ht="34.5" hidden="false" customHeight="true" outlineLevel="0" collapsed="false">
      <c r="A394" s="7" t="s">
        <v>3077</v>
      </c>
      <c r="B394" s="7" t="s">
        <v>3051</v>
      </c>
      <c r="C394" s="7" t="s">
        <v>3078</v>
      </c>
      <c r="D394" s="7" t="s">
        <v>2375</v>
      </c>
      <c r="E394" s="7" t="n">
        <v>51.7</v>
      </c>
      <c r="F394" s="7" t="s">
        <v>3079</v>
      </c>
    </row>
    <row r="395" customFormat="false" ht="34.5" hidden="false" customHeight="true" outlineLevel="0" collapsed="false">
      <c r="A395" s="7" t="s">
        <v>3080</v>
      </c>
      <c r="B395" s="7" t="s">
        <v>2338</v>
      </c>
      <c r="C395" s="7" t="s">
        <v>2827</v>
      </c>
      <c r="D395" s="7" t="s">
        <v>2375</v>
      </c>
      <c r="E395" s="7" t="n">
        <v>73</v>
      </c>
      <c r="F395" s="7" t="s">
        <v>3081</v>
      </c>
    </row>
    <row r="396" customFormat="false" ht="45.75" hidden="false" customHeight="true" outlineLevel="0" collapsed="false">
      <c r="A396" s="7" t="s">
        <v>3082</v>
      </c>
      <c r="B396" s="7" t="s">
        <v>871</v>
      </c>
      <c r="C396" s="7" t="s">
        <v>1101</v>
      </c>
      <c r="D396" s="7" t="s">
        <v>2375</v>
      </c>
      <c r="E396" s="7" t="n">
        <v>24.5</v>
      </c>
      <c r="F396" s="7" t="s">
        <v>3083</v>
      </c>
    </row>
    <row r="397" customFormat="false" ht="45.75" hidden="false" customHeight="true" outlineLevel="0" collapsed="false">
      <c r="A397" s="7" t="s">
        <v>3082</v>
      </c>
      <c r="B397" s="7" t="s">
        <v>2862</v>
      </c>
      <c r="C397" s="7" t="s">
        <v>2329</v>
      </c>
      <c r="D397" s="7" t="s">
        <v>2375</v>
      </c>
      <c r="E397" s="7" t="n">
        <v>65</v>
      </c>
      <c r="F397" s="7" t="s">
        <v>3084</v>
      </c>
    </row>
    <row r="398" customFormat="false" ht="34.5" hidden="false" customHeight="true" outlineLevel="0" collapsed="false">
      <c r="A398" s="7" t="s">
        <v>3085</v>
      </c>
      <c r="B398" s="7" t="s">
        <v>2919</v>
      </c>
      <c r="C398" s="7" t="s">
        <v>2320</v>
      </c>
      <c r="D398" s="7" t="s">
        <v>2375</v>
      </c>
      <c r="E398" s="7" t="n">
        <v>66.9</v>
      </c>
      <c r="F398" s="7" t="s">
        <v>3086</v>
      </c>
    </row>
    <row r="399" customFormat="false" ht="34.5" hidden="false" customHeight="true" outlineLevel="0" collapsed="false">
      <c r="A399" s="7" t="s">
        <v>3087</v>
      </c>
      <c r="B399" s="7" t="s">
        <v>2731</v>
      </c>
      <c r="C399" s="7" t="s">
        <v>2329</v>
      </c>
      <c r="D399" s="7" t="s">
        <v>2375</v>
      </c>
      <c r="E399" s="7" t="n">
        <v>68.6</v>
      </c>
      <c r="F399" s="7" t="s">
        <v>3088</v>
      </c>
    </row>
    <row r="400" customFormat="false" ht="45.75" hidden="false" customHeight="true" outlineLevel="0" collapsed="false">
      <c r="A400" s="7" t="s">
        <v>3087</v>
      </c>
      <c r="B400" s="7" t="s">
        <v>2385</v>
      </c>
      <c r="C400" s="7" t="s">
        <v>2386</v>
      </c>
      <c r="D400" s="7" t="s">
        <v>2375</v>
      </c>
      <c r="E400" s="7" t="n">
        <v>57.4</v>
      </c>
      <c r="F400" s="7" t="s">
        <v>3089</v>
      </c>
    </row>
    <row r="401" customFormat="false" ht="34.5" hidden="false" customHeight="true" outlineLevel="0" collapsed="false">
      <c r="A401" s="7" t="s">
        <v>3090</v>
      </c>
      <c r="B401" s="7" t="s">
        <v>2385</v>
      </c>
      <c r="C401" s="7" t="s">
        <v>2386</v>
      </c>
      <c r="D401" s="7" t="s">
        <v>2375</v>
      </c>
      <c r="E401" s="7" t="n">
        <v>57.4</v>
      </c>
      <c r="F401" s="7" t="s">
        <v>3091</v>
      </c>
    </row>
    <row r="402" customFormat="false" ht="34.5" hidden="false" customHeight="true" outlineLevel="0" collapsed="false">
      <c r="A402" s="7" t="s">
        <v>3092</v>
      </c>
      <c r="B402" s="7" t="s">
        <v>2531</v>
      </c>
      <c r="C402" s="7" t="s">
        <v>2532</v>
      </c>
      <c r="D402" s="7" t="s">
        <v>2375</v>
      </c>
      <c r="E402" s="7" t="n">
        <v>46.6</v>
      </c>
      <c r="F402" s="7" t="s">
        <v>3093</v>
      </c>
    </row>
    <row r="403" customFormat="false" ht="34.5" hidden="false" customHeight="true" outlineLevel="0" collapsed="false">
      <c r="A403" s="7" t="s">
        <v>3094</v>
      </c>
      <c r="B403" s="7" t="s">
        <v>2547</v>
      </c>
      <c r="C403" s="7" t="s">
        <v>2548</v>
      </c>
      <c r="D403" s="7" t="s">
        <v>2375</v>
      </c>
      <c r="E403" s="7" t="n">
        <v>51</v>
      </c>
      <c r="F403" s="7" t="s">
        <v>3095</v>
      </c>
    </row>
    <row r="404" customFormat="false" ht="45.75" hidden="false" customHeight="true" outlineLevel="0" collapsed="false">
      <c r="A404" s="7" t="s">
        <v>3096</v>
      </c>
      <c r="B404" s="7" t="s">
        <v>2862</v>
      </c>
      <c r="C404" s="7" t="s">
        <v>2329</v>
      </c>
      <c r="D404" s="7" t="s">
        <v>2375</v>
      </c>
      <c r="E404" s="7" t="n">
        <v>65</v>
      </c>
      <c r="F404" s="7" t="s">
        <v>3097</v>
      </c>
    </row>
    <row r="405" customFormat="false" ht="45.75" hidden="false" customHeight="true" outlineLevel="0" collapsed="false">
      <c r="A405" s="7" t="s">
        <v>3096</v>
      </c>
      <c r="B405" s="7" t="s">
        <v>2479</v>
      </c>
      <c r="C405" s="7" t="s">
        <v>1101</v>
      </c>
      <c r="D405" s="7" t="s">
        <v>2375</v>
      </c>
      <c r="E405" s="7" t="n">
        <v>22.5</v>
      </c>
      <c r="F405" s="7" t="s">
        <v>3098</v>
      </c>
    </row>
    <row r="406" customFormat="false" ht="34.5" hidden="false" customHeight="true" outlineLevel="0" collapsed="false">
      <c r="A406" s="7" t="s">
        <v>3099</v>
      </c>
      <c r="B406" s="7" t="s">
        <v>3066</v>
      </c>
      <c r="C406" s="7" t="s">
        <v>3067</v>
      </c>
      <c r="D406" s="7" t="s">
        <v>2375</v>
      </c>
      <c r="E406" s="7" t="n">
        <v>38.4</v>
      </c>
      <c r="F406" s="7" t="s">
        <v>3100</v>
      </c>
    </row>
    <row r="407" customFormat="false" ht="45.75" hidden="false" customHeight="true" outlineLevel="0" collapsed="false">
      <c r="A407" s="7" t="s">
        <v>3101</v>
      </c>
      <c r="B407" s="7" t="s">
        <v>2702</v>
      </c>
      <c r="C407" s="7" t="s">
        <v>2891</v>
      </c>
      <c r="D407" s="7" t="s">
        <v>2375</v>
      </c>
      <c r="E407" s="7" t="n">
        <v>42.2</v>
      </c>
      <c r="F407" s="7" t="s">
        <v>3102</v>
      </c>
    </row>
    <row r="408" customFormat="false" ht="34.5" hidden="false" customHeight="true" outlineLevel="0" collapsed="false">
      <c r="A408" s="7" t="s">
        <v>3101</v>
      </c>
      <c r="B408" s="7" t="s">
        <v>2311</v>
      </c>
      <c r="C408" s="7" t="s">
        <v>2396</v>
      </c>
      <c r="D408" s="7" t="s">
        <v>2375</v>
      </c>
      <c r="E408" s="7" t="n">
        <v>47.8</v>
      </c>
      <c r="F408" s="7" t="s">
        <v>3103</v>
      </c>
    </row>
    <row r="409" customFormat="false" ht="45.75" hidden="false" customHeight="true" outlineLevel="0" collapsed="false">
      <c r="A409" s="7" t="s">
        <v>3104</v>
      </c>
      <c r="B409" s="7" t="s">
        <v>2660</v>
      </c>
      <c r="C409" s="7" t="s">
        <v>2320</v>
      </c>
      <c r="D409" s="7" t="s">
        <v>2375</v>
      </c>
      <c r="E409" s="7" t="n">
        <v>74.9</v>
      </c>
      <c r="F409" s="7" t="s">
        <v>3105</v>
      </c>
    </row>
    <row r="410" customFormat="false" ht="34.5" hidden="false" customHeight="true" outlineLevel="0" collapsed="false">
      <c r="A410" s="7" t="s">
        <v>3106</v>
      </c>
      <c r="B410" s="7" t="s">
        <v>2895</v>
      </c>
      <c r="C410" s="7" t="s">
        <v>2703</v>
      </c>
      <c r="D410" s="7" t="s">
        <v>2375</v>
      </c>
      <c r="E410" s="7" t="n">
        <v>44.9</v>
      </c>
      <c r="F410" s="7" t="s">
        <v>3107</v>
      </c>
    </row>
    <row r="411" customFormat="false" ht="34.5" hidden="false" customHeight="true" outlineLevel="0" collapsed="false">
      <c r="A411" s="7" t="s">
        <v>3106</v>
      </c>
      <c r="B411" s="7" t="s">
        <v>3108</v>
      </c>
      <c r="C411" s="7" t="s">
        <v>2687</v>
      </c>
      <c r="D411" s="7" t="s">
        <v>2375</v>
      </c>
      <c r="E411" s="7" t="n">
        <v>48.7</v>
      </c>
      <c r="F411" s="7" t="s">
        <v>3109</v>
      </c>
    </row>
    <row r="412" customFormat="false" ht="45.75" hidden="false" customHeight="true" outlineLevel="0" collapsed="false">
      <c r="A412" s="7" t="s">
        <v>3106</v>
      </c>
      <c r="B412" s="7" t="s">
        <v>871</v>
      </c>
      <c r="C412" s="7" t="s">
        <v>1101</v>
      </c>
      <c r="D412" s="7" t="s">
        <v>2375</v>
      </c>
      <c r="E412" s="7" t="n">
        <v>24.5</v>
      </c>
      <c r="F412" s="7" t="s">
        <v>3110</v>
      </c>
    </row>
    <row r="413" customFormat="false" ht="34.5" hidden="false" customHeight="true" outlineLevel="0" collapsed="false">
      <c r="A413" s="7" t="s">
        <v>3111</v>
      </c>
      <c r="B413" s="7" t="s">
        <v>2381</v>
      </c>
      <c r="C413" s="7" t="s">
        <v>2325</v>
      </c>
      <c r="D413" s="7" t="s">
        <v>2375</v>
      </c>
      <c r="E413" s="7" t="n">
        <v>58.9</v>
      </c>
      <c r="F413" s="7" t="s">
        <v>3112</v>
      </c>
    </row>
    <row r="414" customFormat="false" ht="34.5" hidden="false" customHeight="true" outlineLevel="0" collapsed="false">
      <c r="A414" s="7" t="s">
        <v>3113</v>
      </c>
      <c r="B414" s="7" t="s">
        <v>2968</v>
      </c>
      <c r="C414" s="7" t="s">
        <v>2854</v>
      </c>
      <c r="D414" s="7" t="s">
        <v>2375</v>
      </c>
      <c r="E414" s="7" t="n">
        <v>62</v>
      </c>
      <c r="F414" s="7" t="s">
        <v>3114</v>
      </c>
    </row>
    <row r="415" customFormat="false" ht="34.5" hidden="false" customHeight="true" outlineLevel="0" collapsed="false">
      <c r="A415" s="7" t="s">
        <v>3113</v>
      </c>
      <c r="B415" s="7" t="s">
        <v>2750</v>
      </c>
      <c r="C415" s="7" t="s">
        <v>2291</v>
      </c>
      <c r="D415" s="7" t="s">
        <v>2375</v>
      </c>
      <c r="E415" s="7" t="n">
        <v>61.6</v>
      </c>
      <c r="F415" s="7" t="s">
        <v>3115</v>
      </c>
    </row>
    <row r="416" customFormat="false" ht="34.5" hidden="false" customHeight="true" outlineLevel="0" collapsed="false">
      <c r="A416" s="7" t="s">
        <v>3113</v>
      </c>
      <c r="B416" s="7" t="s">
        <v>2924</v>
      </c>
      <c r="C416" s="7" t="s">
        <v>2925</v>
      </c>
      <c r="D416" s="7" t="s">
        <v>2375</v>
      </c>
      <c r="E416" s="7" t="n">
        <v>55.3</v>
      </c>
      <c r="F416" s="7" t="s">
        <v>3116</v>
      </c>
    </row>
    <row r="417" customFormat="false" ht="34.5" hidden="false" customHeight="true" outlineLevel="0" collapsed="false">
      <c r="A417" s="7" t="s">
        <v>3113</v>
      </c>
      <c r="B417" s="7" t="s">
        <v>2862</v>
      </c>
      <c r="C417" s="7" t="s">
        <v>2329</v>
      </c>
      <c r="D417" s="7" t="s">
        <v>2375</v>
      </c>
      <c r="E417" s="7" t="n">
        <v>65</v>
      </c>
      <c r="F417" s="7" t="s">
        <v>3117</v>
      </c>
    </row>
    <row r="418" customFormat="false" ht="34.5" hidden="false" customHeight="true" outlineLevel="0" collapsed="false">
      <c r="A418" s="7" t="s">
        <v>3118</v>
      </c>
      <c r="B418" s="7" t="s">
        <v>2660</v>
      </c>
      <c r="C418" s="7" t="s">
        <v>2320</v>
      </c>
      <c r="D418" s="7" t="s">
        <v>2375</v>
      </c>
      <c r="E418" s="7" t="n">
        <v>74.9</v>
      </c>
      <c r="F418" s="7" t="s">
        <v>3119</v>
      </c>
    </row>
    <row r="419" customFormat="false" ht="34.5" hidden="false" customHeight="true" outlineLevel="0" collapsed="false">
      <c r="A419" s="7" t="s">
        <v>3118</v>
      </c>
      <c r="B419" s="7" t="s">
        <v>2311</v>
      </c>
      <c r="C419" s="7" t="s">
        <v>2396</v>
      </c>
      <c r="D419" s="7" t="s">
        <v>2375</v>
      </c>
      <c r="E419" s="7" t="n">
        <v>47.8</v>
      </c>
      <c r="F419" s="7" t="s">
        <v>3120</v>
      </c>
    </row>
    <row r="420" customFormat="false" ht="34.5" hidden="false" customHeight="true" outlineLevel="0" collapsed="false">
      <c r="A420" s="7" t="s">
        <v>3121</v>
      </c>
      <c r="B420" s="7" t="s">
        <v>2702</v>
      </c>
      <c r="C420" s="7" t="s">
        <v>2891</v>
      </c>
      <c r="D420" s="7" t="s">
        <v>2375</v>
      </c>
      <c r="E420" s="7" t="n">
        <v>42.2</v>
      </c>
      <c r="F420" s="7" t="s">
        <v>3122</v>
      </c>
    </row>
    <row r="421" customFormat="false" ht="34.5" hidden="false" customHeight="true" outlineLevel="0" collapsed="false">
      <c r="A421" s="7" t="s">
        <v>3123</v>
      </c>
      <c r="B421" s="7" t="s">
        <v>2547</v>
      </c>
      <c r="C421" s="7" t="s">
        <v>2548</v>
      </c>
      <c r="D421" s="7" t="s">
        <v>2375</v>
      </c>
      <c r="E421" s="7" t="n">
        <v>51</v>
      </c>
      <c r="F421" s="7" t="s">
        <v>3124</v>
      </c>
    </row>
    <row r="422" customFormat="false" ht="34.5" hidden="false" customHeight="true" outlineLevel="0" collapsed="false">
      <c r="A422" s="7" t="s">
        <v>3125</v>
      </c>
      <c r="B422" s="7" t="s">
        <v>2338</v>
      </c>
      <c r="C422" s="7" t="s">
        <v>2827</v>
      </c>
      <c r="D422" s="7" t="s">
        <v>2375</v>
      </c>
      <c r="E422" s="7" t="n">
        <v>73</v>
      </c>
      <c r="F422" s="7" t="s">
        <v>3126</v>
      </c>
    </row>
    <row r="423" customFormat="false" ht="34.5" hidden="false" customHeight="true" outlineLevel="0" collapsed="false">
      <c r="A423" s="7" t="s">
        <v>3127</v>
      </c>
      <c r="B423" s="7" t="s">
        <v>2991</v>
      </c>
      <c r="C423" s="7" t="s">
        <v>2977</v>
      </c>
      <c r="D423" s="7" t="s">
        <v>2375</v>
      </c>
      <c r="E423" s="7" t="n">
        <v>71.9</v>
      </c>
      <c r="F423" s="7" t="s">
        <v>3128</v>
      </c>
    </row>
    <row r="424" customFormat="false" ht="34.5" hidden="false" customHeight="true" outlineLevel="0" collapsed="false">
      <c r="A424" s="7" t="s">
        <v>3129</v>
      </c>
      <c r="B424" s="7" t="s">
        <v>3066</v>
      </c>
      <c r="C424" s="7" t="s">
        <v>3067</v>
      </c>
      <c r="D424" s="7" t="s">
        <v>2375</v>
      </c>
      <c r="E424" s="7" t="n">
        <v>38.4</v>
      </c>
      <c r="F424" s="7" t="s">
        <v>3130</v>
      </c>
    </row>
    <row r="425" customFormat="false" ht="34.5" hidden="false" customHeight="true" outlineLevel="0" collapsed="false">
      <c r="A425" s="7" t="s">
        <v>3131</v>
      </c>
      <c r="B425" s="7" t="s">
        <v>2299</v>
      </c>
      <c r="C425" s="7" t="s">
        <v>2300</v>
      </c>
      <c r="D425" s="7" t="s">
        <v>2375</v>
      </c>
      <c r="E425" s="7" t="n">
        <v>54.8</v>
      </c>
      <c r="F425" s="7" t="s">
        <v>3132</v>
      </c>
    </row>
    <row r="426" customFormat="false" ht="34.5" hidden="false" customHeight="true" outlineLevel="0" collapsed="false">
      <c r="A426" s="7" t="s">
        <v>3133</v>
      </c>
      <c r="B426" s="7" t="s">
        <v>2385</v>
      </c>
      <c r="C426" s="7" t="s">
        <v>2386</v>
      </c>
      <c r="D426" s="7" t="s">
        <v>2375</v>
      </c>
      <c r="E426" s="7" t="n">
        <v>57.4</v>
      </c>
      <c r="F426" s="7" t="s">
        <v>3134</v>
      </c>
    </row>
    <row r="427" customFormat="false" ht="34.5" hidden="false" customHeight="true" outlineLevel="0" collapsed="false">
      <c r="A427" s="7" t="s">
        <v>3135</v>
      </c>
      <c r="B427" s="7" t="s">
        <v>2381</v>
      </c>
      <c r="C427" s="7" t="s">
        <v>2325</v>
      </c>
      <c r="D427" s="7" t="s">
        <v>2375</v>
      </c>
      <c r="E427" s="7" t="n">
        <v>58.9</v>
      </c>
      <c r="F427" s="7" t="s">
        <v>3136</v>
      </c>
    </row>
    <row r="428" customFormat="false" ht="34.5" hidden="false" customHeight="true" outlineLevel="0" collapsed="false">
      <c r="A428" s="7" t="s">
        <v>3137</v>
      </c>
      <c r="B428" s="7" t="s">
        <v>2547</v>
      </c>
      <c r="C428" s="7" t="s">
        <v>2548</v>
      </c>
      <c r="D428" s="7" t="s">
        <v>2375</v>
      </c>
      <c r="E428" s="7" t="n">
        <v>51</v>
      </c>
      <c r="F428" s="7" t="s">
        <v>3138</v>
      </c>
    </row>
    <row r="429" customFormat="false" ht="34.5" hidden="false" customHeight="true" outlineLevel="0" collapsed="false">
      <c r="A429" s="7" t="s">
        <v>3137</v>
      </c>
      <c r="B429" s="7" t="s">
        <v>2660</v>
      </c>
      <c r="C429" s="7" t="s">
        <v>2320</v>
      </c>
      <c r="D429" s="7" t="s">
        <v>2375</v>
      </c>
      <c r="E429" s="7" t="n">
        <v>74.9</v>
      </c>
      <c r="F429" s="7" t="s">
        <v>3139</v>
      </c>
    </row>
    <row r="430" customFormat="false" ht="34.5" hidden="false" customHeight="true" outlineLevel="0" collapsed="false">
      <c r="A430" s="7" t="s">
        <v>3137</v>
      </c>
      <c r="B430" s="7" t="s">
        <v>634</v>
      </c>
      <c r="C430" s="7" t="s">
        <v>2860</v>
      </c>
      <c r="D430" s="7" t="s">
        <v>2375</v>
      </c>
      <c r="E430" s="7" t="n">
        <v>25.2</v>
      </c>
      <c r="F430" s="7" t="s">
        <v>3140</v>
      </c>
    </row>
    <row r="431" customFormat="false" ht="34.5" hidden="false" customHeight="true" outlineLevel="0" collapsed="false">
      <c r="A431" s="7" t="s">
        <v>3141</v>
      </c>
      <c r="B431" s="7" t="s">
        <v>2731</v>
      </c>
      <c r="C431" s="7" t="s">
        <v>2329</v>
      </c>
      <c r="D431" s="7" t="s">
        <v>2375</v>
      </c>
      <c r="E431" s="7" t="n">
        <v>68.6</v>
      </c>
      <c r="F431" s="7" t="s">
        <v>3142</v>
      </c>
    </row>
    <row r="432" customFormat="false" ht="34.5" hidden="false" customHeight="true" outlineLevel="0" collapsed="false">
      <c r="A432" s="7" t="s">
        <v>3141</v>
      </c>
      <c r="B432" s="7" t="s">
        <v>2311</v>
      </c>
      <c r="C432" s="7" t="s">
        <v>2396</v>
      </c>
      <c r="D432" s="7" t="s">
        <v>2375</v>
      </c>
      <c r="E432" s="7" t="n">
        <v>47.8</v>
      </c>
      <c r="F432" s="7" t="s">
        <v>3143</v>
      </c>
    </row>
    <row r="433" customFormat="false" ht="45.75" hidden="false" customHeight="true" outlineLevel="0" collapsed="false">
      <c r="A433" s="7" t="s">
        <v>3144</v>
      </c>
      <c r="B433" s="7" t="s">
        <v>2479</v>
      </c>
      <c r="C433" s="7" t="s">
        <v>1101</v>
      </c>
      <c r="D433" s="7" t="s">
        <v>2375</v>
      </c>
      <c r="E433" s="7" t="n">
        <v>22.5</v>
      </c>
      <c r="F433" s="7" t="s">
        <v>3145</v>
      </c>
    </row>
    <row r="434" customFormat="false" ht="57" hidden="false" customHeight="true" outlineLevel="0" collapsed="false">
      <c r="A434" s="7" t="s">
        <v>3146</v>
      </c>
      <c r="B434" s="7" t="s">
        <v>2750</v>
      </c>
      <c r="C434" s="7" t="s">
        <v>2291</v>
      </c>
      <c r="D434" s="7" t="s">
        <v>2375</v>
      </c>
      <c r="E434" s="7" t="n">
        <v>61.6</v>
      </c>
      <c r="F434" s="7" t="s">
        <v>3147</v>
      </c>
    </row>
    <row r="435" customFormat="false" ht="68.25" hidden="false" customHeight="true" outlineLevel="0" collapsed="false">
      <c r="A435" s="7" t="s">
        <v>886</v>
      </c>
      <c r="B435" s="7" t="s">
        <v>871</v>
      </c>
      <c r="C435" s="7" t="s">
        <v>1101</v>
      </c>
      <c r="D435" s="7" t="s">
        <v>2375</v>
      </c>
      <c r="E435" s="7" t="n">
        <v>24.5</v>
      </c>
      <c r="F435" s="7" t="s">
        <v>3148</v>
      </c>
    </row>
    <row r="436" customFormat="false" ht="34.5" hidden="false" customHeight="true" outlineLevel="0" collapsed="false">
      <c r="A436" s="7" t="s">
        <v>886</v>
      </c>
      <c r="B436" s="7" t="s">
        <v>2961</v>
      </c>
      <c r="C436" s="7" t="s">
        <v>2962</v>
      </c>
      <c r="D436" s="7" t="s">
        <v>2375</v>
      </c>
      <c r="E436" s="7" t="n">
        <v>47.8</v>
      </c>
      <c r="F436" s="7" t="s">
        <v>3149</v>
      </c>
    </row>
    <row r="437" customFormat="false" ht="34.5" hidden="false" customHeight="true" outlineLevel="0" collapsed="false">
      <c r="A437" s="7" t="s">
        <v>886</v>
      </c>
      <c r="B437" s="7" t="s">
        <v>2775</v>
      </c>
      <c r="C437" s="7" t="s">
        <v>2306</v>
      </c>
      <c r="D437" s="7" t="s">
        <v>2375</v>
      </c>
      <c r="E437" s="7" t="n">
        <v>36.6</v>
      </c>
      <c r="F437" s="7" t="s">
        <v>3150</v>
      </c>
    </row>
    <row r="438" customFormat="false" ht="45.75" hidden="false" customHeight="true" outlineLevel="0" collapsed="false">
      <c r="A438" s="7" t="s">
        <v>3151</v>
      </c>
      <c r="B438" s="7" t="s">
        <v>2479</v>
      </c>
      <c r="C438" s="7" t="s">
        <v>1101</v>
      </c>
      <c r="D438" s="7" t="s">
        <v>2375</v>
      </c>
      <c r="E438" s="7" t="n">
        <v>22.5</v>
      </c>
      <c r="F438" s="7" t="s">
        <v>3152</v>
      </c>
    </row>
    <row r="439" customFormat="false" ht="45.75" hidden="false" customHeight="true" outlineLevel="0" collapsed="false">
      <c r="A439" s="7" t="s">
        <v>3151</v>
      </c>
      <c r="B439" s="7" t="s">
        <v>871</v>
      </c>
      <c r="C439" s="7" t="s">
        <v>1101</v>
      </c>
      <c r="D439" s="7" t="s">
        <v>2375</v>
      </c>
      <c r="E439" s="7" t="n">
        <v>24.5</v>
      </c>
      <c r="F439" s="7" t="s">
        <v>3153</v>
      </c>
    </row>
    <row r="440" customFormat="false" ht="34.5" hidden="false" customHeight="true" outlineLevel="0" collapsed="false">
      <c r="A440" s="7" t="s">
        <v>3151</v>
      </c>
      <c r="B440" s="7" t="s">
        <v>2311</v>
      </c>
      <c r="C440" s="7" t="s">
        <v>2396</v>
      </c>
      <c r="D440" s="7" t="s">
        <v>2375</v>
      </c>
      <c r="E440" s="7" t="n">
        <v>47.8</v>
      </c>
      <c r="F440" s="7" t="s">
        <v>3154</v>
      </c>
    </row>
    <row r="441" customFormat="false" ht="34.5" hidden="false" customHeight="true" outlineLevel="0" collapsed="false">
      <c r="A441" s="7" t="s">
        <v>3155</v>
      </c>
      <c r="B441" s="7" t="s">
        <v>2338</v>
      </c>
      <c r="C441" s="7" t="s">
        <v>2827</v>
      </c>
      <c r="D441" s="7" t="s">
        <v>2375</v>
      </c>
      <c r="E441" s="7" t="n">
        <v>73</v>
      </c>
      <c r="F441" s="7" t="s">
        <v>3156</v>
      </c>
    </row>
    <row r="442" customFormat="false" ht="45.75" hidden="false" customHeight="true" outlineLevel="0" collapsed="false">
      <c r="A442" s="7" t="s">
        <v>3157</v>
      </c>
      <c r="B442" s="7" t="s">
        <v>3158</v>
      </c>
      <c r="C442" s="7" t="s">
        <v>3159</v>
      </c>
      <c r="D442" s="7" t="s">
        <v>2284</v>
      </c>
      <c r="E442" s="7" t="n">
        <v>74.9</v>
      </c>
      <c r="F442" s="7" t="s">
        <v>3160</v>
      </c>
    </row>
    <row r="443" customFormat="false" ht="34.5" hidden="false" customHeight="true" outlineLevel="0" collapsed="false">
      <c r="A443" s="7" t="s">
        <v>3161</v>
      </c>
      <c r="B443" s="7" t="s">
        <v>2311</v>
      </c>
      <c r="C443" s="7" t="s">
        <v>2396</v>
      </c>
      <c r="D443" s="7" t="s">
        <v>2375</v>
      </c>
      <c r="E443" s="7" t="n">
        <v>47.8</v>
      </c>
      <c r="F443" s="7" t="s">
        <v>3162</v>
      </c>
    </row>
    <row r="444" customFormat="false" ht="34.5" hidden="false" customHeight="true" outlineLevel="0" collapsed="false">
      <c r="A444" s="7" t="s">
        <v>3163</v>
      </c>
      <c r="B444" s="7" t="s">
        <v>2895</v>
      </c>
      <c r="C444" s="7" t="s">
        <v>2703</v>
      </c>
      <c r="D444" s="7" t="s">
        <v>2375</v>
      </c>
      <c r="E444" s="7" t="n">
        <v>44.9</v>
      </c>
      <c r="F444" s="7" t="s">
        <v>3164</v>
      </c>
    </row>
    <row r="445" customFormat="false" ht="34.5" hidden="false" customHeight="true" outlineLevel="0" collapsed="false">
      <c r="A445" s="7" t="s">
        <v>3165</v>
      </c>
      <c r="B445" s="7" t="s">
        <v>2338</v>
      </c>
      <c r="C445" s="7" t="s">
        <v>2827</v>
      </c>
      <c r="D445" s="7" t="s">
        <v>2375</v>
      </c>
      <c r="E445" s="7" t="n">
        <v>73</v>
      </c>
      <c r="F445" s="7" t="s">
        <v>3166</v>
      </c>
    </row>
    <row r="446" customFormat="false" ht="34.5" hidden="false" customHeight="true" outlineLevel="0" collapsed="false">
      <c r="A446" s="7" t="s">
        <v>3165</v>
      </c>
      <c r="B446" s="7" t="s">
        <v>2385</v>
      </c>
      <c r="C446" s="7" t="s">
        <v>2386</v>
      </c>
      <c r="D446" s="7" t="s">
        <v>2375</v>
      </c>
      <c r="E446" s="7" t="n">
        <v>57.4</v>
      </c>
      <c r="F446" s="7" t="s">
        <v>3167</v>
      </c>
    </row>
    <row r="447" customFormat="false" ht="45.75" hidden="false" customHeight="true" outlineLevel="0" collapsed="false">
      <c r="A447" s="7" t="s">
        <v>3165</v>
      </c>
      <c r="B447" s="7" t="s">
        <v>2479</v>
      </c>
      <c r="C447" s="7" t="s">
        <v>1101</v>
      </c>
      <c r="D447" s="7" t="s">
        <v>2375</v>
      </c>
      <c r="E447" s="7" t="n">
        <v>22.5</v>
      </c>
      <c r="F447" s="7" t="s">
        <v>3168</v>
      </c>
    </row>
    <row r="448" customFormat="false" ht="45.75" hidden="false" customHeight="true" outlineLevel="0" collapsed="false">
      <c r="A448" s="7" t="s">
        <v>3165</v>
      </c>
      <c r="B448" s="7" t="s">
        <v>871</v>
      </c>
      <c r="C448" s="7" t="s">
        <v>1101</v>
      </c>
      <c r="D448" s="7" t="s">
        <v>2375</v>
      </c>
      <c r="E448" s="7" t="n">
        <v>24.5</v>
      </c>
      <c r="F448" s="7" t="s">
        <v>3169</v>
      </c>
    </row>
    <row r="449" customFormat="false" ht="45.75" hidden="false" customHeight="true" outlineLevel="0" collapsed="false">
      <c r="A449" s="7" t="s">
        <v>3165</v>
      </c>
      <c r="B449" s="7" t="s">
        <v>2531</v>
      </c>
      <c r="C449" s="7" t="s">
        <v>2532</v>
      </c>
      <c r="D449" s="7" t="s">
        <v>2375</v>
      </c>
      <c r="E449" s="7" t="n">
        <v>46.6</v>
      </c>
      <c r="F449" s="7" t="s">
        <v>3170</v>
      </c>
    </row>
    <row r="450" customFormat="false" ht="34.5" hidden="false" customHeight="true" outlineLevel="0" collapsed="false">
      <c r="A450" s="7" t="s">
        <v>3165</v>
      </c>
      <c r="B450" s="7" t="s">
        <v>634</v>
      </c>
      <c r="C450" s="7" t="s">
        <v>2860</v>
      </c>
      <c r="D450" s="7" t="s">
        <v>2375</v>
      </c>
      <c r="E450" s="7" t="n">
        <v>25.2</v>
      </c>
      <c r="F450" s="7" t="s">
        <v>3171</v>
      </c>
    </row>
    <row r="451" customFormat="false" ht="34.5" hidden="false" customHeight="true" outlineLevel="0" collapsed="false">
      <c r="A451" s="7" t="s">
        <v>3172</v>
      </c>
      <c r="B451" s="7" t="s">
        <v>3066</v>
      </c>
      <c r="C451" s="7" t="s">
        <v>3067</v>
      </c>
      <c r="D451" s="7" t="s">
        <v>2375</v>
      </c>
      <c r="E451" s="7" t="n">
        <v>38.4</v>
      </c>
      <c r="F451" s="7" t="s">
        <v>3173</v>
      </c>
    </row>
    <row r="452" customFormat="false" ht="34.5" hidden="false" customHeight="true" outlineLevel="0" collapsed="false">
      <c r="A452" s="7" t="s">
        <v>3174</v>
      </c>
      <c r="B452" s="7" t="s">
        <v>3066</v>
      </c>
      <c r="C452" s="7" t="s">
        <v>3067</v>
      </c>
      <c r="D452" s="7" t="s">
        <v>2375</v>
      </c>
      <c r="E452" s="7" t="n">
        <v>38.4</v>
      </c>
      <c r="F452" s="7" t="s">
        <v>3175</v>
      </c>
    </row>
    <row r="453" customFormat="false" ht="34.5" hidden="false" customHeight="true" outlineLevel="0" collapsed="false">
      <c r="A453" s="7" t="s">
        <v>3176</v>
      </c>
      <c r="B453" s="7" t="s">
        <v>2381</v>
      </c>
      <c r="C453" s="7" t="s">
        <v>2325</v>
      </c>
      <c r="D453" s="7" t="s">
        <v>2375</v>
      </c>
      <c r="E453" s="7" t="n">
        <v>58.9</v>
      </c>
      <c r="F453" s="7" t="s">
        <v>3177</v>
      </c>
    </row>
    <row r="454" customFormat="false" ht="34.5" hidden="false" customHeight="true" outlineLevel="0" collapsed="false">
      <c r="A454" s="7" t="s">
        <v>3178</v>
      </c>
      <c r="B454" s="7" t="s">
        <v>2895</v>
      </c>
      <c r="C454" s="7" t="s">
        <v>2703</v>
      </c>
      <c r="D454" s="7" t="s">
        <v>2375</v>
      </c>
      <c r="E454" s="7" t="n">
        <v>44.9</v>
      </c>
      <c r="F454" s="7" t="s">
        <v>3179</v>
      </c>
    </row>
    <row r="455" customFormat="false" ht="57" hidden="false" customHeight="true" outlineLevel="0" collapsed="false">
      <c r="A455" s="7" t="s">
        <v>3178</v>
      </c>
      <c r="B455" s="7" t="s">
        <v>2385</v>
      </c>
      <c r="C455" s="7" t="s">
        <v>2386</v>
      </c>
      <c r="D455" s="7" t="s">
        <v>2375</v>
      </c>
      <c r="E455" s="7" t="n">
        <v>57.4</v>
      </c>
      <c r="F455" s="7" t="s">
        <v>3180</v>
      </c>
    </row>
    <row r="456" customFormat="false" ht="45.75" hidden="false" customHeight="true" outlineLevel="0" collapsed="false">
      <c r="A456" s="7" t="s">
        <v>3178</v>
      </c>
      <c r="B456" s="7" t="s">
        <v>2531</v>
      </c>
      <c r="C456" s="7" t="s">
        <v>2532</v>
      </c>
      <c r="D456" s="7" t="s">
        <v>2375</v>
      </c>
      <c r="E456" s="7" t="n">
        <v>46.6</v>
      </c>
      <c r="F456" s="7" t="s">
        <v>3181</v>
      </c>
    </row>
    <row r="457" customFormat="false" ht="34.5" hidden="false" customHeight="true" outlineLevel="0" collapsed="false">
      <c r="A457" s="7" t="s">
        <v>3182</v>
      </c>
      <c r="B457" s="7" t="s">
        <v>2381</v>
      </c>
      <c r="C457" s="7" t="s">
        <v>2325</v>
      </c>
      <c r="D457" s="7" t="s">
        <v>2375</v>
      </c>
      <c r="E457" s="7" t="n">
        <v>58.9</v>
      </c>
      <c r="F457" s="7" t="s">
        <v>3183</v>
      </c>
    </row>
    <row r="458" customFormat="false" ht="45.75" hidden="false" customHeight="true" outlineLevel="0" collapsed="false">
      <c r="A458" s="7" t="s">
        <v>869</v>
      </c>
      <c r="B458" s="7" t="s">
        <v>871</v>
      </c>
      <c r="C458" s="7" t="s">
        <v>1101</v>
      </c>
      <c r="D458" s="7" t="s">
        <v>2375</v>
      </c>
      <c r="E458" s="7" t="n">
        <v>24.5</v>
      </c>
      <c r="F458" s="7" t="s">
        <v>3184</v>
      </c>
    </row>
    <row r="459" customFormat="false" ht="34.5" hidden="false" customHeight="true" outlineLevel="0" collapsed="false">
      <c r="A459" s="7" t="s">
        <v>3185</v>
      </c>
      <c r="B459" s="7" t="s">
        <v>2385</v>
      </c>
      <c r="C459" s="7" t="s">
        <v>2386</v>
      </c>
      <c r="D459" s="7" t="s">
        <v>2375</v>
      </c>
      <c r="E459" s="7" t="n">
        <v>57.4</v>
      </c>
      <c r="F459" s="7" t="s">
        <v>3186</v>
      </c>
    </row>
    <row r="460" customFormat="false" ht="34.5" hidden="false" customHeight="true" outlineLevel="0" collapsed="false">
      <c r="A460" s="7" t="s">
        <v>3187</v>
      </c>
      <c r="B460" s="7" t="s">
        <v>2547</v>
      </c>
      <c r="C460" s="7" t="s">
        <v>2548</v>
      </c>
      <c r="D460" s="7" t="s">
        <v>2375</v>
      </c>
      <c r="E460" s="7" t="n">
        <v>51</v>
      </c>
      <c r="F460" s="7" t="s">
        <v>3188</v>
      </c>
    </row>
    <row r="461" customFormat="false" ht="45.75" hidden="false" customHeight="true" outlineLevel="0" collapsed="false">
      <c r="A461" s="7" t="s">
        <v>3187</v>
      </c>
      <c r="B461" s="7" t="s">
        <v>2313</v>
      </c>
      <c r="C461" s="7" t="s">
        <v>2314</v>
      </c>
      <c r="D461" s="7" t="s">
        <v>2375</v>
      </c>
      <c r="E461" s="7" t="n">
        <v>44.9</v>
      </c>
      <c r="F461" s="7" t="s">
        <v>3189</v>
      </c>
    </row>
    <row r="462" customFormat="false" ht="34.5" hidden="false" customHeight="true" outlineLevel="0" collapsed="false">
      <c r="A462" s="7" t="s">
        <v>3187</v>
      </c>
      <c r="B462" s="7" t="s">
        <v>2731</v>
      </c>
      <c r="C462" s="7" t="s">
        <v>2329</v>
      </c>
      <c r="D462" s="7" t="s">
        <v>2375</v>
      </c>
      <c r="E462" s="7" t="n">
        <v>68.6</v>
      </c>
      <c r="F462" s="7" t="s">
        <v>3190</v>
      </c>
    </row>
    <row r="463" customFormat="false" ht="34.5" hidden="false" customHeight="true" outlineLevel="0" collapsed="false">
      <c r="A463" s="7" t="s">
        <v>3187</v>
      </c>
      <c r="B463" s="7" t="s">
        <v>2862</v>
      </c>
      <c r="C463" s="7" t="s">
        <v>2329</v>
      </c>
      <c r="D463" s="7" t="s">
        <v>2375</v>
      </c>
      <c r="E463" s="7" t="n">
        <v>65</v>
      </c>
      <c r="F463" s="7" t="s">
        <v>3191</v>
      </c>
    </row>
    <row r="464" customFormat="false" ht="34.5" hidden="false" customHeight="true" outlineLevel="0" collapsed="false">
      <c r="A464" s="7" t="s">
        <v>3192</v>
      </c>
      <c r="B464" s="7" t="s">
        <v>2955</v>
      </c>
      <c r="C464" s="7" t="s">
        <v>2956</v>
      </c>
      <c r="D464" s="7" t="s">
        <v>2375</v>
      </c>
      <c r="E464" s="7" t="n">
        <v>70.3</v>
      </c>
      <c r="F464" s="7" t="s">
        <v>3193</v>
      </c>
    </row>
    <row r="465" customFormat="false" ht="34.5" hidden="false" customHeight="true" outlineLevel="0" collapsed="false">
      <c r="A465" s="7" t="s">
        <v>3194</v>
      </c>
      <c r="B465" s="7" t="s">
        <v>3108</v>
      </c>
      <c r="C465" s="7" t="s">
        <v>2687</v>
      </c>
      <c r="D465" s="7" t="s">
        <v>2375</v>
      </c>
      <c r="E465" s="7" t="n">
        <v>48.7</v>
      </c>
      <c r="F465" s="7" t="s">
        <v>3195</v>
      </c>
    </row>
    <row r="466" customFormat="false" ht="34.5" hidden="false" customHeight="true" outlineLevel="0" collapsed="false">
      <c r="A466" s="7" t="s">
        <v>3194</v>
      </c>
      <c r="B466" s="7" t="s">
        <v>3196</v>
      </c>
      <c r="C466" s="7" t="s">
        <v>3197</v>
      </c>
      <c r="D466" s="7" t="s">
        <v>2375</v>
      </c>
      <c r="E466" s="7" t="n">
        <v>70.6</v>
      </c>
      <c r="F466" s="7" t="s">
        <v>3198</v>
      </c>
    </row>
    <row r="467" customFormat="false" ht="79.5" hidden="false" customHeight="true" outlineLevel="0" collapsed="false">
      <c r="A467" s="7" t="s">
        <v>3199</v>
      </c>
      <c r="B467" s="7" t="s">
        <v>3200</v>
      </c>
      <c r="C467" s="7" t="s">
        <v>2283</v>
      </c>
      <c r="D467" s="7" t="s">
        <v>2284</v>
      </c>
      <c r="E467" s="7" t="n">
        <v>14.3</v>
      </c>
      <c r="F467" s="7" t="s">
        <v>3201</v>
      </c>
    </row>
    <row r="468" customFormat="false" ht="45.75" hidden="false" customHeight="true" outlineLevel="0" collapsed="false">
      <c r="A468" s="7" t="s">
        <v>3202</v>
      </c>
      <c r="B468" s="7" t="s">
        <v>2750</v>
      </c>
      <c r="C468" s="7" t="s">
        <v>2291</v>
      </c>
      <c r="D468" s="7" t="s">
        <v>2375</v>
      </c>
      <c r="E468" s="7" t="n">
        <v>61.3</v>
      </c>
      <c r="F468" s="7" t="s">
        <v>3203</v>
      </c>
    </row>
    <row r="469" customFormat="false" ht="34.5" hidden="false" customHeight="true" outlineLevel="0" collapsed="false">
      <c r="A469" s="7" t="s">
        <v>3202</v>
      </c>
      <c r="B469" s="7" t="s">
        <v>2750</v>
      </c>
      <c r="C469" s="7" t="s">
        <v>2291</v>
      </c>
      <c r="D469" s="7" t="s">
        <v>2375</v>
      </c>
      <c r="E469" s="7" t="n">
        <v>61.6</v>
      </c>
      <c r="F469" s="7" t="s">
        <v>3204</v>
      </c>
    </row>
    <row r="470" customFormat="false" ht="135.75" hidden="false" customHeight="true" outlineLevel="0" collapsed="false">
      <c r="A470" s="7" t="s">
        <v>3205</v>
      </c>
      <c r="B470" s="7" t="s">
        <v>310</v>
      </c>
      <c r="C470" s="7" t="s">
        <v>2283</v>
      </c>
      <c r="D470" s="7" t="s">
        <v>2375</v>
      </c>
      <c r="E470" s="7" t="n">
        <v>17.4</v>
      </c>
      <c r="F470" s="7" t="s">
        <v>3206</v>
      </c>
    </row>
    <row r="471" customFormat="false" ht="34.5" hidden="false" customHeight="true" outlineLevel="0" collapsed="false">
      <c r="A471" s="7" t="s">
        <v>847</v>
      </c>
      <c r="B471" s="7" t="s">
        <v>2324</v>
      </c>
      <c r="C471" s="7" t="s">
        <v>3207</v>
      </c>
      <c r="D471" s="7" t="s">
        <v>2375</v>
      </c>
      <c r="E471" s="7" t="n">
        <v>51.7</v>
      </c>
      <c r="F471" s="7" t="s">
        <v>3208</v>
      </c>
    </row>
    <row r="472" customFormat="false" ht="34.5" hidden="false" customHeight="true" outlineLevel="0" collapsed="false">
      <c r="A472" s="7" t="s">
        <v>847</v>
      </c>
      <c r="B472" s="7" t="s">
        <v>2385</v>
      </c>
      <c r="C472" s="7" t="s">
        <v>2386</v>
      </c>
      <c r="D472" s="7" t="s">
        <v>2375</v>
      </c>
      <c r="E472" s="7" t="n">
        <v>57.7</v>
      </c>
      <c r="F472" s="7" t="s">
        <v>3209</v>
      </c>
    </row>
    <row r="473" customFormat="false" ht="34.5" hidden="false" customHeight="true" outlineLevel="0" collapsed="false">
      <c r="A473" s="7" t="s">
        <v>847</v>
      </c>
      <c r="B473" s="7" t="s">
        <v>2385</v>
      </c>
      <c r="C473" s="7" t="s">
        <v>2386</v>
      </c>
      <c r="D473" s="7" t="s">
        <v>2375</v>
      </c>
      <c r="E473" s="7" t="n">
        <v>57.4</v>
      </c>
      <c r="F473" s="7" t="s">
        <v>3210</v>
      </c>
    </row>
    <row r="474" customFormat="false" ht="57" hidden="false" customHeight="true" outlineLevel="0" collapsed="false">
      <c r="A474" s="7" t="s">
        <v>847</v>
      </c>
      <c r="B474" s="7" t="s">
        <v>2381</v>
      </c>
      <c r="C474" s="7" t="s">
        <v>2325</v>
      </c>
      <c r="D474" s="7" t="s">
        <v>2375</v>
      </c>
      <c r="E474" s="7" t="n">
        <v>58.9</v>
      </c>
      <c r="F474" s="7" t="s">
        <v>3211</v>
      </c>
    </row>
    <row r="475" customFormat="false" ht="34.5" hidden="false" customHeight="true" outlineLevel="0" collapsed="false">
      <c r="A475" s="7" t="s">
        <v>847</v>
      </c>
      <c r="B475" s="7" t="s">
        <v>2381</v>
      </c>
      <c r="C475" s="7" t="s">
        <v>2325</v>
      </c>
      <c r="D475" s="7" t="s">
        <v>2375</v>
      </c>
      <c r="E475" s="7" t="n">
        <v>58.9</v>
      </c>
      <c r="F475" s="7" t="s">
        <v>3212</v>
      </c>
    </row>
    <row r="476" customFormat="false" ht="135.75" hidden="false" customHeight="true" outlineLevel="0" collapsed="false">
      <c r="A476" s="7" t="s">
        <v>847</v>
      </c>
      <c r="B476" s="7" t="s">
        <v>3213</v>
      </c>
      <c r="C476" s="7" t="s">
        <v>2532</v>
      </c>
      <c r="D476" s="7" t="s">
        <v>2375</v>
      </c>
      <c r="E476" s="7" t="n">
        <v>55.3</v>
      </c>
      <c r="F476" s="7" t="s">
        <v>3214</v>
      </c>
    </row>
    <row r="477" customFormat="false" ht="34.5" hidden="false" customHeight="true" outlineLevel="0" collapsed="false">
      <c r="A477" s="7" t="s">
        <v>847</v>
      </c>
      <c r="B477" s="7" t="s">
        <v>2572</v>
      </c>
      <c r="C477" s="7" t="s">
        <v>2287</v>
      </c>
      <c r="D477" s="7" t="s">
        <v>2375</v>
      </c>
      <c r="E477" s="7" t="n">
        <v>25.2</v>
      </c>
      <c r="F477" s="7" t="s">
        <v>3215</v>
      </c>
    </row>
    <row r="478" customFormat="false" ht="168.75" hidden="false" customHeight="true" outlineLevel="0" collapsed="false">
      <c r="A478" s="7" t="s">
        <v>847</v>
      </c>
      <c r="B478" s="7" t="s">
        <v>2299</v>
      </c>
      <c r="C478" s="7" t="s">
        <v>2300</v>
      </c>
      <c r="D478" s="7" t="s">
        <v>2375</v>
      </c>
      <c r="E478" s="7" t="n">
        <v>54.6</v>
      </c>
      <c r="F478" s="7" t="s">
        <v>3216</v>
      </c>
    </row>
    <row r="479" customFormat="false" ht="34.5" hidden="false" customHeight="true" outlineLevel="0" collapsed="false">
      <c r="A479" s="7" t="s">
        <v>847</v>
      </c>
      <c r="B479" s="7" t="s">
        <v>2299</v>
      </c>
      <c r="C479" s="7" t="s">
        <v>2300</v>
      </c>
      <c r="D479" s="7" t="s">
        <v>2375</v>
      </c>
      <c r="E479" s="7" t="n">
        <v>54.8</v>
      </c>
      <c r="F479" s="7" t="s">
        <v>3217</v>
      </c>
    </row>
    <row r="480" customFormat="false" ht="34.5" hidden="false" customHeight="true" outlineLevel="0" collapsed="false">
      <c r="A480" s="7" t="s">
        <v>3218</v>
      </c>
      <c r="B480" s="7" t="s">
        <v>2547</v>
      </c>
      <c r="C480" s="7" t="s">
        <v>2548</v>
      </c>
      <c r="D480" s="7" t="s">
        <v>2375</v>
      </c>
      <c r="E480" s="7" t="n">
        <v>51</v>
      </c>
      <c r="F480" s="7" t="s">
        <v>3219</v>
      </c>
    </row>
    <row r="481" customFormat="false" ht="34.5" hidden="false" customHeight="true" outlineLevel="0" collapsed="false">
      <c r="A481" s="7" t="s">
        <v>3220</v>
      </c>
      <c r="B481" s="7" t="s">
        <v>2324</v>
      </c>
      <c r="C481" s="7" t="s">
        <v>3207</v>
      </c>
      <c r="D481" s="7" t="s">
        <v>2375</v>
      </c>
      <c r="E481" s="7" t="n">
        <v>51.7</v>
      </c>
      <c r="F481" s="7" t="s">
        <v>3221</v>
      </c>
    </row>
    <row r="482" customFormat="false" ht="34.5" hidden="false" customHeight="true" outlineLevel="0" collapsed="false">
      <c r="A482" s="7" t="s">
        <v>3222</v>
      </c>
      <c r="B482" s="7" t="s">
        <v>2385</v>
      </c>
      <c r="C482" s="7" t="s">
        <v>2386</v>
      </c>
      <c r="D482" s="7" t="s">
        <v>2375</v>
      </c>
      <c r="E482" s="7" t="n">
        <v>57.4</v>
      </c>
      <c r="F482" s="7" t="s">
        <v>3223</v>
      </c>
    </row>
    <row r="483" customFormat="false" ht="34.5" hidden="false" customHeight="true" outlineLevel="0" collapsed="false">
      <c r="A483" s="7" t="s">
        <v>3224</v>
      </c>
      <c r="B483" s="7" t="s">
        <v>2862</v>
      </c>
      <c r="C483" s="7" t="s">
        <v>2329</v>
      </c>
      <c r="D483" s="7" t="s">
        <v>2375</v>
      </c>
      <c r="E483" s="7" t="n">
        <v>65</v>
      </c>
      <c r="F483" s="7" t="s">
        <v>3225</v>
      </c>
    </row>
    <row r="484" customFormat="false" ht="34.5" hidden="false" customHeight="true" outlineLevel="0" collapsed="false">
      <c r="A484" s="7" t="s">
        <v>3224</v>
      </c>
      <c r="B484" s="7" t="s">
        <v>2731</v>
      </c>
      <c r="C484" s="7" t="s">
        <v>2329</v>
      </c>
      <c r="D484" s="7" t="s">
        <v>2375</v>
      </c>
      <c r="E484" s="7" t="n">
        <v>68.6</v>
      </c>
      <c r="F484" s="7" t="s">
        <v>3226</v>
      </c>
    </row>
    <row r="485" customFormat="false" ht="34.5" hidden="false" customHeight="true" outlineLevel="0" collapsed="false">
      <c r="A485" s="7" t="s">
        <v>3224</v>
      </c>
      <c r="B485" s="7" t="s">
        <v>2862</v>
      </c>
      <c r="C485" s="7" t="s">
        <v>2329</v>
      </c>
      <c r="D485" s="7" t="s">
        <v>2375</v>
      </c>
      <c r="E485" s="7" t="n">
        <v>64.7</v>
      </c>
      <c r="F485" s="7" t="s">
        <v>3227</v>
      </c>
    </row>
    <row r="486" customFormat="false" ht="34.5" hidden="false" customHeight="true" outlineLevel="0" collapsed="false">
      <c r="A486" s="7" t="s">
        <v>3228</v>
      </c>
      <c r="B486" s="7" t="s">
        <v>2299</v>
      </c>
      <c r="C486" s="7" t="s">
        <v>2300</v>
      </c>
      <c r="D486" s="7" t="s">
        <v>2375</v>
      </c>
      <c r="E486" s="7" t="n">
        <v>54.8</v>
      </c>
      <c r="F486" s="7" t="s">
        <v>3229</v>
      </c>
    </row>
    <row r="487" customFormat="false" ht="45.75" hidden="false" customHeight="true" outlineLevel="0" collapsed="false">
      <c r="A487" s="7" t="s">
        <v>3228</v>
      </c>
      <c r="B487" s="7" t="s">
        <v>2572</v>
      </c>
      <c r="C487" s="7" t="s">
        <v>2287</v>
      </c>
      <c r="D487" s="7" t="s">
        <v>2375</v>
      </c>
      <c r="E487" s="7" t="n">
        <v>25.3</v>
      </c>
      <c r="F487" s="7" t="s">
        <v>3230</v>
      </c>
    </row>
    <row r="488" customFormat="false" ht="34.5" hidden="false" customHeight="true" outlineLevel="0" collapsed="false">
      <c r="A488" s="7" t="s">
        <v>3228</v>
      </c>
      <c r="B488" s="7" t="s">
        <v>2775</v>
      </c>
      <c r="C488" s="7" t="s">
        <v>2306</v>
      </c>
      <c r="D488" s="7" t="s">
        <v>2375</v>
      </c>
      <c r="E488" s="7" t="n">
        <v>36.6</v>
      </c>
      <c r="F488" s="7" t="s">
        <v>3231</v>
      </c>
    </row>
    <row r="489" customFormat="false" ht="34.5" hidden="false" customHeight="true" outlineLevel="0" collapsed="false">
      <c r="A489" s="7" t="s">
        <v>3228</v>
      </c>
      <c r="B489" s="7" t="s">
        <v>2324</v>
      </c>
      <c r="C489" s="7" t="s">
        <v>3232</v>
      </c>
      <c r="D489" s="7" t="s">
        <v>2375</v>
      </c>
      <c r="E489" s="7" t="n">
        <v>54.4</v>
      </c>
      <c r="F489" s="7" t="s">
        <v>3233</v>
      </c>
    </row>
    <row r="490" customFormat="false" ht="34.5" hidden="false" customHeight="true" outlineLevel="0" collapsed="false">
      <c r="A490" s="7" t="s">
        <v>3234</v>
      </c>
      <c r="B490" s="7" t="s">
        <v>2750</v>
      </c>
      <c r="C490" s="7" t="s">
        <v>2291</v>
      </c>
      <c r="D490" s="7" t="s">
        <v>2375</v>
      </c>
      <c r="E490" s="7" t="n">
        <v>61.6</v>
      </c>
      <c r="F490" s="7" t="s">
        <v>3235</v>
      </c>
    </row>
    <row r="491" customFormat="false" ht="34.5" hidden="false" customHeight="true" outlineLevel="0" collapsed="false">
      <c r="A491" s="7" t="s">
        <v>3234</v>
      </c>
      <c r="B491" s="7" t="s">
        <v>2381</v>
      </c>
      <c r="C491" s="7" t="s">
        <v>2325</v>
      </c>
      <c r="D491" s="7" t="s">
        <v>2375</v>
      </c>
      <c r="E491" s="7" t="n">
        <v>58.9</v>
      </c>
      <c r="F491" s="7" t="s">
        <v>3236</v>
      </c>
    </row>
    <row r="492" customFormat="false" ht="34.5" hidden="false" customHeight="true" outlineLevel="0" collapsed="false">
      <c r="A492" s="7" t="s">
        <v>3237</v>
      </c>
      <c r="B492" s="7" t="s">
        <v>2299</v>
      </c>
      <c r="C492" s="7" t="s">
        <v>2300</v>
      </c>
      <c r="D492" s="7" t="s">
        <v>2375</v>
      </c>
      <c r="E492" s="7" t="n">
        <v>54.8</v>
      </c>
      <c r="F492" s="7" t="s">
        <v>3238</v>
      </c>
    </row>
    <row r="493" customFormat="false" ht="34.5" hidden="false" customHeight="true" outlineLevel="0" collapsed="false">
      <c r="A493" s="7" t="s">
        <v>3239</v>
      </c>
      <c r="B493" s="7" t="s">
        <v>2968</v>
      </c>
      <c r="C493" s="7" t="s">
        <v>2854</v>
      </c>
      <c r="D493" s="7" t="s">
        <v>2375</v>
      </c>
      <c r="E493" s="7" t="n">
        <v>62</v>
      </c>
      <c r="F493" s="7" t="s">
        <v>3240</v>
      </c>
    </row>
    <row r="494" customFormat="false" ht="34.5" hidden="false" customHeight="true" outlineLevel="0" collapsed="false">
      <c r="A494" s="7" t="s">
        <v>3239</v>
      </c>
      <c r="B494" s="7" t="s">
        <v>3241</v>
      </c>
      <c r="C494" s="7" t="s">
        <v>3242</v>
      </c>
      <c r="D494" s="7" t="s">
        <v>2375</v>
      </c>
      <c r="E494" s="7" t="n">
        <v>60.3</v>
      </c>
      <c r="F494" s="7" t="s">
        <v>3243</v>
      </c>
    </row>
    <row r="495" customFormat="false" ht="34.5" hidden="false" customHeight="true" outlineLevel="0" collapsed="false">
      <c r="A495" s="7" t="s">
        <v>3239</v>
      </c>
      <c r="B495" s="7" t="s">
        <v>2385</v>
      </c>
      <c r="C495" s="7" t="s">
        <v>2386</v>
      </c>
      <c r="D495" s="7" t="s">
        <v>2375</v>
      </c>
      <c r="E495" s="7" t="n">
        <v>57.4</v>
      </c>
      <c r="F495" s="7" t="s">
        <v>3244</v>
      </c>
    </row>
    <row r="496" customFormat="false" ht="34.5" hidden="false" customHeight="true" outlineLevel="0" collapsed="false">
      <c r="A496" s="7" t="s">
        <v>3239</v>
      </c>
      <c r="B496" s="7" t="s">
        <v>2775</v>
      </c>
      <c r="C496" s="7" t="s">
        <v>2306</v>
      </c>
      <c r="D496" s="7" t="s">
        <v>2375</v>
      </c>
      <c r="E496" s="7" t="n">
        <v>36.6</v>
      </c>
      <c r="F496" s="7" t="s">
        <v>3245</v>
      </c>
    </row>
    <row r="497" customFormat="false" ht="34.5" hidden="false" customHeight="true" outlineLevel="0" collapsed="false">
      <c r="A497" s="7" t="s">
        <v>3246</v>
      </c>
      <c r="B497" s="7" t="s">
        <v>2531</v>
      </c>
      <c r="C497" s="7" t="s">
        <v>2532</v>
      </c>
      <c r="D497" s="7" t="s">
        <v>2375</v>
      </c>
      <c r="E497" s="7" t="n">
        <v>46.6</v>
      </c>
      <c r="F497" s="7" t="s">
        <v>3247</v>
      </c>
    </row>
    <row r="498" customFormat="false" ht="34.5" hidden="false" customHeight="true" outlineLevel="0" collapsed="false">
      <c r="A498" s="7" t="s">
        <v>3246</v>
      </c>
      <c r="B498" s="7" t="s">
        <v>2731</v>
      </c>
      <c r="C498" s="7" t="s">
        <v>2329</v>
      </c>
      <c r="D498" s="7" t="s">
        <v>2375</v>
      </c>
      <c r="E498" s="7" t="n">
        <v>68.6</v>
      </c>
      <c r="F498" s="7" t="s">
        <v>3248</v>
      </c>
    </row>
    <row r="499" customFormat="false" ht="34.5" hidden="false" customHeight="true" outlineLevel="0" collapsed="false">
      <c r="A499" s="7" t="s">
        <v>3249</v>
      </c>
      <c r="B499" s="7" t="s">
        <v>634</v>
      </c>
      <c r="C499" s="7" t="s">
        <v>2860</v>
      </c>
      <c r="D499" s="7" t="s">
        <v>2375</v>
      </c>
      <c r="E499" s="7" t="n">
        <v>25.2</v>
      </c>
      <c r="F499" s="7" t="s">
        <v>3250</v>
      </c>
    </row>
    <row r="500" customFormat="false" ht="34.5" hidden="false" customHeight="true" outlineLevel="0" collapsed="false">
      <c r="A500" s="7" t="s">
        <v>3249</v>
      </c>
      <c r="B500" s="7" t="s">
        <v>2750</v>
      </c>
      <c r="C500" s="7" t="s">
        <v>2291</v>
      </c>
      <c r="D500" s="7" t="s">
        <v>2375</v>
      </c>
      <c r="E500" s="7" t="n">
        <v>61.6</v>
      </c>
      <c r="F500" s="7" t="s">
        <v>3251</v>
      </c>
    </row>
    <row r="501" customFormat="false" ht="34.5" hidden="false" customHeight="true" outlineLevel="0" collapsed="false">
      <c r="A501" s="7" t="s">
        <v>3252</v>
      </c>
      <c r="B501" s="7" t="s">
        <v>2385</v>
      </c>
      <c r="C501" s="7" t="s">
        <v>2386</v>
      </c>
      <c r="D501" s="7" t="s">
        <v>2375</v>
      </c>
      <c r="E501" s="7" t="n">
        <v>57.4</v>
      </c>
      <c r="F501" s="7" t="s">
        <v>3253</v>
      </c>
    </row>
    <row r="502" customFormat="false" ht="34.5" hidden="false" customHeight="true" outlineLevel="0" collapsed="false">
      <c r="A502" s="7" t="s">
        <v>3254</v>
      </c>
      <c r="B502" s="7" t="s">
        <v>2731</v>
      </c>
      <c r="C502" s="7" t="s">
        <v>2329</v>
      </c>
      <c r="D502" s="7" t="s">
        <v>2375</v>
      </c>
      <c r="E502" s="7" t="n">
        <v>68.6</v>
      </c>
      <c r="F502" s="7" t="s">
        <v>3255</v>
      </c>
    </row>
    <row r="503" customFormat="false" ht="34.5" hidden="false" customHeight="true" outlineLevel="0" collapsed="false">
      <c r="A503" s="7" t="s">
        <v>3254</v>
      </c>
      <c r="B503" s="7" t="s">
        <v>2385</v>
      </c>
      <c r="C503" s="7" t="s">
        <v>2386</v>
      </c>
      <c r="D503" s="7" t="s">
        <v>2375</v>
      </c>
      <c r="E503" s="7" t="n">
        <v>57.4</v>
      </c>
      <c r="F503" s="7" t="s">
        <v>3256</v>
      </c>
    </row>
    <row r="504" customFormat="false" ht="45.75" hidden="false" customHeight="true" outlineLevel="0" collapsed="false">
      <c r="A504" s="7" t="s">
        <v>3257</v>
      </c>
      <c r="B504" s="7" t="s">
        <v>3241</v>
      </c>
      <c r="C504" s="7" t="s">
        <v>3242</v>
      </c>
      <c r="D504" s="7" t="s">
        <v>2375</v>
      </c>
      <c r="E504" s="7" t="n">
        <v>60.3</v>
      </c>
      <c r="F504" s="7" t="s">
        <v>3258</v>
      </c>
    </row>
    <row r="505" customFormat="false" ht="45.75" hidden="false" customHeight="true" outlineLevel="0" collapsed="false">
      <c r="A505" s="7" t="s">
        <v>3259</v>
      </c>
      <c r="B505" s="7" t="s">
        <v>2531</v>
      </c>
      <c r="C505" s="7" t="s">
        <v>2532</v>
      </c>
      <c r="D505" s="7" t="s">
        <v>2375</v>
      </c>
      <c r="E505" s="7" t="n">
        <v>46.6</v>
      </c>
      <c r="F505" s="7" t="s">
        <v>3260</v>
      </c>
    </row>
    <row r="506" customFormat="false" ht="34.5" hidden="false" customHeight="true" outlineLevel="0" collapsed="false">
      <c r="A506" s="7" t="s">
        <v>3261</v>
      </c>
      <c r="B506" s="7" t="s">
        <v>2385</v>
      </c>
      <c r="C506" s="7" t="s">
        <v>2386</v>
      </c>
      <c r="D506" s="7" t="s">
        <v>2375</v>
      </c>
      <c r="E506" s="7" t="n">
        <v>57.4</v>
      </c>
      <c r="F506" s="7" t="s">
        <v>3262</v>
      </c>
    </row>
    <row r="507" customFormat="false" ht="34.5" hidden="false" customHeight="true" outlineLevel="0" collapsed="false">
      <c r="A507" s="7" t="s">
        <v>807</v>
      </c>
      <c r="B507" s="7" t="s">
        <v>2423</v>
      </c>
      <c r="C507" s="7" t="s">
        <v>3263</v>
      </c>
      <c r="D507" s="7" t="s">
        <v>2375</v>
      </c>
      <c r="E507" s="7" t="n">
        <v>32.7</v>
      </c>
      <c r="F507" s="7" t="s">
        <v>3264</v>
      </c>
    </row>
    <row r="508" customFormat="false" ht="34.5" hidden="false" customHeight="true" outlineLevel="0" collapsed="false">
      <c r="A508" s="7" t="s">
        <v>3265</v>
      </c>
      <c r="B508" s="7" t="s">
        <v>2495</v>
      </c>
      <c r="C508" s="7" t="s">
        <v>2283</v>
      </c>
      <c r="D508" s="7" t="s">
        <v>2375</v>
      </c>
      <c r="E508" s="7" t="n">
        <v>56.4</v>
      </c>
      <c r="F508" s="7" t="s">
        <v>3266</v>
      </c>
    </row>
    <row r="509" customFormat="false" ht="45.75" hidden="false" customHeight="true" outlineLevel="0" collapsed="false">
      <c r="A509" s="7" t="s">
        <v>3267</v>
      </c>
      <c r="B509" s="7" t="s">
        <v>2531</v>
      </c>
      <c r="C509" s="7" t="s">
        <v>2532</v>
      </c>
      <c r="D509" s="7" t="s">
        <v>2375</v>
      </c>
      <c r="E509" s="7" t="n">
        <v>46.6</v>
      </c>
      <c r="F509" s="7" t="s">
        <v>3268</v>
      </c>
    </row>
    <row r="510" customFormat="false" ht="34.5" hidden="false" customHeight="true" outlineLevel="0" collapsed="false">
      <c r="A510" s="7" t="s">
        <v>3269</v>
      </c>
      <c r="B510" s="7" t="s">
        <v>634</v>
      </c>
      <c r="C510" s="7" t="s">
        <v>2860</v>
      </c>
      <c r="D510" s="7" t="s">
        <v>2375</v>
      </c>
      <c r="E510" s="7" t="n">
        <v>25.2</v>
      </c>
      <c r="F510" s="7" t="s">
        <v>3270</v>
      </c>
    </row>
    <row r="511" customFormat="false" ht="45.75" hidden="false" customHeight="true" outlineLevel="0" collapsed="false">
      <c r="A511" s="7" t="s">
        <v>3271</v>
      </c>
      <c r="B511" s="7" t="s">
        <v>2385</v>
      </c>
      <c r="C511" s="7" t="s">
        <v>2386</v>
      </c>
      <c r="D511" s="7" t="s">
        <v>2375</v>
      </c>
      <c r="E511" s="7" t="n">
        <v>57.4</v>
      </c>
      <c r="F511" s="7" t="s">
        <v>3272</v>
      </c>
    </row>
    <row r="512" customFormat="false" ht="34.5" hidden="false" customHeight="true" outlineLevel="0" collapsed="false">
      <c r="A512" s="7" t="s">
        <v>3273</v>
      </c>
      <c r="B512" s="7" t="s">
        <v>2547</v>
      </c>
      <c r="C512" s="7" t="s">
        <v>2548</v>
      </c>
      <c r="D512" s="7" t="s">
        <v>2375</v>
      </c>
      <c r="E512" s="7" t="n">
        <v>51</v>
      </c>
      <c r="F512" s="7" t="s">
        <v>3274</v>
      </c>
    </row>
    <row r="513" customFormat="false" ht="45.75" hidden="false" customHeight="true" outlineLevel="0" collapsed="false">
      <c r="A513" s="7" t="s">
        <v>3275</v>
      </c>
      <c r="B513" s="7" t="s">
        <v>2385</v>
      </c>
      <c r="C513" s="7" t="s">
        <v>2386</v>
      </c>
      <c r="D513" s="7" t="s">
        <v>2375</v>
      </c>
      <c r="E513" s="7" t="n">
        <v>57.4</v>
      </c>
      <c r="F513" s="7" t="s">
        <v>3276</v>
      </c>
    </row>
    <row r="514" customFormat="false" ht="34.5" hidden="false" customHeight="true" outlineLevel="0" collapsed="false">
      <c r="A514" s="7" t="s">
        <v>3277</v>
      </c>
      <c r="B514" s="7" t="s">
        <v>2547</v>
      </c>
      <c r="C514" s="7" t="s">
        <v>2548</v>
      </c>
      <c r="D514" s="7" t="s">
        <v>2375</v>
      </c>
      <c r="E514" s="7" t="n">
        <v>51</v>
      </c>
      <c r="F514" s="7" t="s">
        <v>3278</v>
      </c>
    </row>
    <row r="515" customFormat="false" ht="45.75" hidden="false" customHeight="true" outlineLevel="0" collapsed="false">
      <c r="A515" s="7" t="s">
        <v>3277</v>
      </c>
      <c r="B515" s="7" t="s">
        <v>2313</v>
      </c>
      <c r="C515" s="7" t="s">
        <v>2314</v>
      </c>
      <c r="D515" s="7" t="s">
        <v>2375</v>
      </c>
      <c r="E515" s="7" t="n">
        <v>44.9</v>
      </c>
      <c r="F515" s="7" t="s">
        <v>3279</v>
      </c>
    </row>
    <row r="516" customFormat="false" ht="34.5" hidden="false" customHeight="true" outlineLevel="0" collapsed="false">
      <c r="A516" s="7" t="s">
        <v>3280</v>
      </c>
      <c r="B516" s="7" t="s">
        <v>2547</v>
      </c>
      <c r="C516" s="7" t="s">
        <v>2548</v>
      </c>
      <c r="D516" s="7" t="s">
        <v>2375</v>
      </c>
      <c r="E516" s="7" t="n">
        <v>51</v>
      </c>
      <c r="F516" s="7" t="s">
        <v>3281</v>
      </c>
    </row>
    <row r="517" customFormat="false" ht="34.5" hidden="false" customHeight="true" outlineLevel="0" collapsed="false">
      <c r="A517" s="7" t="s">
        <v>3282</v>
      </c>
      <c r="B517" s="7" t="s">
        <v>2381</v>
      </c>
      <c r="C517" s="7" t="s">
        <v>2325</v>
      </c>
      <c r="D517" s="7" t="s">
        <v>2375</v>
      </c>
      <c r="E517" s="7" t="n">
        <v>58.9</v>
      </c>
      <c r="F517" s="7" t="s">
        <v>3283</v>
      </c>
    </row>
    <row r="518" customFormat="false" ht="45.75" hidden="false" customHeight="true" outlineLevel="0" collapsed="false">
      <c r="A518" s="7" t="s">
        <v>3284</v>
      </c>
      <c r="B518" s="7" t="s">
        <v>2313</v>
      </c>
      <c r="C518" s="7" t="s">
        <v>2314</v>
      </c>
      <c r="D518" s="7" t="s">
        <v>2375</v>
      </c>
      <c r="E518" s="7" t="n">
        <v>44.9</v>
      </c>
      <c r="F518" s="7" t="s">
        <v>3285</v>
      </c>
    </row>
    <row r="519" customFormat="false" ht="113.25" hidden="false" customHeight="true" outlineLevel="0" collapsed="false">
      <c r="A519" s="7" t="s">
        <v>777</v>
      </c>
      <c r="B519" s="7" t="s">
        <v>2022</v>
      </c>
      <c r="C519" s="7" t="s">
        <v>2287</v>
      </c>
      <c r="D519" s="7" t="s">
        <v>2375</v>
      </c>
      <c r="E519" s="7" t="n">
        <v>22.5</v>
      </c>
      <c r="F519" s="7" t="s">
        <v>3286</v>
      </c>
    </row>
    <row r="520" customFormat="false" ht="34.5" hidden="false" customHeight="true" outlineLevel="0" collapsed="false">
      <c r="A520" s="7" t="s">
        <v>3287</v>
      </c>
      <c r="B520" s="7" t="s">
        <v>2348</v>
      </c>
      <c r="C520" s="7" t="s">
        <v>2283</v>
      </c>
      <c r="D520" s="7" t="s">
        <v>2375</v>
      </c>
      <c r="E520" s="7" t="n">
        <v>67.4</v>
      </c>
      <c r="F520" s="7" t="s">
        <v>3288</v>
      </c>
    </row>
    <row r="521" customFormat="false" ht="34.5" hidden="false" customHeight="true" outlineLevel="0" collapsed="false">
      <c r="A521" s="7" t="s">
        <v>3289</v>
      </c>
      <c r="B521" s="7" t="s">
        <v>2321</v>
      </c>
      <c r="C521" s="7" t="s">
        <v>2314</v>
      </c>
      <c r="D521" s="7" t="s">
        <v>2375</v>
      </c>
      <c r="E521" s="7" t="n">
        <v>43.2</v>
      </c>
      <c r="F521" s="7" t="s">
        <v>3290</v>
      </c>
    </row>
    <row r="522" customFormat="false" ht="34.5" hidden="false" customHeight="true" outlineLevel="0" collapsed="false">
      <c r="A522" s="7" t="s">
        <v>3291</v>
      </c>
      <c r="B522" s="7" t="s">
        <v>2321</v>
      </c>
      <c r="C522" s="7" t="s">
        <v>2314</v>
      </c>
      <c r="D522" s="7" t="s">
        <v>2375</v>
      </c>
      <c r="E522" s="7" t="n">
        <v>43.2</v>
      </c>
      <c r="F522" s="7" t="s">
        <v>3292</v>
      </c>
    </row>
    <row r="523" customFormat="false" ht="34.5" hidden="false" customHeight="true" outlineLevel="0" collapsed="false">
      <c r="A523" s="7" t="s">
        <v>3293</v>
      </c>
      <c r="B523" s="7" t="s">
        <v>310</v>
      </c>
      <c r="C523" s="7" t="s">
        <v>2283</v>
      </c>
      <c r="D523" s="7" t="s">
        <v>2296</v>
      </c>
      <c r="E523" s="7" t="n">
        <v>17.5</v>
      </c>
      <c r="F523" s="7" t="s">
        <v>3294</v>
      </c>
    </row>
    <row r="525" customFormat="false" ht="15" hidden="false" customHeight="true" outlineLevel="0" collapsed="false">
      <c r="A525" s="8" t="s">
        <v>3295</v>
      </c>
    </row>
    <row r="526" customFormat="false" ht="15" hidden="false" customHeight="true" outlineLevel="0" collapsed="false">
      <c r="A526" s="11" t="s">
        <v>3296</v>
      </c>
    </row>
  </sheetData>
  <autoFilter ref="A1:F5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22"/>
    <col collapsed="false" customWidth="true" hidden="false" outlineLevel="0" max="3" min="3" style="1" width="26"/>
    <col collapsed="false" customWidth="true" hidden="false" outlineLevel="0" max="4" min="4" style="1" width="40"/>
    <col collapsed="false" customWidth="true" hidden="false" outlineLevel="0" max="5" min="5" style="1" width="38"/>
    <col collapsed="false" customWidth="true" hidden="false" outlineLevel="0" max="6" min="6" style="1" width="44"/>
    <col collapsed="false" customWidth="true" hidden="false" outlineLevel="0" max="7" min="7" style="1" width="60"/>
  </cols>
  <sheetData>
    <row r="1" customFormat="false" ht="15" hidden="false" customHeight="true" outlineLevel="0" collapsed="false">
      <c r="A1" s="6" t="s">
        <v>3297</v>
      </c>
      <c r="B1" s="6" t="s">
        <v>3298</v>
      </c>
      <c r="C1" s="6" t="s">
        <v>3299</v>
      </c>
      <c r="D1" s="6" t="s">
        <v>3300</v>
      </c>
      <c r="E1" s="6" t="s">
        <v>3301</v>
      </c>
      <c r="F1" s="6" t="s">
        <v>3302</v>
      </c>
      <c r="G1" s="6" t="s">
        <v>3303</v>
      </c>
    </row>
    <row r="2" customFormat="false" ht="57" hidden="false" customHeight="true" outlineLevel="0" collapsed="false">
      <c r="A2" s="7" t="s">
        <v>3304</v>
      </c>
      <c r="B2" s="7" t="s">
        <v>3305</v>
      </c>
      <c r="C2" s="7" t="s">
        <v>3306</v>
      </c>
      <c r="D2" s="7" t="s">
        <v>3307</v>
      </c>
      <c r="E2" s="7" t="s">
        <v>3308</v>
      </c>
      <c r="F2" s="7" t="s">
        <v>3309</v>
      </c>
      <c r="G2" s="7" t="s">
        <v>3310</v>
      </c>
    </row>
    <row r="3" customFormat="false" ht="90.75" hidden="false" customHeight="true" outlineLevel="0" collapsed="false">
      <c r="A3" s="7" t="s">
        <v>3311</v>
      </c>
      <c r="B3" s="7" t="s">
        <v>3312</v>
      </c>
      <c r="C3" s="7" t="s">
        <v>3313</v>
      </c>
      <c r="D3" s="7" t="s">
        <v>3314</v>
      </c>
      <c r="E3" s="7" t="s">
        <v>3315</v>
      </c>
      <c r="F3" s="7" t="s">
        <v>3316</v>
      </c>
      <c r="G3" s="7" t="s">
        <v>3317</v>
      </c>
    </row>
    <row r="4" customFormat="false" ht="102" hidden="false" customHeight="true" outlineLevel="0" collapsed="false">
      <c r="A4" s="7" t="s">
        <v>3318</v>
      </c>
      <c r="B4" s="7" t="s">
        <v>3319</v>
      </c>
      <c r="C4" s="7" t="s">
        <v>3320</v>
      </c>
      <c r="D4" s="7" t="s">
        <v>3321</v>
      </c>
      <c r="E4" s="7" t="s">
        <v>3322</v>
      </c>
      <c r="F4" s="7" t="s">
        <v>3323</v>
      </c>
      <c r="G4" s="7" t="s">
        <v>3324</v>
      </c>
    </row>
    <row r="5" customFormat="false" ht="23.25" hidden="false" customHeight="true" outlineLevel="0" collapsed="false">
      <c r="A5" s="7" t="s">
        <v>3325</v>
      </c>
      <c r="B5" s="7" t="s">
        <v>3326</v>
      </c>
      <c r="C5" s="7" t="s">
        <v>3320</v>
      </c>
      <c r="D5" s="7" t="s">
        <v>3327</v>
      </c>
      <c r="E5" s="7" t="s">
        <v>3328</v>
      </c>
      <c r="F5" s="7" t="s">
        <v>3329</v>
      </c>
      <c r="G5" s="7" t="s">
        <v>3330</v>
      </c>
    </row>
    <row r="6" customFormat="false" ht="15" hidden="false" customHeight="true" outlineLevel="0" collapsed="false">
      <c r="A6" s="7" t="s">
        <v>3331</v>
      </c>
      <c r="B6" s="7" t="s">
        <v>3332</v>
      </c>
      <c r="C6" s="7" t="s">
        <v>3333</v>
      </c>
      <c r="D6" s="7" t="s">
        <v>3334</v>
      </c>
      <c r="E6" s="7" t="s">
        <v>3335</v>
      </c>
      <c r="F6" s="7"/>
      <c r="G6" s="7" t="s">
        <v>3336</v>
      </c>
    </row>
    <row r="7" customFormat="false" ht="23.25" hidden="false" customHeight="true" outlineLevel="0" collapsed="false">
      <c r="A7" s="7" t="s">
        <v>3337</v>
      </c>
      <c r="B7" s="7" t="s">
        <v>3338</v>
      </c>
      <c r="C7" s="7" t="s">
        <v>3320</v>
      </c>
      <c r="D7" s="7" t="s">
        <v>3339</v>
      </c>
      <c r="E7" s="7"/>
      <c r="F7" s="7" t="s">
        <v>3340</v>
      </c>
      <c r="G7" s="7" t="s">
        <v>3341</v>
      </c>
    </row>
    <row r="8" customFormat="false" ht="57" hidden="false" customHeight="true" outlineLevel="0" collapsed="false">
      <c r="A8" s="7" t="s">
        <v>3342</v>
      </c>
      <c r="B8" s="7" t="s">
        <v>728</v>
      </c>
      <c r="C8" s="7" t="s">
        <v>3343</v>
      </c>
      <c r="D8" s="7" t="s">
        <v>3344</v>
      </c>
      <c r="E8" s="7" t="s">
        <v>3345</v>
      </c>
      <c r="F8" s="7" t="s">
        <v>3346</v>
      </c>
      <c r="G8" s="7" t="s">
        <v>3347</v>
      </c>
    </row>
    <row r="9" customFormat="false" ht="23.25" hidden="false" customHeight="true" outlineLevel="0" collapsed="false">
      <c r="A9" s="7" t="s">
        <v>3348</v>
      </c>
      <c r="B9" s="7" t="s">
        <v>3349</v>
      </c>
      <c r="C9" s="7" t="s">
        <v>3333</v>
      </c>
      <c r="D9" s="7" t="s">
        <v>3350</v>
      </c>
      <c r="E9" s="7"/>
      <c r="F9" s="7" t="s">
        <v>3351</v>
      </c>
      <c r="G9" s="7" t="s">
        <v>3352</v>
      </c>
    </row>
    <row r="10" customFormat="false" ht="34.5" hidden="false" customHeight="true" outlineLevel="0" collapsed="false">
      <c r="A10" s="7" t="s">
        <v>3353</v>
      </c>
      <c r="B10" s="7" t="s">
        <v>3354</v>
      </c>
      <c r="C10" s="7" t="s">
        <v>3355</v>
      </c>
      <c r="D10" s="7" t="s">
        <v>3356</v>
      </c>
      <c r="E10" s="7" t="s">
        <v>3357</v>
      </c>
      <c r="F10" s="7" t="s">
        <v>3358</v>
      </c>
      <c r="G10" s="7" t="s">
        <v>3359</v>
      </c>
    </row>
    <row r="11" customFormat="false" ht="34.5" hidden="false" customHeight="true" outlineLevel="0" collapsed="false">
      <c r="A11" s="7" t="s">
        <v>3360</v>
      </c>
      <c r="B11" s="7" t="s">
        <v>3361</v>
      </c>
      <c r="C11" s="7" t="s">
        <v>3362</v>
      </c>
      <c r="D11" s="7" t="s">
        <v>3363</v>
      </c>
      <c r="E11" s="7" t="s">
        <v>3364</v>
      </c>
      <c r="F11" s="7" t="s">
        <v>3365</v>
      </c>
      <c r="G11" s="7" t="s">
        <v>3366</v>
      </c>
    </row>
    <row r="12" customFormat="false" ht="23.25" hidden="false" customHeight="true" outlineLevel="0" collapsed="false">
      <c r="A12" s="7" t="s">
        <v>3367</v>
      </c>
      <c r="B12" s="7" t="s">
        <v>3361</v>
      </c>
      <c r="C12" s="7" t="s">
        <v>3333</v>
      </c>
      <c r="D12" s="7" t="s">
        <v>3368</v>
      </c>
      <c r="E12" s="7" t="s">
        <v>3369</v>
      </c>
      <c r="F12" s="7"/>
      <c r="G12" s="7" t="s">
        <v>3370</v>
      </c>
    </row>
    <row r="13" customFormat="false" ht="23.25" hidden="false" customHeight="true" outlineLevel="0" collapsed="false">
      <c r="A13" s="7" t="s">
        <v>3371</v>
      </c>
      <c r="B13" s="7" t="s">
        <v>3361</v>
      </c>
      <c r="C13" s="7" t="s">
        <v>3333</v>
      </c>
      <c r="D13" s="7" t="s">
        <v>3372</v>
      </c>
      <c r="E13" s="7" t="s">
        <v>3373</v>
      </c>
      <c r="F13" s="7"/>
      <c r="G13" s="7" t="s">
        <v>3374</v>
      </c>
    </row>
    <row r="14" customFormat="false" ht="45.75" hidden="false" customHeight="true" outlineLevel="0" collapsed="false">
      <c r="A14" s="7" t="s">
        <v>3375</v>
      </c>
      <c r="B14" s="7" t="s">
        <v>3376</v>
      </c>
      <c r="C14" s="7" t="s">
        <v>3377</v>
      </c>
      <c r="D14" s="7" t="s">
        <v>3378</v>
      </c>
      <c r="E14" s="7"/>
      <c r="F14" s="7" t="s">
        <v>3379</v>
      </c>
      <c r="G14" s="7" t="s">
        <v>3380</v>
      </c>
    </row>
    <row r="15" customFormat="false" ht="45.75" hidden="false" customHeight="true" outlineLevel="0" collapsed="false">
      <c r="A15" s="7" t="s">
        <v>3381</v>
      </c>
      <c r="B15" s="7" t="s">
        <v>3305</v>
      </c>
      <c r="C15" s="7" t="s">
        <v>3343</v>
      </c>
      <c r="D15" s="7" t="s">
        <v>3382</v>
      </c>
      <c r="E15" s="7" t="s">
        <v>3383</v>
      </c>
      <c r="F15" s="7" t="s">
        <v>3384</v>
      </c>
      <c r="G15" s="7" t="s">
        <v>3385</v>
      </c>
    </row>
    <row r="16" customFormat="false" ht="34.5" hidden="false" customHeight="true" outlineLevel="0" collapsed="false">
      <c r="A16" s="7" t="s">
        <v>3386</v>
      </c>
      <c r="B16" s="7" t="s">
        <v>3305</v>
      </c>
      <c r="C16" s="7" t="s">
        <v>3343</v>
      </c>
      <c r="D16" s="7" t="s">
        <v>3387</v>
      </c>
      <c r="E16" s="7" t="s">
        <v>3388</v>
      </c>
      <c r="F16" s="7" t="s">
        <v>3389</v>
      </c>
      <c r="G16" s="7" t="s">
        <v>3390</v>
      </c>
    </row>
    <row r="17" customFormat="false" ht="57" hidden="false" customHeight="true" outlineLevel="0" collapsed="false">
      <c r="A17" s="7" t="s">
        <v>3391</v>
      </c>
      <c r="B17" s="7" t="s">
        <v>3392</v>
      </c>
      <c r="C17" s="7" t="s">
        <v>3393</v>
      </c>
      <c r="D17" s="7" t="s">
        <v>3394</v>
      </c>
      <c r="E17" s="7" t="s">
        <v>3395</v>
      </c>
      <c r="F17" s="7" t="s">
        <v>3396</v>
      </c>
      <c r="G17" s="7" t="s">
        <v>3397</v>
      </c>
    </row>
    <row r="18" customFormat="false" ht="57" hidden="false" customHeight="true" outlineLevel="0" collapsed="false">
      <c r="A18" s="7" t="s">
        <v>3398</v>
      </c>
      <c r="B18" s="7" t="s">
        <v>330</v>
      </c>
      <c r="C18" s="7" t="s">
        <v>3399</v>
      </c>
      <c r="D18" s="7" t="s">
        <v>3400</v>
      </c>
      <c r="E18" s="7" t="s">
        <v>3401</v>
      </c>
      <c r="F18" s="7" t="s">
        <v>3402</v>
      </c>
      <c r="G18" s="7" t="s">
        <v>3403</v>
      </c>
    </row>
    <row r="19" customFormat="false" ht="45.75" hidden="false" customHeight="true" outlineLevel="0" collapsed="false">
      <c r="A19" s="7" t="s">
        <v>3404</v>
      </c>
      <c r="B19" s="7" t="s">
        <v>3405</v>
      </c>
      <c r="C19" s="7" t="s">
        <v>3406</v>
      </c>
      <c r="D19" s="7" t="s">
        <v>3407</v>
      </c>
      <c r="E19" s="7" t="s">
        <v>3408</v>
      </c>
      <c r="F19" s="7" t="s">
        <v>3409</v>
      </c>
      <c r="G19" s="7" t="s">
        <v>3410</v>
      </c>
    </row>
    <row r="20" customFormat="false" ht="15" hidden="false" customHeight="true" outlineLevel="0" collapsed="false">
      <c r="A20" s="7" t="s">
        <v>3411</v>
      </c>
      <c r="B20" s="7" t="s">
        <v>3405</v>
      </c>
      <c r="C20" s="7" t="s">
        <v>3406</v>
      </c>
      <c r="D20" s="7" t="s">
        <v>3412</v>
      </c>
      <c r="E20" s="7" t="s">
        <v>3408</v>
      </c>
      <c r="F20" s="7" t="s">
        <v>3413</v>
      </c>
      <c r="G20" s="7" t="s">
        <v>3414</v>
      </c>
    </row>
    <row r="21" customFormat="false" ht="15" hidden="false" customHeight="true" outlineLevel="0" collapsed="false">
      <c r="A21" s="7" t="s">
        <v>3415</v>
      </c>
      <c r="B21" s="7" t="s">
        <v>3405</v>
      </c>
      <c r="C21" s="7" t="s">
        <v>3416</v>
      </c>
      <c r="D21" s="7" t="s">
        <v>3417</v>
      </c>
      <c r="E21" s="7" t="s">
        <v>3418</v>
      </c>
      <c r="F21" s="7" t="s">
        <v>3419</v>
      </c>
      <c r="G21" s="7" t="s">
        <v>3420</v>
      </c>
    </row>
    <row r="22" customFormat="false" ht="15" hidden="false" customHeight="true" outlineLevel="0" collapsed="false">
      <c r="A22" s="7" t="s">
        <v>3421</v>
      </c>
      <c r="B22" s="7" t="s">
        <v>3422</v>
      </c>
      <c r="C22" s="7" t="s">
        <v>3320</v>
      </c>
      <c r="D22" s="7" t="s">
        <v>3423</v>
      </c>
      <c r="E22" s="7" t="s">
        <v>3424</v>
      </c>
      <c r="F22" s="7" t="s">
        <v>3425</v>
      </c>
      <c r="G22" s="7" t="s">
        <v>3426</v>
      </c>
    </row>
    <row r="23" customFormat="false" ht="15" hidden="false" customHeight="true" outlineLevel="0" collapsed="false">
      <c r="A23" s="7" t="s">
        <v>3427</v>
      </c>
      <c r="B23" s="7" t="s">
        <v>3428</v>
      </c>
      <c r="C23" s="7" t="s">
        <v>3320</v>
      </c>
      <c r="D23" s="7" t="s">
        <v>3429</v>
      </c>
      <c r="E23" s="7" t="s">
        <v>3430</v>
      </c>
      <c r="F23" s="7" t="s">
        <v>3431</v>
      </c>
      <c r="G23" s="7" t="s">
        <v>3432</v>
      </c>
    </row>
    <row r="24" customFormat="false" ht="15" hidden="false" customHeight="true" outlineLevel="0" collapsed="false"/>
    <row r="25" customFormat="false" ht="15" hidden="false" customHeight="true" outlineLevel="0" collapsed="false">
      <c r="A25" s="8" t="s">
        <v>3433</v>
      </c>
    </row>
    <row r="26" customFormat="false" ht="15" hidden="false" customHeight="true" outlineLevel="0" collapsed="false">
      <c r="A26" s="11" t="s">
        <v>3434</v>
      </c>
    </row>
    <row r="27" customFormat="false" ht="15" hidden="false" customHeight="true" outlineLevel="0" collapsed="false">
      <c r="A27" s="8" t="s">
        <v>3435</v>
      </c>
    </row>
    <row r="28" customFormat="false" ht="15" hidden="false" customHeight="false" outlineLevel="0" collapsed="false">
      <c r="A28" s="8" t="s">
        <v>3436</v>
      </c>
    </row>
    <row r="29" customFormat="false" ht="15" hidden="false" customHeight="false" outlineLevel="0" collapsed="false">
      <c r="A29" s="8" t="s">
        <v>3437</v>
      </c>
    </row>
  </sheetData>
  <autoFilter ref="A1:G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16"/>
    <col collapsed="false" customWidth="true" hidden="false" outlineLevel="0" max="4" min="4" style="1" width="22"/>
    <col collapsed="false" customWidth="true" hidden="false" outlineLevel="0" max="5" min="5" style="1" width="20"/>
    <col collapsed="false" customWidth="true" hidden="false" outlineLevel="0" max="6" min="6" style="1" width="14"/>
    <col collapsed="false" customWidth="true" hidden="false" outlineLevel="0" max="7" min="7" style="1" width="50"/>
    <col collapsed="false" customWidth="true" hidden="false" outlineLevel="0" max="9" min="8" style="1" width="11"/>
  </cols>
  <sheetData>
    <row r="1" customFormat="false" ht="34.5" hidden="false" customHeight="true" outlineLevel="0" collapsed="false">
      <c r="A1" s="6" t="s">
        <v>3438</v>
      </c>
      <c r="B1" s="6" t="s">
        <v>2279</v>
      </c>
      <c r="C1" s="6" t="s">
        <v>1849</v>
      </c>
      <c r="D1" s="6" t="s">
        <v>3439</v>
      </c>
      <c r="E1" s="6" t="s">
        <v>3440</v>
      </c>
      <c r="F1" s="6" t="s">
        <v>3441</v>
      </c>
      <c r="G1" s="6" t="s">
        <v>3442</v>
      </c>
      <c r="H1" s="6" t="s">
        <v>3443</v>
      </c>
      <c r="I1" s="6" t="s">
        <v>3444</v>
      </c>
    </row>
    <row r="2" customFormat="false" ht="23.25" hidden="false" customHeight="true" outlineLevel="0" collapsed="false">
      <c r="A2" s="7" t="s">
        <v>3445</v>
      </c>
      <c r="B2" s="7" t="n">
        <v>8.1</v>
      </c>
      <c r="C2" s="7" t="s">
        <v>3446</v>
      </c>
      <c r="D2" s="7" t="s">
        <v>3447</v>
      </c>
      <c r="E2" s="7" t="s">
        <v>3448</v>
      </c>
      <c r="F2" s="7" t="s">
        <v>3449</v>
      </c>
      <c r="G2" s="7" t="s">
        <v>3450</v>
      </c>
      <c r="H2" s="7" t="n">
        <v>42.63428</v>
      </c>
      <c r="I2" s="7" t="n">
        <v>-74.02888</v>
      </c>
    </row>
    <row r="3" customFormat="false" ht="15" hidden="false" customHeight="true" outlineLevel="0" collapsed="false">
      <c r="A3" s="7" t="s">
        <v>3451</v>
      </c>
      <c r="B3" s="7" t="n">
        <v>10</v>
      </c>
      <c r="C3" s="7" t="s">
        <v>3446</v>
      </c>
      <c r="D3" s="7" t="s">
        <v>3447</v>
      </c>
      <c r="E3" s="7" t="s">
        <v>3448</v>
      </c>
      <c r="F3" s="7" t="s">
        <v>3449</v>
      </c>
      <c r="G3" s="7" t="s">
        <v>3452</v>
      </c>
      <c r="H3" s="7" t="n">
        <v>42.49291</v>
      </c>
      <c r="I3" s="7" t="n">
        <v>-73.85062</v>
      </c>
    </row>
    <row r="4" customFormat="false" ht="15" hidden="false" customHeight="true" outlineLevel="0" collapsed="false">
      <c r="A4" s="7" t="s">
        <v>3453</v>
      </c>
      <c r="B4" s="7" t="n">
        <v>10.4</v>
      </c>
      <c r="C4" s="7" t="s">
        <v>3446</v>
      </c>
      <c r="D4" s="7" t="s">
        <v>3454</v>
      </c>
      <c r="E4" s="7" t="s">
        <v>3455</v>
      </c>
      <c r="F4" s="7" t="s">
        <v>3456</v>
      </c>
      <c r="G4" s="7" t="s">
        <v>3452</v>
      </c>
      <c r="H4" s="7" t="n">
        <v>42.66082</v>
      </c>
      <c r="I4" s="7" t="n">
        <v>-73.98735</v>
      </c>
    </row>
    <row r="5" customFormat="false" ht="15" hidden="false" customHeight="true" outlineLevel="0" collapsed="false">
      <c r="A5" s="7" t="s">
        <v>3457</v>
      </c>
      <c r="B5" s="7" t="n">
        <v>11.5</v>
      </c>
      <c r="C5" s="7" t="s">
        <v>3446</v>
      </c>
      <c r="D5" s="7" t="s">
        <v>3454</v>
      </c>
      <c r="E5" s="7" t="s">
        <v>3455</v>
      </c>
      <c r="F5" s="7" t="s">
        <v>3456</v>
      </c>
      <c r="G5" s="7" t="s">
        <v>3458</v>
      </c>
      <c r="H5" s="7" t="n">
        <v>42.66437</v>
      </c>
      <c r="I5" s="7" t="n">
        <v>-73.94105</v>
      </c>
    </row>
    <row r="6" customFormat="false" ht="15" hidden="false" customHeight="true" outlineLevel="0" collapsed="false">
      <c r="A6" s="7" t="s">
        <v>3459</v>
      </c>
      <c r="B6" s="7" t="n">
        <v>11.6</v>
      </c>
      <c r="C6" s="7" t="s">
        <v>3446</v>
      </c>
      <c r="D6" s="7" t="s">
        <v>3447</v>
      </c>
      <c r="E6" s="7" t="s">
        <v>3448</v>
      </c>
      <c r="F6" s="7" t="s">
        <v>3449</v>
      </c>
      <c r="G6" s="7" t="s">
        <v>3460</v>
      </c>
      <c r="H6" s="7" t="n">
        <v>42.66053</v>
      </c>
      <c r="I6" s="7" t="n">
        <v>-74.16354</v>
      </c>
    </row>
    <row r="7" customFormat="false" ht="15" hidden="false" customHeight="true" outlineLevel="0" collapsed="false">
      <c r="A7" s="7" t="s">
        <v>3461</v>
      </c>
      <c r="B7" s="7" t="n">
        <v>12.3</v>
      </c>
      <c r="C7" s="7" t="s">
        <v>3462</v>
      </c>
      <c r="D7" s="7" t="s">
        <v>3463</v>
      </c>
      <c r="E7" s="7" t="s">
        <v>3448</v>
      </c>
      <c r="F7" s="7" t="s">
        <v>3464</v>
      </c>
      <c r="G7" s="7" t="s">
        <v>3465</v>
      </c>
      <c r="H7" s="7" t="n">
        <v>42.44523</v>
      </c>
      <c r="I7" s="7" t="n">
        <v>-73.8241</v>
      </c>
    </row>
    <row r="8" customFormat="false" ht="23.25" hidden="false" customHeight="true" outlineLevel="0" collapsed="false">
      <c r="A8" s="7" t="s">
        <v>3466</v>
      </c>
      <c r="B8" s="7" t="n">
        <v>14.6</v>
      </c>
      <c r="C8" s="7" t="s">
        <v>3446</v>
      </c>
      <c r="D8" s="7" t="s">
        <v>3454</v>
      </c>
      <c r="E8" s="7" t="s">
        <v>3455</v>
      </c>
      <c r="F8" s="7" t="s">
        <v>3464</v>
      </c>
      <c r="G8" s="7" t="s">
        <v>3467</v>
      </c>
      <c r="H8" s="7" t="n">
        <v>42.72409</v>
      </c>
      <c r="I8" s="7" t="n">
        <v>-73.99007</v>
      </c>
    </row>
    <row r="9" customFormat="false" ht="15" hidden="false" customHeight="true" outlineLevel="0" collapsed="false">
      <c r="A9" s="7" t="s">
        <v>3468</v>
      </c>
      <c r="B9" s="7" t="n">
        <v>14.7</v>
      </c>
      <c r="C9" s="7" t="s">
        <v>3446</v>
      </c>
      <c r="D9" s="7" t="s">
        <v>3454</v>
      </c>
      <c r="E9" s="7" t="s">
        <v>3455</v>
      </c>
      <c r="F9" s="7" t="s">
        <v>3464</v>
      </c>
      <c r="G9" s="7" t="s">
        <v>3469</v>
      </c>
      <c r="H9" s="7" t="n">
        <v>42.7246</v>
      </c>
      <c r="I9" s="7" t="n">
        <v>-73.986</v>
      </c>
    </row>
    <row r="10" customFormat="false" ht="15" hidden="false" customHeight="true" outlineLevel="0" collapsed="false">
      <c r="A10" s="7" t="s">
        <v>3470</v>
      </c>
      <c r="B10" s="7" t="n">
        <v>15</v>
      </c>
      <c r="C10" s="7" t="s">
        <v>3446</v>
      </c>
      <c r="D10" s="7" t="s">
        <v>3454</v>
      </c>
      <c r="E10" s="7" t="s">
        <v>3455</v>
      </c>
      <c r="F10" s="7" t="s">
        <v>3456</v>
      </c>
      <c r="G10" s="7" t="s">
        <v>3471</v>
      </c>
      <c r="H10" s="7" t="n">
        <v>42.7143</v>
      </c>
      <c r="I10" s="7" t="n">
        <v>-73.9216</v>
      </c>
    </row>
    <row r="11" customFormat="false" ht="15" hidden="false" customHeight="true" outlineLevel="0" collapsed="false">
      <c r="A11" s="7" t="s">
        <v>3472</v>
      </c>
      <c r="B11" s="7" t="n">
        <v>15.4</v>
      </c>
      <c r="C11" s="7" t="s">
        <v>3446</v>
      </c>
      <c r="D11" s="7" t="s">
        <v>3454</v>
      </c>
      <c r="E11" s="7" t="s">
        <v>3455</v>
      </c>
      <c r="F11" s="7" t="s">
        <v>3456</v>
      </c>
      <c r="G11" s="7" t="s">
        <v>3452</v>
      </c>
      <c r="H11" s="7" t="n">
        <v>42.70977</v>
      </c>
      <c r="I11" s="7" t="n">
        <v>-73.89335</v>
      </c>
    </row>
    <row r="12" customFormat="false" ht="15" hidden="false" customHeight="true" outlineLevel="0" collapsed="false">
      <c r="A12" s="7" t="s">
        <v>3473</v>
      </c>
      <c r="B12" s="7" t="n">
        <v>16.1</v>
      </c>
      <c r="C12" s="7" t="s">
        <v>3446</v>
      </c>
      <c r="D12" s="7" t="s">
        <v>3454</v>
      </c>
      <c r="E12" s="7" t="s">
        <v>3455</v>
      </c>
      <c r="F12" s="7" t="s">
        <v>3456</v>
      </c>
      <c r="G12" s="7" t="s">
        <v>3474</v>
      </c>
      <c r="H12" s="7" t="n">
        <v>42.71792</v>
      </c>
      <c r="I12" s="7" t="n">
        <v>-73.88443</v>
      </c>
    </row>
    <row r="13" customFormat="false" ht="15" hidden="false" customHeight="true" outlineLevel="0" collapsed="false">
      <c r="A13" s="7" t="s">
        <v>3475</v>
      </c>
      <c r="B13" s="7" t="n">
        <v>16.2</v>
      </c>
      <c r="C13" s="7" t="s">
        <v>3446</v>
      </c>
      <c r="D13" s="7" t="s">
        <v>3454</v>
      </c>
      <c r="E13" s="7" t="s">
        <v>3455</v>
      </c>
      <c r="F13" s="7" t="s">
        <v>3456</v>
      </c>
      <c r="G13" s="7" t="s">
        <v>3474</v>
      </c>
      <c r="H13" s="7" t="n">
        <v>42.71784</v>
      </c>
      <c r="I13" s="7" t="n">
        <v>-73.88231</v>
      </c>
    </row>
    <row r="14" customFormat="false" ht="15" hidden="false" customHeight="true" outlineLevel="0" collapsed="false">
      <c r="A14" s="7" t="s">
        <v>3476</v>
      </c>
      <c r="B14" s="7" t="n">
        <v>16.3</v>
      </c>
      <c r="C14" s="7" t="s">
        <v>3446</v>
      </c>
      <c r="D14" s="7" t="s">
        <v>3454</v>
      </c>
      <c r="E14" s="7" t="s">
        <v>3455</v>
      </c>
      <c r="F14" s="7" t="s">
        <v>3456</v>
      </c>
      <c r="G14" s="7" t="s">
        <v>3452</v>
      </c>
      <c r="H14" s="7" t="n">
        <v>42.72629</v>
      </c>
      <c r="I14" s="7" t="n">
        <v>-73.89886</v>
      </c>
    </row>
    <row r="15" customFormat="false" ht="15" hidden="false" customHeight="true" outlineLevel="0" collapsed="false">
      <c r="A15" s="7" t="s">
        <v>3477</v>
      </c>
      <c r="B15" s="7" t="n">
        <v>16.3</v>
      </c>
      <c r="C15" s="7" t="s">
        <v>3446</v>
      </c>
      <c r="D15" s="7" t="s">
        <v>3454</v>
      </c>
      <c r="E15" s="7" t="s">
        <v>3455</v>
      </c>
      <c r="F15" s="7" t="s">
        <v>3456</v>
      </c>
      <c r="G15" s="7" t="s">
        <v>3474</v>
      </c>
      <c r="H15" s="7" t="n">
        <v>42.71917</v>
      </c>
      <c r="I15" s="7" t="n">
        <v>-73.88086</v>
      </c>
    </row>
    <row r="16" customFormat="false" ht="15" hidden="false" customHeight="true" outlineLevel="0" collapsed="false">
      <c r="A16" s="7" t="s">
        <v>3478</v>
      </c>
      <c r="B16" s="7" t="n">
        <v>16.3</v>
      </c>
      <c r="C16" s="7" t="s">
        <v>3462</v>
      </c>
      <c r="D16" s="7" t="s">
        <v>3454</v>
      </c>
      <c r="E16" s="7" t="s">
        <v>3455</v>
      </c>
      <c r="F16" s="7" t="s">
        <v>3464</v>
      </c>
      <c r="G16" s="7" t="s">
        <v>3465</v>
      </c>
      <c r="H16" s="7" t="n">
        <v>42.2908</v>
      </c>
      <c r="I16" s="7" t="n">
        <v>-73.95274</v>
      </c>
    </row>
    <row r="17" customFormat="false" ht="15" hidden="false" customHeight="true" outlineLevel="0" collapsed="false">
      <c r="A17" s="7" t="s">
        <v>3479</v>
      </c>
      <c r="B17" s="7" t="n">
        <v>16.4</v>
      </c>
      <c r="C17" s="7" t="s">
        <v>3462</v>
      </c>
      <c r="D17" s="7" t="s">
        <v>3454</v>
      </c>
      <c r="E17" s="7" t="s">
        <v>3455</v>
      </c>
      <c r="F17" s="7" t="s">
        <v>3464</v>
      </c>
      <c r="G17" s="7" t="s">
        <v>3480</v>
      </c>
      <c r="H17" s="7" t="n">
        <v>42.28986</v>
      </c>
      <c r="I17" s="7" t="n">
        <v>-73.95493</v>
      </c>
    </row>
    <row r="18" customFormat="false" ht="23.25" hidden="false" customHeight="true" outlineLevel="0" collapsed="false">
      <c r="A18" s="7" t="s">
        <v>3481</v>
      </c>
      <c r="B18" s="7" t="n">
        <v>16.5</v>
      </c>
      <c r="C18" s="7" t="s">
        <v>3446</v>
      </c>
      <c r="D18" s="7" t="s">
        <v>3454</v>
      </c>
      <c r="E18" s="7" t="s">
        <v>3455</v>
      </c>
      <c r="F18" s="7" t="s">
        <v>3456</v>
      </c>
      <c r="G18" s="7" t="s">
        <v>3482</v>
      </c>
      <c r="H18" s="7" t="n">
        <v>42.7319</v>
      </c>
      <c r="I18" s="7" t="n">
        <v>-73.90284</v>
      </c>
    </row>
    <row r="19" customFormat="false" ht="15" hidden="false" customHeight="true" outlineLevel="0" collapsed="false">
      <c r="A19" s="7" t="s">
        <v>3483</v>
      </c>
      <c r="B19" s="7" t="n">
        <v>16.8</v>
      </c>
      <c r="C19" s="7" t="s">
        <v>3446</v>
      </c>
      <c r="D19" s="7" t="s">
        <v>3454</v>
      </c>
      <c r="E19" s="7" t="s">
        <v>3455</v>
      </c>
      <c r="F19" s="7" t="s">
        <v>3456</v>
      </c>
      <c r="G19" s="7" t="s">
        <v>3484</v>
      </c>
      <c r="H19" s="7" t="n">
        <v>42.72699</v>
      </c>
      <c r="I19" s="7" t="n">
        <v>-73.87879</v>
      </c>
    </row>
    <row r="20" customFormat="false" ht="15" hidden="false" customHeight="true" outlineLevel="0" collapsed="false">
      <c r="A20" s="7" t="s">
        <v>3485</v>
      </c>
      <c r="B20" s="7" t="n">
        <v>17</v>
      </c>
      <c r="C20" s="7" t="s">
        <v>3446</v>
      </c>
      <c r="D20" s="7" t="s">
        <v>3454</v>
      </c>
      <c r="E20" s="7" t="s">
        <v>3455</v>
      </c>
      <c r="F20" s="7" t="s">
        <v>3464</v>
      </c>
      <c r="G20" s="7" t="s">
        <v>3486</v>
      </c>
      <c r="H20" s="7" t="n">
        <v>42.73475</v>
      </c>
      <c r="I20" s="7" t="n">
        <v>-73.8876</v>
      </c>
    </row>
    <row r="21" customFormat="false" ht="15" hidden="false" customHeight="true" outlineLevel="0" collapsed="false">
      <c r="A21" s="7" t="s">
        <v>3487</v>
      </c>
      <c r="B21" s="7" t="n">
        <v>17</v>
      </c>
      <c r="C21" s="7" t="s">
        <v>3446</v>
      </c>
      <c r="D21" s="7" t="s">
        <v>3454</v>
      </c>
      <c r="E21" s="7" t="s">
        <v>3455</v>
      </c>
      <c r="F21" s="7" t="s">
        <v>3456</v>
      </c>
      <c r="G21" s="7" t="s">
        <v>3484</v>
      </c>
      <c r="H21" s="7" t="n">
        <v>42.73009</v>
      </c>
      <c r="I21" s="7" t="n">
        <v>-73.8778</v>
      </c>
    </row>
    <row r="22" customFormat="false" ht="15" hidden="false" customHeight="true" outlineLevel="0" collapsed="false">
      <c r="A22" s="7" t="s">
        <v>3488</v>
      </c>
      <c r="B22" s="7" t="n">
        <v>18.5</v>
      </c>
      <c r="C22" s="7" t="s">
        <v>3462</v>
      </c>
      <c r="D22" s="7" t="s">
        <v>3454</v>
      </c>
      <c r="E22" s="7" t="s">
        <v>3455</v>
      </c>
      <c r="F22" s="7" t="s">
        <v>3456</v>
      </c>
      <c r="G22" s="7" t="s">
        <v>3452</v>
      </c>
      <c r="H22" s="7" t="n">
        <v>42.25498</v>
      </c>
      <c r="I22" s="7" t="n">
        <v>-73.9659</v>
      </c>
    </row>
    <row r="23" customFormat="false" ht="15" hidden="false" customHeight="true" outlineLevel="0" collapsed="false">
      <c r="A23" s="7" t="s">
        <v>3489</v>
      </c>
      <c r="B23" s="7" t="n">
        <v>20.8</v>
      </c>
      <c r="C23" s="7" t="s">
        <v>3490</v>
      </c>
      <c r="D23" s="7" t="s">
        <v>3454</v>
      </c>
      <c r="E23" s="7" t="s">
        <v>3455</v>
      </c>
      <c r="F23" s="7" t="s">
        <v>3464</v>
      </c>
      <c r="G23" s="7" t="s">
        <v>3491</v>
      </c>
      <c r="H23" s="7" t="n">
        <v>42.35485</v>
      </c>
      <c r="I23" s="7" t="n">
        <v>-73.70184</v>
      </c>
    </row>
    <row r="24" customFormat="false" ht="15" hidden="false" customHeight="true" outlineLevel="0" collapsed="false">
      <c r="A24" s="7" t="s">
        <v>3492</v>
      </c>
      <c r="B24" s="7" t="n">
        <v>22.2</v>
      </c>
      <c r="C24" s="7" t="s">
        <v>3490</v>
      </c>
      <c r="D24" s="7" t="s">
        <v>3454</v>
      </c>
      <c r="E24" s="7" t="s">
        <v>3455</v>
      </c>
      <c r="F24" s="7" t="s">
        <v>3464</v>
      </c>
      <c r="G24" s="7" t="s">
        <v>3493</v>
      </c>
      <c r="H24" s="7" t="n">
        <v>42.27935</v>
      </c>
      <c r="I24" s="7" t="n">
        <v>-73.75349</v>
      </c>
    </row>
    <row r="25" customFormat="false" ht="23.25" hidden="false" customHeight="true" outlineLevel="0" collapsed="false">
      <c r="A25" s="7" t="s">
        <v>3494</v>
      </c>
      <c r="B25" s="7" t="n">
        <v>23.2</v>
      </c>
      <c r="C25" s="7" t="s">
        <v>3490</v>
      </c>
      <c r="D25" s="7" t="s">
        <v>3454</v>
      </c>
      <c r="E25" s="7" t="s">
        <v>3455</v>
      </c>
      <c r="F25" s="7" t="s">
        <v>3456</v>
      </c>
      <c r="G25" s="7" t="s">
        <v>3495</v>
      </c>
      <c r="H25" s="7" t="n">
        <v>42.31337</v>
      </c>
      <c r="I25" s="7" t="n">
        <v>-73.68359</v>
      </c>
    </row>
    <row r="26" customFormat="false" ht="15" hidden="false" customHeight="true" outlineLevel="0" collapsed="false">
      <c r="A26" s="7" t="s">
        <v>3496</v>
      </c>
      <c r="B26" s="7" t="n">
        <v>23.3</v>
      </c>
      <c r="C26" s="7" t="s">
        <v>3462</v>
      </c>
      <c r="D26" s="7" t="s">
        <v>3454</v>
      </c>
      <c r="E26" s="7" t="s">
        <v>3455</v>
      </c>
      <c r="F26" s="7" t="s">
        <v>3464</v>
      </c>
      <c r="G26" s="7" t="s">
        <v>3497</v>
      </c>
      <c r="H26" s="7" t="n">
        <v>42.19496</v>
      </c>
      <c r="I26" s="7" t="n">
        <v>-73.90871</v>
      </c>
    </row>
    <row r="27" customFormat="false" ht="15" hidden="false" customHeight="true" outlineLevel="0" collapsed="false">
      <c r="A27" s="7" t="s">
        <v>3498</v>
      </c>
      <c r="B27" s="7" t="n">
        <v>23.4</v>
      </c>
      <c r="C27" s="7" t="s">
        <v>3462</v>
      </c>
      <c r="D27" s="7" t="s">
        <v>3454</v>
      </c>
      <c r="E27" s="7" t="s">
        <v>3455</v>
      </c>
      <c r="F27" s="7" t="s">
        <v>3464</v>
      </c>
      <c r="G27" s="7" t="s">
        <v>3497</v>
      </c>
      <c r="H27" s="7" t="n">
        <v>42.19355</v>
      </c>
      <c r="I27" s="7" t="n">
        <v>-73.90634</v>
      </c>
    </row>
    <row r="28" customFormat="false" ht="15" hidden="false" customHeight="true" outlineLevel="0" collapsed="false">
      <c r="A28" s="7" t="s">
        <v>3499</v>
      </c>
      <c r="B28" s="7" t="n">
        <v>23.6</v>
      </c>
      <c r="C28" s="7" t="s">
        <v>3462</v>
      </c>
      <c r="D28" s="7" t="s">
        <v>3454</v>
      </c>
      <c r="E28" s="7" t="s">
        <v>3455</v>
      </c>
      <c r="F28" s="7" t="s">
        <v>3464</v>
      </c>
      <c r="G28" s="7" t="s">
        <v>3497</v>
      </c>
      <c r="H28" s="7" t="n">
        <v>42.19</v>
      </c>
      <c r="I28" s="7" t="n">
        <v>-73.91</v>
      </c>
    </row>
    <row r="29" customFormat="false" ht="15" hidden="false" customHeight="true" outlineLevel="0" collapsed="false">
      <c r="A29" s="7" t="s">
        <v>3500</v>
      </c>
      <c r="B29" s="7" t="n">
        <v>23.7</v>
      </c>
      <c r="C29" s="7" t="s">
        <v>3490</v>
      </c>
      <c r="D29" s="7" t="s">
        <v>3454</v>
      </c>
      <c r="E29" s="7" t="s">
        <v>3455</v>
      </c>
      <c r="F29" s="7" t="s">
        <v>3464</v>
      </c>
      <c r="G29" s="7" t="s">
        <v>3501</v>
      </c>
      <c r="H29" s="7" t="n">
        <v>42.22974</v>
      </c>
      <c r="I29" s="7" t="n">
        <v>-73.79115</v>
      </c>
    </row>
    <row r="30" customFormat="false" ht="15" hidden="false" customHeight="true" outlineLevel="0" collapsed="false">
      <c r="A30" s="7" t="s">
        <v>3502</v>
      </c>
      <c r="B30" s="7" t="n">
        <v>23.9</v>
      </c>
      <c r="C30" s="7" t="s">
        <v>3490</v>
      </c>
      <c r="D30" s="7" t="s">
        <v>3463</v>
      </c>
      <c r="E30" s="7" t="s">
        <v>3448</v>
      </c>
      <c r="F30" s="7" t="s">
        <v>3464</v>
      </c>
      <c r="G30" s="7" t="s">
        <v>3465</v>
      </c>
      <c r="H30" s="7" t="n">
        <v>42.23317</v>
      </c>
      <c r="I30" s="7" t="n">
        <v>-73.77867</v>
      </c>
    </row>
    <row r="31" customFormat="false" ht="23.25" hidden="false" customHeight="true" outlineLevel="0" collapsed="false">
      <c r="A31" s="7" t="s">
        <v>3503</v>
      </c>
      <c r="B31" s="7" t="n">
        <v>24.2</v>
      </c>
      <c r="C31" s="7" t="s">
        <v>1520</v>
      </c>
      <c r="D31" s="7" t="s">
        <v>3447</v>
      </c>
      <c r="E31" s="7" t="s">
        <v>3448</v>
      </c>
      <c r="F31" s="7" t="s">
        <v>3464</v>
      </c>
      <c r="G31" s="7" t="s">
        <v>3504</v>
      </c>
      <c r="H31" s="7" t="n">
        <v>42.67867</v>
      </c>
      <c r="I31" s="7" t="n">
        <v>-74.46634</v>
      </c>
    </row>
    <row r="32" customFormat="false" ht="15" hidden="false" customHeight="true" outlineLevel="0" collapsed="false">
      <c r="A32" s="7" t="s">
        <v>3505</v>
      </c>
      <c r="B32" s="7" t="n">
        <v>25</v>
      </c>
      <c r="C32" s="7" t="s">
        <v>3462</v>
      </c>
      <c r="D32" s="7" t="s">
        <v>3454</v>
      </c>
      <c r="E32" s="7" t="s">
        <v>3455</v>
      </c>
      <c r="F32" s="7" t="s">
        <v>3464</v>
      </c>
      <c r="G32" s="7" t="s">
        <v>3497</v>
      </c>
      <c r="H32" s="7" t="n">
        <v>42.16704</v>
      </c>
      <c r="I32" s="7" t="n">
        <v>-73.92124</v>
      </c>
    </row>
    <row r="33" customFormat="false" ht="23.25" hidden="false" customHeight="true" outlineLevel="0" collapsed="false">
      <c r="A33" s="7" t="s">
        <v>3506</v>
      </c>
      <c r="B33" s="7" t="n">
        <v>25.1</v>
      </c>
      <c r="C33" s="7" t="s">
        <v>973</v>
      </c>
      <c r="D33" s="7" t="s">
        <v>3454</v>
      </c>
      <c r="E33" s="7" t="s">
        <v>3455</v>
      </c>
      <c r="F33" s="7" t="s">
        <v>3456</v>
      </c>
      <c r="G33" s="7" t="s">
        <v>3507</v>
      </c>
      <c r="H33" s="7" t="n">
        <v>42.87998</v>
      </c>
      <c r="I33" s="7" t="n">
        <v>-74.05264</v>
      </c>
    </row>
    <row r="34" customFormat="false" ht="15" hidden="false" customHeight="true" outlineLevel="0" collapsed="false">
      <c r="A34" s="7" t="s">
        <v>3508</v>
      </c>
      <c r="B34" s="7" t="n">
        <v>25.9</v>
      </c>
      <c r="C34" s="7" t="s">
        <v>3490</v>
      </c>
      <c r="D34" s="7" t="s">
        <v>3454</v>
      </c>
      <c r="E34" s="7" t="s">
        <v>3455</v>
      </c>
      <c r="F34" s="7" t="s">
        <v>3464</v>
      </c>
      <c r="G34" s="7" t="s">
        <v>3509</v>
      </c>
      <c r="H34" s="7" t="n">
        <v>42.18125</v>
      </c>
      <c r="I34" s="7" t="n">
        <v>-73.81919</v>
      </c>
    </row>
    <row r="35" customFormat="false" ht="23.25" hidden="false" customHeight="true" outlineLevel="0" collapsed="false">
      <c r="A35" s="7" t="s">
        <v>3510</v>
      </c>
      <c r="B35" s="7" t="n">
        <v>26.1</v>
      </c>
      <c r="C35" s="7" t="s">
        <v>3490</v>
      </c>
      <c r="D35" s="7" t="s">
        <v>3454</v>
      </c>
      <c r="E35" s="7" t="s">
        <v>3455</v>
      </c>
      <c r="F35" s="7" t="s">
        <v>3456</v>
      </c>
      <c r="G35" s="7" t="s">
        <v>3511</v>
      </c>
      <c r="H35" s="7" t="n">
        <v>42.27336</v>
      </c>
      <c r="I35" s="7" t="n">
        <v>-73.65417</v>
      </c>
    </row>
    <row r="36" customFormat="false" ht="15" hidden="false" customHeight="true" outlineLevel="0" collapsed="false">
      <c r="A36" s="7" t="s">
        <v>3512</v>
      </c>
      <c r="B36" s="7" t="n">
        <v>26.8</v>
      </c>
      <c r="C36" s="7" t="s">
        <v>3462</v>
      </c>
      <c r="D36" s="7" t="s">
        <v>3454</v>
      </c>
      <c r="E36" s="7" t="s">
        <v>3455</v>
      </c>
      <c r="F36" s="7" t="s">
        <v>3464</v>
      </c>
      <c r="G36" s="7" t="s">
        <v>3465</v>
      </c>
      <c r="H36" s="7" t="n">
        <v>42.13942</v>
      </c>
      <c r="I36" s="7" t="n">
        <v>-73.92564</v>
      </c>
    </row>
    <row r="37" customFormat="false" ht="23.25" hidden="false" customHeight="true" outlineLevel="0" collapsed="false">
      <c r="A37" s="7" t="s">
        <v>3513</v>
      </c>
      <c r="B37" s="7" t="n">
        <v>29.2</v>
      </c>
      <c r="C37" s="7" t="s">
        <v>973</v>
      </c>
      <c r="D37" s="7" t="s">
        <v>3454</v>
      </c>
      <c r="E37" s="7" t="s">
        <v>3455</v>
      </c>
      <c r="F37" s="7" t="s">
        <v>3464</v>
      </c>
      <c r="G37" s="7" t="s">
        <v>3514</v>
      </c>
      <c r="H37" s="7" t="n">
        <v>42.93895</v>
      </c>
      <c r="I37" s="7" t="n">
        <v>-74.0506</v>
      </c>
    </row>
    <row r="38" customFormat="false" ht="15" hidden="false" customHeight="true" outlineLevel="0" collapsed="false">
      <c r="A38" s="7" t="s">
        <v>3515</v>
      </c>
      <c r="B38" s="7" t="n">
        <v>29.7</v>
      </c>
      <c r="C38" s="7" t="s">
        <v>3490</v>
      </c>
      <c r="D38" s="7" t="s">
        <v>3454</v>
      </c>
      <c r="E38" s="7" t="s">
        <v>3455</v>
      </c>
      <c r="F38" s="7" t="s">
        <v>3464</v>
      </c>
      <c r="G38" s="7" t="s">
        <v>3491</v>
      </c>
      <c r="H38" s="7" t="n">
        <v>42.13076</v>
      </c>
      <c r="I38" s="7" t="n">
        <v>-73.78804</v>
      </c>
    </row>
    <row r="39" customFormat="false" ht="23.25" hidden="false" customHeight="true" outlineLevel="0" collapsed="false">
      <c r="A39" s="7" t="s">
        <v>3516</v>
      </c>
      <c r="B39" s="7" t="n">
        <v>30</v>
      </c>
      <c r="C39" s="7" t="s">
        <v>3517</v>
      </c>
      <c r="D39" s="7" t="s">
        <v>3518</v>
      </c>
      <c r="E39" s="7" t="s">
        <v>3448</v>
      </c>
      <c r="F39" s="7" t="s">
        <v>3464</v>
      </c>
      <c r="G39" s="7" t="s">
        <v>3519</v>
      </c>
      <c r="H39" s="7" t="n">
        <v>42.94641</v>
      </c>
      <c r="I39" s="7" t="n">
        <v>-74.13708</v>
      </c>
    </row>
    <row r="40" customFormat="false" ht="15" hidden="false" customHeight="true" outlineLevel="0" collapsed="false">
      <c r="A40" s="7" t="s">
        <v>3520</v>
      </c>
      <c r="B40" s="7" t="n">
        <v>30.5</v>
      </c>
      <c r="C40" s="7" t="s">
        <v>1520</v>
      </c>
      <c r="D40" s="7" t="s">
        <v>3454</v>
      </c>
      <c r="E40" s="7" t="s">
        <v>3455</v>
      </c>
      <c r="F40" s="7" t="s">
        <v>3464</v>
      </c>
      <c r="G40" s="7" t="s">
        <v>3521</v>
      </c>
      <c r="H40" s="7" t="n">
        <v>42.63985</v>
      </c>
      <c r="I40" s="7" t="n">
        <v>-74.62068</v>
      </c>
    </row>
    <row r="41" customFormat="false" ht="23.25" hidden="false" customHeight="true" outlineLevel="0" collapsed="false">
      <c r="A41" s="7" t="s">
        <v>3522</v>
      </c>
      <c r="B41" s="7" t="n">
        <v>30.6</v>
      </c>
      <c r="C41" s="7" t="s">
        <v>3517</v>
      </c>
      <c r="D41" s="7" t="s">
        <v>3454</v>
      </c>
      <c r="E41" s="7" t="s">
        <v>3455</v>
      </c>
      <c r="F41" s="7" t="s">
        <v>3464</v>
      </c>
      <c r="G41" s="7" t="s">
        <v>3523</v>
      </c>
      <c r="H41" s="7" t="n">
        <v>42.93935</v>
      </c>
      <c r="I41" s="7" t="n">
        <v>-74.22431</v>
      </c>
    </row>
    <row r="42" customFormat="false" ht="23.25" hidden="false" customHeight="true" outlineLevel="0" collapsed="false">
      <c r="A42" s="7" t="s">
        <v>3524</v>
      </c>
      <c r="B42" s="7" t="n">
        <v>30.7</v>
      </c>
      <c r="C42" s="7" t="s">
        <v>3517</v>
      </c>
      <c r="D42" s="7" t="s">
        <v>3454</v>
      </c>
      <c r="E42" s="7" t="s">
        <v>3455</v>
      </c>
      <c r="F42" s="7" t="s">
        <v>3464</v>
      </c>
      <c r="G42" s="7" t="s">
        <v>3523</v>
      </c>
      <c r="H42" s="7" t="n">
        <v>42.93652</v>
      </c>
      <c r="I42" s="7" t="n">
        <v>-74.24587</v>
      </c>
    </row>
    <row r="43" customFormat="false" ht="23.25" hidden="false" customHeight="true" outlineLevel="0" collapsed="false">
      <c r="A43" s="7" t="s">
        <v>3525</v>
      </c>
      <c r="B43" s="7" t="n">
        <v>30.9</v>
      </c>
      <c r="C43" s="7" t="s">
        <v>3517</v>
      </c>
      <c r="D43" s="7" t="s">
        <v>3454</v>
      </c>
      <c r="E43" s="7" t="s">
        <v>3455</v>
      </c>
      <c r="F43" s="7" t="s">
        <v>3464</v>
      </c>
      <c r="G43" s="7" t="s">
        <v>3523</v>
      </c>
      <c r="H43" s="7" t="n">
        <v>42.94283</v>
      </c>
      <c r="I43" s="7" t="n">
        <v>-74.22789</v>
      </c>
    </row>
    <row r="44" customFormat="false" ht="15" hidden="false" customHeight="true" outlineLevel="0" collapsed="false">
      <c r="A44" s="7" t="s">
        <v>3526</v>
      </c>
      <c r="B44" s="7" t="n">
        <v>31.5</v>
      </c>
      <c r="C44" s="7" t="s">
        <v>3490</v>
      </c>
      <c r="D44" s="7" t="s">
        <v>3454</v>
      </c>
      <c r="E44" s="7" t="s">
        <v>3455</v>
      </c>
      <c r="F44" s="7" t="s">
        <v>3456</v>
      </c>
      <c r="G44" s="7" t="s">
        <v>3527</v>
      </c>
      <c r="H44" s="7" t="n">
        <v>42.09892</v>
      </c>
      <c r="I44" s="7" t="n">
        <v>-73.79793</v>
      </c>
    </row>
    <row r="45" customFormat="false" ht="15" hidden="false" customHeight="true" outlineLevel="0" collapsed="false">
      <c r="A45" s="7" t="s">
        <v>3528</v>
      </c>
      <c r="B45" s="7" t="n">
        <v>31.6</v>
      </c>
      <c r="C45" s="7" t="s">
        <v>3490</v>
      </c>
      <c r="D45" s="7" t="s">
        <v>3454</v>
      </c>
      <c r="E45" s="7" t="s">
        <v>3455</v>
      </c>
      <c r="F45" s="7" t="s">
        <v>3456</v>
      </c>
      <c r="G45" s="7" t="s">
        <v>3527</v>
      </c>
      <c r="H45" s="7" t="n">
        <v>42.09122</v>
      </c>
      <c r="I45" s="7" t="n">
        <v>-73.81713</v>
      </c>
    </row>
    <row r="46" customFormat="false" ht="15" hidden="false" customHeight="true" outlineLevel="0" collapsed="false">
      <c r="A46" s="7" t="s">
        <v>3529</v>
      </c>
      <c r="B46" s="7" t="n">
        <v>31.7</v>
      </c>
      <c r="C46" s="7" t="s">
        <v>2668</v>
      </c>
      <c r="D46" s="7" t="s">
        <v>3454</v>
      </c>
      <c r="E46" s="7" t="s">
        <v>3455</v>
      </c>
      <c r="F46" s="7" t="s">
        <v>3456</v>
      </c>
      <c r="G46" s="7" t="s">
        <v>3452</v>
      </c>
      <c r="H46" s="7" t="n">
        <v>42.67</v>
      </c>
      <c r="I46" s="7" t="n">
        <v>-73.45827</v>
      </c>
    </row>
    <row r="47" customFormat="false" ht="15" hidden="false" customHeight="true" outlineLevel="0" collapsed="false">
      <c r="A47" s="7" t="s">
        <v>3530</v>
      </c>
      <c r="B47" s="7" t="n">
        <v>32.8</v>
      </c>
      <c r="C47" s="7" t="s">
        <v>3531</v>
      </c>
      <c r="D47" s="7" t="s">
        <v>3463</v>
      </c>
      <c r="E47" s="7" t="s">
        <v>3448</v>
      </c>
      <c r="F47" s="7" t="s">
        <v>3464</v>
      </c>
      <c r="G47" s="7" t="s">
        <v>3532</v>
      </c>
      <c r="H47" s="7" t="n">
        <v>42.0449</v>
      </c>
      <c r="I47" s="7" t="n">
        <v>-73.97185</v>
      </c>
    </row>
    <row r="48" customFormat="false" ht="15" hidden="false" customHeight="true" outlineLevel="0" collapsed="false">
      <c r="A48" s="7" t="s">
        <v>3533</v>
      </c>
      <c r="B48" s="7" t="n">
        <v>33.4</v>
      </c>
      <c r="C48" s="7" t="s">
        <v>3490</v>
      </c>
      <c r="D48" s="7" t="s">
        <v>3534</v>
      </c>
      <c r="E48" s="7" t="s">
        <v>3448</v>
      </c>
      <c r="F48" s="7" t="s">
        <v>3449</v>
      </c>
      <c r="G48" s="7" t="s">
        <v>3452</v>
      </c>
      <c r="H48" s="7" t="n">
        <v>42.39714</v>
      </c>
      <c r="I48" s="7" t="n">
        <v>-73.41038</v>
      </c>
    </row>
    <row r="49" customFormat="false" ht="15" hidden="false" customHeight="true" outlineLevel="0" collapsed="false">
      <c r="A49" s="7" t="s">
        <v>3535</v>
      </c>
      <c r="B49" s="7" t="n">
        <v>33.8</v>
      </c>
      <c r="C49" s="7" t="s">
        <v>3490</v>
      </c>
      <c r="D49" s="7" t="s">
        <v>3534</v>
      </c>
      <c r="E49" s="7" t="s">
        <v>3448</v>
      </c>
      <c r="F49" s="7" t="s">
        <v>3464</v>
      </c>
      <c r="G49" s="7" t="s">
        <v>3491</v>
      </c>
      <c r="H49" s="7" t="n">
        <v>42.48072</v>
      </c>
      <c r="I49" s="7" t="n">
        <v>-73.38267</v>
      </c>
    </row>
    <row r="50" customFormat="false" ht="34.5" hidden="false" customHeight="true" outlineLevel="0" collapsed="false">
      <c r="A50" s="7" t="s">
        <v>3536</v>
      </c>
      <c r="B50" s="7" t="n">
        <v>33.8</v>
      </c>
      <c r="C50" s="7" t="s">
        <v>3517</v>
      </c>
      <c r="D50" s="7" t="s">
        <v>3454</v>
      </c>
      <c r="E50" s="7" t="s">
        <v>3455</v>
      </c>
      <c r="F50" s="7" t="s">
        <v>3456</v>
      </c>
      <c r="G50" s="7" t="s">
        <v>3537</v>
      </c>
      <c r="H50" s="7" t="n">
        <v>42.90739</v>
      </c>
      <c r="I50" s="7" t="n">
        <v>-74.44665</v>
      </c>
    </row>
    <row r="51" customFormat="false" ht="23.25" hidden="false" customHeight="true" outlineLevel="0" collapsed="false">
      <c r="A51" s="7" t="s">
        <v>3538</v>
      </c>
      <c r="B51" s="7" t="n">
        <v>33.9</v>
      </c>
      <c r="C51" s="7" t="s">
        <v>3517</v>
      </c>
      <c r="D51" s="7" t="s">
        <v>3454</v>
      </c>
      <c r="E51" s="7" t="s">
        <v>3455</v>
      </c>
      <c r="F51" s="7" t="s">
        <v>3464</v>
      </c>
      <c r="G51" s="7" t="s">
        <v>3465</v>
      </c>
      <c r="H51" s="7" t="n">
        <v>42.91182</v>
      </c>
      <c r="I51" s="7" t="n">
        <v>-74.44087</v>
      </c>
    </row>
    <row r="52" customFormat="false" ht="15" hidden="false" customHeight="true" outlineLevel="0" collapsed="false">
      <c r="A52" s="7" t="s">
        <v>3539</v>
      </c>
      <c r="B52" s="7" t="n">
        <v>34.5</v>
      </c>
      <c r="C52" s="7" t="s">
        <v>3490</v>
      </c>
      <c r="D52" s="7" t="s">
        <v>3454</v>
      </c>
      <c r="E52" s="7" t="s">
        <v>3455</v>
      </c>
      <c r="F52" s="7" t="s">
        <v>3456</v>
      </c>
      <c r="G52" s="7" t="s">
        <v>3540</v>
      </c>
      <c r="H52" s="7" t="n">
        <v>42.05282</v>
      </c>
      <c r="I52" s="7" t="n">
        <v>-73.79429</v>
      </c>
    </row>
    <row r="53" customFormat="false" ht="15" hidden="false" customHeight="true" outlineLevel="0" collapsed="false">
      <c r="A53" s="7" t="s">
        <v>3541</v>
      </c>
      <c r="B53" s="7" t="n">
        <v>34.6</v>
      </c>
      <c r="C53" s="7" t="s">
        <v>2668</v>
      </c>
      <c r="D53" s="7" t="s">
        <v>3454</v>
      </c>
      <c r="E53" s="7" t="s">
        <v>3455</v>
      </c>
      <c r="F53" s="7" t="s">
        <v>3456</v>
      </c>
      <c r="G53" s="7" t="s">
        <v>3542</v>
      </c>
      <c r="H53" s="7" t="n">
        <v>42.6035</v>
      </c>
      <c r="I53" s="7" t="n">
        <v>-73.37604</v>
      </c>
    </row>
    <row r="54" customFormat="false" ht="34.5" hidden="false" customHeight="true" outlineLevel="0" collapsed="false">
      <c r="A54" s="7" t="s">
        <v>3543</v>
      </c>
      <c r="B54" s="7" t="n">
        <v>36.5</v>
      </c>
      <c r="C54" s="7" t="s">
        <v>1520</v>
      </c>
      <c r="D54" s="7" t="s">
        <v>3463</v>
      </c>
      <c r="E54" s="7" t="s">
        <v>3448</v>
      </c>
      <c r="F54" s="7" t="s">
        <v>3449</v>
      </c>
      <c r="G54" s="7" t="s">
        <v>3544</v>
      </c>
      <c r="H54" s="7" t="n">
        <v>42.80917</v>
      </c>
      <c r="I54" s="7" t="n">
        <v>-74.64461</v>
      </c>
    </row>
    <row r="55" customFormat="false" ht="23.25" hidden="false" customHeight="true" outlineLevel="0" collapsed="false">
      <c r="A55" s="7" t="s">
        <v>3545</v>
      </c>
      <c r="B55" s="7" t="n">
        <v>36.6</v>
      </c>
      <c r="C55" s="7" t="s">
        <v>1648</v>
      </c>
      <c r="D55" s="7" t="s">
        <v>3454</v>
      </c>
      <c r="E55" s="7" t="s">
        <v>3455</v>
      </c>
      <c r="F55" s="7" t="s">
        <v>3464</v>
      </c>
      <c r="G55" s="7" t="s">
        <v>3546</v>
      </c>
      <c r="H55" s="7" t="n">
        <v>43.02566</v>
      </c>
      <c r="I55" s="7" t="n">
        <v>-73.84396</v>
      </c>
    </row>
    <row r="56" customFormat="false" ht="15" hidden="false" customHeight="true" outlineLevel="0" collapsed="false">
      <c r="A56" s="7" t="s">
        <v>3547</v>
      </c>
      <c r="B56" s="7" t="n">
        <v>36.8</v>
      </c>
      <c r="C56" s="7" t="s">
        <v>3548</v>
      </c>
      <c r="D56" s="7" t="s">
        <v>3454</v>
      </c>
      <c r="E56" s="7" t="s">
        <v>3455</v>
      </c>
      <c r="F56" s="7" t="s">
        <v>3456</v>
      </c>
      <c r="G56" s="7" t="s">
        <v>3549</v>
      </c>
      <c r="H56" s="7" t="n">
        <v>42.00184</v>
      </c>
      <c r="I56" s="7" t="n">
        <v>-73.86128</v>
      </c>
    </row>
    <row r="57" customFormat="false" ht="15" hidden="false" customHeight="true" outlineLevel="0" collapsed="false">
      <c r="A57" s="7" t="s">
        <v>3550</v>
      </c>
      <c r="B57" s="7" t="n">
        <v>36.9</v>
      </c>
      <c r="C57" s="7" t="s">
        <v>3548</v>
      </c>
      <c r="D57" s="7" t="s">
        <v>3454</v>
      </c>
      <c r="E57" s="7" t="s">
        <v>3455</v>
      </c>
      <c r="F57" s="7" t="s">
        <v>3456</v>
      </c>
      <c r="G57" s="7" t="s">
        <v>3551</v>
      </c>
      <c r="H57" s="7" t="n">
        <v>42.01212</v>
      </c>
      <c r="I57" s="7" t="n">
        <v>-73.80767</v>
      </c>
    </row>
    <row r="58" customFormat="false" ht="15" hidden="false" customHeight="true" outlineLevel="0" collapsed="false">
      <c r="A58" s="7" t="s">
        <v>3552</v>
      </c>
      <c r="B58" s="7" t="n">
        <v>36.9</v>
      </c>
      <c r="C58" s="7" t="s">
        <v>3531</v>
      </c>
      <c r="D58" s="7" t="s">
        <v>3463</v>
      </c>
      <c r="E58" s="7" t="s">
        <v>3448</v>
      </c>
      <c r="F58" s="7" t="s">
        <v>3449</v>
      </c>
      <c r="G58" s="7" t="s">
        <v>3553</v>
      </c>
      <c r="H58" s="7" t="n">
        <v>41.98535</v>
      </c>
      <c r="I58" s="7" t="n">
        <v>-73.9735</v>
      </c>
    </row>
    <row r="59" customFormat="false" ht="15" hidden="false" customHeight="true" outlineLevel="0" collapsed="false">
      <c r="A59" s="7" t="s">
        <v>3554</v>
      </c>
      <c r="B59" s="7" t="n">
        <v>37.1</v>
      </c>
      <c r="C59" s="7" t="s">
        <v>3548</v>
      </c>
      <c r="D59" s="7" t="s">
        <v>3454</v>
      </c>
      <c r="E59" s="7" t="s">
        <v>3455</v>
      </c>
      <c r="F59" s="7" t="s">
        <v>3456</v>
      </c>
      <c r="G59" s="7" t="s">
        <v>3555</v>
      </c>
      <c r="H59" s="7" t="n">
        <v>42.00974</v>
      </c>
      <c r="I59" s="7" t="n">
        <v>-73.80831</v>
      </c>
    </row>
    <row r="60" customFormat="false" ht="15" hidden="false" customHeight="true" outlineLevel="0" collapsed="false">
      <c r="A60" s="7" t="s">
        <v>3556</v>
      </c>
      <c r="B60" s="7" t="n">
        <v>37.2</v>
      </c>
      <c r="C60" s="7" t="s">
        <v>3531</v>
      </c>
      <c r="D60" s="7" t="s">
        <v>3454</v>
      </c>
      <c r="E60" s="7" t="s">
        <v>3455</v>
      </c>
      <c r="F60" s="7" t="s">
        <v>3464</v>
      </c>
      <c r="G60" s="7" t="s">
        <v>3557</v>
      </c>
      <c r="H60" s="7" t="n">
        <v>41.97953</v>
      </c>
      <c r="I60" s="7" t="n">
        <v>-74.09015</v>
      </c>
    </row>
    <row r="61" customFormat="false" ht="23.25" hidden="false" customHeight="true" outlineLevel="0" collapsed="false">
      <c r="A61" s="7" t="s">
        <v>3558</v>
      </c>
      <c r="B61" s="7" t="n">
        <v>37.6</v>
      </c>
      <c r="C61" s="7" t="s">
        <v>3548</v>
      </c>
      <c r="D61" s="7" t="s">
        <v>3454</v>
      </c>
      <c r="E61" s="7" t="s">
        <v>3455</v>
      </c>
      <c r="F61" s="7" t="s">
        <v>3456</v>
      </c>
      <c r="G61" s="7" t="s">
        <v>3559</v>
      </c>
      <c r="H61" s="7" t="n">
        <v>42.00065</v>
      </c>
      <c r="I61" s="7" t="n">
        <v>-73.81028</v>
      </c>
    </row>
    <row r="62" customFormat="false" ht="15" hidden="false" customHeight="true" outlineLevel="0" collapsed="false">
      <c r="A62" s="7" t="s">
        <v>3560</v>
      </c>
      <c r="B62" s="7" t="n">
        <v>37.8</v>
      </c>
      <c r="C62" s="7" t="s">
        <v>1648</v>
      </c>
      <c r="D62" s="7" t="s">
        <v>3454</v>
      </c>
      <c r="E62" s="7" t="s">
        <v>3455</v>
      </c>
      <c r="F62" s="7" t="s">
        <v>3456</v>
      </c>
      <c r="G62" s="7" t="s">
        <v>3452</v>
      </c>
      <c r="H62" s="7" t="n">
        <v>43.04356</v>
      </c>
      <c r="I62" s="7" t="n">
        <v>-73.84141</v>
      </c>
    </row>
    <row r="63" customFormat="false" ht="15" hidden="false" customHeight="true" outlineLevel="0" collapsed="false">
      <c r="A63" s="7" t="s">
        <v>3561</v>
      </c>
      <c r="B63" s="7" t="n">
        <v>38</v>
      </c>
      <c r="C63" s="7" t="s">
        <v>3531</v>
      </c>
      <c r="D63" s="7" t="s">
        <v>3463</v>
      </c>
      <c r="E63" s="7" t="s">
        <v>3448</v>
      </c>
      <c r="F63" s="7" t="s">
        <v>3449</v>
      </c>
      <c r="G63" s="7" t="s">
        <v>3553</v>
      </c>
      <c r="H63" s="7" t="n">
        <v>41.96933</v>
      </c>
      <c r="I63" s="7" t="n">
        <v>-73.97719</v>
      </c>
    </row>
    <row r="64" customFormat="false" ht="15" hidden="false" customHeight="true" outlineLevel="0" collapsed="false">
      <c r="A64" s="7" t="s">
        <v>3562</v>
      </c>
      <c r="B64" s="7" t="n">
        <v>38.6</v>
      </c>
      <c r="C64" s="7" t="s">
        <v>3531</v>
      </c>
      <c r="D64" s="7" t="s">
        <v>3463</v>
      </c>
      <c r="E64" s="7" t="s">
        <v>3448</v>
      </c>
      <c r="F64" s="7" t="s">
        <v>3464</v>
      </c>
      <c r="G64" s="7" t="s">
        <v>3497</v>
      </c>
      <c r="H64" s="7" t="n">
        <v>41.96015</v>
      </c>
      <c r="I64" s="7" t="n">
        <v>-73.9766</v>
      </c>
    </row>
    <row r="65" customFormat="false" ht="15" hidden="false" customHeight="true" outlineLevel="0" collapsed="false">
      <c r="A65" s="7" t="s">
        <v>3563</v>
      </c>
      <c r="B65" s="7" t="n">
        <v>38.7</v>
      </c>
      <c r="C65" s="7" t="s">
        <v>3531</v>
      </c>
      <c r="D65" s="7" t="s">
        <v>3463</v>
      </c>
      <c r="E65" s="7" t="s">
        <v>3448</v>
      </c>
      <c r="F65" s="7" t="s">
        <v>3464</v>
      </c>
      <c r="G65" s="7" t="s">
        <v>3497</v>
      </c>
      <c r="H65" s="7" t="n">
        <v>41.95923</v>
      </c>
      <c r="I65" s="7" t="n">
        <v>-73.97408</v>
      </c>
    </row>
    <row r="66" customFormat="false" ht="15" hidden="false" customHeight="true" outlineLevel="0" collapsed="false">
      <c r="A66" s="7" t="s">
        <v>3564</v>
      </c>
      <c r="B66" s="7" t="n">
        <v>38.7</v>
      </c>
      <c r="C66" s="7" t="s">
        <v>3531</v>
      </c>
      <c r="D66" s="7" t="s">
        <v>3454</v>
      </c>
      <c r="E66" s="7" t="s">
        <v>3455</v>
      </c>
      <c r="F66" s="7" t="s">
        <v>3464</v>
      </c>
      <c r="G66" s="7" t="s">
        <v>3565</v>
      </c>
      <c r="H66" s="7" t="n">
        <v>41.95802</v>
      </c>
      <c r="I66" s="7" t="n">
        <v>-74.00978</v>
      </c>
    </row>
    <row r="67" customFormat="false" ht="15" hidden="false" customHeight="true" outlineLevel="0" collapsed="false">
      <c r="A67" s="7" t="s">
        <v>3566</v>
      </c>
      <c r="B67" s="7" t="n">
        <v>39.2</v>
      </c>
      <c r="C67" s="7" t="s">
        <v>1648</v>
      </c>
      <c r="D67" s="7" t="s">
        <v>3454</v>
      </c>
      <c r="E67" s="7" t="s">
        <v>3455</v>
      </c>
      <c r="F67" s="7" t="s">
        <v>3456</v>
      </c>
      <c r="G67" s="7" t="s">
        <v>3567</v>
      </c>
      <c r="H67" s="7" t="n">
        <v>43.06602</v>
      </c>
      <c r="I67" s="7" t="n">
        <v>-73.84924</v>
      </c>
    </row>
    <row r="68" customFormat="false" ht="15" hidden="false" customHeight="true" outlineLevel="0" collapsed="false">
      <c r="A68" s="7" t="s">
        <v>3568</v>
      </c>
      <c r="B68" s="7" t="n">
        <v>39.8</v>
      </c>
      <c r="C68" s="7" t="s">
        <v>3490</v>
      </c>
      <c r="D68" s="7" t="s">
        <v>3454</v>
      </c>
      <c r="E68" s="7" t="s">
        <v>3455</v>
      </c>
      <c r="F68" s="7" t="s">
        <v>3456</v>
      </c>
      <c r="G68" s="7" t="s">
        <v>3452</v>
      </c>
      <c r="H68" s="7" t="n">
        <v>42.06316</v>
      </c>
      <c r="I68" s="7" t="n">
        <v>-73.56541</v>
      </c>
    </row>
    <row r="69" customFormat="false" ht="15" hidden="false" customHeight="true" outlineLevel="0" collapsed="false">
      <c r="A69" s="7" t="s">
        <v>3569</v>
      </c>
      <c r="B69" s="7" t="n">
        <v>40</v>
      </c>
      <c r="C69" s="7" t="s">
        <v>3531</v>
      </c>
      <c r="D69" s="7" t="s">
        <v>3454</v>
      </c>
      <c r="E69" s="7" t="s">
        <v>3455</v>
      </c>
      <c r="F69" s="7" t="s">
        <v>3464</v>
      </c>
      <c r="G69" s="7" t="s">
        <v>3565</v>
      </c>
      <c r="H69" s="7" t="n">
        <v>41.94043</v>
      </c>
      <c r="I69" s="7" t="n">
        <v>-73.9714</v>
      </c>
    </row>
    <row r="70" customFormat="false" ht="15" hidden="false" customHeight="true" outlineLevel="0" collapsed="false">
      <c r="A70" s="7" t="s">
        <v>3570</v>
      </c>
      <c r="B70" s="7" t="n">
        <v>40.3</v>
      </c>
      <c r="C70" s="7" t="s">
        <v>3571</v>
      </c>
      <c r="D70" s="7" t="s">
        <v>3463</v>
      </c>
      <c r="E70" s="7" t="s">
        <v>3448</v>
      </c>
      <c r="F70" s="7" t="s">
        <v>3464</v>
      </c>
      <c r="G70" s="7" t="s">
        <v>3572</v>
      </c>
      <c r="H70" s="7" t="n">
        <v>42.82897</v>
      </c>
      <c r="I70" s="7" t="n">
        <v>-74.71584</v>
      </c>
    </row>
    <row r="71" customFormat="false" ht="15" hidden="false" customHeight="true" outlineLevel="0" collapsed="false">
      <c r="A71" s="7" t="s">
        <v>3573</v>
      </c>
      <c r="B71" s="7" t="n">
        <v>40.5</v>
      </c>
      <c r="C71" s="7" t="s">
        <v>1648</v>
      </c>
      <c r="D71" s="7" t="s">
        <v>3534</v>
      </c>
      <c r="E71" s="7" t="s">
        <v>3448</v>
      </c>
      <c r="F71" s="7" t="s">
        <v>3449</v>
      </c>
      <c r="G71" s="7" t="s">
        <v>3452</v>
      </c>
      <c r="H71" s="7" t="n">
        <v>43.10381</v>
      </c>
      <c r="I71" s="7" t="n">
        <v>-74.04173</v>
      </c>
    </row>
    <row r="72" customFormat="false" ht="23.25" hidden="false" customHeight="true" outlineLevel="0" collapsed="false">
      <c r="A72" s="7" t="s">
        <v>3574</v>
      </c>
      <c r="B72" s="7" t="n">
        <v>40.7</v>
      </c>
      <c r="C72" s="7" t="s">
        <v>3548</v>
      </c>
      <c r="D72" s="7" t="s">
        <v>3454</v>
      </c>
      <c r="E72" s="7" t="s">
        <v>3455</v>
      </c>
      <c r="F72" s="7" t="s">
        <v>3456</v>
      </c>
      <c r="G72" s="7" t="s">
        <v>3575</v>
      </c>
      <c r="H72" s="7" t="n">
        <v>41.93929</v>
      </c>
      <c r="I72" s="7" t="n">
        <v>-73.88748</v>
      </c>
    </row>
    <row r="73" customFormat="false" ht="15" hidden="false" customHeight="true" outlineLevel="0" collapsed="false">
      <c r="A73" s="7" t="s">
        <v>3576</v>
      </c>
      <c r="B73" s="7" t="n">
        <v>40.9</v>
      </c>
      <c r="C73" s="7" t="s">
        <v>3490</v>
      </c>
      <c r="D73" s="7" t="s">
        <v>3454</v>
      </c>
      <c r="E73" s="7" t="s">
        <v>3455</v>
      </c>
      <c r="F73" s="7" t="s">
        <v>3464</v>
      </c>
      <c r="G73" s="7" t="s">
        <v>3577</v>
      </c>
      <c r="H73" s="7" t="n">
        <v>42.04913</v>
      </c>
      <c r="I73" s="7" t="n">
        <v>-73.55415</v>
      </c>
    </row>
    <row r="74" customFormat="false" ht="15" hidden="false" customHeight="true" outlineLevel="0" collapsed="false">
      <c r="A74" s="7" t="s">
        <v>3578</v>
      </c>
      <c r="B74" s="7" t="n">
        <v>41.7</v>
      </c>
      <c r="C74" s="7" t="s">
        <v>3490</v>
      </c>
      <c r="D74" s="7" t="s">
        <v>3454</v>
      </c>
      <c r="E74" s="7" t="s">
        <v>3455</v>
      </c>
      <c r="F74" s="7" t="s">
        <v>3464</v>
      </c>
      <c r="G74" s="7" t="s">
        <v>3491</v>
      </c>
      <c r="H74" s="7" t="n">
        <v>42.0528</v>
      </c>
      <c r="I74" s="7" t="n">
        <v>-73.52503</v>
      </c>
    </row>
    <row r="75" customFormat="false" ht="15" hidden="false" customHeight="true" outlineLevel="0" collapsed="false">
      <c r="A75" s="7" t="s">
        <v>3579</v>
      </c>
      <c r="B75" s="7" t="n">
        <v>42.8</v>
      </c>
      <c r="C75" s="7" t="s">
        <v>3490</v>
      </c>
      <c r="D75" s="7" t="s">
        <v>3454</v>
      </c>
      <c r="E75" s="7" t="s">
        <v>3455</v>
      </c>
      <c r="F75" s="7" t="s">
        <v>3464</v>
      </c>
      <c r="G75" s="7" t="s">
        <v>3465</v>
      </c>
      <c r="H75" s="7" t="n">
        <v>42.00164</v>
      </c>
      <c r="I75" s="7" t="n">
        <v>-73.57943</v>
      </c>
    </row>
    <row r="76" customFormat="false" ht="23.25" hidden="false" customHeight="true" outlineLevel="0" collapsed="false">
      <c r="A76" s="7" t="s">
        <v>3580</v>
      </c>
      <c r="B76" s="7" t="n">
        <v>43.2</v>
      </c>
      <c r="C76" s="7" t="s">
        <v>3571</v>
      </c>
      <c r="D76" s="7" t="s">
        <v>3581</v>
      </c>
      <c r="E76" s="7" t="s">
        <v>3582</v>
      </c>
      <c r="F76" s="7" t="s">
        <v>3464</v>
      </c>
      <c r="G76" s="7" t="s">
        <v>3583</v>
      </c>
      <c r="H76" s="7" t="n">
        <v>42.8324</v>
      </c>
      <c r="I76" s="7" t="n">
        <v>-74.77818</v>
      </c>
    </row>
    <row r="77" customFormat="false" ht="15" hidden="false" customHeight="true" outlineLevel="0" collapsed="false">
      <c r="A77" s="7" t="s">
        <v>3584</v>
      </c>
      <c r="B77" s="7" t="n">
        <v>43.7</v>
      </c>
      <c r="C77" s="7" t="s">
        <v>3531</v>
      </c>
      <c r="D77" s="7" t="s">
        <v>3447</v>
      </c>
      <c r="E77" s="7" t="s">
        <v>3448</v>
      </c>
      <c r="F77" s="7" t="s">
        <v>3449</v>
      </c>
      <c r="G77" s="7" t="s">
        <v>3452</v>
      </c>
      <c r="H77" s="7" t="n">
        <v>41.88436</v>
      </c>
      <c r="I77" s="7" t="n">
        <v>-74.06591</v>
      </c>
    </row>
    <row r="78" customFormat="false" ht="15" hidden="false" customHeight="true" outlineLevel="0" collapsed="false">
      <c r="A78" s="7" t="s">
        <v>3585</v>
      </c>
      <c r="B78" s="7" t="n">
        <v>44.3</v>
      </c>
      <c r="C78" s="7" t="s">
        <v>3586</v>
      </c>
      <c r="D78" s="7" t="s">
        <v>3454</v>
      </c>
      <c r="E78" s="7" t="s">
        <v>3455</v>
      </c>
      <c r="F78" s="7" t="s">
        <v>3464</v>
      </c>
      <c r="G78" s="7" t="s">
        <v>3465</v>
      </c>
      <c r="H78" s="7" t="n">
        <v>43.03921</v>
      </c>
      <c r="I78" s="7" t="n">
        <v>-74.55156</v>
      </c>
    </row>
    <row r="79" customFormat="false" ht="23.25" hidden="false" customHeight="true" outlineLevel="0" collapsed="false">
      <c r="A79" s="7" t="s">
        <v>3587</v>
      </c>
      <c r="B79" s="7" t="n">
        <v>44.5</v>
      </c>
      <c r="C79" s="7" t="s">
        <v>3571</v>
      </c>
      <c r="D79" s="7" t="s">
        <v>3463</v>
      </c>
      <c r="E79" s="7" t="s">
        <v>3448</v>
      </c>
      <c r="F79" s="7" t="s">
        <v>3449</v>
      </c>
      <c r="G79" s="7" t="s">
        <v>3588</v>
      </c>
      <c r="H79" s="7" t="n">
        <v>42.86637</v>
      </c>
      <c r="I79" s="7" t="n">
        <v>-74.78124</v>
      </c>
    </row>
    <row r="80" customFormat="false" ht="15" hidden="false" customHeight="true" outlineLevel="0" collapsed="false">
      <c r="A80" s="7" t="s">
        <v>3589</v>
      </c>
      <c r="B80" s="7" t="n">
        <v>44.5</v>
      </c>
      <c r="C80" s="7" t="s">
        <v>3531</v>
      </c>
      <c r="D80" s="7" t="s">
        <v>3447</v>
      </c>
      <c r="E80" s="7" t="s">
        <v>3448</v>
      </c>
      <c r="F80" s="7" t="s">
        <v>3449</v>
      </c>
      <c r="G80" s="7" t="s">
        <v>3452</v>
      </c>
      <c r="H80" s="7" t="n">
        <v>41.87291</v>
      </c>
      <c r="I80" s="7" t="n">
        <v>-74.07465</v>
      </c>
    </row>
    <row r="81" customFormat="false" ht="23.25" hidden="false" customHeight="true" outlineLevel="0" collapsed="false">
      <c r="A81" s="7" t="s">
        <v>3590</v>
      </c>
      <c r="B81" s="7" t="n">
        <v>44.8</v>
      </c>
      <c r="C81" s="7" t="s">
        <v>3548</v>
      </c>
      <c r="D81" s="7" t="s">
        <v>3591</v>
      </c>
      <c r="E81" s="7" t="s">
        <v>3448</v>
      </c>
      <c r="F81" s="7" t="s">
        <v>3449</v>
      </c>
      <c r="G81" s="7" t="s">
        <v>3592</v>
      </c>
      <c r="H81" s="7" t="n">
        <v>41.89258</v>
      </c>
      <c r="I81" s="7" t="n">
        <v>-73.80626</v>
      </c>
    </row>
    <row r="82" customFormat="false" ht="15" hidden="false" customHeight="true" outlineLevel="0" collapsed="false">
      <c r="A82" s="7" t="s">
        <v>3593</v>
      </c>
      <c r="B82" s="7" t="n">
        <v>44.8</v>
      </c>
      <c r="C82" s="7" t="s">
        <v>3531</v>
      </c>
      <c r="D82" s="7" t="s">
        <v>3447</v>
      </c>
      <c r="E82" s="7" t="s">
        <v>3448</v>
      </c>
      <c r="F82" s="7" t="s">
        <v>3449</v>
      </c>
      <c r="G82" s="7" t="s">
        <v>3452</v>
      </c>
      <c r="H82" s="7" t="n">
        <v>41.86946</v>
      </c>
      <c r="I82" s="7" t="n">
        <v>-74.07638</v>
      </c>
    </row>
    <row r="83" customFormat="false" ht="15" hidden="false" customHeight="true" outlineLevel="0" collapsed="false">
      <c r="A83" s="7" t="s">
        <v>3594</v>
      </c>
      <c r="B83" s="7" t="n">
        <v>45</v>
      </c>
      <c r="C83" s="7" t="s">
        <v>3586</v>
      </c>
      <c r="D83" s="7" t="s">
        <v>3454</v>
      </c>
      <c r="E83" s="7" t="s">
        <v>3455</v>
      </c>
      <c r="F83" s="7" t="s">
        <v>3456</v>
      </c>
      <c r="G83" s="7" t="s">
        <v>3595</v>
      </c>
      <c r="H83" s="7" t="n">
        <v>43.03976</v>
      </c>
      <c r="I83" s="7" t="n">
        <v>-74.57273</v>
      </c>
    </row>
    <row r="84" customFormat="false" ht="15" hidden="false" customHeight="true" outlineLevel="0" collapsed="false">
      <c r="A84" s="7" t="s">
        <v>3596</v>
      </c>
      <c r="B84" s="7" t="n">
        <v>45.3</v>
      </c>
      <c r="C84" s="7" t="s">
        <v>3586</v>
      </c>
      <c r="D84" s="7" t="s">
        <v>3454</v>
      </c>
      <c r="E84" s="7" t="s">
        <v>3455</v>
      </c>
      <c r="F84" s="7" t="s">
        <v>3456</v>
      </c>
      <c r="G84" s="7" t="s">
        <v>3595</v>
      </c>
      <c r="H84" s="7" t="n">
        <v>43.04731</v>
      </c>
      <c r="I84" s="7" t="n">
        <v>-74.56856</v>
      </c>
    </row>
    <row r="85" customFormat="false" ht="15" hidden="false" customHeight="true" outlineLevel="0" collapsed="false">
      <c r="A85" s="7" t="s">
        <v>3597</v>
      </c>
      <c r="B85" s="7" t="n">
        <v>45.5</v>
      </c>
      <c r="C85" s="7" t="s">
        <v>1648</v>
      </c>
      <c r="D85" s="7" t="s">
        <v>3454</v>
      </c>
      <c r="E85" s="7" t="s">
        <v>3455</v>
      </c>
      <c r="F85" s="7" t="s">
        <v>3456</v>
      </c>
      <c r="G85" s="7" t="s">
        <v>3598</v>
      </c>
      <c r="H85" s="7" t="n">
        <v>43.13638</v>
      </c>
      <c r="I85" s="7" t="n">
        <v>-73.74178</v>
      </c>
    </row>
    <row r="86" customFormat="false" ht="15" hidden="false" customHeight="true" outlineLevel="0" collapsed="false">
      <c r="A86" s="7" t="s">
        <v>3599</v>
      </c>
      <c r="B86" s="7" t="n">
        <v>45.5</v>
      </c>
      <c r="C86" s="7" t="s">
        <v>1648</v>
      </c>
      <c r="D86" s="7" t="s">
        <v>3454</v>
      </c>
      <c r="E86" s="7" t="s">
        <v>3455</v>
      </c>
      <c r="F86" s="7" t="s">
        <v>3456</v>
      </c>
      <c r="G86" s="7" t="s">
        <v>3600</v>
      </c>
      <c r="H86" s="7" t="n">
        <v>43.13424</v>
      </c>
      <c r="I86" s="7" t="n">
        <v>-73.7307</v>
      </c>
    </row>
    <row r="87" customFormat="false" ht="23.25" hidden="false" customHeight="true" outlineLevel="0" collapsed="false">
      <c r="A87" s="7" t="s">
        <v>3601</v>
      </c>
      <c r="B87" s="7" t="n">
        <v>45.6</v>
      </c>
      <c r="C87" s="7" t="s">
        <v>3602</v>
      </c>
      <c r="D87" s="7" t="s">
        <v>3463</v>
      </c>
      <c r="E87" s="7" t="s">
        <v>3448</v>
      </c>
      <c r="F87" s="7" t="s">
        <v>3449</v>
      </c>
      <c r="G87" s="7" t="s">
        <v>3603</v>
      </c>
      <c r="H87" s="7" t="n">
        <v>42.88648</v>
      </c>
      <c r="I87" s="7" t="n">
        <v>-74.78888</v>
      </c>
    </row>
    <row r="88" customFormat="false" ht="15" hidden="false" customHeight="true" outlineLevel="0" collapsed="false">
      <c r="A88" s="7" t="s">
        <v>3604</v>
      </c>
      <c r="B88" s="7" t="n">
        <v>45.6</v>
      </c>
      <c r="C88" s="7" t="s">
        <v>1648</v>
      </c>
      <c r="D88" s="7" t="s">
        <v>3454</v>
      </c>
      <c r="E88" s="7" t="s">
        <v>3455</v>
      </c>
      <c r="F88" s="7" t="s">
        <v>3456</v>
      </c>
      <c r="G88" s="7" t="s">
        <v>3598</v>
      </c>
      <c r="H88" s="7" t="n">
        <v>43.13716</v>
      </c>
      <c r="I88" s="7" t="n">
        <v>-73.73911</v>
      </c>
    </row>
    <row r="89" customFormat="false" ht="23.25" hidden="false" customHeight="true" outlineLevel="0" collapsed="false">
      <c r="A89" s="7" t="s">
        <v>3605</v>
      </c>
      <c r="B89" s="7" t="n">
        <v>45.8</v>
      </c>
      <c r="C89" s="7" t="s">
        <v>3571</v>
      </c>
      <c r="D89" s="7" t="s">
        <v>3447</v>
      </c>
      <c r="E89" s="7" t="s">
        <v>3448</v>
      </c>
      <c r="F89" s="7" t="s">
        <v>3449</v>
      </c>
      <c r="G89" s="7" t="s">
        <v>3606</v>
      </c>
      <c r="H89" s="7" t="n">
        <v>42.8702</v>
      </c>
      <c r="I89" s="7" t="n">
        <v>-74.80894</v>
      </c>
    </row>
    <row r="90" customFormat="false" ht="23.25" hidden="false" customHeight="true" outlineLevel="0" collapsed="false">
      <c r="A90" s="7" t="s">
        <v>3607</v>
      </c>
      <c r="B90" s="7" t="n">
        <v>45.9</v>
      </c>
      <c r="C90" s="7" t="s">
        <v>3531</v>
      </c>
      <c r="D90" s="7" t="s">
        <v>3447</v>
      </c>
      <c r="E90" s="7" t="s">
        <v>3448</v>
      </c>
      <c r="F90" s="7" t="s">
        <v>3449</v>
      </c>
      <c r="G90" s="7" t="s">
        <v>3608</v>
      </c>
      <c r="H90" s="7" t="n">
        <v>41.85766</v>
      </c>
      <c r="I90" s="7" t="n">
        <v>-74.15384</v>
      </c>
    </row>
    <row r="91" customFormat="false" ht="23.25" hidden="false" customHeight="true" outlineLevel="0" collapsed="false">
      <c r="A91" s="7" t="s">
        <v>3609</v>
      </c>
      <c r="B91" s="7" t="n">
        <v>45.9</v>
      </c>
      <c r="C91" s="7" t="s">
        <v>3531</v>
      </c>
      <c r="D91" s="7" t="s">
        <v>3454</v>
      </c>
      <c r="E91" s="7" t="s">
        <v>3455</v>
      </c>
      <c r="F91" s="7" t="s">
        <v>3456</v>
      </c>
      <c r="G91" s="7" t="s">
        <v>3610</v>
      </c>
      <c r="H91" s="7" t="n">
        <v>41.8546</v>
      </c>
      <c r="I91" s="7" t="n">
        <v>-73.97584</v>
      </c>
    </row>
    <row r="92" customFormat="false" ht="15" hidden="false" customHeight="true" outlineLevel="0" collapsed="false">
      <c r="A92" s="7" t="s">
        <v>3611</v>
      </c>
      <c r="B92" s="7" t="n">
        <v>46.2</v>
      </c>
      <c r="C92" s="7" t="s">
        <v>1648</v>
      </c>
      <c r="D92" s="7" t="s">
        <v>3454</v>
      </c>
      <c r="E92" s="7" t="s">
        <v>3455</v>
      </c>
      <c r="F92" s="7" t="s">
        <v>3456</v>
      </c>
      <c r="G92" s="7" t="s">
        <v>3452</v>
      </c>
      <c r="H92" s="7" t="n">
        <v>43.128</v>
      </c>
      <c r="I92" s="7" t="n">
        <v>-73.67267</v>
      </c>
    </row>
    <row r="93" customFormat="false" ht="15" hidden="false" customHeight="true" outlineLevel="0" collapsed="false">
      <c r="A93" s="7" t="s">
        <v>3612</v>
      </c>
      <c r="B93" s="7" t="n">
        <v>46.3</v>
      </c>
      <c r="C93" s="7" t="s">
        <v>3602</v>
      </c>
      <c r="D93" s="7" t="s">
        <v>3463</v>
      </c>
      <c r="E93" s="7" t="s">
        <v>3448</v>
      </c>
      <c r="F93" s="7" t="s">
        <v>3449</v>
      </c>
      <c r="G93" s="7" t="s">
        <v>3613</v>
      </c>
      <c r="H93" s="7" t="n">
        <v>42.88418</v>
      </c>
      <c r="I93" s="7" t="n">
        <v>-74.80673</v>
      </c>
    </row>
    <row r="94" customFormat="false" ht="23.25" hidden="false" customHeight="true" outlineLevel="0" collapsed="false">
      <c r="A94" s="7" t="s">
        <v>3614</v>
      </c>
      <c r="B94" s="7" t="n">
        <v>46.3</v>
      </c>
      <c r="C94" s="7" t="s">
        <v>3531</v>
      </c>
      <c r="D94" s="7" t="s">
        <v>3447</v>
      </c>
      <c r="E94" s="7" t="s">
        <v>3448</v>
      </c>
      <c r="F94" s="7" t="s">
        <v>3449</v>
      </c>
      <c r="G94" s="7" t="s">
        <v>3615</v>
      </c>
      <c r="H94" s="7" t="n">
        <v>41.85209</v>
      </c>
      <c r="I94" s="7" t="n">
        <v>-74.16191</v>
      </c>
    </row>
    <row r="95" customFormat="false" ht="15" hidden="false" customHeight="true" outlineLevel="0" collapsed="false">
      <c r="A95" s="7" t="s">
        <v>3616</v>
      </c>
      <c r="B95" s="7" t="n">
        <v>46.9</v>
      </c>
      <c r="C95" s="7" t="s">
        <v>1648</v>
      </c>
      <c r="D95" s="7" t="s">
        <v>3454</v>
      </c>
      <c r="E95" s="7" t="s">
        <v>3455</v>
      </c>
      <c r="F95" s="7" t="s">
        <v>3456</v>
      </c>
      <c r="G95" s="7" t="s">
        <v>3452</v>
      </c>
      <c r="H95" s="7" t="n">
        <v>43.13954</v>
      </c>
      <c r="I95" s="7" t="n">
        <v>-73.67773</v>
      </c>
    </row>
    <row r="96" customFormat="false" ht="15" hidden="false" customHeight="true" outlineLevel="0" collapsed="false">
      <c r="A96" s="7" t="s">
        <v>3617</v>
      </c>
      <c r="B96" s="7" t="n">
        <v>47.1</v>
      </c>
      <c r="C96" s="7" t="s">
        <v>1648</v>
      </c>
      <c r="D96" s="7" t="s">
        <v>3454</v>
      </c>
      <c r="E96" s="7" t="s">
        <v>3455</v>
      </c>
      <c r="F96" s="7" t="s">
        <v>3456</v>
      </c>
      <c r="G96" s="7" t="s">
        <v>3452</v>
      </c>
      <c r="H96" s="7" t="n">
        <v>43.14444</v>
      </c>
      <c r="I96" s="7" t="n">
        <v>-73.68111</v>
      </c>
    </row>
    <row r="97" customFormat="false" ht="15" hidden="false" customHeight="true" outlineLevel="0" collapsed="false">
      <c r="A97" s="7" t="s">
        <v>3618</v>
      </c>
      <c r="B97" s="7" t="n">
        <v>47.1</v>
      </c>
      <c r="C97" s="7" t="s">
        <v>1648</v>
      </c>
      <c r="D97" s="7" t="s">
        <v>3454</v>
      </c>
      <c r="E97" s="7" t="s">
        <v>3455</v>
      </c>
      <c r="F97" s="7" t="s">
        <v>3456</v>
      </c>
      <c r="G97" s="7" t="s">
        <v>3452</v>
      </c>
      <c r="H97" s="7" t="n">
        <v>43.14207</v>
      </c>
      <c r="I97" s="7" t="n">
        <v>-73.67412</v>
      </c>
    </row>
    <row r="98" customFormat="false" ht="15" hidden="false" customHeight="true" outlineLevel="0" collapsed="false">
      <c r="A98" s="7" t="s">
        <v>3619</v>
      </c>
      <c r="B98" s="7" t="n">
        <v>47.2</v>
      </c>
      <c r="C98" s="7" t="s">
        <v>1648</v>
      </c>
      <c r="D98" s="7" t="s">
        <v>3534</v>
      </c>
      <c r="E98" s="7" t="s">
        <v>3448</v>
      </c>
      <c r="F98" s="7" t="s">
        <v>3449</v>
      </c>
      <c r="G98" s="7" t="s">
        <v>3620</v>
      </c>
      <c r="H98" s="7" t="n">
        <v>43.18963</v>
      </c>
      <c r="I98" s="7" t="n">
        <v>-73.88278</v>
      </c>
    </row>
    <row r="99" customFormat="false" ht="15" hidden="false" customHeight="true" outlineLevel="0" collapsed="false">
      <c r="A99" s="7" t="s">
        <v>3621</v>
      </c>
      <c r="B99" s="7" t="n">
        <v>47.2</v>
      </c>
      <c r="C99" s="7" t="s">
        <v>1648</v>
      </c>
      <c r="D99" s="7" t="s">
        <v>3454</v>
      </c>
      <c r="E99" s="7" t="s">
        <v>3455</v>
      </c>
      <c r="F99" s="7" t="s">
        <v>3456</v>
      </c>
      <c r="G99" s="7" t="s">
        <v>3452</v>
      </c>
      <c r="H99" s="7" t="n">
        <v>43.14453</v>
      </c>
      <c r="I99" s="7" t="n">
        <v>-73.67675</v>
      </c>
    </row>
    <row r="100" customFormat="false" ht="15" hidden="false" customHeight="true" outlineLevel="0" collapsed="false">
      <c r="A100" s="7" t="s">
        <v>3622</v>
      </c>
      <c r="B100" s="7" t="n">
        <v>47.2</v>
      </c>
      <c r="C100" s="7" t="s">
        <v>3531</v>
      </c>
      <c r="D100" s="7" t="s">
        <v>3454</v>
      </c>
      <c r="E100" s="7" t="s">
        <v>3455</v>
      </c>
      <c r="F100" s="7" t="s">
        <v>3456</v>
      </c>
      <c r="G100" s="7" t="s">
        <v>3452</v>
      </c>
      <c r="H100" s="7" t="n">
        <v>41.85534</v>
      </c>
      <c r="I100" s="7" t="n">
        <v>-74.27494</v>
      </c>
    </row>
    <row r="101" customFormat="false" ht="15" hidden="false" customHeight="true" outlineLevel="0" collapsed="false">
      <c r="A101" s="7" t="s">
        <v>3623</v>
      </c>
      <c r="B101" s="7" t="n">
        <v>47.3</v>
      </c>
      <c r="C101" s="7" t="s">
        <v>1648</v>
      </c>
      <c r="D101" s="7" t="s">
        <v>3454</v>
      </c>
      <c r="E101" s="7" t="s">
        <v>3455</v>
      </c>
      <c r="F101" s="7" t="s">
        <v>3456</v>
      </c>
      <c r="G101" s="7" t="s">
        <v>3452</v>
      </c>
      <c r="H101" s="7" t="n">
        <v>43.1492</v>
      </c>
      <c r="I101" s="7" t="n">
        <v>-73.68484</v>
      </c>
    </row>
    <row r="102" customFormat="false" ht="15" hidden="false" customHeight="true" outlineLevel="0" collapsed="false">
      <c r="A102" s="7" t="s">
        <v>3624</v>
      </c>
      <c r="B102" s="7" t="n">
        <v>47.3</v>
      </c>
      <c r="C102" s="7" t="s">
        <v>1648</v>
      </c>
      <c r="D102" s="7" t="s">
        <v>3454</v>
      </c>
      <c r="E102" s="7" t="s">
        <v>3455</v>
      </c>
      <c r="F102" s="7" t="s">
        <v>3456</v>
      </c>
      <c r="G102" s="7" t="s">
        <v>3452</v>
      </c>
      <c r="H102" s="7" t="n">
        <v>43.1479</v>
      </c>
      <c r="I102" s="7" t="n">
        <v>-73.68082</v>
      </c>
    </row>
    <row r="103" customFormat="false" ht="15" hidden="false" customHeight="true" outlineLevel="0" collapsed="false">
      <c r="A103" s="7" t="s">
        <v>3625</v>
      </c>
      <c r="B103" s="7" t="n">
        <v>47.4</v>
      </c>
      <c r="C103" s="7" t="s">
        <v>1648</v>
      </c>
      <c r="D103" s="7" t="s">
        <v>3454</v>
      </c>
      <c r="E103" s="7" t="s">
        <v>3455</v>
      </c>
      <c r="F103" s="7" t="s">
        <v>3456</v>
      </c>
      <c r="G103" s="7" t="s">
        <v>3452</v>
      </c>
      <c r="H103" s="7" t="n">
        <v>43.14988</v>
      </c>
      <c r="I103" s="7" t="n">
        <v>-73.68468</v>
      </c>
    </row>
    <row r="104" customFormat="false" ht="15" hidden="false" customHeight="true" outlineLevel="0" collapsed="false">
      <c r="A104" s="7" t="s">
        <v>3626</v>
      </c>
      <c r="B104" s="7" t="n">
        <v>47.4</v>
      </c>
      <c r="C104" s="7" t="s">
        <v>1648</v>
      </c>
      <c r="D104" s="7" t="s">
        <v>3454</v>
      </c>
      <c r="E104" s="7" t="s">
        <v>3455</v>
      </c>
      <c r="F104" s="7" t="s">
        <v>3456</v>
      </c>
      <c r="G104" s="7" t="s">
        <v>3452</v>
      </c>
      <c r="H104" s="7" t="n">
        <v>43.14709</v>
      </c>
      <c r="I104" s="7" t="n">
        <v>-73.67372</v>
      </c>
    </row>
    <row r="105" customFormat="false" ht="15" hidden="false" customHeight="true" outlineLevel="0" collapsed="false">
      <c r="A105" s="7" t="s">
        <v>3627</v>
      </c>
      <c r="B105" s="7" t="n">
        <v>47.5</v>
      </c>
      <c r="C105" s="7" t="s">
        <v>1648</v>
      </c>
      <c r="D105" s="7" t="s">
        <v>3518</v>
      </c>
      <c r="E105" s="7" t="s">
        <v>3448</v>
      </c>
      <c r="F105" s="7" t="s">
        <v>3449</v>
      </c>
      <c r="G105" s="7" t="s">
        <v>3452</v>
      </c>
      <c r="H105" s="7" t="n">
        <v>43.17151</v>
      </c>
      <c r="I105" s="7" t="n">
        <v>-73.75745</v>
      </c>
    </row>
    <row r="106" customFormat="false" ht="15" hidden="false" customHeight="true" outlineLevel="0" collapsed="false">
      <c r="A106" s="7" t="s">
        <v>3628</v>
      </c>
      <c r="B106" s="7" t="n">
        <v>47.5</v>
      </c>
      <c r="C106" s="7" t="s">
        <v>1648</v>
      </c>
      <c r="D106" s="7" t="s">
        <v>3454</v>
      </c>
      <c r="E106" s="7" t="s">
        <v>3455</v>
      </c>
      <c r="F106" s="7" t="s">
        <v>3456</v>
      </c>
      <c r="G106" s="7" t="s">
        <v>3458</v>
      </c>
      <c r="H106" s="7" t="n">
        <v>43.15505</v>
      </c>
      <c r="I106" s="7" t="n">
        <v>-73.69417</v>
      </c>
    </row>
    <row r="107" customFormat="false" ht="15" hidden="false" customHeight="true" outlineLevel="0" collapsed="false">
      <c r="A107" s="7" t="s">
        <v>3629</v>
      </c>
      <c r="B107" s="7" t="n">
        <v>47.6</v>
      </c>
      <c r="C107" s="7" t="s">
        <v>3571</v>
      </c>
      <c r="D107" s="7" t="s">
        <v>3447</v>
      </c>
      <c r="E107" s="7" t="s">
        <v>3448</v>
      </c>
      <c r="F107" s="7" t="s">
        <v>3464</v>
      </c>
      <c r="G107" s="7" t="s">
        <v>3630</v>
      </c>
      <c r="H107" s="7" t="n">
        <v>42.84132</v>
      </c>
      <c r="I107" s="7" t="n">
        <v>-74.87187</v>
      </c>
    </row>
    <row r="108" customFormat="false" ht="15" hidden="false" customHeight="true" outlineLevel="0" collapsed="false">
      <c r="A108" s="7" t="s">
        <v>3631</v>
      </c>
      <c r="B108" s="7" t="n">
        <v>47.7</v>
      </c>
      <c r="C108" s="7" t="s">
        <v>1648</v>
      </c>
      <c r="D108" s="7" t="s">
        <v>3454</v>
      </c>
      <c r="E108" s="7" t="s">
        <v>3455</v>
      </c>
      <c r="F108" s="7" t="s">
        <v>3456</v>
      </c>
      <c r="G108" s="7" t="s">
        <v>3452</v>
      </c>
      <c r="H108" s="7" t="n">
        <v>43.1524</v>
      </c>
      <c r="I108" s="7" t="n">
        <v>-73.67744</v>
      </c>
    </row>
    <row r="109" customFormat="false" ht="23.25" hidden="false" customHeight="true" outlineLevel="0" collapsed="false">
      <c r="A109" s="7" t="s">
        <v>3632</v>
      </c>
      <c r="B109" s="7" t="n">
        <v>47.9</v>
      </c>
      <c r="C109" s="7" t="s">
        <v>1648</v>
      </c>
      <c r="D109" s="7" t="s">
        <v>3454</v>
      </c>
      <c r="E109" s="7" t="s">
        <v>3455</v>
      </c>
      <c r="F109" s="7" t="s">
        <v>3456</v>
      </c>
      <c r="G109" s="7" t="s">
        <v>3633</v>
      </c>
      <c r="H109" s="7" t="n">
        <v>43.15008</v>
      </c>
      <c r="I109" s="7" t="n">
        <v>-73.66182</v>
      </c>
    </row>
    <row r="110" customFormat="false" ht="23.25" hidden="false" customHeight="true" outlineLevel="0" collapsed="false">
      <c r="A110" s="7" t="s">
        <v>3634</v>
      </c>
      <c r="B110" s="7" t="n">
        <v>48</v>
      </c>
      <c r="C110" s="7" t="s">
        <v>3602</v>
      </c>
      <c r="D110" s="7" t="s">
        <v>3463</v>
      </c>
      <c r="E110" s="7" t="s">
        <v>3448</v>
      </c>
      <c r="F110" s="7" t="s">
        <v>3449</v>
      </c>
      <c r="G110" s="7" t="s">
        <v>3635</v>
      </c>
      <c r="H110" s="7" t="n">
        <v>42.90931</v>
      </c>
      <c r="I110" s="7" t="n">
        <v>-74.82483</v>
      </c>
    </row>
    <row r="111" customFormat="false" ht="15" hidden="false" customHeight="true" outlineLevel="0" collapsed="false">
      <c r="A111" s="7" t="s">
        <v>3636</v>
      </c>
      <c r="B111" s="7" t="n">
        <v>48.5</v>
      </c>
      <c r="C111" s="7" t="s">
        <v>1648</v>
      </c>
      <c r="D111" s="7" t="s">
        <v>3518</v>
      </c>
      <c r="E111" s="7" t="s">
        <v>3448</v>
      </c>
      <c r="F111" s="7" t="s">
        <v>3464</v>
      </c>
      <c r="G111" s="7" t="s">
        <v>3523</v>
      </c>
      <c r="H111" s="7" t="n">
        <v>43.17741</v>
      </c>
      <c r="I111" s="7" t="n">
        <v>-73.72171</v>
      </c>
    </row>
    <row r="112" customFormat="false" ht="15" hidden="false" customHeight="true" outlineLevel="0" collapsed="false">
      <c r="A112" s="7" t="s">
        <v>3637</v>
      </c>
      <c r="B112" s="7" t="n">
        <v>49.6</v>
      </c>
      <c r="C112" s="7" t="s">
        <v>1648</v>
      </c>
      <c r="D112" s="7" t="s">
        <v>3534</v>
      </c>
      <c r="E112" s="7" t="s">
        <v>3448</v>
      </c>
      <c r="F112" s="7" t="s">
        <v>3449</v>
      </c>
      <c r="G112" s="7" t="s">
        <v>3452</v>
      </c>
      <c r="H112" s="7" t="n">
        <v>43.21631</v>
      </c>
      <c r="I112" s="7" t="n">
        <v>-73.8216</v>
      </c>
    </row>
    <row r="113" customFormat="false" ht="15" hidden="false" customHeight="true" outlineLevel="0" collapsed="false">
      <c r="A113" s="7" t="s">
        <v>3638</v>
      </c>
      <c r="B113" s="7" t="n">
        <v>49.8</v>
      </c>
      <c r="C113" s="7" t="s">
        <v>3548</v>
      </c>
      <c r="D113" s="7" t="s">
        <v>3454</v>
      </c>
      <c r="E113" s="7" t="s">
        <v>3455</v>
      </c>
      <c r="F113" s="7" t="s">
        <v>3464</v>
      </c>
      <c r="G113" s="7" t="s">
        <v>3639</v>
      </c>
      <c r="H113" s="7" t="n">
        <v>41.84005</v>
      </c>
      <c r="I113" s="7" t="n">
        <v>-73.7122</v>
      </c>
    </row>
    <row r="114" customFormat="false" ht="15" hidden="false" customHeight="true" outlineLevel="0" collapsed="false">
      <c r="A114" s="7" t="s">
        <v>3640</v>
      </c>
      <c r="B114" s="7" t="n">
        <v>49.9</v>
      </c>
      <c r="C114" s="7" t="s">
        <v>3548</v>
      </c>
      <c r="D114" s="7" t="s">
        <v>3454</v>
      </c>
      <c r="E114" s="7" t="s">
        <v>3455</v>
      </c>
      <c r="F114" s="7" t="s">
        <v>3456</v>
      </c>
      <c r="G114" s="7" t="s">
        <v>3460</v>
      </c>
      <c r="H114" s="7" t="n">
        <v>41.80718</v>
      </c>
      <c r="I114" s="7" t="n">
        <v>-73.86368</v>
      </c>
    </row>
    <row r="115" customFormat="false" ht="15" hidden="false" customHeight="true" outlineLevel="0" collapsed="false">
      <c r="A115" s="7" t="s">
        <v>3641</v>
      </c>
      <c r="B115" s="7" t="n">
        <v>50.4</v>
      </c>
      <c r="C115" s="7" t="s">
        <v>1648</v>
      </c>
      <c r="D115" s="7" t="s">
        <v>3534</v>
      </c>
      <c r="E115" s="7" t="s">
        <v>3448</v>
      </c>
      <c r="F115" s="7" t="s">
        <v>3449</v>
      </c>
      <c r="G115" s="7" t="s">
        <v>3452</v>
      </c>
      <c r="H115" s="7" t="n">
        <v>43.23206</v>
      </c>
      <c r="I115" s="7" t="n">
        <v>-73.85326</v>
      </c>
    </row>
    <row r="116" customFormat="false" ht="15" hidden="false" customHeight="true" outlineLevel="0" collapsed="false">
      <c r="A116" s="7" t="s">
        <v>3642</v>
      </c>
      <c r="B116" s="7" t="n">
        <v>50.9</v>
      </c>
      <c r="C116" s="7" t="s">
        <v>3531</v>
      </c>
      <c r="D116" s="7" t="s">
        <v>3454</v>
      </c>
      <c r="E116" s="7" t="s">
        <v>3455</v>
      </c>
      <c r="F116" s="7" t="s">
        <v>3464</v>
      </c>
      <c r="G116" s="7" t="s">
        <v>3465</v>
      </c>
      <c r="H116" s="7" t="n">
        <v>41.80717</v>
      </c>
      <c r="I116" s="7" t="n">
        <v>-74.3108</v>
      </c>
    </row>
    <row r="117" customFormat="false" ht="15" hidden="false" customHeight="true" outlineLevel="0" collapsed="false">
      <c r="A117" s="7" t="s">
        <v>3643</v>
      </c>
      <c r="B117" s="7" t="n">
        <v>51.1</v>
      </c>
      <c r="C117" s="7" t="s">
        <v>3548</v>
      </c>
      <c r="D117" s="7" t="s">
        <v>3454</v>
      </c>
      <c r="E117" s="7" t="s">
        <v>3455</v>
      </c>
      <c r="F117" s="7" t="s">
        <v>3464</v>
      </c>
      <c r="G117" s="7" t="s">
        <v>3644</v>
      </c>
      <c r="H117" s="7" t="n">
        <v>41.81055</v>
      </c>
      <c r="I117" s="7" t="n">
        <v>-73.74795</v>
      </c>
    </row>
    <row r="118" customFormat="false" ht="15" hidden="false" customHeight="true" outlineLevel="0" collapsed="false">
      <c r="A118" s="7" t="s">
        <v>3645</v>
      </c>
      <c r="B118" s="7" t="n">
        <v>51.2</v>
      </c>
      <c r="C118" s="7" t="s">
        <v>3531</v>
      </c>
      <c r="D118" s="7" t="s">
        <v>3447</v>
      </c>
      <c r="E118" s="7" t="s">
        <v>3448</v>
      </c>
      <c r="F118" s="7" t="s">
        <v>3464</v>
      </c>
      <c r="G118" s="7" t="s">
        <v>3646</v>
      </c>
      <c r="H118" s="7" t="n">
        <v>41.79922</v>
      </c>
      <c r="I118" s="7" t="n">
        <v>-74.29401</v>
      </c>
    </row>
    <row r="119" customFormat="false" ht="15" hidden="false" customHeight="true" outlineLevel="0" collapsed="false">
      <c r="A119" s="7" t="s">
        <v>3647</v>
      </c>
      <c r="B119" s="7" t="n">
        <v>51.8</v>
      </c>
      <c r="C119" s="7" t="s">
        <v>1648</v>
      </c>
      <c r="D119" s="7" t="s">
        <v>3534</v>
      </c>
      <c r="E119" s="7" t="s">
        <v>3448</v>
      </c>
      <c r="F119" s="7" t="s">
        <v>3464</v>
      </c>
      <c r="G119" s="7" t="s">
        <v>3648</v>
      </c>
      <c r="H119" s="7" t="n">
        <v>43.24591</v>
      </c>
      <c r="I119" s="7" t="n">
        <v>-73.80196</v>
      </c>
    </row>
    <row r="120" customFormat="false" ht="15" hidden="false" customHeight="true" outlineLevel="0" collapsed="false">
      <c r="A120" s="7" t="s">
        <v>3649</v>
      </c>
      <c r="B120" s="7" t="n">
        <v>52</v>
      </c>
      <c r="C120" s="7" t="s">
        <v>3531</v>
      </c>
      <c r="D120" s="7" t="s">
        <v>3447</v>
      </c>
      <c r="E120" s="7" t="s">
        <v>3448</v>
      </c>
      <c r="F120" s="7" t="s">
        <v>3449</v>
      </c>
      <c r="G120" s="7" t="s">
        <v>3650</v>
      </c>
      <c r="H120" s="7" t="n">
        <v>41.78898</v>
      </c>
      <c r="I120" s="7" t="n">
        <v>-74.30329</v>
      </c>
    </row>
    <row r="121" customFormat="false" ht="23.25" hidden="false" customHeight="true" outlineLevel="0" collapsed="false">
      <c r="A121" s="7" t="s">
        <v>3651</v>
      </c>
      <c r="B121" s="7" t="n">
        <v>52.3</v>
      </c>
      <c r="C121" s="7" t="s">
        <v>3602</v>
      </c>
      <c r="D121" s="7" t="s">
        <v>3447</v>
      </c>
      <c r="E121" s="7" t="s">
        <v>3448</v>
      </c>
      <c r="F121" s="7" t="s">
        <v>3449</v>
      </c>
      <c r="G121" s="7" t="s">
        <v>3652</v>
      </c>
      <c r="H121" s="7" t="n">
        <v>42.94067</v>
      </c>
      <c r="I121" s="7" t="n">
        <v>-74.89907</v>
      </c>
    </row>
    <row r="122" customFormat="false" ht="15" hidden="false" customHeight="true" outlineLevel="0" collapsed="false">
      <c r="A122" s="7" t="s">
        <v>3653</v>
      </c>
      <c r="B122" s="7" t="n">
        <v>52.5</v>
      </c>
      <c r="C122" s="7" t="s">
        <v>3531</v>
      </c>
      <c r="D122" s="7" t="s">
        <v>3454</v>
      </c>
      <c r="E122" s="7" t="s">
        <v>3455</v>
      </c>
      <c r="F122" s="7" t="s">
        <v>3464</v>
      </c>
      <c r="G122" s="7" t="s">
        <v>3654</v>
      </c>
      <c r="H122" s="7" t="n">
        <v>41.75702</v>
      </c>
      <c r="I122" s="7" t="n">
        <v>-74.06632</v>
      </c>
    </row>
    <row r="123" customFormat="false" ht="15" hidden="false" customHeight="true" outlineLevel="0" collapsed="false">
      <c r="A123" s="7" t="s">
        <v>3655</v>
      </c>
      <c r="B123" s="7" t="n">
        <v>52.9</v>
      </c>
      <c r="C123" s="7" t="s">
        <v>3602</v>
      </c>
      <c r="D123" s="7" t="s">
        <v>3454</v>
      </c>
      <c r="E123" s="7" t="s">
        <v>3455</v>
      </c>
      <c r="F123" s="7" t="s">
        <v>3456</v>
      </c>
      <c r="G123" s="7" t="s">
        <v>3656</v>
      </c>
      <c r="H123" s="7" t="n">
        <v>43.0285</v>
      </c>
      <c r="I123" s="7" t="n">
        <v>-74.82213</v>
      </c>
    </row>
    <row r="124" customFormat="false" ht="15" hidden="false" customHeight="true" outlineLevel="0" collapsed="false">
      <c r="A124" s="7" t="s">
        <v>3657</v>
      </c>
      <c r="B124" s="7" t="n">
        <v>54.4</v>
      </c>
      <c r="C124" s="7" t="s">
        <v>3548</v>
      </c>
      <c r="D124" s="7" t="s">
        <v>3454</v>
      </c>
      <c r="E124" s="7" t="s">
        <v>3455</v>
      </c>
      <c r="F124" s="7" t="s">
        <v>3456</v>
      </c>
      <c r="G124" s="7" t="s">
        <v>3452</v>
      </c>
      <c r="H124" s="7" t="n">
        <v>41.76275</v>
      </c>
      <c r="I124" s="7" t="n">
        <v>-73.74197</v>
      </c>
    </row>
    <row r="125" customFormat="false" ht="15" hidden="false" customHeight="true" outlineLevel="0" collapsed="false">
      <c r="A125" s="7" t="s">
        <v>3658</v>
      </c>
      <c r="B125" s="7" t="n">
        <v>54.7</v>
      </c>
      <c r="C125" s="7" t="s">
        <v>1648</v>
      </c>
      <c r="D125" s="7" t="s">
        <v>3454</v>
      </c>
      <c r="E125" s="7" t="s">
        <v>3455</v>
      </c>
      <c r="F125" s="7" t="s">
        <v>3464</v>
      </c>
      <c r="G125" s="7" t="s">
        <v>3659</v>
      </c>
      <c r="H125" s="7" t="n">
        <v>43.26896</v>
      </c>
      <c r="I125" s="7" t="n">
        <v>-73.70588</v>
      </c>
    </row>
    <row r="126" customFormat="false" ht="15" hidden="false" customHeight="true" outlineLevel="0" collapsed="false">
      <c r="A126" s="7" t="s">
        <v>3660</v>
      </c>
      <c r="B126" s="7" t="n">
        <v>54.8</v>
      </c>
      <c r="C126" s="7" t="s">
        <v>3531</v>
      </c>
      <c r="D126" s="7" t="s">
        <v>3454</v>
      </c>
      <c r="E126" s="7" t="s">
        <v>3455</v>
      </c>
      <c r="F126" s="7" t="s">
        <v>3456</v>
      </c>
      <c r="G126" s="7" t="s">
        <v>3452</v>
      </c>
      <c r="H126" s="7" t="n">
        <v>41.76</v>
      </c>
      <c r="I126" s="7" t="n">
        <v>-74.36394</v>
      </c>
    </row>
    <row r="127" customFormat="false" ht="15" hidden="false" customHeight="true" outlineLevel="0" collapsed="false">
      <c r="A127" s="7" t="s">
        <v>3661</v>
      </c>
      <c r="B127" s="7" t="n">
        <v>55.1</v>
      </c>
      <c r="C127" s="7" t="s">
        <v>3531</v>
      </c>
      <c r="D127" s="7" t="s">
        <v>3454</v>
      </c>
      <c r="E127" s="7" t="s">
        <v>3455</v>
      </c>
      <c r="F127" s="7" t="s">
        <v>3464</v>
      </c>
      <c r="G127" s="7" t="s">
        <v>3662</v>
      </c>
      <c r="H127" s="7" t="n">
        <v>41.75823</v>
      </c>
      <c r="I127" s="7" t="n">
        <v>-74.37298</v>
      </c>
    </row>
    <row r="128" customFormat="false" ht="15" hidden="false" customHeight="true" outlineLevel="0" collapsed="false">
      <c r="A128" s="7" t="s">
        <v>3663</v>
      </c>
      <c r="B128" s="7" t="n">
        <v>55.5</v>
      </c>
      <c r="C128" s="7" t="s">
        <v>1648</v>
      </c>
      <c r="D128" s="7" t="s">
        <v>3454</v>
      </c>
      <c r="E128" s="7" t="s">
        <v>3455</v>
      </c>
      <c r="F128" s="7" t="s">
        <v>3456</v>
      </c>
      <c r="G128" s="7" t="s">
        <v>3452</v>
      </c>
      <c r="H128" s="7" t="n">
        <v>43.26635</v>
      </c>
      <c r="I128" s="7" t="n">
        <v>-73.64972</v>
      </c>
    </row>
    <row r="129" customFormat="false" ht="23.25" hidden="false" customHeight="true" outlineLevel="0" collapsed="false">
      <c r="A129" s="7" t="s">
        <v>3664</v>
      </c>
      <c r="B129" s="7" t="n">
        <v>55.9</v>
      </c>
      <c r="C129" s="7" t="s">
        <v>3602</v>
      </c>
      <c r="D129" s="7" t="s">
        <v>3454</v>
      </c>
      <c r="E129" s="7" t="s">
        <v>3455</v>
      </c>
      <c r="F129" s="7" t="s">
        <v>3464</v>
      </c>
      <c r="G129" s="7" t="s">
        <v>3665</v>
      </c>
      <c r="H129" s="7" t="n">
        <v>43.01832</v>
      </c>
      <c r="I129" s="7" t="n">
        <v>-74.90879</v>
      </c>
    </row>
    <row r="130" customFormat="false" ht="23.25" hidden="false" customHeight="true" outlineLevel="0" collapsed="false">
      <c r="A130" s="7" t="s">
        <v>3666</v>
      </c>
      <c r="B130" s="7" t="n">
        <v>56.8</v>
      </c>
      <c r="C130" s="7" t="s">
        <v>3602</v>
      </c>
      <c r="D130" s="7" t="s">
        <v>3454</v>
      </c>
      <c r="E130" s="7" t="s">
        <v>3455</v>
      </c>
      <c r="F130" s="7" t="s">
        <v>3456</v>
      </c>
      <c r="G130" s="7" t="s">
        <v>3667</v>
      </c>
      <c r="H130" s="7" t="n">
        <v>43.02957</v>
      </c>
      <c r="I130" s="7" t="n">
        <v>-74.92161</v>
      </c>
    </row>
    <row r="131" customFormat="false" ht="15" hidden="false" customHeight="true" outlineLevel="0" collapsed="false">
      <c r="A131" s="7" t="s">
        <v>3668</v>
      </c>
      <c r="B131" s="7" t="n">
        <v>57.5</v>
      </c>
      <c r="C131" s="7" t="s">
        <v>3669</v>
      </c>
      <c r="D131" s="7" t="s">
        <v>3454</v>
      </c>
      <c r="E131" s="7" t="s">
        <v>3455</v>
      </c>
      <c r="F131" s="7" t="s">
        <v>3456</v>
      </c>
      <c r="G131" s="7" t="s">
        <v>3670</v>
      </c>
      <c r="H131" s="7" t="n">
        <v>43.30997</v>
      </c>
      <c r="I131" s="7" t="n">
        <v>-73.69984</v>
      </c>
    </row>
    <row r="132" customFormat="false" ht="15" hidden="false" customHeight="true" outlineLevel="0" collapsed="false">
      <c r="A132" s="7" t="s">
        <v>3671</v>
      </c>
      <c r="B132" s="7" t="n">
        <v>57.8</v>
      </c>
      <c r="C132" s="7" t="s">
        <v>3669</v>
      </c>
      <c r="D132" s="7" t="s">
        <v>3454</v>
      </c>
      <c r="E132" s="7" t="s">
        <v>3455</v>
      </c>
      <c r="F132" s="7" t="s">
        <v>3456</v>
      </c>
      <c r="G132" s="7" t="s">
        <v>3672</v>
      </c>
      <c r="H132" s="7" t="n">
        <v>43.31443</v>
      </c>
      <c r="I132" s="7" t="n">
        <v>-73.6973</v>
      </c>
    </row>
    <row r="133" customFormat="false" ht="23.25" hidden="false" customHeight="true" outlineLevel="0" collapsed="false">
      <c r="A133" s="7" t="s">
        <v>3673</v>
      </c>
      <c r="B133" s="7" t="n">
        <v>57.9</v>
      </c>
      <c r="C133" s="7" t="s">
        <v>3669</v>
      </c>
      <c r="D133" s="7" t="s">
        <v>3454</v>
      </c>
      <c r="E133" s="7" t="s">
        <v>3455</v>
      </c>
      <c r="F133" s="7" t="s">
        <v>3456</v>
      </c>
      <c r="G133" s="7" t="s">
        <v>3674</v>
      </c>
      <c r="H133" s="7" t="n">
        <v>43.31367</v>
      </c>
      <c r="I133" s="7" t="n">
        <v>-73.69267</v>
      </c>
    </row>
    <row r="134" customFormat="false" ht="15" hidden="false" customHeight="true" outlineLevel="0" collapsed="false">
      <c r="A134" s="7" t="s">
        <v>3675</v>
      </c>
      <c r="B134" s="7" t="n">
        <v>58.6</v>
      </c>
      <c r="C134" s="7" t="s">
        <v>3669</v>
      </c>
      <c r="D134" s="7" t="s">
        <v>3454</v>
      </c>
      <c r="E134" s="7" t="s">
        <v>3455</v>
      </c>
      <c r="F134" s="7" t="s">
        <v>3464</v>
      </c>
      <c r="G134" s="7" t="s">
        <v>3465</v>
      </c>
      <c r="H134" s="7" t="n">
        <v>43.32259</v>
      </c>
      <c r="I134" s="7" t="n">
        <v>-73.68371</v>
      </c>
    </row>
    <row r="135" customFormat="false" ht="23.25" hidden="false" customHeight="true" outlineLevel="0" collapsed="false">
      <c r="A135" s="7" t="s">
        <v>3676</v>
      </c>
      <c r="B135" s="7" t="n">
        <v>58.6</v>
      </c>
      <c r="C135" s="7" t="s">
        <v>3677</v>
      </c>
      <c r="D135" s="7" t="s">
        <v>3454</v>
      </c>
      <c r="E135" s="7" t="s">
        <v>3455</v>
      </c>
      <c r="F135" s="7" t="s">
        <v>3464</v>
      </c>
      <c r="G135" s="7" t="s">
        <v>3465</v>
      </c>
      <c r="H135" s="7" t="n">
        <v>43.25377</v>
      </c>
      <c r="I135" s="7" t="n">
        <v>-73.4733</v>
      </c>
    </row>
    <row r="136" customFormat="false" ht="15" hidden="false" customHeight="true" outlineLevel="0" collapsed="false">
      <c r="A136" s="7" t="s">
        <v>3678</v>
      </c>
      <c r="B136" s="7" t="n">
        <v>58.7</v>
      </c>
      <c r="C136" s="7" t="s">
        <v>3602</v>
      </c>
      <c r="D136" s="7" t="s">
        <v>3454</v>
      </c>
      <c r="E136" s="7" t="s">
        <v>3455</v>
      </c>
      <c r="F136" s="7" t="s">
        <v>3456</v>
      </c>
      <c r="G136" s="7" t="s">
        <v>3679</v>
      </c>
      <c r="H136" s="7" t="n">
        <v>43.02302</v>
      </c>
      <c r="I136" s="7" t="n">
        <v>-74.97407</v>
      </c>
    </row>
    <row r="137" customFormat="false" ht="23.25" hidden="false" customHeight="true" outlineLevel="0" collapsed="false">
      <c r="A137" s="7" t="s">
        <v>3680</v>
      </c>
      <c r="B137" s="7" t="n">
        <v>58.7</v>
      </c>
      <c r="C137" s="7" t="s">
        <v>3677</v>
      </c>
      <c r="D137" s="7" t="s">
        <v>3454</v>
      </c>
      <c r="E137" s="7" t="s">
        <v>3455</v>
      </c>
      <c r="F137" s="7" t="s">
        <v>3464</v>
      </c>
      <c r="G137" s="7" t="s">
        <v>3465</v>
      </c>
      <c r="H137" s="7" t="n">
        <v>43.25513</v>
      </c>
      <c r="I137" s="7" t="n">
        <v>-73.47267</v>
      </c>
    </row>
    <row r="138" customFormat="false" ht="15" hidden="false" customHeight="true" outlineLevel="0" collapsed="false">
      <c r="A138" s="7" t="s">
        <v>3681</v>
      </c>
      <c r="B138" s="7" t="n">
        <v>58.8</v>
      </c>
      <c r="C138" s="7" t="s">
        <v>3602</v>
      </c>
      <c r="D138" s="7" t="s">
        <v>3454</v>
      </c>
      <c r="E138" s="7" t="s">
        <v>3455</v>
      </c>
      <c r="F138" s="7" t="s">
        <v>3464</v>
      </c>
      <c r="G138" s="7" t="s">
        <v>3682</v>
      </c>
      <c r="H138" s="7" t="n">
        <v>43.03488</v>
      </c>
      <c r="I138" s="7" t="n">
        <v>-74.96385</v>
      </c>
    </row>
    <row r="139" customFormat="false" ht="23.25" hidden="false" customHeight="true" outlineLevel="0" collapsed="false">
      <c r="A139" s="7" t="s">
        <v>3683</v>
      </c>
      <c r="B139" s="7" t="n">
        <v>58.9</v>
      </c>
      <c r="C139" s="7" t="s">
        <v>3677</v>
      </c>
      <c r="D139" s="7" t="s">
        <v>3454</v>
      </c>
      <c r="E139" s="7" t="s">
        <v>3455</v>
      </c>
      <c r="F139" s="7" t="s">
        <v>3464</v>
      </c>
      <c r="G139" s="7" t="s">
        <v>3465</v>
      </c>
      <c r="H139" s="7" t="n">
        <v>43.25907</v>
      </c>
      <c r="I139" s="7" t="n">
        <v>-73.47169</v>
      </c>
    </row>
    <row r="140" customFormat="false" ht="23.25" hidden="false" customHeight="true" outlineLevel="0" collapsed="false">
      <c r="A140" s="7" t="s">
        <v>3684</v>
      </c>
      <c r="B140" s="7" t="n">
        <v>59</v>
      </c>
      <c r="C140" s="7" t="s">
        <v>3602</v>
      </c>
      <c r="D140" s="7" t="s">
        <v>3454</v>
      </c>
      <c r="E140" s="7" t="s">
        <v>3455</v>
      </c>
      <c r="F140" s="7" t="s">
        <v>3464</v>
      </c>
      <c r="G140" s="7" t="s">
        <v>3685</v>
      </c>
      <c r="H140" s="7" t="n">
        <v>43.02808</v>
      </c>
      <c r="I140" s="7" t="n">
        <v>-74.97635</v>
      </c>
    </row>
    <row r="141" customFormat="false" ht="23.25" hidden="false" customHeight="true" outlineLevel="0" collapsed="false">
      <c r="A141" s="7" t="s">
        <v>3686</v>
      </c>
      <c r="B141" s="7" t="n">
        <v>59</v>
      </c>
      <c r="C141" s="7" t="s">
        <v>3571</v>
      </c>
      <c r="D141" s="7" t="s">
        <v>3454</v>
      </c>
      <c r="E141" s="7" t="s">
        <v>3455</v>
      </c>
      <c r="F141" s="7" t="s">
        <v>3456</v>
      </c>
      <c r="G141" s="7" t="s">
        <v>3687</v>
      </c>
      <c r="H141" s="7" t="n">
        <v>42.78589</v>
      </c>
      <c r="I141" s="7" t="n">
        <v>-75.14659</v>
      </c>
    </row>
    <row r="142" customFormat="false" ht="23.25" hidden="false" customHeight="true" outlineLevel="0" collapsed="false">
      <c r="A142" s="7" t="s">
        <v>3688</v>
      </c>
      <c r="B142" s="7" t="n">
        <v>59.2</v>
      </c>
      <c r="C142" s="7" t="s">
        <v>3602</v>
      </c>
      <c r="D142" s="7" t="s">
        <v>3463</v>
      </c>
      <c r="E142" s="7" t="s">
        <v>3448</v>
      </c>
      <c r="F142" s="7" t="s">
        <v>3464</v>
      </c>
      <c r="G142" s="7" t="s">
        <v>3689</v>
      </c>
      <c r="H142" s="7" t="n">
        <v>42.93712</v>
      </c>
      <c r="I142" s="7" t="n">
        <v>-75.06237</v>
      </c>
    </row>
    <row r="143" customFormat="false" ht="15" hidden="false" customHeight="true" outlineLevel="0" collapsed="false">
      <c r="A143" s="7" t="s">
        <v>3690</v>
      </c>
      <c r="B143" s="7" t="n">
        <v>59.8</v>
      </c>
      <c r="C143" s="7" t="s">
        <v>3669</v>
      </c>
      <c r="D143" s="7" t="s">
        <v>3454</v>
      </c>
      <c r="E143" s="7" t="s">
        <v>3455</v>
      </c>
      <c r="F143" s="7" t="s">
        <v>3464</v>
      </c>
      <c r="G143" s="7" t="s">
        <v>3465</v>
      </c>
      <c r="H143" s="7" t="n">
        <v>43.34378</v>
      </c>
      <c r="I143" s="7" t="n">
        <v>-73.69426</v>
      </c>
    </row>
    <row r="144" customFormat="false" ht="15" hidden="false" customHeight="true" outlineLevel="0" collapsed="false">
      <c r="A144" s="7" t="s">
        <v>3691</v>
      </c>
      <c r="B144" s="7" t="n">
        <v>60.1</v>
      </c>
      <c r="C144" s="7" t="s">
        <v>3602</v>
      </c>
      <c r="D144" s="7" t="s">
        <v>3463</v>
      </c>
      <c r="E144" s="7" t="s">
        <v>3448</v>
      </c>
      <c r="F144" s="7" t="s">
        <v>3449</v>
      </c>
      <c r="G144" s="7" t="s">
        <v>3452</v>
      </c>
      <c r="H144" s="7" t="n">
        <v>42.91812</v>
      </c>
      <c r="I144" s="7" t="n">
        <v>-75.09466</v>
      </c>
    </row>
    <row r="145" customFormat="false" ht="15" hidden="false" customHeight="true" outlineLevel="0" collapsed="false">
      <c r="A145" s="7" t="s">
        <v>3692</v>
      </c>
      <c r="B145" s="7" t="n">
        <v>60.2</v>
      </c>
      <c r="C145" s="7" t="s">
        <v>3602</v>
      </c>
      <c r="D145" s="7" t="s">
        <v>3463</v>
      </c>
      <c r="E145" s="7" t="s">
        <v>3448</v>
      </c>
      <c r="F145" s="7" t="s">
        <v>3464</v>
      </c>
      <c r="G145" s="7" t="s">
        <v>3693</v>
      </c>
      <c r="H145" s="7" t="n">
        <v>42.91629</v>
      </c>
      <c r="I145" s="7" t="n">
        <v>-75.09865</v>
      </c>
    </row>
    <row r="146" customFormat="false" ht="15" hidden="false" customHeight="true" outlineLevel="0" collapsed="false">
      <c r="A146" s="7" t="s">
        <v>3694</v>
      </c>
      <c r="B146" s="7" t="n">
        <v>60.9</v>
      </c>
      <c r="C146" s="7" t="s">
        <v>3602</v>
      </c>
      <c r="D146" s="7" t="s">
        <v>3463</v>
      </c>
      <c r="E146" s="7" t="s">
        <v>3448</v>
      </c>
      <c r="F146" s="7" t="s">
        <v>3449</v>
      </c>
      <c r="G146" s="7" t="s">
        <v>3452</v>
      </c>
      <c r="H146" s="7" t="n">
        <v>42.91487</v>
      </c>
      <c r="I146" s="7" t="n">
        <v>-75.11494</v>
      </c>
    </row>
    <row r="147" customFormat="false" ht="23.25" hidden="false" customHeight="true" outlineLevel="0" collapsed="false">
      <c r="A147" s="7" t="s">
        <v>3695</v>
      </c>
      <c r="B147" s="7" t="n">
        <v>61</v>
      </c>
      <c r="C147" s="7" t="s">
        <v>3602</v>
      </c>
      <c r="D147" s="7" t="s">
        <v>3581</v>
      </c>
      <c r="E147" s="7" t="s">
        <v>3582</v>
      </c>
      <c r="F147" s="7" t="s">
        <v>3464</v>
      </c>
      <c r="G147" s="7" t="s">
        <v>3696</v>
      </c>
      <c r="H147" s="7" t="n">
        <v>42.89045</v>
      </c>
      <c r="I147" s="7" t="n">
        <v>-75.13289</v>
      </c>
    </row>
    <row r="148" customFormat="false" ht="15" hidden="false" customHeight="true" outlineLevel="0" collapsed="false">
      <c r="A148" s="7" t="s">
        <v>3697</v>
      </c>
      <c r="B148" s="7" t="n">
        <v>61</v>
      </c>
      <c r="C148" s="7" t="s">
        <v>3669</v>
      </c>
      <c r="D148" s="7" t="s">
        <v>3454</v>
      </c>
      <c r="E148" s="7" t="s">
        <v>3455</v>
      </c>
      <c r="F148" s="7" t="s">
        <v>3456</v>
      </c>
      <c r="G148" s="7" t="s">
        <v>3452</v>
      </c>
      <c r="H148" s="7" t="n">
        <v>43.35593</v>
      </c>
      <c r="I148" s="7" t="n">
        <v>-73.67202</v>
      </c>
    </row>
    <row r="149" customFormat="false" ht="15" hidden="false" customHeight="true" outlineLevel="0" collapsed="false">
      <c r="A149" s="7" t="s">
        <v>3698</v>
      </c>
      <c r="B149" s="7" t="n">
        <v>61</v>
      </c>
      <c r="C149" s="7" t="s">
        <v>3669</v>
      </c>
      <c r="D149" s="7" t="s">
        <v>3454</v>
      </c>
      <c r="E149" s="7" t="s">
        <v>3455</v>
      </c>
      <c r="F149" s="7" t="s">
        <v>3456</v>
      </c>
      <c r="G149" s="7" t="s">
        <v>3670</v>
      </c>
      <c r="H149" s="7" t="n">
        <v>43.35508</v>
      </c>
      <c r="I149" s="7" t="n">
        <v>-73.66654</v>
      </c>
    </row>
    <row r="150" customFormat="false" ht="15" hidden="false" customHeight="true" outlineLevel="0" collapsed="false">
      <c r="A150" s="7" t="s">
        <v>3699</v>
      </c>
      <c r="B150" s="7" t="n">
        <v>61.1</v>
      </c>
      <c r="C150" s="7" t="s">
        <v>3602</v>
      </c>
      <c r="D150" s="7" t="s">
        <v>3700</v>
      </c>
      <c r="E150" s="7" t="s">
        <v>3448</v>
      </c>
      <c r="F150" s="7" t="s">
        <v>3449</v>
      </c>
      <c r="G150" s="7" t="s">
        <v>3549</v>
      </c>
      <c r="H150" s="7" t="n">
        <v>42.9727</v>
      </c>
      <c r="I150" s="7" t="n">
        <v>-75.07693</v>
      </c>
    </row>
    <row r="151" customFormat="false" ht="34.5" hidden="false" customHeight="true" outlineLevel="0" collapsed="false">
      <c r="A151" s="7" t="s">
        <v>3701</v>
      </c>
      <c r="B151" s="7" t="n">
        <v>61.5</v>
      </c>
      <c r="C151" s="7" t="s">
        <v>3669</v>
      </c>
      <c r="D151" s="7" t="s">
        <v>3454</v>
      </c>
      <c r="E151" s="7" t="s">
        <v>3455</v>
      </c>
      <c r="F151" s="7" t="s">
        <v>3464</v>
      </c>
      <c r="G151" s="7" t="s">
        <v>3702</v>
      </c>
      <c r="H151" s="7" t="n">
        <v>43.36894</v>
      </c>
      <c r="I151" s="7" t="n">
        <v>-73.69473</v>
      </c>
    </row>
    <row r="152" customFormat="false" ht="15" hidden="false" customHeight="true" outlineLevel="0" collapsed="false">
      <c r="A152" s="7" t="s">
        <v>3703</v>
      </c>
      <c r="B152" s="7" t="n">
        <v>61.6</v>
      </c>
      <c r="C152" s="7" t="s">
        <v>3531</v>
      </c>
      <c r="D152" s="7" t="s">
        <v>3447</v>
      </c>
      <c r="E152" s="7" t="s">
        <v>3448</v>
      </c>
      <c r="F152" s="7" t="s">
        <v>3449</v>
      </c>
      <c r="G152" s="7" t="s">
        <v>3452</v>
      </c>
      <c r="H152" s="7" t="n">
        <v>41.6705</v>
      </c>
      <c r="I152" s="7" t="n">
        <v>-74.42475</v>
      </c>
    </row>
    <row r="153" customFormat="false" ht="15" hidden="false" customHeight="true" outlineLevel="0" collapsed="false">
      <c r="A153" s="7" t="s">
        <v>3704</v>
      </c>
      <c r="B153" s="7" t="n">
        <v>61.8</v>
      </c>
      <c r="C153" s="7" t="s">
        <v>3548</v>
      </c>
      <c r="D153" s="7" t="s">
        <v>3454</v>
      </c>
      <c r="E153" s="7" t="s">
        <v>3455</v>
      </c>
      <c r="F153" s="7" t="s">
        <v>3464</v>
      </c>
      <c r="G153" s="7" t="s">
        <v>3705</v>
      </c>
      <c r="H153" s="7" t="n">
        <v>41.65426</v>
      </c>
      <c r="I153" s="7" t="n">
        <v>-73.72602</v>
      </c>
    </row>
    <row r="154" customFormat="false" ht="23.25" hidden="false" customHeight="true" outlineLevel="0" collapsed="false">
      <c r="A154" s="7" t="s">
        <v>3706</v>
      </c>
      <c r="B154" s="7" t="n">
        <v>62</v>
      </c>
      <c r="C154" s="7" t="s">
        <v>3602</v>
      </c>
      <c r="D154" s="7" t="s">
        <v>3463</v>
      </c>
      <c r="E154" s="7" t="s">
        <v>3448</v>
      </c>
      <c r="F154" s="7" t="s">
        <v>3449</v>
      </c>
      <c r="G154" s="7" t="s">
        <v>3707</v>
      </c>
      <c r="H154" s="7" t="n">
        <v>42.90487</v>
      </c>
      <c r="I154" s="7" t="n">
        <v>-75.14705</v>
      </c>
    </row>
    <row r="155" customFormat="false" ht="23.25" hidden="false" customHeight="true" outlineLevel="0" collapsed="false">
      <c r="A155" s="7" t="s">
        <v>3708</v>
      </c>
      <c r="B155" s="7" t="n">
        <v>62.2</v>
      </c>
      <c r="C155" s="7" t="s">
        <v>3669</v>
      </c>
      <c r="D155" s="7" t="s">
        <v>3454</v>
      </c>
      <c r="E155" s="7" t="s">
        <v>3455</v>
      </c>
      <c r="F155" s="7" t="s">
        <v>3464</v>
      </c>
      <c r="G155" s="7" t="s">
        <v>3709</v>
      </c>
      <c r="H155" s="7" t="n">
        <v>43.37023</v>
      </c>
      <c r="I155" s="7" t="n">
        <v>-73.65178</v>
      </c>
    </row>
    <row r="156" customFormat="false" ht="23.25" hidden="false" customHeight="true" outlineLevel="0" collapsed="false">
      <c r="A156" s="7" t="s">
        <v>3710</v>
      </c>
      <c r="B156" s="7" t="n">
        <v>62.6</v>
      </c>
      <c r="C156" s="7" t="s">
        <v>3602</v>
      </c>
      <c r="D156" s="7" t="s">
        <v>3447</v>
      </c>
      <c r="E156" s="7" t="s">
        <v>3448</v>
      </c>
      <c r="F156" s="7" t="s">
        <v>3449</v>
      </c>
      <c r="G156" s="7" t="s">
        <v>3711</v>
      </c>
      <c r="H156" s="7" t="n">
        <v>42.88588</v>
      </c>
      <c r="I156" s="7" t="n">
        <v>-75.17158</v>
      </c>
    </row>
    <row r="157" customFormat="false" ht="23.25" hidden="false" customHeight="true" outlineLevel="0" collapsed="false">
      <c r="A157" s="7" t="s">
        <v>3712</v>
      </c>
      <c r="B157" s="7" t="n">
        <v>62.7</v>
      </c>
      <c r="C157" s="7" t="s">
        <v>3548</v>
      </c>
      <c r="D157" s="7" t="s">
        <v>3591</v>
      </c>
      <c r="E157" s="7" t="s">
        <v>3448</v>
      </c>
      <c r="F157" s="7" t="s">
        <v>3449</v>
      </c>
      <c r="G157" s="7" t="s">
        <v>3713</v>
      </c>
      <c r="H157" s="7" t="n">
        <v>41.61415</v>
      </c>
      <c r="I157" s="7" t="n">
        <v>-73.9197</v>
      </c>
    </row>
    <row r="158" customFormat="false" ht="23.25" hidden="false" customHeight="true" outlineLevel="0" collapsed="false">
      <c r="A158" s="7" t="s">
        <v>3714</v>
      </c>
      <c r="B158" s="7" t="n">
        <v>62.8</v>
      </c>
      <c r="C158" s="7" t="s">
        <v>3669</v>
      </c>
      <c r="D158" s="7" t="s">
        <v>3454</v>
      </c>
      <c r="E158" s="7" t="s">
        <v>3455</v>
      </c>
      <c r="F158" s="7" t="s">
        <v>3464</v>
      </c>
      <c r="G158" s="7" t="s">
        <v>3715</v>
      </c>
      <c r="H158" s="7" t="n">
        <v>43.37739</v>
      </c>
      <c r="I158" s="7" t="n">
        <v>-73.64601</v>
      </c>
    </row>
    <row r="159" customFormat="false" ht="15" hidden="false" customHeight="true" outlineLevel="0" collapsed="false">
      <c r="A159" s="7" t="s">
        <v>3716</v>
      </c>
      <c r="B159" s="7" t="n">
        <v>63.2</v>
      </c>
      <c r="C159" s="7" t="s">
        <v>3669</v>
      </c>
      <c r="D159" s="7" t="s">
        <v>3454</v>
      </c>
      <c r="E159" s="7" t="s">
        <v>3455</v>
      </c>
      <c r="F159" s="7" t="s">
        <v>3456</v>
      </c>
      <c r="G159" s="7" t="s">
        <v>3717</v>
      </c>
      <c r="H159" s="7" t="n">
        <v>43.37977</v>
      </c>
      <c r="I159" s="7" t="n">
        <v>-73.63271</v>
      </c>
    </row>
    <row r="160" customFormat="false" ht="15" hidden="false" customHeight="true" outlineLevel="0" collapsed="false">
      <c r="A160" s="7" t="s">
        <v>3718</v>
      </c>
      <c r="B160" s="7" t="n">
        <v>63.4</v>
      </c>
      <c r="C160" s="7" t="s">
        <v>3669</v>
      </c>
      <c r="D160" s="7" t="s">
        <v>3454</v>
      </c>
      <c r="E160" s="7" t="s">
        <v>3455</v>
      </c>
      <c r="F160" s="7" t="s">
        <v>3456</v>
      </c>
      <c r="G160" s="7" t="s">
        <v>3452</v>
      </c>
      <c r="H160" s="7" t="n">
        <v>43.39976</v>
      </c>
      <c r="I160" s="7" t="n">
        <v>-73.69994</v>
      </c>
    </row>
    <row r="161" customFormat="false" ht="23.25" hidden="false" customHeight="true" outlineLevel="0" collapsed="false">
      <c r="A161" s="7" t="s">
        <v>3719</v>
      </c>
      <c r="B161" s="7" t="n">
        <v>64.1</v>
      </c>
      <c r="C161" s="7" t="s">
        <v>3677</v>
      </c>
      <c r="D161" s="7" t="s">
        <v>3454</v>
      </c>
      <c r="E161" s="7" t="s">
        <v>3455</v>
      </c>
      <c r="F161" s="7" t="s">
        <v>3456</v>
      </c>
      <c r="G161" s="7" t="s">
        <v>3720</v>
      </c>
      <c r="H161" s="7" t="n">
        <v>43.38675</v>
      </c>
      <c r="I161" s="7" t="n">
        <v>-73.60436</v>
      </c>
    </row>
    <row r="162" customFormat="false" ht="23.25" hidden="false" customHeight="true" outlineLevel="0" collapsed="false">
      <c r="A162" s="7" t="s">
        <v>3721</v>
      </c>
      <c r="B162" s="7" t="n">
        <v>64.5</v>
      </c>
      <c r="C162" s="7" t="s">
        <v>3548</v>
      </c>
      <c r="D162" s="7" t="s">
        <v>3591</v>
      </c>
      <c r="E162" s="7" t="s">
        <v>3448</v>
      </c>
      <c r="F162" s="7" t="s">
        <v>3449</v>
      </c>
      <c r="G162" s="7" t="s">
        <v>3722</v>
      </c>
      <c r="H162" s="7" t="n">
        <v>41.60134</v>
      </c>
      <c r="I162" s="7" t="n">
        <v>-73.79638</v>
      </c>
    </row>
    <row r="163" customFormat="false" ht="23.25" hidden="false" customHeight="true" outlineLevel="0" collapsed="false">
      <c r="A163" s="7" t="s">
        <v>3723</v>
      </c>
      <c r="B163" s="7" t="n">
        <v>64.6</v>
      </c>
      <c r="C163" s="7" t="s">
        <v>3602</v>
      </c>
      <c r="D163" s="7" t="s">
        <v>3463</v>
      </c>
      <c r="E163" s="7" t="s">
        <v>3448</v>
      </c>
      <c r="F163" s="7" t="s">
        <v>3464</v>
      </c>
      <c r="G163" s="7" t="s">
        <v>3724</v>
      </c>
      <c r="H163" s="7" t="n">
        <v>42.92477</v>
      </c>
      <c r="I163" s="7" t="n">
        <v>-75.1908</v>
      </c>
    </row>
    <row r="164" customFormat="false" ht="23.25" hidden="false" customHeight="true" outlineLevel="0" collapsed="false">
      <c r="A164" s="7" t="s">
        <v>3725</v>
      </c>
      <c r="B164" s="7" t="n">
        <v>64.7</v>
      </c>
      <c r="C164" s="7" t="s">
        <v>3677</v>
      </c>
      <c r="D164" s="7" t="s">
        <v>3454</v>
      </c>
      <c r="E164" s="7" t="s">
        <v>3455</v>
      </c>
      <c r="F164" s="7" t="s">
        <v>3464</v>
      </c>
      <c r="G164" s="7" t="s">
        <v>3726</v>
      </c>
      <c r="H164" s="7" t="n">
        <v>43.36135</v>
      </c>
      <c r="I164" s="7" t="n">
        <v>-73.49063</v>
      </c>
    </row>
    <row r="165" customFormat="false" ht="15" hidden="false" customHeight="true" outlineLevel="0" collapsed="false">
      <c r="A165" s="7" t="s">
        <v>3727</v>
      </c>
      <c r="B165" s="7" t="n">
        <v>65</v>
      </c>
      <c r="C165" s="7" t="s">
        <v>3548</v>
      </c>
      <c r="D165" s="7" t="s">
        <v>3454</v>
      </c>
      <c r="E165" s="7" t="s">
        <v>3455</v>
      </c>
      <c r="F165" s="7" t="s">
        <v>3464</v>
      </c>
      <c r="G165" s="7" t="s">
        <v>3728</v>
      </c>
      <c r="H165" s="7" t="n">
        <v>41.63378</v>
      </c>
      <c r="I165" s="7" t="n">
        <v>-73.60709</v>
      </c>
    </row>
    <row r="166" customFormat="false" ht="15" hidden="false" customHeight="true" outlineLevel="0" collapsed="false">
      <c r="A166" s="7" t="s">
        <v>3729</v>
      </c>
      <c r="B166" s="7" t="n">
        <v>65.2</v>
      </c>
      <c r="C166" s="7" t="s">
        <v>3669</v>
      </c>
      <c r="D166" s="7" t="s">
        <v>3454</v>
      </c>
      <c r="E166" s="7" t="s">
        <v>3455</v>
      </c>
      <c r="F166" s="7" t="s">
        <v>3456</v>
      </c>
      <c r="G166" s="7" t="s">
        <v>3730</v>
      </c>
      <c r="H166" s="7" t="n">
        <v>43.44639</v>
      </c>
      <c r="I166" s="7" t="n">
        <v>-73.82597</v>
      </c>
    </row>
    <row r="167" customFormat="false" ht="23.25" hidden="false" customHeight="true" outlineLevel="0" collapsed="false">
      <c r="A167" s="7" t="s">
        <v>3731</v>
      </c>
      <c r="B167" s="7" t="n">
        <v>65.3</v>
      </c>
      <c r="C167" s="7" t="s">
        <v>3677</v>
      </c>
      <c r="D167" s="7" t="s">
        <v>3454</v>
      </c>
      <c r="E167" s="7" t="s">
        <v>3455</v>
      </c>
      <c r="F167" s="7" t="s">
        <v>3464</v>
      </c>
      <c r="G167" s="7" t="s">
        <v>3465</v>
      </c>
      <c r="H167" s="7" t="n">
        <v>43.40227</v>
      </c>
      <c r="I167" s="7" t="n">
        <v>-73.59446</v>
      </c>
    </row>
    <row r="168" customFormat="false" ht="15" hidden="false" customHeight="true" outlineLevel="0" collapsed="false">
      <c r="A168" s="7" t="s">
        <v>3732</v>
      </c>
      <c r="B168" s="7" t="n">
        <v>65.5</v>
      </c>
      <c r="C168" s="7" t="s">
        <v>3733</v>
      </c>
      <c r="D168" s="7" t="s">
        <v>3447</v>
      </c>
      <c r="E168" s="7" t="s">
        <v>3448</v>
      </c>
      <c r="F168" s="7" t="s">
        <v>3464</v>
      </c>
      <c r="G168" s="7" t="s">
        <v>3465</v>
      </c>
      <c r="H168" s="7" t="n">
        <v>41.61773</v>
      </c>
      <c r="I168" s="7" t="n">
        <v>-74.44781</v>
      </c>
    </row>
    <row r="169" customFormat="false" ht="23.25" hidden="false" customHeight="true" outlineLevel="0" collapsed="false">
      <c r="A169" s="7" t="s">
        <v>3734</v>
      </c>
      <c r="B169" s="7" t="n">
        <v>65.9</v>
      </c>
      <c r="C169" s="7" t="s">
        <v>3677</v>
      </c>
      <c r="D169" s="7" t="s">
        <v>3518</v>
      </c>
      <c r="E169" s="7" t="s">
        <v>3448</v>
      </c>
      <c r="F169" s="7" t="s">
        <v>3449</v>
      </c>
      <c r="G169" s="7" t="s">
        <v>3452</v>
      </c>
      <c r="H169" s="7" t="n">
        <v>43.40441</v>
      </c>
      <c r="I169" s="7" t="n">
        <v>-73.56588</v>
      </c>
    </row>
    <row r="170" customFormat="false" ht="15" hidden="false" customHeight="true" outlineLevel="0" collapsed="false">
      <c r="A170" s="7" t="s">
        <v>3735</v>
      </c>
      <c r="B170" s="7" t="n">
        <v>66.6</v>
      </c>
      <c r="C170" s="7" t="s">
        <v>3733</v>
      </c>
      <c r="D170" s="7" t="s">
        <v>3454</v>
      </c>
      <c r="E170" s="7" t="s">
        <v>3455</v>
      </c>
      <c r="F170" s="7" t="s">
        <v>3456</v>
      </c>
      <c r="G170" s="7" t="s">
        <v>3452</v>
      </c>
      <c r="H170" s="7" t="n">
        <v>41.60741</v>
      </c>
      <c r="I170" s="7" t="n">
        <v>-74.4762</v>
      </c>
    </row>
    <row r="171" customFormat="false" ht="23.25" hidden="false" customHeight="true" outlineLevel="0" collapsed="false">
      <c r="A171" s="7" t="s">
        <v>3736</v>
      </c>
      <c r="B171" s="7" t="n">
        <v>66.8</v>
      </c>
      <c r="C171" s="7" t="s">
        <v>3548</v>
      </c>
      <c r="D171" s="7" t="s">
        <v>3591</v>
      </c>
      <c r="E171" s="7" t="s">
        <v>3448</v>
      </c>
      <c r="F171" s="7" t="s">
        <v>3449</v>
      </c>
      <c r="G171" s="7" t="s">
        <v>3737</v>
      </c>
      <c r="H171" s="7" t="n">
        <v>41.5751</v>
      </c>
      <c r="I171" s="7" t="n">
        <v>-73.75447</v>
      </c>
    </row>
    <row r="172" customFormat="false" ht="15" hidden="false" customHeight="true" outlineLevel="0" collapsed="false">
      <c r="A172" s="7" t="s">
        <v>3738</v>
      </c>
      <c r="B172" s="7" t="n">
        <v>67.5</v>
      </c>
      <c r="C172" s="7" t="s">
        <v>3733</v>
      </c>
      <c r="D172" s="7" t="s">
        <v>3454</v>
      </c>
      <c r="E172" s="7" t="s">
        <v>3455</v>
      </c>
      <c r="F172" s="7" t="s">
        <v>3464</v>
      </c>
      <c r="G172" s="7" t="s">
        <v>3739</v>
      </c>
      <c r="H172" s="7" t="n">
        <v>41.57941</v>
      </c>
      <c r="I172" s="7" t="n">
        <v>-74.41309</v>
      </c>
    </row>
    <row r="173" customFormat="false" ht="23.25" hidden="false" customHeight="true" outlineLevel="0" collapsed="false">
      <c r="A173" s="7" t="s">
        <v>3740</v>
      </c>
      <c r="B173" s="7" t="n">
        <v>67.7</v>
      </c>
      <c r="C173" s="7" t="s">
        <v>3741</v>
      </c>
      <c r="D173" s="7" t="s">
        <v>3454</v>
      </c>
      <c r="E173" s="7" t="s">
        <v>3455</v>
      </c>
      <c r="F173" s="7" t="s">
        <v>3456</v>
      </c>
      <c r="G173" s="7" t="s">
        <v>3742</v>
      </c>
      <c r="H173" s="7" t="n">
        <v>42.7625</v>
      </c>
      <c r="I173" s="7" t="n">
        <v>-75.33439</v>
      </c>
    </row>
    <row r="174" customFormat="false" ht="23.25" hidden="false" customHeight="true" outlineLevel="0" collapsed="false">
      <c r="A174" s="7" t="s">
        <v>3743</v>
      </c>
      <c r="B174" s="7" t="n">
        <v>67.9</v>
      </c>
      <c r="C174" s="7" t="s">
        <v>3744</v>
      </c>
      <c r="D174" s="7" t="s">
        <v>3463</v>
      </c>
      <c r="E174" s="7" t="s">
        <v>3448</v>
      </c>
      <c r="F174" s="7" t="s">
        <v>3449</v>
      </c>
      <c r="G174" s="7" t="s">
        <v>3745</v>
      </c>
      <c r="H174" s="7" t="n">
        <v>42.96196</v>
      </c>
      <c r="I174" s="7" t="n">
        <v>-75.23841</v>
      </c>
    </row>
    <row r="175" customFormat="false" ht="15" hidden="false" customHeight="true" outlineLevel="0" collapsed="false">
      <c r="A175" s="7" t="s">
        <v>3746</v>
      </c>
      <c r="B175" s="7" t="n">
        <v>68.3</v>
      </c>
      <c r="C175" s="7" t="s">
        <v>3602</v>
      </c>
      <c r="D175" s="7" t="s">
        <v>3700</v>
      </c>
      <c r="E175" s="7" t="s">
        <v>3448</v>
      </c>
      <c r="F175" s="7" t="s">
        <v>3464</v>
      </c>
      <c r="G175" s="7" t="s">
        <v>3747</v>
      </c>
      <c r="H175" s="7" t="n">
        <v>43.03779</v>
      </c>
      <c r="I175" s="7" t="n">
        <v>-75.18974</v>
      </c>
    </row>
    <row r="176" customFormat="false" ht="34.5" hidden="false" customHeight="true" outlineLevel="0" collapsed="false">
      <c r="A176" s="7" t="s">
        <v>3748</v>
      </c>
      <c r="B176" s="7" t="n">
        <v>69.5</v>
      </c>
      <c r="C176" s="7" t="s">
        <v>3744</v>
      </c>
      <c r="D176" s="7" t="s">
        <v>3447</v>
      </c>
      <c r="E176" s="7" t="s">
        <v>3448</v>
      </c>
      <c r="F176" s="7" t="s">
        <v>3449</v>
      </c>
      <c r="G176" s="7" t="s">
        <v>3749</v>
      </c>
      <c r="H176" s="7" t="n">
        <v>42.95315</v>
      </c>
      <c r="I176" s="7" t="n">
        <v>-75.2782</v>
      </c>
    </row>
    <row r="177" customFormat="false" ht="15" hidden="false" customHeight="true" outlineLevel="0" collapsed="false">
      <c r="A177" s="7" t="s">
        <v>3750</v>
      </c>
      <c r="B177" s="7" t="n">
        <v>69.6</v>
      </c>
      <c r="C177" s="7" t="s">
        <v>3669</v>
      </c>
      <c r="D177" s="7" t="s">
        <v>3454</v>
      </c>
      <c r="E177" s="7" t="s">
        <v>3455</v>
      </c>
      <c r="F177" s="7" t="s">
        <v>3456</v>
      </c>
      <c r="G177" s="7" t="s">
        <v>3452</v>
      </c>
      <c r="H177" s="7" t="n">
        <v>43.51055</v>
      </c>
      <c r="I177" s="7" t="n">
        <v>-73.81671</v>
      </c>
    </row>
    <row r="178" customFormat="false" ht="23.25" hidden="false" customHeight="true" outlineLevel="0" collapsed="false">
      <c r="A178" s="7" t="s">
        <v>3751</v>
      </c>
      <c r="B178" s="7" t="n">
        <v>70.1</v>
      </c>
      <c r="C178" s="7" t="s">
        <v>3677</v>
      </c>
      <c r="D178" s="7" t="s">
        <v>3454</v>
      </c>
      <c r="E178" s="7" t="s">
        <v>3455</v>
      </c>
      <c r="F178" s="7" t="s">
        <v>3456</v>
      </c>
      <c r="G178" s="7" t="s">
        <v>3752</v>
      </c>
      <c r="H178" s="7" t="n">
        <v>43.39185</v>
      </c>
      <c r="I178" s="7" t="n">
        <v>-73.34463</v>
      </c>
    </row>
    <row r="179" customFormat="false" ht="15" hidden="false" customHeight="true" outlineLevel="0" collapsed="false">
      <c r="A179" s="7" t="s">
        <v>3753</v>
      </c>
      <c r="B179" s="7" t="n">
        <v>70.6</v>
      </c>
      <c r="C179" s="7" t="s">
        <v>3669</v>
      </c>
      <c r="D179" s="7" t="s">
        <v>3534</v>
      </c>
      <c r="E179" s="7" t="s">
        <v>3448</v>
      </c>
      <c r="F179" s="7" t="s">
        <v>3449</v>
      </c>
      <c r="G179" s="7" t="s">
        <v>3567</v>
      </c>
      <c r="H179" s="7" t="n">
        <v>43.52926</v>
      </c>
      <c r="I179" s="7" t="n">
        <v>-73.84865</v>
      </c>
    </row>
    <row r="180" customFormat="false" ht="15" hidden="false" customHeight="true" outlineLevel="0" collapsed="false">
      <c r="A180" s="7" t="s">
        <v>3754</v>
      </c>
      <c r="B180" s="7" t="n">
        <v>70.7</v>
      </c>
      <c r="C180" s="7" t="s">
        <v>3548</v>
      </c>
      <c r="D180" s="7" t="s">
        <v>3534</v>
      </c>
      <c r="E180" s="7" t="s">
        <v>3448</v>
      </c>
      <c r="F180" s="7" t="s">
        <v>3449</v>
      </c>
      <c r="G180" s="7" t="s">
        <v>3755</v>
      </c>
      <c r="H180" s="7" t="n">
        <v>41.5487</v>
      </c>
      <c r="I180" s="7" t="n">
        <v>-73.59993</v>
      </c>
    </row>
    <row r="181" customFormat="false" ht="15" hidden="false" customHeight="true" outlineLevel="0" collapsed="false">
      <c r="A181" s="7" t="s">
        <v>3756</v>
      </c>
      <c r="B181" s="7" t="n">
        <v>71.8</v>
      </c>
      <c r="C181" s="7" t="s">
        <v>3744</v>
      </c>
      <c r="D181" s="7" t="s">
        <v>3447</v>
      </c>
      <c r="E181" s="7" t="s">
        <v>3448</v>
      </c>
      <c r="F181" s="7" t="s">
        <v>3449</v>
      </c>
      <c r="G181" s="7" t="s">
        <v>3757</v>
      </c>
      <c r="H181" s="7" t="n">
        <v>42.98561</v>
      </c>
      <c r="I181" s="7" t="n">
        <v>-75.30802</v>
      </c>
    </row>
    <row r="182" customFormat="false" ht="15" hidden="false" customHeight="true" outlineLevel="0" collapsed="false">
      <c r="A182" s="7" t="s">
        <v>3758</v>
      </c>
      <c r="B182" s="7" t="n">
        <v>71.8</v>
      </c>
      <c r="C182" s="7" t="s">
        <v>3669</v>
      </c>
      <c r="D182" s="7" t="s">
        <v>3534</v>
      </c>
      <c r="E182" s="7" t="s">
        <v>3448</v>
      </c>
      <c r="F182" s="7" t="s">
        <v>3449</v>
      </c>
      <c r="G182" s="7" t="s">
        <v>3452</v>
      </c>
      <c r="H182" s="7" t="n">
        <v>43.54219</v>
      </c>
      <c r="I182" s="7" t="n">
        <v>-73.81553</v>
      </c>
    </row>
    <row r="183" customFormat="false" ht="23.25" hidden="false" customHeight="true" outlineLevel="0" collapsed="false">
      <c r="A183" s="7" t="s">
        <v>3759</v>
      </c>
      <c r="B183" s="7" t="n">
        <v>72.1</v>
      </c>
      <c r="C183" s="7" t="s">
        <v>3744</v>
      </c>
      <c r="D183" s="7" t="s">
        <v>3447</v>
      </c>
      <c r="E183" s="7" t="s">
        <v>3448</v>
      </c>
      <c r="F183" s="7" t="s">
        <v>3449</v>
      </c>
      <c r="G183" s="7" t="s">
        <v>3760</v>
      </c>
      <c r="H183" s="7" t="n">
        <v>42.98796</v>
      </c>
      <c r="I183" s="7" t="n">
        <v>-75.31298</v>
      </c>
    </row>
    <row r="184" customFormat="false" ht="15" hidden="false" customHeight="true" outlineLevel="0" collapsed="false">
      <c r="A184" s="7" t="s">
        <v>3761</v>
      </c>
      <c r="B184" s="7" t="n">
        <v>72.4</v>
      </c>
      <c r="C184" s="7" t="s">
        <v>1194</v>
      </c>
      <c r="D184" s="7" t="s">
        <v>3454</v>
      </c>
      <c r="E184" s="7" t="s">
        <v>3455</v>
      </c>
      <c r="F184" s="7" t="s">
        <v>3464</v>
      </c>
      <c r="G184" s="7" t="s">
        <v>3693</v>
      </c>
      <c r="H184" s="7" t="n">
        <v>41.49425</v>
      </c>
      <c r="I184" s="7" t="n">
        <v>-74.34695</v>
      </c>
    </row>
    <row r="185" customFormat="false" ht="15" hidden="false" customHeight="true" outlineLevel="0" collapsed="false">
      <c r="A185" s="7" t="s">
        <v>3762</v>
      </c>
      <c r="B185" s="7" t="n">
        <v>72.4</v>
      </c>
      <c r="C185" s="7" t="s">
        <v>3669</v>
      </c>
      <c r="D185" s="7" t="s">
        <v>3534</v>
      </c>
      <c r="E185" s="7" t="s">
        <v>3448</v>
      </c>
      <c r="F185" s="7" t="s">
        <v>3464</v>
      </c>
      <c r="G185" s="7" t="s">
        <v>3763</v>
      </c>
      <c r="H185" s="7" t="n">
        <v>43.55227</v>
      </c>
      <c r="I185" s="7" t="n">
        <v>-73.82971</v>
      </c>
    </row>
    <row r="186" customFormat="false" ht="15" hidden="false" customHeight="true" outlineLevel="0" collapsed="false">
      <c r="A186" s="7" t="s">
        <v>3764</v>
      </c>
      <c r="B186" s="7" t="n">
        <v>72.6</v>
      </c>
      <c r="C186" s="7" t="s">
        <v>3669</v>
      </c>
      <c r="D186" s="7" t="s">
        <v>3534</v>
      </c>
      <c r="E186" s="7" t="s">
        <v>3448</v>
      </c>
      <c r="F186" s="7" t="s">
        <v>3449</v>
      </c>
      <c r="G186" s="7" t="s">
        <v>3452</v>
      </c>
      <c r="H186" s="7" t="n">
        <v>43.56371</v>
      </c>
      <c r="I186" s="7" t="n">
        <v>-73.93001</v>
      </c>
    </row>
    <row r="187" customFormat="false" ht="23.25" hidden="false" customHeight="true" outlineLevel="0" collapsed="false">
      <c r="A187" s="7" t="s">
        <v>3765</v>
      </c>
      <c r="B187" s="7" t="n">
        <v>73.4</v>
      </c>
      <c r="C187" s="7" t="s">
        <v>3677</v>
      </c>
      <c r="D187" s="7" t="s">
        <v>3534</v>
      </c>
      <c r="E187" s="7" t="s">
        <v>3448</v>
      </c>
      <c r="F187" s="7" t="s">
        <v>3449</v>
      </c>
      <c r="G187" s="7" t="s">
        <v>3474</v>
      </c>
      <c r="H187" s="7" t="n">
        <v>43.50195</v>
      </c>
      <c r="I187" s="7" t="n">
        <v>-73.50049</v>
      </c>
    </row>
    <row r="188" customFormat="false" ht="15" hidden="false" customHeight="true" outlineLevel="0" collapsed="false">
      <c r="A188" s="7" t="s">
        <v>3766</v>
      </c>
      <c r="B188" s="7" t="n">
        <v>74.4</v>
      </c>
      <c r="C188" s="7" t="s">
        <v>3744</v>
      </c>
      <c r="D188" s="7" t="s">
        <v>3447</v>
      </c>
      <c r="E188" s="7" t="s">
        <v>3448</v>
      </c>
      <c r="F188" s="7" t="s">
        <v>3449</v>
      </c>
      <c r="G188" s="7" t="s">
        <v>3757</v>
      </c>
      <c r="H188" s="7" t="n">
        <v>42.9555</v>
      </c>
      <c r="I188" s="7" t="n">
        <v>-75.38498</v>
      </c>
    </row>
    <row r="189" customFormat="false" ht="23.25" hidden="false" customHeight="true" outlineLevel="0" collapsed="false">
      <c r="A189" s="7" t="s">
        <v>3767</v>
      </c>
      <c r="B189" s="7" t="n">
        <v>74.6</v>
      </c>
      <c r="C189" s="7" t="s">
        <v>3677</v>
      </c>
      <c r="D189" s="7" t="s">
        <v>3454</v>
      </c>
      <c r="E189" s="7" t="s">
        <v>3455</v>
      </c>
      <c r="F189" s="7" t="s">
        <v>3464</v>
      </c>
      <c r="G189" s="7" t="s">
        <v>3491</v>
      </c>
      <c r="H189" s="7" t="n">
        <v>43.45075</v>
      </c>
      <c r="I189" s="7" t="n">
        <v>-73.3058</v>
      </c>
    </row>
    <row r="190" customFormat="false" ht="15" hidden="false" customHeight="true" outlineLevel="0" collapsed="false">
      <c r="A190" s="7" t="s">
        <v>3768</v>
      </c>
      <c r="B190" s="7" t="n">
        <v>74.9</v>
      </c>
      <c r="C190" s="7" t="s">
        <v>1194</v>
      </c>
      <c r="D190" s="7" t="s">
        <v>3454</v>
      </c>
      <c r="E190" s="7" t="s">
        <v>3455</v>
      </c>
      <c r="F190" s="7" t="s">
        <v>3464</v>
      </c>
      <c r="G190" s="7" t="s">
        <v>3693</v>
      </c>
      <c r="H190" s="7" t="n">
        <v>41.4552</v>
      </c>
      <c r="I190" s="7" t="n">
        <v>-74.33483</v>
      </c>
    </row>
    <row r="191" customFormat="false" ht="23.25" hidden="false" customHeight="true" outlineLevel="0" collapsed="false">
      <c r="A191" s="7" t="s">
        <v>3769</v>
      </c>
      <c r="B191" s="7" t="n">
        <v>74.9</v>
      </c>
      <c r="C191" s="7" t="s">
        <v>1194</v>
      </c>
      <c r="D191" s="7" t="s">
        <v>3454</v>
      </c>
      <c r="E191" s="7" t="s">
        <v>3455</v>
      </c>
      <c r="F191" s="7" t="s">
        <v>3456</v>
      </c>
      <c r="G191" s="7" t="s">
        <v>3770</v>
      </c>
      <c r="H191" s="7" t="n">
        <v>41.44727</v>
      </c>
      <c r="I191" s="7" t="n">
        <v>-74.27834</v>
      </c>
    </row>
    <row r="192" customFormat="false" ht="15" hidden="false" customHeight="true" outlineLevel="0" collapsed="false">
      <c r="A192" s="7" t="s">
        <v>3771</v>
      </c>
      <c r="B192" s="7" t="n">
        <v>75</v>
      </c>
      <c r="C192" s="7" t="s">
        <v>1194</v>
      </c>
      <c r="D192" s="7" t="s">
        <v>3454</v>
      </c>
      <c r="E192" s="7" t="s">
        <v>3455</v>
      </c>
      <c r="F192" s="7" t="s">
        <v>3464</v>
      </c>
      <c r="G192" s="7" t="s">
        <v>3659</v>
      </c>
      <c r="H192" s="7" t="n">
        <v>41.4531</v>
      </c>
      <c r="I192" s="7" t="n">
        <v>-74.33789</v>
      </c>
    </row>
    <row r="194" customFormat="false" ht="15" hidden="false" customHeight="true" outlineLevel="0" collapsed="false">
      <c r="A194" s="8" t="s">
        <v>3772</v>
      </c>
    </row>
    <row r="195" customFormat="false" ht="15" hidden="false" customHeight="true" outlineLevel="0" collapsed="false">
      <c r="A195" s="11" t="s">
        <v>3773</v>
      </c>
    </row>
    <row r="196" customFormat="false" ht="15" hidden="false" customHeight="true" outlineLevel="0" collapsed="false">
      <c r="A196" s="8" t="s">
        <v>3774</v>
      </c>
    </row>
  </sheetData>
  <autoFilter ref="A1:I19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2026-09-21T01:00:06Z</dcterms:created>
  <dc:creator>openpyxl</dc:creator>
  <dc:description/>
  <dc:language>en-US</dc:language>
  <cp:lastModifiedBy/>
  <dcterms:modified xsi:type="dcterms:W3CDTF">2026-09-21T03:07:04Z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