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vents" sheetId="2" state="visible" r:id="rId4"/>
    <sheet name="Wind &amp; Tornadoes" sheetId="3" state="visible" r:id="rId5"/>
    <sheet name="Summary" sheetId="4" state="visible" r:id="rId6"/>
    <sheet name="Sources" sheetId="5" state="visible" r:id="rId7"/>
    <sheet name="Hudson Freeze Dates" sheetId="6" state="visible" r:id="rId8"/>
    <sheet name="CRREL Ice Jams (regional)" sheetId="7" state="visible" r:id="rId9"/>
    <sheet name="Subsidence &amp; Karst" sheetId="8" state="visible" r:id="rId10"/>
    <sheet name="LiDAR Depressions" sheetId="9" state="visible" r:id="rId11"/>
  </sheets>
  <definedNames>
    <definedName function="false" hidden="true" localSheetId="6" name="_xlnm._FilterDatabase" vbProcedure="false">'CRREL Ice Jams (regional)'!$A$1:$F$523</definedName>
    <definedName function="false" hidden="true" localSheetId="1" name="_xlnm._FilterDatabase" vbProcedure="false">Events!$A$1:$V$265</definedName>
    <definedName function="false" hidden="true" localSheetId="5" name="_xlnm._FilterDatabase" vbProcedure="false">'Hudson Freeze Dates'!$A$1:$E$44</definedName>
    <definedName function="false" hidden="true" localSheetId="8" name="_xlnm._FilterDatabase" vbProcedure="false">'LiDAR Depressions'!$A$1:$I$192</definedName>
    <definedName function="false" hidden="true" localSheetId="7" name="_xlnm._FilterDatabase" vbProcedure="false">'Subsidence &amp; Karst'!$A$1:$G$23</definedName>
    <definedName function="false" hidden="true" localSheetId="2" name="_xlnm._FilterDatabase" vbProcedure="false">'Wind &amp; Tornadoes'!$A$1:$U$76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<sst xmlns="http://schemas.openxmlformats.org/spreadsheetml/2006/main" count="9324" uniqueCount="4011">
  <si>
    <t xml:space="preserve">Regional Climate &amp; Weather Event Register — Catskills / Hudson Valley / Capital Region</t>
  </si>
  <si>
    <t xml:space="preserve">Reference point for the Wind &amp; Tornado sheet: Westerlo, NY hamlet</t>
  </si>
  <si>
    <t xml:space="preserve">Westerlo latitude</t>
  </si>
  <si>
    <t xml:space="preserve">Westerlo longitude</t>
  </si>
  <si>
    <t xml:space="preserve">Search radius (miles)</t>
  </si>
  <si>
    <t xml:space="preserve">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</si>
  <si>
    <t xml:space="preserve">Sheets</t>
  </si>
  <si>
    <t xml:space="preserve">Events</t>
  </si>
  <si>
    <t xml:space="preserve">One row per event. ~150 rows. Sort/filter by Category, Confidence, Verified.</t>
  </si>
  <si>
    <t xml:space="preserve">Wind &amp; Tornadoes</t>
  </si>
  <si>
    <t xml:space="preserve">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</si>
  <si>
    <t xml:space="preserve">Summary</t>
  </si>
  <si>
    <t xml:space="preserve">COUNTIF roll-ups by category, confidence and century; tornado counts by rating and within-radius.</t>
  </si>
  <si>
    <t xml:space="preserve">Sources</t>
  </si>
  <si>
    <t xml:space="preserve">Primary sources with URLs and what each is good for.</t>
  </si>
  <si>
    <t xml:space="preserve">Confidence grades</t>
  </si>
  <si>
    <t xml:space="preserve">A</t>
  </si>
  <si>
    <t xml:space="preserve">Instrument-era figure taken directly from NWS Albany, NCEI, USGS, or an NWS storm survey this pass.</t>
  </si>
  <si>
    <t xml:space="preserve">B</t>
  </si>
  <si>
    <t xml:space="preserve">Well-documented event; figures from secondary sources or from memory of standard references — check before quoting a number.</t>
  </si>
  <si>
    <t xml:space="preserve">C</t>
  </si>
  <si>
    <t xml:space="preserve">Chronicle/diary-era (pre-~1870) or qualitative; treat as 'it happened and was bad', not as data.</t>
  </si>
  <si>
    <t xml:space="preserve">Verified column</t>
  </si>
  <si>
    <t xml:space="preserve">Y = checked against a primary source during this build (NWS ALY Past Events page, Tornado Project county tables, NCEI, NWS ALY July 2026 writeup). N = not yet checked; these are the rows to work through first.</t>
  </si>
  <si>
    <t xml:space="preserve">Known gaps / to-do</t>
  </si>
  <si>
    <t xml:space="preserve">1</t>
  </si>
  <si>
    <t xml:space="preserve">Pre-1870 growing-season disasters are under-represented; Ludlum and county histories (Beers, Munsell's Annals of Albany) would fill them.</t>
  </si>
  <si>
    <t xml:space="preserve">2</t>
  </si>
  <si>
    <t xml:space="preserve">Albany all-time extremes (104°F Jul 4 1911; –28°F Jan 19 1971) not yet re-checked against weather.gov/media/aly/Climate/ALB_Extremes.pdf.</t>
  </si>
  <si>
    <t xml:space="preserve">3</t>
  </si>
  <si>
    <t xml:space="preserve">Post-2012 tornado coordinates marked 'approx' should be replaced with NCEI begin/end lat-lon.</t>
  </si>
  <si>
    <t xml:space="preserve">4</t>
  </si>
  <si>
    <t xml:space="preserve">April 21, 2021 tornado locations and the July 27, 2014 EF1 location not captured.</t>
  </si>
  <si>
    <t xml:space="preserve">5</t>
  </si>
  <si>
    <t xml:space="preserve">Frost/freeze dates for the Helderberg plateau specifically: pull GHCN daily for the nearest coop (Rensselaerville? Delanson? Albany AP as fallback) rather than trusting valley stations.</t>
  </si>
  <si>
    <t xml:space="preserve">6</t>
  </si>
  <si>
    <t xml:space="preserve">Drought years should be re-graded from the US Drought Monitor archive (2000+) and Palmer indices (pre-2000).</t>
  </si>
  <si>
    <t xml:space="preserve">Timeline anchors</t>
  </si>
  <si>
    <t xml:space="preserve">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</si>
  <si>
    <t xml:space="preserve">Dates before 1900</t>
  </si>
  <si>
    <t xml:space="preserve">Excel cannot store dates before 1900-01-01, so all dates are ISO text and the anchor is split into numeric Year/Month/Day columns — the format TimelineJS and most timeline libraries expect.</t>
  </si>
  <si>
    <t xml:space="preserve">Geohazard rows</t>
  </si>
  <si>
    <t xml:space="preserve">Categories Ice jam, Landslide, Sinkhole (karst vs infrastructure) added. Two rows are context/pattern rows (precision = year) and should be filtered out of a point timeline. Three Niagara rows are flagged OUT OF REGION in the name.</t>
  </si>
  <si>
    <t xml:space="preserve">Cells highlighted yellow are inputs you can change.</t>
  </si>
  <si>
    <t xml:space="preserve">ID</t>
  </si>
  <si>
    <t xml:space="preserve">Start date</t>
  </si>
  <si>
    <t xml:space="preserve">End date</t>
  </si>
  <si>
    <t xml:space="preserve">Year</t>
  </si>
  <si>
    <t xml:space="preserve">Century</t>
  </si>
  <si>
    <t xml:space="preserve">Category</t>
  </si>
  <si>
    <t xml:space="preserve">Event name</t>
  </si>
  <si>
    <t xml:space="preserve">Area affected</t>
  </si>
  <si>
    <t xml:space="preserve">Key measurement</t>
  </si>
  <si>
    <t xml:space="preserve">Station / gauge</t>
  </si>
  <si>
    <t xml:space="preserve">Impact summary</t>
  </si>
  <si>
    <t xml:space="preserve">Primary source</t>
  </si>
  <si>
    <t xml:space="preserve">Source URL</t>
  </si>
  <si>
    <t xml:space="preserve">Confidence</t>
  </si>
  <si>
    <t xml:space="preserve">Verified this pass</t>
  </si>
  <si>
    <t xml:space="preserve">Notes / to-do</t>
  </si>
  <si>
    <t xml:space="preserve">Timeline anchor (ISO)</t>
  </si>
  <si>
    <t xml:space="preserve">Anchor year</t>
  </si>
  <si>
    <t xml:space="preserve">Anchor month</t>
  </si>
  <si>
    <t xml:space="preserve">Anchor day</t>
  </si>
  <si>
    <t xml:space="preserve">Date precision</t>
  </si>
  <si>
    <t xml:space="preserve">Anchor basis</t>
  </si>
  <si>
    <t xml:space="preserve">1635-08-25</t>
  </si>
  <si>
    <t xml:space="preserve">Tropical cyclone</t>
  </si>
  <si>
    <t xml:space="preserve">The Great Colonial Hurricane of 1635</t>
  </si>
  <si>
    <t xml:space="preserve">New England; track inland over W. New England / NY State</t>
  </si>
  <si>
    <t xml:space="preserve">Trough of low pressure over W. New England or NY State drove the storm north; forests leveled, hundreds of thousands of trees down</t>
  </si>
  <si>
    <t xml:space="preserve">Winthrop &amp; Bradford diaries via Ludlum</t>
  </si>
  <si>
    <t xml:space="preserve">The greatest NE hurricane of the colonial period; Mather inferred a well-established low-pressure trough over western New England or NY State. Aug 15 Old Style = Aug 25 New Style.</t>
  </si>
  <si>
    <t xml:space="preserve">Ludlum, Early American Hurricanes 1492–1870 (AMS, 1963), pp. 8–23 (verified, page images/text)</t>
  </si>
  <si>
    <t xml:space="preserve">https://hdl.handle.net/2027/mdp.39015002912718</t>
  </si>
  <si>
    <t xml:space="preserve">Y</t>
  </si>
  <si>
    <t xml:space="preserve">Track inland of NY State inferred, not observed at Albany; included as the regional-scale storm-of-record for the 17th c.</t>
  </si>
  <si>
    <t xml:space="preserve">day</t>
  </si>
  <si>
    <t xml:space="preserve">Single-day event</t>
  </si>
  <si>
    <t xml:space="preserve">1645-11-25</t>
  </si>
  <si>
    <t xml:space="preserve">Early freeze</t>
  </si>
  <si>
    <t xml:space="preserve">Hudson closed at Rensselaerwyck, Nov 25, 1645</t>
  </si>
  <si>
    <t xml:space="preserve">Albany (Rensselaerwyck)</t>
  </si>
  <si>
    <t xml:space="preserve">North River closed Nov 25 'and remained frozen very late'</t>
  </si>
  <si>
    <t xml:space="preserve">Van der Donck, Description of New Netherland (1656) via Ludlum p. 28</t>
  </si>
  <si>
    <t xml:space="preserve">Earliest dated weather observation for the Albany area in the register; van der Donck notes winters above the Highlands begin earlier and last longer than at New Amsterdam.</t>
  </si>
  <si>
    <t xml:space="preserve">Ludlum, Early American Winters I (page screenshots, verified)</t>
  </si>
  <si>
    <t xml:space="preserve">Old Style date as given.</t>
  </si>
  <si>
    <t xml:space="preserve">1667-08-27</t>
  </si>
  <si>
    <t xml:space="preserve">The Dreadful Hurry Cane of 1667</t>
  </si>
  <si>
    <t xml:space="preserve">Virginia; track inland over the Middle Atlantic; Manhattan Aug 29</t>
  </si>
  <si>
    <t xml:space="preserve">Severe storm at Manhattan Aug 29 (Stokes, Iconography); center inland over N. Virginia then up the seaboard</t>
  </si>
  <si>
    <t xml:space="preserve">Strange News from Virginia (1667) via Ludlum</t>
  </si>
  <si>
    <t xml:space="preserve">Reached Manhattan; the northern edge likely brushed the lower Hudson. 12 days of rain and flooding followed in VA.</t>
  </si>
  <si>
    <t xml:space="preserve">N</t>
  </si>
  <si>
    <t xml:space="preserve">Manhattan hit confirmed; Hudson Valley extent inferred.</t>
  </si>
  <si>
    <t xml:space="preserve">1683-08-23</t>
  </si>
  <si>
    <t xml:space="preserve">Tropical cyclone / flood</t>
  </si>
  <si>
    <t xml:space="preserve">Hurricane and Connecticut Valley flood of 1683</t>
  </si>
  <si>
    <t xml:space="preserve">Connecticut Valley / Long Island Sound</t>
  </si>
  <si>
    <t xml:space="preserve">Connecticut River rose 26 ft at Wethersfield (Aug 13 Old Style); four river towns (Windsor, Hartford, Wethersfield, Middletown) devastated; corn destroyed</t>
  </si>
  <si>
    <t xml:space="preserve">Increase Mather, Remarkable Providences (1684) via Ludlum</t>
  </si>
  <si>
    <t xml:space="preserve">Major Connecticut Valley freshet from a hurricane; the closest 17th-c. flood to the register's eastern edge.</t>
  </si>
  <si>
    <t xml:space="preserve">CT Valley, ~east of the register core; Aug 13 O.S. = Aug 23 N.S.</t>
  </si>
  <si>
    <t xml:space="preserve">1697-12-01</t>
  </si>
  <si>
    <t xml:space="preserve">1698-04-15</t>
  </si>
  <si>
    <t xml:space="preserve">Cold winter</t>
  </si>
  <si>
    <t xml:space="preserve">Severest winter in memory, 1697–98</t>
  </si>
  <si>
    <t xml:space="preserve">Albany / Schenectady / New England</t>
  </si>
  <si>
    <t xml:space="preserve">Snow 'deeper than the height of a man'; 26 snows at Dorchester</t>
  </si>
  <si>
    <t xml:space="preserve">Earl of Bellomont to Board of Trade, 28 Oct 1698, via Ludlum p. 18</t>
  </si>
  <si>
    <t xml:space="preserve">Bellomont: had the winter not been so severe 'the French would certainly have destroyed both Albany and Schenectady' – a planned invasion on 1,500 pairs of snowshoes from Montreal was abandoned. Peter Kalm 50 years later: everyone still called it the coldest ever felt.</t>
  </si>
  <si>
    <t xml:space="preserve">Season row; a military-history cross-reference for the Hilltowns.</t>
  </si>
  <si>
    <t xml:space="preserve">1698-02-15</t>
  </si>
  <si>
    <t xml:space="preserve">season</t>
  </si>
  <si>
    <t xml:space="preserve">Mid-winter; Bellomont letter gives no days</t>
  </si>
  <si>
    <t xml:space="preserve">1705-12-30</t>
  </si>
  <si>
    <t xml:space="preserve">1706-01-02</t>
  </si>
  <si>
    <t xml:space="preserve">Arctic outbreak / river ice</t>
  </si>
  <si>
    <t xml:space="preserve">Christmas 1705 cold wave – Hudson frozen at NYC</t>
  </si>
  <si>
    <t xml:space="preserve">NYC / lower Hudson</t>
  </si>
  <si>
    <t xml:space="preserve">'Coldest that was ever felt here'; Hudson froze over completely and stayed fast several days; severest cold lasted 3 days</t>
  </si>
  <si>
    <t xml:space="preserve">Boston News-Letter 21 Jan 1706 via Ludlum pp. 42, 77</t>
  </si>
  <si>
    <t xml:space="preserve">Sloop-of-war grounded off Sandy Hook; 132 crew froze to death.</t>
  </si>
  <si>
    <t xml:space="preserve">Onset Dec 30 New Style (= Christmas Old Style).</t>
  </si>
  <si>
    <t xml:space="preserve">days</t>
  </si>
  <si>
    <t xml:space="preserve">Multi-day event; anchored to first day</t>
  </si>
  <si>
    <t xml:space="preserve">1706-10-14</t>
  </si>
  <si>
    <t xml:space="preserve">1706-10-16</t>
  </si>
  <si>
    <t xml:space="preserve">Rain flood</t>
  </si>
  <si>
    <t xml:space="preserve">October 1706 flood at Albany</t>
  </si>
  <si>
    <t xml:space="preserve">Albany / Rensselaer / Connecticut Valley</t>
  </si>
  <si>
    <t xml:space="preserve">'The greatest Flood there that ever was known'; Rensselaers Island 6 ft under water, low lands drowned (Boston News-Letter 28 Oct 1706); CT River flood, ~1000 loads of hay lost</t>
  </si>
  <si>
    <t xml:space="preserve">Boston News-Letter, 28 Oct 1706, via Ludlum p. 20</t>
  </si>
  <si>
    <t xml:space="preserve">A DIRECT Albany flood record: mid-October 1706 rain + a hard gale caused the greatest flood then known at Albany. Rare early instrumental-adjacent Albany event.</t>
  </si>
  <si>
    <t xml:space="preserve">Genuine Albany flood-of-record notice for its time; the standout row from this batch.</t>
  </si>
  <si>
    <t xml:space="preserve">Rain Oct 14–16; anchored to first day</t>
  </si>
  <si>
    <t xml:space="preserve">1717-02-27</t>
  </si>
  <si>
    <t xml:space="preserve">1717-03-07</t>
  </si>
  <si>
    <t xml:space="preserve">Snowstorm</t>
  </si>
  <si>
    <t xml:space="preserve">The Great Snow of 1717</t>
  </si>
  <si>
    <t xml:space="preserve">New England / Hudson Valley (Philadelphia 'a great snow')</t>
  </si>
  <si>
    <t xml:space="preserve">Four storms: Feb 27, Mar 1, Mar 4 ('4 foot deep in ye woods on a level', drifts 10–12 ft), Mar 7; cattle and horses dead in the storm</t>
  </si>
  <si>
    <t xml:space="preserve">Hempstead diary (New London), Sewall, Mather via Ludlum pp. 42–43</t>
  </si>
  <si>
    <t xml:space="preserve">Northeasters that also reached Philadelphia (river full of ice); no Albany-specific report in Ludlum.</t>
  </si>
  <si>
    <t xml:space="preserve">Hudson Valley depth not documented – Annals of Albany may have it.</t>
  </si>
  <si>
    <t xml:space="preserve">Final and heaviest storm of the series</t>
  </si>
  <si>
    <t xml:space="preserve">1740-11-15</t>
  </si>
  <si>
    <t xml:space="preserve">1741-04-15</t>
  </si>
  <si>
    <t xml:space="preserve">Hard Winter of 1740–41</t>
  </si>
  <si>
    <t xml:space="preserve">Hudson Valley / New England</t>
  </si>
  <si>
    <t xml:space="preserve">Hudson at NYC shut to navigation twice: after the storm of Dec 28, 1740 until Jan 21, 1741, and again the 2nd–3rd weeks of Feb 1741; Stiles estimated ~−8°F; 27–30 distinct snows; snow 3 ft on the level at Newbury Mar 17; ice held to mid-April</t>
  </si>
  <si>
    <t xml:space="preserve">Ludlum pp. 50–53 (Hempstead diary, Coffin, Boston News-Letter)</t>
  </si>
  <si>
    <t xml:space="preserve">Winter set in Nov 15 (Newbury); Dec 3 rain for three weeks → biggest CT River flood in 50 years; mid-December 'prodigious storm' with eaves not dripping for 30 days; half the cattle, horses and 2/3 of goats died of scarcity in Connecticut.</t>
  </si>
  <si>
    <t xml:space="preserve">Now day-anchored. Stiles (1780) judged 1780 snowier than 1740/41.</t>
  </si>
  <si>
    <t xml:space="preserve">1740-12-28</t>
  </si>
  <si>
    <t xml:space="preserve">Storm that closed the Hudson at NYC</t>
  </si>
  <si>
    <t xml:space="preserve">1741-02-08</t>
  </si>
  <si>
    <t xml:space="preserve">1741-02-09</t>
  </si>
  <si>
    <t xml:space="preserve">Nor'easter</t>
  </si>
  <si>
    <t xml:space="preserve">Great NE storm of Feb 8–9, 1741</t>
  </si>
  <si>
    <t xml:space="preserve">Boston / New England</t>
  </si>
  <si>
    <t xml:space="preserve">'Snow higher than has been known since the vast snow of Feb 19, 1716/17' (Boston News-Letter)</t>
  </si>
  <si>
    <t xml:space="preserve">Ludlum p. 50</t>
  </si>
  <si>
    <t xml:space="preserve">One of two February 1741 storms singled out by the press.</t>
  </si>
  <si>
    <t xml:space="preserve">Hudson Valley extent not stated.</t>
  </si>
  <si>
    <t xml:space="preserve">1741-04-01</t>
  </si>
  <si>
    <t xml:space="preserve">River ice (late)</t>
  </si>
  <si>
    <t xml:space="preserve">Hudson at Esopus bearing loaded teams, April 1, 1741</t>
  </si>
  <si>
    <t xml:space="preserve">Kingston (Esopus)</t>
  </si>
  <si>
    <t xml:space="preserve">Loaded teams crossed the Hudson on the ice Apr 1; CT River crossed on horseback Apr 11</t>
  </si>
  <si>
    <t xml:space="preserve">Ludlum p. 52</t>
  </si>
  <si>
    <t xml:space="preserve">Latest documented heavy-load ice crossing of the Hudson in the register; sleighs at Deerfield to Apr 10.</t>
  </si>
  <si>
    <t xml:space="preserve">Directly relevant to Hudson Valley ice phenology.</t>
  </si>
  <si>
    <t xml:space="preserve">1764-12-25</t>
  </si>
  <si>
    <t xml:space="preserve">1764-12-26</t>
  </si>
  <si>
    <t xml:space="preserve">Coastal storm</t>
  </si>
  <si>
    <t xml:space="preserve">Christmas Night storm of 1764</t>
  </si>
  <si>
    <t xml:space="preserve">Entire Atlantic coast incl. NYC</t>
  </si>
  <si>
    <t xml:space="preserve">Began ~2000 Dec 25, snow → rain; Philadelphia 'violent windstorm and snow'; NYC strong wind and much snow</t>
  </si>
  <si>
    <t xml:space="preserve">Ludlum pp. 60–61</t>
  </si>
  <si>
    <t xml:space="preserve">Opened the severe winter of 1764–65, 'snowiest since 1748, coldest since 1741'; Delaware clogged with ice.</t>
  </si>
  <si>
    <t xml:space="preserve">1765-01-26</t>
  </si>
  <si>
    <t xml:space="preserve">1765-01-28</t>
  </si>
  <si>
    <t xml:space="preserve">January 1765 deep freeze – Hudson nearly solid at NYC</t>
  </si>
  <si>
    <t xml:space="preserve">Kings College thermometer at or below zero 57 hours until 1400 Jan 28, est. low −6°F; Hudson froze 'almost solid' to the Jersey shore; NYC Feb 11: 'six weeks in Greenland, ground covered near three feet'</t>
  </si>
  <si>
    <t xml:space="preserve">Ludlum p. 61 (Watts letter book)</t>
  </si>
  <si>
    <t xml:space="preserve">Longest sub-zero spell in NYC history if authentic; a traveller walking to Jersey fell through 350 yd from shore.</t>
  </si>
  <si>
    <t xml:space="preserve">1769-09-08</t>
  </si>
  <si>
    <t xml:space="preserve">September 1769 hurricane – NYC &amp; Hudson Valley</t>
  </si>
  <si>
    <t xml:space="preserve">NYC / New Brunswick NJ / lower Hudson</t>
  </si>
  <si>
    <t xml:space="preserve">NYC swept by a violent NE gale continuing past 2000, trees torn up and corn damaged; New Brunswick NJ severe (trees down, bridges carried away)</t>
  </si>
  <si>
    <t xml:space="preserve">Ludlum p. 25 (Va. Gaz. &amp; press)</t>
  </si>
  <si>
    <t xml:space="preserve">Center tracked up Chesapeake Bay and through eastern PA; the NE edge raked NYC and the lower Hudson.</t>
  </si>
  <si>
    <t xml:space="preserve">Ludlum, Early American Hurricanes 1492–1870 (AMS, 1963), pp. 24–40 (verified, page images)</t>
  </si>
  <si>
    <t xml:space="preserve">NYC hit confirmed; upper-Hudson extent not documented.</t>
  </si>
  <si>
    <t xml:space="preserve">1775-09-03</t>
  </si>
  <si>
    <t xml:space="preserve">The Independence Hurricane of 1775</t>
  </si>
  <si>
    <t xml:space="preserve">Chesapeake / eastern PA; NE edge to NY</t>
  </si>
  <si>
    <t xml:space="preserve">Deadliest colonial hurricane (NC to Newfoundland); center up Chesapeake Bay then eastern PA (Hazel-1954 analog)</t>
  </si>
  <si>
    <t xml:space="preserve">Ludlum pp. 26–27</t>
  </si>
  <si>
    <t xml:space="preserve">Track inland; the register keeps it as a major regional-adjacent storm. NY-specific damage not documented in these pages.</t>
  </si>
  <si>
    <t xml:space="preserve">Included for scale; no direct NY report.</t>
  </si>
  <si>
    <t xml:space="preserve">1775-12-24</t>
  </si>
  <si>
    <t xml:space="preserve">Christmas Eve snowstorm 1775 – Knox's cannon train</t>
  </si>
  <si>
    <t xml:space="preserve">Albany / upper Hudson</t>
  </si>
  <si>
    <t xml:space="preserve">Knox reported a snowfall of two feet by Christmas Day; extreme cold and NW wind Dec 21; same storm system as the Carolina 'Snow Campaign' of Dec 23–25</t>
  </si>
  <si>
    <t xml:space="preserve">Ludlum pp. 96, 147 (Knox letters)</t>
  </si>
  <si>
    <t xml:space="preserve">Knox sledded Ticonderoga's guns south along the Hudson; needed to cross the river four times between Lake George and Albany.</t>
  </si>
  <si>
    <t xml:space="preserve">1776-01-05</t>
  </si>
  <si>
    <t xml:space="preserve">1776-01-10</t>
  </si>
  <si>
    <t xml:space="preserve">Thaw then freeze</t>
  </si>
  <si>
    <t xml:space="preserve">January 1776 thaw at Albany – Knox delayed, then Hudson bears the guns</t>
  </si>
  <si>
    <t xml:space="preserve">Albany / Claverack</t>
  </si>
  <si>
    <t xml:space="preserve">Jan 5: 'a cruel thaw hinders from crossing the Hudson'; near-continuous freezing from Jan 10 let the caravan cross and move east via Claverack over the Berkshires (Route 23)</t>
  </si>
  <si>
    <t xml:space="preserve">Ludlum pp. 96–97 (Knox to Washington, 5 Jan 1776)</t>
  </si>
  <si>
    <t xml:space="preserve">Framingham reached Jan 25; the artillery drove the British out of Boston Mar 17.</t>
  </si>
  <si>
    <t xml:space="preserve">1780-01-02</t>
  </si>
  <si>
    <t xml:space="preserve">1780-01-04</t>
  </si>
  <si>
    <t xml:space="preserve">Blizzard</t>
  </si>
  <si>
    <t xml:space="preserve">Great Snowstorm of January 1780 (Hard Winter)</t>
  </si>
  <si>
    <t xml:space="preserve">NJ / Hudson Valley / New England</t>
  </si>
  <si>
    <t xml:space="preserve">12 in at New Haven Jan 2–3 (Atwater); Washington Jan 6: 'eighteen inches, much drifted, roads impassable'; 42–48 in on the ground in S. CT after the 10-day series; drifts 6–12 ft</t>
  </si>
  <si>
    <t xml:space="preserve">Ludlum pp. 114–115</t>
  </si>
  <si>
    <t xml:space="preserve">Second of three great storms (Dec 27–28, Jan 2–3, Jan 10); Stiles: more snow than the hard winter of 1740/41.</t>
  </si>
  <si>
    <t xml:space="preserve">https://www.nps.gov/morr/learn/historyculture/hard-winter-news.htm</t>
  </si>
  <si>
    <t xml:space="preserve">Ludlum: Jan 1780 = most persistently cold month in eastern US history.</t>
  </si>
  <si>
    <t xml:space="preserve">1780-01-07</t>
  </si>
  <si>
    <t xml:space="preserve">1780-02-21</t>
  </si>
  <si>
    <t xml:space="preserve">Hard Winter of 1779–80 – Hudson and harbor frozen</t>
  </si>
  <si>
    <t xml:space="preserve">Hudson Valley / NY Harbor</t>
  </si>
  <si>
    <t xml:space="preserve">Navigation stopped by ice Jan 7; East River on foot by Jan 14; Hudson on foot Jan 16–20; Staten Island→Manhattan on foot Jan 29; sleighs Feb 1; 86 sleighs with provisions Feb 6; thaw began Feb 11; ice rotting Feb 15; boats through the Narrows Feb 20, docks Feb 21</t>
  </si>
  <si>
    <t xml:space="preserve">Hugh Gaine diary via Ludlum p. 115; Smith &amp; Dohla diaries</t>
  </si>
  <si>
    <t xml:space="preserve">Only winter on record with NY waters closed to navigation for weeks; cannon dragged across to Staten Island.</t>
  </si>
  <si>
    <t xml:space="preserve">Day-level chronology now complete for NYC; no Albany-specific dates yet.</t>
  </si>
  <si>
    <t xml:space="preserve">1780-01-16</t>
  </si>
  <si>
    <t xml:space="preserve">Hudson first walked across at NYC (William Smith diary)</t>
  </si>
  <si>
    <t xml:space="preserve">1780-01-29</t>
  </si>
  <si>
    <t xml:space="preserve">Arctic outbreak</t>
  </si>
  <si>
    <t xml:space="preserve">Nadir of the Hard Winter – Jan 29, 1780</t>
  </si>
  <si>
    <t xml:space="preserve">Northeast</t>
  </si>
  <si>
    <t xml:space="preserve">Sunrise: Hartford −20°F (some sources −22°), Salem −17°F, NYC −16°F (unverified), ALBANY −20°F (Stiles, date not given)</t>
  </si>
  <si>
    <t xml:space="preserve">Ludlum pp. 79, 115 (Hartford sunrise table; Stiles register)</t>
  </si>
  <si>
    <t xml:space="preserve">Coldest morning of the coldest month on record; five consecutive sub-zero sunrises at Hartford Jan 25–29.</t>
  </si>
  <si>
    <t xml:space="preserve">1780-11-01</t>
  </si>
  <si>
    <t xml:space="preserve">1780-11-11</t>
  </si>
  <si>
    <t xml:space="preserve">Early freeze-up of the Hudson at Albany, Nov 1780</t>
  </si>
  <si>
    <t xml:space="preserve">Albany / Middle States</t>
  </si>
  <si>
    <t xml:space="preserve">Deep snow Nov 1 over the Middle States; Hudson frozen at Albany Nov 11 – 'an unusually early date'</t>
  </si>
  <si>
    <t xml:space="preserve">Ludlum p. 134 (E. Stiles diary)</t>
  </si>
  <si>
    <t xml:space="preserve">Earliest documented freeze-up of the Hudson at Albany in the register.</t>
  </si>
  <si>
    <t xml:space="preserve">Freeze-up date at Albany</t>
  </si>
  <si>
    <t xml:space="preserve">1781-01-22</t>
  </si>
  <si>
    <t xml:space="preserve">1781-01-23</t>
  </si>
  <si>
    <t xml:space="preserve">Coastal storm / wind</t>
  </si>
  <si>
    <t xml:space="preserve">Great coastal storm of January 1781</t>
  </si>
  <si>
    <t xml:space="preserve">NYC / Hudson Valley / New England</t>
  </si>
  <si>
    <t xml:space="preserve">NYC: heavy rain then snow, ~9 in; chimneys and trees blown down, people killed by falling chimneys; 'severest that has been felt here for many years'</t>
  </si>
  <si>
    <t xml:space="preserve">Ludlum pp. 134–135 (F. Mackenzie diary)</t>
  </si>
  <si>
    <t xml:space="preserve">Four naval vessels wrecked at Gardiners Island; 74-gun ship lost at Newport; prodigious inland snow (8 ft on the level claimed in NE Connecticut, unconfirmed).</t>
  </si>
  <si>
    <t xml:space="preserve">1783-10-18</t>
  </si>
  <si>
    <t xml:space="preserve">1783-10-19</t>
  </si>
  <si>
    <t xml:space="preserve">Tropical remnant / snow / flood</t>
  </si>
  <si>
    <t xml:space="preserve">October 1783 storms – NY &amp; New England</t>
  </si>
  <si>
    <t xml:space="preserve">New Brunswick NJ / New Haven / Goshen CT / VT</t>
  </si>
  <si>
    <t xml:space="preserve">2nd of the Oct 1783 storms: mid-Oct snowfall to the shores of LI Sound; snow in Goshen CT and adjacent towns; VT height-of-land 6–8 in; Windsor VT 'greatest flood ever known since settlement' Oct 22</t>
  </si>
  <si>
    <t xml:space="preserve">Ludlum p. 29 (Penna. papers, Vt. Journal)</t>
  </si>
  <si>
    <t xml:space="preserve">A cold-air-charged coastal storm that put snow on the CT Valley hills and caused the worst VT flood to that date; the Helderbergs likely saw the same snow.</t>
  </si>
  <si>
    <t xml:space="preserve">Snow reached LI Sound hills; western extent (Helderbergs) inferred.</t>
  </si>
  <si>
    <t xml:space="preserve">Second storm Oct 18–19; anchored to first day</t>
  </si>
  <si>
    <t xml:space="preserve">1783-12-30</t>
  </si>
  <si>
    <t xml:space="preserve">1783-12-31</t>
  </si>
  <si>
    <t xml:space="preserve">Year-end storm of 1783 (Long Winter)</t>
  </si>
  <si>
    <t xml:space="preserve">NJ / NYC / Hudson Valley</t>
  </si>
  <si>
    <t xml:space="preserve">20 in at Morristown Dec 30–31 'almost the same date as four years earlier'; Trappe PA 'uncommonly deep'</t>
  </si>
  <si>
    <t xml:space="preserve">Ludlum p. 65 (Joseph Lewis diary)</t>
  </si>
  <si>
    <t xml:space="preserve">Opened the Long Winter of 1783–84; greatest seasonal snowfall known in northern NJ.</t>
  </si>
  <si>
    <t xml:space="preserve">1784-02-10</t>
  </si>
  <si>
    <t xml:space="preserve">1784-02-17</t>
  </si>
  <si>
    <t xml:space="preserve">February 1784 cold – the Long Winter</t>
  </si>
  <si>
    <t xml:space="preserve">Interior New England / NYC</t>
  </si>
  <si>
    <t xml:space="preserve">Hartford ≤ −12°F on 8 consecutive mornings Feb 10–17 (−20° Feb 14); New Haven −10° Feb 10; the Narrows choked with ice; Baltimore closed Jan 2–Mar 25, 16 days longer than 1780</t>
  </si>
  <si>
    <t xml:space="preserve">Ludlum p. 65 (Webster / Amer. Jour. Sci.)</t>
  </si>
  <si>
    <t xml:space="preserve">Longest spell of sub-zero readings on record in southern New England; 1784 remembered by mariners as their toughest ice season.</t>
  </si>
  <si>
    <t xml:space="preserve">Albany value not given; likely colder.</t>
  </si>
  <si>
    <t xml:space="preserve">1788-08-19</t>
  </si>
  <si>
    <t xml:space="preserve">Tropical cyclone / severe wind</t>
  </si>
  <si>
    <t xml:space="preserve">The Hurricane of August 19, 1788 – over the Hudson Highlands</t>
  </si>
  <si>
    <t xml:space="preserve">Hudson River highlands (Bear Mtn) / Berkshires / Hillsdale, Columbia Co. / Hudson / Poughkeepsie</t>
  </si>
  <si>
    <t xml:space="preserve">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</si>
  <si>
    <t xml:space="preserve">Ludlum pp. 30–34 (Hudson Weekly Gazette, Country Journal, Daily Adv.)</t>
  </si>
  <si>
    <t xml:space="preserve">The most directly relevant early storm in the whole volume: its damage swath ran up the Hudson through Columbia and Dutchess counties. Reached to within the register's core. Ludlum debates hurricane vs. tornado vs. squall line and concludes hurricane.</t>
  </si>
  <si>
    <t xml:space="preserve">Hillsdale (Columbia Co.) is ~20 mi from Westerlo; Hudson &amp; Poughkeepsie flooding documented. Standout row from this batch.</t>
  </si>
  <si>
    <t xml:space="preserve">1789-01-30</t>
  </si>
  <si>
    <t xml:space="preserve">1789-02-02</t>
  </si>
  <si>
    <t xml:space="preserve">February 2, 1789 – Albany's earliest instrumental extreme</t>
  </si>
  <si>
    <t xml:space="preserve">Albany / Hartford / New Haven</t>
  </si>
  <si>
    <t xml:space="preserve">Albany −24°F Feb 2, 'colder by 6° than ever known' (weather book at the museum opposite Denniston's tavern, Green Street); Hartford −28°F, 4° below anything known; snow half a foot Jan 30</t>
  </si>
  <si>
    <t xml:space="preserve">The Annual Register (Albany, 1849) p. 329, via Ludlum p. 79</t>
  </si>
  <si>
    <t xml:space="preserve">Earliest dated thermometer reading for Albany in the register; Stiles notes it as one of three notable cold days of his lifetime (Feb 5).</t>
  </si>
  <si>
    <t xml:space="preserve">Albany had a thermometer by Jan 1772. NB: the 42-year freeze notice (Amer. Quar. Jour. 1845) is headed 'From the Albany Daily Advertiser', not the New York Daily Advertiser as Ludlum's footnote says.</t>
  </si>
  <si>
    <t xml:space="preserve">1795-08-03</t>
  </si>
  <si>
    <t xml:space="preserve">August 1795 storm – NYC fringe</t>
  </si>
  <si>
    <t xml:space="preserve">Henry Laight, NYC: 'a very heavy gale of wind and a great deal of rain from the East' Aug 3</t>
  </si>
  <si>
    <t xml:space="preserve">Ludlum p. 34 (Laight Ms.)</t>
  </si>
  <si>
    <t xml:space="preserve">Twin NC hurricanes; only the northern fringe reached NYC. Minor for the region.</t>
  </si>
  <si>
    <t xml:space="preserve">NYC fringe only.</t>
  </si>
  <si>
    <t xml:space="preserve">1796-11-28</t>
  </si>
  <si>
    <t xml:space="preserve">1797-01-12</t>
  </si>
  <si>
    <t xml:space="preserve">Early severe winter 1796–97</t>
  </si>
  <si>
    <t xml:space="preserve">Albany</t>
  </si>
  <si>
    <t xml:space="preserve">River closed Nov 28; intensely cold Dec 23–24, mercury at zero AM</t>
  </si>
  <si>
    <t xml:space="preserve">Albany freeze notice</t>
  </si>
  <si>
    <t xml:space="preserve">Early hard winter, severe to mid-January.</t>
  </si>
  <si>
    <t xml:space="preserve">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</si>
  <si>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https://archive.org/details/americanquarterl00slsn</t>
  </si>
  <si>
    <t xml:space="preserve">1796-12-20</t>
  </si>
  <si>
    <t xml:space="preserve">month</t>
  </si>
  <si>
    <t xml:space="preserve">Anchored to mid-point of a multi-week window</t>
  </si>
  <si>
    <t xml:space="preserve">1797-11-23</t>
  </si>
  <si>
    <t xml:space="preserve">1798-02-28</t>
  </si>
  <si>
    <t xml:space="preserve">Long severe winter 1797–98</t>
  </si>
  <si>
    <t xml:space="preserve">River closed Nov 23; lowest 2°F above zero</t>
  </si>
  <si>
    <t xml:space="preserve">Very early, long and severe; brief January thaw.</t>
  </si>
  <si>
    <t xml:space="preserve">1798-01-10</t>
  </si>
  <si>
    <t xml:space="preserve">Anchored to mid-point of a season-scale window</t>
  </si>
  <si>
    <t xml:space="preserve">1800-01-01</t>
  </si>
  <si>
    <t xml:space="preserve">2026-12-31</t>
  </si>
  <si>
    <t xml:space="preserve">Sinkhole / karst</t>
  </si>
  <si>
    <t xml:space="preserve">Helderberg–Cobleskill karst (standing hazard)</t>
  </si>
  <si>
    <t xml:space="preserve">Knox, Berne, Clarksville, Cobleskill plateau</t>
  </si>
  <si>
    <t xml:space="preserve">Largest karst drainage in the Northeast; Cobleskill Creek loses most flow underground where it crosses the Coeymans Limestone</t>
  </si>
  <si>
    <t xml:space="preserve">none</t>
  </si>
  <si>
    <t xml:space="preserve">Context row: sinkholes and swallets are a permanent feature of the plateau; discrete collapse events are rarely reported.</t>
  </si>
  <si>
    <t xml:space="preserve">NYSGA 1991 field guide</t>
  </si>
  <si>
    <t xml:space="preserve">https://www.nysga-online.org/wp-content/uploads/2019/06/NYSGA-1991-A6-Interaction-Between-Karst-and-Glaciation-in-the-Helderberg-Plateau-Schoharie-and-Albany-Counties-New-York.pdf</t>
  </si>
  <si>
    <t xml:space="preserve">Context row, not an event.</t>
  </si>
  <si>
    <t xml:space="preserve">1975-05-15</t>
  </si>
  <si>
    <t xml:space="preserve">year</t>
  </si>
  <si>
    <t xml:space="preserve">Context row – do not plot as a point</t>
  </si>
  <si>
    <t xml:space="preserve">1801-12-01</t>
  </si>
  <si>
    <t xml:space="preserve">1802-01-31</t>
  </si>
  <si>
    <t xml:space="preserve">Mild winter</t>
  </si>
  <si>
    <t xml:space="preserve">Open winter of 1801–02</t>
  </si>
  <si>
    <t xml:space="preserve">Albany / New Haven</t>
  </si>
  <si>
    <t xml:space="preserve">At Albany no ice on the Hudson strong enough to bear a team; only 1.25 in snow Dec–Jan; violets blooming at New Haven in January</t>
  </si>
  <si>
    <t xml:space="preserve">Ludlum p. 165</t>
  </si>
  <si>
    <t xml:space="preserve">Least wintry season since the Revolution – a useful counter-example for the timeline.</t>
  </si>
  <si>
    <t xml:space="preserve">1802-01-15</t>
  </si>
  <si>
    <t xml:space="preserve">Mid-winter; counter-example row</t>
  </si>
  <si>
    <t xml:space="preserve">1802-02-22</t>
  </si>
  <si>
    <t xml:space="preserve">1802-02-24</t>
  </si>
  <si>
    <t xml:space="preserve">Great coastal storm and deep snow of Feb 1802</t>
  </si>
  <si>
    <t xml:space="preserve">Snow reached Poughkeepsie 0400 and Albany just before daybreak Feb 22; 4+ ft at Rutland MA, 3.5 ft at Worcester; drifts 6–10 ft at Portsmouth</t>
  </si>
  <si>
    <t xml:space="preserve">Ludlum pp. 165–166 (Annals of Albany 3, 319)</t>
  </si>
  <si>
    <t xml:space="preserve">Dwight rated it equal to the 1717 storms; three East-Indiamen wrecked at Cape Cod, 9 dead.</t>
  </si>
  <si>
    <t xml:space="preserve">Albany depth not given – Annals of Albany vol. 3 p. 319 has it.</t>
  </si>
  <si>
    <t xml:space="preserve">1803-05-06</t>
  </si>
  <si>
    <t xml:space="preserve">1803-05-08</t>
  </si>
  <si>
    <t xml:space="preserve">Late-season snow / frost</t>
  </si>
  <si>
    <t xml:space="preserve">May 1803 snow and frost</t>
  </si>
  <si>
    <t xml:space="preserve">Hudson (Columbia Co.) / Poughkeepsie / cut-off near Albany</t>
  </si>
  <si>
    <t xml:space="preserve">Hudson: severe frost Fri night May 6, 'considerable fall of snow' Sun May 8; Poughkeepsie: several inches, sleighs in the streets; snow canopy did not reach northern NY</t>
  </si>
  <si>
    <t xml:space="preserve">Ludlum p. 167 (The Balance, Hudson, 10 May 1803)</t>
  </si>
  <si>
    <t xml:space="preserve">First measurable May snow at seaboard locations since 1774; trees in leaf, apple in blossom.</t>
  </si>
  <si>
    <t xml:space="preserve">Cut-off line 'close to Albany' – Helderbergs almost certainly had snow.</t>
  </si>
  <si>
    <t xml:space="preserve">1804-02-23</t>
  </si>
  <si>
    <t xml:space="preserve">1804-03-05</t>
  </si>
  <si>
    <t xml:space="preserve">Snowstorms</t>
  </si>
  <si>
    <t xml:space="preserve">Three snowstorms in one week – late winter 1804</t>
  </si>
  <si>
    <t xml:space="preserve">Hudson Valley / Albany / New England</t>
  </si>
  <si>
    <t xml:space="preserve">Around Albany snow lay 3 ft on the level March 5; Hudson (Balance): average depth 'upwards of two feet' after the Fri Mar 2 storm; three mails overdue from NYC</t>
  </si>
  <si>
    <t xml:space="preserve">Ludlum pp. 168–169 (Annals of Albany 3, 327; Hudson Balance 6 Mar 1804)</t>
  </si>
  <si>
    <t xml:space="preserve">'More snow than since 1780'; fodder scarce after the previous summer's drought and many cattle died in the interior.</t>
  </si>
  <si>
    <t xml:space="preserve">1804-03-02</t>
  </si>
  <si>
    <t xml:space="preserve">Friday storm reported by the Hudson Balance</t>
  </si>
  <si>
    <t xml:space="preserve">1804-10-09</t>
  </si>
  <si>
    <t xml:space="preserve">Tropical cyclone / early snow</t>
  </si>
  <si>
    <t xml:space="preserve">New England's Snow Hurricane of 1804 (full account)</t>
  </si>
  <si>
    <t xml:space="preserve">NYC / Poughkeepsie / Hudson / Catskills / Berkshires</t>
  </si>
  <si>
    <t xml:space="preserve">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</si>
  <si>
    <t xml:space="preserve">Ludlum pp. 35–38 (NY Post, Md. Gaz., Vt. Journal)</t>
  </si>
  <si>
    <t xml:space="preserve">This is the FULL account of the 1804 Snow Hurricane the register already listed. Confirms Catskill 18-inch leaf-on snow and severe Hudson Valley wind. Upgrades the existing row's detail.</t>
  </si>
  <si>
    <t xml:space="preserve">Supersedes/enriches the existing 1804 Snow Hurricane row; Catskills &amp; Hudson Valley directly documented.</t>
  </si>
  <si>
    <t xml:space="preserve">1804-12-13</t>
  </si>
  <si>
    <t xml:space="preserve">1805-03-01</t>
  </si>
  <si>
    <t xml:space="preserve">Severe winter 1804–05 at Albany</t>
  </si>
  <si>
    <t xml:space="preserve">River closed Dec 13; lowest 2°F above zero; deep snows, heavy rains, high winds; 'much distress among the poor'</t>
  </si>
  <si>
    <t xml:space="preserve">Confirms the Albany side of the 1805 severe winter (register already had the NYC 48-hr snow).</t>
  </si>
  <si>
    <t xml:space="preserve">1805-01-21</t>
  </si>
  <si>
    <t xml:space="preserve">1805-01-22</t>
  </si>
  <si>
    <t xml:space="preserve">1805-01-23</t>
  </si>
  <si>
    <t xml:space="preserve">Cold snap / river ice</t>
  </si>
  <si>
    <t xml:space="preserve">Hudson crossed on foot at NYC, Jan 1805</t>
  </si>
  <si>
    <t xml:space="preserve">Extreme cold Jan 22 (wood $8/load); 'several persons crossed the Hudson from the State Prison to Hoboken' Jan 22–23</t>
  </si>
  <si>
    <t xml:space="preserve">Ludlum p. 171 (Henry Laight notes)</t>
  </si>
  <si>
    <t xml:space="preserve">Winter 1804–05 'the most rigorous as a whole since 1780'.</t>
  </si>
  <si>
    <t xml:space="preserve">1805-01-26</t>
  </si>
  <si>
    <t xml:space="preserve">1805-01-28</t>
  </si>
  <si>
    <t xml:space="preserve">The 48-hour snow at New York, Jan 1805</t>
  </si>
  <si>
    <t xml:space="preserve">20–24 in on top of existing cover; snow Jan 26 evening → Jan 28 evening without interruption; Jan 1805 snowiest month of early record at NYC</t>
  </si>
  <si>
    <t xml:space="preserve">Ludlum pp. 170–172</t>
  </si>
  <si>
    <t xml:space="preserve">Streets impassable even for sleighs; Jan 1805 snow 'about three feet deep' (Webster).</t>
  </si>
  <si>
    <t xml:space="preserve">1806-08-23</t>
  </si>
  <si>
    <t xml:space="preserve">The Great Coastal Hurricane of 1806 – NYC fringe</t>
  </si>
  <si>
    <t xml:space="preserve">NYC / Belleville NJ</t>
  </si>
  <si>
    <t xml:space="preserve">NYC: NE gale Sat–Sun then NNW, heavy incessant rain, gale till dark; mostly a fringe lashing</t>
  </si>
  <si>
    <t xml:space="preserve">Ludlum p. 39 (NY press)</t>
  </si>
  <si>
    <t xml:space="preserve">Storm stayed largely offshore; NYC got the western fringe. Rose in Bloom wreck (21 dead) off Barnegat NJ.</t>
  </si>
  <si>
    <t xml:space="preserve">NYC fringe; lower Hudson only.</t>
  </si>
  <si>
    <t xml:space="preserve">1807-03-30</t>
  </si>
  <si>
    <t xml:space="preserve">1807-03-31</t>
  </si>
  <si>
    <t xml:space="preserve">Late-season snowstorm</t>
  </si>
  <si>
    <t xml:space="preserve">End-of-March snowstorm of 1807</t>
  </si>
  <si>
    <t xml:space="preserve">Mississippi Valley to New England; excessive on the hills of western/central NY</t>
  </si>
  <si>
    <t xml:space="preserve">5 ft of snow about Annsville, Oneida Co., Apr 1; 4.5 ft compact snow in the forests Apr 7; St. Lawrence Co. spring 'especially backward'; ice in the Niagara River Jun 4</t>
  </si>
  <si>
    <t xml:space="preserve">Ludlum pp. 230–231 (Pomroy Jones, Annals of Oneida Co.)</t>
  </si>
  <si>
    <t xml:space="preserve">Third major event of a long 1806–07 winter; opened a run of cold summers (1807, 1812, 1816) in NY.</t>
  </si>
  <si>
    <t xml:space="preserve">Hudson Valley depth not given; likely 1–3 ft on the Helderbergs.</t>
  </si>
  <si>
    <t xml:space="preserve">1810-01-19</t>
  </si>
  <si>
    <t xml:space="preserve">Cold snap</t>
  </si>
  <si>
    <t xml:space="preserve">Cold Friday</t>
  </si>
  <si>
    <t xml:space="preserve">New England / eastern NY</t>
  </si>
  <si>
    <t xml:space="preserve">~60°F drop in hours with gale (chronicle)</t>
  </si>
  <si>
    <t xml:space="preserve">Sudden flash freeze; deaths of travelers and livestock.</t>
  </si>
  <si>
    <t xml:space="preserve">Ludlum, Early American Winters I &amp; II / Early American Hurricanes (AMS) – chronicle sources</t>
  </si>
  <si>
    <t xml:space="preserve">1813-12-01</t>
  </si>
  <si>
    <t xml:space="preserve">1814-02-28</t>
  </si>
  <si>
    <t xml:space="preserve">Mild winter of 1813–14</t>
  </si>
  <si>
    <t xml:space="preserve">Albany / Champlain Valley</t>
  </si>
  <si>
    <t xml:space="preserve">Albany winter minimum only −6°F (Dr. Eights); Middlebury −12°F Jan 31</t>
  </si>
  <si>
    <t xml:space="preserve">Ludlum p. 236</t>
  </si>
  <si>
    <t xml:space="preserve">Counter-example: a mild wartime winter.</t>
  </si>
  <si>
    <t xml:space="preserve">1814-01-31</t>
  </si>
  <si>
    <t xml:space="preserve">Season minimum date at Middlebury</t>
  </si>
  <si>
    <t xml:space="preserve">1814-12-20</t>
  </si>
  <si>
    <t xml:space="preserve">1814-12-21</t>
  </si>
  <si>
    <t xml:space="preserve">December 1814 cold wave</t>
  </si>
  <si>
    <t xml:space="preserve">Albany / Champlain</t>
  </si>
  <si>
    <t xml:space="preserve">Arctic air Dec 20; Albany December low +2°F; Middlebury −6°F Dec 21</t>
  </si>
  <si>
    <t xml:space="preserve">Lake Champlain froze, raising fears of a British attack on the fleet at Whitehall over the ice.</t>
  </si>
  <si>
    <t xml:space="preserve">1815-01-31</t>
  </si>
  <si>
    <t xml:space="preserve">1815-02-01</t>
  </si>
  <si>
    <t xml:space="preserve">The severe cold of Jan 31, 1815</t>
  </si>
  <si>
    <t xml:space="preserve">NYC / New England</t>
  </si>
  <si>
    <t xml:space="preserve">Salem −9°F; Portsmouth −13°F; Brunswick ME −24°F; Nantucket −11°F; NYC icebound – Hudson and East River choked with ice, southern mail boat sank Jan 30, navigation resumed mid-Feb</t>
  </si>
  <si>
    <t xml:space="preserve">Ludlum pp. 188–189</t>
  </si>
  <si>
    <t xml:space="preserve">Coldest day at Salem since records began 1786.</t>
  </si>
  <si>
    <t xml:space="preserve">Albany value not in these pages.</t>
  </si>
  <si>
    <t xml:space="preserve">1815-09-23</t>
  </si>
  <si>
    <t xml:space="preserve">The Great September Gale of 1815</t>
  </si>
  <si>
    <t xml:space="preserve">Southern New England; W. edge to eastern NY</t>
  </si>
  <si>
    <t xml:space="preserve">Center cut southern New England in two, up eastern CT / central MA / NH; line of heavy-damage demarcation at Brimfield MA (between Springfield and Worcester)</t>
  </si>
  <si>
    <t xml:space="preserve">Ludlum pp. 77–96 (Webster diary, Darling timetable)</t>
  </si>
  <si>
    <t xml:space="preserve">The most powerful NE storm between 1635 and 1938. Its damage line ran through central MA, WEST of the register core; eastern NY on the storm's fringe.</t>
  </si>
  <si>
    <t xml:space="preserve">Ludlum, Early American Hurricanes 1492–1870 (AMS, 1963), pp. 77–108 (verified, page images)</t>
  </si>
  <si>
    <t xml:space="preserve">Included as the era's benchmark; direct Hudson Valley damage not documented — the severe swath stayed east of Albany.</t>
  </si>
  <si>
    <t xml:space="preserve">1816-05-12</t>
  </si>
  <si>
    <t xml:space="preserve">1816-05-14</t>
  </si>
  <si>
    <t xml:space="preserve">Late frost</t>
  </si>
  <si>
    <t xml:space="preserve">1816 – May frost (Year Without a Summer, episode 1)</t>
  </si>
  <si>
    <t xml:space="preserve">Upstate NY / New England</t>
  </si>
  <si>
    <t xml:space="preserve">Hard freeze; inch-thick ice on ponds (chronicle)</t>
  </si>
  <si>
    <t xml:space="preserve">Killed fruit-tree buds; early crops lost.</t>
  </si>
  <si>
    <t xml:space="preserve">1816-06-06</t>
  </si>
  <si>
    <t xml:space="preserve">1816-06-08</t>
  </si>
  <si>
    <t xml:space="preserve">Early-season snow</t>
  </si>
  <si>
    <t xml:space="preserve">1816 – June snow on the Catskills (Year Without a Summer, episode 2)</t>
  </si>
  <si>
    <t xml:space="preserve">Catskills / highlands of NY, VT, NH; Hudson Valley fringe</t>
  </si>
  <si>
    <t xml:space="preserve">Two snow periods: daytime Thu Jun 6 (rain→snow) and night of Jun 7–8; Catskills 'covered by an inch of white' Jun 6; flakes within 10 mi of Hudson tidewater; NO snow reported at valley stations incl. Albany; 18 in drifts at Cabot VT; Elizabethtown 3-hr snowfall</t>
  </si>
  <si>
    <t xml:space="preserve">Ludlum pp. 190–193 (Bennington &amp; N. Turner diaries; Hudson Bay-source cold air)</t>
  </si>
  <si>
    <t xml:space="preserve">Frost every morning Jun 7–11 at Bennington; corn killed and replanted; ice inch-thick on water at Danville VT.</t>
  </si>
  <si>
    <t xml:space="preserve">https://www.nps.gov/articles/000/1816-the-year-without-summer.htm</t>
  </si>
  <si>
    <t xml:space="preserve">CORRECTION: the popular 'snow fell in Albany' claim is not supported by Ludlum – snow was on the hills, not the valley floor. On the Helderberg plateau at 1,700 ft, snow is plausible.</t>
  </si>
  <si>
    <t xml:space="preserve">1816-07-04</t>
  </si>
  <si>
    <t xml:space="preserve">1816-07-09</t>
  </si>
  <si>
    <t xml:space="preserve">1816 – July frost (Year Without a Summer, episode 3)</t>
  </si>
  <si>
    <t xml:space="preserve">NY / New England</t>
  </si>
  <si>
    <t xml:space="preserve">'Light frosts in July' (Ludlum); popular Jul 4–5 ice claim unverified</t>
  </si>
  <si>
    <t xml:space="preserve">Ludlum p. 190 (summary only – July detail is in vol. II)</t>
  </si>
  <si>
    <t xml:space="preserve">Ludlum vol. I states no authentic July/August snowfall; frosts only. Day needs vol. II.</t>
  </si>
  <si>
    <t xml:space="preserve">1816-08-21</t>
  </si>
  <si>
    <t xml:space="preserve">1816 – August 21 frost (Year Without a Summer, episode 4)</t>
  </si>
  <si>
    <t xml:space="preserve">NY / New England, as far south as PA and NJ</t>
  </si>
  <si>
    <t xml:space="preserve">Frost</t>
  </si>
  <si>
    <t xml:space="preserve">Ludlum p. 193</t>
  </si>
  <si>
    <t xml:space="preserve">Damage to tender crops.</t>
  </si>
  <si>
    <t xml:space="preserve">1816-08-29</t>
  </si>
  <si>
    <t xml:space="preserve">1816 – August 29 frost (Year Without a Summer, episode 5)</t>
  </si>
  <si>
    <t xml:space="preserve">Frost Aug 21 and Aug 29 'did some damage to tender crops'</t>
  </si>
  <si>
    <t xml:space="preserve">Both months ~5°F below normal in New England.</t>
  </si>
  <si>
    <t xml:space="preserve">1816-09-27</t>
  </si>
  <si>
    <t xml:space="preserve">1816 – killing frost of Sept 27 (Year Without a Summer, episode 6)</t>
  </si>
  <si>
    <t xml:space="preserve">Northern New England / upland NY</t>
  </si>
  <si>
    <t xml:space="preserve">Killing frost</t>
  </si>
  <si>
    <t xml:space="preserve">Cut off even a small corn crop; 'threat of semi-starvation' through winter 1816–17.</t>
  </si>
  <si>
    <t xml:space="preserve">1817-01-12</t>
  </si>
  <si>
    <t xml:space="preserve">1817-01-16</t>
  </si>
  <si>
    <t xml:space="preserve">January 1817 cold wave</t>
  </si>
  <si>
    <t xml:space="preserve">Williamstown −16°F Jan 14, −20°F Jan 15; Cambridge −18°F Jan 15 (coldest in Harvard records to 1790); Brunswick ME −21°F</t>
  </si>
  <si>
    <t xml:space="preserve">Ludlum pp. 194–195</t>
  </si>
  <si>
    <t xml:space="preserve">First of four major cold waves in the wintry seven weeks of 1817; followed Jan 17–18 by a four-hour winter thunderstorm with lightning fires in MA/NH.</t>
  </si>
  <si>
    <t xml:space="preserve">1817-02-15</t>
  </si>
  <si>
    <t xml:space="preserve">February 15, 1817 – mercury freezes in northern NY</t>
  </si>
  <si>
    <t xml:space="preserve">Northern NY / New England</t>
  </si>
  <si>
    <t xml:space="preserve">Whiteborough (Oneida Co.) −35.5°F at 0300; Sackets Harbor −32°F; Hanover NH −30°F; Gardiner ME −40°F; Feb 1817 coldest February since 1780, not exceeded until 1836</t>
  </si>
  <si>
    <t xml:space="preserve">Ludlum p. 195</t>
  </si>
  <si>
    <t xml:space="preserve">Ludlum: 'no doubt the mercury congealed at many of the cold pockets throughout northern New York… near sunrise on 15 February 1817.'</t>
  </si>
  <si>
    <t xml:space="preserve">Albany value not given – Hough or the Annual Register should have it.</t>
  </si>
  <si>
    <t xml:space="preserve">February 15, 1817 – Albany 6° below zero</t>
  </si>
  <si>
    <t xml:space="preserve">−6°F Feb 15 — 'first time since 1788 it has fallen below zero in this city'</t>
  </si>
  <si>
    <t xml:space="preserve">Gives the Albany value for the Feb 15 1817 cold that the register previously had only for northern NY (Whiteboro −35.5°F). River had closed Dec 16.</t>
  </si>
  <si>
    <t xml:space="preserve">Matches Ludlum's Feb 1817 chapter; this is the missing Albany figure.</t>
  </si>
  <si>
    <t xml:space="preserve">1817-02-24</t>
  </si>
  <si>
    <t xml:space="preserve">1817-02-25</t>
  </si>
  <si>
    <t xml:space="preserve">Great northeaster of Feb 24, 1817</t>
  </si>
  <si>
    <t xml:space="preserve">Atlantic seaboard / southern &amp; eastern New England</t>
  </si>
  <si>
    <t xml:space="preserve">Lowest barometric pressures observed to that date; 'violent storm from NE and NW' at Baltimore</t>
  </si>
  <si>
    <t xml:space="preserve">Ludlum p. 195 (continues p. 196)</t>
  </si>
  <si>
    <t xml:space="preserve">Winter's 'most striking blow' after seven weeks of cold.</t>
  </si>
  <si>
    <t xml:space="preserve">Page 196 not yet read – NY extent unknown.</t>
  </si>
  <si>
    <t xml:space="preserve">1821-01-25</t>
  </si>
  <si>
    <t xml:space="preserve">January 25, 1821 – coldest ever at Albany</t>
  </si>
  <si>
    <t xml:space="preserve">−7°F Jan 25, 'one degree lower than in February 1817; as cold as ever experienced here'; Hudson crossed on the ice Albany↔Powles' Hook several days</t>
  </si>
  <si>
    <t xml:space="preserve">The notice states the Hudson was walkable at Albany only four times in the prior century: 1740–41, 1764–65, 1779–80, 1820–21.</t>
  </si>
  <si>
    <t xml:space="preserve">Directly corroborates the register's 1740–41, 1765 and 1780 ice-crossing rows.</t>
  </si>
  <si>
    <t xml:space="preserve">1821-09-03</t>
  </si>
  <si>
    <t xml:space="preserve">Norfolk–Long Island Hurricane</t>
  </si>
  <si>
    <t xml:space="preserve">Eye over NYC (chronicle)</t>
  </si>
  <si>
    <t xml:space="preserve">Wind damage up the lower Hudson Valley.</t>
  </si>
  <si>
    <t xml:space="preserve">The Hurricane of September 3, 1821 – over NYC &amp; up the Hudson</t>
  </si>
  <si>
    <t xml:space="preserve">NYC (center crossed) / lower &amp; mid Hudson Valley / Westchester</t>
  </si>
  <si>
    <t xml:space="preserve">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</si>
  <si>
    <t xml:space="preserve">Ludlum pp. 82, 85 (NY Post, Westchester Herald, Redfield)</t>
  </si>
  <si>
    <t xml:space="preserve">The storm that launched American storm science (Redfield's rotary-wind insight). Center over NYC; the Hudson Valley took the western semicircle. Genuinely regional.</t>
  </si>
  <si>
    <t xml:space="preserve">Center over NYC; Hudson Valley damage documented up-river. Strongest of this batch for the region.</t>
  </si>
  <si>
    <t xml:space="preserve">1826-12-14</t>
  </si>
  <si>
    <t xml:space="preserve">December 14, 1826 cold day</t>
  </si>
  <si>
    <t xml:space="preserve">3°F at 8 AM, 2°F/9°F later</t>
  </si>
  <si>
    <t xml:space="preserve">A single sharp December cold day in an otherwise mild winter.</t>
  </si>
  <si>
    <t xml:space="preserve">1828-12-01</t>
  </si>
  <si>
    <t xml:space="preserve">1829-03-29</t>
  </si>
  <si>
    <t xml:space="preserve">Long severe winter 1828–29</t>
  </si>
  <si>
    <t xml:space="preserve">River closed Jan 1, opened Mar 29; lowest 6°F below zero; 'much suffering among the poor'</t>
  </si>
  <si>
    <t xml:space="preserve">One of the coldest of the series; latest opening date (Mar 29).</t>
  </si>
  <si>
    <t xml:space="preserve">1829-01-29</t>
  </si>
  <si>
    <t xml:space="preserve">1830-12-23</t>
  </si>
  <si>
    <t xml:space="preserve">1831-02-28</t>
  </si>
  <si>
    <t xml:space="preserve">Severe snowy winter 1830–31</t>
  </si>
  <si>
    <t xml:space="preserve">Ground snow-covered Jan 6–Feb 28 (longest since 1808–09); frost 5+ weeks, only 3 days above freezing; river closed Dec 23, reopened by rains, closed again Jan 16</t>
  </si>
  <si>
    <t xml:space="preserve">1831-01-25</t>
  </si>
  <si>
    <t xml:space="preserve">1832-02-15</t>
  </si>
  <si>
    <t xml:space="preserve">1832-03-31</t>
  </si>
  <si>
    <t xml:space="preserve">Ice jam</t>
  </si>
  <si>
    <t xml:space="preserve">Mohawk breakup flood with ice, 1832</t>
  </si>
  <si>
    <t xml:space="preserve">Lower Mohawk / Schenectady</t>
  </si>
  <si>
    <t xml:space="preserve">Listed among major ice-involved breakup floods</t>
  </si>
  <si>
    <t xml:space="preserve">Garver chronology</t>
  </si>
  <si>
    <t xml:space="preserve">One of ~11 major ice breakup floods on the lower Mohawk 1832–1996; ~80% of severe Mohawk floods involve ice.</t>
  </si>
  <si>
    <t xml:space="preserve">Garver (Union College) Mohawk ice-jam chronology</t>
  </si>
  <si>
    <t xml:space="preserve">https://minerva.union.edu/garverj/mohawk/1996_ice_jam.html</t>
  </si>
  <si>
    <t xml:space="preserve">Day not yet pulled – Garver's Mohawk flood table has it.</t>
  </si>
  <si>
    <t xml:space="preserve">1832-03-08</t>
  </si>
  <si>
    <t xml:space="preserve">1835-12-16</t>
  </si>
  <si>
    <t xml:space="preserve">1835-12-17</t>
  </si>
  <si>
    <t xml:space="preserve">December 1835 cold – Great Fire of New York</t>
  </si>
  <si>
    <t xml:space="preserve">NYC / Hudson Valley</t>
  </si>
  <si>
    <t xml:space="preserve">≈ –17°F at NYC; Hudson and East River frozen (hydrants and rivers frozen during the fire)</t>
  </si>
  <si>
    <t xml:space="preserve">Fire burned 17 blocks because water sources were frozen; marks the start of the long 1835–36 ice closure of the Hudson.</t>
  </si>
  <si>
    <t xml:space="preserve">Wikipedia event article (secondary; verify against NCEI/NHC)</t>
  </si>
  <si>
    <t xml:space="preserve">https://en.wikipedia.org/wiki/Great_Fire_of_New_York</t>
  </si>
  <si>
    <t xml:space="preserve">Use as the timeline anchor for the 1835–36 winter.</t>
  </si>
  <si>
    <t xml:space="preserve">1836-04-15</t>
  </si>
  <si>
    <t xml:space="preserve">Winter of 1835–36 (season)</t>
  </si>
  <si>
    <t xml:space="preserve">Hudson Valley</t>
  </si>
  <si>
    <t xml:space="preserve">Hudson closed ~4 months (chronicle)</t>
  </si>
  <si>
    <t xml:space="preserve">Long ice closure, heavy snow, spring freshet at Albany.</t>
  </si>
  <si>
    <t xml:space="preserve">Season row; anchored to Dec 16, 1835.</t>
  </si>
  <si>
    <t xml:space="preserve">1836-02-14</t>
  </si>
  <si>
    <t xml:space="preserve">1837-01-01</t>
  </si>
  <si>
    <t xml:space="preserve">Landslide</t>
  </si>
  <si>
    <t xml:space="preserve">Troy Mount Ida clay avalanche</t>
  </si>
  <si>
    <t xml:space="preserve">Troy (east end of Washington St.)</t>
  </si>
  <si>
    <t xml:space="preserve">Clay slid ~500 ft, covering many acres</t>
  </si>
  <si>
    <t xml:space="preserve">Two stables (22 horses) and three dwellings with seven people crushed and buried; ~7 PM Sunday.</t>
  </si>
  <si>
    <t xml:space="preserve">Young, Troy's One Hundred Years (1891)</t>
  </si>
  <si>
    <t xml:space="preserve">https://troyirish.org/troy-area-history/local-history/local-history-articles/avalanche-of-clay</t>
  </si>
  <si>
    <t xml:space="preserve">Glacial Lake Albany clay. Death toll: confirm.</t>
  </si>
  <si>
    <t xml:space="preserve">1839-08-30</t>
  </si>
  <si>
    <t xml:space="preserve">Atlantic Coast Hurricane of late August 1839 – snow in the Catskills</t>
  </si>
  <si>
    <t xml:space="preserve">Offshore; snow in the Catskills</t>
  </si>
  <si>
    <t xml:space="preserve">Storm stayed offshore but cold air behind it dropped snow that 'whitened' the Catskills; snow also fell at Salem MA and along the coast (late-August snow)</t>
  </si>
  <si>
    <t xml:space="preserve">Ludlum p. 106 (Genesee Farmer / Gaylord)</t>
  </si>
  <si>
    <t xml:space="preserve">Remarkable for late-August snow in the Catskills — a phenology curiosity. High winds confined to the coastal plain ('80 mi inland it was scarcely felt').</t>
  </si>
  <si>
    <t xml:space="preserve">Notable only for the Catskill snow; no wind damage inland.</t>
  </si>
  <si>
    <t xml:space="preserve">1848-03-29</t>
  </si>
  <si>
    <t xml:space="preserve">1848-03-31</t>
  </si>
  <si>
    <t xml:space="preserve">Niagara Falls stops flowing (OUT OF REGION)</t>
  </si>
  <si>
    <t xml:space="preserve">Niagara River / Lake Erie outlet</t>
  </si>
  <si>
    <t xml:space="preserve">Flow stopped ~30–40 hours</t>
  </si>
  <si>
    <t xml:space="preserve">Gale-driven Lake Erie ice jammed the river head; people walked the riverbed; flow resumed Mar 31.</t>
  </si>
  <si>
    <t xml:space="preserve">https://en.wikipedia.org/wiki/Niagara_Falls</t>
  </si>
  <si>
    <t xml:space="preserve">Included at user request; ~280 mi west of Westerlo.</t>
  </si>
  <si>
    <t xml:space="preserve">1850-07-18</t>
  </si>
  <si>
    <t xml:space="preserve">1850-07-19</t>
  </si>
  <si>
    <t xml:space="preserve">July 1850 storm – central NY / PA track</t>
  </si>
  <si>
    <t xml:space="preserve">Central NY State / PA / Southern Tier (W of the Catskills)</t>
  </si>
  <si>
    <t xml:space="preserve">Track carried westward and northward over Pennsylvania and central New York State; property/crop damage in CT, not in eastern MA; Delaware &amp; Lehigh flooding, 20 lives lost on the Schuylkill</t>
  </si>
  <si>
    <t xml:space="preserve">Ludlum p. 113 (Fort Trumbull Medical Corps obs.)</t>
  </si>
  <si>
    <t xml:space="preserve">One of the Triple Tropical Storms of 1850. The only storm of the 1849–1869 batch to track inland into NY, but W of the Catskills — it grazes the register footprint's western edge.</t>
  </si>
  <si>
    <t xml:space="preserve">Ludlum, Early American Hurricanes 1492–1870 (AMS, 1963), pp. 109–124 (verified, page images/text)</t>
  </si>
  <si>
    <t xml:space="preserve">Central-NY/Southern-Tier track, W of the Catskills; no eastern-NY damage documented. Included for completeness.</t>
  </si>
  <si>
    <t xml:space="preserve">Jul 18–19; anchored to first day</t>
  </si>
  <si>
    <t xml:space="preserve">1857-01-18</t>
  </si>
  <si>
    <t xml:space="preserve">1857-01-19</t>
  </si>
  <si>
    <t xml:space="preserve">Blizzard / cold</t>
  </si>
  <si>
    <t xml:space="preserve">The Cold Storm of 1857</t>
  </si>
  <si>
    <t xml:space="preserve">Blizzard after –20s cold (chronicle)</t>
  </si>
  <si>
    <t xml:space="preserve">Hudson bridged by ice at Manhattan.</t>
  </si>
  <si>
    <t xml:space="preserve">1857-02-01</t>
  </si>
  <si>
    <t xml:space="preserve">1857-02-28</t>
  </si>
  <si>
    <t xml:space="preserve">River flood (ice jam)</t>
  </si>
  <si>
    <t xml:space="preserve">February 1857 Albany flood – flood of record</t>
  </si>
  <si>
    <t xml:space="preserve">Hudson at Albany</t>
  </si>
  <si>
    <t xml:space="preserve">21.71 ft crest</t>
  </si>
  <si>
    <t xml:space="preserve">Hudson R. at Albany</t>
  </si>
  <si>
    <t xml:space="preserve">Highest flood ever recorded at Albany; caused by ice jammed on sandbars south of the city.</t>
  </si>
  <si>
    <t xml:space="preserve">NWS Albany – Past Weather Events (weather.gov/aly/pastevents)</t>
  </si>
  <si>
    <t xml:space="preserve">https://www.weather.gov/aly/pastevents</t>
  </si>
  <si>
    <t xml:space="preserve">Still the Albany record.</t>
  </si>
  <si>
    <t xml:space="preserve">1857-02-15</t>
  </si>
  <si>
    <t xml:space="preserve">NWS gives month only; ice-jam crest day to pull from Munsell's Annals of Albany</t>
  </si>
  <si>
    <t xml:space="preserve">1859-03-17</t>
  </si>
  <si>
    <t xml:space="preserve">St. Peters College slide, Troy (Mt. Ida)</t>
  </si>
  <si>
    <t xml:space="preserve">Troy — foot of Mt. Ida (Mt. Ida Delta, Poesten Kill)</t>
  </si>
  <si>
    <t xml:space="preserve">Rotational slump destroyed the half-built 5-story, 200-ft St. Peters College; NO deaths (children had just left); the building blocked the slide from a residential area downhill</t>
  </si>
  <si>
    <t xml:space="preserve">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</si>
  <si>
    <t xml:space="preserve">USGS PP 1183; The Catskill Geologist (Titus)</t>
  </si>
  <si>
    <t xml:space="preserve">https://pubs.usgs.gov/pp/p1183/pp1183.html</t>
  </si>
  <si>
    <t xml:space="preserve">DATE CORRECTED from 1859-02-17 (was 'from memory') to 17 Mar 1859 (St. Patrick's Day) per Titus/Catskill Geologist — the St. Peters College slide.</t>
  </si>
  <si>
    <t xml:space="preserve">1859-06-04</t>
  </si>
  <si>
    <t xml:space="preserve">1859-06-05</t>
  </si>
  <si>
    <t xml:space="preserve">June 1859 killing frost</t>
  </si>
  <si>
    <t xml:space="preserve">Upstate NY</t>
  </si>
  <si>
    <t xml:space="preserve">Killing frost first week of June (chronicle)</t>
  </si>
  <si>
    <t xml:space="preserve">Destroyed early crops statewide.</t>
  </si>
  <si>
    <t xml:space="preserve">1865-02-15</t>
  </si>
  <si>
    <t xml:space="preserve">1865-03-31</t>
  </si>
  <si>
    <t xml:space="preserve">Mohawk breakup flood with ice, 1865</t>
  </si>
  <si>
    <t xml:space="preserve">1865-03-09</t>
  </si>
  <si>
    <t xml:space="preserve">1869-10-03</t>
  </si>
  <si>
    <t xml:space="preserve">1869-10-04</t>
  </si>
  <si>
    <t xml:space="preserve">Great Freshet of October 1869</t>
  </si>
  <si>
    <t xml:space="preserve">Extreme rain (chronicle)</t>
  </si>
  <si>
    <t xml:space="preserve">Mills and bridges lost.</t>
  </si>
  <si>
    <t xml:space="preserve">Rain flood (tropical remnant)</t>
  </si>
  <si>
    <t xml:space="preserve">Saxby's Gale &amp; Great Northeastern Rainstorm of October 1869</t>
  </si>
  <si>
    <t xml:space="preserve">Middle Atlantic to Canada; central &amp; upper Hudson Valley</t>
  </si>
  <si>
    <t xml:space="preserve">Greatest single-storm rainfall over the MA/New England area in recorded history to that date: 5 in+ at stations across VA, MD, PA, NJ, NY, CT, MA, VT, NH, ME; heaviest band ran NW from E. Connecticut through Springfield MA into the central &amp; upper Hudson Valley of NY</t>
  </si>
  <si>
    <t xml:space="preserve">Ludlum pp. 125–126 (Saxby's Gale chapter)</t>
  </si>
  <si>
    <t xml:space="preserve">A landmark rain-and-flood event that directly reached the central and upper Hudson Valley. The offshore hurricane (Saxby's Gale) combined with a stalled continental rainstorm.</t>
  </si>
  <si>
    <t xml:space="preserve">Ludlum, Early American Hurricanes 1492–1870 (AMS, 1963), pp. 109–110, 125–126 and Chronological Index pp. 191–195 (verified, page images/text)</t>
  </si>
  <si>
    <t xml:space="preserve">Central &amp; upper Hudson Valley named explicitly — the strongest regional event in the whole hurricane volume after 1821.</t>
  </si>
  <si>
    <t xml:space="preserve">1870-02-15</t>
  </si>
  <si>
    <t xml:space="preserve">1870-03-31</t>
  </si>
  <si>
    <t xml:space="preserve">Mohawk breakup flood with ice, 1870</t>
  </si>
  <si>
    <t xml:space="preserve">1870-03-09</t>
  </si>
  <si>
    <t xml:space="preserve">1878-10-23</t>
  </si>
  <si>
    <t xml:space="preserve">Gale of 1878</t>
  </si>
  <si>
    <t xml:space="preserve">Eastern NY</t>
  </si>
  <si>
    <t xml:space="preserve">Hurricane tracked inland W of Hudson</t>
  </si>
  <si>
    <t xml:space="preserve">Wind damage at Albany.</t>
  </si>
  <si>
    <t xml:space="preserve">1886-02-14</t>
  </si>
  <si>
    <t xml:space="preserve">1886-02-15</t>
  </si>
  <si>
    <t xml:space="preserve">February 1886 Mohawk ice jam</t>
  </si>
  <si>
    <t xml:space="preserve">Schenectady</t>
  </si>
  <si>
    <t xml:space="preserve">Ice piled 30–40 ft high after recession; 1-ft trees snapped</t>
  </si>
  <si>
    <t xml:space="preserve">Evening Star, Feb 15 1886</t>
  </si>
  <si>
    <t xml:space="preserve">Among the most violent Mohawk ice events on record.</t>
  </si>
  <si>
    <t xml:space="preserve">1887-12-18</t>
  </si>
  <si>
    <t xml:space="preserve">1887-12-22</t>
  </si>
  <si>
    <t xml:space="preserve">December 1887 snowstorm</t>
  </si>
  <si>
    <t xml:space="preserve">Capital Region</t>
  </si>
  <si>
    <t xml:space="preserve">3rd greatest December storm; winter 1887–88 = 110.0 in (2nd snowiest)</t>
  </si>
  <si>
    <t xml:space="preserve">One of the greatest storms on record for Albany.</t>
  </si>
  <si>
    <t xml:space="preserve">1888-03-11</t>
  </si>
  <si>
    <t xml:space="preserve">1888-03-14</t>
  </si>
  <si>
    <t xml:space="preserve">The Blizzard of 1888</t>
  </si>
  <si>
    <t xml:space="preserve">Entire region</t>
  </si>
  <si>
    <t xml:space="preserve">46.7 in / 60 hr at Albany (storm record); March 1888 2nd snowiest month</t>
  </si>
  <si>
    <t xml:space="preserve">City shut down; no coal deliveries; drifts far higher; ~400 dead regionally.</t>
  </si>
  <si>
    <t xml:space="preserve">Benchmark storm. The late-March snowmelt freshet followed: Amsterdam/Port Jackson flood damage (~$10k), a Central-Hudson RR freight blockade, and a clay landslide in the RR cut near Stillwater ('the clay continues to slide in slowly'). [The Argus, 25 Mar 1888]</t>
  </si>
  <si>
    <t xml:space="preserve">1891-02-15</t>
  </si>
  <si>
    <t xml:space="preserve">1891-03-31</t>
  </si>
  <si>
    <t xml:space="preserve">Mohawk breakup flood with ice, 1891</t>
  </si>
  <si>
    <t xml:space="preserve">1891-03-09</t>
  </si>
  <si>
    <t xml:space="preserve">1893-02-15</t>
  </si>
  <si>
    <t xml:space="preserve">1893-03-31</t>
  </si>
  <si>
    <t xml:space="preserve">Mohawk breakup flood with ice, 1893</t>
  </si>
  <si>
    <t xml:space="preserve">1893-03-09</t>
  </si>
  <si>
    <t xml:space="preserve">1893-08-24</t>
  </si>
  <si>
    <t xml:space="preserve">Midnight Storm (1893 NYC hurricane)</t>
  </si>
  <si>
    <t xml:space="preserve">Direct hit on NYC</t>
  </si>
  <si>
    <t xml:space="preserve">Wind and rain up the valley.</t>
  </si>
  <si>
    <t xml:space="preserve">1896-08-04</t>
  </si>
  <si>
    <t xml:space="preserve">1896-08-13</t>
  </si>
  <si>
    <t xml:space="preserve">Heat wave</t>
  </si>
  <si>
    <t xml:space="preserve">August 1896 heat wave</t>
  </si>
  <si>
    <t xml:space="preserve">10 days &gt;90°F with high humidity</t>
  </si>
  <si>
    <t xml:space="preserve">NYC</t>
  </si>
  <si>
    <t xml:space="preserve">~1,500 deaths in NYC; deaths in the valley.</t>
  </si>
  <si>
    <t xml:space="preserve">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</si>
  <si>
    <t xml:space="preserve">1896-08-10</t>
  </si>
  <si>
    <t xml:space="preserve">week</t>
  </si>
  <si>
    <t xml:space="preserve">Mid-point of the 10-day wave</t>
  </si>
  <si>
    <t xml:space="preserve">1899-02-08</t>
  </si>
  <si>
    <t xml:space="preserve">1899-02-14</t>
  </si>
  <si>
    <t xml:space="preserve">Arctic outbreak / blizzard</t>
  </si>
  <si>
    <t xml:space="preserve">Great Arctic Outbreak of 1899</t>
  </si>
  <si>
    <t xml:space="preserve">Eastern US</t>
  </si>
  <si>
    <t xml:space="preserve">Coldest air mass in Eastern record</t>
  </si>
  <si>
    <t xml:space="preserve">regional</t>
  </si>
  <si>
    <t xml:space="preserve">Record cold then blizzard; Hudson frozen.</t>
  </si>
  <si>
    <t xml:space="preserve">Check Albany daily min in NCEI GHCN for exact value.</t>
  </si>
  <si>
    <t xml:space="preserve">1899-02-10</t>
  </si>
  <si>
    <t xml:space="preserve">Coldest mornings Feb 9–11</t>
  </si>
  <si>
    <t xml:space="preserve">1900-01-01</t>
  </si>
  <si>
    <t xml:space="preserve">2023-03-10</t>
  </si>
  <si>
    <t xml:space="preserve">Sinkhole / karst (event)</t>
  </si>
  <si>
    <t xml:space="preserve">McFails Cave historic entrance collapse</t>
  </si>
  <si>
    <t xml:space="preserve">Cobleskill plateau (Schoharie Co.)</t>
  </si>
  <si>
    <t xml:space="preserve">The historic 110-ft vertical entrance sink became unstable and collapsed; access is now via two other rope drops</t>
  </si>
  <si>
    <t xml:space="preserve">Nardacci / NCC</t>
  </si>
  <si>
    <t xml:space="preserve">A documented karst-entrance collapse, but UNDATED in the source (years ago). Span is a placeholder, not the event date.</t>
  </si>
  <si>
    <t xml:space="preserve">Northeastern Cave Conservancy / NSS; Altamont Enterprise Back Roads Geology (Nardacci), 10 Mar 2023</t>
  </si>
  <si>
    <t xml:space="preserve">https://necaveconservancy.org/preserves/</t>
  </si>
  <si>
    <t xml:space="preserve">DATE UNKNOWN — do not plot as a point. Collapse is real and documented; needs an NCC/NSS date. Anchored artificially.</t>
  </si>
  <si>
    <t xml:space="preserve">DATE UNKNOWN; collapse happened years ago; do NOT plot as a point</t>
  </si>
  <si>
    <t xml:space="preserve">1903-01-15</t>
  </si>
  <si>
    <t xml:space="preserve">1903-03-20</t>
  </si>
  <si>
    <t xml:space="preserve">Hudson ice gorge below Albany, winter 1902–03</t>
  </si>
  <si>
    <t xml:space="preserve">Albany to Mull's Bar / Castleton</t>
  </si>
  <si>
    <t xml:space="preserve">Ice jammed to river bottom, 9–10 ft thick; no tide at Albany until March</t>
  </si>
  <si>
    <t xml:space="preserve">HRMM oral history</t>
  </si>
  <si>
    <t xml:space="preserve">Water rose to unprecedented height in south Albany; Cornell tugs hired in March 1903 to break the gorge.</t>
  </si>
  <si>
    <t xml:space="preserve">Hudson River Maritime Museum – Breaking Ice Gorges</t>
  </si>
  <si>
    <t xml:space="preserve">https://www.hrmm.org/history-blog/breaking-ice-gorges</t>
  </si>
  <si>
    <t xml:space="preserve">1903-02-16</t>
  </si>
  <si>
    <t xml:space="preserve">1903-10-08</t>
  </si>
  <si>
    <t xml:space="preserve">1903-10-10</t>
  </si>
  <si>
    <t xml:space="preserve">October 1903 flood</t>
  </si>
  <si>
    <t xml:space="preserve">Catskills / lower Hudson / NJ</t>
  </si>
  <si>
    <t xml:space="preserve">10–15 in rain</t>
  </si>
  <si>
    <t xml:space="preserve">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</si>
  <si>
    <t xml:space="preserve">Wikipedia; Columbia Republican (Hudson) 15 Oct 1903 (NYS Historic Newspapers)</t>
  </si>
  <si>
    <t xml:space="preserve">The Catskill Creek bridge collapse (5 swept away) and the Kenwood dam break are the standout local losses; the RR slides (Hallenbeck's/New Hamburgh/Ossining) are Lake Albany clay failures. Dated ~Oct 8-9 1903 ('storm of last week').</t>
  </si>
  <si>
    <t xml:space="preserve">1911-07-03</t>
  </si>
  <si>
    <t xml:space="preserve">1911-07-13</t>
  </si>
  <si>
    <t xml:space="preserve">July 1911 heat wave</t>
  </si>
  <si>
    <t xml:space="preserve">Albany 104°F (Jul 4 1911) — the all-time NY state &amp; Albany record, still standing; 102°F Jul 3; 5 consecutive 90°F+ days (Jul 2–6)</t>
  </si>
  <si>
    <t xml:space="preserve">~4–6 local heat deaths (4 in Troy, 2 in Albany on the 4th); hundreds dead across the NE. Boston also 104°F, Vernon VT 105°F (state record), Portland ME 103°F — all Jul 4.</t>
  </si>
  <si>
    <t xml:space="preserve">NWS Albany ALB_Extremes (VERIFIED); contemporary reports</t>
  </si>
  <si>
    <t xml:space="preserve">VERIFIED against NWS ALY ALB_Extremes: 104°F Jul 4 1911 is Albany's all-time high (records since 1874) and NY's hottest recorded moment. The 11-day wave ran Jul 4–15.</t>
  </si>
  <si>
    <t xml:space="preserve">1912-02-04</t>
  </si>
  <si>
    <t xml:space="preserve">Niagara ice bridge collapse (OUT OF REGION)</t>
  </si>
  <si>
    <t xml:space="preserve">Niagara Falls</t>
  </si>
  <si>
    <t xml:space="preserve">3 killed</t>
  </si>
  <si>
    <t xml:space="preserve">Ice bridge below the falls broke up with visitors on it; ended public access to the ice bridge.</t>
  </si>
  <si>
    <t xml:space="preserve">Out of region.</t>
  </si>
  <si>
    <t xml:space="preserve">1913-03-25</t>
  </si>
  <si>
    <t xml:space="preserve">1913-03-28</t>
  </si>
  <si>
    <t xml:space="preserve">River flood</t>
  </si>
  <si>
    <t xml:space="preserve">March 1913 flood</t>
  </si>
  <si>
    <t xml:space="preserve">Hudson &amp; Mohawk</t>
  </si>
  <si>
    <t xml:space="preserve">Albany 21.45 ft; Troy 29.7 ft; Schenectady 228.9 ft</t>
  </si>
  <si>
    <t xml:space="preserve">Hudson at Albany/Troy; Mohawk at Schenectady</t>
  </si>
  <si>
    <t xml:space="preserve">Highest water on record Hadley/Glens Falls south through Troy.</t>
  </si>
  <si>
    <t xml:space="preserve">1914-02-14</t>
  </si>
  <si>
    <t xml:space="preserve">February 1914 blizzard</t>
  </si>
  <si>
    <t xml:space="preserve">Eastern/central NY</t>
  </si>
  <si>
    <t xml:space="preserve">23.5 in Albany; 20–30+ in elsewhere</t>
  </si>
  <si>
    <t xml:space="preserve">Greatest February snowstorm for Albany; very cold and windy.</t>
  </si>
  <si>
    <t xml:space="preserve">1914-03-28</t>
  </si>
  <si>
    <t xml:space="preserve">March 1914 Schenectady flood of record</t>
  </si>
  <si>
    <t xml:space="preserve">Mohawk at Schenectady</t>
  </si>
  <si>
    <t xml:space="preserve">232.9 ft</t>
  </si>
  <si>
    <t xml:space="preserve">Mohawk R. at Schenectady</t>
  </si>
  <si>
    <t xml:space="preserve">Ice jam; water reached Broadway, flooded ALCO plant.</t>
  </si>
  <si>
    <t xml:space="preserve">1915-12-13</t>
  </si>
  <si>
    <t xml:space="preserve">1915-12-15</t>
  </si>
  <si>
    <t xml:space="preserve">December 1915 snowstorm</t>
  </si>
  <si>
    <t xml:space="preserve">Eastern/SE NY</t>
  </si>
  <si>
    <t xml:space="preserve">24.7 in Albany; 25–35 in regionally</t>
  </si>
  <si>
    <t xml:space="preserve">4th greatest storm for Albany; winter 1915–16 = 94.7 in.</t>
  </si>
  <si>
    <t xml:space="preserve">1917-12-01</t>
  </si>
  <si>
    <t xml:space="preserve">1918-01-31</t>
  </si>
  <si>
    <t xml:space="preserve">Winter of 1917–18</t>
  </si>
  <si>
    <t xml:space="preserve">Prolonged extreme cold</t>
  </si>
  <si>
    <t xml:space="preserve">Hudson locked; wartime coal famine.</t>
  </si>
  <si>
    <t xml:space="preserve">1917-12-30</t>
  </si>
  <si>
    <t xml:space="preserve">Dec 29–31, 1917 cold wave (records at NYC/Albany)</t>
  </si>
  <si>
    <t xml:space="preserve">1920-02-04</t>
  </si>
  <si>
    <t xml:space="preserve">1920-02-07</t>
  </si>
  <si>
    <t xml:space="preserve">February 1920 storm</t>
  </si>
  <si>
    <t xml:space="preserve">~17 in NYC; heavier north</t>
  </si>
  <si>
    <t xml:space="preserve">Paralyzed rail and river traffic.</t>
  </si>
  <si>
    <t xml:space="preserve">1927-11-03</t>
  </si>
  <si>
    <t xml:space="preserve">1927-11-05</t>
  </si>
  <si>
    <t xml:space="preserve">November 1927 flood</t>
  </si>
  <si>
    <t xml:space="preserve">VT / eastern NY</t>
  </si>
  <si>
    <t xml:space="preserve">Albany 15.96 ft; Batten Kill 17.7 ft (record); Hoosic 18.8 ft</t>
  </si>
  <si>
    <t xml:space="preserve">Remains of late-season hurricane; devastation in VT; significant Hudson flood.</t>
  </si>
  <si>
    <t xml:space="preserve">1928-01-31</t>
  </si>
  <si>
    <t xml:space="preserve">January 1928 Hudson–Mohawk confluence jam</t>
  </si>
  <si>
    <t xml:space="preserve">Tribes Hill / Cohoes area</t>
  </si>
  <si>
    <t xml:space="preserve">CRREL logged jam at the Hudson–Mohawk confluence</t>
  </si>
  <si>
    <t xml:space="preserve">CRREL</t>
  </si>
  <si>
    <t xml:space="preserve">One of the earliest 20th-c. records in the regional log.</t>
  </si>
  <si>
    <t xml:space="preserve">USACE CRREL Ice Jam Database, New York (Report_Region.csv, retrieved 2026-09-20)</t>
  </si>
  <si>
    <t xml:space="preserve">https://icejam.sec.usace.army.mil/</t>
  </si>
  <si>
    <t xml:space="preserve">CRREL record; no impact detail.</t>
  </si>
  <si>
    <t xml:space="preserve">1929-12-01</t>
  </si>
  <si>
    <t xml:space="preserve">1929-12-31</t>
  </si>
  <si>
    <t xml:space="preserve">Ice storm</t>
  </si>
  <si>
    <t xml:space="preserve">Ice storm of 1929</t>
  </si>
  <si>
    <t xml:space="preserve">Capital District</t>
  </si>
  <si>
    <t xml:space="preserve">Largest outages until 1945 (per NWS)</t>
  </si>
  <si>
    <t xml:space="preserve">Referenced by NWS as prior benchmark for outages.</t>
  </si>
  <si>
    <t xml:space="preserve">Date within 1929 not given on NWS page; verify.</t>
  </si>
  <si>
    <t xml:space="preserve">1929-07-01</t>
  </si>
  <si>
    <t xml:space="preserve">Month unknown – NWS mention only</t>
  </si>
  <si>
    <t xml:space="preserve">1930-06-01</t>
  </si>
  <si>
    <t xml:space="preserve">1931-03-31</t>
  </si>
  <si>
    <t xml:space="preserve">Drought</t>
  </si>
  <si>
    <t xml:space="preserve">1930–31 drought</t>
  </si>
  <si>
    <t xml:space="preserve">NY statewide</t>
  </si>
  <si>
    <t xml:space="preserve">Worst dry spell in NY records to that point</t>
  </si>
  <si>
    <t xml:space="preserve">Crop failures; wells dry.</t>
  </si>
  <si>
    <t xml:space="preserve">1930-08-15</t>
  </si>
  <si>
    <t xml:space="preserve">Peak of growing-season deficit</t>
  </si>
  <si>
    <t xml:space="preserve">1934-02-09</t>
  </si>
  <si>
    <t xml:space="preserve">February 1934 cold wave</t>
  </si>
  <si>
    <t xml:space="preserve">NYC –15°F; Catskill valleys near –40°F</t>
  </si>
  <si>
    <t xml:space="preserve">NYC / coop</t>
  </si>
  <si>
    <t xml:space="preserve">Orchard and vineyard kill.</t>
  </si>
  <si>
    <t xml:space="preserve">Pull Albany min from GHCN.</t>
  </si>
  <si>
    <t xml:space="preserve">1935-07-08</t>
  </si>
  <si>
    <t xml:space="preserve">Flash flood</t>
  </si>
  <si>
    <t xml:space="preserve">Great Flood of 1935</t>
  </si>
  <si>
    <t xml:space="preserve">Delaware / Otsego / Schoharie counties</t>
  </si>
  <si>
    <t xml:space="preserve">Cloudburst; ~40 dead</t>
  </si>
  <si>
    <t xml:space="preserve">Deadliest Catskill-region flood before Irene; villages gutted.</t>
  </si>
  <si>
    <t xml:space="preserve">1936-03-12</t>
  </si>
  <si>
    <t xml:space="preserve">1936-03-18</t>
  </si>
  <si>
    <t xml:space="preserve">March 1936 flood</t>
  </si>
  <si>
    <t xml:space="preserve">Albany 17.9 ft; Troy 29.5 ft (highest since Conklingville Dam)</t>
  </si>
  <si>
    <t xml:space="preserve">Hudson at Albany/Troy</t>
  </si>
  <si>
    <t xml:space="preserve">Heavy snowpack + double spring rains; flood of record on CT River at Thompsonville.</t>
  </si>
  <si>
    <t xml:space="preserve">1936-07-01</t>
  </si>
  <si>
    <t xml:space="preserve">1936-07-31</t>
  </si>
  <si>
    <t xml:space="preserve">July 1936 heat wave</t>
  </si>
  <si>
    <t xml:space="preserve">Albany: 3 consecutive 100°F+ days (Jul 8–10 1936), ~103°F Jul 9 — one of only 3 years Albany reached 100°F (1933/1936/1953)</t>
  </si>
  <si>
    <t xml:space="preserve">Warmest month ever measured in the US; NE records (Boston/Providence/Hartford) stood until 2017; NYC 106°F on Jul 10.</t>
  </si>
  <si>
    <t xml:space="preserve">Wikipedia — 1936 heat wave; NWS Albany ALB_Extremes</t>
  </si>
  <si>
    <t xml:space="preserve">Followed Feb 1936, the coldest month in US history — the 1936 cold-to-heat whiplash. Albany ~103°F Jul 9, just under its all-time 104°F (Jul 4 1911).</t>
  </si>
  <si>
    <t xml:space="preserve">1936-07-16</t>
  </si>
  <si>
    <t xml:space="preserve">1938-01-27</t>
  </si>
  <si>
    <t xml:space="preserve">Honeymoon Bridge collapse, Niagara (OUT OF REGION)</t>
  </si>
  <si>
    <t xml:space="preserve">Ice jam ~80 ft high crushed the bridge abutments</t>
  </si>
  <si>
    <t xml:space="preserve">Upper Steel Arch (Honeymoon) Bridge collapsed onto the ice.</t>
  </si>
  <si>
    <t xml:space="preserve">1938-09-21</t>
  </si>
  <si>
    <t xml:space="preserve">1938-09-22</t>
  </si>
  <si>
    <t xml:space="preserve">Great Hurricane of 1938 (Long Island Express)</t>
  </si>
  <si>
    <t xml:space="preserve">Long Island / New England / Hudson Valley</t>
  </si>
  <si>
    <t xml:space="preserve">Albany 16.5 ft</t>
  </si>
  <si>
    <t xml:space="preserve">Severe flooding on almost all regional rivers; forests flattened in Berkshires/Catskills.</t>
  </si>
  <si>
    <t xml:space="preserve">1939-02-17</t>
  </si>
  <si>
    <t xml:space="preserve">February 1939 Schoharie Creek jam at Prattsville</t>
  </si>
  <si>
    <t xml:space="preserve">Prattsville</t>
  </si>
  <si>
    <t xml:space="preserve">CRREL break-up jam</t>
  </si>
  <si>
    <t xml:space="preserve">Earliest of the long Prattsville/Burtonsville Schoharie jam series in CRREL (1939–2020s).</t>
  </si>
  <si>
    <t xml:space="preserve">1940-02-14</t>
  </si>
  <si>
    <t xml:space="preserve">Valentine's Day storm 1940</t>
  </si>
  <si>
    <t xml:space="preserve">1 ft+ with high wind</t>
  </si>
  <si>
    <t xml:space="preserve">Dozens dead in the Northeast.</t>
  </si>
  <si>
    <t xml:space="preserve">1942-05-22</t>
  </si>
  <si>
    <t xml:space="preserve">1942-05-23</t>
  </si>
  <si>
    <t xml:space="preserve">May 1942 Delaware flood</t>
  </si>
  <si>
    <t xml:space="preserve">Delaware County / Catskills</t>
  </si>
  <si>
    <t xml:space="preserve">Record on E &amp; W Branch Delaware until 2006</t>
  </si>
  <si>
    <t xml:space="preserve">USGS Delaware gauges</t>
  </si>
  <si>
    <t xml:space="preserve">Hancock, Margaretville hard hit.</t>
  </si>
  <si>
    <t xml:space="preserve">1942-12-29</t>
  </si>
  <si>
    <t xml:space="preserve">1942-12-30</t>
  </si>
  <si>
    <t xml:space="preserve">December 1942 glaze</t>
  </si>
  <si>
    <t xml:space="preserve">Worst glazing before Dec 1964 (per NWS)</t>
  </si>
  <si>
    <t xml:space="preserve">1943-02-15</t>
  </si>
  <si>
    <t xml:space="preserve">February 1943 cold wave</t>
  </si>
  <si>
    <t xml:space="preserve">–20s</t>
  </si>
  <si>
    <t xml:space="preserve">Verify in GHCN.</t>
  </si>
  <si>
    <t xml:space="preserve">1944-09-14</t>
  </si>
  <si>
    <t xml:space="preserve">Great Atlantic Hurricane</t>
  </si>
  <si>
    <t xml:space="preserve">Wind and flooding</t>
  </si>
  <si>
    <t xml:space="preserve">NHC Tropical Cyclone Report</t>
  </si>
  <si>
    <t xml:space="preserve">1945-05-10</t>
  </si>
  <si>
    <t xml:space="preserve">Late-season snow</t>
  </si>
  <si>
    <t xml:space="preserve">May 10, 1945 snowstorm</t>
  </si>
  <si>
    <t xml:space="preserve">5.4 in Albany (largest May storm); 60,000 outages</t>
  </si>
  <si>
    <t xml:space="preserve">Largest outages since 1929 ice storm; snowplows rescued motorists in the hill towns.</t>
  </si>
  <si>
    <t xml:space="preserve">Directly relevant to the Helderberg hill towns.</t>
  </si>
  <si>
    <t xml:space="preserve">1945-10-02</t>
  </si>
  <si>
    <t xml:space="preserve">October 1945 upper Mohawk flood</t>
  </si>
  <si>
    <t xml:space="preserve">Mohawk headwaters</t>
  </si>
  <si>
    <t xml:space="preserve">E. Canada Cr. at Dolgeville 15.1 ft (record)</t>
  </si>
  <si>
    <t xml:space="preserve">USGS</t>
  </si>
  <si>
    <t xml:space="preserve">Nearly destroyed Daniel Green factory.</t>
  </si>
  <si>
    <t xml:space="preserve">1947-12-26</t>
  </si>
  <si>
    <t xml:space="preserve">Post-Christmas storm 1947</t>
  </si>
  <si>
    <t xml:space="preserve">NYC record 26.4 in</t>
  </si>
  <si>
    <t xml:space="preserve">NYC Central Park</t>
  </si>
  <si>
    <t xml:space="preserve">20 in+ lower Hudson Valley.</t>
  </si>
  <si>
    <t xml:space="preserve">1948-03-17</t>
  </si>
  <si>
    <t xml:space="preserve">March 1948 Kinderhook Creek jam at Rossman</t>
  </si>
  <si>
    <t xml:space="preserve">Rossman (Columbia Co.)</t>
  </si>
  <si>
    <t xml:space="preserve">CRREL jam</t>
  </si>
  <si>
    <t xml:space="preserve">Kinderhook Creek trouble spot near Silvernails/Rossman.</t>
  </si>
  <si>
    <t xml:space="preserve">1948-12-31</t>
  </si>
  <si>
    <t xml:space="preserve">1949-01-02</t>
  </si>
  <si>
    <t xml:space="preserve">River flood / ice storm</t>
  </si>
  <si>
    <t xml:space="preserve">New Year's Ice Storm and Flood 1948–49</t>
  </si>
  <si>
    <t xml:space="preserve">Hudson / Housatonic / CT basins</t>
  </si>
  <si>
    <t xml:space="preserve">5–12 in liquid; Albany 17.5 ft; Hoosic flood of record</t>
  </si>
  <si>
    <t xml:space="preserve">Major Hudson flood with significant sleet/ice storm.</t>
  </si>
  <si>
    <t xml:space="preserve">1950-11-24</t>
  </si>
  <si>
    <t xml:space="preserve">1950-11-25</t>
  </si>
  <si>
    <t xml:space="preserve">Windstorm</t>
  </si>
  <si>
    <t xml:space="preserve">Great Appalachian Storm</t>
  </si>
  <si>
    <t xml:space="preserve">Albany gust 83 mph (strongest ever); sustained 50–60</t>
  </si>
  <si>
    <t xml:space="preserve">Roads impassable, fire towers and lines down; $20M (1950) NY damage; 7.78 in rain Slide Mtn.</t>
  </si>
  <si>
    <t xml:space="preserve">Hurricane-force inland wind benchmark.</t>
  </si>
  <si>
    <t xml:space="preserve">1954-10-15</t>
  </si>
  <si>
    <t xml:space="preserve">Hurricane Hazel</t>
  </si>
  <si>
    <t xml:space="preserve">80–100 mph gusts (regional)</t>
  </si>
  <si>
    <t xml:space="preserve">Outages across Capital Region.</t>
  </si>
  <si>
    <t xml:space="preserve">1955-08-12</t>
  </si>
  <si>
    <t xml:space="preserve">1955-08-19</t>
  </si>
  <si>
    <t xml:space="preserve">Hurricanes Connie &amp; Diane</t>
  </si>
  <si>
    <t xml:space="preserve">Catskills / lower Hudson / CT</t>
  </si>
  <si>
    <t xml:space="preserve">Connie &gt;10 in at Slide Mtn; Diane 19 in Westfield MA</t>
  </si>
  <si>
    <t xml:space="preserve">Slide Mtn coop</t>
  </si>
  <si>
    <t xml:space="preserve">Worst flood disaster in lower Hudson Valley; Ellenville nearly washed away; Kingston riverfront under 4 ft.</t>
  </si>
  <si>
    <t xml:space="preserve">1955-10-14</t>
  </si>
  <si>
    <t xml:space="preserve">1955-10-16</t>
  </si>
  <si>
    <t xml:space="preserve">October 1955 Schoharie flood</t>
  </si>
  <si>
    <t xml:space="preserve">Schoharie Valley / Tannersville</t>
  </si>
  <si>
    <t xml:space="preserve">16–18 in over Tannersville; Burtonsville 12.4 ft (2nd highest)</t>
  </si>
  <si>
    <t xml:space="preserve">Schoharie Cr. at Burtonsville</t>
  </si>
  <si>
    <t xml:space="preserve">Devastation in the Schoharie Valley from slow coastal storm.</t>
  </si>
  <si>
    <t xml:space="preserve">1958-02-15</t>
  </si>
  <si>
    <t xml:space="preserve">1958-02-16</t>
  </si>
  <si>
    <t xml:space="preserve">Blizzard of '58</t>
  </si>
  <si>
    <t xml:space="preserve">Region</t>
  </si>
  <si>
    <t xml:space="preserve">17.9 in Albany; &gt;30 in Catskills/W. New England</t>
  </si>
  <si>
    <t xml:space="preserve">Roads blocked; Operation Haylift dropped feed to cattle.</t>
  </si>
  <si>
    <t xml:space="preserve">1958-03-19</t>
  </si>
  <si>
    <t xml:space="preserve">1958-03-21</t>
  </si>
  <si>
    <t xml:space="preserve">Wet snowstorm</t>
  </si>
  <si>
    <t xml:space="preserve">March 1958 wet snow</t>
  </si>
  <si>
    <t xml:space="preserve">Hudson Highlands / Catskills</t>
  </si>
  <si>
    <t xml:space="preserve">3–4 ft locally</t>
  </si>
  <si>
    <t xml:space="preserve">Roof collapses.</t>
  </si>
  <si>
    <t xml:space="preserve">1960-04-05</t>
  </si>
  <si>
    <t xml:space="preserve">April 1960 Hudson flood</t>
  </si>
  <si>
    <t xml:space="preserve">Troy</t>
  </si>
  <si>
    <t xml:space="preserve">24.41 ft (10th highest)</t>
  </si>
  <si>
    <t xml:space="preserve">Hudson at Troy</t>
  </si>
  <si>
    <t xml:space="preserve">NWPS Hudson at Troy historic crests</t>
  </si>
  <si>
    <t xml:space="preserve">https://water.noaa.gov/gauges/tryn6</t>
  </si>
  <si>
    <t xml:space="preserve">1960-06-24</t>
  </si>
  <si>
    <t xml:space="preserve">Tornado</t>
  </si>
  <si>
    <t xml:space="preserve">Schenectady County F3 tornado</t>
  </si>
  <si>
    <t xml:space="preserve">Schenectady County</t>
  </si>
  <si>
    <t xml:space="preserve">F3; 9 injuries; ~$25M</t>
  </si>
  <si>
    <t xml:space="preserve">NCEI</t>
  </si>
  <si>
    <t xml:space="preserve">See Wind &amp; Tornado sheet.</t>
  </si>
  <si>
    <t xml:space="preserve">Tornado Project (Grazulis) NY county list 1950–2012</t>
  </si>
  <si>
    <t xml:space="preserve">https://www.tornadoproject.com/alltorns/nytorn.htm</t>
  </si>
  <si>
    <t xml:space="preserve">1961-02-03</t>
  </si>
  <si>
    <t xml:space="preserve">1961-02-04</t>
  </si>
  <si>
    <t xml:space="preserve">February 1961 blizzard</t>
  </si>
  <si>
    <t xml:space="preserve">20 in+</t>
  </si>
  <si>
    <t xml:space="preserve">1962-01-01</t>
  </si>
  <si>
    <t xml:space="preserve">1966-12-31</t>
  </si>
  <si>
    <t xml:space="preserve">The 1960s drought</t>
  </si>
  <si>
    <t xml:space="preserve">Longest/most severe in Northeast records</t>
  </si>
  <si>
    <t xml:space="preserve">NYC Catskill reservoirs near 25%; dairy/orchard losses. Independent local marker: summer 1962 drought dropped the Clarksville Cave (Gregory) sump ~3 ft, exposing the passage that connected the two cave sections.</t>
  </si>
  <si>
    <t xml:space="preserve">1965-08-15</t>
  </si>
  <si>
    <t xml:space="preserve">1965 = worst single year; reservoirs at minimum</t>
  </si>
  <si>
    <t xml:space="preserve">1964-01-13</t>
  </si>
  <si>
    <t xml:space="preserve">1964-01-14</t>
  </si>
  <si>
    <t xml:space="preserve">Blizzard of '64</t>
  </si>
  <si>
    <t xml:space="preserve">15.4 in Albany; 30 in Catskills; gusts 50–60</t>
  </si>
  <si>
    <t xml:space="preserve">Drifts 3–8 ft; NESIS Cat 4.</t>
  </si>
  <si>
    <t xml:space="preserve">1964-03-06</t>
  </si>
  <si>
    <t xml:space="preserve">March 1964 Mohawk/Hudson ice breakup</t>
  </si>
  <si>
    <t xml:space="preserve">Cohoes / Waterford / Troy</t>
  </si>
  <si>
    <t xml:space="preserve">Troy 24.82 ft (8th highest); rapid rise at Cohoes gage</t>
  </si>
  <si>
    <t xml:space="preserve">Hudson at Troy; USGS Cohoes</t>
  </si>
  <si>
    <t xml:space="preserve">Upstream jam released a surge over Cohoes Falls into Waterford, causing damage.</t>
  </si>
  <si>
    <t xml:space="preserve">NWS Albany Ice Jam Trouble Spots (IceJamInfo.pdf)</t>
  </si>
  <si>
    <t xml:space="preserve">https://www.weather.gov/media/aly/Hydrology/IceJamInfo.pdf</t>
  </si>
  <si>
    <t xml:space="preserve">Garver lists 1964 as a major ice year.</t>
  </si>
  <si>
    <t xml:space="preserve">1964-12-04</t>
  </si>
  <si>
    <t xml:space="preserve">1964-12-05</t>
  </si>
  <si>
    <t xml:space="preserve">Worst ice storm on record (1964)</t>
  </si>
  <si>
    <t xml:space="preserve">East-central NY</t>
  </si>
  <si>
    <t xml:space="preserve">Up to 1.5 in ice</t>
  </si>
  <si>
    <t xml:space="preserve">Power out up to 2 weeks; schools closed a week; ~$5M.</t>
  </si>
  <si>
    <t xml:space="preserve">1966-01-29</t>
  </si>
  <si>
    <t xml:space="preserve">1966-01-31</t>
  </si>
  <si>
    <t xml:space="preserve">Blizzard of '66</t>
  </si>
  <si>
    <t xml:space="preserve">Region / central NY</t>
  </si>
  <si>
    <t xml:space="preserve">~12 in Albany; 75 in Oswego</t>
  </si>
  <si>
    <t xml:space="preserve">NESIS Cat 3.</t>
  </si>
  <si>
    <t xml:space="preserve">1966-06-01</t>
  </si>
  <si>
    <t xml:space="preserve">1966-07-31</t>
  </si>
  <si>
    <t xml:space="preserve">Heat wave / drought peak</t>
  </si>
  <si>
    <t xml:space="preserve">Summer 1966 heat</t>
  </si>
  <si>
    <t xml:space="preserve">Prolonged 90s</t>
  </si>
  <si>
    <t xml:space="preserve">Peak of 1960s drought.</t>
  </si>
  <si>
    <t xml:space="preserve">1966-07-03</t>
  </si>
  <si>
    <t xml:space="preserve">Jul 1–5, 1966 peak heat</t>
  </si>
  <si>
    <t xml:space="preserve">1969-12-25</t>
  </si>
  <si>
    <t xml:space="preserve">1969-12-28</t>
  </si>
  <si>
    <t xml:space="preserve">Post-Christmas Snowstorm of 1969</t>
  </si>
  <si>
    <t xml:space="preserve">26.4 in Albany (Dec record, 3rd all-time); –22°F Dec 25</t>
  </si>
  <si>
    <t xml:space="preserve">Streets uncleared 3–4 weeks; Dec 1969 snowiest month on record.</t>
  </si>
  <si>
    <t xml:space="preserve">1971-01-19</t>
  </si>
  <si>
    <t xml:space="preserve">Albany all-time record low</t>
  </si>
  <si>
    <t xml:space="preserve">–28°F</t>
  </si>
  <si>
    <t xml:space="preserve">Verify against ALB_Extremes.pdf.</t>
  </si>
  <si>
    <t xml:space="preserve">1971-11-24</t>
  </si>
  <si>
    <t xml:space="preserve">1971-11-25</t>
  </si>
  <si>
    <t xml:space="preserve">Thanksgiving Snowstorm of 1971</t>
  </si>
  <si>
    <t xml:space="preserve">Catskills / upper Hudson</t>
  </si>
  <si>
    <t xml:space="preserve">22.5 in Albany; up to 30 in</t>
  </si>
  <si>
    <t xml:space="preserve">Greatest November storm on record.</t>
  </si>
  <si>
    <t xml:space="preserve">1972-06-19</t>
  </si>
  <si>
    <t xml:space="preserve">1972-06-25</t>
  </si>
  <si>
    <t xml:space="preserve">Hurricane Agnes</t>
  </si>
  <si>
    <t xml:space="preserve">Southern Tier / Catskills</t>
  </si>
  <si>
    <t xml:space="preserve">10 in+ Slide Mtn; Sacandaga record level</t>
  </si>
  <si>
    <t xml:space="preserve">Devastating in Elmira/Corning; Esopus flooding relatively minor.</t>
  </si>
  <si>
    <t xml:space="preserve">1973-08-28</t>
  </si>
  <si>
    <t xml:space="preserve">Columbia County F4 (into MA)</t>
  </si>
  <si>
    <t xml:space="preserve">Columbia / Rensselaer counties</t>
  </si>
  <si>
    <t xml:space="preserve">F4; first recorded F4 in NY</t>
  </si>
  <si>
    <t xml:space="preserve">1973-12-16</t>
  </si>
  <si>
    <t xml:space="preserve">1973-12-17</t>
  </si>
  <si>
    <t xml:space="preserve">December 1973 ice storm</t>
  </si>
  <si>
    <t xml:space="preserve">Lower Hudson / CT</t>
  </si>
  <si>
    <t xml:space="preserve">Weeks-long outages locally</t>
  </si>
  <si>
    <t xml:space="preserve">Mostly CT; verify NY extent.</t>
  </si>
  <si>
    <t xml:space="preserve">1974-06-16</t>
  </si>
  <si>
    <t xml:space="preserve">Greene→Saratoga long-track F3</t>
  </si>
  <si>
    <t xml:space="preserve">Greene / Albany / Saratoga</t>
  </si>
  <si>
    <t xml:space="preserve">F3; ~49 mi track</t>
  </si>
  <si>
    <t xml:space="preserve">Knox Cave entrance-sinkhole ice collapse</t>
  </si>
  <si>
    <t xml:space="preserve">Knox, Albany Co. (Helderberg karst)</t>
  </si>
  <si>
    <t xml:space="preserve">Spring 1975 (Mar or May per conflicting accounts): SUNY Albany students tried to enter through the ice-encrusted sink; spring snowmelt/field runoff cascaded behind the ice and a massive block broke away, killing 1 student and paralyzing another from the neck down</t>
  </si>
  <si>
    <t xml:space="preserve">NCC / NSS</t>
  </si>
  <si>
    <t xml:space="preserve">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</si>
  <si>
    <t xml:space="preserve">Northeastern Cave Conservancy preserve management plans &amp; board minutes; Altamont Enterprise "Back Roads Geology" (Nardacci); NSS 1991 Knox writeup</t>
  </si>
  <si>
    <t xml:space="preserve">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t>
  </si>
  <si>
    <t xml:space="preserve">1975-09-24</t>
  </si>
  <si>
    <t xml:space="preserve">1975-09-27</t>
  </si>
  <si>
    <t xml:space="preserve">Hurricane Eloise remnants</t>
  </si>
  <si>
    <t xml:space="preserve">Susquehanna / Catskills</t>
  </si>
  <si>
    <t xml:space="preserve">Significant flooding</t>
  </si>
  <si>
    <t xml:space="preserve">1976-02-01</t>
  </si>
  <si>
    <t xml:space="preserve">1976-03-15</t>
  </si>
  <si>
    <t xml:space="preserve">1976 Hudson ice jam at Albany (I-787)</t>
  </si>
  <si>
    <t xml:space="preserve">Albany waterfront</t>
  </si>
  <si>
    <t xml:space="preserve">Large jam along I-787</t>
  </si>
  <si>
    <t xml:space="preserve">Noted by NWS as the major Albany-area jam since 1930s dredging.</t>
  </si>
  <si>
    <t xml:space="preserve">Month approximate – likely Feb–Mar 1976.</t>
  </si>
  <si>
    <t xml:space="preserve">1976-02-22</t>
  </si>
  <si>
    <t xml:space="preserve">1976-02-02</t>
  </si>
  <si>
    <t xml:space="preserve">Flash freeze / wind</t>
  </si>
  <si>
    <t xml:space="preserve">Flash freeze and brief blizzard</t>
  </si>
  <si>
    <t xml:space="preserve">41°F→1°F; gusts 67 mph; record low NY Harbor tide</t>
  </si>
  <si>
    <t xml:space="preserve">Two fatalities; Thruway closed.</t>
  </si>
  <si>
    <t xml:space="preserve">1977-01-01</t>
  </si>
  <si>
    <t xml:space="preserve">1977-01-31</t>
  </si>
  <si>
    <t xml:space="preserve">January 1977</t>
  </si>
  <si>
    <t xml:space="preserve">One of coldest Januaries</t>
  </si>
  <si>
    <t xml:space="preserve">Gas curtailments; Hudson frozen.</t>
  </si>
  <si>
    <t xml:space="preserve">1977-01-17</t>
  </si>
  <si>
    <t xml:space="preserve">Coldest stretch mid-January</t>
  </si>
  <si>
    <t xml:space="preserve">1977-03-13</t>
  </si>
  <si>
    <t xml:space="preserve">1977-03-15</t>
  </si>
  <si>
    <t xml:space="preserve">March 1977 flood – Green Island Bridge collapse</t>
  </si>
  <si>
    <t xml:space="preserve">Mohawk / Hudson</t>
  </si>
  <si>
    <t xml:space="preserve">Record on Mohawk at Little Falls; 70s–80s warmth + snowpack + 3 in rain</t>
  </si>
  <si>
    <t xml:space="preserve">Worst regional flood since 1949; Green Island Bridge collapsed into Hudson Mar 15.</t>
  </si>
  <si>
    <t xml:space="preserve">1978-01-01</t>
  </si>
  <si>
    <t xml:space="preserve">1978-01-31</t>
  </si>
  <si>
    <t xml:space="preserve">Ice-jam flood</t>
  </si>
  <si>
    <t xml:space="preserve">January 1978 Prattsville ice jam</t>
  </si>
  <si>
    <t xml:space="preserve">Schoharie Creek</t>
  </si>
  <si>
    <t xml:space="preserve">Ice jam blocked reservoir outflow</t>
  </si>
  <si>
    <t xml:space="preserve">Widespread flooding; dairy herd drowned in barn.</t>
  </si>
  <si>
    <t xml:space="preserve">1978-01-16</t>
  </si>
  <si>
    <t xml:space="preserve">1978-02-06</t>
  </si>
  <si>
    <t xml:space="preserve">1978-02-07</t>
  </si>
  <si>
    <t xml:space="preserve">Blizzard of '78</t>
  </si>
  <si>
    <t xml:space="preserve">13.4 in Albany; 25 in Prattsville; 30 in E. Wallingford VT</t>
  </si>
  <si>
    <t xml:space="preserve">NESIS Cat 3; winter 1977–78 = 92.4 in.</t>
  </si>
  <si>
    <t xml:space="preserve">1979-01-15</t>
  </si>
  <si>
    <t xml:space="preserve">1979-03-15</t>
  </si>
  <si>
    <t xml:space="preserve">Schoharie Creek ice jam – dairy herd drowned (1978/79)</t>
  </si>
  <si>
    <t xml:space="preserve">Prattsville / upper Schoharie</t>
  </si>
  <si>
    <t xml:space="preserve">Jam above the reservoir on sheet ice</t>
  </si>
  <si>
    <t xml:space="preserve">Entire dairy herd drowned in a barn when water backed up behind a jam.</t>
  </si>
  <si>
    <t xml:space="preserve">NWS Past Events page says Jan 1978; NWS ice-jam PDF says 1979 – same event, year in dispute. Row above (Jan 1978) kept; resolve before plotting.</t>
  </si>
  <si>
    <t xml:space="preserve">1979-02-13</t>
  </si>
  <si>
    <t xml:space="preserve">1979-03-01</t>
  </si>
  <si>
    <t xml:space="preserve">1979-03-31</t>
  </si>
  <si>
    <t xml:space="preserve">March 1979 ice jams</t>
  </si>
  <si>
    <t xml:space="preserve">Hudson, Mohawk, Schoharie</t>
  </si>
  <si>
    <t xml:space="preserve">Severe ice jamming</t>
  </si>
  <si>
    <t xml:space="preserve">1979-03-16</t>
  </si>
  <si>
    <t xml:space="preserve">1980-03-01</t>
  </si>
  <si>
    <t xml:space="preserve">1980-03-31</t>
  </si>
  <si>
    <t xml:space="preserve">'Great Catskill Toilet Flush' (March 1980)</t>
  </si>
  <si>
    <t xml:space="preserve">Schoharie / Catskill / Esopus creeks</t>
  </si>
  <si>
    <t xml:space="preserve">~10 in rain on bare frozen ground</t>
  </si>
  <si>
    <t xml:space="preserve">Rapid severe floods; one fatality at a roadblock.</t>
  </si>
  <si>
    <t xml:space="preserve">1980-03-16</t>
  </si>
  <si>
    <t xml:space="preserve">1980-06-01</t>
  </si>
  <si>
    <t xml:space="preserve">1981-06-30</t>
  </si>
  <si>
    <t xml:space="preserve">1980–81 drought</t>
  </si>
  <si>
    <t xml:space="preserve">NYC watershed / Hudson</t>
  </si>
  <si>
    <t xml:space="preserve">NYC water emergency</t>
  </si>
  <si>
    <t xml:space="preserve">1981-01-15</t>
  </si>
  <si>
    <t xml:space="preserve">NYC water emergency declared winter 1981</t>
  </si>
  <si>
    <t xml:space="preserve">1981-02-01</t>
  </si>
  <si>
    <t xml:space="preserve">1981-02-28</t>
  </si>
  <si>
    <t xml:space="preserve">February 1981 Mohawk ice jam</t>
  </si>
  <si>
    <t xml:space="preserve">Mohawk near Fonda</t>
  </si>
  <si>
    <t xml:space="preserve">Nearly flooded Thruway</t>
  </si>
  <si>
    <t xml:space="preserve">1981-02-14</t>
  </si>
  <si>
    <t xml:space="preserve">1982-04-06</t>
  </si>
  <si>
    <t xml:space="preserve">1982-04-07</t>
  </si>
  <si>
    <t xml:space="preserve">April 1982 blizzard</t>
  </si>
  <si>
    <t xml:space="preserve">17.7 in Albany (April record); 1–2 ft widely; thundersnow</t>
  </si>
  <si>
    <t xml:space="preserve">Worst April snowstorm in local history.</t>
  </si>
  <si>
    <t xml:space="preserve">1983-01-15</t>
  </si>
  <si>
    <t xml:space="preserve">1983-01-16</t>
  </si>
  <si>
    <t xml:space="preserve">January 1983 snowstorm</t>
  </si>
  <si>
    <t xml:space="preserve">24.5 in Albany (January record); ~30 in Saratoga Co.</t>
  </si>
  <si>
    <t xml:space="preserve">Travel standstill.</t>
  </si>
  <si>
    <t xml:space="preserve">1983-04-01</t>
  </si>
  <si>
    <t xml:space="preserve">1983-05-31</t>
  </si>
  <si>
    <t xml:space="preserve">Spring Monsoon 1983</t>
  </si>
  <si>
    <t xml:space="preserve">18 in+ over 2 months (Ellenville, NYC)</t>
  </si>
  <si>
    <t xml:space="preserve">coop</t>
  </si>
  <si>
    <t xml:space="preserve">Sacandaga spilled May 1 for first time since 1930.</t>
  </si>
  <si>
    <t xml:space="preserve">1983-05-01</t>
  </si>
  <si>
    <t xml:space="preserve">Sacandaga spilled over for the first time</t>
  </si>
  <si>
    <t xml:space="preserve">1985-09-27</t>
  </si>
  <si>
    <t xml:space="preserve">Hurricane Gloria</t>
  </si>
  <si>
    <t xml:space="preserve">Wind damage/outages</t>
  </si>
  <si>
    <t xml:space="preserve">1987-04-04</t>
  </si>
  <si>
    <t xml:space="preserve">1987-04-06</t>
  </si>
  <si>
    <t xml:space="preserve">April 1987 flood – Schoharie Thruway bridge collapse</t>
  </si>
  <si>
    <t xml:space="preserve">Mohawk / Catskills / New England</t>
  </si>
  <si>
    <t xml:space="preserve">Snowmelt + heavy rain Mar 31 &amp; Apr 4–7</t>
  </si>
  <si>
    <t xml:space="preserve">Thruway bridge over Schoharie Creek collapsed Apr 5; ≥10 dead; evacuations.</t>
  </si>
  <si>
    <t xml:space="preserve">1987-10-04</t>
  </si>
  <si>
    <t xml:space="preserve">October 4, 1987 snowstorm</t>
  </si>
  <si>
    <t xml:space="preserve">Eastern NY / W. New England</t>
  </si>
  <si>
    <t xml:space="preserve">3 in–2 ft wet snow (ratio ~3.5:1); 6.5 in Albany (earliest measurable)</t>
  </si>
  <si>
    <t xml:space="preserve">Leaf-on trees; hundreds of thousands without power up to 2 weeks; deaths.</t>
  </si>
  <si>
    <t xml:space="preserve">1988-06-01</t>
  </si>
  <si>
    <t xml:space="preserve">1988-08-31</t>
  </si>
  <si>
    <t xml:space="preserve">Drought / heat</t>
  </si>
  <si>
    <t xml:space="preserve">Summer 1988</t>
  </si>
  <si>
    <t xml:space="preserve">Albany 99°F (Jul 8 1988) — among the hottest days of recent decades; a hot, dry summer</t>
  </si>
  <si>
    <t xml:space="preserve">Failed hay crops. The Capital-District face of the 1988–90 North American drought — one of the costliest US disasters (~$40B) but centered on the Midwest/Plains; the Northeast's involvement was mainly the dry summer of 1988.</t>
  </si>
  <si>
    <t xml:space="preserve">Wikipedia — 1988–90 N. American drought; NWS Albany annual highs</t>
  </si>
  <si>
    <t xml:space="preserve">Albany peak 99°F Jul 8 1988. The multi-year 1988–90 drought's core was central US; the NE was dry in 1988 but recovered — this row is the 1988 summer, not a multi-year Capital-District drought.</t>
  </si>
  <si>
    <t xml:space="preserve">1988-07-15</t>
  </si>
  <si>
    <t xml:space="preserve">Mid-summer</t>
  </si>
  <si>
    <t xml:space="preserve">1989-07-10</t>
  </si>
  <si>
    <t xml:space="preserve">Tornado outbreak</t>
  </si>
  <si>
    <t xml:space="preserve">July 10, 1989 F4 tornado family (Ames→East Durham)</t>
  </si>
  <si>
    <t xml:space="preserve">Montgomery / Schoharie / Albany / Greene</t>
  </si>
  <si>
    <t xml:space="preserve">F4; 42-mi path; 20 injured; ~$20–27M</t>
  </si>
  <si>
    <t xml:space="preserve">Touchdowns near Rensselaerville and Greenville; only F4 in NY to date; 17 tornadoes regionally.</t>
  </si>
  <si>
    <t xml:space="preserve">https://en.wikipedia.org/wiki/July_1989_Northeastern_United_States_tornado_outbreak</t>
  </si>
  <si>
    <t xml:space="preserve">Passed within a few miles of Westerlo.</t>
  </si>
  <si>
    <t xml:space="preserve">1989-11-16</t>
  </si>
  <si>
    <t xml:space="preserve">Downburst / tornado</t>
  </si>
  <si>
    <t xml:space="preserve">Coldenham (Newburgh) school disaster</t>
  </si>
  <si>
    <t xml:space="preserve">Orange County</t>
  </si>
  <si>
    <t xml:space="preserve">Downburst per Fujita; 9 children killed</t>
  </si>
  <si>
    <t xml:space="preserve">East Coldenham Elementary cafeteria wall collapse.</t>
  </si>
  <si>
    <t xml:space="preserve">Outside 30-mi radius; included for regional impact.</t>
  </si>
  <si>
    <t xml:space="preserve">1991-01-01</t>
  </si>
  <si>
    <t xml:space="preserve">1991-12-31</t>
  </si>
  <si>
    <t xml:space="preserve">Flash flood (karst)</t>
  </si>
  <si>
    <t xml:space="preserve">Onesquethaw Cave flood traps Syracuse students</t>
  </si>
  <si>
    <t xml:space="preserve">Clarksville / New Scotland (Onesquethaw Cave)</t>
  </si>
  <si>
    <t xml:space="preserve">A torrential surge flooded Onesquethaw Cave to near the ceiling, briefly trapping a college group; they clung to a high-ceilinged room until levels dropped; rescue by the Albany-Schoharie Cave Rescue group and local fire companies, with Northeast news coverage</t>
  </si>
  <si>
    <t xml:space="preserve">A DATED karst flash-flood: intense precipitation sent a roaring stream into the sink faster than the conduit could carry it. Ties the karst layer to a rapid-runoff event. Exact date within 1991 not given.</t>
  </si>
  <si>
    <t xml:space="preserve">Northeastern Cave Conservancy / NSS; Altamont Enterprise Back Roads Geology (Nardacci)</t>
  </si>
  <si>
    <t xml:space="preserve">DATE = year only (1991); do not plot as a precise point. Demonstrates Onesquethaw can fill to the ceiling after sudden heavy rain.</t>
  </si>
  <si>
    <t xml:space="preserve">1991-07-01</t>
  </si>
  <si>
    <t xml:space="preserve">Year only (1991); month unknown; do NOT plot as a precise point</t>
  </si>
  <si>
    <t xml:space="preserve">1992-12-10</t>
  </si>
  <si>
    <t xml:space="preserve">1992-12-12</t>
  </si>
  <si>
    <t xml:space="preserve">Nor'easter (downslope)</t>
  </si>
  <si>
    <t xml:space="preserve">Downslope Nor'easter 1992</t>
  </si>
  <si>
    <t xml:space="preserve">Berkshires / Catskills / Helderbergs</t>
  </si>
  <si>
    <t xml:space="preserve">30–48 in Berkshires; 18–39 in Catskills &amp; Helderbergs; 6 in Albany</t>
  </si>
  <si>
    <t xml:space="preserve">Schools closed a week; National Guard snow removal.</t>
  </si>
  <si>
    <t xml:space="preserve">Helderbergs explicitly named.</t>
  </si>
  <si>
    <t xml:space="preserve">1993-03-13</t>
  </si>
  <si>
    <t xml:space="preserve">1993-03-14</t>
  </si>
  <si>
    <t xml:space="preserve">Superstorm of 1993</t>
  </si>
  <si>
    <t xml:space="preserve">26.6 in Albany; 40 in Halcott Center; 36 in Prattsville; 28.68 in Hg</t>
  </si>
  <si>
    <t xml:space="preserve">5–6 in/hr rates; state of emergency; NESIS Cat 5 (#1).</t>
  </si>
  <si>
    <t xml:space="preserve">1994-01-01</t>
  </si>
  <si>
    <t xml:space="preserve">1994-01-31</t>
  </si>
  <si>
    <t xml:space="preserve">Arctic outbreak / ice</t>
  </si>
  <si>
    <t xml:space="preserve">January 1994</t>
  </si>
  <si>
    <t xml:space="preserve">Coldest January in decades</t>
  </si>
  <si>
    <t xml:space="preserve">Ice storms; pipe/heat failures.</t>
  </si>
  <si>
    <t xml:space="preserve">1994-01-19</t>
  </si>
  <si>
    <t xml:space="preserve">Jan 19–21 record cold</t>
  </si>
  <si>
    <t xml:space="preserve">1995-07-15</t>
  </si>
  <si>
    <t xml:space="preserve">Derecho</t>
  </si>
  <si>
    <t xml:space="preserve">Adirondack derecho</t>
  </si>
  <si>
    <t xml:space="preserve">Adirondacks / Capital Region</t>
  </si>
  <si>
    <t xml:space="preserve">100+ mph; 1 death Albany County</t>
  </si>
  <si>
    <t xml:space="preserve">Forest blowdown north of Albany.</t>
  </si>
  <si>
    <t xml:space="preserve">NCEI Storm Events Database</t>
  </si>
  <si>
    <t xml:space="preserve">https://www.ncei.noaa.gov/stormevents/</t>
  </si>
  <si>
    <t xml:space="preserve">1996-01-07</t>
  </si>
  <si>
    <t xml:space="preserve">1996-01-08</t>
  </si>
  <si>
    <t xml:space="preserve">Blizzard of '96</t>
  </si>
  <si>
    <t xml:space="preserve">2–3 ft</t>
  </si>
  <si>
    <t xml:space="preserve">1996-01-19</t>
  </si>
  <si>
    <t xml:space="preserve">1996-01-20</t>
  </si>
  <si>
    <t xml:space="preserve">Rain-on-snow flood</t>
  </si>
  <si>
    <t xml:space="preserve">Northeast Floods of January 1996</t>
  </si>
  <si>
    <t xml:space="preserve">Schoharie / Mohawk / Hudson</t>
  </si>
  <si>
    <t xml:space="preserve">2–4 in rain on rapid snowmelt; Albany 15.5 ft (greatest since 1949); record on Schoharie Cr.</t>
  </si>
  <si>
    <t xml:space="preserve">'Flash flood' behavior on main-stem rivers; ice jams; deaths, hundreds of homes lost.</t>
  </si>
  <si>
    <t xml:space="preserve">1996-07-12</t>
  </si>
  <si>
    <t xml:space="preserve">1996-07-13</t>
  </si>
  <si>
    <t xml:space="preserve">Hurricane Bertha remnants</t>
  </si>
  <si>
    <t xml:space="preserve">Lower–mid Hudson / Catskills / Albany Co.</t>
  </si>
  <si>
    <t xml:space="preserve">5–7 in rain</t>
  </si>
  <si>
    <t xml:space="preserve">Flooding most widespread in Bethlehem, New Scotland and Rensselaerville; Normans Kill over banks.</t>
  </si>
  <si>
    <t xml:space="preserve">Rensselaerville named – adjacent to Westerlo.</t>
  </si>
  <si>
    <t xml:space="preserve">1998-01-05</t>
  </si>
  <si>
    <t xml:space="preserve">1998-01-10</t>
  </si>
  <si>
    <t xml:space="preserve">Great Ice Storm of 1998</t>
  </si>
  <si>
    <t xml:space="preserve">Ice &gt;3 in; rain &gt;4 in</t>
  </si>
  <si>
    <t xml:space="preserve">Catastrophic to the north; Capital Region on southern fringe.</t>
  </si>
  <si>
    <t xml:space="preserve">1998-01-09</t>
  </si>
  <si>
    <t xml:space="preserve">Ice jam / flood</t>
  </si>
  <si>
    <t xml:space="preserve">January 1998 Hudson crest at Troy</t>
  </si>
  <si>
    <t xml:space="preserve">24.77 ft (9th highest)</t>
  </si>
  <si>
    <t xml:space="preserve">Rain + snowmelt + ice during the Great Ice Storm week.</t>
  </si>
  <si>
    <t xml:space="preserve">1998-05-31</t>
  </si>
  <si>
    <t xml:space="preserve">Tornado / derecho</t>
  </si>
  <si>
    <t xml:space="preserve">Mechanicville–Stillwater F3 tornado</t>
  </si>
  <si>
    <t xml:space="preserve">Saratoga / Rensselaer / Albany</t>
  </si>
  <si>
    <t xml:space="preserve">F3; 68 injuries; &gt;$60M</t>
  </si>
  <si>
    <t xml:space="preserve">Strongest Capital Region tornado; part of a derecho.</t>
  </si>
  <si>
    <t xml:space="preserve">1999-06-01</t>
  </si>
  <si>
    <t xml:space="preserve">1999-08-31</t>
  </si>
  <si>
    <t xml:space="preserve">Summer 1999 drought</t>
  </si>
  <si>
    <t xml:space="preserve">Albany 95°F (Jul 6 1999); severe eastern-US drought + heat</t>
  </si>
  <si>
    <t xml:space="preserve">Worst drought on record for MD/DE/NJ/RI; WV disaster area; ~3.81M acres burned nationally; 502 US heat deaths. Regional ag disaster declarations.</t>
  </si>
  <si>
    <t xml:space="preserve">US Drought Monitor; NWS Albany annual highs</t>
  </si>
  <si>
    <t xml:space="preserve">Albany peak 95°F (Jul 6 1999). 'Worst drought on record' is mid-Atlantic, not NY; NY drought severity per US Drought Monitor.</t>
  </si>
  <si>
    <t xml:space="preserve">1999-07-06</t>
  </si>
  <si>
    <t xml:space="preserve">Jul 4–6 heat peak inside the drought</t>
  </si>
  <si>
    <t xml:space="preserve">1999-09-16</t>
  </si>
  <si>
    <t xml:space="preserve">1999-09-17</t>
  </si>
  <si>
    <t xml:space="preserve">Tropical Storm Floyd</t>
  </si>
  <si>
    <t xml:space="preserve">3–12 in; Albany 5.60 in Sep 16 (wettest day on record)</t>
  </si>
  <si>
    <t xml:space="preserve">Flash flooding Hudson Valley/Catskills.</t>
  </si>
  <si>
    <t xml:space="preserve">Albany daily record confirmed on 2026 flood page.</t>
  </si>
  <si>
    <t xml:space="preserve">2002-05-18</t>
  </si>
  <si>
    <t xml:space="preserve">May 18, 2002 snowstorm</t>
  </si>
  <si>
    <t xml:space="preserve">Catskills / Schoharie / Albany</t>
  </si>
  <si>
    <t xml:space="preserve">8 in Prattsville; 6.5 in Summit; 2.2 in Albany (latest measurable)</t>
  </si>
  <si>
    <t xml:space="preserve">Power outages in the Catskills.</t>
  </si>
  <si>
    <t xml:space="preserve">2002-12-25</t>
  </si>
  <si>
    <t xml:space="preserve">2003-01-04</t>
  </si>
  <si>
    <t xml:space="preserve">Nor'easters</t>
  </si>
  <si>
    <t xml:space="preserve">Double-barrel nor'easters 2002–03</t>
  </si>
  <si>
    <t xml:space="preserve">21 in and 20.8 in Albany</t>
  </si>
  <si>
    <t xml:space="preserve">First two 20-in storms in one winter since 1887–88; winter 2002–03 = 105.4 in (3rd snowiest).</t>
  </si>
  <si>
    <t xml:space="preserve">2003-02-17</t>
  </si>
  <si>
    <t xml:space="preserve">Presidents' Day Storm II</t>
  </si>
  <si>
    <t xml:space="preserve">Up to 2 ft Berkshires</t>
  </si>
  <si>
    <t xml:space="preserve">NESIS Cat 4.</t>
  </si>
  <si>
    <t xml:space="preserve">2003-04-03</t>
  </si>
  <si>
    <t xml:space="preserve">2003-04-05</t>
  </si>
  <si>
    <t xml:space="preserve">Ice / snow storm</t>
  </si>
  <si>
    <t xml:space="preserve">April 2003 snow &amp; sleet storm</t>
  </si>
  <si>
    <t xml:space="preserve">Region north of Schoharie Co.</t>
  </si>
  <si>
    <t xml:space="preserve">½–1 in ice; 12–18 in snow north</t>
  </si>
  <si>
    <t xml:space="preserve">Outages until Apr 8.</t>
  </si>
  <si>
    <t xml:space="preserve">2003-07-21</t>
  </si>
  <si>
    <t xml:space="preserve">July 21, 2003 outbreak</t>
  </si>
  <si>
    <t xml:space="preserve">Greene / Columbia / Rensselaer / Bennington</t>
  </si>
  <si>
    <t xml:space="preserve">≥13 tornadoes F0–F2</t>
  </si>
  <si>
    <t xml:space="preserve">2003-12-06</t>
  </si>
  <si>
    <t xml:space="preserve">2003-12-07</t>
  </si>
  <si>
    <t xml:space="preserve">December 2003 snowstorm</t>
  </si>
  <si>
    <t xml:space="preserve">Rensselaer County band</t>
  </si>
  <si>
    <t xml:space="preserve">32 in Averill Park</t>
  </si>
  <si>
    <t xml:space="preserve">Mesoscale banding east of the Hudson.</t>
  </si>
  <si>
    <t xml:space="preserve">2004-02-01</t>
  </si>
  <si>
    <t xml:space="preserve">2004-02-28</t>
  </si>
  <si>
    <t xml:space="preserve">February 2004 Schoharie Creek ice jam</t>
  </si>
  <si>
    <t xml:space="preserve">Schoharie Cr. at Route 5S, Montgomery Co.</t>
  </si>
  <si>
    <t xml:space="preserve">3-mile jam</t>
  </si>
  <si>
    <t xml:space="preserve">Minor flooding; heavy tree damage.</t>
  </si>
  <si>
    <t xml:space="preserve">Day not given.</t>
  </si>
  <si>
    <t xml:space="preserve">2004-02-14</t>
  </si>
  <si>
    <t xml:space="preserve">2004-09-17</t>
  </si>
  <si>
    <t xml:space="preserve">2004-09-18</t>
  </si>
  <si>
    <t xml:space="preserve">Hurricane Ivan remnants</t>
  </si>
  <si>
    <t xml:space="preserve">Up to 6 in</t>
  </si>
  <si>
    <t xml:space="preserve">2005-01-13</t>
  </si>
  <si>
    <t xml:space="preserve">2005-01-15</t>
  </si>
  <si>
    <t xml:space="preserve">January 2005 thaw flood</t>
  </si>
  <si>
    <t xml:space="preserve">Wappingers Cr. highest since 1987.</t>
  </si>
  <si>
    <t xml:space="preserve">2005-04-02</t>
  </si>
  <si>
    <t xml:space="preserve">2005-04-04</t>
  </si>
  <si>
    <t xml:space="preserve">April 2005 flood</t>
  </si>
  <si>
    <t xml:space="preserve">Ulster / Greene / upper Hudson</t>
  </si>
  <si>
    <t xml:space="preserve">3–6 in Catskills; Esopus at Mt Marion 26.24 ft (flood of record)</t>
  </si>
  <si>
    <t xml:space="preserve">USGS Mt Marion</t>
  </si>
  <si>
    <t xml:space="preserve">USGS ~100-yr event upper Hudson.</t>
  </si>
  <si>
    <t xml:space="preserve">2005-10-07</t>
  </si>
  <si>
    <t xml:space="preserve">2005-10-14</t>
  </si>
  <si>
    <t xml:space="preserve">October 2005 (Tammy + coastal low)</t>
  </si>
  <si>
    <t xml:space="preserve">Dutchess / Litchfield</t>
  </si>
  <si>
    <t xml:space="preserve">1–2 ft rain total</t>
  </si>
  <si>
    <t xml:space="preserve">Ended a drought; moderate–major flooding.</t>
  </si>
  <si>
    <t xml:space="preserve">2006-06-01</t>
  </si>
  <si>
    <t xml:space="preserve">2006-08-31</t>
  </si>
  <si>
    <t xml:space="preserve">Kaaterskill Clove landslides close NY 23A</t>
  </si>
  <si>
    <t xml:space="preserve">Kaaterskill Clove, Greene Co.</t>
  </si>
  <si>
    <t xml:space="preserve">Route closed several months</t>
  </si>
  <si>
    <t xml:space="preserve">Heavy-rain-triggered slides (same wet June as the 2006 flood).</t>
  </si>
  <si>
    <t xml:space="preserve">https://en.wikipedia.org/wiki/New_York_State_Route_23A</t>
  </si>
  <si>
    <t xml:space="preserve">2006-07-16</t>
  </si>
  <si>
    <t xml:space="preserve">2006-06-26</t>
  </si>
  <si>
    <t xml:space="preserve">2006-06-30</t>
  </si>
  <si>
    <t xml:space="preserve">End of June 2006 flood</t>
  </si>
  <si>
    <t xml:space="preserve">Mohawk / Hudson / eastern Catskills</t>
  </si>
  <si>
    <t xml:space="preserve">~1 in to ~12 in eastern Catskills</t>
  </si>
  <si>
    <t xml:space="preserve">Delaware record crests; federal disaster.</t>
  </si>
  <si>
    <t xml:space="preserve">2007-01-14</t>
  </si>
  <si>
    <t xml:space="preserve">2007-01-15</t>
  </si>
  <si>
    <t xml:space="preserve">January 2007 ice storm</t>
  </si>
  <si>
    <t xml:space="preserve">Capital Region / Saratoga</t>
  </si>
  <si>
    <t xml:space="preserve">Up to 1 in ice; &gt;100,000 outages</t>
  </si>
  <si>
    <t xml:space="preserve">2007-02-14</t>
  </si>
  <si>
    <t xml:space="preserve">Valentine's Day Storm 2007</t>
  </si>
  <si>
    <t xml:space="preserve">1–3+ ft; rates 2–6 in/hr</t>
  </si>
  <si>
    <t xml:space="preserve">2007-04-15</t>
  </si>
  <si>
    <t xml:space="preserve">2007-04-16</t>
  </si>
  <si>
    <t xml:space="preserve">Nor'easter / flood</t>
  </si>
  <si>
    <t xml:space="preserve">Tax Day nor'easter 2007</t>
  </si>
  <si>
    <t xml:space="preserve">Eastern Catskills / mid-Hudson</t>
  </si>
  <si>
    <t xml:space="preserve">6–8 in rain; 969 mb; 1–1.5 ft snow high terrain</t>
  </si>
  <si>
    <t xml:space="preserve">Widespread flooding.</t>
  </si>
  <si>
    <t xml:space="preserve">2008-08-01</t>
  </si>
  <si>
    <t xml:space="preserve">2008-08-31</t>
  </si>
  <si>
    <t xml:space="preserve">Infrastructure / flood (human cause)</t>
  </si>
  <si>
    <t xml:space="preserve">McKownville basement wall collapse (Providence St)</t>
  </si>
  <si>
    <t xml:space="preserve">Guilderland (McKownville, Providence St)</t>
  </si>
  <si>
    <t xml:space="preserve">A basement wall collapsed due to flooding, Aug 2008; ~$15,000 damage. Part of the chronic McKownville stormwater failure along Rte 20 / old sewer lines</t>
  </si>
  <si>
    <t xml:space="preserve">Enterprise / McKownville Improvement Assoc.</t>
  </si>
  <si>
    <t xml:space="preserve">NOT karst — failing storm/sewer drainage. Same corridor as the 2024 Burger King culvert washout &amp; Western Ave flooding.</t>
  </si>
  <si>
    <t xml:space="preserve">Altamont Enterprise, 2 Jul 2009 (McKownville stormwater)</t>
  </si>
  <si>
    <t xml:space="preserve">https://altamontenterprise.com/</t>
  </si>
  <si>
    <t xml:space="preserve">Human cause (drainage failure). Month-only date (Aug 2008).</t>
  </si>
  <si>
    <t xml:space="preserve">2008-08-15</t>
  </si>
  <si>
    <t xml:space="preserve">Aug 2008; day not given</t>
  </si>
  <si>
    <t xml:space="preserve">2008-12-11</t>
  </si>
  <si>
    <t xml:space="preserve">2008-12-12</t>
  </si>
  <si>
    <t xml:space="preserve">December 2008 ice storm</t>
  </si>
  <si>
    <t xml:space="preserve">Capital District / Berkshires</t>
  </si>
  <si>
    <t xml:space="preserve">½–1 in ice; ~350,000 outages</t>
  </si>
  <si>
    <t xml:space="preserve">60,000 still out Dec 15; 10,000 Dec 17.</t>
  </si>
  <si>
    <t xml:space="preserve">2009-04-01</t>
  </si>
  <si>
    <t xml:space="preserve">2009-05-31</t>
  </si>
  <si>
    <t xml:space="preserve">Sinkhole (infrastructure, human cause)</t>
  </si>
  <si>
    <t xml:space="preserve">McKownville driveway sinkholes (Knowles Terrace)</t>
  </si>
  <si>
    <t xml:space="preserve">Guilderland (McKownville: Knowles Terrace &amp; Fuller Rd–city line)</t>
  </si>
  <si>
    <t xml:space="preserve">At least two driveway sinkholes opened spring 2009 (one 8–12 in across opening into a crawlable void under the driveway), attributed to a failing old sewer line; more reported between Fuller Rd and the Albany city line</t>
  </si>
  <si>
    <t xml:space="preserve">Enterprise / resident (Merlis)</t>
  </si>
  <si>
    <t xml:space="preserve">NOT karst — collapse over a failing sewer line. The McKownville stormwater problem was already ~34 yrs old in 2009 (dates to ~1975); flooding &amp; sinkholes worsening since 2007. $5.75M fix proposed.</t>
  </si>
  <si>
    <t xml:space="preserve">Human cause. Earliest detailed record of the McKownville sinkhole/flood corridor — extends the recurring-failure pattern back to ~1975.</t>
  </si>
  <si>
    <t xml:space="preserve">2009-04-15</t>
  </si>
  <si>
    <t xml:space="preserve">Spring 2009; reported Jul 2009, holes appeared ~8 weeks prior</t>
  </si>
  <si>
    <t xml:space="preserve">2010-01-01</t>
  </si>
  <si>
    <t xml:space="preserve">2024-12-31</t>
  </si>
  <si>
    <t xml:space="preserve">Lake Albany clay slides – recurring (Delmar, Greenport, Rensselaer, Germantown, New Baltimore)</t>
  </si>
  <si>
    <t xml:space="preserve">Hudson Valley clay terraces</t>
  </si>
  <si>
    <t xml:space="preserve">Multiple small slides after heavy rain</t>
  </si>
  <si>
    <t xml:space="preserve">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</si>
  <si>
    <t xml:space="preserve">The Catskill Geologist; NYS Historic Newspapers</t>
  </si>
  <si>
    <t xml:space="preserve">https://thecatskillgeologist.com/2023/08/17/a-landslide-in-schenectady-8-16-23/</t>
  </si>
  <si>
    <t xml:space="preserve">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t>
  </si>
  <si>
    <t xml:space="preserve">2018-02-22</t>
  </si>
  <si>
    <t xml:space="preserve">Pattern row – do not plot as a point</t>
  </si>
  <si>
    <t xml:space="preserve">2010-01-25</t>
  </si>
  <si>
    <t xml:space="preserve">2010-01-26</t>
  </si>
  <si>
    <t xml:space="preserve">Rain/ice-jam flood</t>
  </si>
  <si>
    <t xml:space="preserve">January 2010 flood</t>
  </si>
  <si>
    <t xml:space="preserve">Catskills / Mohawk</t>
  </si>
  <si>
    <t xml:space="preserve">3–5 in Catskills</t>
  </si>
  <si>
    <t xml:space="preserve">Ice jams Dolgeville, Rotterdam Jct.</t>
  </si>
  <si>
    <t xml:space="preserve">2010-02-23</t>
  </si>
  <si>
    <t xml:space="preserve">2010-02-27</t>
  </si>
  <si>
    <t xml:space="preserve">February 2010 'Snowicane' (Parts I &amp; II)</t>
  </si>
  <si>
    <t xml:space="preserve">Region &gt;1500 ft</t>
  </si>
  <si>
    <t xml:space="preserve">1–2 ft wet snow + heavy rain</t>
  </si>
  <si>
    <t xml:space="preserve">Widespread outages, building collapses; NESIS Cat 3.</t>
  </si>
  <si>
    <t xml:space="preserve">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</si>
  <si>
    <t xml:space="preserve">2010-09-30</t>
  </si>
  <si>
    <t xml:space="preserve">2010-10-01</t>
  </si>
  <si>
    <t xml:space="preserve">Tropical remnant / flood</t>
  </si>
  <si>
    <t xml:space="preserve">Tropical Storm Nicole remnants</t>
  </si>
  <si>
    <t xml:space="preserve">3–9 in; Albany daily records</t>
  </si>
  <si>
    <t xml:space="preserve">Major flooding Esopus at Cold Brook &amp; Schoharie at Prattsville; wind damage.</t>
  </si>
  <si>
    <t xml:space="preserve">2010-12-26</t>
  </si>
  <si>
    <t xml:space="preserve">2010-12-27</t>
  </si>
  <si>
    <t xml:space="preserve">Boxing Day nor'easter 2010</t>
  </si>
  <si>
    <t xml:space="preserve">East of Hudson</t>
  </si>
  <si>
    <t xml:space="preserve">1–2 ft; gusts 35–45</t>
  </si>
  <si>
    <t xml:space="preserve">2011-01-12</t>
  </si>
  <si>
    <t xml:space="preserve">January 12, 2011</t>
  </si>
  <si>
    <t xml:space="preserve">NESIS Cat 3</t>
  </si>
  <si>
    <t xml:space="preserve">2011-03-06</t>
  </si>
  <si>
    <t xml:space="preserve">2011-03-13</t>
  </si>
  <si>
    <t xml:space="preserve">March 2011 flooding &amp; Mohawk ice jam</t>
  </si>
  <si>
    <t xml:space="preserve">Mohawk / Esopus / Schoharie</t>
  </si>
  <si>
    <t xml:space="preserve">1–3 in, 4–5.5 in eastern Catskills</t>
  </si>
  <si>
    <t xml:space="preserve">Ice jam flooding Niskayuna; record at North Creek.</t>
  </si>
  <si>
    <t xml:space="preserve">2011-07-20</t>
  </si>
  <si>
    <t xml:space="preserve">2011-07-23</t>
  </si>
  <si>
    <t xml:space="preserve">July 2011 heat wave</t>
  </si>
  <si>
    <t xml:space="preserve">Albany 99°F (Jul 21 2011) — the year's hottest day; part of the 2011 N. American heat wave</t>
  </si>
  <si>
    <t xml:space="preserve">2011 NA heat wave (Midwest / E. Canada / E. Seaboard). Albany's 99°F is its hottest in years — Albany has not reached 100°F since 1953.</t>
  </si>
  <si>
    <t xml:space="preserve">NWS Albany annual highs</t>
  </si>
  <si>
    <t xml:space="preserve">Albany peak 99°F Jul 21 2011.</t>
  </si>
  <si>
    <t xml:space="preserve">2011-07-21</t>
  </si>
  <si>
    <t xml:space="preserve">Peak day</t>
  </si>
  <si>
    <t xml:space="preserve">2011-08-28</t>
  </si>
  <si>
    <t xml:space="preserve">Tropical Storm Irene</t>
  </si>
  <si>
    <t xml:space="preserve">Catskills / Schoharie / Vermont</t>
  </si>
  <si>
    <t xml:space="preserve">4–12 in, locally 18 in; ~1M without power</t>
  </si>
  <si>
    <t xml:space="preserve">Catastrophic: Prattsville, Schoharie, Margaretville, Windham, Phoenicia; I-88 and Thruway closed; towns airlifted supplies. Cost ~$15.8B (Weather Underground: 7th-costliest US disaster at the time).</t>
  </si>
  <si>
    <t xml:space="preserve">Defining modern flood. Hilltowns among the hardest hit: Altamont &gt;11 in (Mayor Gaughan); Onesquethaw, Fox, Catskill Creek &amp; Normans Kill all in flood. See the 3 Irene fatality rows + Berne Mill scour row (Altamont Enterprise 2011-12-29).</t>
  </si>
  <si>
    <t xml:space="preserve">Irene opens a new sinkhole at Onesquethaw Cave</t>
  </si>
  <si>
    <t xml:space="preserve">Clarksville / New Scotland (Onesquethaw Cave preserve)</t>
  </si>
  <si>
    <t xml:space="preserve">Tropical Storm Irene opened a new collapse hole ~18 in across and 6 ft deep over the cave's upper-level passage; a larger sink was already forming in the cornfield between the entrance and the road</t>
  </si>
  <si>
    <t xml:space="preserve">NCC board minutes, 2012-06-10</t>
  </si>
  <si>
    <t xml:space="preserve">A DATED karst collapse triggered by a specific storm — the clearest event-linked subsidence in the register. Ties the karst layer to the Irene flood row.</t>
  </si>
  <si>
    <t xml:space="preserve">https://necaveconservancy.org/assets/documents/minutes/2012-06-10_minutes_Newton,%20NJ.pdf</t>
  </si>
  <si>
    <t xml:space="preserve">Companion to the Irene flood rows; shows heavy rain can trigger plateau karst collapse.</t>
  </si>
  <si>
    <t xml:space="preserve">Irene opens new sinkholes on the Barber Family Farm, Knox</t>
  </si>
  <si>
    <t xml:space="preserve">Knox (Albany Co.), Barber Family Farm</t>
  </si>
  <si>
    <t xml:space="preserve">A series of new sinkholes opened on the Barber Family Farm after Tropical Storm Irene; specifically studied by SUNY Brockport (Richards) during the 2014-15 Albany Co. karst mapping</t>
  </si>
  <si>
    <t xml:space="preserve">McLean letter / Brockport study</t>
  </si>
  <si>
    <t xml:space="preserve">SECOND documented Irene-triggered karst collapse on the plateau (with the Onesquethaw hole) - strengthens the storm-triggers-collapse pattern to two independent Knox-area instances.</t>
  </si>
  <si>
    <t xml:space="preserve">McLean letter, Altamont Enterprise 19 Nov 2014; SUNY Brockport (Richards) LiDAR karst study; USGS Kappel et al. 2020</t>
  </si>
  <si>
    <t xml:space="preserve">https://altamontenterprise.com/opinion/letters-editor/berne-knox-westerlo/11192014/knox-sinkholes-studied-guide-farmers</t>
  </si>
  <si>
    <t xml:space="preserve">Companion to the 2011 Onesquethaw Irene collapse. Dated to Irene (2011); the new sinks were mapped/studied 2014-15.</t>
  </si>
  <si>
    <t xml:space="preserve">Landslide / debris flow</t>
  </si>
  <si>
    <t xml:space="preserve">Irene debris flows – Catskill escarpment</t>
  </si>
  <si>
    <t xml:space="preserve">Shingle Kill / Arizona Mtn, Greene Co., and many Catskill hollows</t>
  </si>
  <si>
    <t xml:space="preserve">Up to 18 in rain on the NE escarpment</t>
  </si>
  <si>
    <t xml:space="preserve">Debris flow ~100 ft wide blew open a channel and dammed a culvert; many similar slides across the Catskills.</t>
  </si>
  <si>
    <t xml:space="preserve">Scientific American (2025)</t>
  </si>
  <si>
    <t xml:space="preserve">https://www.scientificamerican.com/article/how-climate-change-is-increasing-landslide-risk-worldwide/</t>
  </si>
  <si>
    <t xml:space="preserve">Companion to the Irene row; check Greene Co. hazard-mitigation plan for the full inventory.</t>
  </si>
  <si>
    <t xml:space="preserve">2011-09-05</t>
  </si>
  <si>
    <t xml:space="preserve">2011-09-08</t>
  </si>
  <si>
    <t xml:space="preserve">Tropical Storm Lee remnants</t>
  </si>
  <si>
    <t xml:space="preserve">2–9 in</t>
  </si>
  <si>
    <t xml:space="preserve">Major flooding western Mohawk on saturated ground.</t>
  </si>
  <si>
    <t xml:space="preserve">2011-10-29</t>
  </si>
  <si>
    <t xml:space="preserve">2011-10-30</t>
  </si>
  <si>
    <t xml:space="preserve">Early-season nor'easter</t>
  </si>
  <si>
    <t xml:space="preserve">'Snowtober' 2011</t>
  </si>
  <si>
    <t xml:space="preserve">S &amp; E of Capital District</t>
  </si>
  <si>
    <t xml:space="preserve">10–16 in eastern Catskills; up to 2 ft Taconics</t>
  </si>
  <si>
    <t xml:space="preserve">Prolonged outages where leaves still on.</t>
  </si>
  <si>
    <t xml:space="preserve">2012-03-18</t>
  </si>
  <si>
    <t xml:space="preserve">2012-03-23</t>
  </si>
  <si>
    <t xml:space="preserve">March 2012 heat wave</t>
  </si>
  <si>
    <t xml:space="preserve">70s–80s for a week in March; record early bloom</t>
  </si>
  <si>
    <t xml:space="preserve">Broke dormancy 3–4 weeks early.</t>
  </si>
  <si>
    <t xml:space="preserve">2012-04-27</t>
  </si>
  <si>
    <t xml:space="preserve">2012-04-29</t>
  </si>
  <si>
    <t xml:space="preserve">April 2012 freeze</t>
  </si>
  <si>
    <t xml:space="preserve">Hard freeze on open blossoms</t>
  </si>
  <si>
    <t xml:space="preserve">Apple and stone-fruit losses statewide; also earlier freeze ~Apr 12.</t>
  </si>
  <si>
    <t xml:space="preserve">Verify with Cornell/NASS crop reports.</t>
  </si>
  <si>
    <t xml:space="preserve">2012-10-29</t>
  </si>
  <si>
    <t xml:space="preserve">Hurricane Sandy</t>
  </si>
  <si>
    <t xml:space="preserve">Tidal flooding up Hudson to Albany; wind</t>
  </si>
  <si>
    <t xml:space="preserve">Albany tide gauge</t>
  </si>
  <si>
    <t xml:space="preserve">Outages through the valley.</t>
  </si>
  <si>
    <t xml:space="preserve">2013-02-08</t>
  </si>
  <si>
    <t xml:space="preserve">2013-02-09</t>
  </si>
  <si>
    <t xml:space="preserve">Northeast Blizzard 2013 (Nemo)</t>
  </si>
  <si>
    <t xml:space="preserve">2013-05-29</t>
  </si>
  <si>
    <t xml:space="preserve">May 29, 2013 tornadoes</t>
  </si>
  <si>
    <t xml:space="preserve">Montgomery / Schenectady / Schoharie / Saratoga</t>
  </si>
  <si>
    <t xml:space="preserve">EF2 Mariaville–Schenectady; EF1 Vischer Ferry; EF1 Summit/E. Jefferson</t>
  </si>
  <si>
    <t xml:space="preserve">2013-06-14</t>
  </si>
  <si>
    <t xml:space="preserve">Middleburgh flash flood</t>
  </si>
  <si>
    <t xml:space="preserve">Schoharie County</t>
  </si>
  <si>
    <t xml:space="preserve">Training storms on saturated ground</t>
  </si>
  <si>
    <t xml:space="preserve">Much of Middleburgh flooded; school sheltered in place.</t>
  </si>
  <si>
    <t xml:space="preserve">2013-06-28</t>
  </si>
  <si>
    <t xml:space="preserve">Mohawk Valley flash flood</t>
  </si>
  <si>
    <t xml:space="preserve">Herkimer / Montgomery</t>
  </si>
  <si>
    <t xml:space="preserve">3–5 in; Thruway closed 29–29A</t>
  </si>
  <si>
    <t xml:space="preserve">Fort Plain under water; swift-water rescues.</t>
  </si>
  <si>
    <t xml:space="preserve">2013-07-14</t>
  </si>
  <si>
    <t xml:space="preserve">2013-07-20</t>
  </si>
  <si>
    <t xml:space="preserve">July 2013 heat wave</t>
  </si>
  <si>
    <t xml:space="preserve">2013-07-18</t>
  </si>
  <si>
    <t xml:space="preserve">Peak of the 7-day wave</t>
  </si>
  <si>
    <t xml:space="preserve">2014-05-22</t>
  </si>
  <si>
    <t xml:space="preserve">Duanesburg/Delanson EF3</t>
  </si>
  <si>
    <t xml:space="preserve">Schenectady / Albany counties</t>
  </si>
  <si>
    <t xml:space="preserve">EF3</t>
  </si>
  <si>
    <t xml:space="preserve">2014-11-26</t>
  </si>
  <si>
    <t xml:space="preserve">2014-11-27</t>
  </si>
  <si>
    <t xml:space="preserve">Thanksgiving Eve nor'easter 2014</t>
  </si>
  <si>
    <t xml:space="preserve">Top-10 November storm Albany</t>
  </si>
  <si>
    <t xml:space="preserve">2015-01-26</t>
  </si>
  <si>
    <t xml:space="preserve">2015-02-28</t>
  </si>
  <si>
    <t xml:space="preserve">Cold month / snow</t>
  </si>
  <si>
    <t xml:space="preserve">February 2015</t>
  </si>
  <si>
    <t xml:space="preserve">Albany 2nd coldest Feb, 4th coldest month; 5th snowiest Feb</t>
  </si>
  <si>
    <t xml:space="preserve">Repeated dangerous-cold episodes.</t>
  </si>
  <si>
    <t xml:space="preserve">2015-02-15</t>
  </si>
  <si>
    <t xml:space="preserve">Whole-month record; Feb 13–16 coldest</t>
  </si>
  <si>
    <t xml:space="preserve">2016-02-12</t>
  </si>
  <si>
    <t xml:space="preserve">2016-02-14</t>
  </si>
  <si>
    <t xml:space="preserve">Valentine's 2016 cold</t>
  </si>
  <si>
    <t xml:space="preserve">Record lows/wind chills</t>
  </si>
  <si>
    <t xml:space="preserve">2016-05-03</t>
  </si>
  <si>
    <t xml:space="preserve">Sinkhole (infrastructure)</t>
  </si>
  <si>
    <t xml:space="preserve">Madison Avenue sinkhole, Albany</t>
  </si>
  <si>
    <t xml:space="preserve">Albany near Washington Park</t>
  </si>
  <si>
    <t xml:space="preserve">Swallowed an SUV; ~$300k repair</t>
  </si>
  <si>
    <t xml:space="preserve">Water-main rupture, not karst; Albany has ~900 mi of sewer and 420 mi of water pipe of similar age.</t>
  </si>
  <si>
    <t xml:space="preserve">CBS6 Albany</t>
  </si>
  <si>
    <t xml:space="preserve">https://cbs6albany.com/news/local/crews-working-to-repair-water-main-break-in-albany</t>
  </si>
  <si>
    <t xml:space="preserve">Day approximate (Tuesday in May 2016).</t>
  </si>
  <si>
    <t xml:space="preserve">2016-06-01</t>
  </si>
  <si>
    <t xml:space="preserve">2016-10-31</t>
  </si>
  <si>
    <t xml:space="preserve">2016 drought</t>
  </si>
  <si>
    <t xml:space="preserve">Hudson Valley / Catskills</t>
  </si>
  <si>
    <t xml:space="preserve">Severe drought</t>
  </si>
  <si>
    <t xml:space="preserve">Hay/vegetable losses.</t>
  </si>
  <si>
    <t xml:space="preserve">Verify with Drought Monitor archive.</t>
  </si>
  <si>
    <t xml:space="preserve">2016-08-15</t>
  </si>
  <si>
    <t xml:space="preserve">Peak D2 coverage late summer</t>
  </si>
  <si>
    <t xml:space="preserve">2017-03-14</t>
  </si>
  <si>
    <t xml:space="preserve">Stella (March 14, 2017)</t>
  </si>
  <si>
    <t xml:space="preserve">Record daily snowfall Albany; top-10 March storm</t>
  </si>
  <si>
    <t xml:space="preserve">2017-07-01</t>
  </si>
  <si>
    <t xml:space="preserve">July 1, 2017 flash flooding</t>
  </si>
  <si>
    <t xml:space="preserve">Rensselaer / Herkimer / Fulton / Warren / Washington</t>
  </si>
  <si>
    <t xml:space="preserve">Up to 4 in; $3.6M Rensselaer Co.</t>
  </si>
  <si>
    <t xml:space="preserve">Hoosick Falls hit hard.</t>
  </si>
  <si>
    <t xml:space="preserve">2017-10-29</t>
  </si>
  <si>
    <t xml:space="preserve">2017-10-30</t>
  </si>
  <si>
    <t xml:space="preserve">Wind / flood</t>
  </si>
  <si>
    <t xml:space="preserve">October 2017 windstorm</t>
  </si>
  <si>
    <t xml:space="preserve">Damaging winds, heavy rain</t>
  </si>
  <si>
    <t xml:space="preserve">2017-12-27</t>
  </si>
  <si>
    <t xml:space="preserve">2018-01-07</t>
  </si>
  <si>
    <t xml:space="preserve">Late Dec 2017–early Jan 2018 cold</t>
  </si>
  <si>
    <t xml:space="preserve">Two weeks of frigid temps</t>
  </si>
  <si>
    <t xml:space="preserve">Set up the Jan 2018 ice jams.</t>
  </si>
  <si>
    <t xml:space="preserve">2018-01-06</t>
  </si>
  <si>
    <t xml:space="preserve">Coldest mornings ~Jan 6–7</t>
  </si>
  <si>
    <t xml:space="preserve">2018-01-12</t>
  </si>
  <si>
    <t xml:space="preserve">2018-03-07</t>
  </si>
  <si>
    <t xml:space="preserve">January–February 2018 ice jams</t>
  </si>
  <si>
    <t xml:space="preserve">Mohawk / Hudson / Hoosic</t>
  </si>
  <si>
    <t xml:space="preserve">Mohawk jam up to 17 mi Rexford–Crane Hollow (biggest in decades)</t>
  </si>
  <si>
    <t xml:space="preserve">Stockade district flooded; threat until Mar 7.</t>
  </si>
  <si>
    <t xml:space="preserve">Rain/thaw day that broke up the ice</t>
  </si>
  <si>
    <t xml:space="preserve">Mohawk 17-mile ice jam breaks up</t>
  </si>
  <si>
    <t xml:space="preserve">Rexford → Crane Hollow → Cohoes Falls</t>
  </si>
  <si>
    <t xml:space="preserve">Albany river level rose ~2 ft on release</t>
  </si>
  <si>
    <t xml:space="preserve">Breakup of the biggest Mohawk jam in decades (formed Jan 12–13).</t>
  </si>
  <si>
    <t xml:space="preserve">Daily Gazette</t>
  </si>
  <si>
    <t xml:space="preserve">https://dailygazette.com/2018/02/22/historic-ice-jam-now-in-pieces-remains-a-threat/</t>
  </si>
  <si>
    <t xml:space="preserve">Companion to the Jan–Feb 2018 row.</t>
  </si>
  <si>
    <t xml:space="preserve">Schenectady Nott Terrace mudslide</t>
  </si>
  <si>
    <t xml:space="preserve">Two houses heavily damaged; 1 injured; ~24 displaced</t>
  </si>
  <si>
    <t xml:space="preserve">Lake Albany delta silts failed after rain/thaw – same warm-up that broke the Mohawk ice jam.</t>
  </si>
  <si>
    <t xml:space="preserve">The Catskill Geologist</t>
  </si>
  <si>
    <t xml:space="preserve">https://thecatskillgeologist.com/2018/02/</t>
  </si>
  <si>
    <t xml:space="preserve">A Lake Albany delta rotational slump on Nott Terrace road; part of the recurring Schenectady/Rotterdam delta-slump family (cf. 1996 Broadway, 2004 1st Ave).</t>
  </si>
  <si>
    <t xml:space="preserve">2018-03-02</t>
  </si>
  <si>
    <t xml:space="preserve">2018-03-15</t>
  </si>
  <si>
    <t xml:space="preserve">March 2018 nor'easter trio</t>
  </si>
  <si>
    <t xml:space="preserve">Three storms in two weeks</t>
  </si>
  <si>
    <t xml:space="preserve">2018-03-13</t>
  </si>
  <si>
    <t xml:space="preserve">Third and heaviest storm</t>
  </si>
  <si>
    <t xml:space="preserve">2018-05-15</t>
  </si>
  <si>
    <t xml:space="preserve">Macroburst / tornadoes</t>
  </si>
  <si>
    <t xml:space="preserve">May 15, 2018 severe outbreak</t>
  </si>
  <si>
    <t xml:space="preserve">Hudson Valley (Newburgh–Putnam–Westchester)</t>
  </si>
  <si>
    <t xml:space="preserve">100+ mph; 3 deaths</t>
  </si>
  <si>
    <t xml:space="preserve">Among the worst wind damage in Hudson Valley history.</t>
  </si>
  <si>
    <t xml:space="preserve">South of 30-mi radius.</t>
  </si>
  <si>
    <t xml:space="preserve">2018-08-01</t>
  </si>
  <si>
    <t xml:space="preserve">2018-08-22</t>
  </si>
  <si>
    <t xml:space="preserve">Rustic Barn underground-tank collapse sinkhole</t>
  </si>
  <si>
    <t xml:space="preserve">Guilderland (4852 Western Turnpike / Rte 20)</t>
  </si>
  <si>
    <t xml:space="preserve">A large sinkhole opened at the derelict Rustic Barn (former woodstove-supply co.), attributed to the collapse of a buried underground tank; filled in by town workers the next day (reported 22 Aug 2018)</t>
  </si>
  <si>
    <t xml:space="preserve">county inspection / Enterprise</t>
  </si>
  <si>
    <t xml:space="preserve">NOT karst — buried-tank collapse (same class as the Madison Ave water-main &amp; McKownville culvert sinks). Property in tax foreclosure with possible contamination; county declined ownership.</t>
  </si>
  <si>
    <t xml:space="preserve">Altamont Enterprise, 23 Aug 2018 (Floyd Mair)</t>
  </si>
  <si>
    <t xml:space="preserve">Human cause (failed underground tank). Minor; filled next day. Infrastructure category, NOT the karst Subsidence sheet. Exact open date not given — reported filled ~Aug 22 2018.</t>
  </si>
  <si>
    <t xml:space="preserve">Reported filled ~Aug 22 2018; open date not given</t>
  </si>
  <si>
    <t xml:space="preserve">2019-02-25</t>
  </si>
  <si>
    <t xml:space="preserve">February 25, 2019 damaging winds</t>
  </si>
  <si>
    <t xml:space="preserve">2019-10-31</t>
  </si>
  <si>
    <t xml:space="preserve">2019-11-01</t>
  </si>
  <si>
    <t xml:space="preserve">Rain flood / wind</t>
  </si>
  <si>
    <t xml:space="preserve">Halloween 2019 storm</t>
  </si>
  <si>
    <t xml:space="preserve">Mohawk Valley / S. Adirondacks</t>
  </si>
  <si>
    <t xml:space="preserve">2–5 in; 4 floods of record (W. Canada Cr., Mohawk at Little Falls, Sacandaga at Hope); gusts 63</t>
  </si>
  <si>
    <t xml:space="preserve">One fatality; extensive road/structure damage.</t>
  </si>
  <si>
    <t xml:space="preserve">2019-12-01</t>
  </si>
  <si>
    <t xml:space="preserve">2019-12-03</t>
  </si>
  <si>
    <t xml:space="preserve">December 1–3, 2019</t>
  </si>
  <si>
    <t xml:space="preserve">Major winter storm</t>
  </si>
  <si>
    <t xml:space="preserve">2020-05-15</t>
  </si>
  <si>
    <t xml:space="preserve">Tornado / severe</t>
  </si>
  <si>
    <t xml:space="preserve">Wilton tornado &amp; severe storms</t>
  </si>
  <si>
    <t xml:space="preserve">Saratoga County</t>
  </si>
  <si>
    <t xml:space="preserve">North of 30-mi radius.</t>
  </si>
  <si>
    <t xml:space="preserve">2020-08-04</t>
  </si>
  <si>
    <t xml:space="preserve">Tropical Storm Isaias</t>
  </si>
  <si>
    <t xml:space="preserve">Widespread outages (~900k NY)</t>
  </si>
  <si>
    <t xml:space="preserve">2020-10-07</t>
  </si>
  <si>
    <t xml:space="preserve">October 7, 2020 derecho</t>
  </si>
  <si>
    <t xml:space="preserve">High-end severe wind event</t>
  </si>
  <si>
    <t xml:space="preserve">2020-12-16</t>
  </si>
  <si>
    <t xml:space="preserve">2020-12-17</t>
  </si>
  <si>
    <t xml:space="preserve">December 16–17, 2020</t>
  </si>
  <si>
    <t xml:space="preserve">~2 ft Albany; 40 in+ Catskills/Binghamton</t>
  </si>
  <si>
    <t xml:space="preserve">Confirm Albany total from PNS.</t>
  </si>
  <si>
    <t xml:space="preserve">2020-12-24</t>
  </si>
  <si>
    <t xml:space="preserve">2020-12-25</t>
  </si>
  <si>
    <t xml:space="preserve">Christmas 2020 flood</t>
  </si>
  <si>
    <t xml:space="preserve">Eastern Catskills</t>
  </si>
  <si>
    <t xml:space="preserve">1–2 in, up to 5.72 in; 3–4 in snowmelt</t>
  </si>
  <si>
    <t xml:space="preserve">Major crests Esopus at Mt Tremper, Schoharie at Prattsville &amp; Gilboa.</t>
  </si>
  <si>
    <t xml:space="preserve">2021-04-21</t>
  </si>
  <si>
    <t xml:space="preserve">Tornadoes</t>
  </si>
  <si>
    <t xml:space="preserve">April 21, 2021 tornadoes</t>
  </si>
  <si>
    <t xml:space="preserve">NWS Albany CWA</t>
  </si>
  <si>
    <t xml:space="preserve">See NWS writeup for locations.</t>
  </si>
  <si>
    <t xml:space="preserve">Locations not captured this pass.</t>
  </si>
  <si>
    <t xml:space="preserve">2021-07-01</t>
  </si>
  <si>
    <t xml:space="preserve">2021-07-31</t>
  </si>
  <si>
    <t xml:space="preserve">Flash flooding</t>
  </si>
  <si>
    <t xml:space="preserve">July 2021 heavy rain</t>
  </si>
  <si>
    <t xml:space="preserve">2021-07-15</t>
  </si>
  <si>
    <t xml:space="preserve">Multiple episodes</t>
  </si>
  <si>
    <t xml:space="preserve">2021-09-01</t>
  </si>
  <si>
    <t xml:space="preserve">2021-09-02</t>
  </si>
  <si>
    <t xml:space="preserve">Hurricane Ida remnants</t>
  </si>
  <si>
    <t xml:space="preserve">Hudson Valley / NYC</t>
  </si>
  <si>
    <t xml:space="preserve">Record hourly rain</t>
  </si>
  <si>
    <t xml:space="preserve">Deaths in Westchester/Rockland; valley-wide flooding.</t>
  </si>
  <si>
    <t xml:space="preserve">2022-02-03</t>
  </si>
  <si>
    <t xml:space="preserve">2022-02-04</t>
  </si>
  <si>
    <t xml:space="preserve">February 2022 winter/ice storm</t>
  </si>
  <si>
    <t xml:space="preserve">2022-04-18</t>
  </si>
  <si>
    <t xml:space="preserve">2022-04-19</t>
  </si>
  <si>
    <t xml:space="preserve">April 2022 winter storm</t>
  </si>
  <si>
    <t xml:space="preserve">2022-12-15</t>
  </si>
  <si>
    <t xml:space="preserve">2022-12-17</t>
  </si>
  <si>
    <t xml:space="preserve">December 2022 nor'easter</t>
  </si>
  <si>
    <t xml:space="preserve">2023-02-03</t>
  </si>
  <si>
    <t xml:space="preserve">2023-02-04</t>
  </si>
  <si>
    <t xml:space="preserve">February 2023 Arctic blast</t>
  </si>
  <si>
    <t xml:space="preserve">Record wind chills; flash freeze</t>
  </si>
  <si>
    <t xml:space="preserve">2023-03-13</t>
  </si>
  <si>
    <t xml:space="preserve">2023-03-15</t>
  </si>
  <si>
    <t xml:space="preserve">March 2023 nor'easter</t>
  </si>
  <si>
    <t xml:space="preserve">Catskills</t>
  </si>
  <si>
    <t xml:space="preserve">3–4 ft high Catskills</t>
  </si>
  <si>
    <t xml:space="preserve">2023-03-17</t>
  </si>
  <si>
    <t xml:space="preserve">CDTA bus in Troy sinkhole</t>
  </si>
  <si>
    <t xml:space="preserve">Troy, 4th &amp; Federal</t>
  </si>
  <si>
    <t xml:space="preserve">Water-main break</t>
  </si>
  <si>
    <t xml:space="preserve">Passenger rescued; no injuries.</t>
  </si>
  <si>
    <t xml:space="preserve">WNYT</t>
  </si>
  <si>
    <t xml:space="preserve">https://wnyt.com/?p=322981</t>
  </si>
  <si>
    <t xml:space="preserve">2023-05-18</t>
  </si>
  <si>
    <t xml:space="preserve">May 18, 2023 freeze</t>
  </si>
  <si>
    <t xml:space="preserve">Record-late hard frost</t>
  </si>
  <si>
    <t xml:space="preserve">Major apple/grape losses.</t>
  </si>
  <si>
    <t xml:space="preserve">Verify with Cornell CCE reports.</t>
  </si>
  <si>
    <t xml:space="preserve">2023-07-09</t>
  </si>
  <si>
    <t xml:space="preserve">2023-07-16</t>
  </si>
  <si>
    <t xml:space="preserve">Flash flood / severe</t>
  </si>
  <si>
    <t xml:space="preserve">July 2023 severe weather and flooding</t>
  </si>
  <si>
    <t xml:space="preserve">Region incl. Highland Falls/West Point</t>
  </si>
  <si>
    <t xml:space="preserve">8–10 in in hours at West Point</t>
  </si>
  <si>
    <t xml:space="preserve">One death; Route 9W destroyed.</t>
  </si>
  <si>
    <t xml:space="preserve">2023-12-01</t>
  </si>
  <si>
    <t xml:space="preserve">2024-06-30</t>
  </si>
  <si>
    <t xml:space="preserve">Infrastructure erosion (human cause)</t>
  </si>
  <si>
    <t xml:space="preserve">McKownville Burger King stormwater depression</t>
  </si>
  <si>
    <t xml:space="preserve">Guilderland (1480 Western Ave / McKownville)</t>
  </si>
  <si>
    <t xml:space="preserve">A failed 36-in corrugated metal storm pipe scoured out the fill beneath the site; a 4-ft-deep water-filled depression formed Dec 2023 and grew; drive-thru closed Jan–~Jul 2024; ~$1M in repair/pumping, ~$400k revenue loss claimed</t>
  </si>
  <si>
    <t xml:space="preserve">NOT subsidence — culvert washout, filed for the flood record</t>
  </si>
  <si>
    <t xml:space="preserve">Human-caused (failed culvert), NOT karst/clay/peat subsidence — logged alongside the McKownville flood corridor, not the geohazard rows. Krum Kill runs under the rear of the property (FEMA flood zone). Town knew the pipe was undersized since 1976.</t>
  </si>
  <si>
    <t xml:space="preserve">Altamont Enterprise / Times Union / CBS6 Albany, Guilderland stormwater coverage 2024–2026</t>
  </si>
  <si>
    <t xml:space="preserve">https://altamontenterprise.com/04102026/guilderland-files-suit-against-burger-king-franchisee-bk-property-owner</t>
  </si>
  <si>
    <t xml:space="preserve">Cause is human (drainage failure). Included for the flood-corridor record; distinct from the karst Subsidence category.</t>
  </si>
  <si>
    <t xml:space="preserve">2023-12-15</t>
  </si>
  <si>
    <t xml:space="preserve">Depression formed Dec 2023; span is the closure window, not the event</t>
  </si>
  <si>
    <t xml:space="preserve">2023-12-18</t>
  </si>
  <si>
    <t xml:space="preserve">December 18, 2023 heavy rain</t>
  </si>
  <si>
    <t xml:space="preserve">2024-03-07</t>
  </si>
  <si>
    <t xml:space="preserve">Flash flood (urban)</t>
  </si>
  <si>
    <t xml:space="preserve">March 7 2024 Western Ave flooding, Guilderland</t>
  </si>
  <si>
    <t xml:space="preserve">Guilderland (Western Ave / Stuyvesant Plaza / Crossgates watershed)</t>
  </si>
  <si>
    <t xml:space="preserve">Western Ave flooded; westbound entrance to Stuyvesant Plaza closed; part of the chronically-flooding 860-acre highly-urbanized McKownville watershed</t>
  </si>
  <si>
    <t xml:space="preserve">Times Union / Enterprise photos</t>
  </si>
  <si>
    <t xml:space="preserve">Recurring urban flash-flood corridor; state-owned Western Ave culverts undersized for the flow.</t>
  </si>
  <si>
    <t xml:space="preserve">https://www.timesunion.com/news/article/burger-king-owners-sue-guilderland-not-fixing-20263170.php</t>
  </si>
  <si>
    <t xml:space="preserve">Guilderland, within footprint. Verify against NWS ALY / NCEI for a rainfall figure.</t>
  </si>
  <si>
    <t xml:space="preserve">2024-03-22</t>
  </si>
  <si>
    <t xml:space="preserve">2024-03-23</t>
  </si>
  <si>
    <t xml:space="preserve">Snow / ice</t>
  </si>
  <si>
    <t xml:space="preserve">March 2024 snow &amp; freezing rain</t>
  </si>
  <si>
    <t xml:space="preserve">2024-04-03</t>
  </si>
  <si>
    <t xml:space="preserve">2024-04-05</t>
  </si>
  <si>
    <t xml:space="preserve">Multi-hazard storm</t>
  </si>
  <si>
    <t xml:space="preserve">April 3–5, 2024</t>
  </si>
  <si>
    <t xml:space="preserve">2024-05-07</t>
  </si>
  <si>
    <t xml:space="preserve">Catskill (village) landslide destroys home</t>
  </si>
  <si>
    <t xml:space="preserve">Catskill, Greene Co.</t>
  </si>
  <si>
    <t xml:space="preserve">One home destroyed, 3 displaced</t>
  </si>
  <si>
    <t xml:space="preserve">WPDH/WNYT</t>
  </si>
  <si>
    <t xml:space="preserve">https://wpdh.com/landslide-new-york-mountain-valley-history/</t>
  </si>
  <si>
    <t xml:space="preserve">Date inferred from article age (Tuesday evening, ~early May 2024) – confirm.</t>
  </si>
  <si>
    <t xml:space="preserve">2024-07-16</t>
  </si>
  <si>
    <t xml:space="preserve">Severe thunderstorms</t>
  </si>
  <si>
    <t xml:space="preserve">July 16, 2024 severe weather</t>
  </si>
  <si>
    <t xml:space="preserve">2024-08-09</t>
  </si>
  <si>
    <t xml:space="preserve">Post-Tropical Debby</t>
  </si>
  <si>
    <t xml:space="preserve">August 9 2024 Western Ave &amp; Fuller Rd flooding, Guilderland</t>
  </si>
  <si>
    <t xml:space="preserve">Guilderland (Western Ave &amp; Fuller Rd; Fletcher Rd)</t>
  </si>
  <si>
    <t xml:space="preserve">Western Ave &amp; Fuller Rd intersection flooded; Fletcher Rd home flooded (2nd time that August), triggering a separate suit against the town</t>
  </si>
  <si>
    <t xml:space="preserve">Times Union / Enterprise</t>
  </si>
  <si>
    <t xml:space="preserve">Same McKownville corridor; two flood episodes in Aug 2024 at the Moran residence on Fletcher Rd.</t>
  </si>
  <si>
    <t xml:space="preserve">Guilderland, within footprint. Fletcher Rd flooded twice in Aug 2024 — second date not captured.</t>
  </si>
  <si>
    <t xml:space="preserve">2024-09-01</t>
  </si>
  <si>
    <t xml:space="preserve">2024-11-30</t>
  </si>
  <si>
    <t xml:space="preserve">Drought / wildfire</t>
  </si>
  <si>
    <t xml:space="preserve">Fall 2024 drought and wildfires</t>
  </si>
  <si>
    <t xml:space="preserve">Driest autumn in decades</t>
  </si>
  <si>
    <t xml:space="preserve">Jennings Creek fire (Orange Co.); burn bans.</t>
  </si>
  <si>
    <t xml:space="preserve">2024-11-09</t>
  </si>
  <si>
    <t xml:space="preserve">Jennings Creek fire ignition ~Nov 8–9</t>
  </si>
  <si>
    <t xml:space="preserve">2025-01-01</t>
  </si>
  <si>
    <t xml:space="preserve">2025-01-05</t>
  </si>
  <si>
    <t xml:space="preserve">Lake-effect snow</t>
  </si>
  <si>
    <t xml:space="preserve">January 2025 lake effect</t>
  </si>
  <si>
    <t xml:space="preserve">2025-06-06</t>
  </si>
  <si>
    <t xml:space="preserve">2025-06-07</t>
  </si>
  <si>
    <t xml:space="preserve">June 6–7, 2025 Knox/Helderberg flash flood</t>
  </si>
  <si>
    <t xml:space="preserve">Albany County (Knox)</t>
  </si>
  <si>
    <t xml:space="preserve">4.35 in at Knox</t>
  </si>
  <si>
    <t xml:space="preserve">911/NCEI</t>
  </si>
  <si>
    <t xml:space="preserve">Numerous flooding reports throughout Albany County and Knox. Altamont village also hit — severe storms washed out roads (Altamont Enterprise 31 Jul 2025).</t>
  </si>
  <si>
    <t xml:space="preserve">On the Helderberg plateau near Westerlo.</t>
  </si>
  <si>
    <t xml:space="preserve">2026-07-28</t>
  </si>
  <si>
    <t xml:space="preserve">2026-07-30</t>
  </si>
  <si>
    <t xml:space="preserve">July 28–30, 2026 flash flood</t>
  </si>
  <si>
    <t xml:space="preserve">Capital Region / eastern Catskills / N. mid-Hudson</t>
  </si>
  <si>
    <t xml:space="preserve">5.45 in Jul 29 at Albany (wettest July day; 2nd wettest day ever); 7.00 in 2-day; 11.79 in Schodack, 11.47 in Kinderhook (1-in-1000-yr); 6.35 in South Berne; 5.75 in Medusa</t>
  </si>
  <si>
    <t xml:space="preserve">Albany ASOS / NYSM</t>
  </si>
  <si>
    <t xml:space="preserve">Cutoff low; 6–12 in widespread; Coxsackie state of emergency; Schodack Island SP evacuation; mill collapse on Muitzes Kill.</t>
  </si>
  <si>
    <t xml:space="preserve">https://www.weather.gov/aly/july2026flashflood</t>
  </si>
  <si>
    <t xml:space="preserve">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</si>
  <si>
    <t xml:space="preserve">Flood fatality</t>
  </si>
  <si>
    <t xml:space="preserve">Irene drowning – Sharon Stein, Onesquethaw Creek</t>
  </si>
  <si>
    <t xml:space="preserve">Clarksville / New Scotland (Onesquethaw Creek)</t>
  </si>
  <si>
    <t xml:space="preserve">1 drowning: Sharon Stein, 68, swept from her creek-side home by the flooding Onesquethaw while packing to evacuate; body recovered the same day</t>
  </si>
  <si>
    <t xml:space="preserve">Altamont Enterprise 2011-12-29</t>
  </si>
  <si>
    <t xml:space="preserve">Ties Irene's Onesquethaw flooding to a human death; the same sinking-stream system nearly drowned a student group in 1991 and opened a new sink in 2011.</t>
  </si>
  <si>
    <t xml:space="preserve">Altamont Enterprise, 'Rebuilding follows Irene's destruction,' 2011-12-29</t>
  </si>
  <si>
    <t xml:space="preserve">Coordinates approximate (~42.60,-74.00); verify. Companion to the Onesquethaw Irene sinkhole row and the 1991 Onesquethaw flood.</t>
  </si>
  <si>
    <t xml:space="preserve">2011-08-29</t>
  </si>
  <si>
    <t xml:space="preserve">Irene drowning – Stephen Terleckey, Route 5S</t>
  </si>
  <si>
    <t xml:space="preserve">Route 5S, Montgomery Co.</t>
  </si>
  <si>
    <t xml:space="preserve">1 drowning: Stephen Terleckey, 72, of Amsterdam, drove a pickup past barriers onto a washed-out section of Route 5S the day after Irene and drowned</t>
  </si>
  <si>
    <t xml:space="preserve">Regional Irene fatality outside the Hilltowns; a Mohawk-corridor road washout in Montgomery Co.</t>
  </si>
  <si>
    <t xml:space="preserve">Coordinates approximate along the 5S corridor; verify.</t>
  </si>
  <si>
    <t xml:space="preserve">Flood fatality (indirect)</t>
  </si>
  <si>
    <t xml:space="preserve">Irene indirect death – Elizabeth Slagle, McKownville</t>
  </si>
  <si>
    <t xml:space="preserve">McKownville / Guilderland (Parkwood Ave)</t>
  </si>
  <si>
    <t xml:space="preserve">1 indirect death: Elizabeth Slagle, 88, fell down her basement stairs while checking flooding; found Aug 29. Guilderland police classified it 'secondary'</t>
  </si>
  <si>
    <t xml:space="preserve">Storm-attributable rather than a direct death; forces a direct-vs-attributable counting rule before any fatality tally.</t>
  </si>
  <si>
    <t xml:space="preserve">'Secondary' per Guilderland PD (interpretive). Coordinates approximate (~42.688,-73.852); verify.</t>
  </si>
  <si>
    <t xml:space="preserve">Flood scour / subsidence (non-karst)</t>
  </si>
  <si>
    <t xml:space="preserve">Irene undermines the Berne Mill – Fox Creek scour</t>
  </si>
  <si>
    <t xml:space="preserve">Berne hamlet (Fox Creek)</t>
  </si>
  <si>
    <t xml:space="preserve">The swollen Fox Creek tore a garage off a home and dropped the front of the ~200-year-old Berne Mill into a 'cavernous' scour hole; the Agway housed there later reopened</t>
  </si>
  <si>
    <t xml:space="preserve">MECHANISM = flood scour / streambank undermining, NOT karst dissolution — kept out of the karst inventory despite the journalistic word 'sinkhole'.</t>
  </si>
  <si>
    <t xml:space="preserve">Do NOT file under karst. Open check: bedrock under the mill — if Helderberg carbonate, could be a flood-flushed pre-existing void (hybrid). Coordinates approx (~42.622,-74.138); verify.</t>
  </si>
  <si>
    <t xml:space="preserve">2016-04-21</t>
  </si>
  <si>
    <t xml:space="preserve">Landslide (incipient / standing hazard)</t>
  </si>
  <si>
    <t xml:space="preserve">Route 443 conglomerate slump — Gallupville–Shutters Corners (incipient)</t>
  </si>
  <si>
    <t xml:space="preserve">Barton Hill (Gallupville–Shutters Corners, Schoharie Co.)</t>
  </si>
  <si>
    <t xml:space="preserve">A hillside section of naturally-cemented glacial-drift CONGLOMERATE (formed long ago by tufa springs cementing the drift; the springs have since self-sealed) is fracturing and weathering and, per Nardacci, may eventually slump/landslide onto Route 443</t>
  </si>
  <si>
    <t xml:space="preserve">Nardacci / Altamont Enterprise</t>
  </si>
  <si>
    <t xml:space="preserve">INCIPIENT mass-movement / standing hazard — the failure has NOT occurred, so not a dated event. Double-documented by Nardacci (2016 &amp; 2020). Distinct from karst: a depositional-conglomerate slope failure, not dissolution.</t>
  </si>
  <si>
    <t xml:space="preserve">Altamont Enterprise 'Back Roads Geology' (Nardacci), 21 Apr 2016 &amp; 5 Nov 2020</t>
  </si>
  <si>
    <t xml:space="preserve">CONTEXT / standing-hazard row — do not plot as a point. Watch feature; check against DEM/slope data. Related tufa deposition along Rte 146 (Barton Hill) and at the Vanhornesville tufa caves (Otsquago Creek).</t>
  </si>
  <si>
    <t xml:space="preserve">Standing/incipient hazard — do not plot as a point</t>
  </si>
  <si>
    <t xml:space="preserve">1926-07-22</t>
  </si>
  <si>
    <t xml:space="preserve">Heat wave / severe wind</t>
  </si>
  <si>
    <t xml:space="preserve">July 1926 heat wave &amp; windstorm (Altamont / Guilderland)</t>
  </si>
  <si>
    <t xml:space="preserve">Altamont / Guilderland Center / Western Turnpike (Dunnsville–Albany)</t>
  </si>
  <si>
    <t xml:space="preserve">100°F+ both Jul 21 &amp; 22 (2-day heat wave), then a severe W wind-and-rain storm off the Helderbergs; a 2nd storm at midnight</t>
  </si>
  <si>
    <t xml:space="preserve">Altamont Enterprise (contemporaneous)</t>
  </si>
  <si>
    <t xml:space="preserve">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</si>
  <si>
    <t xml:space="preserve">Altamont Enterprise, 23 Jul 1926 (reprinted Jul 2026)</t>
  </si>
  <si>
    <t xml:space="preserve">Storm broke a 2-day 100F heat wave — classic heat / cold-front-windstorm sequence. Broad damage off the Helderbergs reads as a downburst/derecho-type windstorm, not a tornado. Same-week farm fires excluded (not weather).</t>
  </si>
  <si>
    <t xml:space="preserve">Single-day event (heat wave Jul 21-22; anchored to the Jul 22 storm)</t>
  </si>
  <si>
    <t xml:space="preserve">1936-02-01</t>
  </si>
  <si>
    <t xml:space="preserve">1936-02-29</t>
  </si>
  <si>
    <t xml:space="preserve">Cold wave</t>
  </si>
  <si>
    <t xml:space="preserve">February 1936 cold wave (coldest month in US history)</t>
  </si>
  <si>
    <t xml:space="preserve">Northeast — deep regional snowpack</t>
  </si>
  <si>
    <t xml:space="preserve">Coldest February in US history nationally; record NE cold; deep regional snowpack</t>
  </si>
  <si>
    <t xml:space="preserve">national/NWS</t>
  </si>
  <si>
    <t xml:space="preserve">Its record cold and deep snowpack, melting into the wettest NE March on record, drove the March 1936 flood (Albany 17.9 ft, Troy 29.5 ft). Completes the 1936 whiplash: record cold (Feb) → snowmelt flood (Mar) → record heat (Jul).</t>
  </si>
  <si>
    <t xml:space="preserve">Wikipedia — 1936 N. American cold wave; national climatology</t>
  </si>
  <si>
    <t xml:space="preserve">Albany-specific Feb 1936 low NEEDS the local record (NWS Albany extremes / Munsell / newspaper) to grade up. Nationally: coldest month in US history; −60°F in ND. Mechanistically the source of the March 1936 flood already logged.</t>
  </si>
  <si>
    <t xml:space="preserve">Coldest month in US history; anchored to Feb 1936</t>
  </si>
  <si>
    <t xml:space="preserve">1972-07-01</t>
  </si>
  <si>
    <t xml:space="preserve">1972-07-31</t>
  </si>
  <si>
    <t xml:space="preserve">July 1972 Northeast heat wave</t>
  </si>
  <si>
    <t xml:space="preserve">Northeast (NYC-centered)</t>
  </si>
  <si>
    <t xml:space="preserve">Albany peak only 91°F (Jul 19 1972) — LOCALLY MILD. NYC hit 100°F (Jul 23); ~2-week heat wave, very high humidity</t>
  </si>
  <si>
    <t xml:space="preserve">NYC / regional</t>
  </si>
  <si>
    <t xml:space="preserve">~900 excess deaths in the NYC metro per a landmark heat-mortality study (Environ. Research 1975). Followed Hurricane Agnes (June 1972 flood).</t>
  </si>
  <si>
    <t xml:space="preserve">NYC 1972 heat-mortality study; NWS Albany annual highs</t>
  </si>
  <si>
    <t xml:space="preserve">A NYC/urban heat-mortality event that barely registered at Albany (91°F). Documented as a regional heat wave but locally minor.</t>
  </si>
  <si>
    <t xml:space="preserve">Multi-week heat wave; anchored to Jul 1972</t>
  </si>
  <si>
    <t xml:space="preserve">2001-08-01</t>
  </si>
  <si>
    <t xml:space="preserve">2001-08-10</t>
  </si>
  <si>
    <t xml:space="preserve">August 2001 Eastern heat wave</t>
  </si>
  <si>
    <t xml:space="preserve">Eastern seaboard / SE Canada</t>
  </si>
  <si>
    <t xml:space="preserve">Albany 96°F (Aug 9 2001) — the year's hottest day. &gt;1 week &gt;95°F on the coast; Newark tied its all-time 106°F</t>
  </si>
  <si>
    <t xml:space="preserve">A widespread eastern-seaboard heat wave; the 106°F record is NJ (Newark), not Albany.</t>
  </si>
  <si>
    <t xml:space="preserve">Wikipedia — 2001 E. NA heat wave; NWS Albany annual highs</t>
  </si>
  <si>
    <t xml:space="preserve">Albany peak 96°F (Aug 9 2001).</t>
  </si>
  <si>
    <t xml:space="preserve">2001-08-08</t>
  </si>
  <si>
    <t xml:space="preserve">Early-August peak (dates approx)</t>
  </si>
  <si>
    <t xml:space="preserve">2002-04-01</t>
  </si>
  <si>
    <t xml:space="preserve">2002-04-30</t>
  </si>
  <si>
    <t xml:space="preserve">Heat wave (spring)</t>
  </si>
  <si>
    <t xml:space="preserve">April 2002 Eastern spring heat wave</t>
  </si>
  <si>
    <t xml:space="preserve">Summer-like heat in spring; specific dates/temps not given in source</t>
  </si>
  <si>
    <t xml:space="preserve">A spring warm spell across the Eastern US — phenological interest (early bloom), cf. the March 2012 heat wave's record early bloom.</t>
  </si>
  <si>
    <t xml:space="preserve">Wikipedia — List of heat waves</t>
  </si>
  <si>
    <t xml:space="preserve">VAGUE in source: no date or figure. Likely a mid-April 2002 warm spell — NEEDS a specific date + Albany temp to firm up. Thinnest of the recent heat additions.</t>
  </si>
  <si>
    <t xml:space="preserve">2002-04-15</t>
  </si>
  <si>
    <t xml:space="preserve">April 2002 spring warm spell (date not specified)</t>
  </si>
  <si>
    <t xml:space="preserve">2010-07-04</t>
  </si>
  <si>
    <t xml:space="preserve">2010-07-09</t>
  </si>
  <si>
    <t xml:space="preserve">July 2010 East Coast heat wave</t>
  </si>
  <si>
    <t xml:space="preserve">East Coast (Carolinas–Maine)</t>
  </si>
  <si>
    <t xml:space="preserve">Albany 96°F (Jul 6 2010) — the year's hottest day. I-95 corridor (Philly/NYC/DC/Boston) topped 100°F Jul 4–9</t>
  </si>
  <si>
    <t xml:space="preserve">Severe I-95-corridor heat wave; Philly &amp; NYC topped 100°F for the first time since 2001.</t>
  </si>
  <si>
    <t xml:space="preserve">Wikipedia — List of heat waves; NWS Albany annual highs</t>
  </si>
  <si>
    <t xml:space="preserve">Albany peak 96°F (Jul 6 2010) — high-90s inland vs 100°F+ on the coast. Wilmington DE 103°F Jul 7.</t>
  </si>
  <si>
    <t xml:space="preserve">2010-07-07</t>
  </si>
  <si>
    <t xml:space="preserve">Jul 4–9 2010; anchored to the Jul 7 peak</t>
  </si>
  <si>
    <t xml:space="preserve">2012-06-20</t>
  </si>
  <si>
    <t xml:space="preserve">2012-08-15</t>
  </si>
  <si>
    <t xml:space="preserve">Summer 2012 heat wave</t>
  </si>
  <si>
    <t xml:space="preserve">Albany 98°F (Jul 17 2012), the year's hottest day; ~13 days ≥90°F</t>
  </si>
  <si>
    <t xml:space="preserve">Part of the broad summer-2012 North American heat wave (heat spread E from the Rockies, lasting to mid-Aug). Moderate at Albany.</t>
  </si>
  <si>
    <t xml:space="preserve">NWS Albany StormBuster Fall 2012; annual highs</t>
  </si>
  <si>
    <t xml:space="preserve">NWS Albany: 'a hot summer but nothing earth-shattering' — no daily temperature records. NOTE: the June 29–30 2012 derecho (3M without power) tracked IN→OH→WV→VA→MD→DC→S. NJ — SOUTH of the Capital District — so it is EXCLUDED (out of the register footprint).</t>
  </si>
  <si>
    <t xml:space="preserve">2012-07-17</t>
  </si>
  <si>
    <t xml:space="preserve">Multi-week; anchored to the Jul 17 Albany peak</t>
  </si>
  <si>
    <t xml:space="preserve">2017-09-24</t>
  </si>
  <si>
    <t xml:space="preserve">2017-09-26</t>
  </si>
  <si>
    <t xml:space="preserve">September 2017 late-season heat wave</t>
  </si>
  <si>
    <t xml:space="preserve">Albany's LATEST-in-the-year 90°F+ 3-day heat wave on record (Sep 24–26 2017)</t>
  </si>
  <si>
    <t xml:space="preserve">Unusually late-season heat across the Eastern US &amp; E. Canada; at Albany it set the record for the latest 3-day 90°F+ stretch, and 2017 set the most daily record highs of any year at Albany (15).</t>
  </si>
  <si>
    <t xml:space="preserve">NWS Albany ALB_Extremes / annual record highs</t>
  </si>
  <si>
    <t xml:space="preserve">A record for TIMING (latest-season), not magnitude — remarkable for late September.</t>
  </si>
  <si>
    <t xml:space="preserve">2017-09-25</t>
  </si>
  <si>
    <t xml:space="preserve">Latest-season 90+ heat wave on record; anchored Sep 25</t>
  </si>
  <si>
    <t xml:space="preserve">2018-06-29</t>
  </si>
  <si>
    <t xml:space="preserve">2018-07-05</t>
  </si>
  <si>
    <t xml:space="preserve">Late June–July 2018 heat wave</t>
  </si>
  <si>
    <t xml:space="preserve">Albany 97°F (Jul 2 2018); 2018 set 9 daily record highs at Albany</t>
  </si>
  <si>
    <t xml:space="preserve">Part of the broad 2018 North American heat wave (Mexico late May → Quebec early July, ~74 deaths → SW US); reached the Northeast in a hot late-June/early-July stretch.</t>
  </si>
  <si>
    <t xml:space="preserve">NWS Albany annual record highs</t>
  </si>
  <si>
    <t xml:space="preserve">Albany peak 97°F (Jul 2 2018); 9 daily records that year. The Mexico/Quebec/SoCal/AZ figures are elsewhere — Albany's local peak was 97°F.</t>
  </si>
  <si>
    <t xml:space="preserve">2018-07-02</t>
  </si>
  <si>
    <t xml:space="preserve">Late-June/early-July stretch; anchored to the Jul 2 Albany peak</t>
  </si>
  <si>
    <t xml:space="preserve">2020-06-17</t>
  </si>
  <si>
    <t xml:space="preserve">2020-06-22</t>
  </si>
  <si>
    <t xml:space="preserve">June 2020 heat wave</t>
  </si>
  <si>
    <t xml:space="preserve">Region / Northern New England</t>
  </si>
  <si>
    <t xml:space="preserve">Albany 95°F (Jun 22 2020), the year's hottest day</t>
  </si>
  <si>
    <t xml:space="preserve">The Capital-District reach of a late-spring 2020 Northern New England / E. Canada heat wave (Montreal all-time May record 97.9°F on May 27; Burlington VT 95°F; New Brunswick &amp; Caribou ME June records; Quebec wildfires). The most extreme records were NORTH of Albany.</t>
  </si>
  <si>
    <t xml:space="preserve">Albany peak 95°F Jun 22 2020. The May 27 first wave and the Canadian/Maine records were to the north; the mid-June wave is the part that reached the Capital District.</t>
  </si>
  <si>
    <t xml:space="preserve">Mid-June stretch; anchored to the Jun 22 Albany peak</t>
  </si>
  <si>
    <t xml:space="preserve">2025-06-23</t>
  </si>
  <si>
    <t xml:space="preserve">2025-06-25</t>
  </si>
  <si>
    <t xml:space="preserve">June 2025 heat dome</t>
  </si>
  <si>
    <t xml:space="preserve">Albany 96°F on Jun 23 &amp; 24 2025 (both tied daily records — 1888 &amp; 1943); record-high min 74°F Jun 25; heat index to 107°F</t>
  </si>
  <si>
    <t xml:space="preserve">'High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</si>
  <si>
    <t xml:space="preserve">NWS Albany / NWS OKX June 2025</t>
  </si>
  <si>
    <t xml:space="preserve">Albany peak 96°F Jun 23 &amp; 24 2025, both tied daily records (1888, 1943). One of the best-documented modern heat waves in the register; humidity-driven (107°F heat index).</t>
  </si>
  <si>
    <t xml:space="preserve">2025-06-24</t>
  </si>
  <si>
    <t xml:space="preserve">3-day heat wave Jun 23-25; anchored to the Jun 24 peak</t>
  </si>
  <si>
    <t xml:space="preserve">2006-07-27</t>
  </si>
  <si>
    <t xml:space="preserve">2006-08-03</t>
  </si>
  <si>
    <t xml:space="preserve">Late Jul–Aug 2006 heat wave</t>
  </si>
  <si>
    <t xml:space="preserve">Albany 96°F (Aug 1 2006), the year's hottest day</t>
  </si>
  <si>
    <t xml:space="preserve">Part of the major late-Jul/early-Aug 2006 North American heat wave (heat deaths in California; the 2006 Queens NYC blackout, 174k affected). The Jul 17–21 2006 derecho series reached the NE US but its documented paths were Upper Midwest/Ontario — no confirmed Capital-District damage.</t>
  </si>
  <si>
    <t xml:space="preserve">NWS Albany annual highs; Wikipedia — 2006 heat wave/derecho series</t>
  </si>
  <si>
    <t xml:space="preserve">Albany peak 96°F Aug 1 2006. The 2006 derecho series (Jul 17–21) is EXCLUDED — NE-US reach per Wikipedia but no Capital-District damage confirmed (cf. the 1995 Adirondack derecho, which did hit upstate NY).</t>
  </si>
  <si>
    <t xml:space="preserve">2006-08-01</t>
  </si>
  <si>
    <t xml:space="preserve">Late Jul–early Aug; anchored to the Aug 1 Albany peak</t>
  </si>
  <si>
    <t xml:space="preserve">1901-06-27</t>
  </si>
  <si>
    <t xml:space="preserve">1901-07-06</t>
  </si>
  <si>
    <t xml:space="preserve">1901 Eastern US heat wave</t>
  </si>
  <si>
    <t xml:space="preserve">Northeast / Eastern US</t>
  </si>
  <si>
    <t xml:space="preserve">Albany 98°F (early Jul 1901); prolonged 90°F+ heat with high humidity</t>
  </si>
  <si>
    <t xml:space="preserve">The DEADLIEST US heat wave by raw toll — ~9,500 deaths nationally (~4,000 in the NE/Midwest); NYC ~724–989 deaths, 250+ horses dead in a day. Contemporary Weather Bureau maxes: Albany 98, NYC 98, Boston 94, Philadelphia 103, Washington 100.</t>
  </si>
  <si>
    <t xml:space="preserve">Wikipedia / US Weather Bureau report (via usdeadlyevents.com)</t>
  </si>
  <si>
    <t xml:space="preserve">Albany peak 98°F, early July 1901. One of the deadliest US disasters before the Dust Bowl; part of a ~50-day hot summer across the Ohio Valley/East.</t>
  </si>
  <si>
    <t xml:space="preserve">1901-07-02</t>
  </si>
  <si>
    <t xml:space="preserve">NE peak late-Jun–early-Jul; anchored Jul 2 1901</t>
  </si>
  <si>
    <t xml:space="preserve">1903-01-29</t>
  </si>
  <si>
    <t xml:space="preserve">1903-01-30</t>
  </si>
  <si>
    <t xml:space="preserve">Jan 1903 Staatsburg clay landslide (NY Central RR)</t>
  </si>
  <si>
    <t xml:space="preserve">Staatsburg (Dutchess Co.), Hudson River E bank ~8 mi N of Poughkeepsie</t>
  </si>
  <si>
    <t xml:space="preserve">Both NY Central tracks buried for ~1 mi, clay up to 15 ft deep; no injuries (a train had just passed)</t>
  </si>
  <si>
    <t xml:space="preserve">Chatham Courier</t>
  </si>
  <si>
    <t xml:space="preserve">A Glacial Lake Albany clay slide onto the NY Central Hudson River line; Albany–NYC trains rerouted via Chatham (Boston &amp; Albany / Harlem roads). 'ANOTHER landslide' — one of the recurring rail-burying slides. Struck just after train No. 69 passed Staatsburg (6:24).</t>
  </si>
  <si>
    <t xml:space="preserve">Chatham Courier, 4 Feb 1903 (via NYS Historic Newspapers)</t>
  </si>
  <si>
    <t xml:space="preserve">Date inferred: 'Thursday night' before the Wed 4 Feb 1903 Courier = 29 Jan 1903. ~45 mi S of Westerlo. A dated instance of the Lake Albany clay-slides pattern row.</t>
  </si>
  <si>
    <t xml:space="preserve">'Thursday night' (inferred 29 Jan 1903) before the 4 Feb 1903 Courier</t>
  </si>
  <si>
    <t xml:space="preserve">1893-12-26</t>
  </si>
  <si>
    <t xml:space="preserve">Dec 1893 Richmondville landslide (D&amp;H RR slate cut)</t>
  </si>
  <si>
    <t xml:space="preserve">Richmondville / Cobleskill (Schoharie Co.), D&amp;H Susquehanna Division</t>
  </si>
  <si>
    <t xml:space="preserve">Landslide in the slate cut east of Richmondville, on the D&amp;H (Susquehanna Division)</t>
  </si>
  <si>
    <t xml:space="preserve">Delaware &amp; Hudson RR</t>
  </si>
  <si>
    <t xml:space="preserve">A rock/slate slide that blocked the D&amp;H line in the cut east of Richmondville — one of the recurring Schoharie-valley RR slides.</t>
  </si>
  <si>
    <t xml:space="preserve">The Argus (Albany) 27 Dec 1893 (NYS Historic Newspapers)</t>
  </si>
  <si>
    <t xml:space="preserve">~25 mi W of Westerlo. A slate-cut slide (NOT Lake Albany clay) — a different lithology from the Hudson clay slides.</t>
  </si>
  <si>
    <t xml:space="preserve">Dec 26 1893</t>
  </si>
  <si>
    <t xml:space="preserve">1956-05-31</t>
  </si>
  <si>
    <t xml:space="preserve">1956-06-01</t>
  </si>
  <si>
    <t xml:space="preserve">May–June 1956 Mohawk Valley flood &amp; windstorm</t>
  </si>
  <si>
    <t xml:space="preserve">Mohawk Valley (Rome→Cohoes); Capital District</t>
  </si>
  <si>
    <t xml:space="preserve">Low-land Mohawk flooding Rome→Cohoes; Schenectady 4–6 ft below flood stage; small landslides near Utica; a freak wind gust wrecked a barn in Cortland Co.</t>
  </si>
  <si>
    <t xml:space="preserve">NWS / AP</t>
  </si>
  <si>
    <t xml:space="preserve">A night of wind &amp; thunderstorms flooded the Mohawk lowlands and knocked out power; the Oriskany (Oneida Co.) airport was blacked out and a Mohawk Airlines plane landed by flares.</t>
  </si>
  <si>
    <t xml:space="preserve">Daily Bulletin (Endicott) 1 Jun 1956; AP</t>
  </si>
  <si>
    <t xml:space="preserve">PARTIAL reach: the flood's Capital-District edge (Schenectady near flood stage, Cohoes) is in footprint; the Utica landslides and Cortland barn are ~60–80 mi W.</t>
  </si>
  <si>
    <t xml:space="preserve">Night of May 31–Jun 1 1956</t>
  </si>
  <si>
    <t xml:space="preserve">2000-04-15</t>
  </si>
  <si>
    <t xml:space="preserve">2000-04-30</t>
  </si>
  <si>
    <t xml:space="preserve">Spring 2000 Route 443 landslide (into the Normanskill)</t>
  </si>
  <si>
    <t xml:space="preserve">Route 443 near New Scotland, into the Normanskill</t>
  </si>
  <si>
    <t xml:space="preserve">A wet-spring 2000 landslide dumped a roadside vegetable stand near Route 443 into the Normanskill</t>
  </si>
  <si>
    <t xml:space="preserve">A Lake Albany clay/till slide on the Normanskill during a wet spring; distinct from the 2016 Route 443 conglomerate slump further W at Gallupville–Shutters Corners.</t>
  </si>
  <si>
    <t xml:space="preserve">The Altamont Enterprise 24 May 2001</t>
  </si>
  <si>
    <t xml:space="preserve">Date approximate (wet spring 2000). A Normanskill clay-slide instance — same Glacial Lake Albany clay family as the Hudson RR slides.</t>
  </si>
  <si>
    <t xml:space="preserve">Wet spring 2000 (date approx)</t>
  </si>
  <si>
    <t xml:space="preserve">2001-02-26</t>
  </si>
  <si>
    <t xml:space="preserve">Cave fatality (karst)</t>
  </si>
  <si>
    <t xml:space="preserve">Feb 2001 Clarksville Cave diving death</t>
  </si>
  <si>
    <t xml:space="preserve">Clarksville Cave, New Scotland (Albany Co.)</t>
  </si>
  <si>
    <t xml:space="preserve">First recorded caver death at Clarksville Cave — an experienced cave diver died Feb 26 2001</t>
  </si>
  <si>
    <t xml:space="preserve">The first recorded fatality in the Clarksville caves; the cave-recovery effort helped inspire the New Scotland Public Safety Committee. Clarksville Cave is a major Helderberg karst system.</t>
  </si>
  <si>
    <t xml:space="preserve">A karst cave-diving fatality — the first recorded caver death at Clarksville. Ties to the register's karst/cave inventory.</t>
  </si>
  <si>
    <t xml:space="preserve">Feb 26 2001</t>
  </si>
  <si>
    <t xml:space="preserve">2026-08-07</t>
  </si>
  <si>
    <t xml:space="preserve">Flood (geohazard, recurring)</t>
  </si>
  <si>
    <t xml:space="preserve">Pine Street distributary flood, Palenville (recurring geohazard)</t>
  </si>
  <si>
    <t xml:space="preserve">Palenville (Greene Co.), foot of Kaaterskill Clove</t>
  </si>
  <si>
    <t xml:space="preserve">Recurring bridge washout on a Kaaterskill Creek distributary along Pine Street; 'happened at least several times before' per Highway Dept.</t>
  </si>
  <si>
    <t xml:space="preserve">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</si>
  <si>
    <t xml:space="preserve">The Catskill Geologist (R. &amp; J. Titus), 'The Pine Street Flood', 7 Aug 2026</t>
  </si>
  <si>
    <t xml:space="preserve">https://thecatskillgeologist.com/2026/08/07/the-pine-street-flood/</t>
  </si>
  <si>
    <t xml:space="preserve">A RECURRING geohazard, not a single event — a Kaaterskill Creek avulsion/distributary channel at Palenville that keeps wiping out the bridge. ~24 mi SW of Westerlo, at the foot of Kaaterskill Clove (cf. the 2006 Clove landslides on NY 23A).</t>
  </si>
  <si>
    <t xml:space="preserve">recurring</t>
  </si>
  <si>
    <t xml:space="preserve">Recurring geohazard; anchored to the 7 Aug 2026 Titus writeup</t>
  </si>
  <si>
    <t xml:space="preserve">Jan 1996 Broadway rotational slump, Schenectady (fatal)</t>
  </si>
  <si>
    <t xml:space="preserve">Broadway near Rte 890, Schenectady — Pleasant Valley Creek slope</t>
  </si>
  <si>
    <t xml:space="preserve">Rotational slump of Lake Albany delta silts after heavy rain; 1 man killed</t>
  </si>
  <si>
    <t xml:space="preserve">A fatal Lake Albany clay slide: Pleasant Valley Creek had cut a steep delta-silt slope which failed as a rotational slump after heavy rain and killed one man. Almost certainly triggered by the same mid-Jan 1996 rain-on-snowmelt as the Northeast Floods of January 1996.</t>
  </si>
  <si>
    <t xml:space="preserve">The Catskill Geologist (R. &amp; J. Titus), 'A landslide in Schenectady' (repub. 17 Aug 2023)</t>
  </si>
  <si>
    <t xml:space="preserve">The register's only FATAL clay slide. Linked to the Northeast Floods of January 1996 (rain on the Blizzard-of-'96 snowpack). A Lake Albany delta rotational slump.</t>
  </si>
  <si>
    <t xml:space="preserve">Jan 1996; likely the mid-Jan rain-on-snowmelt flood</t>
  </si>
  <si>
    <t xml:space="preserve">2004-04-15</t>
  </si>
  <si>
    <t xml:space="preserve">2004-05-31</t>
  </si>
  <si>
    <t xml:space="preserve">Spring 2004 1st Avenue slump, Western Schenectady</t>
  </si>
  <si>
    <t xml:space="preserve">1st Avenue, Western Schenectady — Mohawk/unnamed-creek slope</t>
  </si>
  <si>
    <t xml:space="preserve">Rotational slump of an 80–90 ft delta-silt slope; 6 houses slowly subsided (all condemned)</t>
  </si>
  <si>
    <t xml:space="preserve">A Lake Albany clay slide: the Mohawk River and an unnamed creek had cut an 80–90 ft slope into the delta silts; after heavy autumn-2003 rain soaked the ground, the slope let go in spring 2004 and 6 houses slowly subsided, all condemned.</t>
  </si>
  <si>
    <t xml:space="preserve">Date approximate (spring 2004; set up by heavy autumn-2003 rain). Lake Albany delta rotational slump — 6 houses condemned, no deaths.</t>
  </si>
  <si>
    <t xml:space="preserve">Spring 2004 (set up by heavy autumn-2003 rain)</t>
  </si>
  <si>
    <t xml:space="preserve">2017-11-23</t>
  </si>
  <si>
    <t xml:space="preserve">Late 2017 Greenport rotational slump (Claverack Creek)</t>
  </si>
  <si>
    <t xml:space="preserve">Sons &amp; Daughters of Italy Club, Bridge St, Greenport (Columbia Co.), Claverack Creek</t>
  </si>
  <si>
    <t xml:space="preserve">Several hundred yards of earth slid into Claverack Creek; the slide's toe dammed the creek (emergency engineering to prevent valley flooding)</t>
  </si>
  <si>
    <t xml:space="preserve">A Lake Albany clay rotational slump on the Claverack Creek bank; the toe dammed the creek and had to be engineered on the fly. Notably it occurred in a DRY year (2017) with no heavy-rain trigger — which puzzled the Tituses ('and that alarms us').</t>
  </si>
  <si>
    <t xml:space="preserve">The Catskill Geologist (R. &amp; J. Titus), 'A landslide across the river' (Mountain Eagle 8 Dec 2017; repub. 14 Jul 2023)</t>
  </si>
  <si>
    <t xml:space="preserve">https://thecatskillgeologist.com/2023/07/14/a-landslide-across-the-river-july-13-2023/</t>
  </si>
  <si>
    <t xml:space="preserve">~25 mi SE of Westerlo. Anomalous: a clay slump WITHOUT the usual heavy-rain trigger. Same Claverack Creek stretch slid in 2006 (own row).</t>
  </si>
  <si>
    <t xml:space="preserve">Nov 2017 (Titus 30 Nov 2017: slide '~a week ago')</t>
  </si>
  <si>
    <t xml:space="preserve">2006 Greenport rotational slump (Claverack Creek)</t>
  </si>
  <si>
    <t xml:space="preserve">Same Claverack Creek stretch, Greenport (Columbia Co.)</t>
  </si>
  <si>
    <t xml:space="preserve">Rotational slump into Claverack Creek after a long period of heavy rainfall</t>
  </si>
  <si>
    <t xml:space="preserve">A Lake Albany clay slump on the Claverack Creek bank after prolonged heavy rain — likely tied to the End-of-June 2006 flood. The same stretch slid again ~11 years later (late 2017, own row).</t>
  </si>
  <si>
    <t xml:space="preserve">The Catskill Geologist (R. &amp; J. Titus), 'A landslide across the river' (repub. 14 Jul 2023)</t>
  </si>
  <si>
    <t xml:space="preserve">Date approximate (2006, after heavy rain — likely the End-of-June 2006 flood already in the register). Recurring site: slid again late 2017 (own row).</t>
  </si>
  <si>
    <t xml:space="preserve">2006, after heavy rain — likely the End-of-June 2006 flood</t>
  </si>
  <si>
    <t xml:space="preserve">1906-01-07</t>
  </si>
  <si>
    <t xml:space="preserve">1906-01-08</t>
  </si>
  <si>
    <t xml:space="preserve">Haverstraw landslide &amp; fire, Jan 1906 (OUT OF CORE FOOTPRINT)</t>
  </si>
  <si>
    <t xml:space="preserve">Haverstraw (Rockland Co.), ~90 mi S — lower Hudson</t>
  </si>
  <si>
    <t xml:space="preserve">6 square city blocks sank into a pit; gas-line fire burned most of the town; 19 killed</t>
  </si>
  <si>
    <t xml:space="preserve">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</si>
  <si>
    <t xml:space="preserve">The Catskill Geologist (Titus), 'The Haverstraw Landslide'</t>
  </si>
  <si>
    <t xml:space="preserve">https://thecatskillgeologist.com/2018/02/01/the-haverstraw-landslide-feb-1-2018/</t>
  </si>
  <si>
    <t xml:space="preserve">OUT OF CORE FOOTPRINT (~90 mi S) but included as the catastrophic, man-caused end-member of the Lake Albany clay-slide hazard — the defining worst case (19 dead, 6 blocks, town burned).</t>
  </si>
  <si>
    <t xml:space="preserve">Night of Jan 7-8 1906</t>
  </si>
  <si>
    <t xml:space="preserve">Date</t>
  </si>
  <si>
    <t xml:space="preserve">Time (local)</t>
  </si>
  <si>
    <t xml:space="preserve">County</t>
  </si>
  <si>
    <t xml:space="preserve">Place / path</t>
  </si>
  <si>
    <t xml:space="preserve">Type</t>
  </si>
  <si>
    <t xml:space="preserve">Rating / peak wind</t>
  </si>
  <si>
    <t xml:space="preserve">Path length (mi)</t>
  </si>
  <si>
    <t xml:space="preserve">Width (yd)</t>
  </si>
  <si>
    <t xml:space="preserve">Deaths</t>
  </si>
  <si>
    <t xml:space="preserve">Injuries</t>
  </si>
  <si>
    <t xml:space="preserve">Start lat</t>
  </si>
  <si>
    <t xml:space="preserve">Start lon</t>
  </si>
  <si>
    <t xml:space="preserve">End lat</t>
  </si>
  <si>
    <t xml:space="preserve">End lon</t>
  </si>
  <si>
    <t xml:space="preserve">Dist. from Westerlo, start (mi)</t>
  </si>
  <si>
    <t xml:space="preserve">Dist. from Westerlo, end (mi)</t>
  </si>
  <si>
    <t xml:space="preserve">Nearest point (mi)</t>
  </si>
  <si>
    <t xml:space="preserve">Within radius?</t>
  </si>
  <si>
    <t xml:space="preserve">Source</t>
  </si>
  <si>
    <t xml:space="preserve">Notes</t>
  </si>
  <si>
    <t xml:space="preserve">1821-07-08</t>
  </si>
  <si>
    <t xml:space="preserve">Columbia</t>
  </si>
  <si>
    <t xml:space="preserve">Columbia Co. (Grazulis)</t>
  </si>
  <si>
    <t xml:space="preserve">FU</t>
  </si>
  <si>
    <t xml:space="preserve">Grazulis via tornadopath</t>
  </si>
  <si>
    <t xml:space="preserve">County centroid approx; pre-1950 F2+/deadly only</t>
  </si>
  <si>
    <t xml:space="preserve">1867-06-16</t>
  </si>
  <si>
    <t xml:space="preserve">County centroid approx</t>
  </si>
  <si>
    <t xml:space="preserve">1875-08-22</t>
  </si>
  <si>
    <t xml:space="preserve">16:56</t>
  </si>
  <si>
    <t xml:space="preserve">Albany Co. (Grazulis)</t>
  </si>
  <si>
    <t xml:space="preserve">F1</t>
  </si>
  <si>
    <t xml:space="preserve">2 fatalities; county centroid approx</t>
  </si>
  <si>
    <t xml:space="preserve">1877-07-16</t>
  </si>
  <si>
    <t xml:space="preserve">1878-07-21</t>
  </si>
  <si>
    <t xml:space="preserve">18:20</t>
  </si>
  <si>
    <t xml:space="preserve">F2</t>
  </si>
  <si>
    <t xml:space="preserve">1879-07-16</t>
  </si>
  <si>
    <t xml:space="preserve">19:30</t>
  </si>
  <si>
    <t xml:space="preserve">Greene</t>
  </si>
  <si>
    <t xml:space="preserve">Greene Co. (Grazulis)</t>
  </si>
  <si>
    <t xml:space="preserve">18:30</t>
  </si>
  <si>
    <t xml:space="preserve">Albany (Great Appalachian Storm)</t>
  </si>
  <si>
    <t xml:space="preserve">Synoptic windstorm</t>
  </si>
  <si>
    <t xml:space="preserve">83 mph gust</t>
  </si>
  <si>
    <t xml:space="preserve">Strongest gust ever at Albany</t>
  </si>
  <si>
    <t xml:space="preserve">17:30</t>
  </si>
  <si>
    <t xml:space="preserve">Schenectady Co.</t>
  </si>
  <si>
    <t xml:space="preserve">F3</t>
  </si>
  <si>
    <t xml:space="preserve">~$25M</t>
  </si>
  <si>
    <t xml:space="preserve">Ice storm (not wind)</t>
  </si>
  <si>
    <t xml:space="preserve">1.5 in ice</t>
  </si>
  <si>
    <t xml:space="preserve">Listed for tree-damage comparison</t>
  </si>
  <si>
    <t xml:space="preserve">1973-06-30</t>
  </si>
  <si>
    <t xml:space="preserve">16:15</t>
  </si>
  <si>
    <t xml:space="preserve">SW Albany Co. – Westerlo/Rensselaerville area</t>
  </si>
  <si>
    <t xml:space="preserve">Touchdown ~2 mi from Westerlo hamlet</t>
  </si>
  <si>
    <t xml:space="preserve">10:00</t>
  </si>
  <si>
    <t xml:space="preserve">Rensselaer</t>
  </si>
  <si>
    <t xml:space="preserve">Rensselaer Co.</t>
  </si>
  <si>
    <t xml:space="preserve">Same outbreak as Columbia F4</t>
  </si>
  <si>
    <t xml:space="preserve">11:34</t>
  </si>
  <si>
    <t xml:space="preserve">Stephentown area → MA</t>
  </si>
  <si>
    <t xml:space="preserve">F4</t>
  </si>
  <si>
    <t xml:space="preserve">First recorded F4 in NY</t>
  </si>
  <si>
    <t xml:space="preserve">11:10</t>
  </si>
  <si>
    <t xml:space="preserve">Greene→Saratoga</t>
  </si>
  <si>
    <t xml:space="preserve">Catskill → Saratoga Co.</t>
  </si>
  <si>
    <t xml:space="preserve">Long track through Greene, Albany, Saratoga</t>
  </si>
  <si>
    <t xml:space="preserve">1974-08-27</t>
  </si>
  <si>
    <t xml:space="preserve">16:00</t>
  </si>
  <si>
    <t xml:space="preserve">1975-09-20</t>
  </si>
  <si>
    <t xml:space="preserve">Ulster→Columbia</t>
  </si>
  <si>
    <t xml:space="preserve">Kingston area → Columbia Co.</t>
  </si>
  <si>
    <t xml:space="preserve">Albany (flash freeze)</t>
  </si>
  <si>
    <t xml:space="preserve">67 mph gust</t>
  </si>
  <si>
    <t xml:space="preserve">2 fatalities regionally</t>
  </si>
  <si>
    <t xml:space="preserve">1977-04-02</t>
  </si>
  <si>
    <t xml:space="preserve">17:00</t>
  </si>
  <si>
    <t xml:space="preserve">W. Greene Co.</t>
  </si>
  <si>
    <t xml:space="preserve">1978-07-10</t>
  </si>
  <si>
    <t xml:space="preserve">14:45</t>
  </si>
  <si>
    <t xml:space="preserve">Columbia Co.</t>
  </si>
  <si>
    <t xml:space="preserve">1980-07-11</t>
  </si>
  <si>
    <t xml:space="preserve">15:00</t>
  </si>
  <si>
    <t xml:space="preserve">Albany Co.</t>
  </si>
  <si>
    <t xml:space="preserve">F0</t>
  </si>
  <si>
    <t xml:space="preserve">1984-05-12</t>
  </si>
  <si>
    <t xml:space="preserve">13:25</t>
  </si>
  <si>
    <t xml:space="preserve">N. Albany Co. (Berne/Knox area)</t>
  </si>
  <si>
    <t xml:space="preserve">13 injuries</t>
  </si>
  <si>
    <t xml:space="preserve">1986-10-01</t>
  </si>
  <si>
    <t xml:space="preserve">00:00</t>
  </si>
  <si>
    <t xml:space="preserve">Delaware</t>
  </si>
  <si>
    <t xml:space="preserve">NE Delaware Co.</t>
  </si>
  <si>
    <t xml:space="preserve">Leaf-on snowstorm (tree damage)</t>
  </si>
  <si>
    <t xml:space="preserve">Snow load (not wind)</t>
  </si>
  <si>
    <t xml:space="preserve">12:40</t>
  </si>
  <si>
    <t xml:space="preserve">Montgomery→Greene</t>
  </si>
  <si>
    <t xml:space="preserve">Ames → Schoharie → Rensselaerville → East Durham</t>
  </si>
  <si>
    <t xml:space="preserve">Tornado family</t>
  </si>
  <si>
    <t xml:space="preserve">Wikipedia / NWS / Grazulis</t>
  </si>
  <si>
    <t xml:space="preserve">Only F4 in NY; brief touchdowns near Rensselaerville and Greenville; path within a few miles of Westerlo</t>
  </si>
  <si>
    <t xml:space="preserve">13:30</t>
  </si>
  <si>
    <t xml:space="preserve">Same day as Coldenham downburst</t>
  </si>
  <si>
    <t xml:space="preserve">1990-04-28</t>
  </si>
  <si>
    <t xml:space="preserve">12:30</t>
  </si>
  <si>
    <t xml:space="preserve">Greene Co.</t>
  </si>
  <si>
    <t xml:space="preserve">1990-08-28</t>
  </si>
  <si>
    <t xml:space="preserve">Bozenkill Rd, Knox (Peterson farm)</t>
  </si>
  <si>
    <t xml:space="preserve">CONFIRMED — the 1990 Bozenkill Rd (Knox) tornado toppled Carl Peterson's silo, per Peterson himself (Altamont Enterprise 4 Mar 2010 &amp; 29 May 2014). Peterson farm = recurring-disaster site: 1990 tornado (silo) + Feb 2010 snow-load barn collapse (70+ cows, 4 lost).</t>
  </si>
  <si>
    <t xml:space="preserve">1992-05-02</t>
  </si>
  <si>
    <t xml:space="preserve">14:05</t>
  </si>
  <si>
    <t xml:space="preserve">Schoharie</t>
  </si>
  <si>
    <t xml:space="preserve">Schoharie Co.</t>
  </si>
  <si>
    <t xml:space="preserve">14:25</t>
  </si>
  <si>
    <t xml:space="preserve">Rensselaer Co. (2 tornadoes)</t>
  </si>
  <si>
    <t xml:space="preserve">Two F1s same time/place</t>
  </si>
  <si>
    <t xml:space="preserve">1992-06-24</t>
  </si>
  <si>
    <t xml:space="preserve">14:30</t>
  </si>
  <si>
    <t xml:space="preserve">Montgomery</t>
  </si>
  <si>
    <t xml:space="preserve">Montgomery Co.</t>
  </si>
  <si>
    <t xml:space="preserve">1993-09-10</t>
  </si>
  <si>
    <t xml:space="preserve">13:40</t>
  </si>
  <si>
    <t xml:space="preserve">Ulster</t>
  </si>
  <si>
    <t xml:space="preserve">N. Ulster Co.</t>
  </si>
  <si>
    <t xml:space="preserve">1994-04-27</t>
  </si>
  <si>
    <t xml:space="preserve">1995-05-29</t>
  </si>
  <si>
    <t xml:space="preserve">16:40</t>
  </si>
  <si>
    <t xml:space="preserve">Hillsdale → Great Barrington MA</t>
  </si>
  <si>
    <t xml:space="preserve">Albany/Adirondacks</t>
  </si>
  <si>
    <t xml:space="preserve">100+ mph</t>
  </si>
  <si>
    <t xml:space="preserve">1 death in Albany County per NCEI</t>
  </si>
  <si>
    <t xml:space="preserve">1997-07-03</t>
  </si>
  <si>
    <t xml:space="preserve">15:23</t>
  </si>
  <si>
    <t xml:space="preserve">17:17</t>
  </si>
  <si>
    <t xml:space="preserve">17:20</t>
  </si>
  <si>
    <t xml:space="preserve">Columbia Co. → MA</t>
  </si>
  <si>
    <t xml:space="preserve">14:22</t>
  </si>
  <si>
    <t xml:space="preserve">Saratoga→Rensselaer</t>
  </si>
  <si>
    <t xml:space="preserve">Mechanicville–Stillwater</t>
  </si>
  <si>
    <t xml:space="preserve">&gt;$60M; part of derecho</t>
  </si>
  <si>
    <t xml:space="preserve">14:37</t>
  </si>
  <si>
    <t xml:space="preserve">17:22</t>
  </si>
  <si>
    <t xml:space="preserve">2002-08-14</t>
  </si>
  <si>
    <t xml:space="preserve">Guilderland — worst in Guilderland Center &amp; Fort Hunter</t>
  </si>
  <si>
    <t xml:space="preserve">Thunderstorm wind (microburst)</t>
  </si>
  <si>
    <t xml:space="preserve">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t>
  </si>
  <si>
    <t xml:space="preserve">18:14</t>
  </si>
  <si>
    <t xml:space="preserve">18:23</t>
  </si>
  <si>
    <t xml:space="preserve">Greene Co. (Coxsackie area)</t>
  </si>
  <si>
    <t xml:space="preserve">7 injuries</t>
  </si>
  <si>
    <t xml:space="preserve">18:24</t>
  </si>
  <si>
    <t xml:space="preserve">18:32</t>
  </si>
  <si>
    <t xml:space="preserve">18:35</t>
  </si>
  <si>
    <t xml:space="preserve">18:38</t>
  </si>
  <si>
    <t xml:space="preserve">18:40</t>
  </si>
  <si>
    <t xml:space="preserve">18:43</t>
  </si>
  <si>
    <t xml:space="preserve">18:45</t>
  </si>
  <si>
    <t xml:space="preserve">Rensselaer Co. (long track N)</t>
  </si>
  <si>
    <t xml:space="preserve">2010-11-17</t>
  </si>
  <si>
    <t xml:space="preserve">04:18</t>
  </si>
  <si>
    <t xml:space="preserve">EF1</t>
  </si>
  <si>
    <t xml:space="preserve">Nocturnal November tornado</t>
  </si>
  <si>
    <t xml:space="preserve">2011-09-04</t>
  </si>
  <si>
    <t xml:space="preserve">15:20</t>
  </si>
  <si>
    <t xml:space="preserve">Montgomery→Schenectady</t>
  </si>
  <si>
    <t xml:space="preserve">Cranesville</t>
  </si>
  <si>
    <t xml:space="preserve">17:57</t>
  </si>
  <si>
    <t xml:space="preserve">Summit / East Jefferson</t>
  </si>
  <si>
    <t xml:space="preserve">NWS ALY survey</t>
  </si>
  <si>
    <t xml:space="preserve">Coords approximate (hamlet)</t>
  </si>
  <si>
    <t xml:space="preserve">Mariaville → Schenectady</t>
  </si>
  <si>
    <t xml:space="preserve">EF2</t>
  </si>
  <si>
    <t xml:space="preserve">Widest tornado near Albany (1,760 yd); coords approx</t>
  </si>
  <si>
    <t xml:space="preserve">Saratoga</t>
  </si>
  <si>
    <t xml:space="preserve">Vischer Ferry</t>
  </si>
  <si>
    <t xml:space="preserve">Coords approx</t>
  </si>
  <si>
    <t xml:space="preserve">Bozenkill Rd, Knox (Albany Co. NW)</t>
  </si>
  <si>
    <t xml:space="preserve">NCEI via tornadopath / NWS ALY survey</t>
  </si>
  <si>
    <t xml:space="preserve">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</si>
  <si>
    <t xml:space="preserve">15:33</t>
  </si>
  <si>
    <t xml:space="preserve">Duanesburg / Delanson</t>
  </si>
  <si>
    <t xml:space="preserve">EF3 (140 mph)</t>
  </si>
  <si>
    <t xml:space="preserve">Coords approx. EF3 at a Route 20 home (leveled); Delanson motel roof + Duanesburg volunteer-ambulance-HQ wall gone; I-88 tractor-trailers tipped; rain-wrapped. Max wind 140 mph; ~7-mi path (EF0-EF1 elsewhere); 0 casualties; 3:33-3:55pm. NWS ALY survey (DiRienzo/Koleci). Altamont Enterprise 29 May 2014</t>
  </si>
  <si>
    <t xml:space="preserve">2014-06-17</t>
  </si>
  <si>
    <t xml:space="preserve">Widespread thunderstorm wind damage</t>
  </si>
  <si>
    <t xml:space="preserve">Thunderstorm wind</t>
  </si>
  <si>
    <t xml:space="preserve">2015-06-09</t>
  </si>
  <si>
    <t xml:space="preserve">Scotia</t>
  </si>
  <si>
    <t xml:space="preserve">EF0</t>
  </si>
  <si>
    <t xml:space="preserve">Also a microburst same day</t>
  </si>
  <si>
    <t xml:space="preserve">2016-04-07</t>
  </si>
  <si>
    <t xml:space="preserve">Albany/Saratoga</t>
  </si>
  <si>
    <t xml:space="preserve">Capital District damaging wind</t>
  </si>
  <si>
    <t xml:space="preserve">2017-05-18</t>
  </si>
  <si>
    <t xml:space="preserve">NWS case study</t>
  </si>
  <si>
    <t xml:space="preserve">2018-05-04</t>
  </si>
  <si>
    <t xml:space="preserve">Damaging wind event</t>
  </si>
  <si>
    <t xml:space="preserve">2018-08-03</t>
  </si>
  <si>
    <t xml:space="preserve">11:24</t>
  </si>
  <si>
    <t xml:space="preserve">NCEI via tornadopath</t>
  </si>
  <si>
    <t xml:space="preserve">Damaging winds</t>
  </si>
  <si>
    <t xml:space="preserve">Halloween storm winds</t>
  </si>
  <si>
    <t xml:space="preserve">63 mph</t>
  </si>
  <si>
    <t xml:space="preserve">Thousands of outages</t>
  </si>
  <si>
    <t xml:space="preserve">Tropical wind</t>
  </si>
  <si>
    <t xml:space="preserve">2020-08-23</t>
  </si>
  <si>
    <t xml:space="preserve">$7.5M; barn roof torn off</t>
  </si>
  <si>
    <t xml:space="preserve">2020-08-27</t>
  </si>
  <si>
    <t xml:space="preserve">13:11</t>
  </si>
  <si>
    <t xml:space="preserve">2020-08-29</t>
  </si>
  <si>
    <t xml:space="preserve">16:42</t>
  </si>
  <si>
    <t xml:space="preserve">Schaghticoke</t>
  </si>
  <si>
    <t xml:space="preserve">October 2020 derecho</t>
  </si>
  <si>
    <t xml:space="preserve">NWS ALY CWA</t>
  </si>
  <si>
    <t xml:space="preserve">April 2021 tornadoes</t>
  </si>
  <si>
    <t xml:space="preserve">Locations not captured; see NWS writeup</t>
  </si>
  <si>
    <t xml:space="preserve">2022-07-12</t>
  </si>
  <si>
    <t xml:space="preserve">2026-08-28</t>
  </si>
  <si>
    <t xml:space="preserve">Wilton</t>
  </si>
  <si>
    <t xml:space="preserve">EF1 (110 mph) + EF0</t>
  </si>
  <si>
    <t xml:space="preserve">CBS6 Albany / NWS ALY PNS</t>
  </si>
  <si>
    <t xml:space="preserve">Date approximate (late Aug 2026); ~45 mi N</t>
  </si>
  <si>
    <t xml:space="preserve">Nearest-point column uses start/end points only; a long-track tornado (e.g., 1989 F4, 1974 F3) can pass closer than either endpoint. Region-wide wind days are pinned to Albany AP coordinates for the formula.</t>
  </si>
  <si>
    <t xml:space="preserve">Events by category</t>
  </si>
  <si>
    <t xml:space="preserve">Events by confidence</t>
  </si>
  <si>
    <t xml:space="preserve">Events by century</t>
  </si>
  <si>
    <t xml:space="preserve">Tornadoes (Wind &amp; Tornadoes sheet)</t>
  </si>
  <si>
    <t xml:space="preserve">Count</t>
  </si>
  <si>
    <t xml:space="preserve">18th</t>
  </si>
  <si>
    <t xml:space="preserve">All tornado rows</t>
  </si>
  <si>
    <t xml:space="preserve">19th</t>
  </si>
  <si>
    <t xml:space="preserve">Tornado rows within radius</t>
  </si>
  <si>
    <t xml:space="preserve">20th</t>
  </si>
  <si>
    <t xml:space="preserve">F/EF2+ within radius</t>
  </si>
  <si>
    <t xml:space="preserve">21st</t>
  </si>
  <si>
    <t xml:space="preserve">Closest tornado (mi)</t>
  </si>
  <si>
    <t xml:space="preserve">Verified = Y</t>
  </si>
  <si>
    <t xml:space="preserve">Total tornado injuries within radius</t>
  </si>
  <si>
    <t xml:space="preserve">Verified = N</t>
  </si>
  <si>
    <t xml:space="preserve">Total</t>
  </si>
  <si>
    <t xml:space="preserve">URL</t>
  </si>
  <si>
    <t xml:space="preserve">Best for</t>
  </si>
  <si>
    <t xml:space="preserve">Authoritative local recap: flood crests at Albany/Troy/Schenectady, Albany snow totals, ice storms, outages, 2011–2026 event writeups.</t>
  </si>
  <si>
    <t xml:space="preserve">NWS Albany July 2026 flash flood writeup</t>
  </si>
  <si>
    <t xml:space="preserve">Rainfall by station incl. Medusa, South Berne, Voorheesville; LSR list; recurrence intervals.</t>
  </si>
  <si>
    <t xml:space="preserve">NWS Albany climate extremes (ALB_Extremes.pdf)</t>
  </si>
  <si>
    <t xml:space="preserve">https://www.weather.gov/media/aly/Climate/ALB_Extremes.pdf</t>
  </si>
  <si>
    <t xml:space="preserve">Albany all-time records; verify 104°F / –28°F rows.</t>
  </si>
  <si>
    <t xml:space="preserve">Every NY tornado 1950–2012 with begin/end lat-lon, F-scale, deaths, injuries.</t>
  </si>
  <si>
    <t xml:space="preserve">2013+ tornadoes, thunderstorm wind, flash flood, hail by county; damage $ and narratives.</t>
  </si>
  <si>
    <t xml:space="preserve">NWS Albany storm surveys (PNS PDFs linked from Past Events page)</t>
  </si>
  <si>
    <t xml:space="preserve">EF ratings, path length/width, exact coords for 2011+ tornadoes and microbursts.</t>
  </si>
  <si>
    <t xml:space="preserve">July 1989 outbreak (Wikipedia, citing Grazulis &amp; SPC)</t>
  </si>
  <si>
    <t xml:space="preserve">F4 path description incl. Rensselaerville/Greenville touchdowns.</t>
  </si>
  <si>
    <t xml:space="preserve">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</si>
  <si>
    <t xml:space="preserve">USGS Reddy/Kappel/Root 2020 LiDAR Closed-Depression Database (doi:10.5066/P9HGN5IJ)</t>
  </si>
  <si>
    <t xml:space="preserve">https://www.sciencebase.gov/catalog/item/5b9ab009e4b0d966b485dea2</t>
  </si>
  <si>
    <t xml:space="preserve">INGESTED (KMZ): 514 statewide depressions, 191 within 75 mi of Westerlo, classified by bedrock &amp; origin (own LiDAR Depressions sheet). Pull the LiDAR .gdb for finer county-scale data.</t>
  </si>
  <si>
    <t xml:space="preserve">USGS Kappel et al. 2020 (SIR 2020-5030) &amp; SIR 2021-5094; SUNY Brockport (Richards) LiDAR karst study; Cornell karst/manure-mgmt database</t>
  </si>
  <si>
    <t xml:space="preserve">https://pubs.usgs.gov/sir/2020/5030/sir20205030.pdf</t>
  </si>
  <si>
    <t xml:space="preserve">SYSTEMATIC karst inventory for NY/Albany Co.: LiDAR-mapped sinkholes &amp; closed depressions, karst-prone bedrock, thinly-soiled soils. The way to find collapses no newspaper reported. NOT YET fully ingested - PDFs/GIS to pull.</t>
  </si>
  <si>
    <t xml:space="preserve">Helderberg karst inventory: cave entrance sinks with dimensions, hydrology, and a few dated collapses (own Subsidence &amp; Karst sheet). Management-plan PDFs are the primary source.</t>
  </si>
  <si>
    <t xml:space="preserve">Every reported NY ice jam with date, river, town, coordinates; regional subset (522 records within 75 mi, the register footprint) is its own sheet. Reporting-biased by collection era.</t>
  </si>
  <si>
    <t xml:space="preserve">Hudson-at-Albany freeze/open dates and lowest temps, winter by winter, 1789–90 to 1831–32 (own sheet). VERIFIED.</t>
  </si>
  <si>
    <t xml:space="preserve">The Annual Register (Albany, Munsell) 1849–1850 – Albany weather notes incl. the Green Street museum weather book (1789) and Albany Gazette 13 Jan 1772</t>
  </si>
  <si>
    <t xml:space="preserve">Ludlum cites vol. 1849 p. 329 and vol. 1850 vol. 2 p. 192; HathiTrust/Google Books.</t>
  </si>
  <si>
    <t xml:space="preserve">E. T. Turner, The Climate of the State of New York (Albany, 1894, 440 pp.)</t>
  </si>
  <si>
    <t xml:space="preserve">Cited by Ludlum; state-level climatology with historical extremes – HathiTrust.</t>
  </si>
  <si>
    <t xml:space="preserve">"Notices of the winters at New York for the last 42 years" (1789–1831), Albany Daily Advertiser, reprinted Amer. Quar. Jour. Agri. &amp; Sci. 1 (1845) 347</t>
  </si>
  <si>
    <t xml:space="preserve">Year-by-year Albany-area winter notices 1789–1831 – exactly the gap between Ludlum and Hough. Google Books / HathiTrust.</t>
  </si>
  <si>
    <t xml:space="preserve">Grazulis, Significant Tornadoes 1680–1991 (via tornadopath.com county pages)</t>
  </si>
  <si>
    <t xml:space="preserve">https://www.tornadopath.com/new-york</t>
  </si>
  <si>
    <t xml:space="preserve">Pre-1950 F2+ and deadly tornadoes by county (approx coords).</t>
  </si>
  <si>
    <t xml:space="preserve">Ludlum, Early American Winters I &amp; II; Early American Hurricanes 1492–1870 (AMS)</t>
  </si>
  <si>
    <t xml:space="preserve">Chronicle-era winters, hurricanes, 1816; the only systematic pre-instrument source. Vol. I pp. 114–115, 134–135, 164–171, 182–183, 188–193, 228–229, 236–237 read via screenshots 2026-09-20.</t>
  </si>
  <si>
    <t xml:space="preserve">USGS NWIS peak-flow data</t>
  </si>
  <si>
    <t xml:space="preserve">https://waterdata.usgs.gov/nwis/peak</t>
  </si>
  <si>
    <t xml:space="preserve">Annual peak stage/flow for Schoharie Cr., Esopus Cr., Catskill Cr., Hudson at Albany — the honest way to rank floods.</t>
  </si>
  <si>
    <t xml:space="preserve">NCEI GHCN-Daily (Albany AP, coop stations)</t>
  </si>
  <si>
    <t xml:space="preserve">https://www.ncei.noaa.gov/access/search/data-search/daily-summaries</t>
  </si>
  <si>
    <t xml:space="preserve">Daily max/min/precip/snow; needed for frost dates, cold snaps, heat waves on the plateau.</t>
  </si>
  <si>
    <t xml:space="preserve">NRCC (Cornell) Northeast drought &amp; climate tools</t>
  </si>
  <si>
    <t xml:space="preserve">https://www.nrcc.cornell.edu/</t>
  </si>
  <si>
    <t xml:space="preserve">Drought indices, growing-degree-day and frost-date climatologies.</t>
  </si>
  <si>
    <t xml:space="preserve">US Drought Monitor archive (2000–)</t>
  </si>
  <si>
    <t xml:space="preserve">https://droughtmonitor.unl.edu/</t>
  </si>
  <si>
    <t xml:space="preserve">Weekly drought categories by county.</t>
  </si>
  <si>
    <t xml:space="preserve">NESIS (Northeast Snowfall Impact Scale)</t>
  </si>
  <si>
    <t xml:space="preserve">https://www.ncei.noaa.gov/access/monitoring/nesis/</t>
  </si>
  <si>
    <t xml:space="preserve">Objective ranking of Northeast snowstorms 1956+.</t>
  </si>
  <si>
    <t xml:space="preserve">Mylroie, J.E. 1977, Speleogenesis &amp; Karst Geomorphology of the Helderberg Plateau, Schoharie Co. (NY Cave Survey Bulletin 2, 336 pp.; RPI doctoral thesis)</t>
  </si>
  <si>
    <t xml:space="preserve">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</si>
  <si>
    <t xml:space="preserve">Cooper, M.P. &amp; Mylroie, J.E. 2015, 'Caves and Karst of the Helderberg Plateau' in Glaciation and Speleogenesis (Springer)</t>
  </si>
  <si>
    <t xml:space="preserve">https://link.springer.com/chapter/10.1007/978-3-319-16534-9_5</t>
  </si>
  <si>
    <t xml:space="preserve">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</si>
  <si>
    <t xml:space="preserve">FEMA National Flood Insurance Program (NFIP) flood maps — Map Service Center</t>
  </si>
  <si>
    <t xml:space="preserve">https://msc.fema.gov/portal/search</t>
  </si>
  <si>
    <t xml:space="preserve">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</si>
  <si>
    <t xml:space="preserve">Albany County Multi-Jurisdictional Hazard Mitigation Plan (2025, ~200 pp.) &amp; Guilderland annex (~65 pp.), FEMA-required</t>
  </si>
  <si>
    <t xml:space="preserve">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</si>
  <si>
    <t xml:space="preserve">NWS Albany 'ALB_Extremes' + xmACIS annual-highest-temperature record (Albany airport, 1874-present)</t>
  </si>
  <si>
    <t xml:space="preserve">Albany's OWN daily temperature record: all-time high 104°F (Jul 4 1911); 100°F+ in only 3 years (1933/1936/1953) and NONE since 1953; year-by-year hottest day. The local yardstick for grading any heat wave — e.g. 1936 hit 100°F+ for 3 days but 1972 topped out at 91°F despite ~900 NYC deaths.</t>
  </si>
  <si>
    <t xml:space="preserve">Winter</t>
  </si>
  <si>
    <t xml:space="preserve">Hudson closed at Albany</t>
  </si>
  <si>
    <t xml:space="preserve">Opened</t>
  </si>
  <si>
    <t xml:space="preserve">Lowest temp (°F)</t>
  </si>
  <si>
    <t xml:space="preserve">Character (as recorded)</t>
  </si>
  <si>
    <t xml:space="preserve">1789-90</t>
  </si>
  <si>
    <t xml:space="preserve">open till Feb 3</t>
  </si>
  <si>
    <t xml:space="preserve">Very mild; mildest January since 1781; occasionally obstructed by ice before</t>
  </si>
  <si>
    <t xml:space="preserve">1790-91</t>
  </si>
  <si>
    <t xml:space="preserve">Dec 8</t>
  </si>
  <si>
    <t xml:space="preserve">Very severe December, milder Jan–Feb</t>
  </si>
  <si>
    <t xml:space="preserve">1791-92</t>
  </si>
  <si>
    <t xml:space="preserve">Dec 9</t>
  </si>
  <si>
    <t xml:space="preserve">Very severe; uninterrupted severe frost 4 weeks</t>
  </si>
  <si>
    <t xml:space="preserve">1792-93</t>
  </si>
  <si>
    <t xml:space="preserve">Dec 12</t>
  </si>
  <si>
    <t xml:space="preserve">Very mild; open all winter to Poughkeepsie, closed only at Albany</t>
  </si>
  <si>
    <t xml:space="preserve">1793-94</t>
  </si>
  <si>
    <t xml:space="preserve">Dec 26</t>
  </si>
  <si>
    <t xml:space="preserve">Mild, little snow</t>
  </si>
  <si>
    <t xml:space="preserve">1794-95</t>
  </si>
  <si>
    <t xml:space="preserve">Jan 12</t>
  </si>
  <si>
    <t xml:space="preserve">Very mild autumn/December; no ice till Jan 3</t>
  </si>
  <si>
    <t xml:space="preserve">1795-96</t>
  </si>
  <si>
    <t xml:space="preserve">Dec 21</t>
  </si>
  <si>
    <t xml:space="preserve">open till Jan 23</t>
  </si>
  <si>
    <t xml:space="preserve">Very mild autumn/December</t>
  </si>
  <si>
    <t xml:space="preserve">1796-97</t>
  </si>
  <si>
    <t xml:space="preserve">Nov 28</t>
  </si>
  <si>
    <t xml:space="preserve">Early, severe to Jan 12; intensely cold Dec 23–24</t>
  </si>
  <si>
    <t xml:space="preserve">1797-98</t>
  </si>
  <si>
    <t xml:space="preserve">Nov 23</t>
  </si>
  <si>
    <t xml:space="preserve">Very early, long and severe; brief Jan thaw</t>
  </si>
  <si>
    <t xml:space="preserve">1798-99</t>
  </si>
  <si>
    <t xml:space="preserve">Early, long, severe; moderate ~3 weeks in Jan</t>
  </si>
  <si>
    <t xml:space="preserve">1799-1800</t>
  </si>
  <si>
    <t xml:space="preserve">Jan 6</t>
  </si>
  <si>
    <t xml:space="preserve">Mild; obstructed by ice before closing</t>
  </si>
  <si>
    <t xml:space="preserve">1800-01</t>
  </si>
  <si>
    <t xml:space="preserve">Jan 3</t>
  </si>
  <si>
    <t xml:space="preserve">Mild, little snow; very mild December</t>
  </si>
  <si>
    <t xml:space="preserve">1801-02</t>
  </si>
  <si>
    <t xml:space="preserve">Remarkably mild; Jan mercury 40–50°F; no real snow till Feb 22</t>
  </si>
  <si>
    <t xml:space="preserve">1802-03</t>
  </si>
  <si>
    <t xml:space="preserve">Dec 16</t>
  </si>
  <si>
    <t xml:space="preserve">Mild and variable, little snow</t>
  </si>
  <si>
    <t xml:space="preserve">1803-04</t>
  </si>
  <si>
    <t xml:space="preserve">42</t>
  </si>
  <si>
    <t xml:space="preserve">Very mild December; severe weather + deep snows Jan/late Feb</t>
  </si>
  <si>
    <t xml:space="preserve">1804-05</t>
  </si>
  <si>
    <t xml:space="preserve">Dec 13</t>
  </si>
  <si>
    <t xml:space="preserve">Remarkably cold and variable; deep snows, heavy rains, high winds; distress among the poor</t>
  </si>
  <si>
    <t xml:space="preserve">1805-06</t>
  </si>
  <si>
    <t xml:space="preserve">Jan 9</t>
  </si>
  <si>
    <t xml:space="preserve">Feb 23</t>
  </si>
  <si>
    <t xml:space="preserve">Cold in January, mild Dec and Feb</t>
  </si>
  <si>
    <t xml:space="preserve">1806-07</t>
  </si>
  <si>
    <t xml:space="preserve">Dec 11</t>
  </si>
  <si>
    <t xml:space="preserve">Severe winter</t>
  </si>
  <si>
    <t xml:space="preserve">1807-08</t>
  </si>
  <si>
    <t xml:space="preserve">Jan 4</t>
  </si>
  <si>
    <t xml:space="preserve">Mild; very mild December</t>
  </si>
  <si>
    <t xml:space="preserve">1808-09</t>
  </si>
  <si>
    <t xml:space="preserve">Long and severe, much snow</t>
  </si>
  <si>
    <t xml:space="preserve">1809-10</t>
  </si>
  <si>
    <t xml:space="preserve">Jan 19</t>
  </si>
  <si>
    <t xml:space="preserve">Remarkably mild till Jan 19, then intensely cold; little snow</t>
  </si>
  <si>
    <t xml:space="preserve">1810-11</t>
  </si>
  <si>
    <t xml:space="preserve">Dec 14</t>
  </si>
  <si>
    <t xml:space="preserve">Much snow Feb; severe snowstorm Nov 2</t>
  </si>
  <si>
    <t xml:space="preserve">1811-12</t>
  </si>
  <si>
    <t xml:space="preserve">Dec 20</t>
  </si>
  <si>
    <t xml:space="preserve">1812-13</t>
  </si>
  <si>
    <t xml:space="preserve">1813-14</t>
  </si>
  <si>
    <t xml:space="preserve">Dec 22</t>
  </si>
  <si>
    <t xml:space="preserve">8</t>
  </si>
  <si>
    <t xml:space="preserve">1814-15</t>
  </si>
  <si>
    <t xml:space="preserve">Dec 10</t>
  </si>
  <si>
    <t xml:space="preserve">Very severe though variable</t>
  </si>
  <si>
    <t xml:space="preserve">1815-16</t>
  </si>
  <si>
    <t xml:space="preserve">Dec 2</t>
  </si>
  <si>
    <t xml:space="preserve">Variable, not severe</t>
  </si>
  <si>
    <t xml:space="preserve">1816-17</t>
  </si>
  <si>
    <t xml:space="preserve">-6</t>
  </si>
  <si>
    <t xml:space="preserve">Very severe from mid-Jan; −6°F Feb 15, first sub-zero at Albany since 1788</t>
  </si>
  <si>
    <t xml:space="preserve">1817-18</t>
  </si>
  <si>
    <t xml:space="preserve">Dec 7 (opened 14th, closed again 21st)</t>
  </si>
  <si>
    <t xml:space="preserve">0</t>
  </si>
  <si>
    <t xml:space="preserve">Moderate Dec/Jan, severe February</t>
  </si>
  <si>
    <t xml:space="preserve">1818-19</t>
  </si>
  <si>
    <t xml:space="preserve">Severe 2 weeks in Dec; very mild Jan/Feb</t>
  </si>
  <si>
    <t xml:space="preserve">1819-20</t>
  </si>
  <si>
    <t xml:space="preserve">Severe; several deep snows; obstructed by ice before</t>
  </si>
  <si>
    <t xml:space="preserve">1820-21</t>
  </si>
  <si>
    <t xml:space="preserve">Nov 13 (opened 20th, closed again Dec 1)</t>
  </si>
  <si>
    <t xml:space="preserve">-7</t>
  </si>
  <si>
    <t xml:space="preserve">Intensely severe most of January; −7°F Jan 25 (coldest ever here); Hudson crossed on the ice at Albany</t>
  </si>
  <si>
    <t xml:space="preserve">1821-22</t>
  </si>
  <si>
    <t xml:space="preserve">-1</t>
  </si>
  <si>
    <t xml:space="preserve">Severe, little snow</t>
  </si>
  <si>
    <t xml:space="preserve">1822-23</t>
  </si>
  <si>
    <t xml:space="preserve">Dec 24</t>
  </si>
  <si>
    <t xml:space="preserve">No severe weather till Feb/Mar</t>
  </si>
  <si>
    <t xml:space="preserve">1823-24</t>
  </si>
  <si>
    <t xml:space="preserve">open in Jan briefly</t>
  </si>
  <si>
    <t xml:space="preserve">Very mild</t>
  </si>
  <si>
    <t xml:space="preserve">1824-25</t>
  </si>
  <si>
    <t xml:space="preserve">1825-26</t>
  </si>
  <si>
    <t xml:space="preserve">Generally very mild; cold Dec 14 (3°F at 8 AM)</t>
  </si>
  <si>
    <t xml:space="preserve">1826-27</t>
  </si>
  <si>
    <t xml:space="preserve">1827-28</t>
  </si>
  <si>
    <t xml:space="preserve">closed ~3 weeks total</t>
  </si>
  <si>
    <t xml:space="preserve">Very cold blustering Nov, then mildest winter since 1801–2; mildest Feb since 1778–9 (peach blossom)</t>
  </si>
  <si>
    <t xml:space="preserve">1828-29</t>
  </si>
  <si>
    <t xml:space="preserve">Jan 1</t>
  </si>
  <si>
    <t xml:space="preserve">Mar 29</t>
  </si>
  <si>
    <t xml:space="preserve">Long severe winter; much suffering among the poor</t>
  </si>
  <si>
    <t xml:space="preserve">1829-30</t>
  </si>
  <si>
    <t xml:space="preserve">late Jan</t>
  </si>
  <si>
    <t xml:space="preserve">Mild till Jan 23 then very severe several weeks</t>
  </si>
  <si>
    <t xml:space="preserve">1830-31</t>
  </si>
  <si>
    <t xml:space="preserve">Dec 23 (reopened, closed again Jan 16)</t>
  </si>
  <si>
    <t xml:space="preserve">Severe, several deep snows; ground snow-covered Jan 6–Feb 28</t>
  </si>
  <si>
    <t xml:space="preserve">1831-32</t>
  </si>
  <si>
    <t xml:space="preserve">Dec 3</t>
  </si>
  <si>
    <t xml:space="preserve">14</t>
  </si>
  <si>
    <t xml:space="preserve">Coldest December since 1786 (as of Dec 10)</t>
  </si>
  <si>
    <t xml:space="preserve">Source: 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</si>
  <si>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Verified against page images of pp. 347–350, https://archive.org/details/americanquarterl00slsn</t>
  </si>
  <si>
    <t xml:space="preserve">Jam date</t>
  </si>
  <si>
    <t xml:space="preserve">City</t>
  </si>
  <si>
    <t xml:space="preserve">River</t>
  </si>
  <si>
    <t xml:space="preserve">Dist. from Westerlo (mi)</t>
  </si>
  <si>
    <t xml:space="preserve">Description</t>
  </si>
  <si>
    <t xml:space="preserve">2026-03-11</t>
  </si>
  <si>
    <t xml:space="preserve">Johnsburg</t>
  </si>
  <si>
    <t xml:space="preserve">Hudson River</t>
  </si>
  <si>
    <t xml:space="preserve">Break-up</t>
  </si>
  <si>
    <t xml:space="preserve">Break-up jam formed at the confluence of Glen Creek and the Hudson River southeast of Johnsburg, NY, near the Rt 28 bridge across the Hudson.  Local EM say the river has routed around the jam.</t>
  </si>
  <si>
    <t xml:space="preserve">2026-03-09</t>
  </si>
  <si>
    <t xml:space="preserve">Mohawk River</t>
  </si>
  <si>
    <t xml:space="preserve">A series of ice jams is affecting the reach of the Mohawk River from approximately Scotia to Lock and Dam 7, including Schenectady.</t>
  </si>
  <si>
    <t xml:space="preserve">2026-01-26</t>
  </si>
  <si>
    <t xml:space="preserve">Newport</t>
  </si>
  <si>
    <t xml:space="preserve">West Canada Creek</t>
  </si>
  <si>
    <t xml:space="preserve">Freeze-up</t>
  </si>
  <si>
    <t xml:space="preserve">Freeze-up jam formed on West Canada Creek in Newport, NY.</t>
  </si>
  <si>
    <t xml:space="preserve">2022-02-20</t>
  </si>
  <si>
    <t xml:space="preserve">Warrensburg</t>
  </si>
  <si>
    <t xml:space="preserve">Unknown</t>
  </si>
  <si>
    <t xml:space="preserve">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</si>
  <si>
    <t xml:space="preserve">2022-02-18</t>
  </si>
  <si>
    <t xml:space="preserve">Dolgeville</t>
  </si>
  <si>
    <t xml:space="preserve">East Canada Creek</t>
  </si>
  <si>
    <t xml:space="preserve">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</si>
  <si>
    <t xml:space="preserve">2022-02-10</t>
  </si>
  <si>
    <t xml:space="preserve">Ice jam occurred on the Mohawk River at Schenectady, NY.  Minor flooding was reported, but tugboats have been used to carve channels and mitigate the effects of the jam.  Release as of 24 Feb.</t>
  </si>
  <si>
    <t xml:space="preserve">2019-02-09</t>
  </si>
  <si>
    <t xml:space="preserve">Ballston Spa</t>
  </si>
  <si>
    <t xml:space="preserve">Kayaderosseras Creek</t>
  </si>
  <si>
    <t xml:space="preserve">2019-02-08</t>
  </si>
  <si>
    <t xml:space="preserve">Rotterdam</t>
  </si>
  <si>
    <t xml:space="preserve">2019-01-25</t>
  </si>
  <si>
    <t xml:space="preserve">2019-01-24</t>
  </si>
  <si>
    <t xml:space="preserve">Delhi</t>
  </si>
  <si>
    <t xml:space="preserve">West Branch Delaware River</t>
  </si>
  <si>
    <t xml:space="preserve">Eagle Bridge</t>
  </si>
  <si>
    <t xml:space="preserve">Hoosic River</t>
  </si>
  <si>
    <t xml:space="preserve">2018-01-23</t>
  </si>
  <si>
    <t xml:space="preserve">Pittstown</t>
  </si>
  <si>
    <t xml:space="preserve">Sunkauissia Creek</t>
  </si>
  <si>
    <t xml:space="preserve">2018-01-13</t>
  </si>
  <si>
    <t xml:space="preserve">Sidney</t>
  </si>
  <si>
    <t xml:space="preserve">Susquehanna River</t>
  </si>
  <si>
    <t xml:space="preserve">Buskirk</t>
  </si>
  <si>
    <t xml:space="preserve">Ilion</t>
  </si>
  <si>
    <t xml:space="preserve">Steele Creek</t>
  </si>
  <si>
    <t xml:space="preserve">Northville</t>
  </si>
  <si>
    <t xml:space="preserve">Sacandaga River</t>
  </si>
  <si>
    <t xml:space="preserve">Westbrookville</t>
  </si>
  <si>
    <t xml:space="preserve">Pine Kill</t>
  </si>
  <si>
    <t xml:space="preserve">East Branch</t>
  </si>
  <si>
    <t xml:space="preserve">East Branch Delaware River</t>
  </si>
  <si>
    <t xml:space="preserve">2015-04-01</t>
  </si>
  <si>
    <t xml:space="preserve">2015-01-19</t>
  </si>
  <si>
    <t xml:space="preserve">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</si>
  <si>
    <t xml:space="preserve">2014-03-30</t>
  </si>
  <si>
    <t xml:space="preserve">Danube</t>
  </si>
  <si>
    <t xml:space="preserve">Nowadaga Creek</t>
  </si>
  <si>
    <t xml:space="preserve">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</si>
  <si>
    <t xml:space="preserve">2014-03-05</t>
  </si>
  <si>
    <t xml:space="preserve">Callicoon</t>
  </si>
  <si>
    <t xml:space="preserve">Delaware River</t>
  </si>
  <si>
    <t xml:space="preserve">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</si>
  <si>
    <t xml:space="preserve">2014-01-14</t>
  </si>
  <si>
    <t xml:space="preserve">Herkimer</t>
  </si>
  <si>
    <t xml:space="preserve">Bellinger Brook</t>
  </si>
  <si>
    <t xml:space="preserve">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</si>
  <si>
    <t xml:space="preserve">2014-01-13</t>
  </si>
  <si>
    <t xml:space="preserve">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</si>
  <si>
    <t xml:space="preserve">2014-01-12</t>
  </si>
  <si>
    <t xml:space="preserve">Thurman</t>
  </si>
  <si>
    <t xml:space="preserve">Glen Creek</t>
  </si>
  <si>
    <t xml:space="preserve">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</si>
  <si>
    <t xml:space="preserve">2014-01-11</t>
  </si>
  <si>
    <t xml:space="preserve">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</si>
  <si>
    <t xml:space="preserve">2014-01-10</t>
  </si>
  <si>
    <t xml:space="preserve">Starkville</t>
  </si>
  <si>
    <t xml:space="preserve">Otsquago Creek</t>
  </si>
  <si>
    <t xml:space="preserve">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</si>
  <si>
    <t xml:space="preserve">2014-01-08</t>
  </si>
  <si>
    <t xml:space="preserve">Poughkeepsie</t>
  </si>
  <si>
    <t xml:space="preserve">Wappingers Creek</t>
  </si>
  <si>
    <t xml:space="preserve">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</si>
  <si>
    <t xml:space="preserve">2014-01-07</t>
  </si>
  <si>
    <t xml:space="preserve">Hoosick River</t>
  </si>
  <si>
    <t xml:space="preserve">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</si>
  <si>
    <t xml:space="preserve">2013-02-01</t>
  </si>
  <si>
    <t xml:space="preserve">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</si>
  <si>
    <t xml:space="preserve">2013-01-31</t>
  </si>
  <si>
    <t xml:space="preserve">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</si>
  <si>
    <t xml:space="preserve">2013-01-30</t>
  </si>
  <si>
    <t xml:space="preserve">Whitesboro</t>
  </si>
  <si>
    <t xml:space="preserve">Sauquoit Creek</t>
  </si>
  <si>
    <t xml:space="preserve">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</si>
  <si>
    <t xml:space="preserve">2012-01-27</t>
  </si>
  <si>
    <t xml:space="preserve">Canajoharie</t>
  </si>
  <si>
    <t xml:space="preserve">Canajoharie Creek</t>
  </si>
  <si>
    <t xml:space="preserve">?</t>
  </si>
  <si>
    <t xml:space="preserve">USGS Water Resources Data for New York WY 2012 reported an annual maximum gage height of 7.41ft on 27-JAN-2012 due to an ice jam at USGS gaging station 01349150 Canajoharie, NY. The average daily discharge was not reported.</t>
  </si>
  <si>
    <t xml:space="preserve">Mohawk</t>
  </si>
  <si>
    <t xml:space="preserve">Fulmer Creek</t>
  </si>
  <si>
    <t xml:space="preserve">AN ICE JAM WAS REPORTED IN THE FULMER CREEK NEAR ROUTE 5S IN THE
TOWN OF MOHAWK IN SOUTHERN HERKIMER COUNTY BY EMERGENCY MANAGEMENT
WITH NO SIGNIFICANT FLOODING 27 Jan 2012</t>
  </si>
  <si>
    <t xml:space="preserve">2011-03-07</t>
  </si>
  <si>
    <t xml:space="preserve">Hope</t>
  </si>
  <si>
    <t xml:space="preserve">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</si>
  <si>
    <t xml:space="preserve">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</si>
  <si>
    <t xml:space="preserve">2011-02-25</t>
  </si>
  <si>
    <t xml:space="preserve">Gardiner</t>
  </si>
  <si>
    <t xml:space="preserve">Wallkill River</t>
  </si>
  <si>
    <t xml:space="preserve">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</si>
  <si>
    <t xml:space="preserve">2011-02-18</t>
  </si>
  <si>
    <t xml:space="preserve">USGS Water Resources Data for New York WY 2011 reported an annual maximum peak discharge of 2000cfs on 18-FEB-2011 due to an ice jam at USGS gaging station 01349150 Canajoharie, NY. The gage height was not reported.</t>
  </si>
  <si>
    <t xml:space="preserve">2011-01-25</t>
  </si>
  <si>
    <t xml:space="preserve">2010-02-26</t>
  </si>
  <si>
    <t xml:space="preserve">Niskayuna</t>
  </si>
  <si>
    <t xml:space="preserve">Lisha Kill</t>
  </si>
  <si>
    <t xml:space="preserve">USGS Water Resources Data for New York WY 2010 reported an annual maximum gage height of 4.93ft on 26-FEB-2010 due to an ice jam at USGS gaging station 01356190 Niskayuna, NY. The average daily discharge was not reported.</t>
  </si>
  <si>
    <t xml:space="preserve">2010-01-30</t>
  </si>
  <si>
    <t xml:space="preserve">Little Delaware River</t>
  </si>
  <si>
    <t xml:space="preserve">USGS Water Resources Data for New York WY 2010 reported a gage height of 6.79ft on 30-JAN-2010 due to an ice jam at USGS gaging station 01422500 Delhi, NY. The average daily discharge was 182cfs.</t>
  </si>
  <si>
    <t xml:space="preserve">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</si>
  <si>
    <t xml:space="preserve">Livingstonville</t>
  </si>
  <si>
    <t xml:space="preserve">Lake Creek</t>
  </si>
  <si>
    <t xml:space="preserve">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</si>
  <si>
    <t xml:space="preserve">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</si>
  <si>
    <t xml:space="preserve">USGS Water Resources Data for New York WY 2010 reported an annual maximum peak discharge of 2000cfs on 25-JAN-2010 due to an ice jam at USGS gaging station 01349150 Canajoharie, NY. The gage height was not reported.</t>
  </si>
  <si>
    <t xml:space="preserve">2010-01-08</t>
  </si>
  <si>
    <t xml:space="preserve">Frozen in place</t>
  </si>
  <si>
    <t xml:space="preserve">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</si>
  <si>
    <t xml:space="preserve">2009-03-09</t>
  </si>
  <si>
    <t xml:space="preserve">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</si>
  <si>
    <t xml:space="preserve">2009-03-08</t>
  </si>
  <si>
    <t xml:space="preserve">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</si>
  <si>
    <t xml:space="preserve">2009-03-07</t>
  </si>
  <si>
    <t xml:space="preserve">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</si>
  <si>
    <t xml:space="preserve">2009-02-13</t>
  </si>
  <si>
    <t xml:space="preserve">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</si>
  <si>
    <t xml:space="preserve">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</si>
  <si>
    <t xml:space="preserve">2009-02-12</t>
  </si>
  <si>
    <t xml:space="preserve">Fort Hunter</t>
  </si>
  <si>
    <t xml:space="preserve">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</si>
  <si>
    <t xml:space="preserve">Schuyler</t>
  </si>
  <si>
    <t xml:space="preserve">Bridenbecker Creek</t>
  </si>
  <si>
    <t xml:space="preserve">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</si>
  <si>
    <t xml:space="preserve">2009-01-15</t>
  </si>
  <si>
    <t xml:space="preserve">Tribes Hill</t>
  </si>
  <si>
    <t xml:space="preserve">Mohawk River Lock 12</t>
  </si>
  <si>
    <t xml:space="preserve">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</si>
  <si>
    <t xml:space="preserve">2008-12-27</t>
  </si>
  <si>
    <t xml:space="preserve">2008-02-13</t>
  </si>
  <si>
    <t xml:space="preserve">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</si>
  <si>
    <t xml:space="preserve">2007-03-16</t>
  </si>
  <si>
    <t xml:space="preserve">Released</t>
  </si>
  <si>
    <t xml:space="preserve">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</si>
  <si>
    <t xml:space="preserve">2007-03-15</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</si>
  <si>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</si>
  <si>
    <t xml:space="preserve">Fort Plain</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</si>
  <si>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</si>
  <si>
    <t xml:space="preserve">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</si>
  <si>
    <t xml:space="preserve">Sprakers</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</si>
  <si>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</si>
  <si>
    <t xml:space="preserve">2007-03-04</t>
  </si>
  <si>
    <t xml:space="preserve">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</si>
  <si>
    <t xml:space="preserve">2007-02-07</t>
  </si>
  <si>
    <t xml:space="preserve">Schuylerville</t>
  </si>
  <si>
    <t xml:space="preserve">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</si>
  <si>
    <t xml:space="preserve">2006-03-10</t>
  </si>
  <si>
    <t xml:space="preserve">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</si>
  <si>
    <t xml:space="preserve">2005-02-18</t>
  </si>
  <si>
    <t xml:space="preserve">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</si>
  <si>
    <t xml:space="preserve">2004-03-28</t>
  </si>
  <si>
    <t xml:space="preserve">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</si>
  <si>
    <t xml:space="preserve">2004-03-08</t>
  </si>
  <si>
    <t xml:space="preserve">Utica</t>
  </si>
  <si>
    <t xml:space="preserve">The NWS reported an ice jam on the Mohawk River at Utica, NY on March 8, 2004. No other information available.   -- Keywords: Mohawk  River at Utica, NY on Mar 08, 2004 [20040308130524]</t>
  </si>
  <si>
    <t xml:space="preserve">2004-03-07</t>
  </si>
  <si>
    <t xml:space="preserve">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</si>
  <si>
    <t xml:space="preserve">The NWS reported an ice jam upstream of Vischer Ferry, NY on the Mohawk River on March 7, 2004. No other information available.     -- Keywords: Mohawk River at Vischer Ferry, NY on Mar 07, 2004 [20040308114853]</t>
  </si>
  <si>
    <t xml:space="preserve">The NWS reported an ice jam near lock number 7 on the Mohawk River in Niskayuna, NY on March 7, 2004. No other information available.    -- Keywords: Mohawk River at Niskayuna, NY on Mar 07, 2004 [20040308124509]</t>
  </si>
  <si>
    <t xml:space="preserve">Rexford</t>
  </si>
  <si>
    <t xml:space="preserve">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</si>
  <si>
    <t xml:space="preserve">2004-03-06</t>
  </si>
  <si>
    <t xml:space="preserve">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</si>
  <si>
    <t xml:space="preserve">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</si>
  <si>
    <t xml:space="preserve">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</si>
  <si>
    <t xml:space="preserve">2004-03-05</t>
  </si>
  <si>
    <t xml:space="preserve">Lexington</t>
  </si>
  <si>
    <t xml:space="preserve">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</si>
  <si>
    <t xml:space="preserve">2004-03-04</t>
  </si>
  <si>
    <t xml:space="preserve">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</si>
  <si>
    <t xml:space="preserve">2004-03-03</t>
  </si>
  <si>
    <t xml:space="preserve">Florida</t>
  </si>
  <si>
    <t xml:space="preserve">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</si>
  <si>
    <t xml:space="preserve">Glen</t>
  </si>
  <si>
    <t xml:space="preserve">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</si>
  <si>
    <t xml:space="preserve">Lost Valley</t>
  </si>
  <si>
    <t xml:space="preserve">The National Weather Service reported ice had jammed on the Schoharie Creek north of Lost Valley, NY on March 3. Jam has moved into Montgomery County. No other information available.    -- Keywords: Schoharie Creek at Lost Valley, NY on Mar 03, 2004 [20040304080848]</t>
  </si>
  <si>
    <t xml:space="preserve">Mill Point</t>
  </si>
  <si>
    <t xml:space="preserve">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</si>
  <si>
    <t xml:space="preserve">The National Weather Service reported an ice jam on the Mohawk River at Herkimer, NY on March 3. Jam moved out and headed downstream. No other information available.    -- Keywords: Mohawk River at Herkimer, NY on Mar 03, 2004 [20040304080402]</t>
  </si>
  <si>
    <t xml:space="preserve">2004-03-02</t>
  </si>
  <si>
    <t xml:space="preserve">Burtonsville</t>
  </si>
  <si>
    <t xml:space="preserve">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</si>
  <si>
    <t xml:space="preserve">2004-01-23</t>
  </si>
  <si>
    <t xml:space="preserve">North Bush</t>
  </si>
  <si>
    <t xml:space="preserve">Caroga Creek And Pecks Creek Confluence</t>
  </si>
  <si>
    <t xml:space="preserve">The NWS reported an ice jam in Fulton County NY at the confluence of Caroga Creek and Pecks Creek on January 23, 2004. Water was backing up. No other information available.    -- Keywords: Caroga Creek And Pecks Creek Confluence at North Bush, NY on Jan 23, 2004 [20040126120622]</t>
  </si>
  <si>
    <t xml:space="preserve">2004-01-22</t>
  </si>
  <si>
    <t xml:space="preserve">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</si>
  <si>
    <t xml:space="preserve">Little Falls</t>
  </si>
  <si>
    <t xml:space="preserve">Mohawk River/West Canada Creek Confluence</t>
  </si>
  <si>
    <t xml:space="preserve">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</si>
  <si>
    <t xml:space="preserve">The NWS reported a freeze-up jam on the Hudson River near Warrensburg, NY on January 22, 2004.  No other information available.      -- Keywords: Hudson River at Warrensburg, NY on Jan 22, 2004 [20040126081140]</t>
  </si>
  <si>
    <t xml:space="preserve">2004-01-13</t>
  </si>
  <si>
    <t xml:space="preserve">Corinth</t>
  </si>
  <si>
    <t xml:space="preserve">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</si>
  <si>
    <t xml:space="preserve">2003-03-26</t>
  </si>
  <si>
    <t xml:space="preserve">Hadley</t>
  </si>
  <si>
    <t xml:space="preserve">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</si>
  <si>
    <t xml:space="preserve">2003-03-22</t>
  </si>
  <si>
    <t xml:space="preserve">Crescent</t>
  </si>
  <si>
    <t xml:space="preserve">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</si>
  <si>
    <t xml:space="preserve">Thurman Station</t>
  </si>
  <si>
    <t xml:space="preserve">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</si>
  <si>
    <t xml:space="preserve">2003-03-21</t>
  </si>
  <si>
    <t xml:space="preserve">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</si>
  <si>
    <t xml:space="preserve">2003-03-20</t>
  </si>
  <si>
    <t xml:space="preserve">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</si>
  <si>
    <t xml:space="preserve">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</si>
  <si>
    <t xml:space="preserve">2003-03-18</t>
  </si>
  <si>
    <t xml:space="preserve">USGS Water Resources Data for New York WY 2003 reported an annual maximum gage height of 8.32ft on 18-MAR-2003 due to an ice jam at USGS gaging station 04276500 Canajoharie Creek near Canajoharie, NY. The average daily discharge was 600cfs.</t>
  </si>
  <si>
    <t xml:space="preserve">Frankfort</t>
  </si>
  <si>
    <t xml:space="preserve">Moyer Creek</t>
  </si>
  <si>
    <t xml:space="preserve">The NWS reports on March 18:  there is an ice jam on the Moyer Creek in Herkimer County just south of Frankfort. No other information available.    -- Keywords: Moyer Creek at Frankfort, NY on Mar 18, 2003 [20030319094719]</t>
  </si>
  <si>
    <t xml:space="preserve">Amsterdam</t>
  </si>
  <si>
    <t xml:space="preserve">The NWS reports on March 18: An ice jam stretches for 6.5 miles from Avery Road along the Montgomery and Schenectady county line to Amsterdam.  No other information available.     -- Keywords: Mohawk River at Amsterdam, NY on Mar 18, 2003 [20030319094202]</t>
  </si>
  <si>
    <t xml:space="preserve">The NWS reports on March 18: Ice jam in place at Canajoharie...with water up 2 to 3 feet behind it. No other information available.     -- Keywords: Mohawk River at Canajoharie, NY on Mar 18, 2003 [20030319094503]</t>
  </si>
  <si>
    <t xml:space="preserve">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</si>
  <si>
    <t xml:space="preserve">2003-03-17</t>
  </si>
  <si>
    <t xml:space="preserve">USGS Water Resources Data for New York WY 2003 reported an annual maximum gage height of 9.21ft on 17-MAR-2003 due to an ice jam at USGS gaging station 01350000 Schoharie Creek at Prattsville, NY. The average daily discharge was 2,800cfs.</t>
  </si>
  <si>
    <t xml:space="preserve">Granville</t>
  </si>
  <si>
    <t xml:space="preserve">Mettawee River</t>
  </si>
  <si>
    <t xml:space="preserve">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</si>
  <si>
    <t xml:space="preserve">2003-03-04</t>
  </si>
  <si>
    <t xml:space="preserve">Bovina Center</t>
  </si>
  <si>
    <t xml:space="preserve">Coulter Brook</t>
  </si>
  <si>
    <t xml:space="preserve">USGS Water Resources Data for New York WY 2003 reported an annual maximum gage height of 1.77ft on 04-MAR-2003 due to an ice jam at USGS gaging station 01422389 Coulter Brook near Bovina Center, NY. The average daily discharge was 0.78cfs.</t>
  </si>
  <si>
    <t xml:space="preserve">2003-02-26</t>
  </si>
  <si>
    <t xml:space="preserve">Gilboa</t>
  </si>
  <si>
    <t xml:space="preserve">Manor Kill</t>
  </si>
  <si>
    <t xml:space="preserve">USGS Water Resources Data for New York WY 2003 reported an annual maximum gage height of 3.56ft on 26-FEB-2003 due to an ice jam at USGS gaging station 01350080 Manor Kill at West Conesville near Gilboa, NY. The average daily discharge was 45cfs.</t>
  </si>
  <si>
    <t xml:space="preserve">2003-02-23</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</si>
  <si>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</si>
  <si>
    <t xml:space="preserve">Rosendale</t>
  </si>
  <si>
    <t xml:space="preserve">Rondout Creek</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</si>
  <si>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</si>
  <si>
    <t xml:space="preserve">2003-02-22</t>
  </si>
  <si>
    <t xml:space="preserve">Lake Carmel</t>
  </si>
  <si>
    <t xml:space="preserve">Horse Pound Brook</t>
  </si>
  <si>
    <t xml:space="preserve">USGS Water Resources Data for New York WY 2003 reported an annual maximum gage height of 2.85ft on 22-FEB-2003 due to an ice jam at USGS gaging station 01374598 Horse Pound Brook near Lake Carmel, NY. The average daily discharge was 25cfs.</t>
  </si>
  <si>
    <t xml:space="preserve">2003-02-02</t>
  </si>
  <si>
    <t xml:space="preserve">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</si>
  <si>
    <t xml:space="preserve">2003-01-24</t>
  </si>
  <si>
    <t xml:space="preserve">Schoharie River</t>
  </si>
  <si>
    <t xml:space="preserve">The NWS reports: "an ice jam at Gilboa Dam has caused some spillage...but it appears to be settling down. The potential for more ice jams is there until temperatures moderate more."   -- Keywords: Schoharie River at Gilboa, NY on Jan 24, 2003 [20030124081341]</t>
  </si>
  <si>
    <t xml:space="preserve">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</si>
  <si>
    <t xml:space="preserve">2003-01-20</t>
  </si>
  <si>
    <t xml:space="preserve">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</si>
  <si>
    <t xml:space="preserve">2003-01-15</t>
  </si>
  <si>
    <t xml:space="preserve">Battenville</t>
  </si>
  <si>
    <t xml:space="preserve">Batten Kill</t>
  </si>
  <si>
    <t xml:space="preserve">USGS Water Resources Data for New York WY 2003 reported an annual maximum gage height of 7.41ft on 15-JAN-2003 due to an ice jam at USGS gaging station 01329500 Batten Kill at Battenville, NY. The average daily discharge was 580cfs.</t>
  </si>
  <si>
    <t xml:space="preserve">2002-12-18</t>
  </si>
  <si>
    <t xml:space="preserve">Platter Kill</t>
  </si>
  <si>
    <t xml:space="preserve">USGS Water Resources Data for New York WY 2003 reported an annual maximum gage height of 3.07ft on 18-DEC-2002 due to an ice jam at USGS gaging station 013501200 Platter Kill at Gilboa, NY. The average daily discharge was 12cfs.</t>
  </si>
  <si>
    <t xml:space="preserve">2002-01-19</t>
  </si>
  <si>
    <t xml:space="preserve">Bridgeville</t>
  </si>
  <si>
    <t xml:space="preserve">Neversink River</t>
  </si>
  <si>
    <t xml:space="preserve">USGS Water Resources Data for New York WY 2003 reported an annual minimum gage height of 4.25ft on 19-JAN-2002 due to freezeup at USGS gaging station 01436690 Neversink River at Bridgeville, NY. The average daily discharge was not reported.</t>
  </si>
  <si>
    <t xml:space="preserve">2001-02-12</t>
  </si>
  <si>
    <t xml:space="preserve">Grand Gorge</t>
  </si>
  <si>
    <t xml:space="preserve">Toad Hollow Brook</t>
  </si>
  <si>
    <t xml:space="preserve">An ice jam on Toad Hollow Brook near Grand Gorge, NY caused a maximum annual gage height of 2.52 ft on February 12, 2001.  The daily mean discharge was estimated to be 5.4 cfs.   -- Keywords: Toad Hollow Brook at Grand Gorge, NY on Feb 12, 2001 [20040830153012]</t>
  </si>
  <si>
    <t xml:space="preserve">2001-02-10</t>
  </si>
  <si>
    <t xml:space="preserve">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</si>
  <si>
    <t xml:space="preserve">According to the NWS in Albany, NY on February 10, 2001 "there was also an ice jam reported on the Mohawk River near Fort Plain."  -- Keywords: Mohawk River at Fort Plain, NY on Feb 10, 2001 [20010626110227]</t>
  </si>
  <si>
    <t xml:space="preserve">2001-01-01</t>
  </si>
  <si>
    <t xml:space="preserve">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</si>
  <si>
    <t xml:space="preserve">2000-12-26</t>
  </si>
  <si>
    <t xml:space="preserve">An ice jam on Platter Kill at Gilboa, NY caused a maximum annual gage height of 3.36 ft on December 26, 2000.  The daily mean discharge was extimated to be 16 cfs.    -- Keywords: Platter Kill at Gilboa, NY on Dec 26, 2000 [20040830154527]</t>
  </si>
  <si>
    <t xml:space="preserve">2000-03-01</t>
  </si>
  <si>
    <t xml:space="preserve">NWS reports on March 1, 2000 that "significant ice jams remain on the Sacandaga River just south of Hope (New York)."  -- Keywords: Sacandaga River at Hope , NY on Mar 01, 2000 [20010726133920]</t>
  </si>
  <si>
    <t xml:space="preserve">2000-02-29</t>
  </si>
  <si>
    <t xml:space="preserve">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</si>
  <si>
    <t xml:space="preserve">Cohoes</t>
  </si>
  <si>
    <t xml:space="preserve">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</si>
  <si>
    <t xml:space="preserve">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</si>
  <si>
    <t xml:space="preserve">Green Island</t>
  </si>
  <si>
    <t xml:space="preserve">An ice jam release on Mohawk River on February 29, 2000 resulted in the maximum annual gage height of 23.30 ft. on the Hudson River at Green Island, NY and the maximum annual discharge of about 116,000 cfs.  -- Keywords: Hudson River at Green Island, NY on Feb 29, 2000 [20040827134002]</t>
  </si>
  <si>
    <t xml:space="preserve">2000-02-28</t>
  </si>
  <si>
    <t xml:space="preserve">An ice jam on Little Delaware River near Delhi, NY on February 28, 2000 resulted in the maximum annual gage height of 5.50 ft. with a maximum annual discharge of about 1,300 cfs.  -- Keywords: Little Delaware River at Delhi, NY on Feb 28, 2000 [20040827150556]</t>
  </si>
  <si>
    <t xml:space="preserve">2000-02-27</t>
  </si>
  <si>
    <t xml:space="preserve">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</si>
  <si>
    <t xml:space="preserve">2000-02-26</t>
  </si>
  <si>
    <t xml:space="preserve">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</si>
  <si>
    <t xml:space="preserve">2000-02-25</t>
  </si>
  <si>
    <t xml:space="preserve">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</si>
  <si>
    <t xml:space="preserve">2000-02-14</t>
  </si>
  <si>
    <t xml:space="preserve">An ice jam on Horse Pound Brook near Lake Carmel, NY on February 14, 2000 resulted in the maximum annual gage height of 2.12 ft. with a discharge of about 53 cfs.   -- Keywords: Horse Pound Brook at Lake Carmel, NY on Feb 14, 2000 [20040827150056]</t>
  </si>
  <si>
    <t xml:space="preserve">An ice jam on Toad Hollow Brook near Grand Gorge, NY caused a maximum gage height of 3.05 ft on February 14, 2000 for the period of record Sep 1999-Sep 2001.     -- Keywords: Toad Hollow Brook at Grand Gorge, NY on Feb 14, 2000 [20040830153332]</t>
  </si>
  <si>
    <t xml:space="preserve">2000-02-11</t>
  </si>
  <si>
    <t xml:space="preserve">Wagner Hollow</t>
  </si>
  <si>
    <t xml:space="preserve">Caroga Creek</t>
  </si>
  <si>
    <t xml:space="preserve">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</si>
  <si>
    <t xml:space="preserve">2000-01-04</t>
  </si>
  <si>
    <t xml:space="preserve">An ice jam on Sacandaga River near Hope, NY on January 4, 2000 resulted in the maximum annual gage height of 7.38 ft. The discharge was estimated to be about 11,000 cfs.   -- Keywords: Sacandaga River at Hope, NY on Jan 04, 2000 [20040827130545]</t>
  </si>
  <si>
    <t xml:space="preserve">1999-02-04</t>
  </si>
  <si>
    <t xml:space="preserve">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</si>
  <si>
    <t xml:space="preserve">1999-01-28</t>
  </si>
  <si>
    <t xml:space="preserve">Combination</t>
  </si>
  <si>
    <t xml:space="preserve">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</si>
  <si>
    <t xml:space="preserve">1999-01-25</t>
  </si>
  <si>
    <t xml:space="preserve">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</si>
  <si>
    <t xml:space="preserve">New Paltz</t>
  </si>
  <si>
    <t xml:space="preserve">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</si>
  <si>
    <t xml:space="preserve">Randall</t>
  </si>
  <si>
    <t xml:space="preserve">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</si>
  <si>
    <t xml:space="preserve">1999-01-24</t>
  </si>
  <si>
    <t xml:space="preserve">Crawford</t>
  </si>
  <si>
    <t xml:space="preserve">Verkeerder Kill</t>
  </si>
  <si>
    <t xml:space="preserve">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</si>
  <si>
    <t xml:space="preserve">St. Johnsville</t>
  </si>
  <si>
    <t xml:space="preserve">AT 12 noon on Sunday, January 24, authorities in Montgomery County reported that one jam had formed on the Mohawk River near the village of St. Johnsville. -- Keywords: Mohawk River at St. Johnsville, NY on Jan 24, 1999 [2072]</t>
  </si>
  <si>
    <t xml:space="preserve">1999-01-20</t>
  </si>
  <si>
    <t xml:space="preserve">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</si>
  <si>
    <t xml:space="preserve">1999-01-19</t>
  </si>
  <si>
    <t xml:space="preserve">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</si>
  <si>
    <t xml:space="preserve">New Lebanon</t>
  </si>
  <si>
    <t xml:space="preserve">Kinderhook Creek</t>
  </si>
  <si>
    <t xml:space="preserve">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</si>
  <si>
    <t xml:space="preserve">1999-01-18</t>
  </si>
  <si>
    <t xml:space="preserve">Amenia</t>
  </si>
  <si>
    <t xml:space="preserve">Wassaic Creek</t>
  </si>
  <si>
    <t xml:space="preserve">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</si>
  <si>
    <t xml:space="preserve">1998-12-31</t>
  </si>
  <si>
    <t xml:space="preserve">USGS Water Resources Data for New York WY 2003 reported a minimum daily discharge of 0.20cfs on 31-DEC-1998 due to freezeup at USGS gaging station 01436690 Neversink River at Bridgeville, NY. The gage height was not reported.</t>
  </si>
  <si>
    <t xml:space="preserve">1998-01-08</t>
  </si>
  <si>
    <t xml:space="preserve">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</si>
  <si>
    <t xml:space="preserve">1997-02-28</t>
  </si>
  <si>
    <t xml:space="preserve">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</si>
  <si>
    <t xml:space="preserve">1997-02-27</t>
  </si>
  <si>
    <t xml:space="preserve">Another ice jam exists between the Vischer Ferry Preserve and the Cresent Bridge. It is being blocked by sheet ice on the Crescent pool. -- Keywords: Mohawk River at Vischer Ferry, NY on Feb 27, 1997 [3701]</t>
  </si>
  <si>
    <t xml:space="preserve">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</si>
  <si>
    <t xml:space="preserve">1997-02-22</t>
  </si>
  <si>
    <t xml:space="preserve">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</si>
  <si>
    <t xml:space="preserve">1997-02-21</t>
  </si>
  <si>
    <t xml:space="preserve">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</si>
  <si>
    <t xml:space="preserve">St. Johnsville/Big Nose</t>
  </si>
  <si>
    <t xml:space="preserve">An ice jam near St. Johnsville / Big Nose brok and ice was moving down Schoharie Creek. This ice will more than likely run into the jam near Amsterdam. Much of this jam is between Rotterdam and Amsterdam. -- Keywords: Schoharie Creek at St. Johnsville/Big Nose, NY on Feb 21, 1997 [1411]</t>
  </si>
  <si>
    <t xml:space="preserve">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</si>
  <si>
    <t xml:space="preserve">1997-01-19</t>
  </si>
  <si>
    <t xml:space="preserve">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</si>
  <si>
    <t xml:space="preserve">1996-02-22</t>
  </si>
  <si>
    <t xml:space="preserve">On 2/22/96 the NWS reported an ice jam on the Mohawk River between Lock 8 in Scotia, NY and the Western Gateway bridge in Schenectady, NY. Water levels rose behind the jam but did not exceed flood stage. -- Keywords: Mohawk River at Scotia, NY on Feb 22, 1996 [1087]</t>
  </si>
  <si>
    <t xml:space="preserve">Poestenkill</t>
  </si>
  <si>
    <t xml:space="preserve">Poestenkill Creek</t>
  </si>
  <si>
    <t xml:space="preserve">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</si>
  <si>
    <t xml:space="preserve">1996-02-21</t>
  </si>
  <si>
    <t xml:space="preserve">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</si>
  <si>
    <t xml:space="preserve">1996-02-01</t>
  </si>
  <si>
    <t xml:space="preserve">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</si>
  <si>
    <t xml:space="preserve">1996-01-29</t>
  </si>
  <si>
    <t xml:space="preserve">Libertyville</t>
  </si>
  <si>
    <t xml:space="preserve">According to a NWS Flood Watch, the ice jam on the Walkill River in the vicinity of Libertyville, NY is approximately 1 1/2 to 2 miles in length stretching from Tall Pines Lane to the Ulster County fairgrounds. -- Keywords: Walkill River at Libertyville, NY on Jan 29, 1996 [1645]</t>
  </si>
  <si>
    <t xml:space="preserve">1996-01-24</t>
  </si>
  <si>
    <t xml:space="preserve">NWS Flood Statements indicated that an ice jam in the area of Gardiner on the Walkill River was causing flooding between Montgomery and Walden, NY. The ice jam broke on 1/28/96 allowing the river to flow freely. -- Keywords: Walkill River at Gardiner, NY on Jan 24, 1996 [1644]</t>
  </si>
  <si>
    <t xml:space="preserve">1996-01-21</t>
  </si>
  <si>
    <t xml:space="preserve">Catskill</t>
  </si>
  <si>
    <t xml:space="preserve">A 1/21/96 NWS Flood Statement reported that the large ice jam on the Hudson River in Catskill, NY is located between the Rip Van Winkle Bridge and the confluence with the Catskill Creek. -- Keywords: Hudson River at Catskill, NY on Jan 21, 1996 [475]</t>
  </si>
  <si>
    <t xml:space="preserve">Hopewell Junction</t>
  </si>
  <si>
    <t xml:space="preserve">Fishkill Creek</t>
  </si>
  <si>
    <t xml:space="preserve">USGS Water Resources Data for New York WY 2003 reported a maximum gage height of 11.71ft on 20-JAN-1996 due to an ice jam at USGS gaging station 01372800 Fishkill Creek at Hopewell Junction, NY. The average daily discharge was not reported.</t>
  </si>
  <si>
    <t xml:space="preserve">Bainbridge</t>
  </si>
  <si>
    <t xml:space="preserve">USGS Water Resources Data for New York WY 2004 reported a maximum gage height of 21.04ft on 20-JAN-1996 due to an ice jam at USGS gaging station 01502623 Susquehanna River at Bainbridge, NY. The average daily discharge was not reported.</t>
  </si>
  <si>
    <t xml:space="preserve">According to NWS Flood Statements, about a mile below Prattsville, NY an ice jam formed on Schoharie Creek. The water level rose above flood stage on 1/19/96 and began to fall on 1/21/96. -- Keywords: Schoharie Creek at Prattsville, NY on Jan 19, 1996 [1410]</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</si>
  <si>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</si>
  <si>
    <t xml:space="preserve">German Flatts</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</si>
  <si>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</si>
  <si>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</si>
  <si>
    <t xml:space="preserve">USGS Water Resources Data for New York WY 2003 reported an annual maximum gage height of 6.36ft on 19-JAN-1996 due to an ice jam at USGS gaging station 01356190 Lisha Kill Northwest of Niskayuna, NY. The average daily discharge was not reported.</t>
  </si>
  <si>
    <t xml:space="preserve">Rensselaer County</t>
  </si>
  <si>
    <t xml:space="preserve">A NWS Flood Statement on 1/19/96 reported an ice jam on the Hoosic River in Rensselaer County, NY. -- Keywords: Hoosic River at Rensselaer County, NY on Jan 19, 1996 [464]</t>
  </si>
  <si>
    <t xml:space="preserve">1996-01-18</t>
  </si>
  <si>
    <t xml:space="preserve">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</si>
  <si>
    <t xml:space="preserve">1996-01-01</t>
  </si>
  <si>
    <t xml:space="preserve">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</si>
  <si>
    <t xml:space="preserve">A NWS Flood Statement reported on 1/19/96 that an amateur radio spotter said that an ice jam at Lock 8 in Scotia, NY broke loose and moving downstream. -- Keywords: Mohawk River at Scotia, NY on Jan ?, 1996 [1086]</t>
  </si>
  <si>
    <t xml:space="preserve">1994-03-16</t>
  </si>
  <si>
    <t xml:space="preserve">An ice jam on Wallkill River at Gardiner, NY caused a maximum annual gage height of 12.09 ft on March 16, 1994.  The daily mean discharge was estimated to be 4700 cfs.  -- Keywords: Wallkill River at Gardiner, NY on Mar 16, 1994 [20040824170915]</t>
  </si>
  <si>
    <t xml:space="preserve">1994-03-10</t>
  </si>
  <si>
    <t xml:space="preserve">Frost Valley</t>
  </si>
  <si>
    <t xml:space="preserve">Biscuit Brook</t>
  </si>
  <si>
    <t xml:space="preserve">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</si>
  <si>
    <t xml:space="preserve">An ice jam on Rondout Creek at Rosendale, NY caused a maximum annual gage height of 19.77 ft on March 10, 1994.  The daily mean discharge was estimated to be 1300 cfs.  -- Keywords: Rondout Creek at Rosendale, NY on Mar 10, 1994 [20040824170439]</t>
  </si>
  <si>
    <t xml:space="preserve">An ice jam on the Hoosic River near Eagle Bridge, NY caused a maximum annual gage height of 12.01 ft on March 10, 1994.  The daily mean discharge was estimated to be 3000 cfs.  -- Keywords: Hoosic River at Eagle Bridge, NY on Mar 10, 1994 [20040824165348]</t>
  </si>
  <si>
    <t xml:space="preserve">1994-02-21</t>
  </si>
  <si>
    <t xml:space="preserve">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</si>
  <si>
    <t xml:space="preserve">1994-02-04</t>
  </si>
  <si>
    <t xml:space="preserve">Andes</t>
  </si>
  <si>
    <t xml:space="preserve">Tremper Kill</t>
  </si>
  <si>
    <t xml:space="preserve">An ice jam on Tremper Kill near Andes, NY caused a maximum annual gage height of 4.89 ft on February 4, 1994.  The daily mean discharge was estimated to be 48 cfs.  -- Keywords: Tremper Kill at Andes, NY on Feb 04, 1994 [20040826144431]</t>
  </si>
  <si>
    <t xml:space="preserve">1994-02-03</t>
  </si>
  <si>
    <t xml:space="preserve">Fall Kill</t>
  </si>
  <si>
    <t xml:space="preserve">An ice jam on Fall Kill at Poughkeepsie, NY caused a maximum annual gage height of 2.17 ft on February 3, 1994.  The daily mean discharge was estimated to be 32 cfs.  -- Keywords: Fall Kill at Poughkeepsie, NY on Feb 03, 1994 [20040824171429]</t>
  </si>
  <si>
    <t xml:space="preserve">1994-02-02</t>
  </si>
  <si>
    <t xml:space="preserve">An ice jam on Platter Kill at Gilboa, NY caused a maximum annual gage height of 3.88 ft on February 2, 1994.  The daily mean discharge was estimated to be 20 cfs.  -- Keywords: Platter Kill at Gilboa, NY on Feb 02, 1994 [20040824170025]</t>
  </si>
  <si>
    <t xml:space="preserve">1994-01-29</t>
  </si>
  <si>
    <t xml:space="preserve">Petersburg</t>
  </si>
  <si>
    <t xml:space="preserve">Little Hoosic River</t>
  </si>
  <si>
    <t xml:space="preserve">An ice jam on the Little Hoosic River at Petersburg, NY caused a maximum annual gage height of 6.02 ft on January 29, 1994.  The daily mean discharge was estimated to be 400 cfs.  -- Keywords: Little Hoosic River at Petersburg, NY on Jan 29, 1994 [20040824164820]</t>
  </si>
  <si>
    <t xml:space="preserve">1994-01-28</t>
  </si>
  <si>
    <t xml:space="preserve">High Falls Brook</t>
  </si>
  <si>
    <t xml:space="preserve">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</si>
  <si>
    <t xml:space="preserve">1994-01-06</t>
  </si>
  <si>
    <t xml:space="preserve">Dunraven</t>
  </si>
  <si>
    <t xml:space="preserve">Mill Brook</t>
  </si>
  <si>
    <t xml:space="preserve">An ice jam on Mill Brook near Dunraven, NY caused a maximum annual gage height of 8.69 ft on January 6, 1994.  The daily mean discharge was estimated to be 22 cfs.  -- Keywords: Mill Brook at Dunraven, NY on Jan 06, 1994 [20040826142647]</t>
  </si>
  <si>
    <t xml:space="preserve">1993-03-29</t>
  </si>
  <si>
    <t xml:space="preserve">Esperance</t>
  </si>
  <si>
    <t xml:space="preserve">"A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</si>
  <si>
    <t xml:space="preserve">Claryville</t>
  </si>
  <si>
    <t xml:space="preserve">USGS Water Resources Data for New York WY 2003 reported a minimum average daily discharge of 5.90cfs on 14-MAR-1993 due to freezeup at USGS gaging station 01434498 West Branch of Neversink River at Claryville, NY. The gage height was not reported.</t>
  </si>
  <si>
    <t xml:space="preserve">1989-03-16</t>
  </si>
  <si>
    <t xml:space="preserve">slope change at old arch bridge with low conveyance thought to be cause of jam; no damage at this time but poses serious threat   -- Keywords: Steele Creek at Ilion, NY on Mar 16, 1989 [1490]</t>
  </si>
  <si>
    <t xml:space="preserve">1985-02-01</t>
  </si>
  <si>
    <t xml:space="preserve">Controlled</t>
  </si>
  <si>
    <t xml:space="preserve">controlled river ice breakup on Hudson River using pulses from Hydro plants on the Sacandago River. Jam formed at Section CW (see reference) near carwash in Corinth. -- Keywords: Hudson River at Corinth, NY on Feb ?, 1985 [476]</t>
  </si>
  <si>
    <t xml:space="preserve">1983-02-11</t>
  </si>
  <si>
    <t xml:space="preserve">Lake George</t>
  </si>
  <si>
    <t xml:space="preserve">English Brook</t>
  </si>
  <si>
    <t xml:space="preserve">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</si>
  <si>
    <t xml:space="preserve">1982-02-12</t>
  </si>
  <si>
    <t xml:space="preserve">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</si>
  <si>
    <t xml:space="preserve">1982-02-04</t>
  </si>
  <si>
    <t xml:space="preserve">The maximum annual gage height of 10.96 ft occurred on Delaware River at Callicoon, NY on 4 February 1982, as a result of an ice jam.  The average daily discharge recorded was 8,000 cfs.  -- Keywords: Delaware River at Callicoon, NY on Feb 04, 1982 [20040702153320]</t>
  </si>
  <si>
    <t xml:space="preserve">Walton</t>
  </si>
  <si>
    <t xml:space="preserve">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</si>
  <si>
    <t xml:space="preserve">An ice jam 4 February 1982 on Wallkill River at Gardiner, NY resulted in a gage height of 12.27 ft. The discharge was estimated to be 8,000 cfs.  -- Keywords: Wallkill River at Gardiner, NY on Feb 04, 1982 [20040702160844]</t>
  </si>
  <si>
    <t xml:space="preserve">On February 4 1982, a maximum annual gage height of 6.86 ft was recorded on Schoharie Creek at Burtonsville NY, caused by an ice jam.  The mean daily discharge was 4000 cfs.   -- Keywords: Schoharie Creek at Burtonsville, NY on Feb 04, 1982 [20040823135031]</t>
  </si>
  <si>
    <t xml:space="preserve">An ice jam 4 February 1982 on Rondout Creek at Rosendale, NY resulted in a maximum annual gage height of 16.91 ft. The daily average discharge recorded was 3,500 cfs.  -- Keywords: Rondout Creek at Rosendale, NY on Feb 04, 1982 [20040702161428]</t>
  </si>
  <si>
    <t xml:space="preserve">Castleton-On-Hudson</t>
  </si>
  <si>
    <t xml:space="preserve">Moordener Kill</t>
  </si>
  <si>
    <t xml:space="preserve">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</si>
  <si>
    <t xml:space="preserve">Fishs Eddy</t>
  </si>
  <si>
    <t xml:space="preserve">The maximum annual gage height of 15.23 ft occurred on East Branch Delaware River at Fishs Eddy, NY on 4 February 1982, as a result of an ice jam. The daily average discharge recorded was 3,900 cfs.  -- Keywords: East Branch Delaware River at Fishs Eddy, NY on Feb 04, 1982 [20040702155229]</t>
  </si>
  <si>
    <t xml:space="preserve">1982-02-03</t>
  </si>
  <si>
    <t xml:space="preserve">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</si>
  <si>
    <t xml:space="preserve">1982-01-20</t>
  </si>
  <si>
    <t xml:space="preserve">-Creek was filled w/ 60 to 80 % of frazil slush -Solid ice was 10 to 14 inches thick -Measurements of ice thickness   -- Keywords: Sauquoit Creek at Whitesboro, NY on Jan 20, 1982 [1406]</t>
  </si>
  <si>
    <t xml:space="preserve">1981-02-20</t>
  </si>
  <si>
    <t xml:space="preserve">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</si>
  <si>
    <t xml:space="preserve">1981-02-12</t>
  </si>
  <si>
    <t xml:space="preserve">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</si>
  <si>
    <t xml:space="preserve">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</si>
  <si>
    <t xml:space="preserve">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</si>
  <si>
    <t xml:space="preserve">Normans Kill</t>
  </si>
  <si>
    <t xml:space="preserve">An ice jam occurred on Normans Kill at Albany, NY on February 12, 1981, resulting in the maximum annual gage height of 9.99 ft. The discharge was unknown.  -- Keywords: Normans Kill at Albany, NY on Feb 12, 1981 [20040701120512]</t>
  </si>
  <si>
    <t xml:space="preserve">An ice jam was reported on the Hoosic River near Eagle Bridge, NY on Feb 12, 1981 resulting in the maximum annual gage height of 13.35 ft and discharge of 3,500 cfs.  -- Keywords: Hoosic River at Eagle Bridge, NY on Feb 12, 1981 [20040630163629]</t>
  </si>
  <si>
    <t xml:space="preserve">1981-02-11</t>
  </si>
  <si>
    <t xml:space="preserve">Dunham Basin</t>
  </si>
  <si>
    <t xml:space="preserve">Bond Creek</t>
  </si>
  <si>
    <t xml:space="preserve">The maximum annual gage height of 6.88 ft occurred on the Bond Creek at Dunham Basin, NY on Feb 11, 1981, caused by an ice jam.  The associated discharge was 733 cfs.   -- Keywords: Bond Creek at Dunham Basin, NY on Feb 11, 1981 [20040630160301]</t>
  </si>
  <si>
    <t xml:space="preserve">Kast Bridge</t>
  </si>
  <si>
    <t xml:space="preserve">An ice jam was reported on West Canada Creek at Kast Bridge, NY on February 11, 1981 resulting in the maximum annual gage height of 6.35 ft and discharge of 1,200 cfs.  -- Keywords: West Canada Creek at Kast Bridge, NY on Feb 11, 1981 [20040630164207]</t>
  </si>
  <si>
    <t xml:space="preserve">The maximum annual gage height of 6.13 ft and maximum annual discharge of about 1,800 cfs  occurred on Tremper Kill near Andes, NY on February 11, 1981 as a result of backwater from ice jam.   -- Keywords: Tremper Kill at Andes, NY on Feb 11, 1981 [20040701130850]</t>
  </si>
  <si>
    <t xml:space="preserve">An ice jam occurred on Schoharie Creek at Prattsville, NY on February 11, 1981.  Gage height recorded 10.76 ft, and discharge 5,000 cfs.  -- Keywords: Schoharie Creek at Prattsville, NY on Feb 11, 1981 [20040701105605]</t>
  </si>
  <si>
    <t xml:space="preserve">An ice jam occurred on Platter Kill at Gilboa, NY on February 11, 1981, resulting in the maximum gage height, 4.59 ft and maximum discharge, 410 cfs, for the year as well as for the period of record; 1975-1981.  -- Keywords: Platter Kill at Gilboa, NY on Feb 11, 1981 [20040701114526]</t>
  </si>
  <si>
    <t xml:space="preserve">North Blenheim</t>
  </si>
  <si>
    <t xml:space="preserve">Mine Kill</t>
  </si>
  <si>
    <t xml:space="preserve">An ice jam occurred on Mine Kill near North Blenheim, NY on February 11, 1981, resulting in a gage height of 3.47 ft and discharge of 300 cfs.   -- Keywords: Mine Kill at North Blenheim, NY on Feb 11, 1981 [20040701115932]</t>
  </si>
  <si>
    <t xml:space="preserve">An ice jam was reported on the Little Hoosic River at Petersburg, NY on Feb 11, 1981 resulting in the maximum annual gage height of 6.65 ft and discharge of 290 cfs.  -- Keywords: Little Hoosic River at Petersburg, NY on Feb 11, 1981 [20040630162632]</t>
  </si>
  <si>
    <t xml:space="preserve">Shandaken</t>
  </si>
  <si>
    <t xml:space="preserve">Esopus Creek</t>
  </si>
  <si>
    <t xml:space="preserve">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</si>
  <si>
    <t xml:space="preserve">The maximum annual gage height of 4.88 ft occurred on English Brook at Lake George, NY on 11 February 1981, caused by and ice jam.  The average daily discharge was unknown.   -- Keywords: English Brook at Lake George, NY on Feb 11, 1981 [20040702134121]</t>
  </si>
  <si>
    <t xml:space="preserve">1981-02-02</t>
  </si>
  <si>
    <t xml:space="preserve">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</si>
  <si>
    <t xml:space="preserve">A gage height of 11.07 ft and a discharge of 2,800 cfs occurred on West Branch Delaware River at Walton NY, on February 2, 1981 as a result of an ice jam.   -- Keywords: West Branch Delaware River at Walton, NY on Feb 02, 1981 [20040701131617]</t>
  </si>
  <si>
    <t xml:space="preserve">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</si>
  <si>
    <t xml:space="preserve">An ice jam occurred on Platter Kill at Gilboa, NY on February 2, 1981, resulting in a gage height of 3.54 ft and discharge of 25 cfs.  -- Keywords: Platter Kill at Gilboa, NY on Feb 02, 1981 [20040701114951]</t>
  </si>
  <si>
    <t xml:space="preserve">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</si>
  <si>
    <t xml:space="preserve">An ice jam was reported on the Little Hoosic River at Petersburg, NY on Feb 2, 1981.  The gage height was 6.24 ft and discharge 64 cfs.  -- Keywords: Little Hoosic River at Petersburg, NY on Feb 02, 1981 [20040630162219]</t>
  </si>
  <si>
    <t xml:space="preserve">An ice jam was reported on the Hoosic River near Eagle Bridge, NY on Feb 2, 1981 resulting in the a gage height of 9.19 ft and discharge of 800 cfs.  -- Keywords: Hoosic River at Eagle Bridge, NY on Feb 02, 1981 [20040630163224]</t>
  </si>
  <si>
    <t xml:space="preserve">1980-11-18</t>
  </si>
  <si>
    <t xml:space="preserve">USGS Water Resources Data for New York WY 2003 reported an annual minimum average daily discharge of 0.32cfs on 18-NOV-1980 due to freezeup at USGS gaging station 013501200 Platter Kill at Gilboa, NY. The gage height was not reported.</t>
  </si>
  <si>
    <t xml:space="preserve">USGS Water Resources Data for New York WY 2003 reported an annual minimum average daily discharge of 0.32cfs on 18-NOV-1980 due to freezeup at USGS gaging station 01350120 Platter Kill at Gilboa, NY. The gage height was not reported.</t>
  </si>
  <si>
    <t xml:space="preserve">1979-03-07</t>
  </si>
  <si>
    <t xml:space="preserve">West Milton</t>
  </si>
  <si>
    <t xml:space="preserve">The USGS reported an ice jam on the Kayaderosseras Creek near West Milton, NY on March 7, 1979. The water discharge was 1400 cubic feet per second. The gage height was 6.18 ft.   -- Keywords: Kayaderosseras Creek at West Milton, NY on Mar 07, 1979 [20031211111330]</t>
  </si>
  <si>
    <t xml:space="preserve">1979-03-05</t>
  </si>
  <si>
    <t xml:space="preserve">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</si>
  <si>
    <t xml:space="preserve">The USGS reported an ice jam on the Otsquago Creek at Fort Plain, NY on March 5, 1979. The water discharge was 1000 cubic feet per second, gage height was 7.28 ft.   -- Keywords: Otsquago Creek at Fort Plain, NY on Mar 05, 1979 [20031125101703]</t>
  </si>
  <si>
    <t xml:space="preserve">New Berlin</t>
  </si>
  <si>
    <t xml:space="preserve">The USGS reported backwater from ice on the Mill Brook at New Berlin, NY on March 5, 1979. The water discharge was 190 cubic feet per second, gage height was 3.19 ft.     -- Keywords: Mill Brook at New Berlin, NY on Mar 05, 1979 [20031119113537]</t>
  </si>
  <si>
    <t xml:space="preserve">1979-03-02</t>
  </si>
  <si>
    <t xml:space="preserve">The USGS reported an ice jam on the Moordener Kill at Castleton-on-Hudson, NY on March 2, 1979. The water discharge was 596 cubic feet per second, gage height was 2.29 ft.   -- Keywords: Moordener Kill at Castleton-On-Hudson, NY on Mar 02, 1979 [20031125094831]</t>
  </si>
  <si>
    <t xml:space="preserve">1979-02-27</t>
  </si>
  <si>
    <t xml:space="preserve">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</si>
  <si>
    <t xml:space="preserve">1979-02-25</t>
  </si>
  <si>
    <t xml:space="preserve">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</si>
  <si>
    <t xml:space="preserve">1979-02-03</t>
  </si>
  <si>
    <t xml:space="preserve">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</si>
  <si>
    <t xml:space="preserve">1979-01-25</t>
  </si>
  <si>
    <t xml:space="preserve">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</si>
  <si>
    <t xml:space="preserve">1979-01-22</t>
  </si>
  <si>
    <t xml:space="preserve">The USGS reported backwater from ice on the East Branch Delaware River at Fishs Eddy, NY on January 22, 1979. The water discharge was 2800 cubic feet per second, gage height was 14.01 ft.   -- Keywords: East Branch Delaware River at Fishs Eddy, NY on Jan 22, 1979 [20031119115411]</t>
  </si>
  <si>
    <t xml:space="preserve">West Kill</t>
  </si>
  <si>
    <t xml:space="preserve">The USGS reported an ice jam on the West Kill at North Blenheim, NY on January 22, 1979. The water discharge was 200 cubic feet per second, gage height was 5.39 ft.    -- Keywords: West Kill at North Blenheim, NY on Jan 22, 1979 [20031125095254]</t>
  </si>
  <si>
    <t xml:space="preserve">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</si>
  <si>
    <t xml:space="preserve">1979-01-21</t>
  </si>
  <si>
    <t xml:space="preserve">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</si>
  <si>
    <t xml:space="preserve">The USGS reported an ice jam on the Tremper Kill near Andes, NY on January 21, 1979. The water discharge was 220 cubic feet per second.    -- Keywords: Tremper Kill at Andes, NY on Jan 21, 1979 [20031119122149]</t>
  </si>
  <si>
    <t xml:space="preserve">1979-01-12</t>
  </si>
  <si>
    <t xml:space="preserve">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</si>
  <si>
    <t xml:space="preserve">1979-01-11</t>
  </si>
  <si>
    <t xml:space="preserve">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</si>
  <si>
    <t xml:space="preserve">1979-01-09</t>
  </si>
  <si>
    <t xml:space="preserve">The USGS reported ice jam on the Delaware River at Callicoon, NY on January 9, 1979. The water discharge was 4500 cubic feet per second, gage height was 14.83 ft.  -- Keywords: Delaware River at Callicoon, NY on Jan 09, 1979 [20031119114406]</t>
  </si>
  <si>
    <t xml:space="preserve">1979-01-08</t>
  </si>
  <si>
    <t xml:space="preserve">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</si>
  <si>
    <t xml:space="preserve">1979-01-06</t>
  </si>
  <si>
    <t xml:space="preserve">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</si>
  <si>
    <t xml:space="preserve">1979-01-02</t>
  </si>
  <si>
    <t xml:space="preserve">Grahamsville</t>
  </si>
  <si>
    <t xml:space="preserve">Chestnut Creek</t>
  </si>
  <si>
    <t xml:space="preserve">The USGS reported an ice jam on the Chestnut Creek at Grahamsville, NY on January 2, 1979. The water discharge was 417 cubic feet per second, gage height was 2.34 ft.   -- Keywords: Chestnut Creek at Grahamsville, NY on Jan 02, 1979 [20031125092403]</t>
  </si>
  <si>
    <t xml:space="preserve">1979-01-01</t>
  </si>
  <si>
    <t xml:space="preserve">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</si>
  <si>
    <t xml:space="preserve">The USGS reported an ice jam on the Otsquago Creek at Fort Plain, NY on January 1, 1979. The water discharge was 350 cubic feet per second, gage height was 5.37 ft.   -- Keywords: Otsquago Creek at Fort Plain, NY on Jan 01, 1979 [20031125101359]</t>
  </si>
  <si>
    <t xml:space="preserve">1978-03-16</t>
  </si>
  <si>
    <t xml:space="preserve">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</si>
  <si>
    <t xml:space="preserve">1978-03-14</t>
  </si>
  <si>
    <t xml:space="preserve">The USGS reported an ice jam on the Mill Brook near Dunraven, NY on March 14, 1978. The water discharge was 45 cubic feet per second, gage height was 5.18 ft.   -- Keywords: Mill Brook at Dunraven, NY on Mar 14, 1978 [20031114134219]</t>
  </si>
  <si>
    <t xml:space="preserve">1978-02-22</t>
  </si>
  <si>
    <t xml:space="preserve">The USGS reported an ice jam on the Platter Kill at Gilboa, NY on February 22, 1978. The water discharge was 16 cubic feet per second, gage height was 4.33 ft.   -- Keywords: Platter Kill at Gilboa, NY on Feb 22, 1978 [20031117092302]</t>
  </si>
  <si>
    <t xml:space="preserve">1978-02-10</t>
  </si>
  <si>
    <t xml:space="preserve">The USGS reported an ice jam on the Mill Brook near Dunraven, NY on February 10, 1978. The water discharge was 30 cubic feet per second, gage height was 4.76 ft.   -- Keywords: Mill Brook at Dunraven, NY on Feb 10, 1978 [20031114134122]</t>
  </si>
  <si>
    <t xml:space="preserve">The USGS reported an ice jam on the West Kill at North Blenheim, NY on February 10, 1978. The water discharge was 64 cubic feet per second, gage height was 5.78 ft.   -- Keywords: West Kill at North Blenheim, NY on Feb 10, 1978 [20031117091123]</t>
  </si>
  <si>
    <t xml:space="preserve">1978-01-26</t>
  </si>
  <si>
    <t xml:space="preserve">Callicoon Creek</t>
  </si>
  <si>
    <t xml:space="preserve">The USGS reported an ice jam on the Callicoon Creek at Callicoon, NY on January 26, 1978. The water discharge was 1500 cubic feet per second, gage height was 5.88 ft.   -- Keywords: Callicoon Creek at Callicoon, NY on Jan 26, 1978 [20031114133057]</t>
  </si>
  <si>
    <t xml:space="preserve">The USGS reported an ice jam on the Wallkill River at Gardiner, NY on January 26, 1978. The water discharge was 7000 cubic feet per second, gage height was 14.15 ft.   -- Keywords: Wallkill River at Gardiner, NY on Jan 26, 1978 [20031114134715]</t>
  </si>
  <si>
    <t xml:space="preserve">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</si>
  <si>
    <t xml:space="preserve">The USGS reported an ice jam on the Platter Kill at Gilboa, NY on January 26, 1978. The water discharge was 100 cubic feet per second, gage height was 2.82 ft.     -- Keywords: Platter Kill at Gilboa, NY on Jan 26, 1978 [20031117091656]</t>
  </si>
  <si>
    <t xml:space="preserve">The USGS reported an ice jam on the Moordener Kill at Castleton-on-Hudson, NY on January 26, 1978. The water discharge was 480 cubic feet per second, gage height was 3.31 ft.   -- Keywords: Moordener Kill at Castleton-On-Hudson, NY on Jan 26, 1978 [20031117090556]</t>
  </si>
  <si>
    <t xml:space="preserve">The USGS reported an ice jam on the Mill Brook near Dunraven, NY on January 26, 1978. The water discharge was 450 cubic feet per second, gage height was 4.69 ft.   -- Keywords: Mill Brook at Dunraven, NY on Jan 26, 1978 [20031114133918]</t>
  </si>
  <si>
    <t xml:space="preserve">1978-01-11</t>
  </si>
  <si>
    <t xml:space="preserve">Fort Edward</t>
  </si>
  <si>
    <t xml:space="preserve">The USGS reported an ice jam on the Hudson River at Fort Edward, NY on January 11, 1978. The water discharge was 17,000 cubic feet per second, gage height was 28.71 ft.   -- Keywords: Hudson River at Fort Edward, NY on Jan 11, 1978 [20031117094452]</t>
  </si>
  <si>
    <t xml:space="preserve">1978-01-09</t>
  </si>
  <si>
    <t xml:space="preserve">The USGS reported an ice jam on the Callicoon Creek at Callicoon, NY on January 9, 1978. The water discharge was 4500 cubic feet per second, gage height was 8.39 ft.   -- Keywords: Callicoon Creek at Callicoon, NY on Jan 09, 1978 [20031114133009]</t>
  </si>
  <si>
    <t xml:space="preserve">The USGS reported an ice jam on the Hoosic River at Eagle Bridge, NY on January 9, 1978. The water discharge was 6000 cubic feet per second, gage height was 11.84 ft.   -- Keywords: Hoosic River at Eagle Bridge, NY on Jan 09, 1978 [20031117094015]</t>
  </si>
  <si>
    <t xml:space="preserve">1977-12-10</t>
  </si>
  <si>
    <t xml:space="preserve">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</si>
  <si>
    <t xml:space="preserve">1976-01-27</t>
  </si>
  <si>
    <t xml:space="preserve">The USGS reported an ice jam on the Moordener Kill at Castleton-on-Hudson, NY on January 27, 1976, gage height was 4.02 ft.    -- Keywords: Moordener Kill at Castleton-On-Hudson, NY on Jan 27, 1976 [20031117090332]</t>
  </si>
  <si>
    <t xml:space="preserve">1976-01-26</t>
  </si>
  <si>
    <t xml:space="preserve">An ice jam on Tremper Kill near Andes, NY resulted in the maximum gage height of 7.92 ft on January 26, 1976 for the period of record Feb 1937-Sep 1994.    -- Keywords: Tremper Kill at Andes, NY on Jan 26, 1976 [20040826145130]</t>
  </si>
  <si>
    <t xml:space="preserve">USGS Water Resources Data for New York WY 2003 reported an annual maximum average daily discharge of 143,000cfs on 6 March 1964 due to a release from an ice jam at USGS gaging station 01357500 Mohawk River at Cohoes, NY. The gage height was 23.15ft.</t>
  </si>
  <si>
    <t xml:space="preserve">An ice jam release on Mohawk River at Cohoes, NY on March 6, 1964 resulted in the maximum gage height of 23.15 ft. and the maximum discharge of 143,000 cfs for the period of record Dec 1917-Sep 2000.  -- Keywords: Mohawk River at Cohoes, NY on Mar 06, 1964 [20040827132949]</t>
  </si>
  <si>
    <t xml:space="preserve">1964-03-05</t>
  </si>
  <si>
    <t xml:space="preserve">The maximum gage height of 8.66 ft for the period of record 1943-1981 occurred on the Bond Creek at Dunham Basin, NY on March 5, 1964, caused by backwater from ice.     -- Keywords: Bond Creek at Dunham Basin, NY on Mar 05, 1964 [20040630161040]</t>
  </si>
  <si>
    <t xml:space="preserve">1964-01-26</t>
  </si>
  <si>
    <t xml:space="preserve">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</si>
  <si>
    <t xml:space="preserve">1964-01-25</t>
  </si>
  <si>
    <t xml:space="preserve">Craigie Clair</t>
  </si>
  <si>
    <t xml:space="preserve">Beaver Kill</t>
  </si>
  <si>
    <t xml:space="preserve">The maximum annual gage height of 7.71 ft on Beaver Kill at Craigie Clair, NY occurred on 25 Jan 1964 and was caused by an ice jam.  The associated discharge was 1,400 cfs.  -- Keywords: Beaver Kill at Craigie Clair, NY on Jan 25, 1964 [20040628120459]</t>
  </si>
  <si>
    <t xml:space="preserve">Pine Bush</t>
  </si>
  <si>
    <t xml:space="preserve">Shawangunk Kill</t>
  </si>
  <si>
    <t xml:space="preserve">On 25 January 1964, USGS reported the maximum annual gage height of 8.04 ft on Shawangunk Kill at Pine Bush, NY, due to an ice jam.  The maximum annual discharge of 2,660 cfs also occurred the same day.  -- Keywords: Shawangunk Kill at Pine Bush, NY on Jan 25, 1964 [20040622164452]</t>
  </si>
  <si>
    <t xml:space="preserve">On 25 January 1964, the maximum annual gage height of 10.25 ft was recorded on Schoharie Creek at Prattsville, NY, caused by an ice jam.  Discharge for the day was 4,100 cfs.  -- Keywords: Schoharie Creek at Prattsville, NY on Jan 25, 1964 [20040622160618]</t>
  </si>
  <si>
    <t xml:space="preserve">Poesten Kill</t>
  </si>
  <si>
    <t xml:space="preserve">USGS reported "maximum (annual) gage height, about 5.2 ft (probably Jan. 25) from floodmarks (ice jam)" on Poesten Kill near Troy, NY.  Discharge for Jan 25, 1964 was 650 cfs.  -- Keywords: Poesten Kill at Troy, NY on Jan 25, 1964 [20040622161424]</t>
  </si>
  <si>
    <t xml:space="preserve">Harvard</t>
  </si>
  <si>
    <t xml:space="preserve">The maximum annual gage height of 7.63 ft on the East Branch Delaware River in Harvard, NY occurred on 25 Jan 1964 and was caused by an ice jam.  The associated discharge was 1,000 cfs.  -- Keywords: East Branch Delaware River at Harvard, NY on Jan 25, 1964 [20040628115844]</t>
  </si>
  <si>
    <t xml:space="preserve">The maximum annual gage height for 1964 of 6.42 ft on Callicoon Creek at Callicoon, NY occurred on 13 Jan 1964 and was caused by an ice jam. The associated discharge was 1,700 cfs.  -- Keywords: Callicoon Creek at Callicoon, NY on Jan 25, 1964 [20040628122058]</t>
  </si>
  <si>
    <t xml:space="preserve">1964-01-22</t>
  </si>
  <si>
    <t xml:space="preserve">The maximum annual gage height of 5.61 ft on Fishkill Creek in Hopewill Junction, NY occurred on 22 Jan 1964 and was caused by an ice jam.  The associated discharge was 300 cfs.   -- Keywords: Fishkill Creek at Hopewell Junction, NY on Jan 22, 1964 [20040628114135]</t>
  </si>
  <si>
    <t xml:space="preserve">Livingston Manor</t>
  </si>
  <si>
    <t xml:space="preserve">Willowemoc Creek</t>
  </si>
  <si>
    <t xml:space="preserve">The maximum annual gage height of 4.37 ft on Willowemoc Creek near Livingston Manor, NY occurred on 13 Jan 1964 and was caused by an ice jam.  The associated discharge was 120 cfs.  -- Keywords: Willowemoc Creek at Livingston Manor, NY on Jan 13, 1964 [20040628121223]</t>
  </si>
  <si>
    <t xml:space="preserve">1963-03-27</t>
  </si>
  <si>
    <t xml:space="preserve">The maximum annual gage height observed on Schoharie Creek at Burtonsville, NY was 5.82 ft., on 27 March 1963, caused by an ice jam.  The associated discharge of approx. 16,500 cfs was also an annual maximum.  -- Keywords: Schoharie Creek at Burtonsville, NY on Mar 27, 1963 [20040618170745]</t>
  </si>
  <si>
    <t xml:space="preserve">The maximum annual gage height observed on Otsquago Creek at Fort Plain, NY was 5.17 ft., on 27 March 1963, caused by an ice jam.  The associated discharge of 2,390 cfs was also an annual maximum.    -- Keywords: Otsquago Creek at Fort Plain, NY on Mar 27, 1963 [20040618165312]</t>
  </si>
  <si>
    <t xml:space="preserve">1963-03-18</t>
  </si>
  <si>
    <t xml:space="preserve">The maximum annual gage height observed on Wallkill River at Gardiner, NY was 14.32 ft., on 18 March 1963, caused by an ice jam.  The associated discharge was 6,000 cfs.  -- Keywords: Wallkill River at Gardiner, NY on Mar 18, 1963 [20040618174315]</t>
  </si>
  <si>
    <t xml:space="preserve">The maximum annual gage height observed on Shawangunk Kill at Pine Bush, NY was 8.58 ft., on 18 March 1963, caused by an ice jam.  The associated discharge was 1,500 cfs.  -- Keywords: Shawangunk Kill at Pine Bush, NY on Mar 18, 1963 [20040618173414]</t>
  </si>
  <si>
    <t xml:space="preserve">1962-03-13</t>
  </si>
  <si>
    <t xml:space="preserve">On the Wallkill River in Gardiner, NY, the maximum annual gage height of 17.38 ft was recorded on 13 Mar 1962, due to an ice jam.  The discharge was 6,400 cfs.  -- Keywords: Wallkill River at Gardiner, NY on Mar 13, 1962 [20040610150651]</t>
  </si>
  <si>
    <t xml:space="preserve">On the Rondout Creek at Rosendale, NY the maximum annual gage height of 13.7 ft was recorded on 13 Mar 1962, due to an ice jam.  Discharge was 3,200 cfs.   -- Keywords: Rondout Creek at Rosendale, NY on Mar 13, 1962 [20040610132631]</t>
  </si>
  <si>
    <t xml:space="preserve">Woodbourne</t>
  </si>
  <si>
    <t xml:space="preserve">On the Neversink River in Woodbourne, NY the maximum annual gage height of 3.27 ft was recorded on Mar 13, 1962, due to an ice jam.  Discharge was 100 cfs.   -- Keywords: Neversink River at Woodbourne, NY on Mar 13, 1962 [20040610155811]</t>
  </si>
  <si>
    <t xml:space="preserve">1961-02-26</t>
  </si>
  <si>
    <t xml:space="preserve">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</si>
  <si>
    <t xml:space="preserve">1961-02-25</t>
  </si>
  <si>
    <t xml:space="preserve">maximum annual gage height of 9.5 feet, affected by backwater from ice, reported at USGS gage Batten Kill at Battenville, on February 25, 1961. NWSFO/NERFC flood stage 11 ft -- Keywords: Batten Kill at Battenville, NY on Feb 25, 1961 [3632]</t>
  </si>
  <si>
    <t xml:space="preserve">maximum annual gage height of 7.16 feet, affected by backwater from ice, reported at USGS gage West Canada Creek at Kast Bridge, on February 25, 1961. Approximate discharge 8,000 cfs. -- Keywords: West Canada Creek at Kast Bridge, NY on Feb 25, 1961 [3668]</t>
  </si>
  <si>
    <t xml:space="preserve">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</si>
  <si>
    <t xml:space="preserve">maximum annual gage height of 8.28 feet, affected by backwater from ice, reported at USGS gage Sacandaga River near Hope, on February 25, 1961. -- Keywords: Sacandaga River at Hope, NY on Feb 25, 1961 [3609]</t>
  </si>
  <si>
    <t xml:space="preserve">Rossman</t>
  </si>
  <si>
    <t xml:space="preserve">maximum annual gage height of 7.26 feet, affected by backwater from ice, reported at USGS gage Kinderhook Creek at Rossman, on February 25, 1961. -- Keywords: Kinderhook Creek at Rossman, NY on Feb 25, 1961 [3716]</t>
  </si>
  <si>
    <t xml:space="preserve">1961-02-19</t>
  </si>
  <si>
    <t xml:space="preserve">Platte Kill</t>
  </si>
  <si>
    <t xml:space="preserve">maximum annual gage height of 5.16 feet, affected by backwater from ice, reported at USGS gage Platte Kill at Dunraven, on February 19, 1961. -- Keywords: Platte Kill at Dunraven, NY on Feb 19, 1961 [3794]</t>
  </si>
  <si>
    <t xml:space="preserve">maximum annual gage height of 6.38 feet, affected by backwater from ice, reported at USGS gage Little Hoosic River at Petersburg, on February 19, 1961. -- Keywords: Little Hoosic River at Petersburg, NY on Feb 19, 1961 [3651]</t>
  </si>
  <si>
    <t xml:space="preserve">1960-03-31</t>
  </si>
  <si>
    <t xml:space="preserve">Arena</t>
  </si>
  <si>
    <t xml:space="preserve">gage height of 6.79 feet, affected by backwater from ice, reported at USGS gage Mill Brook at Arena, on March 31, 1960. Discharge 1,300 cfs. -- Keywords: Mill Brook at Arena, NY on Mar 31, 1960 [3800]</t>
  </si>
  <si>
    <t xml:space="preserve">1960-02-11</t>
  </si>
  <si>
    <t xml:space="preserve">gage height of 11.75 feet, affected by backwater from ice, reported at USGS gage Schoharie Creek at Prattsville, on February 11, 1960. Discharge 12,800 cfs. NWSFO/NERFC flood stage 10 ft -- Keywords: Schoharie Creek at Prattsville, NY on Feb 11, 1960 [3691]</t>
  </si>
  <si>
    <t xml:space="preserve">discharge of 3,080 cfs due to release from upstream ice jam, reported at USGS gage Otsquago Creek at Fort Plain, on February 11, 1960. Gage height of 5.57 feet. -- Keywords: Otsquago Creek at Fort Plain, NY on Feb 11, 1960 [3679]</t>
  </si>
  <si>
    <t xml:space="preserve">1960-01-03</t>
  </si>
  <si>
    <t xml:space="preserve">gage height of 5.58 feet, affected by backwater from ice, reported at USGS gage Schoharie Creek at Burtonsville, on January 3, 1960. Discharge 17,400 cfs. NWSFO/NERFC flood stage 6 ft -- Keywords: Schoharie Creek at Burtonsville, NY on Jan 03, 1960 [3700]</t>
  </si>
  <si>
    <t xml:space="preserve">1959-04-03</t>
  </si>
  <si>
    <t xml:space="preserve">Griffin</t>
  </si>
  <si>
    <t xml:space="preserve">East Branch Sacandaga River</t>
  </si>
  <si>
    <t xml:space="preserve">maximum annual gage height of 7.46 feet, affected by backwater from ice, reported at USGS gage East Branch Sacandaga River at Griffin, on April 3, 1959. Discharge 2,290 cfs. -- Keywords: East Branch Sacandaga River at Griffin, NY on Apr 03, 1959 [3596]</t>
  </si>
  <si>
    <t xml:space="preserve">1959-03-20</t>
  </si>
  <si>
    <t xml:space="preserve">maximum annual gage height of 7.81 feet, affected by backwater from ice, reported at USGS gage Bond Creek at Dunham Basin, on March 20, 1959. -- Keywords: Bond Creek at Dunham Basin, NY on Mar 20, 1959 [3617]</t>
  </si>
  <si>
    <t xml:space="preserve">1959-03-06</t>
  </si>
  <si>
    <t xml:space="preserve">Ellenville</t>
  </si>
  <si>
    <t xml:space="preserve">Sandburg Creek</t>
  </si>
  <si>
    <t xml:space="preserve">maximum annual gage height of 5.75 feet, affected by backwater from ice, reported at USGS gage Sandburg Creek at Ellenville, on March 6, 1959. Discharge 3,120 cfs. -- Keywords: Sandburg Creek at Ellenville, NY on Mar 06, 1959 [3719]</t>
  </si>
  <si>
    <t xml:space="preserve">1959-03-01</t>
  </si>
  <si>
    <t xml:space="preserve">maximum annual gage height of 5.32 feet, affected by backwater from ice, reported at USGS gage Poesten Kill near Troy, on March 1, 1959. -- Keywords: Poesten Kill at Troy, NY on Mar 01, 1959 [3713]</t>
  </si>
  <si>
    <t xml:space="preserve">1959-02-10</t>
  </si>
  <si>
    <t xml:space="preserve">maximum annual gage height of 7.88 feet, affected by backwater from ice, reported at USGS gage Mill Brook at Arena, on February 10, 1959. -- Keywords: Mill Brook at Arena, NY on Feb 10, 1959 [3799]</t>
  </si>
  <si>
    <t xml:space="preserve">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</si>
  <si>
    <t xml:space="preserve">1959-01-22</t>
  </si>
  <si>
    <t xml:space="preserve">maximum annual gage height of 7.34 feet, affected by backwater from ice, reported at USGS gage WIllowemoc Creek near Livingston, on January 22, 1959. -- Keywords: Willowemoc Creek at Livingston Manor, NY on Jan 22, 1959 [3821]</t>
  </si>
  <si>
    <t xml:space="preserve">Unadilla</t>
  </si>
  <si>
    <t xml:space="preserve">maximum annual gage height of 13.42 feet, affected by backwater from ice, reported at USGS gage Susquehanna River at Unadilla, on January 22, 1959. Discharge 17,000 cfs. -- Keywords: Susquehanna River at Unadilla, NY on Jan 22, 1959 [3941]</t>
  </si>
  <si>
    <t xml:space="preserve">gage height of 7.53 feet, affected by backwater from ice, reported at USGS gage Shawangunk Kill at Pine Bush, on January 22, 1959. Discharge 2,100 cfs. -- Keywords: Shawangunk Kill at Pine Bush, NY on Jan 22, 1959 [3744]</t>
  </si>
  <si>
    <t xml:space="preserve">maximum annual gage height of 8.18 feet, affected by backwater from ice, reported at USGS gage Sacandaga River near Hope, on January 22, 1959. -- Keywords: Sacandaga River at Hope, NY on Jan 22, 1959 [3608]</t>
  </si>
  <si>
    <t xml:space="preserve">maximum annual gage height of 13.22 feet, affected by backwater from ice, reported at USGS gage Rondout Creek at Rosendale, on January 22, 1959. Discharge 9,100 cfs. NWSFO/NERFC flood stage 18 ft -- Keywords: Rondout Creek at Rosendale, NY on Jan 22, 1959 [3727]</t>
  </si>
  <si>
    <t xml:space="preserve">Oneonta</t>
  </si>
  <si>
    <t xml:space="preserve">Otego Creek</t>
  </si>
  <si>
    <t xml:space="preserve">maximum annual gage height of 14.46 feet, affected by backwater from ice, reported at USGS gage Otego Creek near Oneonta, on January 22, 1959. Discharge 4,200 cfs.  -- Keywords: Otego Creek at Oneonta, NY on Jan 22, 1959 [2280]</t>
  </si>
  <si>
    <t xml:space="preserve">Salt Point</t>
  </si>
  <si>
    <t xml:space="preserve">Little Wappinger Creek</t>
  </si>
  <si>
    <t xml:space="preserve">maximum annual gage height of 6.00 feet, affected by backwater from ice, reported at USGS gage Little Wappinger Creek at Salt Point, on January 22, 1959.  -- Keywords: Little Wappinger Creek at Salt Point, NY on Jan 22, 1959 [4455]</t>
  </si>
  <si>
    <t xml:space="preserve">maximum annual gage height of 10.02 feet, affected by backwater from ice, reported at USGS gage Beaver Kill near Craigie Clair, on January 22, 1959. -- Keywords: Beaver Kill at Craigie Clair, NY on Jan 22, 1959 [3818]</t>
  </si>
  <si>
    <t xml:space="preserve">Turnwood</t>
  </si>
  <si>
    <t xml:space="preserve">maximum annual gage height of 6.97 feet, affected by backwater from ice, reported at USGS gage Beaver Kill near Turnwood, on January 22, 1959. -- Keywords: Beaver Kill at Turnwood, NY on Jan 22, 1959 [3815]</t>
  </si>
  <si>
    <t xml:space="preserve">maximum annual gage height of 15.60 feet, affected by backwater from ice, reported at USGS gage Batten Kill at Battenville, on January 22, 1959. Discharge 8,640 cfs. NWSFO/NERFC flood stage 11 ft -- Keywords: Batten Kill at Battenville, NY on Jan 22, 1959 [3631]</t>
  </si>
  <si>
    <t xml:space="preserve">1959-01-21</t>
  </si>
  <si>
    <t xml:space="preserve">East Sidney</t>
  </si>
  <si>
    <t xml:space="preserve">Ouleout Creek</t>
  </si>
  <si>
    <t xml:space="preserve">maximum annual gage height of 4.12 feet, affected by backwater from ice, reported at USGS gage Ouleout Creek at East Sidney, on January 21, 1959. -- Keywords: Ouleout Creek at East Sidney, NY on Jan 21, 1959 [3939]</t>
  </si>
  <si>
    <t xml:space="preserve">Little Beaver Kill</t>
  </si>
  <si>
    <t xml:space="preserve">maximum annual gage height of 5.15 feet, affected by backwater from ice, reported at USGS gage Little Beaver Kill near Livingston, on January 21, 1959. -- Keywords: Little Beaver Kill at Livingston Manor, NY on Jan 21, 1959 [3823]</t>
  </si>
  <si>
    <t xml:space="preserve">maximum annual gage height of 7.00 feet, affected by backwater from ice, reported at USGS gage Kinderhook Creek at Rossman, on January 21, 1959. -- Keywords: Kinderhook Creek at Rossman, NY on Jan 21, 1959 [3715]</t>
  </si>
  <si>
    <t xml:space="preserve">maximum annual gage height of 13.90 feet, affected by backwater from ice, reported at USGS gage Hoosic River near Eagle Bridge, on January 21, 1959. NWSFO/NERFC flood stage 11 ft -- Keywords: Hoosic River at Eagle Bridge, NY on Jan 21, 1959 [3657]</t>
  </si>
  <si>
    <t xml:space="preserve">1958-02-01</t>
  </si>
  <si>
    <t xml:space="preserve">maximum annual gage height of 6.99 feet, affected by backwater from ice, reported at USGS gage West Canada Creek at Kast Bridge, in February 1958. -- Keywords: West Canada Creek at Kast Bridge, NY on Feb ?, 1958 [3667]</t>
  </si>
  <si>
    <t xml:space="preserve">1958-01-28</t>
  </si>
  <si>
    <t xml:space="preserve">maximum annual gage height of 4.69 feet, affected by backwater from ice, reported at USGS gage Kayaderosseras Creek near West Milton, on January 28, 1958. -- Keywords: Kayaderosseras Creek at West Milton, NY on Jan 28, 1958 [3641]</t>
  </si>
  <si>
    <t xml:space="preserve">1958-01-26</t>
  </si>
  <si>
    <t xml:space="preserve">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</si>
  <si>
    <t xml:space="preserve">1957-12-21</t>
  </si>
  <si>
    <t xml:space="preserve">maximum annual gage height of 6.1 feet, affected by backwater from ice, reported at USGS gage Sandburg Creek at Ellenville, on December 21, 1957. Discharge 3,570 cfs. -- Keywords: Sandburg Creek at Ellenville, NY on Dec 21, 1957 [3718]</t>
  </si>
  <si>
    <t xml:space="preserve">1957-02-26</t>
  </si>
  <si>
    <t xml:space="preserve">maximum annual gage height of 5.90 feet, affected by backwater from ice, reported at USGS gage Otsquago Creek at Fort Plain, on February 26, 1957. -- Keywords: Otsquago Creek at Fort Plain, NY on Feb 26, 1957 [3678]</t>
  </si>
  <si>
    <t xml:space="preserve">1957-01-23</t>
  </si>
  <si>
    <t xml:space="preserve">maximum annual gage height of 4.75 feet, affected by backwater from ice, reported at USGS gage Willowemoc Creek near Livingston Manor, on January 23, 1957. -- Keywords: Willowemoc Creek at Livingston Manor, NY on Jan 23, 1957 [3820]</t>
  </si>
  <si>
    <t xml:space="preserve">maximum annual gage height of 10.46 feet, affected by backwater from ice, reported at USGS gage Wallkill River at Gardiner, on January 23, 1957. NWSFO/NERFC flood stage 15 ft  -- Keywords: Wallkill River at Gardiner, NY on Jan 23, 1957 [4476]</t>
  </si>
  <si>
    <t xml:space="preserve">Rockdale</t>
  </si>
  <si>
    <t xml:space="preserve">Unadilla River</t>
  </si>
  <si>
    <t xml:space="preserve">maximum annual gage height of 8.39 feet, affected by backwater from ice, reported at USGS gage Unadilla River at Rockdale, on January 23, 1957. Discharge "estimated" 6,000 cfs. -- Keywords: Unadilla River at Rockdale, NY on Jan 23, 1957 [3944]</t>
  </si>
  <si>
    <t xml:space="preserve">maximum annual gage height of 4.69 feet, affected by backwater from ice, reported at USGS gage Schoharie Creek at Burtonsville, on January 23, 1957. Discharge 11,600 cfs. NWSFO/NERFC flood stage 6 ft -- Keywords: Schoharie Creek at Burtonsville, NY on Jan 23, 1957 [3699]</t>
  </si>
  <si>
    <t xml:space="preserve">maximum annual gage height of 8.52 feet, affected by backwater from ice, reported at USGS gage Schoharie Creek at Prattsville, on January 23, 1957. NWSFO/NERFC flood stage 10 ft -- Keywords: Schoharie Creek at Prattsville, NY on Jan 23, 1957 [3690]</t>
  </si>
  <si>
    <t xml:space="preserve">maximum annual gage height of 8.15 feet, affected by backwater from ice, reported at USGS gage Sacandaga River near Hope, on January 23, 1957. -- Keywords: Sacandaga River at Hope, NY on Jan 23, 1957 [3607]</t>
  </si>
  <si>
    <t xml:space="preserve">Index</t>
  </si>
  <si>
    <t xml:space="preserve">Oaks Creek</t>
  </si>
  <si>
    <t xml:space="preserve">maximum annual gage height of 5.06 feet, affected by backwater from ice, reported at USGS gage Oaks Creek at Index, on January 23, 1957. Discharge 800 cfs. -- Keywords: Oaks Creek at Index, NY on Jan 23, 1957 [3938]</t>
  </si>
  <si>
    <t xml:space="preserve">maximum annual gage height of 15.34 feet, affected by backwater from ice, reported at USGS gage Mohawk River near Little Falls, on January 23, 1957. NWSFO/NERFC flood stage 15 ft -- Keywords: Mohawk River at Little Falls, NY on Jan 23, 1957 [3669]</t>
  </si>
  <si>
    <t xml:space="preserve">maximum annual gage height of 5.46 feet, affected by backwater from ice, reported at USGS gage Kayaderosseras Creek near West Milton, on January 23, 1957. -- Keywords: Kayaderosseras Creek at West Milton, NY on Jan 23, 1957 [3640]</t>
  </si>
  <si>
    <t xml:space="preserve">maximum annual gage height of 11.49 feet, affected by backwater from ice, reported at USGS gage Hoosic River near Eagle Bridge, on January 23, 1957. NWSFO/NERFC flood stage 11 ft -- Keywords: Hoosic River at Eagle Bridge, NY on Jan 23, 1957 [3656]</t>
  </si>
  <si>
    <t xml:space="preserve">maximum annual gage height of 7.70 feet, affected by backwater from ice, reported at USGS gage East Branch Sacandaga River at Griffin, on January 23, 1957. -- Keywords: East Branch Sacandaga River at Griffin, NY on Jan 23, 1957 [3595]</t>
  </si>
  <si>
    <t xml:space="preserve">Cooks Falls</t>
  </si>
  <si>
    <t xml:space="preserve">maximum annual gage height of 8.09 feet, affected by backwater from ice, reported at USGS gage Beaver Kill at Cooks Falls, on January 23, 1957. -- Keywords: Beaver Kill at Cooks Falls, NY on Jan 23, 1957 [3827]</t>
  </si>
  <si>
    <t xml:space="preserve">maximum annual gage height of 7.72 feet, affected by backwater from ice, reported at USGS gage Beaver Kill near Craigie Clair, on January 23, 1957. -- Keywords: Beaver Kill at Craigie Clair, NY on Jan 23, 1957 [3817]</t>
  </si>
  <si>
    <t xml:space="preserve">maximum annual gage height of 6.17 feet, affected by backwater from ice, reported at USGS gage Beaver Kill near Turnwood, on January 23, 1957. -- Keywords: Beaver Kill at Turnwood, NY on Jan 23, 1957 [3814]</t>
  </si>
  <si>
    <t xml:space="preserve">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</si>
  <si>
    <t xml:space="preserve">1957-01-22</t>
  </si>
  <si>
    <t xml:space="preserve">maximum annual gage height of 5.31 feet, affected by backwater from ice, reported at USGS gage Platte Kill at Dunraven, on January 22, 1957. -- Keywords: Platte Kill at Dunraven, NY on Jan 22, 1957 [3793]</t>
  </si>
  <si>
    <t xml:space="preserve">1956-04-04</t>
  </si>
  <si>
    <t xml:space="preserve">Rock Royal</t>
  </si>
  <si>
    <t xml:space="preserve">Trout Creek</t>
  </si>
  <si>
    <t xml:space="preserve">maximum annual gage height of 5.85 feet, affected by backwater from ice, reported at USGS gage Trout Creek near Rock Royal, on April 4, 1956. -- Keywords: Trout Creek at Rock Royal, NY on Apr 04, 1956 [3841]</t>
  </si>
  <si>
    <t xml:space="preserve">1956-01-10</t>
  </si>
  <si>
    <t xml:space="preserve">maximum annual gage height of 10.75 feet, affected by backwater from ice, reported at USGS gage Batten Kill at Battenville, on January 10, 1956. NWSFO/NERFC flood stage 11 ft -- Keywords: Batten Kill at Battenville, NY on Jan 10, 1956 [3629]</t>
  </si>
  <si>
    <t xml:space="preserve">1955-03-11</t>
  </si>
  <si>
    <t xml:space="preserve">Glowegee Creek</t>
  </si>
  <si>
    <t xml:space="preserve">gage height of 5.98 feet, affected by backwater from ice, reported at USGS gage Glowegee Creek at West Milton, on March 11, 1955. Discharge 575 cfs. -- Keywords: Glowegee Creek at West Milton, NY on Mar 11, 1955 [3634]</t>
  </si>
  <si>
    <t xml:space="preserve">1955-03-01</t>
  </si>
  <si>
    <t xml:space="preserve">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</si>
  <si>
    <t xml:space="preserve">maximum annual gage height of 5.87 feet, affected by backwater from ice, reported at USGS gage Kayaderosseras Creek near West Milton, on March 1, 1955. -- Keywords: Kayaderosseras Creek at West Milton, NY on Mar 01, 1955 [3639]</t>
  </si>
  <si>
    <t xml:space="preserve">1955-02-23</t>
  </si>
  <si>
    <t xml:space="preserve">maximum annual gage height of 10.48 feet, affected by backwater from ice, reported at USGS gage Batten Kill at Battenville, on February 23, 1955. NWSFO/NERFC flood stage 11 ft -- Keywords: Batten Kill at Battenville, NY on Feb 23, 1955 [3628]</t>
  </si>
  <si>
    <t xml:space="preserve">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</si>
  <si>
    <t xml:space="preserve">1955-02-11</t>
  </si>
  <si>
    <t xml:space="preserve">Cannonsville</t>
  </si>
  <si>
    <t xml:space="preserve">maximum annual gage height of 7.01 feet, affected by backwater from ice, reported at USGS gage Trout Creek at Cannonsville, on February 11, 1955. -- Keywords: Trout Creek at Cannonsville, NY on Feb 11, 1955 [3844]</t>
  </si>
  <si>
    <t xml:space="preserve">1955-02-07</t>
  </si>
  <si>
    <t xml:space="preserve">maximum annual gage height of 13.19 feet, affected by backwater from ice, reported at USGS gage Hoosic River near Eagle Bridge, on February 7, 1955. NWSFO/NERFC flood stage 11 ft -- Keywords: Hoosic River at Eagle Bridge, NY on Feb 07, 1955 [3655]</t>
  </si>
  <si>
    <t xml:space="preserve">maximum annual gage height of 5.67 feet, affected by backwater from ice, reported at USGS gage Little Hoosic River at Petersburg, on February 7, 1955. -- Keywords: Little Hoosic River at Petersburg, NY on Feb 07, 1955 [3650]</t>
  </si>
  <si>
    <t xml:space="preserve">1954-02-18</t>
  </si>
  <si>
    <t xml:space="preserve">maximum annual gage height of 5.06 feet, affected by backwater from ice, reported at USGS gage Kayaderosseras Creek near West Milton, on February 18, 1954. -- Keywords: Kayaderosseras Creek at West Milton, NY on Feb 18, 1954 [3638]</t>
  </si>
  <si>
    <t xml:space="preserve">1954-02-17</t>
  </si>
  <si>
    <t xml:space="preserve">maximum annual gage height of 9.21 feet, affected by backwater from ice, reported at USGS gage Batten Kill at Battenville, on February 17, 1954. NWSFO/NERFC flood stage 11 ft -- Keywords: Batten Kill at Battenville, NY on Feb 17, 1954 [3627]</t>
  </si>
  <si>
    <t xml:space="preserve">maximum annual gage height of 8.04 feet, affected by backwater from ice, reported at USGS gage Sacandaga River near Hope, on February 17, 1954. -- Keywords: Sacandaga River at Hope, NY on Feb 17, 1954 [3605]</t>
  </si>
  <si>
    <t xml:space="preserve">maximum annual gage height of 5.33 feet, affected by backwater from ice, reported at USGS gage Oaks Creek at Index, on February 17, 1954. Discharge 1,100 cfs. -- Keywords: Oaks Creek at Index, NY on Feb 17, 1954 [3937]</t>
  </si>
  <si>
    <t xml:space="preserve">maximum annual gage height of 7.78 feet, affected by backwater from ice, reported at USGS gage Bond Creek at Dunham Basin, on February 17, 1954. -- Keywords: Bond Creek at Dunham Basin, NY on Feb 17, 1954 [3616]</t>
  </si>
  <si>
    <t xml:space="preserve">1954-01-27</t>
  </si>
  <si>
    <t xml:space="preserve">maximum annual gage height of 9.63 feet, affected by backwater from ice, reported at USGS gage Beaver Kill at Cooks Falls, on January 27, 1954. -- Keywords: Beaver Kill at Cooks Falls, NY on Jan 27, 1954 [3826]</t>
  </si>
  <si>
    <t xml:space="preserve">maximum annual gage height of 4.46 feet, affected by backwater from ice, reported at USGS gage Willowemoc Creek near Livingston Manor, on January 27, 1954. -- Keywords: Willowemoc Creek at Livingston Manor, NY on Jan 27, 1954 [3819]</t>
  </si>
  <si>
    <t xml:space="preserve">maximum annual gage height of 4.62 feet, affected by backwater from ice, reported at USGS gage Callicoon Creek at Callicoon, on January 27, 1954. -- Keywords: Callicoon Creek at Callicoon, NY on Jan 27, 1954 [3857]</t>
  </si>
  <si>
    <t xml:space="preserve">1952-01-27</t>
  </si>
  <si>
    <t xml:space="preserve">gage height of 4.48 feet, affected by backwater from ice, reported at USGS gage Schoharie Creek at Burtonsville, on January 27, 1952. Discharge 10,000 cfs. NWSFO/NERFC flood stage 6 ft -- Keywords: Schoharie Creek at Burtonsville, NY on Jan 27, 1952 [3698]</t>
  </si>
  <si>
    <t xml:space="preserve">1952-01-01</t>
  </si>
  <si>
    <t xml:space="preserve">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</si>
  <si>
    <t xml:space="preserve">1951-12-26</t>
  </si>
  <si>
    <t xml:space="preserve">maximum annual gage height of 5.49 feet, affected by backwater from ice, reported at USGS gage Little Beaver Kill near Livingston Manor, on December 26, 1951. -- Keywords: Little Beaver Kill at Livingston Manor, NY on Dec 26, 1951 [3822]</t>
  </si>
  <si>
    <t xml:space="preserve">1951-12-22</t>
  </si>
  <si>
    <t xml:space="preserve">maximum annual gage height of 8.38 feet, affected by backwater from ice, reported at USGS gage Batten Kill at Battenville, on December 22, 1951. NWSFO/NERFC flood stage 11 ft -- Keywords: Batten Kill at Battenville, NY on Dec 22, 1951 [3626]</t>
  </si>
  <si>
    <t xml:space="preserve">1951-12-21</t>
  </si>
  <si>
    <t xml:space="preserve">maximum annual gage height of 14.92 feet, affected by backwater from ice, reported at USGS gage Schoharie Creek at Prattsville, on December 21, 1951. NWSFO/NERFC flood stage 10 ft -- Keywords: Schoharie Creek at Prattsville, NY on Dec 21, 1951 [3689]</t>
  </si>
  <si>
    <t xml:space="preserve">1951-02-07</t>
  </si>
  <si>
    <t xml:space="preserve">maximum annual gage height of 6.47 feet, affected by backwater from ice, reported at USGS gage Bond Creek at Dunham Basin, on February 7, 1951. -- Keywords: Bond Creek at Dunham Basin, NY on Feb 07, 1951 [3615]</t>
  </si>
  <si>
    <t xml:space="preserve">1951-02-01</t>
  </si>
  <si>
    <t xml:space="preserve">gage height of 12.28 feet, affected by backwater from ice, reported at USGS gage Schoharie Creek at Prattsville, on February 1, 1951. NWSFO/NERFC flood stage 10 ft -- Keywords: Schoharie Creek at Prattsville, NY on Feb 01, 1951 [3688]</t>
  </si>
  <si>
    <t xml:space="preserve">1951-01-05</t>
  </si>
  <si>
    <t xml:space="preserve">maximum annual gage height of 12.08 feet, affected by backwater from ice, reported at USGS gage Wallkill River at Gardiner, on January 5, 1951. NWSFO/NERFC flood stage 15 ft  -- Keywords: Wallkill River at Gardiner, NY on Jan 05, 1951 [4475]</t>
  </si>
  <si>
    <t xml:space="preserve">1951-01-04</t>
  </si>
  <si>
    <t xml:space="preserve">gage height of 4.64 feet, affected by backwater from ice, reported at USGS gage Schoharie Creek at Burtonsville, on January 4, 1951. Discharge 8,600 cfs. NWSFO/NERFC flood stage 6 ft -- Keywords: Schoharie Creek at Burtonsville, NY on Jan 04, 1951 [3697]</t>
  </si>
  <si>
    <t xml:space="preserve">1950-03-09</t>
  </si>
  <si>
    <t xml:space="preserve">maximum annual gage height of 6.20 feet, affected by backwater from ice, reported at USGS gage West Branch Delaware River at Delhi, on March 9, 1950. Discharge 2,800 cfs. -- Keywords: West Branch Delaware River at Delhi, NY on Mar 09, 1950 [3834]</t>
  </si>
  <si>
    <t xml:space="preserve">maximum annual gage height of 10.94 feet, affected by backwater from ice, reported at USGS gage Wallkill River at Gardiner, on March 9, 1950. NWSFO/NERFC flood stage 15 ft  -- Keywords: Wallkill River at Gardiner, NY on Mar 09, 1950 [4474]</t>
  </si>
  <si>
    <t xml:space="preserve">maximum annual gage height of 12.96 feet, affected by backwater from ice, reported at USGS gage East Branch Delaware River at Harvard, on March 9, 1950. -- Keywords: East Branch Delaware River at Harvard, NY on Mar 09, 1950 [3813]</t>
  </si>
  <si>
    <t xml:space="preserve">1950-03-08</t>
  </si>
  <si>
    <t xml:space="preserve">gage height of 4.91 feet, affected by backwater from ice, reported at USGS gage Poesten Kill near Troy, on March 8, 1950. -- Keywords: Poesten Kill at Troy, NY on Mar 08, 1950 [3712]</t>
  </si>
  <si>
    <t xml:space="preserve">gage height of 5.18 feet, affected by backwater from ice, reported at USGS gage Platte Kill at Dunraven, on March 8, 1950. Discharge 1,000 cfs. -- Keywords: Platte Kill at Dunraven, NY on Mar 08, 1950 [3792]</t>
  </si>
  <si>
    <t xml:space="preserve">maximum annual gage height of 6.21 feet, affected by backwater from ice, reported at USGS gage Mill Brook at Arena, on March 8, 1950. -- Keywords: Mill Brook at Arena, NY on Mar 08, 1950 [3798]</t>
  </si>
  <si>
    <t xml:space="preserve">1950-01-26</t>
  </si>
  <si>
    <t xml:space="preserve">gage height of 4.29 feet, affected by backwater from ice, reported at USGS gage Glowegee Creek at West Milton, on January 26, 1950. Discharge 401 cfs. -- Keywords: Glowegee Creek at West Milton, NY on Jan 26, 1950 [3633]</t>
  </si>
  <si>
    <t xml:space="preserve">1948-03-23</t>
  </si>
  <si>
    <t xml:space="preserve">maximum annual gage height of 11.98 feet, affected by backwater from ice, reported at USGS gage Hudson River at Hadley, on March 23, 1948. NWSFO/NERFC flood stage 14 ft -- Keywords: Hudson River at Hadley, NY on Mar 23, 1948 [3594]</t>
  </si>
  <si>
    <t xml:space="preserve">maximum annual gage height of 13.89 feet, affected by backwater from ice, reported at USGS gage Wallkill River at Gardiner, on March 17, 1948. NWSFO/NERFC flood stage 15 ft  -- Keywords: Wallkill River at Gardiner, NY on Mar 17, 1948 [4473]</t>
  </si>
  <si>
    <t xml:space="preserve">maximum annual gage height of 6.97 feet, affected by backwater from ice, reported at USGS gage Kinderhook Creek at Rossman, on March 17, 1948. -- Keywords: Kinderhook Creek at Rossman, NY on Mar 17, 1948 [3714]</t>
  </si>
  <si>
    <t xml:space="preserve">1948-03-16</t>
  </si>
  <si>
    <t xml:space="preserve">maximum annual gage height of 9.68 feet, affected by backwater from ice, reported at USGS gage Beaver Kill at Craigie Clair, on March 16, 1948. -- Keywords: Beaver Kill at Craigie Clair, NY on Mar 16, 1948 [3816]</t>
  </si>
  <si>
    <t xml:space="preserve">maximum annual gage height of 6.44 feet, affected by backwater from ice, reported at USGS gage Schoharie Creek at Burtonsville, on March 16, 1948. NWSFO/NERFC flood stage 6 ft -- Keywords: Schoharie Creek at Burtonsville, NY on Mar 16, 1948 [3696]</t>
  </si>
  <si>
    <t xml:space="preserve">maximum annual gage height of 13.42 feet, affected by backwater from ice, reported at USGS gage Rondout Creek at Rosendale, on March 16, 1948. NWSFO/NERFC flood stage 18 ft -- Keywords: Rondout Creek at Rosendale, NY on Mar 16, 1948 [3726]</t>
  </si>
  <si>
    <t xml:space="preserve">gage height of 5.32 feet, affected by backwater from ice, reported at USGS gage Platte Kill at Dunraven, on March 16, 1948. Discharge 1,060 cfs. -- Keywords: Platte Kill at Dunraven, NY on Mar 16, 1948 [3791]</t>
  </si>
  <si>
    <t xml:space="preserve">1948-02-20</t>
  </si>
  <si>
    <t xml:space="preserve">gage height of 12.12 feet, affected by backwater from ice, reported at USGS gage East Branch Delaware River at Harvard, on February 20, 1948. Discharge 11,900 cfs. -- Keywords: East Branch Delaware River at Harvard, NY on Feb 20, 1948 [3812]</t>
  </si>
  <si>
    <t xml:space="preserve">1948-02-14</t>
  </si>
  <si>
    <t xml:space="preserve">maximum annual gage height of 3.26 feet, affected by backwater from ice, reported at USGS gage Chestnut Creek at Grahamsville, on February 14, 1948. -- Keywords: Chestnut Creek at Grahamsville, NY on Feb 14, 1948 [3717]</t>
  </si>
  <si>
    <t xml:space="preserve">maximum annual gage height of 9.49 feet, affected by backwater from ice, reported at USGS gage Schoharie Creek at Prattsville, on February 14, 1948. NWSFO/NERFC flood stage 10 ft -- Keywords: Schoharie Creek at Prattsville, NY on Feb 14, 1948 [3687]</t>
  </si>
  <si>
    <t xml:space="preserve">Curry</t>
  </si>
  <si>
    <t xml:space="preserve">maximum annual gage height of 7.01 feet, affected by backwater from ice, reported at USGS gage Neversink River at Halls Mills, near Curry, on February 14, 1948. -- Keywords: Neversink River at Curry, NY on Feb 14, 1948 [3866]</t>
  </si>
  <si>
    <t xml:space="preserve">Pepacton</t>
  </si>
  <si>
    <t xml:space="preserve">Coles Clove Kill</t>
  </si>
  <si>
    <t xml:space="preserve">gage height of 6.00 feet, affected by backwater from ice, reported at USGS gage Coles Clove Kill near Pepacton, on February 14, 1948. -- Keywords: Coles Clove Kill at Pepacton, NY on Feb 14, 1948 [3805]</t>
  </si>
  <si>
    <t xml:space="preserve">1947-03-14</t>
  </si>
  <si>
    <t xml:space="preserve">maximum annual gage height of 11.08 feet, affected by backwater from ice, reported at USGS gage East Branch Delaware River at Harvard, on March 14, 1947. -- Keywords: East Branch Delaware River at Harvard, NY on Mar 14, 1947 [3811]</t>
  </si>
  <si>
    <t xml:space="preserve">gage height of 6.94 feet, affected by backwater from ice, reported at USGS gage Schoharie Creek at Prattsville, on March 14, 1947. Discharge 5,000 cfs. NWSFO/NERFC flood stage 10 ft -- Keywords: Schoharie Creek at Prattsville, NY on Mar 14, 1947 [3686]</t>
  </si>
  <si>
    <t xml:space="preserve">gage height of 5.09 feet, affected by backwater from ice, reported at USGS gage Platte Kill at Dunraven, on March 14, 1947. Discharge 900 cfs. -- Keywords: Platte Kill at Dunraven, NY on Mar 14, 1947 [3790]</t>
  </si>
  <si>
    <t xml:space="preserve">maximum annual gage height of 7.44 feet, affected by backwater from ice, reported at USGS gage Little Delaware River near Delhi, on March 14, 1947. -- Keywords: Little Delaware River at Delhi, NY on Mar 14, 1947 [3840]</t>
  </si>
  <si>
    <t xml:space="preserve">1947-01-20</t>
  </si>
  <si>
    <t xml:space="preserve">maximum annual gage height of 7.25 feet, affected by backwater from ice, reported at USGS gage Poesten Kill near Troy, on January 20, 1947. -- Keywords: Poesten Kill at Troy, NY on Jan 20, 1947 [3711]</t>
  </si>
  <si>
    <t xml:space="preserve">1947-01-19</t>
  </si>
  <si>
    <t xml:space="preserve">On January 19, 1947 the Unadilla River at Rockdale, New York was recorded at 5.2 feet due to an ice gorge above the gage. Flood stage is 11 feet.    -- Keywords: Unadilla River at Rockdale, NY on Jan 19, 1947 [20020104082339]</t>
  </si>
  <si>
    <t xml:space="preserve">1947-01-16</t>
  </si>
  <si>
    <t xml:space="preserve">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</si>
  <si>
    <t xml:space="preserve">1946-03-09</t>
  </si>
  <si>
    <t xml:space="preserve">Broadalbin</t>
  </si>
  <si>
    <t xml:space="preserve">Kennyetto Creek</t>
  </si>
  <si>
    <t xml:space="preserve">maximum annual gage height of 5.27 feet, affected by backwater from ice, reported at USGS gage Kennyetto Creek near Broadalbin, on March 9, 1946. -- Keywords: Kennyetto Creek at Broadalbin, NY on Mar 09, 1946 [3614]</t>
  </si>
  <si>
    <t xml:space="preserve">1946-03-08</t>
  </si>
  <si>
    <t xml:space="preserve">maximum annual gage height of 4.67 feet, affected by backwater from ice, reported at USGS gage Poesten Kill, on March 7, 1946. Discharge 1,710 cfs. -- Keywords: Poesten Kill at Troy, NY on Mar 08, 1946 [3710]</t>
  </si>
  <si>
    <t xml:space="preserve">maximum annual gage height of 10.28 feet, affected by backwater from ice, reported at USGS gage Sacandaga River near Hope, on March 8, 1946. -- Keywords: Sacandaga River at Hope, NY on Mar 08, 1946 [3604]</t>
  </si>
  <si>
    <t xml:space="preserve">1946-03-01</t>
  </si>
  <si>
    <t xml:space="preserve">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</si>
  <si>
    <t xml:space="preserve">1946-02-28</t>
  </si>
  <si>
    <t xml:space="preserve">maximum annual gage height of 6.62 feet, affected by backwater from ice, reported at USGS gage Coles Clove Kill near Pepacton, on February 28, 1946. -- Keywords: Coles Clove Kill at Pepacton, NY on Feb 28, 1946 [3804]</t>
  </si>
  <si>
    <t xml:space="preserve">maximum annual gage height of 7.11 feet, affected by backwater from ice, reported at USGS gage Trout Creek at Cannonsville, on February 28, 1946. -- Keywords: Trout Creek at Cannonsville, NY on Feb 28, 1946 [3843]</t>
  </si>
  <si>
    <t xml:space="preserve">1946-02-27</t>
  </si>
  <si>
    <t xml:space="preserve">Terry Clove Kill</t>
  </si>
  <si>
    <t xml:space="preserve">maximum annual gage height of 3.25 feet, affected by backwater from ice, reported at USGS gage Terry Clove Kill near Pepacton, on February 27, 1946. -- Keywords: Terry Clove Kill at Pepacton, NY on Feb 27, 1946 [3803]</t>
  </si>
  <si>
    <t xml:space="preserve">1946-02-14</t>
  </si>
  <si>
    <t xml:space="preserve">maximum annual gage height of 5.48 feet, affected by backwater from ice, reported at USGS gage Callicoon Creek at Callicoon, on February 14, 1946. -- Keywords: Callicoon Creek at Callicoon, NY on Feb 14, 1946 [3856]</t>
  </si>
  <si>
    <t xml:space="preserve">1946-01-06</t>
  </si>
  <si>
    <t xml:space="preserve">maximum annual gage height of 14.66 feet, affected by backwater from ice, reported at USGS gage Schoharie Creek at Prattsville, on January 6, 1946. NWSFO/NERFC flood stage 10 ft -- Keywords: Schoharie Creek at Prattsville, NY on Jan 06, 1946 [3685]</t>
  </si>
  <si>
    <t xml:space="preserve">maximum annual gage height of 10.83 feet, affected by backwater from ice, reported at USGS gage East Branch Delaware River at Harvard, on January 6, 1946. Discharge 9,350 cfs. -- Keywords: East Branch Delaware River at Harvard, NY on Jan 06, 1946 [3810]</t>
  </si>
  <si>
    <t xml:space="preserve">1946-01-01</t>
  </si>
  <si>
    <t xml:space="preserve">Weather Bureau reports ice jam upstream from gage Susquehanna River at Unadilla on January 1, 1946. STage 4.2 feet, flood stage 11 feet. -- Keywords: Susquehanna River at Unadilla, NY on Jan 01, 1946 [3940]</t>
  </si>
  <si>
    <t xml:space="preserve">1945-12-26</t>
  </si>
  <si>
    <t xml:space="preserve">maximum annual gage height of 13.82 feet, affected by backwater from ice, reported at USGS gage East Branch Delaware River at Fishs Eddy, on December 26, 1945. -- Keywords: East Branch Delaware River at Fishs Eddy, NY on Dec 26, 1945 [3833]</t>
  </si>
  <si>
    <t xml:space="preserve">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</si>
  <si>
    <t xml:space="preserve">1945-03-07</t>
  </si>
  <si>
    <t xml:space="preserve">maximum annual gage height of 18.83 feet, affected by backwater from ice, reported at USGS gage Wallkill River at Gardiner, on March 7, 1945. NWSFO/NERFC flood stage 15 ft    -- Keywords: Wallkill River at Gardiner, NY on Mar 07, 1945 [4471]</t>
  </si>
  <si>
    <t xml:space="preserve">1945-03-04</t>
  </si>
  <si>
    <t xml:space="preserve">maximum annual gage height of 13.29 feet, affected by backwater from ice, reported at USGS gage Rondout Creek at Rosendale, on March 3, 1945. NWSFO/NERFC flood stage 18 ft -- Keywords: Rondout Creek at Rosendale, NY on Mar 04, 1945 [3725]</t>
  </si>
  <si>
    <t xml:space="preserve">1945-03-01</t>
  </si>
  <si>
    <t xml:space="preserve">maximum annual gage height of 8.21 feet, affected by backwater from ice, reported at USGS gage Batten Kill at Battenville, on March 1, 1945. NWSFO/NERFC flood stage 11 ft -- Keywords: Batten Kill at Battenville, NY on Mar 01, 1945 [3625]</t>
  </si>
  <si>
    <t xml:space="preserve">1945-02-27</t>
  </si>
  <si>
    <t xml:space="preserve">maximum annual gage height of 12.74 feet, affected by backwater from ice, reported at USGS gage East Branch Delaware River at Harvard, on February 27, 1945. Discharge 14,800 cfs. -- Keywords: East Branch Delaware River at Harvard, NY on Feb 27, 1945 [3809]</t>
  </si>
  <si>
    <t xml:space="preserve">maximum annual gage height of 4.98 feet, affected by backwater from ice, reported at USGS gage Schoharie Creek at Burtonsville, on February 27, 1945. NWSFO/NERFC flood stage 6 ft -- Keywords: Schoharie Creek at Burtonsville, NY on Feb 27, 1945 [3695]</t>
  </si>
  <si>
    <t xml:space="preserve">1945-02-23</t>
  </si>
  <si>
    <t xml:space="preserve">maximum annual gage height of 4.0 feet, affected by backwater from ice, reported at USGS gage Kennyetto Creek near Broadalbin, on February 23, 1945. -- Keywords: Kennyetto Creek at Broadalbin, NY on Feb 23, 1945 [3613]</t>
  </si>
  <si>
    <t xml:space="preserve">1945-02-22</t>
  </si>
  <si>
    <t xml:space="preserve">maximum annual gage height of 6.18 feet, affected by backwater from ice, reported at USGS gage Platte Kill at Dunraven, on February 22, 1945. Additional ice-affected gage height of 5.60 feet, reported on January 1, 1945. -- Keywords: Platte Kill at Dunraven, NY on Feb 22, 1945 [3789]</t>
  </si>
  <si>
    <t xml:space="preserve">maximum annual gage height of 5.98 feet, affected by backwater from ice, reported at USGS gage Little Delaware River near Delhi, on February 22, 1945. -- Keywords: Little Delaware River at Delhi, NY on Feb 22, 1945 [3839]</t>
  </si>
  <si>
    <t xml:space="preserve">1945-01-02</t>
  </si>
  <si>
    <t xml:space="preserve">Weather Bureau reports ice jam downstream from gage Susquehanna River at Bainbridge on Janaury 2 through 31, 1945. Peak stage 12.1 ft on January 4 and 5. Flood stage 12 ft. -- Keywords: Susquehanna River at Bainbridge, NY on Jan 02, 1945 [3949]</t>
  </si>
  <si>
    <t xml:space="preserve">1945-01-01</t>
  </si>
  <si>
    <t xml:space="preserve">maximum annual gage height of 8.68 feet, affected by backwater from ice, reported at USGS gage Mill Brook at Arena, on January 1, 1945. -- Keywords: Mill Brook at Arena, NY on Jan 01, 1945 [3797]</t>
  </si>
  <si>
    <t xml:space="preserve">Shavertown</t>
  </si>
  <si>
    <t xml:space="preserve">maximum annual gage height of 3.92 feet, affected by backwater from ice, reported at USGS gage Tremper Kill near Shavertown, on January 1, 1945. -- Keywords: Tremper Kill at Shavertown, NY on Jan 01, 1945 [3802]</t>
  </si>
  <si>
    <t xml:space="preserve">gage height of 6.12 feet, affected by backwater from ice, reported at USGS gage Schoharie Creek at Prattsville, on January 1, 1945. Discharge 5,740 cfs. NWSFO/NERFC flood stage 10 ft -- Keywords: Schoharie Creek at Prattsville, NY on Jan 01, 1945 [3684]</t>
  </si>
  <si>
    <t xml:space="preserve">1944-03-25</t>
  </si>
  <si>
    <t xml:space="preserve">maximum annual gage height of 7.68 feet, affected by backwater from ice, reported at USGS gage Sacandaga River near Hope, on March 25, 1944. -- Keywords: Sacandaga River at Hope, NY on Mar 25, 1944 [3603]</t>
  </si>
  <si>
    <t xml:space="preserve">1944-03-17</t>
  </si>
  <si>
    <t xml:space="preserve">maximum annual gage height of 11.66 feet, affected by backwater from ice, reported at USGS gage Beaver Kill at Cooks Falls, on March 17, 1944. -- Keywords: Beaver Kill at Cooks Falls, NY on Mar 17, 1944 [3825]</t>
  </si>
  <si>
    <t xml:space="preserve">maximum annual gage height of 5.69 feet, affected by backwater from ice, reported at USGS gage West Canada Creek at Kast Bridge, on March 17, 1944. -- Keywords: West Canada Creek at Kast Bridge, NY on Mar 17, 1944 [3666]</t>
  </si>
  <si>
    <t xml:space="preserve">maximum annual gage height of 13.12 feet, affected by backwater from ice, reported at USGS gage Otego Creek near Oneonta, on March 17, 1944. Discharge 4,230 cfs.  -- Keywords: Otego Creek at Oneonta, NY on Mar 17, 1944 [2279]</t>
  </si>
  <si>
    <t xml:space="preserve">maximum annual gage height of 11.94 feet, affected by backwater from ice, reported at USGS gage East Branch Delaware River at Harvard, on March 17, 1944. -- Keywords: East Branch Delaware River at Harvard, NY on Mar 17, 1944 [3808]</t>
  </si>
  <si>
    <t xml:space="preserve">1944-03-16</t>
  </si>
  <si>
    <t xml:space="preserve">Weather Bureau reports ice jam upstream from gage Susquehanna River at Bainbridge on March 16, 1944. Stage 6.5 ft. Flood stage 12 ft. -- Keywords: Susquehanna River at Bainbridge, NY on Mar 16, 1944 [3946]</t>
  </si>
  <si>
    <t xml:space="preserve">maximum annual gage height of 7.01 feet, affected by backwater from ice, reported at USGS gage Little Delaware River near Delhi, on March 16, 1944. -- Keywords: Little Delaware River at Delhi, NY on Mar 16, 1944 [3838]</t>
  </si>
  <si>
    <t xml:space="preserve">1944-03-13</t>
  </si>
  <si>
    <t xml:space="preserve">maximum annual gage height of 6.45 feet, affected by backwater from ice, reported at USGS gage Platte Kill at Dunraven, on March 13, 1944. -- Keywords: Platte Kill at Dunraven, NY on Mar 13, 1944 [3788]</t>
  </si>
  <si>
    <t xml:space="preserve">1944-03-07</t>
  </si>
  <si>
    <t xml:space="preserve">maximum annual gage height of 8.50 feet, affected by backwater from ice, reported at USGS gage Batten Kill near Battenville, on March 7, 1944. NWSFO/NERFC flood stage 11 ft -- Keywords: Batten Kill at Battenville, NY on Mar 07, 1944 [3624]</t>
  </si>
  <si>
    <t xml:space="preserve">1944-02-24</t>
  </si>
  <si>
    <t xml:space="preserve">maximum annual gage height of 6.83 feet, affected by backwater from ice, reported at USGS gage Callicoon Creek at Callicoon, on February 24, 1944. -- Keywords: Callicoon Creek at Callicoon, NY on Feb 24, 1944 [3855]</t>
  </si>
  <si>
    <t xml:space="preserve">1944-02-23</t>
  </si>
  <si>
    <t xml:space="preserve">maximum annual gage height of 6.69 feet, affected by backwater from ice, reported at USGS gage Trout Creek at Cannonsville, on February 23, 1944. -- Keywords: Trout Creek at Cannonsville, NY on Feb 23, 1944 [3842]</t>
  </si>
  <si>
    <t xml:space="preserve">1943-03-17</t>
  </si>
  <si>
    <t xml:space="preserve">maximum annual gage height of 4.6 feet, affected by backwater from ice, reported at USGS gage Kennyetto Creek near Broadalbin, on March 17, 1943. -- Keywords: Kennyetto Creek at Broadalbin, NY on Mar 17, 1943 [3612]</t>
  </si>
  <si>
    <t xml:space="preserve">1943-03-16</t>
  </si>
  <si>
    <t xml:space="preserve">maximum annual gage height of 11.37 feet, affected by backwater from ice, reported at USGS gage East Canada Creek at Dolgeville on March 16, 1943. -- Keywords: East Canada Creek at Dolgeville, NY on Mar 16, 1943 [3674]</t>
  </si>
  <si>
    <t xml:space="preserve">1943-03-12</t>
  </si>
  <si>
    <t xml:space="preserve">maximum annual gage height of 14.87 feet, affected by backwater from ice, reported at USGS gage Wallkill River at Gardiner, on March 12, 1943. NWSFO/NERFC flood stage 15 ft  -- Keywords: Wallkill River at Gardiner, NY on Mar 12, 1943 [4470]</t>
  </si>
  <si>
    <t xml:space="preserve">1943-02-25</t>
  </si>
  <si>
    <t xml:space="preserve">maximum annual gage height of 8.0 feet, affected by backwater from ice, reported at USGS gage Sacandaga River near Hope, on February 25, 1943. -- Keywords: Sacandaga River at Hope, NY on Feb 25, 1943 [3602]</t>
  </si>
  <si>
    <t xml:space="preserve">1943-02-24</t>
  </si>
  <si>
    <t xml:space="preserve">maximum annual gage height of 7.65 feet, affected by backwater from ice, reported at USGS gage Batten Kill at Battenville, on February 24, 1943. NWSFO/NERFC flood stage 11 ft -- Keywords: Batten Kill at Battenville, NY on Feb 24, 1943 [3623]</t>
  </si>
  <si>
    <t xml:space="preserve">Weather Bureau reports ice jam upstream from gage Susquehanna River at Bainbridge on February 24, 1943. Stage 12.0 ft. Flood stage 12 ft. -- Keywords: Susquehanna River at Bainbridge, NY on Feb 24, 1943 [3945]</t>
  </si>
  <si>
    <t xml:space="preserve">maximum annual gage height of 6.68 feet, affected by backwater from ice, reported at USGS gage Poesten Kill near Troy, on February 24, 1943. -- Keywords: Poesten Kill at Troy, NY on Feb 24, 1943 [3709]</t>
  </si>
  <si>
    <t xml:space="preserve">1943-02-22</t>
  </si>
  <si>
    <t xml:space="preserve">gage height of 13.65 feet, affected by backwater from ice, reported at USGS gage East Branch Delaware River at Fishs Eddy, on February 22, 1943. -- Keywords: East Branch Delaware River at Fishs Eddy, NY on Feb 22, 1943 [3832]</t>
  </si>
  <si>
    <t xml:space="preserve">maximum annual gage height of 7.45 feet, affected by backwater from ice, reported at USGS gage Little Delaware River near Delhi, on February 22, 1943. -- Keywords: Little Delaware River at Delhi, NY on Feb 22, 1943 [3837]</t>
  </si>
  <si>
    <t xml:space="preserve">1943-02-21</t>
  </si>
  <si>
    <t xml:space="preserve">maximum annual gage height of 5.77 feet, affected by backwater from ice, reported at USGS gage Schoharie Creek at Burtonsville, on February 21, 1943. NWSFO/NERFC flood stage 6 ft -- Keywords: Schoharie Creek at Burtonsville, NY on Feb 21, 1943 [3694]</t>
  </si>
  <si>
    <t xml:space="preserve">1943-02-17</t>
  </si>
  <si>
    <t xml:space="preserve">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</si>
  <si>
    <t xml:space="preserve">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</si>
  <si>
    <t xml:space="preserve">maximum annual gage height of 6.69 feet, affected by backwater from ice, reported at USGS gage Oaks Creek at Index, on December 30, 1942. Discharge 2,140 cfs. -- Keywords: Oaks Creek at Index, NY on Dec 30, 1942 [3936]</t>
  </si>
  <si>
    <t xml:space="preserve">maximum annual gage height of 5.48 feet, affected by backwater from ice, reported at USGS gage Kayaderosseras Creek near West Milton, on December 30, 1942. -- Keywords: Kayaderosseras Creek at West Milton, NY on Dec 30, 1942 [3637]</t>
  </si>
  <si>
    <t xml:space="preserve">1942-03-09</t>
  </si>
  <si>
    <t xml:space="preserve">maximum annual gage height of 6.34 feet, affected by backwater from ice, reported at USGS gage Schoharie Creek at Burtonsville, on March 9, 1942. Discharge 20,100 cfs. NWSFO/NERFC flood stage 6 ft -- Keywords: Schoharie Creek at Burtonsville, NY on Mar 09, 1942 [3693]</t>
  </si>
  <si>
    <t xml:space="preserve">gage height of 8.80 feet, affected by backwater from ice, reported at USGS gage Schoharie Creek at Prattsville, on March 9, 1942. Discharge 12,200 cfs. NWSFO/NERFC flood stage 10 ft -- Keywords: Schoharie Creek at Prattsville, NY on Mar 09, 1942 [3682]</t>
  </si>
  <si>
    <t xml:space="preserve">maximum annual gage height of 7.40 feet, affected by backwater from ice, reported at USGS gage Little Delaware River near Delhi, on March 9, 1942. Discharge 2,550 cfs. -- Keywords: Little Delaware River at Delhi, NY on Mar 09, 1942 [3836]</t>
  </si>
  <si>
    <t xml:space="preserve">1942-03-03</t>
  </si>
  <si>
    <t xml:space="preserve">maximum annual gage height of 7.00 feet, affected by backwater from ice, reported at USGS gage Callicoon Creek at Callicoon, on March 3, 1942. -- Keywords: Callicoon Creek at Callicoon, NY on Mar 03, 1942 [3854]</t>
  </si>
  <si>
    <t xml:space="preserve">1941-03-20</t>
  </si>
  <si>
    <t xml:space="preserve">Sherburne</t>
  </si>
  <si>
    <t xml:space="preserve">Chenango River</t>
  </si>
  <si>
    <t xml:space="preserve">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</si>
  <si>
    <t xml:space="preserve">1941-03-07</t>
  </si>
  <si>
    <t xml:space="preserve">maximum annual gage height of 5.73 feet, affected by backwater from ice, reported at USGS gage Little Delaware River near Delhi, on March 7, 1941. -- Keywords: Little Delaware River at Delhi, NY on Mar 07, 1941 [3835]</t>
  </si>
  <si>
    <t xml:space="preserve">1941-03-04</t>
  </si>
  <si>
    <t xml:space="preserve">maximum annual gage height of 6.16 feet, affected by backwater from ice, reported at USGS gage Mill Brook at Arena, on March 4, 1941. -- Keywords: Mill Brook at Arena, NY on Mar 04, 1941 [3796]</t>
  </si>
  <si>
    <t xml:space="preserve">1941-02-08</t>
  </si>
  <si>
    <t xml:space="preserve">maximum annual gage height of 4.82 feet, affected by backwater from ice, reported at USGS gage Callicoon Creek at Callicoon, on February 8, 1941. -- Keywords: Callicoon Creek at Callicoon, NY on Feb 08, 1941 [3853]</t>
  </si>
  <si>
    <t xml:space="preserve">maximum annual gage height of 12.37 feet, affected by backwater from ice, reported at USGS gage Wallkill River at Gardiner, on February 8, 1941. NWSFO/NERFC flood stage 15 ft  -- Keywords: Wallkill River at Gardiner, NY on Feb 08, 1941 [4469]</t>
  </si>
  <si>
    <t xml:space="preserve">maximum annual gage height of 4.28 feet, affected by backwater from ice, reported at USGS gage Schoharie Creek at Burtonsville, on February 8, 1941. NWSFO/NERFC flood stage 6 ft -- Keywords: Schoharie Creek at Burtonsville, NY on Feb 08, 1941 [3692]</t>
  </si>
  <si>
    <t xml:space="preserve">maximum annual gage height of 6.76 feet, affected by backwater from ice, reported at USGS gage Schoharie Creek at Prattsville, on February 8, 1941. NWSFO/NERFC flood stage 10 ft -- Keywords: Schoharie Creek at Prattsville, NY on Feb 08, 1941 [3681]</t>
  </si>
  <si>
    <t xml:space="preserve">maximum annual gage height of 11.37 feet, affected by backwater from ice, reported at USGS gage Rondout Creek at Rosendale, on February 8, 1941. NWSFO/NERFC flood stage 18 ft -- Keywords: Rondout Creek at Rosendale, NY on Feb 08, 1941 [3724]</t>
  </si>
  <si>
    <t xml:space="preserve">gage height of 6.20 feet, affected by backwater from ice, reported at USGS gage Poesten Kill, near Troy, on February 8, 1941. -- Keywords: Poesten Kill at Troy, NY on Feb 08, 1941 [3708]</t>
  </si>
  <si>
    <t xml:space="preserve">1940-12-28</t>
  </si>
  <si>
    <t xml:space="preserve">maximum annual gage height of 5.65 feet, affected by backwater from ice, reported at USGS gage Kennyetto Creek near Broadalbin, on December 28, 1940. -- Keywords: Kennyetto Creek at Broadalbin, NY on Dec 28, 1940 [3611]</t>
  </si>
  <si>
    <t xml:space="preserve">1940-04-08</t>
  </si>
  <si>
    <t xml:space="preserve">maximum annual gage height of 5.7 feet, affected by backwater from ice, reported at USGS gage Kennyetto Creek near Broadalbin, on April 8, 1940. Discharge 860 cfs. -- Keywords: Kennyetto Creek at Broadalbin, NY on Apr 08, 1940 [3610]</t>
  </si>
  <si>
    <t xml:space="preserve">1940-04-01</t>
  </si>
  <si>
    <t xml:space="preserve">maximum annual gage height of 8.40 feet, affected by backwater from ice, reported at USGS gage Sacandaga River near Hope, on April 1, 1940. -- Keywords: Sacandaga River at Hope, NY on Apr 01, 1940 [3601]</t>
  </si>
  <si>
    <t xml:space="preserve">1940-03-15</t>
  </si>
  <si>
    <t xml:space="preserve">maximum annual gage height of 5.11 feet, affected by backwater from ice, reported at USGS gage Mill Brook at Arena, on March 15, 1940. -- Keywords: Mill Brook at Arena, NY on Mar 15, 1940 [3795]</t>
  </si>
  <si>
    <t xml:space="preserve">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</si>
  <si>
    <t xml:space="preserve">maximum annual gage height of 14.38 feet, affected by backwater from ice, reported at USGS gage Rondout Creek at Rosendale, on March 15, 1940. NWSFO/NERFC flood stage 18 ft -- Keywords: Rondout Creek at Rosendale, NY on Mar 15, 1940 [3723]</t>
  </si>
  <si>
    <t xml:space="preserve">1939-02-21</t>
  </si>
  <si>
    <t xml:space="preserve">maximum annual gage height of 7.46 feet, affected by backwater from ice, reported at USGS gage Sacandaga River near Hope, on February 21, 1939. -- Keywords: Sacandaga River at Hope, NY on Feb 21, 1939 [3600]</t>
  </si>
  <si>
    <t xml:space="preserve">maximum annual gage height of 10.09 feet, affected by backwater from ice, reported at USGS gage Schoharie Creek at Prattsville, on February 17, 1939. NWSFO/NERFC flood stage 10 ft -- Keywords: Schoharie Creek at Prattsville, NY on Feb 17, 1939 [3680]</t>
  </si>
  <si>
    <t xml:space="preserve">1939-02-16</t>
  </si>
  <si>
    <t xml:space="preserve">maximum annual gage height of 14.18 feet, affected by backwater from ice, reported at USGS gage Wallkill River at Gardiner, on February 16, 1939. NWSFO/NERFC flood stage 15 ft  -- Keywords: Wallkill River at Gardiner, NY on Feb 16, 1939 [4467]</t>
  </si>
  <si>
    <t xml:space="preserve">1939-02-15</t>
  </si>
  <si>
    <t xml:space="preserve">maximum annual gage height of 10.01 feet, affected by backwater from ice, reported at USGS gage Batten Kill at Battenville, on February 15, 1939. NWSFO/NERFC flood stage 11 ft -- Keywords: Batten Kill at Battenville, NY on Feb 15, 1939 [3622]</t>
  </si>
  <si>
    <t xml:space="preserve">maximum annual gage height of 11.05 feet, affected by backwater from ice, reported at USGS gage Hoosic River near Eagle Bridge, on February 15, 1939. NWSFO/NERFC flood stage 11 ft -- Keywords: Hoosic River at Eagle Bridge, NY on Feb 15, 1939 [3654]</t>
  </si>
  <si>
    <t xml:space="preserve">maximum annual gage height of 13.63 feet, affected by backwater from ice, reported at USGS gage East Branch Delaware River at Fishs Eddy, on February 15, 1939. -- Keywords: East Branch Delaware River at Fishs Eddy, NY on Feb 15, 1939 [3831]</t>
  </si>
  <si>
    <t xml:space="preserve">maximum annual gage height of 13.33 feet, affected by backwater from ice, reported at USGS gage East Branch Delaware River at Harvard, on February 15, 1939. -- Keywords: East Branch Delaware River at Harvard, NY on Feb 15, 1939 [3807]</t>
  </si>
  <si>
    <t xml:space="preserve">1938-02-07</t>
  </si>
  <si>
    <t xml:space="preserve">maximum annual gage height of 8.85 feet, affected by backwater from ice, reported at USGS gage Unadilla River at Rockdale, on February 7, 1938. -- Keywords: Unadilla River at Rockdale, NY on Feb 07, 1938 [3943]</t>
  </si>
  <si>
    <t xml:space="preserve">1938-01-25</t>
  </si>
  <si>
    <t xml:space="preserve">gage height of 4.22 feet, affected by backwater from ice, reported at USGS gage Tremper Kill near Shavertown, on January 25, 1938. Discharge 900 cfs. -- Keywords: Tremper Kill at Shavertown, NY on Jan 25, 1938 [3801]</t>
  </si>
  <si>
    <t xml:space="preserve">South New Berlin</t>
  </si>
  <si>
    <t xml:space="preserve">Sage Brook</t>
  </si>
  <si>
    <t xml:space="preserve">gage height of 3.44 feet, affected by backwater from ice, reported at USGS gage Sage Brook near South New Berlin, on January 25, 1938. Discharge 27.7 cfs. -- Keywords: Sage Brook at South New Berlin, NY on Jan 25, 1938 [3942]</t>
  </si>
  <si>
    <t xml:space="preserve">1936-03-19</t>
  </si>
  <si>
    <t xml:space="preserve">Coxsackie</t>
  </si>
  <si>
    <t xml:space="preserve">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</si>
  <si>
    <t xml:space="preserve">1936-03-17</t>
  </si>
  <si>
    <t xml:space="preserve">Maximum gage height of 6.12 feet due to backwater from ice reported at USGS gage West Canada Creek at Kast Bridge at 9:30 p.m. on March 17, 1936. Average daily discharge 3,200 cfs. -- Keywords: West Canada Creek at Kast Bridge, NY on Mar 17, 1936 [1673]</t>
  </si>
  <si>
    <t xml:space="preserve">maximum annual gage height of 6.12 feet, affected by backwater from ice, reported at USGS gage West Canada Creek at Kast Bridge, on March 17, 1936. -- Keywords: West Canada Creek at Kast Bridge, NY on Mar 17, 1936 [3664]</t>
  </si>
  <si>
    <t xml:space="preserve">1936-03-13</t>
  </si>
  <si>
    <t xml:space="preserve">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</si>
  <si>
    <t xml:space="preserve">West Stony Creek</t>
  </si>
  <si>
    <t xml:space="preserve">Gage height of 6.80 feet due to backwater from ice reported at USGS gage West Stony Creek near Northville at 5:30 a.m. on March 12, 1936. -- Keywords: West Stony Creek at Northville, NY on Mar 12, 1936 [1688]</t>
  </si>
  <si>
    <t xml:space="preserve">Maximum gage height of 16.42 feet due to backwater from ice reported at USGS gage Wallkill River at Gardiner on March 12, 1936. -- Keywords: Wallkill River at Gardiner, NY on Mar 12, 1936 [1646]</t>
  </si>
  <si>
    <t xml:space="preserve">maximum annual gage height of 16.42 feet, affected by backwater from ice, reported at USGS gage Wallkill River at Gardiner, on March 12, 1936. NWSFO/NERFC flood stage 15 ft  -- Keywords: Wallkill River at Gardiner, NY on Mar 12, 1936 [4466]</t>
  </si>
  <si>
    <t xml:space="preserve">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</si>
  <si>
    <t xml:space="preserve">maximum annual gage height of 10.08 feet, affected by backwater from ice, reported at USGS gage Sacandaga River near Hope, on March 12, 1936. -- Keywords: Sacandaga River at Hope, NY on Mar 12, 1936 [3599]</t>
  </si>
  <si>
    <t xml:space="preserve">Hudson</t>
  </si>
  <si>
    <t xml:space="preserve">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</si>
  <si>
    <t xml:space="preserve">Gage height of 18.31 feet due to backwater from ice reported at USGS gage Mohawk River at Conoes at 7:00 p.m. on March 12, 1936. -- Keywords: Mohawk River at Cohoes, NY on Mar 12, 1936 [1080]</t>
  </si>
  <si>
    <t xml:space="preserve">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</si>
  <si>
    <t xml:space="preserve">maximum annual gage height of 11.16 feet, affected by backwater from ice, reported at USGS gage East Canada Creek at Dolgeville, on March 12, 1936. -- Keywords: East Canada Creek at Dolgeville, NY on Mar 12, 1936 [3673]</t>
  </si>
  <si>
    <t xml:space="preserve">1936-03-11</t>
  </si>
  <si>
    <t xml:space="preserve">Gage height of 8.87 feet due to backwater from ice reported at USGS gage Batten Kill at Battenville at 4:30 p.m. on March 11, 1936. -- Keywords: Batten Kill at Battenville, NY on Mar 11, 1936 [70]</t>
  </si>
  <si>
    <t xml:space="preserve">1935-03-18</t>
  </si>
  <si>
    <t xml:space="preserve">Maximum gage height of 7.90 feet due to backwater from ice reported at USGS gage West Stony Creek near Northville on March 18, 1935 (period of record 1933-35). -- Keywords: West Stony Creek at Northville, NY on Mar 18, 1935 [1687]</t>
  </si>
  <si>
    <t xml:space="preserve">1935-03-07</t>
  </si>
  <si>
    <t xml:space="preserve">maximum annual gage height of 13.42 feet, affected by backwater from ice, reported at USGS gage Wallkill River at Gardiner, on March 7, 1935. NWSFO/NERFC flood stage 15 ft  -- Keywords: Wallkill River at Gardiner, NY on Mar 07, 1935 [4465]</t>
  </si>
  <si>
    <t xml:space="preserve">1935-03-06</t>
  </si>
  <si>
    <t xml:space="preserve">maximum annual gage height of 12.25 feet, affected by backwater from ice, reported at USGS gage East Branch Delaware River at Harvard, on March 6, 1935. -- Keywords: East Branch Delaware River at Harvard, NY on Mar 06, 1935 [3806]</t>
  </si>
  <si>
    <t xml:space="preserve">maximum annual gage height of 17.10 feet, affected by backwater from ice, reported at USGS gage East Branch Delaware River at Fishs Eddy, on March 6, 1935. -- Keywords: East Branch Delaware River at Fishs Eddy, NY on Mar 06, 1935 [3830]</t>
  </si>
  <si>
    <t xml:space="preserve">Maximum gage height of 12.25 feet due to backwater from ice reported at USGS gage East Branch of Delaware River at Harvard on March 6, 1935. -- Keywords: East Branch of Delaware River at Harvard, NY on Mar 06, 1935 [370]</t>
  </si>
  <si>
    <t xml:space="preserve">1935-01-10</t>
  </si>
  <si>
    <t xml:space="preserve">maximum annual gage height of 11.37 feet, affected by backwater from ice, reported at USGS gage East Canada Creek at Dolgeville, on January 10, 1935. -- Keywords: East Canada Creek at Dolgeville, NY on Jan 10, 1935 [3672]</t>
  </si>
  <si>
    <t xml:space="preserve">maximum annual gage height of 18.15 feet, occurred earlier in day; result of an ice jam, reported at USGS gage Mohawk River at Cohoes, on January 10, 1935. Discharge 61,100 cfs. NWSFO/NERFC flood stage 20 ft -- Keywords: Mohawk River at Cohoes, NY on Jan 10, 1935 [3704]</t>
  </si>
  <si>
    <t xml:space="preserve">gage height of 6.95 feet, affected by backwater from ice, reported at USGS gage Kayaderosseras Creek near West Milton, on January 10, 1935. Discharge 1,900 cfs. -- Keywords: Kayaderosseras Creek at West Milton, NY on Jan 10, 1935 [3636]</t>
  </si>
  <si>
    <t xml:space="preserve">East Stony Creek</t>
  </si>
  <si>
    <t xml:space="preserve">Maximum gage height 4.5 feet due to backwater from ice reported at USGS gage East Stony Creek near Northville on January 10, 1935 (period of record: 1933-35). -- Keywords: East Stony Creek at Northville, NY on Jan 10, 1935 [394]</t>
  </si>
  <si>
    <t xml:space="preserve">1935-01-09</t>
  </si>
  <si>
    <t xml:space="preserve">maximum annual gage height of 6.37 feet, affected by backwater from ice, reported at USGS gage West Canada Creek, at Kast Bridge, on January 9, 1935. -- Keywords: West Canada Creek at Kast Bridge, NY on Jan 09, 1935 [3663]</t>
  </si>
  <si>
    <t xml:space="preserve">maximum annual gage height of 8.10 feet, affected by backwater from ice, reported at USGS gage Sacandaga River near Hope, on January 9, 1935. -- Keywords: Sacandaga River at Hope, NY on Jan 09, 1935 [3598]</t>
  </si>
  <si>
    <t xml:space="preserve">1934-03-29</t>
  </si>
  <si>
    <t xml:space="preserve">maximum annual gage height of 12.93 feet, affected by backwater from ice, reported at USGS gage East Canada Creek at Dolgeville, on March 29, 1934. -- Keywords: East Canada Creek at Dolgeville, NY on Mar 29, 1934 [3671]</t>
  </si>
  <si>
    <t xml:space="preserve">1934-03-05</t>
  </si>
  <si>
    <t xml:space="preserve">maximum annual gage height of 8.50 feet, affected by backwater from ice, reported at USGS gage Beaver Kill at Cooks Falls, on March 5, 1934. -- Keywords: Beaver Kill at Cooks Falls, NY on Mar 05, 1934 [3824]</t>
  </si>
  <si>
    <t xml:space="preserve">Wappingers Falls</t>
  </si>
  <si>
    <t xml:space="preserve">Wappinger Creek</t>
  </si>
  <si>
    <t xml:space="preserve">maximum annual gage height of 11.78 feet, affected by backwater from ice, reported at USGS gage Wappinger Creek at Wappingers Falls, on March 5, 1934. -- Keywords: Wappinger Creek at Wappingers Falls, NY on Mar 05, 1934 [3747]</t>
  </si>
  <si>
    <t xml:space="preserve">maximum annual gage height of 17.04 feet, affected by backwater from ice, reported at USGS gage Wallkill River at Gardiner, on March 5, 1934. NWSFO/NERFC flood stage 15 ft  -- Keywords: Wallkill River at Gardiner, NY on Mar 05, 1934 [4464]</t>
  </si>
  <si>
    <t xml:space="preserve">maximum annual gage height of 7.34 feet, affected by backwater from ice, reported at USGS gage Kayaderosseras Creek near West Milton, on March 5, 1934. -- Keywords: Kayaderosseras Creek at West Milton, NY on Mar 05, 1934 [3635]</t>
  </si>
  <si>
    <t xml:space="preserve">1934-03-04</t>
  </si>
  <si>
    <t xml:space="preserve">maximum annual gage height of 11.44 feet, affected by backwater from ice, reported at USGS gage Rondout Creek at Rosendale, on March 4, 1934. NWSFO/NERFC flood stage 18 ft -- Keywords: Rondout Creek at Rosendale, NY on Mar 04, 1934 [3722]</t>
  </si>
  <si>
    <t xml:space="preserve">maximum annual gage height of 13.25 feet, affected by backwater from ice, reported at USGS gage East Branch Delaware River at Fishs Eddy, on March 4, 1934. -- Keywords: East Branch Delaware River at Fishs Eddy, NY on Mar 04, 1934 [3829]</t>
  </si>
  <si>
    <t xml:space="preserve">1934-03-03</t>
  </si>
  <si>
    <t xml:space="preserve">maximum annual gage height of 6.66 feet, affected by backwater from ice, reported at USGS gage Poesten Kill near Troy, on March 3, 1934. Discharge 1,760 cfs. -- Keywords: Poesten Kill at Troy, NY on Mar 03, 1934 [3707]</t>
  </si>
  <si>
    <t xml:space="preserve">maximum annual gage height of 7.67 feet, affected by backwater from ice, reported at USGS gage West Canada Creek at Kast Bridge, on March 3, 1934. -- Keywords: West Canada Creek at Kast Bridge, NY on Mar 03, 1934 [3662]</t>
  </si>
  <si>
    <t xml:space="preserve">1931-02-19</t>
  </si>
  <si>
    <t xml:space="preserve">maximum annual gage height of 11.12 feet, affected by backwater from ice, reported at USGS gage Wallkill River at Gardiner, on February 19, 1931. NWSFO/NERFC flood stage 15 ft  -- Keywords: Wallkill River at Gardiner, NY on Feb 19, 1931 [4463]</t>
  </si>
  <si>
    <t xml:space="preserve">1930-02-21</t>
  </si>
  <si>
    <t xml:space="preserve">maximum annual gage height of 13.51 feet, affected by backwater from ice, reported at USGS gage East Branch Delaware River at Fishs Eddy, on February 21, 1930. -- Keywords: East Branch Delaware River at Fishs Eddy, NY on Feb 21, 1930 [3828]</t>
  </si>
  <si>
    <t xml:space="preserve">maximum annual gage height of 10.69 feet, affected by backwater from ice, reported at USGS gage Wallkill River at Gardiner, on February 21, 1930. NWSFO/NERFC flood stage 15 ft  -- Keywords: Wallkill River at Gardiner, NY on Feb 21, 1930 [4462]</t>
  </si>
  <si>
    <t xml:space="preserve">1929-02-08</t>
  </si>
  <si>
    <t xml:space="preserve">maximum annual gage height of 8.35 feet, affected by backwater from ice, reported at USGS gage Wappinger Creek near Wappingers Falls, on February 8, 1929. Discharge 2,600 cfs. -- Keywords: Wappinger Creek at Wappingers Falls, NY on Feb 08, 1929 [3746]</t>
  </si>
  <si>
    <t xml:space="preserve">1929-02-07</t>
  </si>
  <si>
    <t xml:space="preserve">maximum annual gage height of 10.00 feet, affected by backwater from ice, reported at USGS gage Rondout Creek at Rosendale, on February 7, 1929. NWSFO/NERFC flood stage 18 ft -- Keywords: Rondout Creek at Rosendale, NY on Feb 07, 1929 [3721]</t>
  </si>
  <si>
    <t xml:space="preserve">1928-02-09</t>
  </si>
  <si>
    <t xml:space="preserve">maximum annual gage height of 11.30 feet, affected by backwater from ice, reported at USGS gage Wallkill River at Gardiner, on February 9, 1928. NWSFO/NERFC flood stage 15 ft  -- Keywords: Wallkill River at Gardiner, NY on Feb 09, 1928 [4461]</t>
  </si>
  <si>
    <t xml:space="preserve">Hudson - Mohawk River</t>
  </si>
  <si>
    <t xml:space="preserve">The USDA Weather Bureau reported an ice gorge below the gage on the Hudson - Mohawk River at Tribes Hill, NY  on January 31-February 15, 1928.  -- Keywords: Hudson - Mohawk River at Tribes Hill, NY on Jan 31, 1928 [20031017133046]</t>
  </si>
  <si>
    <t xml:space="preserve">1927-03-19</t>
  </si>
  <si>
    <t xml:space="preserve">maximum annual gage height of 10.7 feet, affected by backwater from ice, reported at USGS gage Hudson River at Hadley, on March 19, 1927. NWSFO/NERFC flood stage 14 ft -- Keywords: Hudson River at Hadley, NY on Mar 19, 1927 [3593]</t>
  </si>
  <si>
    <t xml:space="preserve">1927-01-23</t>
  </si>
  <si>
    <t xml:space="preserve">maximum annual gage height of 11.48 feet, affected by backwater from ice, reported at USGS gage Rondout Creek at Rosendale, on January 23, 1927. NWSFO/NERFC flood stage 18 ft -- Keywords: Rondout Creek at Rosendale, NY on Jan 23, 1927 [3720]</t>
  </si>
  <si>
    <t xml:space="preserve">1926-03-20</t>
  </si>
  <si>
    <t xml:space="preserve">maximum annual gage height of 7.7 feet, affected by backwater from ice, reported at USGS gage Poesten Kill near Troy, on March 20, 1926. -- Keywords: Poesten Kill at Troy, NY on Mar 20, 1926 [3706]</t>
  </si>
  <si>
    <t xml:space="preserve">1926-03-03</t>
  </si>
  <si>
    <t xml:space="preserve">maximum annual gage height of 11.7 feet, affected by backwater from ice, reported at USGS gage Wallkill River at Gardiner, on March 3, 1926. Discharge 5,500 cfs. NWSFO/NERFC flood stage 15 ft  -- Keywords: Wallkill River at Gardiner, NY on Mar 03, 1926 [4460]</t>
  </si>
  <si>
    <t xml:space="preserve">1926-01-19</t>
  </si>
  <si>
    <t xml:space="preserve">maximum annual gage height of 7.80 feet, affected by backwater from ice, reported at USGS gage Batten Kill at Battenville, on January 19, 1926. NWSFO/NERFC flood stage 11 ft -- Keywords: Batten Kill at Battenville, NY on Jan 19, 1926 [3621]</t>
  </si>
  <si>
    <t xml:space="preserve">1925-02-12</t>
  </si>
  <si>
    <t xml:space="preserve">maximum annual gage height of 13.31 feet, affected by backwater from ice, reported at USGS gage Wallkill River at Gardiner, on February 12, 1925. Discharge 8,500 cfs. NWSFO/NERFC flood stage 15 ft  -- Keywords: Wallkill River at Gardiner, NY on Feb 12, 1925 [4459]</t>
  </si>
  <si>
    <t xml:space="preserve">1925-02-11</t>
  </si>
  <si>
    <t xml:space="preserve">maximum annual gage height of 11.52 feet, affected by backwater from ice, reported at USGS gage Batten Kill at Battenville, on February 11, 1925. NWSFO/NERFC flood stage 11 ft -- Keywords: Batten Kill at Battenville, NY on Feb 11, 1925 [3620]</t>
  </si>
  <si>
    <t xml:space="preserve">maximum annual gage height of 11.87 feet, affected by backwater from ice, reported at USGS gage Hoosic River near Eagle Bridge, on February 11, 1925. NWSFO/NERFC flood stage 11 ft -- Keywords: Hoosic River at Eagle Bridge, NY on Feb 11, 1925 [3653]</t>
  </si>
  <si>
    <t xml:space="preserve">1923-03-19</t>
  </si>
  <si>
    <t xml:space="preserve">maximum annual gage height of 8.86 feet, affected by backwater from ice, reported at USGS gage Batten Kill at Battenville, on March 19, 1923. NWSFO/NERFC flood stage 11 ft -- Keywords: Batten Kill at Battenville, NY on Mar 19, 1923 [3619]</t>
  </si>
  <si>
    <t xml:space="preserve">1920-03-16</t>
  </si>
  <si>
    <t xml:space="preserve">maximum annual gage height of 6.90 feet, affected by backwater from ice, reported at USGS gage Sacandaga River near Hope, on March 16, 1920. -- Keywords: Sacandaga River at Hope, NY on Mar 16, 1920 [3597]</t>
  </si>
  <si>
    <t xml:space="preserve">1920-03-13</t>
  </si>
  <si>
    <t xml:space="preserve">maximum annual gage height of 13.8 feet, affected by backwater from ice, reported at USGS gage Hoosic River near Eagle Bridge, on March 13, 1920. NWSFO/NERFC flood stage 11 ft -- Keywords: Hoosic River at Eagle Bridge, NY on Mar 13, 1920 [3652]</t>
  </si>
  <si>
    <t xml:space="preserve">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</si>
  <si>
    <t xml:space="preserve">1908-01-11</t>
  </si>
  <si>
    <t xml:space="preserve">maximum annual gage height of 8.38 feet, affected by backwater from ice, reported at USGS gage Hudson River at Thurman, on January 11, 1908. -- Keywords: Hudson River at Thurman, NY on Jan 11, 1908 [3592]</t>
  </si>
  <si>
    <t xml:space="preserve">1907-03-14</t>
  </si>
  <si>
    <t xml:space="preserve">maximum annual gage height of 14.9 feet, affected by backwater from ice, reported at USGS gage Hoosic River at Buskirk, on March 14, 1907. -- Keywords: Hoosic River at Buskirk, NY on Mar 14, 1907 [3659]</t>
  </si>
  <si>
    <t xml:space="preserve">1904-03-08</t>
  </si>
  <si>
    <t xml:space="preserve">maximum annual gage height of 17.0 feet, affected by backwater from ice, reported at USGS gage Hoosic River at Buskirk, on March 8, 1904. -- Keywords: Hoosic River at Buskirk, NY on Mar 08, 1904 [3658]</t>
  </si>
  <si>
    <t xml:space="preserve">1857-02-09</t>
  </si>
  <si>
    <t xml:space="preserve">USGS Water Resources Data for New York WY 2003 reported an annual maximum peak stage of 21.71ft on 09-FEB-1857 due to an ice jam at USGS gaging station 01359139 Hudson River at Albany, NY. The average daily discharge was not reported.</t>
  </si>
  <si>
    <t xml:space="preserve">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</si>
  <si>
    <t xml:space="preserve">REPORTING BIAS: record density reflects when CRREL was collecting reports (heavy 1940s–2000s), NOT when jams occurred. Do not read the count per year as frequency. Many rows share one jam event across nearby towns.</t>
  </si>
  <si>
    <t xml:space="preserve">Feature</t>
  </si>
  <si>
    <t xml:space="preserve">Town</t>
  </si>
  <si>
    <t xml:space="preserve">Formation (rock)</t>
  </si>
  <si>
    <t xml:space="preserve">Entrance / sink description</t>
  </si>
  <si>
    <t xml:space="preserve">Dimensions</t>
  </si>
  <si>
    <t xml:space="preserve">Hydrology</t>
  </si>
  <si>
    <t xml:space="preserve">Status / notes</t>
  </si>
  <si>
    <t xml:space="preserve">Knox Cave</t>
  </si>
  <si>
    <t xml:space="preserve">Knox (Albany Co.)</t>
  </si>
  <si>
    <t xml:space="preserve">Manlius &amp; Coeymans Ls (Helderberg Grp)</t>
  </si>
  <si>
    <t xml:space="preserve">Steep-sided entrance sinkhole with two vertical walls; mouth near bottom of a ~60-ft ravine</t>
  </si>
  <si>
    <t xml:space="preserve">3000+ ft passage; famous 'Gun Barrel' 47 ft long x 14 in dia; commercial tour reached ~110 ft below surface</t>
  </si>
  <si>
    <t xml:space="preserve">Two intermittent streams sink into it; a lower ~1000-ft stream canyon (dug open 1990s below the Alabaster Room) resurges as an artesian spring to Onesquethaw Creek - the only flowing water in an otherwise dry NY cave</t>
  </si>
  <si>
    <t xml:space="preserve">ACTIVE karst sink. 1975 fatal ice collapse (see Events). NCC preserve, permit required. 72 new timber steps Aug 2025.</t>
  </si>
  <si>
    <t xml:space="preserve">Onesquethaw Cave</t>
  </si>
  <si>
    <t xml:space="preserve">Clarksville / New Scotland</t>
  </si>
  <si>
    <t xml:space="preserve">Onondaga Ls (Middle Devonian)</t>
  </si>
  <si>
    <t xml:space="preserve">Sinking-stream cave; low-lying flooded entrance sink surrounded on the W by steep shale hills</t>
  </si>
  <si>
    <t xml:space="preserve">1.4 sq mi drainage; can flood to the ceiling its entire length; only 15 ft elevation loss over much of it</t>
  </si>
  <si>
    <t xml:space="preserve">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</si>
  <si>
    <t xml:space="preserve">ACTIVE. Prone to sudden flooding after intense rain. A cornfield sink is forming between entrance &amp; road; Irene opened an 18-in x 6-ft hole (2011, see Events). NCC preserve.</t>
  </si>
  <si>
    <t xml:space="preserve">Clarksville Cave (Ward-Gregory)</t>
  </si>
  <si>
    <t xml:space="preserve">Clarksville (New Scotland)</t>
  </si>
  <si>
    <t xml:space="preserve">Onondaga Ls</t>
  </si>
  <si>
    <t xml:space="preserve">Multiple entrances (Ward, Gregory, Osborn); former North Entrance now filled in. Formed along a tectonic fault (slickensides &amp; folds exposed in the Onesquethaw Creek bed just E of the Plank Rd stone bridge); passage ceilings tilt W-to-E from fault movement</t>
  </si>
  <si>
    <t xml:space="preserve">Preserve 14.2 acres (older mgmt plan) / 19.4 acres (2023); Ward section ~1200 ft (subway-like) to The Lake artesian pool; Gregory section ~450 ft to a sump. The two caves were joined in summer 1962 when drought dropped the Gregory sump ~3 ft, letting explorers wade the connection</t>
  </si>
  <si>
    <t xml:space="preserve">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</si>
  <si>
    <t xml:space="preserve">ACTIVE. Most-visited non-commercial cave in the Northeast; periodic rescues. NCC preserve.</t>
  </si>
  <si>
    <t xml:space="preserve">Ella Armstrong Cave</t>
  </si>
  <si>
    <t xml:space="preserve">near Knox (Helderberg crest)</t>
  </si>
  <si>
    <t xml:space="preserve">Narrow slot dropping 8 ft from a shallow sinkhole into a canyon, then a 23-ft drop</t>
  </si>
  <si>
    <t xml:space="preserve">~260 ft main passage, 10–20 ft high; formed by waterfall headward dissolution</t>
  </si>
  <si>
    <t xml:space="preserve">Small infeeder streams</t>
  </si>
  <si>
    <t xml:space="preserve">ACTIVE sink. NCC preserve near Knox &amp; Skull caves.</t>
  </si>
  <si>
    <t xml:space="preserve">Skull Cave</t>
  </si>
  <si>
    <t xml:space="preserve">near Knox</t>
  </si>
  <si>
    <t xml:space="preserve">Manlius/Coeymans Ls</t>
  </si>
  <si>
    <t xml:space="preserve">Vertical/sink entrance near Knox Cave</t>
  </si>
  <si>
    <t xml:space="preserve">Small; part of the Knox cluster</t>
  </si>
  <si>
    <t xml:space="preserve">Near Knox Cave; on the same karst crest.</t>
  </si>
  <si>
    <t xml:space="preserve">Slingerland (Chatter-Stone-Hole) / Leonard / Jordan</t>
  </si>
  <si>
    <t xml:space="preserve">New Scotland karst bench</t>
  </si>
  <si>
    <t xml:space="preserve">Sinks and resurgences in the Onondaga bench</t>
  </si>
  <si>
    <t xml:space="preserve">Part of the Onesquethaw–Clarksville karst zone; Jordan Cave is a resurgence</t>
  </si>
  <si>
    <t xml:space="preserve">ACTIVE karst zone bounded W by Hamilton shale hills, E by the Onondaga escarpment.</t>
  </si>
  <si>
    <t xml:space="preserve">McFails Cave</t>
  </si>
  <si>
    <t xml:space="preserve">Manlius &amp; Coeymans Ls</t>
  </si>
  <si>
    <t xml:space="preserve">Historic 110-ft vertical entrance sink (now collapsed/unstable); current access via two rope drops (Ackshack; a silo-like waterfall pit)</t>
  </si>
  <si>
    <t xml:space="preserve">7+ mi surveyed (longest in the NE); high canyons &amp; large decorated chambers; downstream sumps flood to the ceiling; entrance requires a 70-ft rappel (through a waterfall in wet weather)</t>
  </si>
  <si>
    <t xml:space="preserve">Fed by many fissures, sinks &amp; disappearing streams; normal flow dye-traced to Doc Shauls Spring (2+ mi); in heavy snowmelt/tropical-storm flow the excess overflows into Howe Caverns (2+ mi)</t>
  </si>
  <si>
    <t xml:space="preserve">ACTIVE. Historic entrance became unstable and COLLAPSED (see Events, date approx). NSS-owned, NCC-managed. Wetsuit required; trips up to 12 hrs.</t>
  </si>
  <si>
    <t xml:space="preserve">Doc Shauls Spring</t>
  </si>
  <si>
    <t xml:space="preserve">Cobleskill plateau</t>
  </si>
  <si>
    <t xml:space="preserve">Enormous artesian spring rising in a crater-like depression</t>
  </si>
  <si>
    <t xml:space="preserve">Resurgence of the McFails stream in normal flow; becomes tributary to Cobleskill Creek</t>
  </si>
  <si>
    <t xml:space="preserve">Karst resurgence / spring — the discharge end of the McFails system.</t>
  </si>
  <si>
    <t xml:space="preserve">Howe/Barytes/Bensons/Secret Caverns complex</t>
  </si>
  <si>
    <t xml:space="preserve">Howe Caves / Cobleskill (Schoharie Co.)</t>
  </si>
  <si>
    <t xml:space="preserve">Manlius &amp; Coeymans Ls (common base level)</t>
  </si>
  <si>
    <t xml:space="preserve">Interconnected caves + sinks; part of a suspected ~26-mi plateau system if fragments joined</t>
  </si>
  <si>
    <t xml:space="preserve">Howe Caverns commercial; Barytes joined to the quarried remnant of Howe; Bensons connects hydrologically to Secret Caverns</t>
  </si>
  <si>
    <t xml:space="preserve">McFails overflow reaches Howe in high water; shared base level over the aquiclude</t>
  </si>
  <si>
    <t xml:space="preserve">ACTIVE karst complex. The plateau above Cobleskill is pockmarked with sinkholes 70+ ft deep swallowing streams.</t>
  </si>
  <si>
    <t xml:space="preserve">Schoharie Caverns</t>
  </si>
  <si>
    <t xml:space="preserve">Barton Hill, Schoharie Co.</t>
  </si>
  <si>
    <t xml:space="preserve">Manlius/Coeymans/Onondaga Ls</t>
  </si>
  <si>
    <t xml:space="preserve">Slot-canyon cave; entrance at the base of a limestone cliff on the edge of the plateau above Fox &amp; Schoharie creeks</t>
  </si>
  <si>
    <t xml:space="preserve">~0.5 mi of streamway with intact stalactites/stalagmites</t>
  </si>
  <si>
    <t xml:space="preserve">Active streamway</t>
  </si>
  <si>
    <t xml:space="preserve">NSS-owned (donated by Jim Gage). Cabin on site for visiting cavers. Barton Hill is riddled with caves.</t>
  </si>
  <si>
    <t xml:space="preserve">Balls Cave</t>
  </si>
  <si>
    <t xml:space="preserve">Vertical entrance in heavily-wooded hillside; visited 150+ years</t>
  </si>
  <si>
    <t xml:space="preserve">Immense rooms + low crawlways; a flooded 'Lost Passage' requires an 'ear dip'</t>
  </si>
  <si>
    <t xml:space="preserve">NSS-owned: the James Gage Karst Preserve (Barton Hill), donated by the Gage family. Cave named for its 19th-c. landowner.</t>
  </si>
  <si>
    <t xml:space="preserve">Spider Cave</t>
  </si>
  <si>
    <t xml:space="preserve">'Storybook' entrance; agonizingly tight wet main passage 1000+ ft into the plateau</t>
  </si>
  <si>
    <t xml:space="preserve">1000+ ft; first ~100 ft easily accessible (and full of spiders)</t>
  </si>
  <si>
    <t xml:space="preserve">Recently donated to the NCC by a local landowner.</t>
  </si>
  <si>
    <t xml:space="preserve">TV Tower Cave</t>
  </si>
  <si>
    <t xml:space="preserve">Beaver Dam Rd, above Thacher Park (Albany Co.)</t>
  </si>
  <si>
    <t xml:space="preserve">Onondaga Ls (base) under Hamilton shale/sandstone</t>
  </si>
  <si>
    <t xml:space="preserve">Insurgence sinkhole with a mossy natural bridge; sits precisely at the contact between soluble Onondaga limestone and the overlying insoluble Hamilton strata</t>
  </si>
  <si>
    <t xml:space="preserve">Surface streams off the non-dissolving Hamilton uplands sink here where they meet the Onondaga limestone — a textbook insurgence point</t>
  </si>
  <si>
    <t xml:space="preserve">ACTIVE insurgence sink. Illustrates the limestone/shale contact that localizes plateau karst; marks the toe of the Catskill Delta.</t>
  </si>
  <si>
    <t xml:space="preserve">Old Skull Cave sinkhole (filled)</t>
  </si>
  <si>
    <t xml:space="preserve">Wide vertical sink ~60 ft deep, a few hundred yards from the Knox &amp; New Skull entrances; wall fluting shows it was a major water-insurgence point in the past</t>
  </si>
  <si>
    <t xml:space="preserve">~60 ft deep; upper ~10 ft still visible in the 1960s; now filled level with the fields</t>
  </si>
  <si>
    <t xml:space="preserve">Former insurgence point; underlying Old Skull Cave never re-entered</t>
  </si>
  <si>
    <t xml:space="preserve">FILLED / ERASED feature. A mid-1800s farmer dumped boulders then dirt into it after reportedly finding human &amp; large-animal bones (steer or Ice-Age ground sloth, per legend) on the chamber floor. Deliberately obliterated by hand - a human-filled karst sink.</t>
  </si>
  <si>
    <t xml:space="preserve">New Skull Cave</t>
  </si>
  <si>
    <t xml:space="preserve">Separate cave system &lt;1000 ft from Knox Cave; Knox's 'Frustration Crawl' heads straight toward it but is blocked by flowstone curtains</t>
  </si>
  <si>
    <t xml:space="preserve">5+ mi of tortuous wet muddy passage, not fully explored</t>
  </si>
  <si>
    <t xml:space="preserve">Own system; a Knox–New Skull connection would make one of the Northeast's largest caves</t>
  </si>
  <si>
    <t xml:space="preserve">ACTIVE, off-limits to sport cavers for years. Named for the nearby Old Skull sinkhole.</t>
  </si>
  <si>
    <t xml:space="preserve">Loden sinkhole</t>
  </si>
  <si>
    <t xml:space="preserve">Wright (Schoharie Co.), Middle Rd</t>
  </si>
  <si>
    <t xml:space="preserve">Becraft Ls over New Scotland Ls</t>
  </si>
  <si>
    <t xml:space="preserve">Steep-walled monster sink ~50 ft deep, large enough to appear on topo maps; punches through surface Becraft limestone into the underlying New Scotland limestone; close to Middle Rd</t>
  </si>
  <si>
    <t xml:space="preserve">~50 ft deep; takes a stream; muddy rubble-strewn bottom over a suspected sizable cave</t>
  </si>
  <si>
    <t xml:space="preserve">Dye-traced to Bogardus Spring near Route 443, ~2 mi away (crow-flies); water reaches the karst aquifer with no filtration</t>
  </si>
  <si>
    <t xml:space="preserve">ACTIVE stream-swallowing sink on private land (Loden family since 1918). Chronic illegal dumping (carcasses, tires, trash) enters the aquifer directly — a karst water-quality hazard. Near Skull Cave, also on Middle Rd. DEC notified 2014.</t>
  </si>
  <si>
    <t xml:space="preserve">Helderberg–Cobleskill karst (regional)</t>
  </si>
  <si>
    <t xml:space="preserve">Coeymans, Manlius, Onondaga Ls</t>
  </si>
  <si>
    <t xml:space="preserve">Thousands of sinkholes, swallets, fissures and grikes across many sq mi; disappearing streams</t>
  </si>
  <si>
    <t xml:space="preserve">Largest karst drainage in the Northeast</t>
  </si>
  <si>
    <t xml:space="preserve">Cobleskill Creek loses most of its flow underground where it crosses the Coeymans Ls; surface streams vanish into 'gaping fissures'</t>
  </si>
  <si>
    <t xml:space="preserve">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</si>
  <si>
    <t xml:space="preserve">Caboose Cave</t>
  </si>
  <si>
    <t xml:space="preserve">Barton Hill (Gallupville, Schoharie Co.)</t>
  </si>
  <si>
    <t xml:space="preserve">Helderberg Grp Ls (Manlius/Coeymans)</t>
  </si>
  <si>
    <t xml:space="preserve">One of the Barton Hill caves; entrances/passages follow the gentle SW dip of the strata, with cold springs bursting from the cliff base along Rtes 146/443</t>
  </si>
  <si>
    <t xml:space="preserve">(not measured in source)</t>
  </si>
  <si>
    <t xml:space="preserve">Part of the Barton Hill dip-parallel set; some insurgence points known, others buried under glacial cover</t>
  </si>
  <si>
    <t xml:space="preserve">Known cave (Nardacci, Altamont Enterprise 21 Apr 2016). Coordinates/dimensions NEEDED — Mylroie 1977 (NY Cave Survey Bull. 2) is the systematic source. Confidence C.</t>
  </si>
  <si>
    <t xml:space="preserve">Single X Cave</t>
  </si>
  <si>
    <t xml:space="preserve">Barton Hill cave known to sport cavers; parallels the other systems along the SW dip</t>
  </si>
  <si>
    <t xml:space="preserve">Barton Hill karst; insurgence not individually documented in source</t>
  </si>
  <si>
    <t xml:space="preserve">Known cave (Nardacci 2016). Coordinates/dimensions NEEDED. Confidence C.</t>
  </si>
  <si>
    <t xml:space="preserve">Joober Hole</t>
  </si>
  <si>
    <t xml:space="preserve">Helderberg Grp Ls</t>
  </si>
  <si>
    <t xml:space="preserve">Enormous OCCLUDED sinkhole — wholly/partly blocked by sediment; one of several on Barton Hill that imply far more cave than is currently enterable</t>
  </si>
  <si>
    <t xml:space="preserve">(large; not measured in source)</t>
  </si>
  <si>
    <t xml:space="preserve">Occluded sink: surface debris cuts off human entry and most water; the cave below is inferred, not entered</t>
  </si>
  <si>
    <t xml:space="preserve">Named occluded sinkhole (Nardacci 2016), Barton Hill. Coordinates NEEDED. Confidence C.</t>
  </si>
  <si>
    <t xml:space="preserve">Hannacroix Maze</t>
  </si>
  <si>
    <t xml:space="preserve">Joralemon Park, near Ravena (Coeymans, Albany Co.)</t>
  </si>
  <si>
    <t xml:space="preserve">Joint-controlled MAZE cave — acidic floodwater injected under pressure into a dense joint set carved a labyrinth</t>
  </si>
  <si>
    <t xml:space="preserve">True maze; NSS-mapped</t>
  </si>
  <si>
    <t xml:space="preserve">Drains an adjacent beaver pond; fetid standing water; feeds the Hannacroix Creek</t>
  </si>
  <si>
    <t xml:space="preserve">ACTIVE. A lowland Onondaga karst pocket SE of the escarpment cluster — the register's first Ravena/Coeymans-area feature. Nardacci 'Back Roads Geology'.</t>
  </si>
  <si>
    <t xml:space="preserve">Joralemon Cave</t>
  </si>
  <si>
    <t xml:space="preserve">Joralemon Park, Rte 102, Ravena (Coeymans, Albany Co.)</t>
  </si>
  <si>
    <t xml:space="preserve">Entrance on the E side of Rte 102 in a limestone bluff; a segment of a long-vanished cave system (erosional remnant)</t>
  </si>
  <si>
    <t xml:space="preserve">(not given in source)</t>
  </si>
  <si>
    <t xml:space="preserve">Part of the Joralemon karst — seeps, springs, sinkholes &amp; karst ponds under moisture-trapping hardwoods</t>
  </si>
  <si>
    <t xml:space="preserve">Named cave (Nardacci 'Back Roads Geology'). Coordinates/dimensions NEEDED. Lowland Onondaga karst near Ravena.</t>
  </si>
  <si>
    <t xml:space="preserve">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</si>
  <si>
    <t xml:space="preserve">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</si>
  <si>
    <t xml:space="preserve">Source: Northeastern Cave Conservancy preserve management plans (necaveconservancy.org/preserves/), NSS 1991 Knox writeup, Altamont Enterprise 'Back Roads Geology' (Nardacci), NYSGA 1991 Helderberg karst field guide.</t>
  </si>
  <si>
    <t xml:space="preserve">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</si>
  <si>
    <t xml:space="preserve">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</si>
  <si>
    <t xml:space="preserve">FeatID</t>
  </si>
  <si>
    <t xml:space="preserve">Bedrock unit (MapUnit)</t>
  </si>
  <si>
    <t xml:space="preserve">Karst class</t>
  </si>
  <si>
    <t xml:space="preserve">Likely origin</t>
  </si>
  <si>
    <t xml:space="preserve">Description (USGS)</t>
  </si>
  <si>
    <t xml:space="preserve">Lat</t>
  </si>
  <si>
    <t xml:space="preserve">Lon</t>
  </si>
  <si>
    <t xml:space="preserve">LiDAR-36-001-16</t>
  </si>
  <si>
    <t xml:space="preserve">Albany County</t>
  </si>
  <si>
    <t xml:space="preserve">Onondaga</t>
  </si>
  <si>
    <t xml:space="preserve">karst-prone (carbonate)</t>
  </si>
  <si>
    <t xml:space="preserve">natural?</t>
  </si>
  <si>
    <t xml:space="preserve">Located in agricultural land, surface drainage terminates at copse of trees, "sinkhole" signature</t>
  </si>
  <si>
    <t xml:space="preserve">LiDAR-36-001-17</t>
  </si>
  <si>
    <t xml:space="preserve">Forested area</t>
  </si>
  <si>
    <t xml:space="preserve">LiDAR-36-001-14</t>
  </si>
  <si>
    <t xml:space="preserve">Non-carbonate</t>
  </si>
  <si>
    <t xml:space="preserve">non-carbonate</t>
  </si>
  <si>
    <t xml:space="preserve">non-karst</t>
  </si>
  <si>
    <t xml:space="preserve">LiDAR-36-001-13</t>
  </si>
  <si>
    <t xml:space="preserve">Possible shallow depression in wooded area</t>
  </si>
  <si>
    <t xml:space="preserve">LiDAR-36-001-15</t>
  </si>
  <si>
    <t xml:space="preserve">Forested area adjacent to agricultural land.</t>
  </si>
  <si>
    <t xml:space="preserve">LiDAR-36-039-1</t>
  </si>
  <si>
    <t xml:space="preserve">Greene County</t>
  </si>
  <si>
    <t xml:space="preserve">Akron</t>
  </si>
  <si>
    <t xml:space="preserve">anthropogenic</t>
  </si>
  <si>
    <t xml:space="preserve">Former gravel pit</t>
  </si>
  <si>
    <t xml:space="preserve">LiDAR-36-001-7</t>
  </si>
  <si>
    <t xml:space="preserve">Shallow depression, partially wooded, adjacent to gravel pit, usually wet or ponded</t>
  </si>
  <si>
    <t xml:space="preserve">LiDAR-36-001-6</t>
  </si>
  <si>
    <t xml:space="preserve">Shallow depression, partially wooded, adjacent to gravel pit</t>
  </si>
  <si>
    <t xml:space="preserve">LiDAR-36-001-11</t>
  </si>
  <si>
    <t xml:space="preserve">Forested area adjacent to agricultural land</t>
  </si>
  <si>
    <t xml:space="preserve">LiDAR-36-001-12</t>
  </si>
  <si>
    <t xml:space="preserve">LiDAR-36-001-9</t>
  </si>
  <si>
    <t xml:space="preserve">Partially forested area</t>
  </si>
  <si>
    <t xml:space="preserve">LiDAR-36-001-10</t>
  </si>
  <si>
    <t xml:space="preserve">LiDAR-36-001-5</t>
  </si>
  <si>
    <t xml:space="preserve">LiDAR-36-001-8</t>
  </si>
  <si>
    <t xml:space="preserve">LiDAR-36-039-2</t>
  </si>
  <si>
    <t xml:space="preserve">LiDAR-36-039-3</t>
  </si>
  <si>
    <t xml:space="preserve">Private residence, former gravel pit</t>
  </si>
  <si>
    <t xml:space="preserve">LiDAR-36-001-2</t>
  </si>
  <si>
    <t xml:space="preserve">Transects agricultural land and wooded area, no crop stress or standing liquid observed.</t>
  </si>
  <si>
    <t xml:space="preserve">LiDAR-36-001-4</t>
  </si>
  <si>
    <t xml:space="preserve">Partially forested</t>
  </si>
  <si>
    <t xml:space="preserve">LiDAR-36-001-1</t>
  </si>
  <si>
    <t xml:space="preserve">Transects wooded area and scrap yard</t>
  </si>
  <si>
    <t xml:space="preserve">LiDAR-36-001-3</t>
  </si>
  <si>
    <t xml:space="preserve">LiDAR-36-039-4</t>
  </si>
  <si>
    <t xml:space="preserve">LiDAR-36-021-3</t>
  </si>
  <si>
    <t xml:space="preserve">Columbia County</t>
  </si>
  <si>
    <t xml:space="preserve">Gravel pit</t>
  </si>
  <si>
    <t xml:space="preserve">LiDAR-36-021-5</t>
  </si>
  <si>
    <t xml:space="preserve">Detention basin in mixed-use development area</t>
  </si>
  <si>
    <t xml:space="preserve">LiDAR-36-021-4</t>
  </si>
  <si>
    <t xml:space="preserve">Located in partially forested area adjacent to agricultural land, possible sinkhole 50m NE at edge of forested area.</t>
  </si>
  <si>
    <t xml:space="preserve">LiDAR-36-039-5</t>
  </si>
  <si>
    <t xml:space="preserve">Quarry</t>
  </si>
  <si>
    <t xml:space="preserve">LiDAR-36-039-6</t>
  </si>
  <si>
    <t xml:space="preserve">LiDAR-36-039-7</t>
  </si>
  <si>
    <t xml:space="preserve">LiDAR-36-021-8</t>
  </si>
  <si>
    <t xml:space="preserve">Detention basin at industrial facility, wet/ponded some years</t>
  </si>
  <si>
    <t xml:space="preserve">LiDAR-36-021-7</t>
  </si>
  <si>
    <t xml:space="preserve">LiDAR-36-095-2</t>
  </si>
  <si>
    <t xml:space="preserve">Probable detention basin, located in wooded area adjacent to agricultural land, near Cobleskill Creek</t>
  </si>
  <si>
    <t xml:space="preserve">LiDAR-36-039-8</t>
  </si>
  <si>
    <t xml:space="preserve">LiDAR-36-093-2</t>
  </si>
  <si>
    <t xml:space="preserve">Forested area, adjacent to a mix of agricultural land and residential development.</t>
  </si>
  <si>
    <t xml:space="preserve">LiDAR-36-021-9</t>
  </si>
  <si>
    <t xml:space="preserve">Detention basin adjacent to orchard/agricultural land</t>
  </si>
  <si>
    <t xml:space="preserve">LiDAR-36-021-6</t>
  </si>
  <si>
    <t xml:space="preserve">Shallow depression in agricultural land, copse of trees in farm field, wet some years</t>
  </si>
  <si>
    <t xml:space="preserve">LiDAR-36-039-9</t>
  </si>
  <si>
    <t xml:space="preserve">LiDAR-36-093-1</t>
  </si>
  <si>
    <t xml:space="preserve">Wooded area, probable former gravel pit</t>
  </si>
  <si>
    <t xml:space="preserve">LiDAR-36-021-10</t>
  </si>
  <si>
    <t xml:space="preserve">LiDAR-36-057-1</t>
  </si>
  <si>
    <t xml:space="preserve">Montgomery County</t>
  </si>
  <si>
    <t xml:space="preserve">Beekmantown</t>
  </si>
  <si>
    <t xml:space="preserve">Former quarry, ponded most years.</t>
  </si>
  <si>
    <t xml:space="preserve">LiDAR-36-095-3</t>
  </si>
  <si>
    <t xml:space="preserve">Excavated pond associated with private residence</t>
  </si>
  <si>
    <t xml:space="preserve">LiDAR-36-057-3</t>
  </si>
  <si>
    <t xml:space="preserve">Detention basin in light-industrial development area</t>
  </si>
  <si>
    <t xml:space="preserve">LiDAR-36-057-4</t>
  </si>
  <si>
    <t xml:space="preserve">LiDAR-36-057-2</t>
  </si>
  <si>
    <t xml:space="preserve">LiDAR-36-021-11</t>
  </si>
  <si>
    <t xml:space="preserve">Shallow depression in agricultural land</t>
  </si>
  <si>
    <t xml:space="preserve">LiDAR-36-021-12</t>
  </si>
  <si>
    <t xml:space="preserve">LiDAR-36-083-1</t>
  </si>
  <si>
    <t xml:space="preserve">LiDAR-36-111-1</t>
  </si>
  <si>
    <t xml:space="preserve">Ulster County</t>
  </si>
  <si>
    <t xml:space="preserve">Bedrock quarry</t>
  </si>
  <si>
    <t xml:space="preserve">LiDAR-36-021-2</t>
  </si>
  <si>
    <t xml:space="preserve">CalciticDolomiticMarble</t>
  </si>
  <si>
    <t xml:space="preserve">LiDAR-36-021-1</t>
  </si>
  <si>
    <t xml:space="preserve">LiDAR-36-057-6</t>
  </si>
  <si>
    <t xml:space="preserve">Extent includes agricultural land and wetland land cover, wet area in the southwest portion noted on several years of imagery</t>
  </si>
  <si>
    <t xml:space="preserve">LiDAR-36-057-5</t>
  </si>
  <si>
    <t xml:space="preserve">LiDAR-36-021-15</t>
  </si>
  <si>
    <t xml:space="preserve">Shallow depression located in athletic field at campground</t>
  </si>
  <si>
    <t xml:space="preserve">LiDAR-36-083-2</t>
  </si>
  <si>
    <t xml:space="preserve">Copse of trees transecting agricultural land</t>
  </si>
  <si>
    <t xml:space="preserve">LiDAR-36-095-1</t>
  </si>
  <si>
    <t xml:space="preserve">Copse of trees in agricultural land, similar but smaller features observed 150m S and 250m E, smaller features exhibit "sinkhole" signature</t>
  </si>
  <si>
    <t xml:space="preserve">LiDAR-36-091-27</t>
  </si>
  <si>
    <t xml:space="preserve">Wooded area, identified as nature preserve on Google Maps, possible former sand/gravel pit.</t>
  </si>
  <si>
    <t xml:space="preserve">LiDAR-36-027-3</t>
  </si>
  <si>
    <t xml:space="preserve">Dutchess County</t>
  </si>
  <si>
    <t xml:space="preserve">Possible shallow depression in agricultural land.</t>
  </si>
  <si>
    <t xml:space="preserve">LiDAR-36-027-1</t>
  </si>
  <si>
    <t xml:space="preserve">Located adjacent to agricultural land, ponded some years</t>
  </si>
  <si>
    <t xml:space="preserve">LiDAR-36-111-2</t>
  </si>
  <si>
    <t xml:space="preserve">Forested area, no indication of plant stress or standing water</t>
  </si>
  <si>
    <t xml:space="preserve">LiDAR-36-027-2</t>
  </si>
  <si>
    <t xml:space="preserve">Shallow depression in agricultural land.</t>
  </si>
  <si>
    <t xml:space="preserve">LiDAR-36-111-3</t>
  </si>
  <si>
    <t xml:space="preserve">Created by driveway roadbed, wet/ponded most years.</t>
  </si>
  <si>
    <t xml:space="preserve">LiDAR-36-027-4</t>
  </si>
  <si>
    <t xml:space="preserve">Wooded wetland in agricultural land, similar feature located 100 meters due east</t>
  </si>
  <si>
    <t xml:space="preserve">LiDAR-36-091-26</t>
  </si>
  <si>
    <t xml:space="preserve">LiDAR-36-111-4</t>
  </si>
  <si>
    <t xml:space="preserve">LiDAR-36-111-6</t>
  </si>
  <si>
    <t xml:space="preserve">LiDAR-36-111-5</t>
  </si>
  <si>
    <t xml:space="preserve">LiDAR-36-111-7</t>
  </si>
  <si>
    <t xml:space="preserve">Former quarry</t>
  </si>
  <si>
    <t xml:space="preserve">LiDAR-36-091-25</t>
  </si>
  <si>
    <t xml:space="preserve">Wooded wetland</t>
  </si>
  <si>
    <t xml:space="preserve">LiDAR-36-021-13</t>
  </si>
  <si>
    <t xml:space="preserve">LiDAR-36-111-8</t>
  </si>
  <si>
    <t xml:space="preserve">LiDAR-36-077-5</t>
  </si>
  <si>
    <t xml:space="preserve">Otsego County</t>
  </si>
  <si>
    <t xml:space="preserve">Sand or gravel pit</t>
  </si>
  <si>
    <t xml:space="preserve">LiDAR-36-091-24</t>
  </si>
  <si>
    <t xml:space="preserve">LiDAR-36-027-5</t>
  </si>
  <si>
    <t xml:space="preserve">Possible shallow depression in area of mixed forest/rural residential land use.</t>
  </si>
  <si>
    <t xml:space="preserve">LiDAR-36-021-16</t>
  </si>
  <si>
    <t xml:space="preserve">Excavated farm pond</t>
  </si>
  <si>
    <t xml:space="preserve">LiDAR-36-021-14</t>
  </si>
  <si>
    <t xml:space="preserve">LiDAR-36-021-17</t>
  </si>
  <si>
    <t xml:space="preserve">LiDAR-36-077-4</t>
  </si>
  <si>
    <t xml:space="preserve">Non-carbonate over carbonate</t>
  </si>
  <si>
    <t xml:space="preserve">mixed (non-carb/carb)</t>
  </si>
  <si>
    <t xml:space="preserve">Created by US RT 20 roadbed, adjacent to agricultural land, ponded some years.</t>
  </si>
  <si>
    <t xml:space="preserve">LiDAR-36-111-9</t>
  </si>
  <si>
    <t xml:space="preserve">LiDAR-36-035-3</t>
  </si>
  <si>
    <t xml:space="preserve">Fulton County</t>
  </si>
  <si>
    <t xml:space="preserve">LiDAR-36-077-2</t>
  </si>
  <si>
    <t xml:space="preserve">Possible shallow depression in agricultural land, no crop stress or standing liquid noted.</t>
  </si>
  <si>
    <t xml:space="preserve">LiDAR-36-111-10</t>
  </si>
  <si>
    <t xml:space="preserve">LiDAR-36-027-6</t>
  </si>
  <si>
    <t xml:space="preserve">Wappinger Group</t>
  </si>
  <si>
    <t xml:space="preserve">Shallow depression in wooded area, ponding evident some years</t>
  </si>
  <si>
    <t xml:space="preserve">LiDAR-36-111-11</t>
  </si>
  <si>
    <t xml:space="preserve">LiDAR-36-035-2</t>
  </si>
  <si>
    <t xml:space="preserve">Heavily wooded area, possible tree plantation site</t>
  </si>
  <si>
    <t xml:space="preserve">LiDAR-36-035-1</t>
  </si>
  <si>
    <t xml:space="preserve">LiDAR-36-091-21</t>
  </si>
  <si>
    <t xml:space="preserve">Golf course water feature</t>
  </si>
  <si>
    <t xml:space="preserve">LiDAR-36-091-22</t>
  </si>
  <si>
    <t xml:space="preserve">Partially wooded, wet/ponded some years</t>
  </si>
  <si>
    <t xml:space="preserve">LiDAR-36-043-18</t>
  </si>
  <si>
    <t xml:space="preserve">Herkimer County</t>
  </si>
  <si>
    <t xml:space="preserve">Shallow depression transecting agricultural/plantation/fallow land</t>
  </si>
  <si>
    <t xml:space="preserve">LiDAR-36-091-20</t>
  </si>
  <si>
    <t xml:space="preserve">LiDAR-36-077-1</t>
  </si>
  <si>
    <t xml:space="preserve">Located in agricultural land, "sinkhole" signature, wet or ponded most years</t>
  </si>
  <si>
    <t xml:space="preserve">LiDAR-36-111-12</t>
  </si>
  <si>
    <t xml:space="preserve">Transects wooded wetland/agricultural land, no indication of crop stress or standing liquid.</t>
  </si>
  <si>
    <t xml:space="preserve">LiDAR-36-111-13</t>
  </si>
  <si>
    <t xml:space="preserve">Disturbed ground in wooded area adjacent to residential and agricutural land use.</t>
  </si>
  <si>
    <t xml:space="preserve">LiDAR-36-091-23</t>
  </si>
  <si>
    <t xml:space="preserve">LiDAR-36-043-20</t>
  </si>
  <si>
    <t xml:space="preserve">Shallow depression transecting agricultural/fallow land</t>
  </si>
  <si>
    <t xml:space="preserve">LiDAR-36-111-15</t>
  </si>
  <si>
    <t xml:space="preserve">Wooded area at private residence, adjacent to agricultural land, no indication of wet soil or ponding.</t>
  </si>
  <si>
    <t xml:space="preserve">LiDAR-36-091-19</t>
  </si>
  <si>
    <t xml:space="preserve">LiDAR-36-091-16</t>
  </si>
  <si>
    <t xml:space="preserve">LiDAR-36-091-18</t>
  </si>
  <si>
    <t xml:space="preserve">LiDAR-36-091-6</t>
  </si>
  <si>
    <t xml:space="preserve">Shallow depression located at golf course</t>
  </si>
  <si>
    <t xml:space="preserve">LiDAR-36-091-17</t>
  </si>
  <si>
    <t xml:space="preserve">LiDAR-36-111-14</t>
  </si>
  <si>
    <t xml:space="preserve">LiDAR-36-091-13</t>
  </si>
  <si>
    <t xml:space="preserve">LiDAR-36-091-14</t>
  </si>
  <si>
    <t xml:space="preserve">LiDAR-36-091-12</t>
  </si>
  <si>
    <t xml:space="preserve">LiDAR-36-091-15</t>
  </si>
  <si>
    <t xml:space="preserve">LiDAR-36-091-8</t>
  </si>
  <si>
    <t xml:space="preserve">LiDAR-36-091-9</t>
  </si>
  <si>
    <t xml:space="preserve">LiDAR-36-077-3</t>
  </si>
  <si>
    <t xml:space="preserve">Gravel pit, rock quarry, very evident structure on quarry floor</t>
  </si>
  <si>
    <t xml:space="preserve">LiDAR-36-091-10</t>
  </si>
  <si>
    <t xml:space="preserve">LiDAR-36-091-11</t>
  </si>
  <si>
    <t xml:space="preserve">Shallow depression in partially-cleared/forested area, adjacent to rural-residential development</t>
  </si>
  <si>
    <t xml:space="preserve">LiDAR-36-043-15</t>
  </si>
  <si>
    <t xml:space="preserve">Probable shallow depression in agricultural land, crop stress noted some years.</t>
  </si>
  <si>
    <t xml:space="preserve">LiDAR-36-091-7</t>
  </si>
  <si>
    <t xml:space="preserve">LiDAR-36-091-5</t>
  </si>
  <si>
    <t xml:space="preserve">LiDAR-36-027-7</t>
  </si>
  <si>
    <t xml:space="preserve">Possible former gravel/borrow pit</t>
  </si>
  <si>
    <t xml:space="preserve">LiDAR-36-027-9</t>
  </si>
  <si>
    <t xml:space="preserve">LiDAR-36-091-4</t>
  </si>
  <si>
    <t xml:space="preserve">LiDAR-36-111-16</t>
  </si>
  <si>
    <t xml:space="preserve">LiDAR-36-027-8</t>
  </si>
  <si>
    <t xml:space="preserve">Sand/gravel pit</t>
  </si>
  <si>
    <t xml:space="preserve">LiDAR-36-111-17</t>
  </si>
  <si>
    <t xml:space="preserve">Possible former gravel pit, ponded</t>
  </si>
  <si>
    <t xml:space="preserve">LiDAR-36-091-3</t>
  </si>
  <si>
    <t xml:space="preserve">Shallow depression located at landfill</t>
  </si>
  <si>
    <t xml:space="preserve">LiDAR-36-111-18</t>
  </si>
  <si>
    <t xml:space="preserve">Depression located within wooded area, ponded most years</t>
  </si>
  <si>
    <t xml:space="preserve">LiDAR-36-043-9</t>
  </si>
  <si>
    <t xml:space="preserve">Possible shallow depression in wooded area adjacent to agricultural land</t>
  </si>
  <si>
    <t xml:space="preserve">LiDAR-36-111-20</t>
  </si>
  <si>
    <t xml:space="preserve">Detention basin</t>
  </si>
  <si>
    <t xml:space="preserve">LiDAR-36-043-4</t>
  </si>
  <si>
    <t xml:space="preserve">Impeded drainage along former Erie Canal</t>
  </si>
  <si>
    <t xml:space="preserve">LiDAR-36-027-10</t>
  </si>
  <si>
    <t xml:space="preserve">LiDAR-36-091-1</t>
  </si>
  <si>
    <t xml:space="preserve">Probable former sand/gravel pit</t>
  </si>
  <si>
    <t xml:space="preserve">LiDAR-36-111-19</t>
  </si>
  <si>
    <t xml:space="preserve">LiDAR-36-111-21</t>
  </si>
  <si>
    <t xml:space="preserve">Possible former sand/gravel pit.</t>
  </si>
  <si>
    <t xml:space="preserve">LiDAR-36-091-2</t>
  </si>
  <si>
    <t xml:space="preserve">LiDAR-36-043-7</t>
  </si>
  <si>
    <t xml:space="preserve">Wooded area, former sand/gravel pit, adjacent to agricultural land and Mohawk River</t>
  </si>
  <si>
    <t xml:space="preserve">LiDAR-36-043-3</t>
  </si>
  <si>
    <t xml:space="preserve">Shallow depression in golf course, former agricultural land, small copse of trees 50m SW exhibits "sinkhole" signature.</t>
  </si>
  <si>
    <t xml:space="preserve">LiDAR-36-113-23</t>
  </si>
  <si>
    <t xml:space="preserve">Warren County</t>
  </si>
  <si>
    <t xml:space="preserve">Forested area adjacent to residential development.</t>
  </si>
  <si>
    <t xml:space="preserve">LiDAR-36-113-21</t>
  </si>
  <si>
    <t xml:space="preserve">Possible shallow depression in residential development</t>
  </si>
  <si>
    <t xml:space="preserve">LiDAR-36-113-22</t>
  </si>
  <si>
    <t xml:space="preserve">Possible shallow depression transects residential development and wooded area</t>
  </si>
  <si>
    <t xml:space="preserve">LiDAR-36-113-20</t>
  </si>
  <si>
    <t xml:space="preserve">LiDAR-36-115-11</t>
  </si>
  <si>
    <t xml:space="preserve">Washington County</t>
  </si>
  <si>
    <t xml:space="preserve">LiDAR-36-043-6</t>
  </si>
  <si>
    <t xml:space="preserve">Impeded drainage by RR bed</t>
  </si>
  <si>
    <t xml:space="preserve">LiDAR-36-115-10</t>
  </si>
  <si>
    <t xml:space="preserve">LiDAR-36-043-2</t>
  </si>
  <si>
    <t xml:space="preserve">Shallow depression, possible detention basin</t>
  </si>
  <si>
    <t xml:space="preserve">LiDAR-36-115-9</t>
  </si>
  <si>
    <t xml:space="preserve">LiDAR-36-043-5</t>
  </si>
  <si>
    <t xml:space="preserve">Shallow depression, ringed by roadbed/former RR bed, possibley a detention basin</t>
  </si>
  <si>
    <t xml:space="preserve">LiDAR-36-077-6</t>
  </si>
  <si>
    <t xml:space="preserve">Wooded wetland adjacent to agricultural land, wet/ponded some years</t>
  </si>
  <si>
    <t xml:space="preserve">LiDAR-36-043-10</t>
  </si>
  <si>
    <t xml:space="preserve">Forested area adjacent to agricultural land, possible former sand/gravel pit.</t>
  </si>
  <si>
    <t xml:space="preserve">LiDAR-36-113-19</t>
  </si>
  <si>
    <t xml:space="preserve">LiDAR-36-043-12</t>
  </si>
  <si>
    <t xml:space="preserve">LiDAR-36-043-13</t>
  </si>
  <si>
    <t xml:space="preserve">Former sand/gravel pit</t>
  </si>
  <si>
    <t xml:space="preserve">LiDAR-36-043-14</t>
  </si>
  <si>
    <t xml:space="preserve">LiDAR-36-043-17</t>
  </si>
  <si>
    <t xml:space="preserve">Forested area, possible former sand/gravel pit, probable sinkhole 200m E in adjacent agricultural field.</t>
  </si>
  <si>
    <t xml:space="preserve">LiDAR-36-113-17</t>
  </si>
  <si>
    <t xml:space="preserve">LiDAR-36-113-18</t>
  </si>
  <si>
    <t xml:space="preserve">LiDAR-36-043-8</t>
  </si>
  <si>
    <t xml:space="preserve">Camillus</t>
  </si>
  <si>
    <t xml:space="preserve">LiDAR-36-113-16</t>
  </si>
  <si>
    <t xml:space="preserve">Located in wooded area adjacent to mixed-use development area, possible impeded drainage (roadbed SR 149), northern extent ponded some years</t>
  </si>
  <si>
    <t xml:space="preserve">LiDAR-36-111-22</t>
  </si>
  <si>
    <t xml:space="preserve">LiDAR-36-027-11</t>
  </si>
  <si>
    <t xml:space="preserve">Excavated farm pond (2004)</t>
  </si>
  <si>
    <t xml:space="preserve">LiDAR-36-043-16</t>
  </si>
  <si>
    <t xml:space="preserve">Wooded area in agricultural land, feature in field to west exhibits "sinkhole" signature in all years</t>
  </si>
  <si>
    <t xml:space="preserve">LiDAR-36-113-15</t>
  </si>
  <si>
    <t xml:space="preserve">Possible depression/detention basin in residential development</t>
  </si>
  <si>
    <t xml:space="preserve">LiDAR-36-043-19</t>
  </si>
  <si>
    <t xml:space="preserve">Wooded area adjacent to agricultural land, ponding noted some years.</t>
  </si>
  <si>
    <t xml:space="preserve">LiDAR-36-027-13</t>
  </si>
  <si>
    <t xml:space="preserve">Wooded area in region of commercial/residential development, no indication of tree stress or ponding.</t>
  </si>
  <si>
    <t xml:space="preserve">LiDAR-36-113-14</t>
  </si>
  <si>
    <t xml:space="preserve">Created by roadbed, forested area, no indication of plant stress or standing liquid.</t>
  </si>
  <si>
    <t xml:space="preserve">LiDAR-36-113-13</t>
  </si>
  <si>
    <t xml:space="preserve">Transects area of forested and agricultural land use.</t>
  </si>
  <si>
    <t xml:space="preserve">LiDAR-36-113-12</t>
  </si>
  <si>
    <t xml:space="preserve">LiDAR-36-115-7</t>
  </si>
  <si>
    <t xml:space="preserve">Situated between wooded area and private residence, ponded some years</t>
  </si>
  <si>
    <t xml:space="preserve">LiDAR-36-027-14</t>
  </si>
  <si>
    <t xml:space="preserve">Possible shallow depression in wooded area within residential development</t>
  </si>
  <si>
    <t xml:space="preserve">LiDAR-36-043-11</t>
  </si>
  <si>
    <t xml:space="preserve">Former gravel pit, ponded most years, drains to North Winfield Cr</t>
  </si>
  <si>
    <t xml:space="preserve">LiDAR-36-115-8</t>
  </si>
  <si>
    <t xml:space="preserve">Cleared area adjacent to Champlain Canal, possible detention basin, northern extent ponded one year</t>
  </si>
  <si>
    <t xml:space="preserve">LiDAR-36-027-12</t>
  </si>
  <si>
    <t xml:space="preserve">Detention basin at quarry</t>
  </si>
  <si>
    <t xml:space="preserve">LiDAR-36-113-11</t>
  </si>
  <si>
    <t xml:space="preserve">Small pond in forested area</t>
  </si>
  <si>
    <t xml:space="preserve">LiDAR-36-115-5</t>
  </si>
  <si>
    <t xml:space="preserve">LiDAR-36-105-1</t>
  </si>
  <si>
    <t xml:space="preserve">Sullivan County</t>
  </si>
  <si>
    <t xml:space="preserve">LiDAR-36-115-4</t>
  </si>
  <si>
    <t xml:space="preserve">LiDAR-36-105-2</t>
  </si>
  <si>
    <t xml:space="preserve">LiDAR-36-027-15</t>
  </si>
  <si>
    <t xml:space="preserve">Possible shallow depression in agricultural land, small intermittent wet area, otherwise no plant stress noted.</t>
  </si>
  <si>
    <t xml:space="preserve">LiDAR-36-105-3</t>
  </si>
  <si>
    <t xml:space="preserve">Shallow depression in wooded area, adjacent to gravel pit</t>
  </si>
  <si>
    <t xml:space="preserve">LiDAR-36-053-9</t>
  </si>
  <si>
    <t xml:space="preserve">Madison County</t>
  </si>
  <si>
    <t xml:space="preserve">Located in agricultural land, lake/pond, wet/ponded most years</t>
  </si>
  <si>
    <t xml:space="preserve">LiDAR-36-065-9</t>
  </si>
  <si>
    <t xml:space="preserve">Oneida County</t>
  </si>
  <si>
    <t xml:space="preserve">Located in agricultural land, "sinkhole" signature, water-filled on several years of imagery</t>
  </si>
  <si>
    <t xml:space="preserve">LiDAR-36-043-1</t>
  </si>
  <si>
    <t xml:space="preserve">Intermittent gravel pit</t>
  </si>
  <si>
    <t xml:space="preserve">LiDAR-36-065-11</t>
  </si>
  <si>
    <t xml:space="preserve">One of 3 features located in agricultural land along NW-SE axis, northernmost feature exhibits "sinkhole" signature, features appear wet/water-filled on several years of imagery</t>
  </si>
  <si>
    <t xml:space="preserve">LiDAR-36-113-10</t>
  </si>
  <si>
    <t xml:space="preserve">LiDAR-36-115-6</t>
  </si>
  <si>
    <t xml:space="preserve">Small pond in forested area, dry some years</t>
  </si>
  <si>
    <t xml:space="preserve">LiDAR-36-113-9</t>
  </si>
  <si>
    <t xml:space="preserve">LiDAR-36-027-16</t>
  </si>
  <si>
    <t xml:space="preserve">Wooded wetland, wet/ponded some years.</t>
  </si>
  <si>
    <t xml:space="preserve">LiDAR-36-065-8</t>
  </si>
  <si>
    <t xml:space="preserve">In agricultural land, no crop stress or standing liquid observed</t>
  </si>
  <si>
    <t xml:space="preserve">LiDAR-36-113-8</t>
  </si>
  <si>
    <t xml:space="preserve">LiDAR-36-065-7</t>
  </si>
  <si>
    <t xml:space="preserve">Extent includes forested, wetland, and agricultural land, possible wet soil observed some years</t>
  </si>
  <si>
    <t xml:space="preserve">LiDAR-36-071-1</t>
  </si>
  <si>
    <t xml:space="preserve">LiDAR-36-113-7</t>
  </si>
  <si>
    <t xml:space="preserve">Forested area, possible former sand/gravel pit</t>
  </si>
  <si>
    <t xml:space="preserve">LiDAR-36-113-6</t>
  </si>
  <si>
    <t xml:space="preserve">LiDAR-36-115-2</t>
  </si>
  <si>
    <t xml:space="preserve">LiDAR-36-065-10</t>
  </si>
  <si>
    <t xml:space="preserve">LiDAR-36-115-3</t>
  </si>
  <si>
    <t xml:space="preserve">LiDAR-36-071-4</t>
  </si>
  <si>
    <t xml:space="preserve">LiDAR-36-071-6</t>
  </si>
  <si>
    <t xml:space="preserve">Wetland within agricultural area, wet/ponded all years, drainage from area partially impeded by RR bed.</t>
  </si>
  <si>
    <t xml:space="preserve">LiDAR-36-071-5</t>
  </si>
  <si>
    <t xml:space="preserve">Source: USGS Reddy, Kappel &amp; Root 2020, LiDAR Closed-Depression Database (data release for SIR 2020-5030), doi:10.5066/P9HGN5IJ. Filtered to 191 depressions within 75 mi of Westerlo out of 514 statewide in the file. Centroids computed from polygon vertices.</t>
  </si>
  <si>
    <t xml:space="preserve">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</si>
  <si>
    <t xml:space="preserve">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</si>
</sst>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i val="true"/>
      <sz val="9"/>
      <color rgb="FFC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86.25" hidden="false" customHeight="true" outlineLevel="0" collapsed="false">
      <c r="A1" s="2" t="s">
        <v>0</v>
      </c>
      <c r="B1" s="3"/>
    </row>
    <row r="2" customFormat="false" ht="34.5" hidden="false" customHeight="true" outlineLevel="0" collapsed="false">
      <c r="A2" s="3" t="s">
        <v>1</v>
      </c>
      <c r="B2" s="3"/>
    </row>
    <row r="3" customFormat="false" ht="15" hidden="false" customHeight="true" outlineLevel="0" collapsed="false">
      <c r="A3" s="3" t="s">
        <v>2</v>
      </c>
      <c r="B3" s="4" t="n">
        <v>42.517</v>
      </c>
    </row>
    <row r="4" customFormat="false" ht="15" hidden="false" customHeight="true" outlineLevel="0" collapsed="false">
      <c r="A4" s="3" t="s">
        <v>3</v>
      </c>
      <c r="B4" s="4" t="n">
        <v>-74.045</v>
      </c>
    </row>
    <row r="5" customFormat="false" ht="15" hidden="false" customHeight="true" outlineLevel="0" collapsed="false">
      <c r="A5" s="3" t="s">
        <v>4</v>
      </c>
      <c r="B5" s="4" t="n">
        <v>30</v>
      </c>
    </row>
    <row r="6" customFormat="false" ht="191.25" hidden="false" customHeight="true" outlineLevel="0" collapsed="false">
      <c r="A6" s="3" t="s">
        <v>5</v>
      </c>
      <c r="B6" s="3"/>
    </row>
    <row r="7" customFormat="false" ht="15" hidden="false" customHeight="true" outlineLevel="0" collapsed="false">
      <c r="A7" s="5"/>
      <c r="B7" s="3"/>
    </row>
    <row r="8" customFormat="false" ht="15" hidden="false" customHeight="true" outlineLevel="0" collapsed="false">
      <c r="A8" s="3" t="s">
        <v>6</v>
      </c>
      <c r="B8" s="3"/>
    </row>
    <row r="9" customFormat="false" ht="15" hidden="false" customHeight="true" outlineLevel="0" collapsed="false">
      <c r="A9" s="3" t="s">
        <v>7</v>
      </c>
      <c r="B9" s="3" t="s">
        <v>8</v>
      </c>
    </row>
    <row r="10" customFormat="false" ht="34.5" hidden="false" customHeight="true" outlineLevel="0" collapsed="false">
      <c r="A10" s="3" t="s">
        <v>9</v>
      </c>
      <c r="B10" s="3" t="s">
        <v>10</v>
      </c>
    </row>
    <row r="11" customFormat="false" ht="15" hidden="false" customHeight="true" outlineLevel="0" collapsed="false">
      <c r="A11" s="3" t="s">
        <v>11</v>
      </c>
      <c r="B11" s="3" t="s">
        <v>12</v>
      </c>
    </row>
    <row r="12" customFormat="false" ht="15" hidden="false" customHeight="true" outlineLevel="0" collapsed="false">
      <c r="A12" s="3" t="s">
        <v>13</v>
      </c>
      <c r="B12" s="3" t="s">
        <v>14</v>
      </c>
    </row>
    <row r="13" customFormat="false" ht="15" hidden="false" customHeight="true" outlineLevel="0" collapsed="false">
      <c r="A13" s="5"/>
      <c r="B13" s="3"/>
    </row>
    <row r="14" customFormat="false" ht="15" hidden="false" customHeight="true" outlineLevel="0" collapsed="false">
      <c r="A14" s="3" t="s">
        <v>15</v>
      </c>
      <c r="B14" s="3"/>
    </row>
    <row r="15" customFormat="false" ht="15" hidden="false" customHeight="true" outlineLevel="0" collapsed="false">
      <c r="A15" s="3" t="s">
        <v>16</v>
      </c>
      <c r="B15" s="3" t="s">
        <v>17</v>
      </c>
    </row>
    <row r="16" customFormat="false" ht="15" hidden="false" customHeight="true" outlineLevel="0" collapsed="false">
      <c r="A16" s="3" t="s">
        <v>18</v>
      </c>
      <c r="B16" s="3" t="s">
        <v>19</v>
      </c>
    </row>
    <row r="17" customFormat="false" ht="15" hidden="false" customHeight="true" outlineLevel="0" collapsed="false">
      <c r="A17" s="3" t="s">
        <v>20</v>
      </c>
      <c r="B17" s="3" t="s">
        <v>21</v>
      </c>
    </row>
    <row r="18" customFormat="false" ht="15" hidden="false" customHeight="true" outlineLevel="0" collapsed="false">
      <c r="A18" s="5"/>
      <c r="B18" s="3"/>
    </row>
    <row r="19" customFormat="false" ht="23.25" hidden="false" customHeight="true" outlineLevel="0" collapsed="false">
      <c r="A19" s="3" t="s">
        <v>22</v>
      </c>
      <c r="B19" s="3" t="s">
        <v>23</v>
      </c>
    </row>
    <row r="20" customFormat="false" ht="15" hidden="false" customHeight="true" outlineLevel="0" collapsed="false">
      <c r="A20" s="5"/>
      <c r="B20" s="3"/>
    </row>
    <row r="21" customFormat="false" ht="15" hidden="false" customHeight="true" outlineLevel="0" collapsed="false">
      <c r="A21" s="3" t="s">
        <v>24</v>
      </c>
      <c r="B21" s="3"/>
    </row>
    <row r="22" customFormat="false" ht="23.25" hidden="false" customHeight="true" outlineLevel="0" collapsed="false">
      <c r="A22" s="3" t="s">
        <v>25</v>
      </c>
      <c r="B22" s="3" t="s">
        <v>26</v>
      </c>
    </row>
    <row r="23" customFormat="false" ht="23.25" hidden="false" customHeight="true" outlineLevel="0" collapsed="false">
      <c r="A23" s="3" t="s">
        <v>27</v>
      </c>
      <c r="B23" s="3" t="s">
        <v>28</v>
      </c>
    </row>
    <row r="24" customFormat="false" ht="15" hidden="false" customHeight="true" outlineLevel="0" collapsed="false">
      <c r="A24" s="3" t="s">
        <v>29</v>
      </c>
      <c r="B24" s="3" t="s">
        <v>30</v>
      </c>
    </row>
    <row r="25" customFormat="false" ht="15" hidden="false" customHeight="true" outlineLevel="0" collapsed="false">
      <c r="A25" s="3" t="s">
        <v>31</v>
      </c>
      <c r="B25" s="3" t="s">
        <v>32</v>
      </c>
    </row>
    <row r="26" customFormat="false" ht="23.25" hidden="false" customHeight="true" outlineLevel="0" collapsed="false">
      <c r="A26" s="3" t="s">
        <v>33</v>
      </c>
      <c r="B26" s="3" t="s">
        <v>34</v>
      </c>
    </row>
    <row r="27" customFormat="false" ht="15" hidden="false" customHeight="true" outlineLevel="0" collapsed="false">
      <c r="A27" s="3" t="s">
        <v>35</v>
      </c>
      <c r="B27" s="3" t="s">
        <v>36</v>
      </c>
    </row>
    <row r="28" customFormat="false" ht="15" hidden="false" customHeight="true" outlineLevel="0" collapsed="false">
      <c r="A28" s="3"/>
      <c r="B28" s="3"/>
    </row>
    <row r="29" customFormat="false" ht="34.5" hidden="false" customHeight="true" outlineLevel="0" collapsed="false">
      <c r="A29" s="3" t="s">
        <v>37</v>
      </c>
      <c r="B29" s="3" t="s">
        <v>38</v>
      </c>
    </row>
    <row r="30" customFormat="false" ht="23.25" hidden="false" customHeight="true" outlineLevel="0" collapsed="false">
      <c r="A30" s="3" t="s">
        <v>39</v>
      </c>
      <c r="B30" s="3" t="s">
        <v>40</v>
      </c>
    </row>
    <row r="31" customFormat="false" ht="23.25" hidden="false" customHeight="true" outlineLevel="0" collapsed="false">
      <c r="A31" s="3" t="s">
        <v>41</v>
      </c>
      <c r="B31" s="3" t="s">
        <v>42</v>
      </c>
    </row>
    <row r="32" customFormat="false" ht="34.5" hidden="false" customHeight="true" outlineLevel="0" collapsed="false">
      <c r="A32" s="3" t="s">
        <v>43</v>
      </c>
      <c r="B32"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2"/>
    <col collapsed="false" customWidth="true" hidden="false" outlineLevel="0" max="4" min="4" style="1" width="7"/>
    <col collapsed="false" customWidth="true" hidden="false" outlineLevel="0" max="5" min="5" style="1" width="9"/>
    <col collapsed="false" customWidth="true" hidden="false" outlineLevel="0" max="6" min="6" style="1" width="22"/>
    <col collapsed="false" customWidth="true" hidden="false" outlineLevel="0" max="7" min="7" style="1" width="34"/>
    <col collapsed="false" customWidth="true" hidden="false" outlineLevel="0" max="8" min="8" style="1" width="28"/>
    <col collapsed="false" customWidth="true" hidden="false" outlineLevel="0" max="9" min="9" style="1" width="40"/>
    <col collapsed="false" customWidth="true" hidden="false" outlineLevel="0" max="10" min="10" style="1" width="18"/>
    <col collapsed="false" customWidth="true" hidden="false" outlineLevel="0" max="11" min="11" style="1" width="55"/>
    <col collapsed="false" customWidth="true" hidden="false" outlineLevel="0" max="13" min="12" style="1" width="30"/>
    <col collapsed="false" customWidth="true" hidden="false" outlineLevel="0" max="15" min="14" style="1" width="10"/>
    <col collapsed="false" customWidth="true" hidden="false" outlineLevel="0" max="16" min="16" style="1" width="40"/>
    <col collapsed="false" customWidth="true" hidden="false" outlineLevel="0" max="17" min="17" style="1" width="13"/>
    <col collapsed="false" customWidth="true" hidden="false" outlineLevel="0" max="19" min="18" style="1" width="8"/>
    <col collapsed="false" customWidth="true" hidden="false" outlineLevel="0" max="20" min="20" style="1" width="7"/>
    <col collapsed="false" customWidth="true" hidden="false" outlineLevel="0" max="21" min="21" style="1" width="10"/>
    <col collapsed="false" customWidth="true" hidden="false" outlineLevel="0" max="22" min="22" style="1" width="40"/>
  </cols>
  <sheetData>
    <row r="1" customFormat="false" ht="45.75" hidden="false" customHeight="true" outlineLevel="0" collapsed="false">
      <c r="A1" s="6" t="s">
        <v>44</v>
      </c>
      <c r="B1" s="6" t="s">
        <v>45</v>
      </c>
      <c r="C1" s="6" t="s">
        <v>46</v>
      </c>
      <c r="D1" s="6" t="s">
        <v>47</v>
      </c>
      <c r="E1" s="6" t="s">
        <v>48</v>
      </c>
      <c r="F1" s="6" t="s">
        <v>49</v>
      </c>
      <c r="G1" s="6" t="s">
        <v>50</v>
      </c>
      <c r="H1" s="6" t="s">
        <v>51</v>
      </c>
      <c r="I1" s="6" t="s">
        <v>52</v>
      </c>
      <c r="J1" s="6" t="s">
        <v>53</v>
      </c>
      <c r="K1" s="6" t="s">
        <v>54</v>
      </c>
      <c r="L1" s="6" t="s">
        <v>55</v>
      </c>
      <c r="M1" s="6" t="s">
        <v>56</v>
      </c>
      <c r="N1" s="6" t="s">
        <v>57</v>
      </c>
      <c r="O1" s="6" t="s">
        <v>58</v>
      </c>
      <c r="P1" s="6" t="s">
        <v>59</v>
      </c>
      <c r="Q1" s="6" t="s">
        <v>60</v>
      </c>
      <c r="R1" s="6" t="s">
        <v>61</v>
      </c>
      <c r="S1" s="6" t="s">
        <v>62</v>
      </c>
      <c r="T1" s="6" t="s">
        <v>63</v>
      </c>
      <c r="U1" s="6" t="s">
        <v>64</v>
      </c>
      <c r="V1" s="6" t="s">
        <v>65</v>
      </c>
    </row>
    <row r="2" customFormat="false" ht="34.5" hidden="false" customHeight="true" outlineLevel="0" collapsed="false">
      <c r="A2" s="7" t="n">
        <v>1</v>
      </c>
      <c r="B2" s="7" t="s">
        <v>66</v>
      </c>
      <c r="C2" s="7" t="s">
        <v>66</v>
      </c>
      <c r="D2" s="7" t="n">
        <f aca="false">VALUE(LEFT(B2,4))</f>
        <v>1635</v>
      </c>
      <c r="E2" s="7" t="n">
        <f aca="false">INT((D2-1)/100)+1</f>
        <v>17</v>
      </c>
      <c r="F2" s="7" t="s">
        <v>67</v>
      </c>
      <c r="G2" s="7" t="s">
        <v>68</v>
      </c>
      <c r="H2" s="7" t="s">
        <v>69</v>
      </c>
      <c r="I2" s="7" t="s">
        <v>70</v>
      </c>
      <c r="J2" s="7" t="s">
        <v>71</v>
      </c>
      <c r="K2" s="7" t="s">
        <v>72</v>
      </c>
      <c r="L2" s="7" t="s">
        <v>73</v>
      </c>
      <c r="M2" s="7" t="s">
        <v>74</v>
      </c>
      <c r="N2" s="7" t="s">
        <v>20</v>
      </c>
      <c r="O2" s="7" t="s">
        <v>75</v>
      </c>
      <c r="P2" s="7" t="s">
        <v>76</v>
      </c>
      <c r="Q2" s="7" t="s">
        <v>66</v>
      </c>
      <c r="R2" s="7" t="n">
        <f aca="false">VALUE(LEFT(Q2,4))</f>
        <v>1635</v>
      </c>
      <c r="S2" s="7" t="n">
        <f aca="false">VALUE(MID(Q2,6,2))</f>
        <v>8</v>
      </c>
      <c r="T2" s="7" t="n">
        <f aca="false">VALUE(RIGHT(Q2,2))</f>
        <v>25</v>
      </c>
      <c r="U2" s="7" t="s">
        <v>77</v>
      </c>
      <c r="V2" s="7" t="s">
        <v>78</v>
      </c>
    </row>
    <row r="3" customFormat="false" ht="45.75" hidden="false" customHeight="true" outlineLevel="0" collapsed="false">
      <c r="A3" s="7" t="n">
        <v>2</v>
      </c>
      <c r="B3" s="7" t="s">
        <v>79</v>
      </c>
      <c r="C3" s="7" t="s">
        <v>79</v>
      </c>
      <c r="D3" s="7" t="n">
        <f aca="false">VALUE(LEFT(B3,4))</f>
        <v>1645</v>
      </c>
      <c r="E3" s="7" t="n">
        <f aca="false">INT((D3-1)/100)+1</f>
        <v>17</v>
      </c>
      <c r="F3" s="7" t="s">
        <v>80</v>
      </c>
      <c r="G3" s="7" t="s">
        <v>81</v>
      </c>
      <c r="H3" s="7" t="s">
        <v>82</v>
      </c>
      <c r="I3" s="7" t="s">
        <v>83</v>
      </c>
      <c r="J3" s="7" t="s">
        <v>84</v>
      </c>
      <c r="K3" s="7" t="s">
        <v>85</v>
      </c>
      <c r="L3" s="7" t="s">
        <v>86</v>
      </c>
      <c r="M3" s="7"/>
      <c r="N3" s="7" t="s">
        <v>18</v>
      </c>
      <c r="O3" s="7" t="s">
        <v>75</v>
      </c>
      <c r="P3" s="7" t="s">
        <v>87</v>
      </c>
      <c r="Q3" s="7" t="s">
        <v>79</v>
      </c>
      <c r="R3" s="7" t="n">
        <f aca="false">VALUE(LEFT(Q3,4))</f>
        <v>1645</v>
      </c>
      <c r="S3" s="7" t="n">
        <f aca="false">VALUE(MID(Q3,6,2))</f>
        <v>11</v>
      </c>
      <c r="T3" s="7" t="n">
        <f aca="false">VALUE(RIGHT(Q3,2))</f>
        <v>25</v>
      </c>
      <c r="U3" s="7" t="s">
        <v>77</v>
      </c>
      <c r="V3" s="7" t="s">
        <v>78</v>
      </c>
    </row>
    <row r="4" customFormat="false" ht="34.5" hidden="false" customHeight="true" outlineLevel="0" collapsed="false">
      <c r="A4" s="7" t="n">
        <v>3</v>
      </c>
      <c r="B4" s="7" t="s">
        <v>88</v>
      </c>
      <c r="C4" s="7" t="s">
        <v>88</v>
      </c>
      <c r="D4" s="7" t="n">
        <f aca="false">VALUE(LEFT(B4,4))</f>
        <v>1667</v>
      </c>
      <c r="E4" s="7" t="n">
        <f aca="false">INT((D4-1)/100)+1</f>
        <v>17</v>
      </c>
      <c r="F4" s="7" t="s">
        <v>67</v>
      </c>
      <c r="G4" s="7" t="s">
        <v>89</v>
      </c>
      <c r="H4" s="7" t="s">
        <v>90</v>
      </c>
      <c r="I4" s="7" t="s">
        <v>91</v>
      </c>
      <c r="J4" s="7" t="s">
        <v>92</v>
      </c>
      <c r="K4" s="7" t="s">
        <v>93</v>
      </c>
      <c r="L4" s="7" t="s">
        <v>73</v>
      </c>
      <c r="M4" s="7" t="s">
        <v>74</v>
      </c>
      <c r="N4" s="7" t="s">
        <v>20</v>
      </c>
      <c r="O4" s="7" t="s">
        <v>94</v>
      </c>
      <c r="P4" s="7" t="s">
        <v>95</v>
      </c>
      <c r="Q4" s="7" t="s">
        <v>88</v>
      </c>
      <c r="R4" s="7" t="n">
        <f aca="false">VALUE(LEFT(Q4,4))</f>
        <v>1667</v>
      </c>
      <c r="S4" s="7" t="n">
        <f aca="false">VALUE(MID(Q4,6,2))</f>
        <v>8</v>
      </c>
      <c r="T4" s="7" t="n">
        <f aca="false">VALUE(RIGHT(Q4,2))</f>
        <v>27</v>
      </c>
      <c r="U4" s="7" t="s">
        <v>77</v>
      </c>
      <c r="V4" s="7" t="s">
        <v>78</v>
      </c>
    </row>
    <row r="5" customFormat="false" ht="45.75" hidden="false" customHeight="true" outlineLevel="0" collapsed="false">
      <c r="A5" s="7" t="n">
        <v>4</v>
      </c>
      <c r="B5" s="7" t="s">
        <v>96</v>
      </c>
      <c r="C5" s="7" t="s">
        <v>96</v>
      </c>
      <c r="D5" s="7" t="n">
        <f aca="false">VALUE(LEFT(B5,4))</f>
        <v>1683</v>
      </c>
      <c r="E5" s="7" t="n">
        <f aca="false">INT((D5-1)/100)+1</f>
        <v>17</v>
      </c>
      <c r="F5" s="7" t="s">
        <v>97</v>
      </c>
      <c r="G5" s="7" t="s">
        <v>98</v>
      </c>
      <c r="H5" s="7" t="s">
        <v>99</v>
      </c>
      <c r="I5" s="7" t="s">
        <v>100</v>
      </c>
      <c r="J5" s="7" t="s">
        <v>101</v>
      </c>
      <c r="K5" s="7" t="s">
        <v>102</v>
      </c>
      <c r="L5" s="7" t="s">
        <v>73</v>
      </c>
      <c r="M5" s="7" t="s">
        <v>74</v>
      </c>
      <c r="N5" s="7" t="s">
        <v>20</v>
      </c>
      <c r="O5" s="7" t="s">
        <v>75</v>
      </c>
      <c r="P5" s="7" t="s">
        <v>103</v>
      </c>
      <c r="Q5" s="7" t="s">
        <v>96</v>
      </c>
      <c r="R5" s="7" t="n">
        <f aca="false">VALUE(LEFT(Q5,4))</f>
        <v>1683</v>
      </c>
      <c r="S5" s="7" t="n">
        <f aca="false">VALUE(MID(Q5,6,2))</f>
        <v>8</v>
      </c>
      <c r="T5" s="7" t="n">
        <f aca="false">VALUE(RIGHT(Q5,2))</f>
        <v>23</v>
      </c>
      <c r="U5" s="7" t="s">
        <v>77</v>
      </c>
      <c r="V5" s="7" t="s">
        <v>78</v>
      </c>
    </row>
    <row r="6" customFormat="false" ht="57" hidden="false" customHeight="true" outlineLevel="0" collapsed="false">
      <c r="A6" s="7" t="n">
        <v>5</v>
      </c>
      <c r="B6" s="7" t="s">
        <v>104</v>
      </c>
      <c r="C6" s="7" t="s">
        <v>105</v>
      </c>
      <c r="D6" s="7" t="n">
        <f aca="false">VALUE(LEFT(B6,4))</f>
        <v>1697</v>
      </c>
      <c r="E6" s="7" t="n">
        <f aca="false">INT((D6-1)/100)+1</f>
        <v>17</v>
      </c>
      <c r="F6" s="7" t="s">
        <v>106</v>
      </c>
      <c r="G6" s="7" t="s">
        <v>107</v>
      </c>
      <c r="H6" s="7" t="s">
        <v>108</v>
      </c>
      <c r="I6" s="7" t="s">
        <v>109</v>
      </c>
      <c r="J6" s="7" t="s">
        <v>110</v>
      </c>
      <c r="K6" s="7" t="s">
        <v>111</v>
      </c>
      <c r="L6" s="7" t="s">
        <v>86</v>
      </c>
      <c r="M6" s="7"/>
      <c r="N6" s="7" t="s">
        <v>18</v>
      </c>
      <c r="O6" s="7" t="s">
        <v>75</v>
      </c>
      <c r="P6" s="7" t="s">
        <v>112</v>
      </c>
      <c r="Q6" s="7" t="s">
        <v>113</v>
      </c>
      <c r="R6" s="7" t="n">
        <f aca="false">VALUE(LEFT(Q6,4))</f>
        <v>1698</v>
      </c>
      <c r="S6" s="7" t="n">
        <f aca="false">VALUE(MID(Q6,6,2))</f>
        <v>2</v>
      </c>
      <c r="T6" s="7" t="n">
        <f aca="false">VALUE(RIGHT(Q6,2))</f>
        <v>15</v>
      </c>
      <c r="U6" s="7" t="s">
        <v>114</v>
      </c>
      <c r="V6" s="7" t="s">
        <v>115</v>
      </c>
    </row>
    <row r="7" customFormat="false" ht="34.5" hidden="false" customHeight="true" outlineLevel="0" collapsed="false">
      <c r="A7" s="7" t="n">
        <v>6</v>
      </c>
      <c r="B7" s="7" t="s">
        <v>116</v>
      </c>
      <c r="C7" s="7" t="s">
        <v>117</v>
      </c>
      <c r="D7" s="7" t="n">
        <f aca="false">VALUE(LEFT(B7,4))</f>
        <v>1705</v>
      </c>
      <c r="E7" s="7" t="n">
        <f aca="false">INT((D7-1)/100)+1</f>
        <v>18</v>
      </c>
      <c r="F7" s="7" t="s">
        <v>118</v>
      </c>
      <c r="G7" s="7" t="s">
        <v>119</v>
      </c>
      <c r="H7" s="7" t="s">
        <v>120</v>
      </c>
      <c r="I7" s="7" t="s">
        <v>121</v>
      </c>
      <c r="J7" s="7" t="s">
        <v>122</v>
      </c>
      <c r="K7" s="7" t="s">
        <v>123</v>
      </c>
      <c r="L7" s="7" t="s">
        <v>86</v>
      </c>
      <c r="M7" s="7"/>
      <c r="N7" s="7" t="s">
        <v>18</v>
      </c>
      <c r="O7" s="7" t="s">
        <v>75</v>
      </c>
      <c r="P7" s="7" t="s">
        <v>124</v>
      </c>
      <c r="Q7" s="7" t="s">
        <v>116</v>
      </c>
      <c r="R7" s="7" t="n">
        <f aca="false">VALUE(LEFT(Q7,4))</f>
        <v>1705</v>
      </c>
      <c r="S7" s="7" t="n">
        <f aca="false">VALUE(MID(Q7,6,2))</f>
        <v>12</v>
      </c>
      <c r="T7" s="7" t="n">
        <f aca="false">VALUE(RIGHT(Q7,2))</f>
        <v>30</v>
      </c>
      <c r="U7" s="7" t="s">
        <v>125</v>
      </c>
      <c r="V7" s="7" t="s">
        <v>126</v>
      </c>
    </row>
    <row r="8" customFormat="false" ht="45.75" hidden="false" customHeight="true" outlineLevel="0" collapsed="false">
      <c r="A8" s="7" t="n">
        <v>7</v>
      </c>
      <c r="B8" s="7" t="s">
        <v>127</v>
      </c>
      <c r="C8" s="7" t="s">
        <v>128</v>
      </c>
      <c r="D8" s="7" t="n">
        <f aca="false">VALUE(LEFT(B8,4))</f>
        <v>1706</v>
      </c>
      <c r="E8" s="7" t="n">
        <f aca="false">INT((D8-1)/100)+1</f>
        <v>18</v>
      </c>
      <c r="F8" s="7" t="s">
        <v>129</v>
      </c>
      <c r="G8" s="7" t="s">
        <v>130</v>
      </c>
      <c r="H8" s="7" t="s">
        <v>131</v>
      </c>
      <c r="I8" s="7" t="s">
        <v>132</v>
      </c>
      <c r="J8" s="7" t="s">
        <v>133</v>
      </c>
      <c r="K8" s="7" t="s">
        <v>134</v>
      </c>
      <c r="L8" s="7" t="s">
        <v>73</v>
      </c>
      <c r="M8" s="7" t="s">
        <v>74</v>
      </c>
      <c r="N8" s="7" t="s">
        <v>18</v>
      </c>
      <c r="O8" s="7" t="s">
        <v>75</v>
      </c>
      <c r="P8" s="7" t="s">
        <v>135</v>
      </c>
      <c r="Q8" s="7" t="s">
        <v>127</v>
      </c>
      <c r="R8" s="7" t="n">
        <f aca="false">VALUE(LEFT(Q8,4))</f>
        <v>1706</v>
      </c>
      <c r="S8" s="7" t="n">
        <f aca="false">VALUE(MID(Q8,6,2))</f>
        <v>10</v>
      </c>
      <c r="T8" s="7" t="n">
        <f aca="false">VALUE(RIGHT(Q8,2))</f>
        <v>14</v>
      </c>
      <c r="U8" s="7" t="s">
        <v>125</v>
      </c>
      <c r="V8" s="7" t="s">
        <v>136</v>
      </c>
    </row>
    <row r="9" customFormat="false" ht="45.75" hidden="false" customHeight="true" outlineLevel="0" collapsed="false">
      <c r="A9" s="7" t="n">
        <v>8</v>
      </c>
      <c r="B9" s="7" t="s">
        <v>137</v>
      </c>
      <c r="C9" s="7" t="s">
        <v>138</v>
      </c>
      <c r="D9" s="7" t="n">
        <f aca="false">VALUE(LEFT(B9,4))</f>
        <v>1717</v>
      </c>
      <c r="E9" s="7" t="n">
        <f aca="false">INT((D9-1)/100)+1</f>
        <v>18</v>
      </c>
      <c r="F9" s="7" t="s">
        <v>139</v>
      </c>
      <c r="G9" s="7" t="s">
        <v>140</v>
      </c>
      <c r="H9" s="7" t="s">
        <v>141</v>
      </c>
      <c r="I9" s="7" t="s">
        <v>142</v>
      </c>
      <c r="J9" s="7" t="s">
        <v>143</v>
      </c>
      <c r="K9" s="7" t="s">
        <v>144</v>
      </c>
      <c r="L9" s="7" t="s">
        <v>86</v>
      </c>
      <c r="M9" s="7"/>
      <c r="N9" s="7" t="s">
        <v>18</v>
      </c>
      <c r="O9" s="7" t="s">
        <v>75</v>
      </c>
      <c r="P9" s="7" t="s">
        <v>145</v>
      </c>
      <c r="Q9" s="7" t="s">
        <v>138</v>
      </c>
      <c r="R9" s="7" t="n">
        <f aca="false">VALUE(LEFT(Q9,4))</f>
        <v>1717</v>
      </c>
      <c r="S9" s="7" t="n">
        <f aca="false">VALUE(MID(Q9,6,2))</f>
        <v>3</v>
      </c>
      <c r="T9" s="7" t="n">
        <f aca="false">VALUE(RIGHT(Q9,2))</f>
        <v>7</v>
      </c>
      <c r="U9" s="7" t="s">
        <v>125</v>
      </c>
      <c r="V9" s="7" t="s">
        <v>146</v>
      </c>
    </row>
    <row r="10" customFormat="false" ht="68.25" hidden="false" customHeight="true" outlineLevel="0" collapsed="false">
      <c r="A10" s="7" t="n">
        <v>9</v>
      </c>
      <c r="B10" s="7" t="s">
        <v>147</v>
      </c>
      <c r="C10" s="7" t="s">
        <v>148</v>
      </c>
      <c r="D10" s="7" t="n">
        <f aca="false">VALUE(LEFT(B10,4))</f>
        <v>1740</v>
      </c>
      <c r="E10" s="7" t="n">
        <f aca="false">INT((D10-1)/100)+1</f>
        <v>18</v>
      </c>
      <c r="F10" s="7" t="s">
        <v>106</v>
      </c>
      <c r="G10" s="7" t="s">
        <v>149</v>
      </c>
      <c r="H10" s="7" t="s">
        <v>150</v>
      </c>
      <c r="I10" s="7" t="s">
        <v>151</v>
      </c>
      <c r="J10" s="7" t="s">
        <v>152</v>
      </c>
      <c r="K10" s="7" t="s">
        <v>153</v>
      </c>
      <c r="L10" s="7" t="s">
        <v>86</v>
      </c>
      <c r="M10" s="7"/>
      <c r="N10" s="7" t="s">
        <v>18</v>
      </c>
      <c r="O10" s="7" t="s">
        <v>75</v>
      </c>
      <c r="P10" s="7" t="s">
        <v>154</v>
      </c>
      <c r="Q10" s="7" t="s">
        <v>155</v>
      </c>
      <c r="R10" s="7" t="n">
        <f aca="false">VALUE(LEFT(Q10,4))</f>
        <v>1740</v>
      </c>
      <c r="S10" s="7" t="n">
        <f aca="false">VALUE(MID(Q10,6,2))</f>
        <v>12</v>
      </c>
      <c r="T10" s="7" t="n">
        <f aca="false">VALUE(RIGHT(Q10,2))</f>
        <v>28</v>
      </c>
      <c r="U10" s="7" t="s">
        <v>77</v>
      </c>
      <c r="V10" s="7" t="s">
        <v>156</v>
      </c>
    </row>
    <row r="11" customFormat="false" ht="34.5" hidden="false" customHeight="true" outlineLevel="0" collapsed="false">
      <c r="A11" s="7" t="n">
        <v>10</v>
      </c>
      <c r="B11" s="7" t="s">
        <v>157</v>
      </c>
      <c r="C11" s="7" t="s">
        <v>158</v>
      </c>
      <c r="D11" s="7" t="n">
        <f aca="false">VALUE(LEFT(B11,4))</f>
        <v>1741</v>
      </c>
      <c r="E11" s="7" t="n">
        <f aca="false">INT((D11-1)/100)+1</f>
        <v>18</v>
      </c>
      <c r="F11" s="7" t="s">
        <v>159</v>
      </c>
      <c r="G11" s="7" t="s">
        <v>160</v>
      </c>
      <c r="H11" s="7" t="s">
        <v>161</v>
      </c>
      <c r="I11" s="7" t="s">
        <v>162</v>
      </c>
      <c r="J11" s="7" t="s">
        <v>163</v>
      </c>
      <c r="K11" s="7" t="s">
        <v>164</v>
      </c>
      <c r="L11" s="7" t="s">
        <v>86</v>
      </c>
      <c r="M11" s="7"/>
      <c r="N11" s="7" t="s">
        <v>18</v>
      </c>
      <c r="O11" s="7" t="s">
        <v>75</v>
      </c>
      <c r="P11" s="7" t="s">
        <v>165</v>
      </c>
      <c r="Q11" s="7" t="s">
        <v>157</v>
      </c>
      <c r="R11" s="7" t="n">
        <f aca="false">VALUE(LEFT(Q11,4))</f>
        <v>1741</v>
      </c>
      <c r="S11" s="7" t="n">
        <f aca="false">VALUE(MID(Q11,6,2))</f>
        <v>2</v>
      </c>
      <c r="T11" s="7" t="n">
        <f aca="false">VALUE(RIGHT(Q11,2))</f>
        <v>8</v>
      </c>
      <c r="U11" s="7" t="s">
        <v>125</v>
      </c>
      <c r="V11" s="7" t="s">
        <v>126</v>
      </c>
    </row>
    <row r="12" customFormat="false" ht="23.25" hidden="false" customHeight="true" outlineLevel="0" collapsed="false">
      <c r="A12" s="7" t="n">
        <v>11</v>
      </c>
      <c r="B12" s="7" t="s">
        <v>166</v>
      </c>
      <c r="C12" s="7" t="s">
        <v>166</v>
      </c>
      <c r="D12" s="7" t="n">
        <f aca="false">VALUE(LEFT(B12,4))</f>
        <v>1741</v>
      </c>
      <c r="E12" s="7" t="n">
        <f aca="false">INT((D12-1)/100)+1</f>
        <v>18</v>
      </c>
      <c r="F12" s="7" t="s">
        <v>167</v>
      </c>
      <c r="G12" s="7" t="s">
        <v>168</v>
      </c>
      <c r="H12" s="7" t="s">
        <v>169</v>
      </c>
      <c r="I12" s="7" t="s">
        <v>170</v>
      </c>
      <c r="J12" s="7" t="s">
        <v>171</v>
      </c>
      <c r="K12" s="7" t="s">
        <v>172</v>
      </c>
      <c r="L12" s="7" t="s">
        <v>86</v>
      </c>
      <c r="M12" s="7"/>
      <c r="N12" s="7" t="s">
        <v>18</v>
      </c>
      <c r="O12" s="7" t="s">
        <v>75</v>
      </c>
      <c r="P12" s="7" t="s">
        <v>173</v>
      </c>
      <c r="Q12" s="7" t="s">
        <v>166</v>
      </c>
      <c r="R12" s="7" t="n">
        <f aca="false">VALUE(LEFT(Q12,4))</f>
        <v>1741</v>
      </c>
      <c r="S12" s="7" t="n">
        <f aca="false">VALUE(MID(Q12,6,2))</f>
        <v>4</v>
      </c>
      <c r="T12" s="7" t="n">
        <f aca="false">VALUE(RIGHT(Q12,2))</f>
        <v>1</v>
      </c>
      <c r="U12" s="7" t="s">
        <v>77</v>
      </c>
      <c r="V12" s="7" t="s">
        <v>78</v>
      </c>
    </row>
    <row r="13" customFormat="false" ht="34.5" hidden="false" customHeight="true" outlineLevel="0" collapsed="false">
      <c r="A13" s="7" t="n">
        <v>12</v>
      </c>
      <c r="B13" s="7" t="s">
        <v>174</v>
      </c>
      <c r="C13" s="7" t="s">
        <v>175</v>
      </c>
      <c r="D13" s="7" t="n">
        <f aca="false">VALUE(LEFT(B13,4))</f>
        <v>1764</v>
      </c>
      <c r="E13" s="7" t="n">
        <f aca="false">INT((D13-1)/100)+1</f>
        <v>18</v>
      </c>
      <c r="F13" s="7" t="s">
        <v>176</v>
      </c>
      <c r="G13" s="7" t="s">
        <v>177</v>
      </c>
      <c r="H13" s="7" t="s">
        <v>178</v>
      </c>
      <c r="I13" s="7" t="s">
        <v>179</v>
      </c>
      <c r="J13" s="7" t="s">
        <v>180</v>
      </c>
      <c r="K13" s="7" t="s">
        <v>181</v>
      </c>
      <c r="L13" s="7" t="s">
        <v>86</v>
      </c>
      <c r="M13" s="7"/>
      <c r="N13" s="7" t="s">
        <v>18</v>
      </c>
      <c r="O13" s="7" t="s">
        <v>75</v>
      </c>
      <c r="P13" s="7"/>
      <c r="Q13" s="7" t="s">
        <v>174</v>
      </c>
      <c r="R13" s="7" t="n">
        <f aca="false">VALUE(LEFT(Q13,4))</f>
        <v>1764</v>
      </c>
      <c r="S13" s="7" t="n">
        <f aca="false">VALUE(MID(Q13,6,2))</f>
        <v>12</v>
      </c>
      <c r="T13" s="7" t="n">
        <f aca="false">VALUE(RIGHT(Q13,2))</f>
        <v>25</v>
      </c>
      <c r="U13" s="7" t="s">
        <v>125</v>
      </c>
      <c r="V13" s="7" t="s">
        <v>126</v>
      </c>
    </row>
    <row r="14" customFormat="false" ht="57" hidden="false" customHeight="true" outlineLevel="0" collapsed="false">
      <c r="A14" s="7" t="n">
        <v>13</v>
      </c>
      <c r="B14" s="7" t="s">
        <v>182</v>
      </c>
      <c r="C14" s="7" t="s">
        <v>183</v>
      </c>
      <c r="D14" s="7" t="n">
        <f aca="false">VALUE(LEFT(B14,4))</f>
        <v>1765</v>
      </c>
      <c r="E14" s="7" t="n">
        <f aca="false">INT((D14-1)/100)+1</f>
        <v>18</v>
      </c>
      <c r="F14" s="7" t="s">
        <v>118</v>
      </c>
      <c r="G14" s="7" t="s">
        <v>184</v>
      </c>
      <c r="H14" s="7" t="s">
        <v>120</v>
      </c>
      <c r="I14" s="7" t="s">
        <v>185</v>
      </c>
      <c r="J14" s="7" t="s">
        <v>186</v>
      </c>
      <c r="K14" s="7" t="s">
        <v>187</v>
      </c>
      <c r="L14" s="7" t="s">
        <v>86</v>
      </c>
      <c r="M14" s="7"/>
      <c r="N14" s="7" t="s">
        <v>18</v>
      </c>
      <c r="O14" s="7" t="s">
        <v>75</v>
      </c>
      <c r="P14" s="7"/>
      <c r="Q14" s="7" t="s">
        <v>182</v>
      </c>
      <c r="R14" s="7" t="n">
        <f aca="false">VALUE(LEFT(Q14,4))</f>
        <v>1765</v>
      </c>
      <c r="S14" s="7" t="n">
        <f aca="false">VALUE(MID(Q14,6,2))</f>
        <v>1</v>
      </c>
      <c r="T14" s="7" t="n">
        <f aca="false">VALUE(RIGHT(Q14,2))</f>
        <v>26</v>
      </c>
      <c r="U14" s="7" t="s">
        <v>125</v>
      </c>
      <c r="V14" s="7" t="s">
        <v>126</v>
      </c>
    </row>
    <row r="15" customFormat="false" ht="45.75" hidden="false" customHeight="true" outlineLevel="0" collapsed="false">
      <c r="A15" s="7" t="n">
        <v>14</v>
      </c>
      <c r="B15" s="7" t="s">
        <v>188</v>
      </c>
      <c r="C15" s="7" t="s">
        <v>188</v>
      </c>
      <c r="D15" s="7" t="n">
        <f aca="false">VALUE(LEFT(B15,4))</f>
        <v>1769</v>
      </c>
      <c r="E15" s="7" t="n">
        <f aca="false">INT((D15-1)/100)+1</f>
        <v>18</v>
      </c>
      <c r="F15" s="7" t="s">
        <v>67</v>
      </c>
      <c r="G15" s="7" t="s">
        <v>189</v>
      </c>
      <c r="H15" s="7" t="s">
        <v>190</v>
      </c>
      <c r="I15" s="7" t="s">
        <v>191</v>
      </c>
      <c r="J15" s="7" t="s">
        <v>192</v>
      </c>
      <c r="K15" s="7" t="s">
        <v>193</v>
      </c>
      <c r="L15" s="7" t="s">
        <v>194</v>
      </c>
      <c r="M15" s="7" t="s">
        <v>74</v>
      </c>
      <c r="N15" s="7" t="s">
        <v>20</v>
      </c>
      <c r="O15" s="7" t="s">
        <v>94</v>
      </c>
      <c r="P15" s="7" t="s">
        <v>195</v>
      </c>
      <c r="Q15" s="7" t="s">
        <v>188</v>
      </c>
      <c r="R15" s="7" t="n">
        <f aca="false">VALUE(LEFT(Q15,4))</f>
        <v>1769</v>
      </c>
      <c r="S15" s="7" t="n">
        <f aca="false">VALUE(MID(Q15,6,2))</f>
        <v>9</v>
      </c>
      <c r="T15" s="7" t="n">
        <f aca="false">VALUE(RIGHT(Q15,2))</f>
        <v>8</v>
      </c>
      <c r="U15" s="7" t="s">
        <v>77</v>
      </c>
      <c r="V15" s="7" t="s">
        <v>78</v>
      </c>
    </row>
    <row r="16" customFormat="false" ht="34.5" hidden="false" customHeight="true" outlineLevel="0" collapsed="false">
      <c r="A16" s="7" t="n">
        <v>15</v>
      </c>
      <c r="B16" s="7" t="s">
        <v>196</v>
      </c>
      <c r="C16" s="7" t="s">
        <v>196</v>
      </c>
      <c r="D16" s="7" t="n">
        <f aca="false">VALUE(LEFT(B16,4))</f>
        <v>1775</v>
      </c>
      <c r="E16" s="7" t="n">
        <f aca="false">INT((D16-1)/100)+1</f>
        <v>18</v>
      </c>
      <c r="F16" s="7" t="s">
        <v>67</v>
      </c>
      <c r="G16" s="7" t="s">
        <v>197</v>
      </c>
      <c r="H16" s="7" t="s">
        <v>198</v>
      </c>
      <c r="I16" s="7" t="s">
        <v>199</v>
      </c>
      <c r="J16" s="7" t="s">
        <v>200</v>
      </c>
      <c r="K16" s="7" t="s">
        <v>201</v>
      </c>
      <c r="L16" s="7" t="s">
        <v>194</v>
      </c>
      <c r="M16" s="7" t="s">
        <v>74</v>
      </c>
      <c r="N16" s="7" t="s">
        <v>20</v>
      </c>
      <c r="O16" s="7" t="s">
        <v>94</v>
      </c>
      <c r="P16" s="7" t="s">
        <v>202</v>
      </c>
      <c r="Q16" s="7" t="s">
        <v>196</v>
      </c>
      <c r="R16" s="7" t="n">
        <f aca="false">VALUE(LEFT(Q16,4))</f>
        <v>1775</v>
      </c>
      <c r="S16" s="7" t="n">
        <f aca="false">VALUE(MID(Q16,6,2))</f>
        <v>9</v>
      </c>
      <c r="T16" s="7" t="n">
        <f aca="false">VALUE(RIGHT(Q16,2))</f>
        <v>3</v>
      </c>
      <c r="U16" s="7" t="s">
        <v>77</v>
      </c>
      <c r="V16" s="7" t="s">
        <v>78</v>
      </c>
    </row>
    <row r="17" customFormat="false" ht="45.75" hidden="false" customHeight="true" outlineLevel="0" collapsed="false">
      <c r="A17" s="7" t="n">
        <v>16</v>
      </c>
      <c r="B17" s="7" t="s">
        <v>203</v>
      </c>
      <c r="C17" s="7" t="s">
        <v>203</v>
      </c>
      <c r="D17" s="7" t="n">
        <f aca="false">VALUE(LEFT(B17,4))</f>
        <v>1775</v>
      </c>
      <c r="E17" s="7" t="n">
        <f aca="false">INT((D17-1)/100)+1</f>
        <v>18</v>
      </c>
      <c r="F17" s="7" t="s">
        <v>139</v>
      </c>
      <c r="G17" s="7" t="s">
        <v>204</v>
      </c>
      <c r="H17" s="7" t="s">
        <v>205</v>
      </c>
      <c r="I17" s="7" t="s">
        <v>206</v>
      </c>
      <c r="J17" s="7" t="s">
        <v>207</v>
      </c>
      <c r="K17" s="7" t="s">
        <v>208</v>
      </c>
      <c r="L17" s="7" t="s">
        <v>86</v>
      </c>
      <c r="M17" s="7"/>
      <c r="N17" s="7" t="s">
        <v>18</v>
      </c>
      <c r="O17" s="7" t="s">
        <v>75</v>
      </c>
      <c r="P17" s="7"/>
      <c r="Q17" s="7" t="s">
        <v>203</v>
      </c>
      <c r="R17" s="7" t="n">
        <f aca="false">VALUE(LEFT(Q17,4))</f>
        <v>1775</v>
      </c>
      <c r="S17" s="7" t="n">
        <f aca="false">VALUE(MID(Q17,6,2))</f>
        <v>12</v>
      </c>
      <c r="T17" s="7" t="n">
        <f aca="false">VALUE(RIGHT(Q17,2))</f>
        <v>24</v>
      </c>
      <c r="U17" s="7" t="s">
        <v>77</v>
      </c>
      <c r="V17" s="7" t="s">
        <v>78</v>
      </c>
    </row>
    <row r="18" customFormat="false" ht="45.75" hidden="false" customHeight="true" outlineLevel="0" collapsed="false">
      <c r="A18" s="7" t="n">
        <v>17</v>
      </c>
      <c r="B18" s="7" t="s">
        <v>209</v>
      </c>
      <c r="C18" s="7" t="s">
        <v>210</v>
      </c>
      <c r="D18" s="7" t="n">
        <f aca="false">VALUE(LEFT(B18,4))</f>
        <v>1776</v>
      </c>
      <c r="E18" s="7" t="n">
        <f aca="false">INT((D18-1)/100)+1</f>
        <v>18</v>
      </c>
      <c r="F18" s="7" t="s">
        <v>211</v>
      </c>
      <c r="G18" s="7" t="s">
        <v>212</v>
      </c>
      <c r="H18" s="7" t="s">
        <v>213</v>
      </c>
      <c r="I18" s="7" t="s">
        <v>214</v>
      </c>
      <c r="J18" s="7" t="s">
        <v>215</v>
      </c>
      <c r="K18" s="7" t="s">
        <v>216</v>
      </c>
      <c r="L18" s="7" t="s">
        <v>86</v>
      </c>
      <c r="M18" s="7"/>
      <c r="N18" s="7" t="s">
        <v>18</v>
      </c>
      <c r="O18" s="7" t="s">
        <v>75</v>
      </c>
      <c r="P18" s="7"/>
      <c r="Q18" s="7" t="s">
        <v>209</v>
      </c>
      <c r="R18" s="7" t="n">
        <f aca="false">VALUE(LEFT(Q18,4))</f>
        <v>1776</v>
      </c>
      <c r="S18" s="7" t="n">
        <f aca="false">VALUE(MID(Q18,6,2))</f>
        <v>1</v>
      </c>
      <c r="T18" s="7" t="n">
        <f aca="false">VALUE(RIGHT(Q18,2))</f>
        <v>5</v>
      </c>
      <c r="U18" s="7" t="s">
        <v>125</v>
      </c>
      <c r="V18" s="7" t="s">
        <v>126</v>
      </c>
    </row>
    <row r="19" customFormat="false" ht="57" hidden="false" customHeight="true" outlineLevel="0" collapsed="false">
      <c r="A19" s="7" t="n">
        <v>18</v>
      </c>
      <c r="B19" s="7" t="s">
        <v>217</v>
      </c>
      <c r="C19" s="7" t="s">
        <v>218</v>
      </c>
      <c r="D19" s="7" t="n">
        <f aca="false">VALUE(LEFT(B19,4))</f>
        <v>1780</v>
      </c>
      <c r="E19" s="7" t="n">
        <f aca="false">INT((D19-1)/100)+1</f>
        <v>18</v>
      </c>
      <c r="F19" s="7" t="s">
        <v>219</v>
      </c>
      <c r="G19" s="7" t="s">
        <v>220</v>
      </c>
      <c r="H19" s="7" t="s">
        <v>221</v>
      </c>
      <c r="I19" s="7" t="s">
        <v>222</v>
      </c>
      <c r="J19" s="7" t="s">
        <v>223</v>
      </c>
      <c r="K19" s="7" t="s">
        <v>224</v>
      </c>
      <c r="L19" s="7" t="s">
        <v>86</v>
      </c>
      <c r="M19" s="7" t="s">
        <v>225</v>
      </c>
      <c r="N19" s="7" t="s">
        <v>18</v>
      </c>
      <c r="O19" s="7" t="s">
        <v>75</v>
      </c>
      <c r="P19" s="7" t="s">
        <v>226</v>
      </c>
      <c r="Q19" s="7" t="s">
        <v>217</v>
      </c>
      <c r="R19" s="7" t="n">
        <f aca="false">VALUE(LEFT(Q19,4))</f>
        <v>1780</v>
      </c>
      <c r="S19" s="7" t="n">
        <f aca="false">VALUE(MID(Q19,6,2))</f>
        <v>1</v>
      </c>
      <c r="T19" s="7" t="n">
        <f aca="false">VALUE(RIGHT(Q19,2))</f>
        <v>2</v>
      </c>
      <c r="U19" s="7" t="s">
        <v>125</v>
      </c>
      <c r="V19" s="7" t="s">
        <v>126</v>
      </c>
    </row>
    <row r="20" customFormat="false" ht="68.25" hidden="false" customHeight="true" outlineLevel="0" collapsed="false">
      <c r="A20" s="7" t="n">
        <v>19</v>
      </c>
      <c r="B20" s="7" t="s">
        <v>227</v>
      </c>
      <c r="C20" s="7" t="s">
        <v>228</v>
      </c>
      <c r="D20" s="7" t="n">
        <f aca="false">VALUE(LEFT(B20,4))</f>
        <v>1780</v>
      </c>
      <c r="E20" s="7" t="n">
        <f aca="false">INT((D20-1)/100)+1</f>
        <v>18</v>
      </c>
      <c r="F20" s="7" t="s">
        <v>106</v>
      </c>
      <c r="G20" s="7" t="s">
        <v>229</v>
      </c>
      <c r="H20" s="7" t="s">
        <v>230</v>
      </c>
      <c r="I20" s="7" t="s">
        <v>231</v>
      </c>
      <c r="J20" s="7" t="s">
        <v>232</v>
      </c>
      <c r="K20" s="7" t="s">
        <v>233</v>
      </c>
      <c r="L20" s="7" t="s">
        <v>86</v>
      </c>
      <c r="M20" s="7" t="s">
        <v>225</v>
      </c>
      <c r="N20" s="7" t="s">
        <v>18</v>
      </c>
      <c r="O20" s="7" t="s">
        <v>75</v>
      </c>
      <c r="P20" s="7" t="s">
        <v>234</v>
      </c>
      <c r="Q20" s="7" t="s">
        <v>235</v>
      </c>
      <c r="R20" s="7" t="n">
        <f aca="false">VALUE(LEFT(Q20,4))</f>
        <v>1780</v>
      </c>
      <c r="S20" s="7" t="n">
        <f aca="false">VALUE(MID(Q20,6,2))</f>
        <v>1</v>
      </c>
      <c r="T20" s="7" t="n">
        <f aca="false">VALUE(RIGHT(Q20,2))</f>
        <v>16</v>
      </c>
      <c r="U20" s="7" t="s">
        <v>77</v>
      </c>
      <c r="V20" s="7" t="s">
        <v>236</v>
      </c>
    </row>
    <row r="21" customFormat="false" ht="34.5" hidden="false" customHeight="true" outlineLevel="0" collapsed="false">
      <c r="A21" s="7" t="n">
        <v>20</v>
      </c>
      <c r="B21" s="7" t="s">
        <v>237</v>
      </c>
      <c r="C21" s="7" t="s">
        <v>237</v>
      </c>
      <c r="D21" s="7" t="n">
        <f aca="false">VALUE(LEFT(B21,4))</f>
        <v>1780</v>
      </c>
      <c r="E21" s="7" t="n">
        <f aca="false">INT((D21-1)/100)+1</f>
        <v>18</v>
      </c>
      <c r="F21" s="7" t="s">
        <v>238</v>
      </c>
      <c r="G21" s="7" t="s">
        <v>239</v>
      </c>
      <c r="H21" s="7" t="s">
        <v>240</v>
      </c>
      <c r="I21" s="7" t="s">
        <v>241</v>
      </c>
      <c r="J21" s="7" t="s">
        <v>242</v>
      </c>
      <c r="K21" s="7" t="s">
        <v>243</v>
      </c>
      <c r="L21" s="7" t="s">
        <v>86</v>
      </c>
      <c r="M21" s="7"/>
      <c r="N21" s="7" t="s">
        <v>18</v>
      </c>
      <c r="O21" s="7" t="s">
        <v>75</v>
      </c>
      <c r="P21" s="7"/>
      <c r="Q21" s="7" t="s">
        <v>237</v>
      </c>
      <c r="R21" s="7" t="n">
        <f aca="false">VALUE(LEFT(Q21,4))</f>
        <v>1780</v>
      </c>
      <c r="S21" s="7" t="n">
        <f aca="false">VALUE(MID(Q21,6,2))</f>
        <v>1</v>
      </c>
      <c r="T21" s="7" t="n">
        <f aca="false">VALUE(RIGHT(Q21,2))</f>
        <v>29</v>
      </c>
      <c r="U21" s="7" t="s">
        <v>77</v>
      </c>
      <c r="V21" s="7" t="s">
        <v>78</v>
      </c>
    </row>
    <row r="22" customFormat="false" ht="34.5" hidden="false" customHeight="true" outlineLevel="0" collapsed="false">
      <c r="A22" s="7" t="n">
        <v>21</v>
      </c>
      <c r="B22" s="7" t="s">
        <v>244</v>
      </c>
      <c r="C22" s="7" t="s">
        <v>245</v>
      </c>
      <c r="D22" s="7" t="n">
        <f aca="false">VALUE(LEFT(B22,4))</f>
        <v>1780</v>
      </c>
      <c r="E22" s="7" t="n">
        <f aca="false">INT((D22-1)/100)+1</f>
        <v>18</v>
      </c>
      <c r="F22" s="7" t="s">
        <v>80</v>
      </c>
      <c r="G22" s="7" t="s">
        <v>246</v>
      </c>
      <c r="H22" s="7" t="s">
        <v>247</v>
      </c>
      <c r="I22" s="7" t="s">
        <v>248</v>
      </c>
      <c r="J22" s="7" t="s">
        <v>249</v>
      </c>
      <c r="K22" s="7" t="s">
        <v>250</v>
      </c>
      <c r="L22" s="7" t="s">
        <v>86</v>
      </c>
      <c r="M22" s="7"/>
      <c r="N22" s="7" t="s">
        <v>18</v>
      </c>
      <c r="O22" s="7" t="s">
        <v>75</v>
      </c>
      <c r="P22" s="7"/>
      <c r="Q22" s="7" t="s">
        <v>245</v>
      </c>
      <c r="R22" s="7" t="n">
        <f aca="false">VALUE(LEFT(Q22,4))</f>
        <v>1780</v>
      </c>
      <c r="S22" s="7" t="n">
        <f aca="false">VALUE(MID(Q22,6,2))</f>
        <v>11</v>
      </c>
      <c r="T22" s="7" t="n">
        <f aca="false">VALUE(RIGHT(Q22,2))</f>
        <v>11</v>
      </c>
      <c r="U22" s="7" t="s">
        <v>77</v>
      </c>
      <c r="V22" s="7" t="s">
        <v>251</v>
      </c>
    </row>
    <row r="23" customFormat="false" ht="45.75" hidden="false" customHeight="true" outlineLevel="0" collapsed="false">
      <c r="A23" s="7" t="n">
        <v>22</v>
      </c>
      <c r="B23" s="7" t="s">
        <v>252</v>
      </c>
      <c r="C23" s="7" t="s">
        <v>253</v>
      </c>
      <c r="D23" s="7" t="n">
        <f aca="false">VALUE(LEFT(B23,4))</f>
        <v>1781</v>
      </c>
      <c r="E23" s="7" t="n">
        <f aca="false">INT((D23-1)/100)+1</f>
        <v>18</v>
      </c>
      <c r="F23" s="7" t="s">
        <v>254</v>
      </c>
      <c r="G23" s="7" t="s">
        <v>255</v>
      </c>
      <c r="H23" s="7" t="s">
        <v>256</v>
      </c>
      <c r="I23" s="7" t="s">
        <v>257</v>
      </c>
      <c r="J23" s="7" t="s">
        <v>258</v>
      </c>
      <c r="K23" s="7" t="s">
        <v>259</v>
      </c>
      <c r="L23" s="7" t="s">
        <v>86</v>
      </c>
      <c r="M23" s="7"/>
      <c r="N23" s="7" t="s">
        <v>18</v>
      </c>
      <c r="O23" s="7" t="s">
        <v>75</v>
      </c>
      <c r="P23" s="7"/>
      <c r="Q23" s="7" t="s">
        <v>252</v>
      </c>
      <c r="R23" s="7" t="n">
        <f aca="false">VALUE(LEFT(Q23,4))</f>
        <v>1781</v>
      </c>
      <c r="S23" s="7" t="n">
        <f aca="false">VALUE(MID(Q23,6,2))</f>
        <v>1</v>
      </c>
      <c r="T23" s="7" t="n">
        <f aca="false">VALUE(RIGHT(Q23,2))</f>
        <v>22</v>
      </c>
      <c r="U23" s="7" t="s">
        <v>125</v>
      </c>
      <c r="V23" s="7" t="s">
        <v>126</v>
      </c>
    </row>
    <row r="24" customFormat="false" ht="57" hidden="false" customHeight="true" outlineLevel="0" collapsed="false">
      <c r="A24" s="7" t="n">
        <v>23</v>
      </c>
      <c r="B24" s="7" t="s">
        <v>260</v>
      </c>
      <c r="C24" s="7" t="s">
        <v>261</v>
      </c>
      <c r="D24" s="7" t="n">
        <f aca="false">VALUE(LEFT(B24,4))</f>
        <v>1783</v>
      </c>
      <c r="E24" s="7" t="n">
        <f aca="false">INT((D24-1)/100)+1</f>
        <v>18</v>
      </c>
      <c r="F24" s="7" t="s">
        <v>262</v>
      </c>
      <c r="G24" s="7" t="s">
        <v>263</v>
      </c>
      <c r="H24" s="7" t="s">
        <v>264</v>
      </c>
      <c r="I24" s="7" t="s">
        <v>265</v>
      </c>
      <c r="J24" s="7" t="s">
        <v>266</v>
      </c>
      <c r="K24" s="7" t="s">
        <v>267</v>
      </c>
      <c r="L24" s="7" t="s">
        <v>194</v>
      </c>
      <c r="M24" s="7" t="s">
        <v>74</v>
      </c>
      <c r="N24" s="7" t="s">
        <v>20</v>
      </c>
      <c r="O24" s="7" t="s">
        <v>75</v>
      </c>
      <c r="P24" s="7" t="s">
        <v>268</v>
      </c>
      <c r="Q24" s="7" t="s">
        <v>260</v>
      </c>
      <c r="R24" s="7" t="n">
        <f aca="false">VALUE(LEFT(Q24,4))</f>
        <v>1783</v>
      </c>
      <c r="S24" s="7" t="n">
        <f aca="false">VALUE(MID(Q24,6,2))</f>
        <v>10</v>
      </c>
      <c r="T24" s="7" t="n">
        <f aca="false">VALUE(RIGHT(Q24,2))</f>
        <v>18</v>
      </c>
      <c r="U24" s="7" t="s">
        <v>125</v>
      </c>
      <c r="V24" s="7" t="s">
        <v>269</v>
      </c>
    </row>
    <row r="25" customFormat="false" ht="34.5" hidden="false" customHeight="true" outlineLevel="0" collapsed="false">
      <c r="A25" s="7" t="n">
        <v>24</v>
      </c>
      <c r="B25" s="7" t="s">
        <v>270</v>
      </c>
      <c r="C25" s="7" t="s">
        <v>271</v>
      </c>
      <c r="D25" s="7" t="n">
        <f aca="false">VALUE(LEFT(B25,4))</f>
        <v>1783</v>
      </c>
      <c r="E25" s="7" t="n">
        <f aca="false">INT((D25-1)/100)+1</f>
        <v>18</v>
      </c>
      <c r="F25" s="7" t="s">
        <v>176</v>
      </c>
      <c r="G25" s="7" t="s">
        <v>272</v>
      </c>
      <c r="H25" s="7" t="s">
        <v>273</v>
      </c>
      <c r="I25" s="7" t="s">
        <v>274</v>
      </c>
      <c r="J25" s="7" t="s">
        <v>275</v>
      </c>
      <c r="K25" s="7" t="s">
        <v>276</v>
      </c>
      <c r="L25" s="7" t="s">
        <v>86</v>
      </c>
      <c r="M25" s="7"/>
      <c r="N25" s="7" t="s">
        <v>18</v>
      </c>
      <c r="O25" s="7" t="s">
        <v>75</v>
      </c>
      <c r="P25" s="7"/>
      <c r="Q25" s="7" t="s">
        <v>270</v>
      </c>
      <c r="R25" s="7" t="n">
        <f aca="false">VALUE(LEFT(Q25,4))</f>
        <v>1783</v>
      </c>
      <c r="S25" s="7" t="n">
        <f aca="false">VALUE(MID(Q25,6,2))</f>
        <v>12</v>
      </c>
      <c r="T25" s="7" t="n">
        <f aca="false">VALUE(RIGHT(Q25,2))</f>
        <v>30</v>
      </c>
      <c r="U25" s="7" t="s">
        <v>125</v>
      </c>
      <c r="V25" s="7" t="s">
        <v>126</v>
      </c>
    </row>
    <row r="26" customFormat="false" ht="45.75" hidden="false" customHeight="true" outlineLevel="0" collapsed="false">
      <c r="A26" s="7" t="n">
        <v>25</v>
      </c>
      <c r="B26" s="7" t="s">
        <v>277</v>
      </c>
      <c r="C26" s="7" t="s">
        <v>278</v>
      </c>
      <c r="D26" s="7" t="n">
        <f aca="false">VALUE(LEFT(B26,4))</f>
        <v>1784</v>
      </c>
      <c r="E26" s="7" t="n">
        <f aca="false">INT((D26-1)/100)+1</f>
        <v>18</v>
      </c>
      <c r="F26" s="7" t="s">
        <v>238</v>
      </c>
      <c r="G26" s="7" t="s">
        <v>279</v>
      </c>
      <c r="H26" s="7" t="s">
        <v>280</v>
      </c>
      <c r="I26" s="7" t="s">
        <v>281</v>
      </c>
      <c r="J26" s="7" t="s">
        <v>282</v>
      </c>
      <c r="K26" s="7" t="s">
        <v>283</v>
      </c>
      <c r="L26" s="7" t="s">
        <v>86</v>
      </c>
      <c r="M26" s="7"/>
      <c r="N26" s="7" t="s">
        <v>18</v>
      </c>
      <c r="O26" s="7" t="s">
        <v>75</v>
      </c>
      <c r="P26" s="7" t="s">
        <v>284</v>
      </c>
      <c r="Q26" s="7" t="s">
        <v>277</v>
      </c>
      <c r="R26" s="7" t="n">
        <f aca="false">VALUE(LEFT(Q26,4))</f>
        <v>1784</v>
      </c>
      <c r="S26" s="7" t="n">
        <f aca="false">VALUE(MID(Q26,6,2))</f>
        <v>2</v>
      </c>
      <c r="T26" s="7" t="n">
        <f aca="false">VALUE(RIGHT(Q26,2))</f>
        <v>10</v>
      </c>
      <c r="U26" s="7" t="s">
        <v>125</v>
      </c>
      <c r="V26" s="7" t="s">
        <v>126</v>
      </c>
    </row>
    <row r="27" customFormat="false" ht="90.75" hidden="false" customHeight="true" outlineLevel="0" collapsed="false">
      <c r="A27" s="7" t="n">
        <v>26</v>
      </c>
      <c r="B27" s="7" t="s">
        <v>285</v>
      </c>
      <c r="C27" s="7" t="s">
        <v>285</v>
      </c>
      <c r="D27" s="7" t="n">
        <f aca="false">VALUE(LEFT(B27,4))</f>
        <v>1788</v>
      </c>
      <c r="E27" s="7" t="n">
        <f aca="false">INT((D27-1)/100)+1</f>
        <v>18</v>
      </c>
      <c r="F27" s="7" t="s">
        <v>286</v>
      </c>
      <c r="G27" s="7" t="s">
        <v>287</v>
      </c>
      <c r="H27" s="7" t="s">
        <v>288</v>
      </c>
      <c r="I27" s="7" t="s">
        <v>289</v>
      </c>
      <c r="J27" s="7" t="s">
        <v>290</v>
      </c>
      <c r="K27" s="7" t="s">
        <v>291</v>
      </c>
      <c r="L27" s="7" t="s">
        <v>194</v>
      </c>
      <c r="M27" s="7" t="s">
        <v>74</v>
      </c>
      <c r="N27" s="7" t="s">
        <v>18</v>
      </c>
      <c r="O27" s="7" t="s">
        <v>75</v>
      </c>
      <c r="P27" s="7" t="s">
        <v>292</v>
      </c>
      <c r="Q27" s="7" t="s">
        <v>285</v>
      </c>
      <c r="R27" s="7" t="n">
        <f aca="false">VALUE(LEFT(Q27,4))</f>
        <v>1788</v>
      </c>
      <c r="S27" s="7" t="n">
        <f aca="false">VALUE(MID(Q27,6,2))</f>
        <v>8</v>
      </c>
      <c r="T27" s="7" t="n">
        <f aca="false">VALUE(RIGHT(Q27,2))</f>
        <v>19</v>
      </c>
      <c r="U27" s="7" t="s">
        <v>77</v>
      </c>
      <c r="V27" s="7" t="s">
        <v>78</v>
      </c>
    </row>
    <row r="28" customFormat="false" ht="57" hidden="false" customHeight="true" outlineLevel="0" collapsed="false">
      <c r="A28" s="7" t="n">
        <v>27</v>
      </c>
      <c r="B28" s="7" t="s">
        <v>293</v>
      </c>
      <c r="C28" s="7" t="s">
        <v>294</v>
      </c>
      <c r="D28" s="7" t="n">
        <f aca="false">VALUE(LEFT(B28,4))</f>
        <v>1789</v>
      </c>
      <c r="E28" s="7" t="n">
        <f aca="false">INT((D28-1)/100)+1</f>
        <v>18</v>
      </c>
      <c r="F28" s="7" t="s">
        <v>238</v>
      </c>
      <c r="G28" s="7" t="s">
        <v>295</v>
      </c>
      <c r="H28" s="7" t="s">
        <v>296</v>
      </c>
      <c r="I28" s="7" t="s">
        <v>297</v>
      </c>
      <c r="J28" s="7" t="s">
        <v>298</v>
      </c>
      <c r="K28" s="7" t="s">
        <v>299</v>
      </c>
      <c r="L28" s="7" t="s">
        <v>86</v>
      </c>
      <c r="M28" s="7"/>
      <c r="N28" s="7" t="s">
        <v>18</v>
      </c>
      <c r="O28" s="7" t="s">
        <v>75</v>
      </c>
      <c r="P28" s="7" t="s">
        <v>300</v>
      </c>
      <c r="Q28" s="7" t="s">
        <v>293</v>
      </c>
      <c r="R28" s="7" t="n">
        <f aca="false">VALUE(LEFT(Q28,4))</f>
        <v>1789</v>
      </c>
      <c r="S28" s="7" t="n">
        <f aca="false">VALUE(MID(Q28,6,2))</f>
        <v>1</v>
      </c>
      <c r="T28" s="7" t="n">
        <f aca="false">VALUE(RIGHT(Q28,2))</f>
        <v>30</v>
      </c>
      <c r="U28" s="7" t="s">
        <v>125</v>
      </c>
      <c r="V28" s="7" t="s">
        <v>126</v>
      </c>
    </row>
    <row r="29" customFormat="false" ht="34.5" hidden="false" customHeight="true" outlineLevel="0" collapsed="false">
      <c r="A29" s="7" t="n">
        <v>28</v>
      </c>
      <c r="B29" s="7" t="s">
        <v>301</v>
      </c>
      <c r="C29" s="7" t="s">
        <v>301</v>
      </c>
      <c r="D29" s="7" t="n">
        <f aca="false">VALUE(LEFT(B29,4))</f>
        <v>1795</v>
      </c>
      <c r="E29" s="7" t="n">
        <f aca="false">INT((D29-1)/100)+1</f>
        <v>18</v>
      </c>
      <c r="F29" s="7" t="s">
        <v>67</v>
      </c>
      <c r="G29" s="7" t="s">
        <v>302</v>
      </c>
      <c r="H29" s="7" t="s">
        <v>120</v>
      </c>
      <c r="I29" s="7" t="s">
        <v>303</v>
      </c>
      <c r="J29" s="7" t="s">
        <v>304</v>
      </c>
      <c r="K29" s="7" t="s">
        <v>305</v>
      </c>
      <c r="L29" s="7" t="s">
        <v>194</v>
      </c>
      <c r="M29" s="7" t="s">
        <v>74</v>
      </c>
      <c r="N29" s="7" t="s">
        <v>20</v>
      </c>
      <c r="O29" s="7" t="s">
        <v>94</v>
      </c>
      <c r="P29" s="7" t="s">
        <v>306</v>
      </c>
      <c r="Q29" s="7" t="s">
        <v>301</v>
      </c>
      <c r="R29" s="7" t="n">
        <f aca="false">VALUE(LEFT(Q29,4))</f>
        <v>1795</v>
      </c>
      <c r="S29" s="7" t="n">
        <f aca="false">VALUE(MID(Q29,6,2))</f>
        <v>8</v>
      </c>
      <c r="T29" s="7" t="n">
        <f aca="false">VALUE(RIGHT(Q29,2))</f>
        <v>3</v>
      </c>
      <c r="U29" s="7" t="s">
        <v>77</v>
      </c>
      <c r="V29" s="7" t="s">
        <v>78</v>
      </c>
    </row>
    <row r="30" customFormat="false" ht="90.75" hidden="false" customHeight="true" outlineLevel="0" collapsed="false">
      <c r="A30" s="7" t="n">
        <v>29</v>
      </c>
      <c r="B30" s="7" t="s">
        <v>307</v>
      </c>
      <c r="C30" s="7" t="s">
        <v>308</v>
      </c>
      <c r="D30" s="7" t="n">
        <f aca="false">VALUE(LEFT(B30,4))</f>
        <v>1796</v>
      </c>
      <c r="E30" s="7" t="n">
        <f aca="false">INT((D30-1)/100)+1</f>
        <v>18</v>
      </c>
      <c r="F30" s="7" t="s">
        <v>106</v>
      </c>
      <c r="G30" s="7" t="s">
        <v>309</v>
      </c>
      <c r="H30" s="7" t="s">
        <v>310</v>
      </c>
      <c r="I30" s="7" t="s">
        <v>311</v>
      </c>
      <c r="J30" s="7" t="s">
        <v>312</v>
      </c>
      <c r="K30" s="7" t="s">
        <v>313</v>
      </c>
      <c r="L30" s="7" t="s">
        <v>314</v>
      </c>
      <c r="M30" s="7" t="s">
        <v>315</v>
      </c>
      <c r="N30" s="7" t="s">
        <v>18</v>
      </c>
      <c r="O30" s="7" t="s">
        <v>75</v>
      </c>
      <c r="P30" s="7"/>
      <c r="Q30" s="7" t="s">
        <v>316</v>
      </c>
      <c r="R30" s="7" t="n">
        <f aca="false">VALUE(LEFT(Q30,4))</f>
        <v>1796</v>
      </c>
      <c r="S30" s="7" t="n">
        <f aca="false">VALUE(MID(Q30,6,2))</f>
        <v>12</v>
      </c>
      <c r="T30" s="7" t="n">
        <f aca="false">VALUE(RIGHT(Q30,2))</f>
        <v>20</v>
      </c>
      <c r="U30" s="7" t="s">
        <v>317</v>
      </c>
      <c r="V30" s="7" t="s">
        <v>318</v>
      </c>
    </row>
    <row r="31" customFormat="false" ht="90.75" hidden="false" customHeight="true" outlineLevel="0" collapsed="false">
      <c r="A31" s="7" t="n">
        <v>30</v>
      </c>
      <c r="B31" s="7" t="s">
        <v>319</v>
      </c>
      <c r="C31" s="7" t="s">
        <v>320</v>
      </c>
      <c r="D31" s="7" t="n">
        <f aca="false">VALUE(LEFT(B31,4))</f>
        <v>1797</v>
      </c>
      <c r="E31" s="7" t="n">
        <f aca="false">INT((D31-1)/100)+1</f>
        <v>18</v>
      </c>
      <c r="F31" s="7" t="s">
        <v>106</v>
      </c>
      <c r="G31" s="7" t="s">
        <v>321</v>
      </c>
      <c r="H31" s="7" t="s">
        <v>310</v>
      </c>
      <c r="I31" s="7" t="s">
        <v>322</v>
      </c>
      <c r="J31" s="7" t="s">
        <v>312</v>
      </c>
      <c r="K31" s="7" t="s">
        <v>323</v>
      </c>
      <c r="L31" s="7" t="s">
        <v>314</v>
      </c>
      <c r="M31" s="7" t="s">
        <v>315</v>
      </c>
      <c r="N31" s="7" t="s">
        <v>18</v>
      </c>
      <c r="O31" s="7" t="s">
        <v>75</v>
      </c>
      <c r="P31" s="7"/>
      <c r="Q31" s="7" t="s">
        <v>324</v>
      </c>
      <c r="R31" s="7" t="n">
        <f aca="false">VALUE(LEFT(Q31,4))</f>
        <v>1798</v>
      </c>
      <c r="S31" s="7" t="n">
        <f aca="false">VALUE(MID(Q31,6,2))</f>
        <v>1</v>
      </c>
      <c r="T31" s="7" t="n">
        <f aca="false">VALUE(RIGHT(Q31,2))</f>
        <v>10</v>
      </c>
      <c r="U31" s="7" t="s">
        <v>114</v>
      </c>
      <c r="V31" s="7" t="s">
        <v>325</v>
      </c>
    </row>
    <row r="32" customFormat="false" ht="68.25" hidden="false" customHeight="true" outlineLevel="0" collapsed="false">
      <c r="A32" s="7" t="n">
        <v>31</v>
      </c>
      <c r="B32" s="7" t="s">
        <v>326</v>
      </c>
      <c r="C32" s="7" t="s">
        <v>327</v>
      </c>
      <c r="D32" s="7" t="n">
        <f aca="false">VALUE(LEFT(B32,4))</f>
        <v>1800</v>
      </c>
      <c r="E32" s="7" t="n">
        <f aca="false">INT((D32-1)/100)+1</f>
        <v>18</v>
      </c>
      <c r="F32" s="7" t="s">
        <v>328</v>
      </c>
      <c r="G32" s="7" t="s">
        <v>329</v>
      </c>
      <c r="H32" s="7" t="s">
        <v>330</v>
      </c>
      <c r="I32" s="7" t="s">
        <v>331</v>
      </c>
      <c r="J32" s="7" t="s">
        <v>332</v>
      </c>
      <c r="K32" s="7" t="s">
        <v>333</v>
      </c>
      <c r="L32" s="7" t="s">
        <v>334</v>
      </c>
      <c r="M32" s="7" t="s">
        <v>335</v>
      </c>
      <c r="N32" s="7" t="s">
        <v>18</v>
      </c>
      <c r="O32" s="7" t="s">
        <v>75</v>
      </c>
      <c r="P32" s="7" t="s">
        <v>336</v>
      </c>
      <c r="Q32" s="7" t="s">
        <v>337</v>
      </c>
      <c r="R32" s="7" t="n">
        <f aca="false">VALUE(LEFT(Q32,4))</f>
        <v>1975</v>
      </c>
      <c r="S32" s="7" t="n">
        <f aca="false">VALUE(MID(Q32,6,2))</f>
        <v>5</v>
      </c>
      <c r="T32" s="7" t="n">
        <f aca="false">VALUE(RIGHT(Q32,2))</f>
        <v>15</v>
      </c>
      <c r="U32" s="7" t="s">
        <v>338</v>
      </c>
      <c r="V32" s="7" t="s">
        <v>339</v>
      </c>
    </row>
    <row r="33" customFormat="false" ht="34.5" hidden="false" customHeight="true" outlineLevel="0" collapsed="false">
      <c r="A33" s="7" t="n">
        <v>32</v>
      </c>
      <c r="B33" s="7" t="s">
        <v>340</v>
      </c>
      <c r="C33" s="7" t="s">
        <v>341</v>
      </c>
      <c r="D33" s="7" t="n">
        <f aca="false">VALUE(LEFT(B33,4))</f>
        <v>1801</v>
      </c>
      <c r="E33" s="7" t="n">
        <f aca="false">INT((D33-1)/100)+1</f>
        <v>19</v>
      </c>
      <c r="F33" s="7" t="s">
        <v>342</v>
      </c>
      <c r="G33" s="7" t="s">
        <v>343</v>
      </c>
      <c r="H33" s="7" t="s">
        <v>344</v>
      </c>
      <c r="I33" s="7" t="s">
        <v>345</v>
      </c>
      <c r="J33" s="7" t="s">
        <v>346</v>
      </c>
      <c r="K33" s="7" t="s">
        <v>347</v>
      </c>
      <c r="L33" s="7" t="s">
        <v>86</v>
      </c>
      <c r="M33" s="7"/>
      <c r="N33" s="7" t="s">
        <v>18</v>
      </c>
      <c r="O33" s="7" t="s">
        <v>75</v>
      </c>
      <c r="P33" s="7"/>
      <c r="Q33" s="7" t="s">
        <v>348</v>
      </c>
      <c r="R33" s="7" t="n">
        <f aca="false">VALUE(LEFT(Q33,4))</f>
        <v>1802</v>
      </c>
      <c r="S33" s="7" t="n">
        <f aca="false">VALUE(MID(Q33,6,2))</f>
        <v>1</v>
      </c>
      <c r="T33" s="7" t="n">
        <f aca="false">VALUE(RIGHT(Q33,2))</f>
        <v>15</v>
      </c>
      <c r="U33" s="7" t="s">
        <v>114</v>
      </c>
      <c r="V33" s="7" t="s">
        <v>349</v>
      </c>
    </row>
    <row r="34" customFormat="false" ht="45.75" hidden="false" customHeight="true" outlineLevel="0" collapsed="false">
      <c r="A34" s="7" t="n">
        <v>33</v>
      </c>
      <c r="B34" s="7" t="s">
        <v>350</v>
      </c>
      <c r="C34" s="7" t="s">
        <v>351</v>
      </c>
      <c r="D34" s="7" t="n">
        <f aca="false">VALUE(LEFT(B34,4))</f>
        <v>1802</v>
      </c>
      <c r="E34" s="7" t="n">
        <f aca="false">INT((D34-1)/100)+1</f>
        <v>19</v>
      </c>
      <c r="F34" s="7" t="s">
        <v>159</v>
      </c>
      <c r="G34" s="7" t="s">
        <v>352</v>
      </c>
      <c r="H34" s="7" t="s">
        <v>150</v>
      </c>
      <c r="I34" s="7" t="s">
        <v>353</v>
      </c>
      <c r="J34" s="7" t="s">
        <v>354</v>
      </c>
      <c r="K34" s="7" t="s">
        <v>355</v>
      </c>
      <c r="L34" s="7" t="s">
        <v>86</v>
      </c>
      <c r="M34" s="7"/>
      <c r="N34" s="7" t="s">
        <v>18</v>
      </c>
      <c r="O34" s="7" t="s">
        <v>75</v>
      </c>
      <c r="P34" s="7" t="s">
        <v>356</v>
      </c>
      <c r="Q34" s="7" t="s">
        <v>350</v>
      </c>
      <c r="R34" s="7" t="n">
        <f aca="false">VALUE(LEFT(Q34,4))</f>
        <v>1802</v>
      </c>
      <c r="S34" s="7" t="n">
        <f aca="false">VALUE(MID(Q34,6,2))</f>
        <v>2</v>
      </c>
      <c r="T34" s="7" t="n">
        <f aca="false">VALUE(RIGHT(Q34,2))</f>
        <v>22</v>
      </c>
      <c r="U34" s="7" t="s">
        <v>125</v>
      </c>
      <c r="V34" s="7" t="s">
        <v>126</v>
      </c>
    </row>
    <row r="35" customFormat="false" ht="45.75" hidden="false" customHeight="true" outlineLevel="0" collapsed="false">
      <c r="A35" s="7" t="n">
        <v>34</v>
      </c>
      <c r="B35" s="7" t="s">
        <v>357</v>
      </c>
      <c r="C35" s="7" t="s">
        <v>358</v>
      </c>
      <c r="D35" s="7" t="n">
        <f aca="false">VALUE(LEFT(B35,4))</f>
        <v>1803</v>
      </c>
      <c r="E35" s="7" t="n">
        <f aca="false">INT((D35-1)/100)+1</f>
        <v>19</v>
      </c>
      <c r="F35" s="7" t="s">
        <v>359</v>
      </c>
      <c r="G35" s="7" t="s">
        <v>360</v>
      </c>
      <c r="H35" s="7" t="s">
        <v>361</v>
      </c>
      <c r="I35" s="7" t="s">
        <v>362</v>
      </c>
      <c r="J35" s="7" t="s">
        <v>363</v>
      </c>
      <c r="K35" s="7" t="s">
        <v>364</v>
      </c>
      <c r="L35" s="7" t="s">
        <v>86</v>
      </c>
      <c r="M35" s="7"/>
      <c r="N35" s="7" t="s">
        <v>18</v>
      </c>
      <c r="O35" s="7" t="s">
        <v>75</v>
      </c>
      <c r="P35" s="7" t="s">
        <v>365</v>
      </c>
      <c r="Q35" s="7" t="s">
        <v>357</v>
      </c>
      <c r="R35" s="7" t="n">
        <f aca="false">VALUE(LEFT(Q35,4))</f>
        <v>1803</v>
      </c>
      <c r="S35" s="7" t="n">
        <f aca="false">VALUE(MID(Q35,6,2))</f>
        <v>5</v>
      </c>
      <c r="T35" s="7" t="n">
        <f aca="false">VALUE(RIGHT(Q35,2))</f>
        <v>6</v>
      </c>
      <c r="U35" s="7" t="s">
        <v>125</v>
      </c>
      <c r="V35" s="7" t="s">
        <v>126</v>
      </c>
    </row>
    <row r="36" customFormat="false" ht="45.75" hidden="false" customHeight="true" outlineLevel="0" collapsed="false">
      <c r="A36" s="7" t="n">
        <v>35</v>
      </c>
      <c r="B36" s="7" t="s">
        <v>366</v>
      </c>
      <c r="C36" s="7" t="s">
        <v>367</v>
      </c>
      <c r="D36" s="7" t="n">
        <f aca="false">VALUE(LEFT(B36,4))</f>
        <v>1804</v>
      </c>
      <c r="E36" s="7" t="n">
        <f aca="false">INT((D36-1)/100)+1</f>
        <v>19</v>
      </c>
      <c r="F36" s="7" t="s">
        <v>368</v>
      </c>
      <c r="G36" s="7" t="s">
        <v>369</v>
      </c>
      <c r="H36" s="7" t="s">
        <v>370</v>
      </c>
      <c r="I36" s="7" t="s">
        <v>371</v>
      </c>
      <c r="J36" s="7" t="s">
        <v>372</v>
      </c>
      <c r="K36" s="7" t="s">
        <v>373</v>
      </c>
      <c r="L36" s="7" t="s">
        <v>86</v>
      </c>
      <c r="M36" s="7"/>
      <c r="N36" s="7" t="s">
        <v>18</v>
      </c>
      <c r="O36" s="7" t="s">
        <v>75</v>
      </c>
      <c r="P36" s="7"/>
      <c r="Q36" s="7" t="s">
        <v>374</v>
      </c>
      <c r="R36" s="7" t="n">
        <f aca="false">VALUE(LEFT(Q36,4))</f>
        <v>1804</v>
      </c>
      <c r="S36" s="7" t="n">
        <f aca="false">VALUE(MID(Q36,6,2))</f>
        <v>3</v>
      </c>
      <c r="T36" s="7" t="n">
        <f aca="false">VALUE(RIGHT(Q36,2))</f>
        <v>2</v>
      </c>
      <c r="U36" s="7" t="s">
        <v>77</v>
      </c>
      <c r="V36" s="7" t="s">
        <v>375</v>
      </c>
    </row>
    <row r="37" customFormat="false" ht="79.5" hidden="false" customHeight="true" outlineLevel="0" collapsed="false">
      <c r="A37" s="7" t="n">
        <v>36</v>
      </c>
      <c r="B37" s="7" t="s">
        <v>376</v>
      </c>
      <c r="C37" s="7" t="s">
        <v>376</v>
      </c>
      <c r="D37" s="7" t="n">
        <f aca="false">VALUE(LEFT(B37,4))</f>
        <v>1804</v>
      </c>
      <c r="E37" s="7" t="n">
        <f aca="false">INT((D37-1)/100)+1</f>
        <v>19</v>
      </c>
      <c r="F37" s="7" t="s">
        <v>377</v>
      </c>
      <c r="G37" s="7" t="s">
        <v>378</v>
      </c>
      <c r="H37" s="7" t="s">
        <v>379</v>
      </c>
      <c r="I37" s="7" t="s">
        <v>380</v>
      </c>
      <c r="J37" s="7" t="s">
        <v>381</v>
      </c>
      <c r="K37" s="7" t="s">
        <v>382</v>
      </c>
      <c r="L37" s="7" t="s">
        <v>194</v>
      </c>
      <c r="M37" s="7" t="s">
        <v>74</v>
      </c>
      <c r="N37" s="7" t="s">
        <v>16</v>
      </c>
      <c r="O37" s="7" t="s">
        <v>75</v>
      </c>
      <c r="P37" s="7" t="s">
        <v>383</v>
      </c>
      <c r="Q37" s="7" t="s">
        <v>376</v>
      </c>
      <c r="R37" s="7" t="n">
        <f aca="false">VALUE(LEFT(Q37,4))</f>
        <v>1804</v>
      </c>
      <c r="S37" s="7" t="n">
        <f aca="false">VALUE(MID(Q37,6,2))</f>
        <v>10</v>
      </c>
      <c r="T37" s="7" t="n">
        <f aca="false">VALUE(RIGHT(Q37,2))</f>
        <v>9</v>
      </c>
      <c r="U37" s="7" t="s">
        <v>77</v>
      </c>
      <c r="V37" s="7" t="s">
        <v>78</v>
      </c>
    </row>
    <row r="38" customFormat="false" ht="90.75" hidden="false" customHeight="true" outlineLevel="0" collapsed="false">
      <c r="A38" s="7" t="n">
        <v>37</v>
      </c>
      <c r="B38" s="7" t="s">
        <v>384</v>
      </c>
      <c r="C38" s="7" t="s">
        <v>385</v>
      </c>
      <c r="D38" s="7" t="n">
        <f aca="false">VALUE(LEFT(B38,4))</f>
        <v>1804</v>
      </c>
      <c r="E38" s="7" t="n">
        <f aca="false">INT((D38-1)/100)+1</f>
        <v>19</v>
      </c>
      <c r="F38" s="7" t="s">
        <v>106</v>
      </c>
      <c r="G38" s="7" t="s">
        <v>386</v>
      </c>
      <c r="H38" s="7" t="s">
        <v>310</v>
      </c>
      <c r="I38" s="7" t="s">
        <v>387</v>
      </c>
      <c r="J38" s="7" t="s">
        <v>312</v>
      </c>
      <c r="K38" s="7" t="s">
        <v>388</v>
      </c>
      <c r="L38" s="7" t="s">
        <v>314</v>
      </c>
      <c r="M38" s="7" t="s">
        <v>315</v>
      </c>
      <c r="N38" s="7" t="s">
        <v>18</v>
      </c>
      <c r="O38" s="7" t="s">
        <v>75</v>
      </c>
      <c r="P38" s="7"/>
      <c r="Q38" s="7" t="s">
        <v>389</v>
      </c>
      <c r="R38" s="7" t="n">
        <f aca="false">VALUE(LEFT(Q38,4))</f>
        <v>1805</v>
      </c>
      <c r="S38" s="7" t="n">
        <f aca="false">VALUE(MID(Q38,6,2))</f>
        <v>1</v>
      </c>
      <c r="T38" s="7" t="n">
        <f aca="false">VALUE(RIGHT(Q38,2))</f>
        <v>21</v>
      </c>
      <c r="U38" s="7" t="s">
        <v>114</v>
      </c>
      <c r="V38" s="7" t="s">
        <v>325</v>
      </c>
    </row>
    <row r="39" customFormat="false" ht="34.5" hidden="false" customHeight="true" outlineLevel="0" collapsed="false">
      <c r="A39" s="7" t="n">
        <v>38</v>
      </c>
      <c r="B39" s="7" t="s">
        <v>390</v>
      </c>
      <c r="C39" s="7" t="s">
        <v>391</v>
      </c>
      <c r="D39" s="7" t="n">
        <f aca="false">VALUE(LEFT(B39,4))</f>
        <v>1805</v>
      </c>
      <c r="E39" s="7" t="n">
        <f aca="false">INT((D39-1)/100)+1</f>
        <v>19</v>
      </c>
      <c r="F39" s="7" t="s">
        <v>392</v>
      </c>
      <c r="G39" s="7" t="s">
        <v>393</v>
      </c>
      <c r="H39" s="7" t="s">
        <v>120</v>
      </c>
      <c r="I39" s="7" t="s">
        <v>394</v>
      </c>
      <c r="J39" s="7" t="s">
        <v>395</v>
      </c>
      <c r="K39" s="7" t="s">
        <v>396</v>
      </c>
      <c r="L39" s="7" t="s">
        <v>86</v>
      </c>
      <c r="M39" s="7"/>
      <c r="N39" s="7" t="s">
        <v>18</v>
      </c>
      <c r="O39" s="7" t="s">
        <v>75</v>
      </c>
      <c r="P39" s="7"/>
      <c r="Q39" s="7" t="s">
        <v>390</v>
      </c>
      <c r="R39" s="7" t="n">
        <f aca="false">VALUE(LEFT(Q39,4))</f>
        <v>1805</v>
      </c>
      <c r="S39" s="7" t="n">
        <f aca="false">VALUE(MID(Q39,6,2))</f>
        <v>1</v>
      </c>
      <c r="T39" s="7" t="n">
        <f aca="false">VALUE(RIGHT(Q39,2))</f>
        <v>22</v>
      </c>
      <c r="U39" s="7" t="s">
        <v>125</v>
      </c>
      <c r="V39" s="7" t="s">
        <v>126</v>
      </c>
    </row>
    <row r="40" customFormat="false" ht="34.5" hidden="false" customHeight="true" outlineLevel="0" collapsed="false">
      <c r="A40" s="7" t="n">
        <v>39</v>
      </c>
      <c r="B40" s="7" t="s">
        <v>397</v>
      </c>
      <c r="C40" s="7" t="s">
        <v>398</v>
      </c>
      <c r="D40" s="7" t="n">
        <f aca="false">VALUE(LEFT(B40,4))</f>
        <v>1805</v>
      </c>
      <c r="E40" s="7" t="n">
        <f aca="false">INT((D40-1)/100)+1</f>
        <v>19</v>
      </c>
      <c r="F40" s="7" t="s">
        <v>139</v>
      </c>
      <c r="G40" s="7" t="s">
        <v>399</v>
      </c>
      <c r="H40" s="7" t="s">
        <v>120</v>
      </c>
      <c r="I40" s="7" t="s">
        <v>400</v>
      </c>
      <c r="J40" s="7" t="s">
        <v>401</v>
      </c>
      <c r="K40" s="7" t="s">
        <v>402</v>
      </c>
      <c r="L40" s="7" t="s">
        <v>86</v>
      </c>
      <c r="M40" s="7"/>
      <c r="N40" s="7" t="s">
        <v>18</v>
      </c>
      <c r="O40" s="7" t="s">
        <v>75</v>
      </c>
      <c r="P40" s="7"/>
      <c r="Q40" s="7" t="s">
        <v>397</v>
      </c>
      <c r="R40" s="7" t="n">
        <f aca="false">VALUE(LEFT(Q40,4))</f>
        <v>1805</v>
      </c>
      <c r="S40" s="7" t="n">
        <f aca="false">VALUE(MID(Q40,6,2))</f>
        <v>1</v>
      </c>
      <c r="T40" s="7" t="n">
        <f aca="false">VALUE(RIGHT(Q40,2))</f>
        <v>26</v>
      </c>
      <c r="U40" s="7" t="s">
        <v>125</v>
      </c>
      <c r="V40" s="7" t="s">
        <v>126</v>
      </c>
    </row>
    <row r="41" customFormat="false" ht="34.5" hidden="false" customHeight="true" outlineLevel="0" collapsed="false">
      <c r="A41" s="7" t="n">
        <v>40</v>
      </c>
      <c r="B41" s="7" t="s">
        <v>403</v>
      </c>
      <c r="C41" s="7" t="s">
        <v>403</v>
      </c>
      <c r="D41" s="7" t="n">
        <f aca="false">VALUE(LEFT(B41,4))</f>
        <v>1806</v>
      </c>
      <c r="E41" s="7" t="n">
        <f aca="false">INT((D41-1)/100)+1</f>
        <v>19</v>
      </c>
      <c r="F41" s="7" t="s">
        <v>67</v>
      </c>
      <c r="G41" s="7" t="s">
        <v>404</v>
      </c>
      <c r="H41" s="7" t="s">
        <v>405</v>
      </c>
      <c r="I41" s="7" t="s">
        <v>406</v>
      </c>
      <c r="J41" s="7" t="s">
        <v>407</v>
      </c>
      <c r="K41" s="7" t="s">
        <v>408</v>
      </c>
      <c r="L41" s="7" t="s">
        <v>194</v>
      </c>
      <c r="M41" s="7" t="s">
        <v>74</v>
      </c>
      <c r="N41" s="7" t="s">
        <v>20</v>
      </c>
      <c r="O41" s="7" t="s">
        <v>94</v>
      </c>
      <c r="P41" s="7" t="s">
        <v>409</v>
      </c>
      <c r="Q41" s="7" t="s">
        <v>403</v>
      </c>
      <c r="R41" s="7" t="n">
        <f aca="false">VALUE(LEFT(Q41,4))</f>
        <v>1806</v>
      </c>
      <c r="S41" s="7" t="n">
        <f aca="false">VALUE(MID(Q41,6,2))</f>
        <v>8</v>
      </c>
      <c r="T41" s="7" t="n">
        <f aca="false">VALUE(RIGHT(Q41,2))</f>
        <v>23</v>
      </c>
      <c r="U41" s="7" t="s">
        <v>77</v>
      </c>
      <c r="V41" s="7" t="s">
        <v>78</v>
      </c>
    </row>
    <row r="42" customFormat="false" ht="45.75" hidden="false" customHeight="true" outlineLevel="0" collapsed="false">
      <c r="A42" s="7" t="n">
        <v>41</v>
      </c>
      <c r="B42" s="7" t="s">
        <v>410</v>
      </c>
      <c r="C42" s="7" t="s">
        <v>411</v>
      </c>
      <c r="D42" s="7" t="n">
        <f aca="false">VALUE(LEFT(B42,4))</f>
        <v>1807</v>
      </c>
      <c r="E42" s="7" t="n">
        <f aca="false">INT((D42-1)/100)+1</f>
        <v>19</v>
      </c>
      <c r="F42" s="7" t="s">
        <v>412</v>
      </c>
      <c r="G42" s="7" t="s">
        <v>413</v>
      </c>
      <c r="H42" s="7" t="s">
        <v>414</v>
      </c>
      <c r="I42" s="7" t="s">
        <v>415</v>
      </c>
      <c r="J42" s="7" t="s">
        <v>416</v>
      </c>
      <c r="K42" s="7" t="s">
        <v>417</v>
      </c>
      <c r="L42" s="7" t="s">
        <v>86</v>
      </c>
      <c r="M42" s="7"/>
      <c r="N42" s="7" t="s">
        <v>18</v>
      </c>
      <c r="O42" s="7" t="s">
        <v>75</v>
      </c>
      <c r="P42" s="7" t="s">
        <v>418</v>
      </c>
      <c r="Q42" s="7" t="s">
        <v>410</v>
      </c>
      <c r="R42" s="7" t="n">
        <f aca="false">VALUE(LEFT(Q42,4))</f>
        <v>1807</v>
      </c>
      <c r="S42" s="7" t="n">
        <f aca="false">VALUE(MID(Q42,6,2))</f>
        <v>3</v>
      </c>
      <c r="T42" s="7" t="n">
        <f aca="false">VALUE(RIGHT(Q42,2))</f>
        <v>30</v>
      </c>
      <c r="U42" s="7" t="s">
        <v>125</v>
      </c>
      <c r="V42" s="7" t="s">
        <v>126</v>
      </c>
    </row>
    <row r="43" customFormat="false" ht="34.5" hidden="false" customHeight="true" outlineLevel="0" collapsed="false">
      <c r="A43" s="7" t="n">
        <v>42</v>
      </c>
      <c r="B43" s="7" t="s">
        <v>419</v>
      </c>
      <c r="C43" s="7" t="s">
        <v>419</v>
      </c>
      <c r="D43" s="7" t="n">
        <f aca="false">VALUE(LEFT(B43,4))</f>
        <v>1810</v>
      </c>
      <c r="E43" s="7" t="n">
        <f aca="false">INT((D43-1)/100)+1</f>
        <v>19</v>
      </c>
      <c r="F43" s="7" t="s">
        <v>420</v>
      </c>
      <c r="G43" s="7" t="s">
        <v>421</v>
      </c>
      <c r="H43" s="7" t="s">
        <v>422</v>
      </c>
      <c r="I43" s="7" t="s">
        <v>423</v>
      </c>
      <c r="J43" s="7" t="s">
        <v>332</v>
      </c>
      <c r="K43" s="7" t="s">
        <v>424</v>
      </c>
      <c r="L43" s="7" t="s">
        <v>425</v>
      </c>
      <c r="M43" s="7"/>
      <c r="N43" s="7" t="s">
        <v>20</v>
      </c>
      <c r="O43" s="7" t="s">
        <v>94</v>
      </c>
      <c r="P43" s="7"/>
      <c r="Q43" s="7" t="s">
        <v>419</v>
      </c>
      <c r="R43" s="7" t="n">
        <f aca="false">VALUE(LEFT(Q43,4))</f>
        <v>1810</v>
      </c>
      <c r="S43" s="7" t="n">
        <f aca="false">VALUE(MID(Q43,6,2))</f>
        <v>1</v>
      </c>
      <c r="T43" s="7" t="n">
        <f aca="false">VALUE(RIGHT(Q43,2))</f>
        <v>19</v>
      </c>
      <c r="U43" s="7" t="s">
        <v>77</v>
      </c>
      <c r="V43" s="7" t="s">
        <v>78</v>
      </c>
    </row>
    <row r="44" customFormat="false" ht="23.25" hidden="false" customHeight="true" outlineLevel="0" collapsed="false">
      <c r="A44" s="7" t="n">
        <v>43</v>
      </c>
      <c r="B44" s="7" t="s">
        <v>426</v>
      </c>
      <c r="C44" s="7" t="s">
        <v>427</v>
      </c>
      <c r="D44" s="7" t="n">
        <f aca="false">VALUE(LEFT(B44,4))</f>
        <v>1813</v>
      </c>
      <c r="E44" s="7" t="n">
        <f aca="false">INT((D44-1)/100)+1</f>
        <v>19</v>
      </c>
      <c r="F44" s="7" t="s">
        <v>342</v>
      </c>
      <c r="G44" s="7" t="s">
        <v>428</v>
      </c>
      <c r="H44" s="7" t="s">
        <v>429</v>
      </c>
      <c r="I44" s="7" t="s">
        <v>430</v>
      </c>
      <c r="J44" s="7" t="s">
        <v>431</v>
      </c>
      <c r="K44" s="7" t="s">
        <v>432</v>
      </c>
      <c r="L44" s="7" t="s">
        <v>86</v>
      </c>
      <c r="M44" s="7"/>
      <c r="N44" s="7" t="s">
        <v>18</v>
      </c>
      <c r="O44" s="7" t="s">
        <v>75</v>
      </c>
      <c r="P44" s="7"/>
      <c r="Q44" s="7" t="s">
        <v>433</v>
      </c>
      <c r="R44" s="7" t="n">
        <f aca="false">VALUE(LEFT(Q44,4))</f>
        <v>1814</v>
      </c>
      <c r="S44" s="7" t="n">
        <f aca="false">VALUE(MID(Q44,6,2))</f>
        <v>1</v>
      </c>
      <c r="T44" s="7" t="n">
        <f aca="false">VALUE(RIGHT(Q44,2))</f>
        <v>31</v>
      </c>
      <c r="U44" s="7" t="s">
        <v>77</v>
      </c>
      <c r="V44" s="7" t="s">
        <v>434</v>
      </c>
    </row>
    <row r="45" customFormat="false" ht="23.25" hidden="false" customHeight="true" outlineLevel="0" collapsed="false">
      <c r="A45" s="7" t="n">
        <v>44</v>
      </c>
      <c r="B45" s="7" t="s">
        <v>435</v>
      </c>
      <c r="C45" s="7" t="s">
        <v>436</v>
      </c>
      <c r="D45" s="7" t="n">
        <f aca="false">VALUE(LEFT(B45,4))</f>
        <v>1814</v>
      </c>
      <c r="E45" s="7" t="n">
        <f aca="false">INT((D45-1)/100)+1</f>
        <v>19</v>
      </c>
      <c r="F45" s="7" t="s">
        <v>238</v>
      </c>
      <c r="G45" s="7" t="s">
        <v>437</v>
      </c>
      <c r="H45" s="7" t="s">
        <v>438</v>
      </c>
      <c r="I45" s="7" t="s">
        <v>439</v>
      </c>
      <c r="J45" s="7" t="s">
        <v>431</v>
      </c>
      <c r="K45" s="7" t="s">
        <v>440</v>
      </c>
      <c r="L45" s="7" t="s">
        <v>86</v>
      </c>
      <c r="M45" s="7"/>
      <c r="N45" s="7" t="s">
        <v>18</v>
      </c>
      <c r="O45" s="7" t="s">
        <v>75</v>
      </c>
      <c r="P45" s="7"/>
      <c r="Q45" s="7" t="s">
        <v>435</v>
      </c>
      <c r="R45" s="7" t="n">
        <f aca="false">VALUE(LEFT(Q45,4))</f>
        <v>1814</v>
      </c>
      <c r="S45" s="7" t="n">
        <f aca="false">VALUE(MID(Q45,6,2))</f>
        <v>12</v>
      </c>
      <c r="T45" s="7" t="n">
        <f aca="false">VALUE(RIGHT(Q45,2))</f>
        <v>20</v>
      </c>
      <c r="U45" s="7" t="s">
        <v>125</v>
      </c>
      <c r="V45" s="7" t="s">
        <v>126</v>
      </c>
    </row>
    <row r="46" customFormat="false" ht="57" hidden="false" customHeight="true" outlineLevel="0" collapsed="false">
      <c r="A46" s="7" t="n">
        <v>45</v>
      </c>
      <c r="B46" s="7" t="s">
        <v>441</v>
      </c>
      <c r="C46" s="7" t="s">
        <v>442</v>
      </c>
      <c r="D46" s="7" t="n">
        <f aca="false">VALUE(LEFT(B46,4))</f>
        <v>1815</v>
      </c>
      <c r="E46" s="7" t="n">
        <f aca="false">INT((D46-1)/100)+1</f>
        <v>19</v>
      </c>
      <c r="F46" s="7" t="s">
        <v>238</v>
      </c>
      <c r="G46" s="7" t="s">
        <v>443</v>
      </c>
      <c r="H46" s="7" t="s">
        <v>444</v>
      </c>
      <c r="I46" s="7" t="s">
        <v>445</v>
      </c>
      <c r="J46" s="7" t="s">
        <v>446</v>
      </c>
      <c r="K46" s="7" t="s">
        <v>447</v>
      </c>
      <c r="L46" s="7" t="s">
        <v>86</v>
      </c>
      <c r="M46" s="7"/>
      <c r="N46" s="7" t="s">
        <v>18</v>
      </c>
      <c r="O46" s="7" t="s">
        <v>75</v>
      </c>
      <c r="P46" s="7" t="s">
        <v>448</v>
      </c>
      <c r="Q46" s="7" t="s">
        <v>441</v>
      </c>
      <c r="R46" s="7" t="n">
        <f aca="false">VALUE(LEFT(Q46,4))</f>
        <v>1815</v>
      </c>
      <c r="S46" s="7" t="n">
        <f aca="false">VALUE(MID(Q46,6,2))</f>
        <v>1</v>
      </c>
      <c r="T46" s="7" t="n">
        <f aca="false">VALUE(RIGHT(Q46,2))</f>
        <v>31</v>
      </c>
      <c r="U46" s="7" t="s">
        <v>125</v>
      </c>
      <c r="V46" s="7" t="s">
        <v>126</v>
      </c>
    </row>
    <row r="47" customFormat="false" ht="45.75" hidden="false" customHeight="true" outlineLevel="0" collapsed="false">
      <c r="A47" s="7" t="n">
        <v>46</v>
      </c>
      <c r="B47" s="7" t="s">
        <v>449</v>
      </c>
      <c r="C47" s="7" t="s">
        <v>449</v>
      </c>
      <c r="D47" s="7" t="n">
        <f aca="false">VALUE(LEFT(B47,4))</f>
        <v>1815</v>
      </c>
      <c r="E47" s="7" t="n">
        <f aca="false">INT((D47-1)/100)+1</f>
        <v>19</v>
      </c>
      <c r="F47" s="7" t="s">
        <v>67</v>
      </c>
      <c r="G47" s="7" t="s">
        <v>450</v>
      </c>
      <c r="H47" s="7" t="s">
        <v>451</v>
      </c>
      <c r="I47" s="7" t="s">
        <v>452</v>
      </c>
      <c r="J47" s="7" t="s">
        <v>453</v>
      </c>
      <c r="K47" s="7" t="s">
        <v>454</v>
      </c>
      <c r="L47" s="7" t="s">
        <v>455</v>
      </c>
      <c r="M47" s="7" t="s">
        <v>74</v>
      </c>
      <c r="N47" s="7" t="s">
        <v>20</v>
      </c>
      <c r="O47" s="7" t="s">
        <v>75</v>
      </c>
      <c r="P47" s="7" t="s">
        <v>456</v>
      </c>
      <c r="Q47" s="7" t="s">
        <v>449</v>
      </c>
      <c r="R47" s="7" t="n">
        <f aca="false">VALUE(LEFT(Q47,4))</f>
        <v>1815</v>
      </c>
      <c r="S47" s="7" t="n">
        <f aca="false">VALUE(MID(Q47,6,2))</f>
        <v>9</v>
      </c>
      <c r="T47" s="7" t="n">
        <f aca="false">VALUE(RIGHT(Q47,2))</f>
        <v>23</v>
      </c>
      <c r="U47" s="7" t="s">
        <v>77</v>
      </c>
      <c r="V47" s="7" t="s">
        <v>78</v>
      </c>
    </row>
    <row r="48" customFormat="false" ht="34.5" hidden="false" customHeight="true" outlineLevel="0" collapsed="false">
      <c r="A48" s="7" t="n">
        <v>47</v>
      </c>
      <c r="B48" s="7" t="s">
        <v>457</v>
      </c>
      <c r="C48" s="7" t="s">
        <v>458</v>
      </c>
      <c r="D48" s="7" t="n">
        <f aca="false">VALUE(LEFT(B48,4))</f>
        <v>1816</v>
      </c>
      <c r="E48" s="7" t="n">
        <f aca="false">INT((D48-1)/100)+1</f>
        <v>19</v>
      </c>
      <c r="F48" s="7" t="s">
        <v>459</v>
      </c>
      <c r="G48" s="7" t="s">
        <v>460</v>
      </c>
      <c r="H48" s="7" t="s">
        <v>461</v>
      </c>
      <c r="I48" s="7" t="s">
        <v>462</v>
      </c>
      <c r="J48" s="7" t="s">
        <v>332</v>
      </c>
      <c r="K48" s="7" t="s">
        <v>463</v>
      </c>
      <c r="L48" s="7" t="s">
        <v>425</v>
      </c>
      <c r="M48" s="7"/>
      <c r="N48" s="7" t="s">
        <v>18</v>
      </c>
      <c r="O48" s="7" t="s">
        <v>94</v>
      </c>
      <c r="P48" s="7"/>
      <c r="Q48" s="7" t="s">
        <v>457</v>
      </c>
      <c r="R48" s="7" t="n">
        <f aca="false">VALUE(LEFT(Q48,4))</f>
        <v>1816</v>
      </c>
      <c r="S48" s="7" t="n">
        <f aca="false">VALUE(MID(Q48,6,2))</f>
        <v>5</v>
      </c>
      <c r="T48" s="7" t="n">
        <f aca="false">VALUE(RIGHT(Q48,2))</f>
        <v>12</v>
      </c>
      <c r="U48" s="7" t="s">
        <v>125</v>
      </c>
      <c r="V48" s="7" t="s">
        <v>126</v>
      </c>
    </row>
    <row r="49" customFormat="false" ht="68.25" hidden="false" customHeight="true" outlineLevel="0" collapsed="false">
      <c r="A49" s="7" t="n">
        <v>48</v>
      </c>
      <c r="B49" s="7" t="s">
        <v>464</v>
      </c>
      <c r="C49" s="7" t="s">
        <v>465</v>
      </c>
      <c r="D49" s="7" t="n">
        <f aca="false">VALUE(LEFT(B49,4))</f>
        <v>1816</v>
      </c>
      <c r="E49" s="7" t="n">
        <f aca="false">INT((D49-1)/100)+1</f>
        <v>19</v>
      </c>
      <c r="F49" s="7" t="s">
        <v>466</v>
      </c>
      <c r="G49" s="7" t="s">
        <v>467</v>
      </c>
      <c r="H49" s="7" t="s">
        <v>468</v>
      </c>
      <c r="I49" s="7" t="s">
        <v>469</v>
      </c>
      <c r="J49" s="7" t="s">
        <v>470</v>
      </c>
      <c r="K49" s="7" t="s">
        <v>471</v>
      </c>
      <c r="L49" s="7" t="s">
        <v>86</v>
      </c>
      <c r="M49" s="7" t="s">
        <v>472</v>
      </c>
      <c r="N49" s="7" t="s">
        <v>18</v>
      </c>
      <c r="O49" s="7" t="s">
        <v>75</v>
      </c>
      <c r="P49" s="7" t="s">
        <v>473</v>
      </c>
      <c r="Q49" s="7" t="s">
        <v>464</v>
      </c>
      <c r="R49" s="7" t="n">
        <f aca="false">VALUE(LEFT(Q49,4))</f>
        <v>1816</v>
      </c>
      <c r="S49" s="7" t="n">
        <f aca="false">VALUE(MID(Q49,6,2))</f>
        <v>6</v>
      </c>
      <c r="T49" s="7" t="n">
        <f aca="false">VALUE(RIGHT(Q49,2))</f>
        <v>6</v>
      </c>
      <c r="U49" s="7" t="s">
        <v>125</v>
      </c>
      <c r="V49" s="7" t="s">
        <v>126</v>
      </c>
    </row>
    <row r="50" customFormat="false" ht="34.5" hidden="false" customHeight="true" outlineLevel="0" collapsed="false">
      <c r="A50" s="7" t="n">
        <v>49</v>
      </c>
      <c r="B50" s="7" t="s">
        <v>474</v>
      </c>
      <c r="C50" s="7" t="s">
        <v>475</v>
      </c>
      <c r="D50" s="7" t="n">
        <f aca="false">VALUE(LEFT(B50,4))</f>
        <v>1816</v>
      </c>
      <c r="E50" s="7" t="n">
        <f aca="false">INT((D50-1)/100)+1</f>
        <v>19</v>
      </c>
      <c r="F50" s="7" t="s">
        <v>459</v>
      </c>
      <c r="G50" s="7" t="s">
        <v>476</v>
      </c>
      <c r="H50" s="7" t="s">
        <v>477</v>
      </c>
      <c r="I50" s="7" t="s">
        <v>478</v>
      </c>
      <c r="J50" s="7" t="s">
        <v>479</v>
      </c>
      <c r="K50" s="7"/>
      <c r="L50" s="7" t="s">
        <v>425</v>
      </c>
      <c r="M50" s="7"/>
      <c r="N50" s="7" t="s">
        <v>20</v>
      </c>
      <c r="O50" s="7" t="s">
        <v>94</v>
      </c>
      <c r="P50" s="7" t="s">
        <v>480</v>
      </c>
      <c r="Q50" s="7" t="s">
        <v>474</v>
      </c>
      <c r="R50" s="7" t="n">
        <f aca="false">VALUE(LEFT(Q50,4))</f>
        <v>1816</v>
      </c>
      <c r="S50" s="7" t="n">
        <f aca="false">VALUE(MID(Q50,6,2))</f>
        <v>7</v>
      </c>
      <c r="T50" s="7" t="n">
        <f aca="false">VALUE(RIGHT(Q50,2))</f>
        <v>4</v>
      </c>
      <c r="U50" s="7" t="s">
        <v>125</v>
      </c>
      <c r="V50" s="7" t="s">
        <v>126</v>
      </c>
    </row>
    <row r="51" customFormat="false" ht="23.25" hidden="false" customHeight="true" outlineLevel="0" collapsed="false">
      <c r="A51" s="7" t="n">
        <v>50</v>
      </c>
      <c r="B51" s="7" t="s">
        <v>481</v>
      </c>
      <c r="C51" s="7" t="s">
        <v>481</v>
      </c>
      <c r="D51" s="7" t="n">
        <f aca="false">VALUE(LEFT(B51,4))</f>
        <v>1816</v>
      </c>
      <c r="E51" s="7" t="n">
        <f aca="false">INT((D51-1)/100)+1</f>
        <v>19</v>
      </c>
      <c r="F51" s="7" t="s">
        <v>459</v>
      </c>
      <c r="G51" s="7" t="s">
        <v>482</v>
      </c>
      <c r="H51" s="7" t="s">
        <v>483</v>
      </c>
      <c r="I51" s="7" t="s">
        <v>484</v>
      </c>
      <c r="J51" s="7" t="s">
        <v>485</v>
      </c>
      <c r="K51" s="7" t="s">
        <v>486</v>
      </c>
      <c r="L51" s="7" t="s">
        <v>86</v>
      </c>
      <c r="M51" s="7"/>
      <c r="N51" s="7" t="s">
        <v>18</v>
      </c>
      <c r="O51" s="7" t="s">
        <v>75</v>
      </c>
      <c r="P51" s="7"/>
      <c r="Q51" s="7" t="s">
        <v>481</v>
      </c>
      <c r="R51" s="7" t="n">
        <f aca="false">VALUE(LEFT(Q51,4))</f>
        <v>1816</v>
      </c>
      <c r="S51" s="7" t="n">
        <f aca="false">VALUE(MID(Q51,6,2))</f>
        <v>8</v>
      </c>
      <c r="T51" s="7" t="n">
        <f aca="false">VALUE(RIGHT(Q51,2))</f>
        <v>21</v>
      </c>
      <c r="U51" s="7" t="s">
        <v>77</v>
      </c>
      <c r="V51" s="7" t="s">
        <v>78</v>
      </c>
    </row>
    <row r="52" customFormat="false" ht="23.25" hidden="false" customHeight="true" outlineLevel="0" collapsed="false">
      <c r="A52" s="7" t="n">
        <v>51</v>
      </c>
      <c r="B52" s="7" t="s">
        <v>487</v>
      </c>
      <c r="C52" s="7" t="s">
        <v>487</v>
      </c>
      <c r="D52" s="7" t="n">
        <f aca="false">VALUE(LEFT(B52,4))</f>
        <v>1816</v>
      </c>
      <c r="E52" s="7" t="n">
        <f aca="false">INT((D52-1)/100)+1</f>
        <v>19</v>
      </c>
      <c r="F52" s="7" t="s">
        <v>459</v>
      </c>
      <c r="G52" s="7" t="s">
        <v>488</v>
      </c>
      <c r="H52" s="7" t="s">
        <v>483</v>
      </c>
      <c r="I52" s="7" t="s">
        <v>489</v>
      </c>
      <c r="J52" s="7" t="s">
        <v>485</v>
      </c>
      <c r="K52" s="7" t="s">
        <v>490</v>
      </c>
      <c r="L52" s="7" t="s">
        <v>86</v>
      </c>
      <c r="M52" s="7"/>
      <c r="N52" s="7" t="s">
        <v>18</v>
      </c>
      <c r="O52" s="7" t="s">
        <v>75</v>
      </c>
      <c r="P52" s="7"/>
      <c r="Q52" s="7" t="s">
        <v>487</v>
      </c>
      <c r="R52" s="7" t="n">
        <f aca="false">VALUE(LEFT(Q52,4))</f>
        <v>1816</v>
      </c>
      <c r="S52" s="7" t="n">
        <f aca="false">VALUE(MID(Q52,6,2))</f>
        <v>8</v>
      </c>
      <c r="T52" s="7" t="n">
        <f aca="false">VALUE(RIGHT(Q52,2))</f>
        <v>29</v>
      </c>
      <c r="U52" s="7" t="s">
        <v>77</v>
      </c>
      <c r="V52" s="7" t="s">
        <v>78</v>
      </c>
    </row>
    <row r="53" customFormat="false" ht="23.25" hidden="false" customHeight="true" outlineLevel="0" collapsed="false">
      <c r="A53" s="7" t="n">
        <v>52</v>
      </c>
      <c r="B53" s="7" t="s">
        <v>491</v>
      </c>
      <c r="C53" s="7" t="s">
        <v>491</v>
      </c>
      <c r="D53" s="7" t="n">
        <f aca="false">VALUE(LEFT(B53,4))</f>
        <v>1816</v>
      </c>
      <c r="E53" s="7" t="n">
        <f aca="false">INT((D53-1)/100)+1</f>
        <v>19</v>
      </c>
      <c r="F53" s="7" t="s">
        <v>459</v>
      </c>
      <c r="G53" s="7" t="s">
        <v>492</v>
      </c>
      <c r="H53" s="7" t="s">
        <v>493</v>
      </c>
      <c r="I53" s="7" t="s">
        <v>494</v>
      </c>
      <c r="J53" s="7" t="s">
        <v>485</v>
      </c>
      <c r="K53" s="7" t="s">
        <v>495</v>
      </c>
      <c r="L53" s="7" t="s">
        <v>86</v>
      </c>
      <c r="M53" s="7"/>
      <c r="N53" s="7" t="s">
        <v>18</v>
      </c>
      <c r="O53" s="7" t="s">
        <v>75</v>
      </c>
      <c r="P53" s="7"/>
      <c r="Q53" s="7" t="s">
        <v>491</v>
      </c>
      <c r="R53" s="7" t="n">
        <f aca="false">VALUE(LEFT(Q53,4))</f>
        <v>1816</v>
      </c>
      <c r="S53" s="7" t="n">
        <f aca="false">VALUE(MID(Q53,6,2))</f>
        <v>9</v>
      </c>
      <c r="T53" s="7" t="n">
        <f aca="false">VALUE(RIGHT(Q53,2))</f>
        <v>27</v>
      </c>
      <c r="U53" s="7" t="s">
        <v>77</v>
      </c>
      <c r="V53" s="7" t="s">
        <v>78</v>
      </c>
    </row>
    <row r="54" customFormat="false" ht="34.5" hidden="false" customHeight="true" outlineLevel="0" collapsed="false">
      <c r="A54" s="7" t="n">
        <v>53</v>
      </c>
      <c r="B54" s="7" t="s">
        <v>496</v>
      </c>
      <c r="C54" s="7" t="s">
        <v>497</v>
      </c>
      <c r="D54" s="7" t="n">
        <f aca="false">VALUE(LEFT(B54,4))</f>
        <v>1817</v>
      </c>
      <c r="E54" s="7" t="n">
        <f aca="false">INT((D54-1)/100)+1</f>
        <v>19</v>
      </c>
      <c r="F54" s="7" t="s">
        <v>238</v>
      </c>
      <c r="G54" s="7" t="s">
        <v>498</v>
      </c>
      <c r="H54" s="7" t="s">
        <v>422</v>
      </c>
      <c r="I54" s="7" t="s">
        <v>499</v>
      </c>
      <c r="J54" s="7" t="s">
        <v>500</v>
      </c>
      <c r="K54" s="7" t="s">
        <v>501</v>
      </c>
      <c r="L54" s="7" t="s">
        <v>86</v>
      </c>
      <c r="M54" s="7"/>
      <c r="N54" s="7" t="s">
        <v>18</v>
      </c>
      <c r="O54" s="7" t="s">
        <v>75</v>
      </c>
      <c r="P54" s="7"/>
      <c r="Q54" s="7" t="s">
        <v>496</v>
      </c>
      <c r="R54" s="7" t="n">
        <f aca="false">VALUE(LEFT(Q54,4))</f>
        <v>1817</v>
      </c>
      <c r="S54" s="7" t="n">
        <f aca="false">VALUE(MID(Q54,6,2))</f>
        <v>1</v>
      </c>
      <c r="T54" s="7" t="n">
        <f aca="false">VALUE(RIGHT(Q54,2))</f>
        <v>12</v>
      </c>
      <c r="U54" s="7" t="s">
        <v>125</v>
      </c>
      <c r="V54" s="7" t="s">
        <v>126</v>
      </c>
    </row>
    <row r="55" customFormat="false" ht="45.75" hidden="false" customHeight="true" outlineLevel="0" collapsed="false">
      <c r="A55" s="7" t="n">
        <v>54</v>
      </c>
      <c r="B55" s="7" t="s">
        <v>502</v>
      </c>
      <c r="C55" s="7" t="s">
        <v>502</v>
      </c>
      <c r="D55" s="7" t="n">
        <f aca="false">VALUE(LEFT(B55,4))</f>
        <v>1817</v>
      </c>
      <c r="E55" s="7" t="n">
        <f aca="false">INT((D55-1)/100)+1</f>
        <v>19</v>
      </c>
      <c r="F55" s="7" t="s">
        <v>238</v>
      </c>
      <c r="G55" s="7" t="s">
        <v>503</v>
      </c>
      <c r="H55" s="7" t="s">
        <v>504</v>
      </c>
      <c r="I55" s="7" t="s">
        <v>505</v>
      </c>
      <c r="J55" s="7" t="s">
        <v>506</v>
      </c>
      <c r="K55" s="7" t="s">
        <v>507</v>
      </c>
      <c r="L55" s="7" t="s">
        <v>86</v>
      </c>
      <c r="M55" s="7"/>
      <c r="N55" s="7" t="s">
        <v>18</v>
      </c>
      <c r="O55" s="7" t="s">
        <v>75</v>
      </c>
      <c r="P55" s="7" t="s">
        <v>508</v>
      </c>
      <c r="Q55" s="7" t="s">
        <v>502</v>
      </c>
      <c r="R55" s="7" t="n">
        <f aca="false">VALUE(LEFT(Q55,4))</f>
        <v>1817</v>
      </c>
      <c r="S55" s="7" t="n">
        <f aca="false">VALUE(MID(Q55,6,2))</f>
        <v>2</v>
      </c>
      <c r="T55" s="7" t="n">
        <f aca="false">VALUE(RIGHT(Q55,2))</f>
        <v>15</v>
      </c>
      <c r="U55" s="7" t="s">
        <v>77</v>
      </c>
      <c r="V55" s="7" t="s">
        <v>78</v>
      </c>
    </row>
    <row r="56" customFormat="false" ht="90.75" hidden="false" customHeight="true" outlineLevel="0" collapsed="false">
      <c r="A56" s="7" t="n">
        <v>55</v>
      </c>
      <c r="B56" s="7" t="s">
        <v>502</v>
      </c>
      <c r="C56" s="7" t="s">
        <v>502</v>
      </c>
      <c r="D56" s="7" t="n">
        <f aca="false">VALUE(LEFT(B56,4))</f>
        <v>1817</v>
      </c>
      <c r="E56" s="7" t="n">
        <f aca="false">INT((D56-1)/100)+1</f>
        <v>19</v>
      </c>
      <c r="F56" s="7" t="s">
        <v>238</v>
      </c>
      <c r="G56" s="7" t="s">
        <v>509</v>
      </c>
      <c r="H56" s="7" t="s">
        <v>310</v>
      </c>
      <c r="I56" s="7" t="s">
        <v>510</v>
      </c>
      <c r="J56" s="7" t="s">
        <v>312</v>
      </c>
      <c r="K56" s="7" t="s">
        <v>511</v>
      </c>
      <c r="L56" s="7" t="s">
        <v>314</v>
      </c>
      <c r="M56" s="7" t="s">
        <v>315</v>
      </c>
      <c r="N56" s="7" t="s">
        <v>16</v>
      </c>
      <c r="O56" s="7" t="s">
        <v>75</v>
      </c>
      <c r="P56" s="7" t="s">
        <v>512</v>
      </c>
      <c r="Q56" s="7" t="s">
        <v>502</v>
      </c>
      <c r="R56" s="7" t="n">
        <f aca="false">VALUE(LEFT(Q56,4))</f>
        <v>1817</v>
      </c>
      <c r="S56" s="7" t="n">
        <f aca="false">VALUE(MID(Q56,6,2))</f>
        <v>2</v>
      </c>
      <c r="T56" s="7" t="n">
        <f aca="false">VALUE(RIGHT(Q56,2))</f>
        <v>15</v>
      </c>
      <c r="U56" s="7" t="s">
        <v>77</v>
      </c>
      <c r="V56" s="7" t="s">
        <v>78</v>
      </c>
    </row>
    <row r="57" customFormat="false" ht="34.5" hidden="false" customHeight="true" outlineLevel="0" collapsed="false">
      <c r="A57" s="7" t="n">
        <v>56</v>
      </c>
      <c r="B57" s="7" t="s">
        <v>513</v>
      </c>
      <c r="C57" s="7" t="s">
        <v>514</v>
      </c>
      <c r="D57" s="7" t="n">
        <f aca="false">VALUE(LEFT(B57,4))</f>
        <v>1817</v>
      </c>
      <c r="E57" s="7" t="n">
        <f aca="false">INT((D57-1)/100)+1</f>
        <v>19</v>
      </c>
      <c r="F57" s="7" t="s">
        <v>159</v>
      </c>
      <c r="G57" s="7" t="s">
        <v>515</v>
      </c>
      <c r="H57" s="7" t="s">
        <v>516</v>
      </c>
      <c r="I57" s="7" t="s">
        <v>517</v>
      </c>
      <c r="J57" s="7" t="s">
        <v>518</v>
      </c>
      <c r="K57" s="7" t="s">
        <v>519</v>
      </c>
      <c r="L57" s="7" t="s">
        <v>86</v>
      </c>
      <c r="M57" s="7"/>
      <c r="N57" s="7" t="s">
        <v>18</v>
      </c>
      <c r="O57" s="7" t="s">
        <v>75</v>
      </c>
      <c r="P57" s="7" t="s">
        <v>520</v>
      </c>
      <c r="Q57" s="7" t="s">
        <v>513</v>
      </c>
      <c r="R57" s="7" t="n">
        <f aca="false">VALUE(LEFT(Q57,4))</f>
        <v>1817</v>
      </c>
      <c r="S57" s="7" t="n">
        <f aca="false">VALUE(MID(Q57,6,2))</f>
        <v>2</v>
      </c>
      <c r="T57" s="7" t="n">
        <f aca="false">VALUE(RIGHT(Q57,2))</f>
        <v>24</v>
      </c>
      <c r="U57" s="7" t="s">
        <v>125</v>
      </c>
      <c r="V57" s="7" t="s">
        <v>126</v>
      </c>
    </row>
    <row r="58" customFormat="false" ht="90.75" hidden="false" customHeight="true" outlineLevel="0" collapsed="false">
      <c r="A58" s="7" t="n">
        <v>57</v>
      </c>
      <c r="B58" s="7" t="s">
        <v>521</v>
      </c>
      <c r="C58" s="7" t="s">
        <v>521</v>
      </c>
      <c r="D58" s="7" t="n">
        <f aca="false">VALUE(LEFT(B58,4))</f>
        <v>1821</v>
      </c>
      <c r="E58" s="7" t="n">
        <f aca="false">INT((D58-1)/100)+1</f>
        <v>19</v>
      </c>
      <c r="F58" s="7" t="s">
        <v>118</v>
      </c>
      <c r="G58" s="7" t="s">
        <v>522</v>
      </c>
      <c r="H58" s="7" t="s">
        <v>310</v>
      </c>
      <c r="I58" s="7" t="s">
        <v>523</v>
      </c>
      <c r="J58" s="7" t="s">
        <v>312</v>
      </c>
      <c r="K58" s="7" t="s">
        <v>524</v>
      </c>
      <c r="L58" s="7" t="s">
        <v>314</v>
      </c>
      <c r="M58" s="7" t="s">
        <v>315</v>
      </c>
      <c r="N58" s="7" t="s">
        <v>16</v>
      </c>
      <c r="O58" s="7" t="s">
        <v>75</v>
      </c>
      <c r="P58" s="7" t="s">
        <v>525</v>
      </c>
      <c r="Q58" s="7" t="s">
        <v>521</v>
      </c>
      <c r="R58" s="7" t="n">
        <f aca="false">VALUE(LEFT(Q58,4))</f>
        <v>1821</v>
      </c>
      <c r="S58" s="7" t="n">
        <f aca="false">VALUE(MID(Q58,6,2))</f>
        <v>1</v>
      </c>
      <c r="T58" s="7" t="n">
        <f aca="false">VALUE(RIGHT(Q58,2))</f>
        <v>25</v>
      </c>
      <c r="U58" s="7" t="s">
        <v>77</v>
      </c>
      <c r="V58" s="7" t="s">
        <v>78</v>
      </c>
    </row>
    <row r="59" customFormat="false" ht="34.5" hidden="false" customHeight="true" outlineLevel="0" collapsed="false">
      <c r="A59" s="7" t="n">
        <v>58</v>
      </c>
      <c r="B59" s="7" t="s">
        <v>526</v>
      </c>
      <c r="C59" s="7" t="s">
        <v>526</v>
      </c>
      <c r="D59" s="7" t="n">
        <f aca="false">VALUE(LEFT(B59,4))</f>
        <v>1821</v>
      </c>
      <c r="E59" s="7" t="n">
        <f aca="false">INT((D59-1)/100)+1</f>
        <v>19</v>
      </c>
      <c r="F59" s="7" t="s">
        <v>67</v>
      </c>
      <c r="G59" s="7" t="s">
        <v>527</v>
      </c>
      <c r="H59" s="7" t="s">
        <v>120</v>
      </c>
      <c r="I59" s="7" t="s">
        <v>528</v>
      </c>
      <c r="J59" s="7" t="s">
        <v>332</v>
      </c>
      <c r="K59" s="7" t="s">
        <v>529</v>
      </c>
      <c r="L59" s="7" t="s">
        <v>425</v>
      </c>
      <c r="M59" s="7"/>
      <c r="N59" s="7" t="s">
        <v>20</v>
      </c>
      <c r="O59" s="7" t="s">
        <v>94</v>
      </c>
      <c r="P59" s="7"/>
      <c r="Q59" s="7" t="s">
        <v>526</v>
      </c>
      <c r="R59" s="7" t="n">
        <f aca="false">VALUE(LEFT(Q59,4))</f>
        <v>1821</v>
      </c>
      <c r="S59" s="7" t="n">
        <f aca="false">VALUE(MID(Q59,6,2))</f>
        <v>9</v>
      </c>
      <c r="T59" s="7" t="n">
        <f aca="false">VALUE(RIGHT(Q59,2))</f>
        <v>3</v>
      </c>
      <c r="U59" s="7" t="s">
        <v>77</v>
      </c>
      <c r="V59" s="7" t="s">
        <v>78</v>
      </c>
    </row>
    <row r="60" customFormat="false" ht="79.5" hidden="false" customHeight="true" outlineLevel="0" collapsed="false">
      <c r="A60" s="7" t="n">
        <v>59</v>
      </c>
      <c r="B60" s="7" t="s">
        <v>526</v>
      </c>
      <c r="C60" s="7" t="s">
        <v>526</v>
      </c>
      <c r="D60" s="7" t="n">
        <f aca="false">VALUE(LEFT(B60,4))</f>
        <v>1821</v>
      </c>
      <c r="E60" s="7" t="n">
        <f aca="false">INT((D60-1)/100)+1</f>
        <v>19</v>
      </c>
      <c r="F60" s="7" t="s">
        <v>67</v>
      </c>
      <c r="G60" s="7" t="s">
        <v>530</v>
      </c>
      <c r="H60" s="7" t="s">
        <v>531</v>
      </c>
      <c r="I60" s="7" t="s">
        <v>532</v>
      </c>
      <c r="J60" s="7" t="s">
        <v>533</v>
      </c>
      <c r="K60" s="7" t="s">
        <v>534</v>
      </c>
      <c r="L60" s="7" t="s">
        <v>455</v>
      </c>
      <c r="M60" s="7" t="s">
        <v>74</v>
      </c>
      <c r="N60" s="7" t="s">
        <v>18</v>
      </c>
      <c r="O60" s="7" t="s">
        <v>75</v>
      </c>
      <c r="P60" s="7" t="s">
        <v>535</v>
      </c>
      <c r="Q60" s="7" t="s">
        <v>526</v>
      </c>
      <c r="R60" s="7" t="n">
        <f aca="false">VALUE(LEFT(Q60,4))</f>
        <v>1821</v>
      </c>
      <c r="S60" s="7" t="n">
        <f aca="false">VALUE(MID(Q60,6,2))</f>
        <v>9</v>
      </c>
      <c r="T60" s="7" t="n">
        <f aca="false">VALUE(RIGHT(Q60,2))</f>
        <v>3</v>
      </c>
      <c r="U60" s="7" t="s">
        <v>77</v>
      </c>
      <c r="V60" s="7" t="s">
        <v>78</v>
      </c>
    </row>
    <row r="61" customFormat="false" ht="90.75" hidden="false" customHeight="true" outlineLevel="0" collapsed="false">
      <c r="A61" s="7" t="n">
        <v>60</v>
      </c>
      <c r="B61" s="7" t="s">
        <v>536</v>
      </c>
      <c r="C61" s="7" t="s">
        <v>536</v>
      </c>
      <c r="D61" s="7" t="n">
        <f aca="false">VALUE(LEFT(B61,4))</f>
        <v>1826</v>
      </c>
      <c r="E61" s="7" t="n">
        <f aca="false">INT((D61-1)/100)+1</f>
        <v>19</v>
      </c>
      <c r="F61" s="7" t="s">
        <v>420</v>
      </c>
      <c r="G61" s="7" t="s">
        <v>537</v>
      </c>
      <c r="H61" s="7" t="s">
        <v>310</v>
      </c>
      <c r="I61" s="7" t="s">
        <v>538</v>
      </c>
      <c r="J61" s="7" t="s">
        <v>312</v>
      </c>
      <c r="K61" s="7" t="s">
        <v>539</v>
      </c>
      <c r="L61" s="7" t="s">
        <v>314</v>
      </c>
      <c r="M61" s="7" t="s">
        <v>315</v>
      </c>
      <c r="N61" s="7" t="s">
        <v>18</v>
      </c>
      <c r="O61" s="7" t="s">
        <v>75</v>
      </c>
      <c r="P61" s="7"/>
      <c r="Q61" s="7" t="s">
        <v>536</v>
      </c>
      <c r="R61" s="7" t="n">
        <f aca="false">VALUE(LEFT(Q61,4))</f>
        <v>1826</v>
      </c>
      <c r="S61" s="7" t="n">
        <f aca="false">VALUE(MID(Q61,6,2))</f>
        <v>12</v>
      </c>
      <c r="T61" s="7" t="n">
        <f aca="false">VALUE(RIGHT(Q61,2))</f>
        <v>14</v>
      </c>
      <c r="U61" s="7" t="s">
        <v>77</v>
      </c>
      <c r="V61" s="7" t="s">
        <v>78</v>
      </c>
    </row>
    <row r="62" customFormat="false" ht="90.75" hidden="false" customHeight="true" outlineLevel="0" collapsed="false">
      <c r="A62" s="7" t="n">
        <v>61</v>
      </c>
      <c r="B62" s="7" t="s">
        <v>540</v>
      </c>
      <c r="C62" s="7" t="s">
        <v>541</v>
      </c>
      <c r="D62" s="7" t="n">
        <f aca="false">VALUE(LEFT(B62,4))</f>
        <v>1828</v>
      </c>
      <c r="E62" s="7" t="n">
        <f aca="false">INT((D62-1)/100)+1</f>
        <v>19</v>
      </c>
      <c r="F62" s="7" t="s">
        <v>106</v>
      </c>
      <c r="G62" s="7" t="s">
        <v>542</v>
      </c>
      <c r="H62" s="7" t="s">
        <v>310</v>
      </c>
      <c r="I62" s="7" t="s">
        <v>543</v>
      </c>
      <c r="J62" s="7" t="s">
        <v>312</v>
      </c>
      <c r="K62" s="7" t="s">
        <v>544</v>
      </c>
      <c r="L62" s="7" t="s">
        <v>314</v>
      </c>
      <c r="M62" s="7" t="s">
        <v>315</v>
      </c>
      <c r="N62" s="7" t="s">
        <v>18</v>
      </c>
      <c r="O62" s="7" t="s">
        <v>75</v>
      </c>
      <c r="P62" s="7"/>
      <c r="Q62" s="7" t="s">
        <v>545</v>
      </c>
      <c r="R62" s="7" t="n">
        <f aca="false">VALUE(LEFT(Q62,4))</f>
        <v>1829</v>
      </c>
      <c r="S62" s="7" t="n">
        <f aca="false">VALUE(MID(Q62,6,2))</f>
        <v>1</v>
      </c>
      <c r="T62" s="7" t="n">
        <f aca="false">VALUE(RIGHT(Q62,2))</f>
        <v>29</v>
      </c>
      <c r="U62" s="7" t="s">
        <v>114</v>
      </c>
      <c r="V62" s="7" t="s">
        <v>325</v>
      </c>
    </row>
    <row r="63" customFormat="false" ht="90.75" hidden="false" customHeight="true" outlineLevel="0" collapsed="false">
      <c r="A63" s="7" t="n">
        <v>62</v>
      </c>
      <c r="B63" s="7" t="s">
        <v>546</v>
      </c>
      <c r="C63" s="7" t="s">
        <v>547</v>
      </c>
      <c r="D63" s="7" t="n">
        <f aca="false">VALUE(LEFT(B63,4))</f>
        <v>1830</v>
      </c>
      <c r="E63" s="7" t="n">
        <f aca="false">INT((D63-1)/100)+1</f>
        <v>19</v>
      </c>
      <c r="F63" s="7" t="s">
        <v>106</v>
      </c>
      <c r="G63" s="7" t="s">
        <v>548</v>
      </c>
      <c r="H63" s="7" t="s">
        <v>310</v>
      </c>
      <c r="I63" s="7" t="s">
        <v>549</v>
      </c>
      <c r="J63" s="7" t="s">
        <v>312</v>
      </c>
      <c r="K63" s="7"/>
      <c r="L63" s="7" t="s">
        <v>314</v>
      </c>
      <c r="M63" s="7" t="s">
        <v>315</v>
      </c>
      <c r="N63" s="7" t="s">
        <v>18</v>
      </c>
      <c r="O63" s="7" t="s">
        <v>75</v>
      </c>
      <c r="P63" s="7"/>
      <c r="Q63" s="7" t="s">
        <v>550</v>
      </c>
      <c r="R63" s="7" t="n">
        <f aca="false">VALUE(LEFT(Q63,4))</f>
        <v>1831</v>
      </c>
      <c r="S63" s="7" t="n">
        <f aca="false">VALUE(MID(Q63,6,2))</f>
        <v>1</v>
      </c>
      <c r="T63" s="7" t="n">
        <f aca="false">VALUE(RIGHT(Q63,2))</f>
        <v>25</v>
      </c>
      <c r="U63" s="7" t="s">
        <v>114</v>
      </c>
      <c r="V63" s="7" t="s">
        <v>325</v>
      </c>
    </row>
    <row r="64" customFormat="false" ht="23.25" hidden="false" customHeight="true" outlineLevel="0" collapsed="false">
      <c r="A64" s="7" t="n">
        <v>63</v>
      </c>
      <c r="B64" s="7" t="s">
        <v>551</v>
      </c>
      <c r="C64" s="7" t="s">
        <v>552</v>
      </c>
      <c r="D64" s="7" t="n">
        <f aca="false">VALUE(LEFT(B64,4))</f>
        <v>1832</v>
      </c>
      <c r="E64" s="7" t="n">
        <f aca="false">INT((D64-1)/100)+1</f>
        <v>19</v>
      </c>
      <c r="F64" s="7" t="s">
        <v>553</v>
      </c>
      <c r="G64" s="7" t="s">
        <v>554</v>
      </c>
      <c r="H64" s="7" t="s">
        <v>555</v>
      </c>
      <c r="I64" s="7" t="s">
        <v>556</v>
      </c>
      <c r="J64" s="7" t="s">
        <v>557</v>
      </c>
      <c r="K64" s="7" t="s">
        <v>558</v>
      </c>
      <c r="L64" s="7" t="s">
        <v>559</v>
      </c>
      <c r="M64" s="7" t="s">
        <v>560</v>
      </c>
      <c r="N64" s="7" t="s">
        <v>20</v>
      </c>
      <c r="O64" s="7" t="s">
        <v>75</v>
      </c>
      <c r="P64" s="7" t="s">
        <v>561</v>
      </c>
      <c r="Q64" s="7" t="s">
        <v>562</v>
      </c>
      <c r="R64" s="7" t="n">
        <f aca="false">VALUE(LEFT(Q64,4))</f>
        <v>1832</v>
      </c>
      <c r="S64" s="7" t="n">
        <f aca="false">VALUE(MID(Q64,6,2))</f>
        <v>3</v>
      </c>
      <c r="T64" s="7" t="n">
        <f aca="false">VALUE(RIGHT(Q64,2))</f>
        <v>8</v>
      </c>
      <c r="U64" s="7" t="s">
        <v>317</v>
      </c>
      <c r="V64" s="7" t="s">
        <v>318</v>
      </c>
    </row>
    <row r="65" customFormat="false" ht="23.25" hidden="false" customHeight="true" outlineLevel="0" collapsed="false">
      <c r="A65" s="7" t="n">
        <v>64</v>
      </c>
      <c r="B65" s="7" t="s">
        <v>563</v>
      </c>
      <c r="C65" s="7" t="s">
        <v>564</v>
      </c>
      <c r="D65" s="7" t="n">
        <f aca="false">VALUE(LEFT(B65,4))</f>
        <v>1835</v>
      </c>
      <c r="E65" s="7" t="n">
        <f aca="false">INT((D65-1)/100)+1</f>
        <v>19</v>
      </c>
      <c r="F65" s="7" t="s">
        <v>238</v>
      </c>
      <c r="G65" s="7" t="s">
        <v>565</v>
      </c>
      <c r="H65" s="7" t="s">
        <v>566</v>
      </c>
      <c r="I65" s="7" t="s">
        <v>567</v>
      </c>
      <c r="J65" s="7" t="s">
        <v>332</v>
      </c>
      <c r="K65" s="7" t="s">
        <v>568</v>
      </c>
      <c r="L65" s="7" t="s">
        <v>569</v>
      </c>
      <c r="M65" s="7" t="s">
        <v>570</v>
      </c>
      <c r="N65" s="7" t="s">
        <v>18</v>
      </c>
      <c r="O65" s="7" t="s">
        <v>75</v>
      </c>
      <c r="P65" s="7" t="s">
        <v>571</v>
      </c>
      <c r="Q65" s="7" t="s">
        <v>563</v>
      </c>
      <c r="R65" s="7" t="n">
        <f aca="false">VALUE(LEFT(Q65,4))</f>
        <v>1835</v>
      </c>
      <c r="S65" s="7" t="n">
        <f aca="false">VALUE(MID(Q65,6,2))</f>
        <v>12</v>
      </c>
      <c r="T65" s="7" t="n">
        <f aca="false">VALUE(RIGHT(Q65,2))</f>
        <v>16</v>
      </c>
      <c r="U65" s="7" t="s">
        <v>125</v>
      </c>
      <c r="V65" s="7" t="s">
        <v>126</v>
      </c>
    </row>
    <row r="66" customFormat="false" ht="34.5" hidden="false" customHeight="true" outlineLevel="0" collapsed="false">
      <c r="A66" s="7" t="n">
        <v>65</v>
      </c>
      <c r="B66" s="7" t="s">
        <v>563</v>
      </c>
      <c r="C66" s="7" t="s">
        <v>572</v>
      </c>
      <c r="D66" s="7" t="n">
        <f aca="false">VALUE(LEFT(B66,4))</f>
        <v>1835</v>
      </c>
      <c r="E66" s="7" t="n">
        <f aca="false">INT((D66-1)/100)+1</f>
        <v>19</v>
      </c>
      <c r="F66" s="7" t="s">
        <v>106</v>
      </c>
      <c r="G66" s="7" t="s">
        <v>573</v>
      </c>
      <c r="H66" s="7" t="s">
        <v>574</v>
      </c>
      <c r="I66" s="7" t="s">
        <v>575</v>
      </c>
      <c r="J66" s="7" t="s">
        <v>332</v>
      </c>
      <c r="K66" s="7" t="s">
        <v>576</v>
      </c>
      <c r="L66" s="7" t="s">
        <v>425</v>
      </c>
      <c r="M66" s="7"/>
      <c r="N66" s="7" t="s">
        <v>20</v>
      </c>
      <c r="O66" s="7" t="s">
        <v>94</v>
      </c>
      <c r="P66" s="7" t="s">
        <v>577</v>
      </c>
      <c r="Q66" s="7" t="s">
        <v>578</v>
      </c>
      <c r="R66" s="7" t="n">
        <f aca="false">VALUE(LEFT(Q66,4))</f>
        <v>1836</v>
      </c>
      <c r="S66" s="7" t="n">
        <f aca="false">VALUE(MID(Q66,6,2))</f>
        <v>2</v>
      </c>
      <c r="T66" s="7" t="n">
        <f aca="false">VALUE(RIGHT(Q66,2))</f>
        <v>14</v>
      </c>
      <c r="U66" s="7" t="s">
        <v>114</v>
      </c>
      <c r="V66" s="7" t="s">
        <v>325</v>
      </c>
    </row>
    <row r="67" customFormat="false" ht="34.5" hidden="false" customHeight="true" outlineLevel="0" collapsed="false">
      <c r="A67" s="7" t="n">
        <v>66</v>
      </c>
      <c r="B67" s="7" t="s">
        <v>579</v>
      </c>
      <c r="C67" s="7" t="s">
        <v>579</v>
      </c>
      <c r="D67" s="7" t="n">
        <f aca="false">VALUE(LEFT(B67,4))</f>
        <v>1837</v>
      </c>
      <c r="E67" s="7" t="n">
        <f aca="false">INT((D67-1)/100)+1</f>
        <v>19</v>
      </c>
      <c r="F67" s="7" t="s">
        <v>580</v>
      </c>
      <c r="G67" s="7" t="s">
        <v>581</v>
      </c>
      <c r="H67" s="7" t="s">
        <v>582</v>
      </c>
      <c r="I67" s="7" t="s">
        <v>583</v>
      </c>
      <c r="J67" s="7" t="s">
        <v>332</v>
      </c>
      <c r="K67" s="7" t="s">
        <v>584</v>
      </c>
      <c r="L67" s="7" t="s">
        <v>585</v>
      </c>
      <c r="M67" s="7" t="s">
        <v>586</v>
      </c>
      <c r="N67" s="7" t="s">
        <v>18</v>
      </c>
      <c r="O67" s="7" t="s">
        <v>75</v>
      </c>
      <c r="P67" s="7" t="s">
        <v>587</v>
      </c>
      <c r="Q67" s="7" t="s">
        <v>579</v>
      </c>
      <c r="R67" s="7" t="n">
        <f aca="false">VALUE(LEFT(Q67,4))</f>
        <v>1837</v>
      </c>
      <c r="S67" s="7" t="n">
        <f aca="false">VALUE(MID(Q67,6,2))</f>
        <v>1</v>
      </c>
      <c r="T67" s="7" t="n">
        <f aca="false">VALUE(RIGHT(Q67,2))</f>
        <v>1</v>
      </c>
      <c r="U67" s="7" t="s">
        <v>77</v>
      </c>
      <c r="V67" s="7" t="s">
        <v>78</v>
      </c>
    </row>
    <row r="68" customFormat="false" ht="45.75" hidden="false" customHeight="true" outlineLevel="0" collapsed="false">
      <c r="A68" s="7" t="n">
        <v>67</v>
      </c>
      <c r="B68" s="7" t="s">
        <v>588</v>
      </c>
      <c r="C68" s="7" t="s">
        <v>588</v>
      </c>
      <c r="D68" s="7" t="n">
        <f aca="false">VALUE(LEFT(B68,4))</f>
        <v>1839</v>
      </c>
      <c r="E68" s="7" t="n">
        <f aca="false">INT((D68-1)/100)+1</f>
        <v>19</v>
      </c>
      <c r="F68" s="7" t="s">
        <v>377</v>
      </c>
      <c r="G68" s="7" t="s">
        <v>589</v>
      </c>
      <c r="H68" s="7" t="s">
        <v>590</v>
      </c>
      <c r="I68" s="7" t="s">
        <v>591</v>
      </c>
      <c r="J68" s="7" t="s">
        <v>592</v>
      </c>
      <c r="K68" s="7" t="s">
        <v>593</v>
      </c>
      <c r="L68" s="7" t="s">
        <v>455</v>
      </c>
      <c r="M68" s="7" t="s">
        <v>74</v>
      </c>
      <c r="N68" s="7" t="s">
        <v>20</v>
      </c>
      <c r="O68" s="7" t="s">
        <v>75</v>
      </c>
      <c r="P68" s="7" t="s">
        <v>594</v>
      </c>
      <c r="Q68" s="7" t="s">
        <v>588</v>
      </c>
      <c r="R68" s="7" t="n">
        <f aca="false">VALUE(LEFT(Q68,4))</f>
        <v>1839</v>
      </c>
      <c r="S68" s="7" t="n">
        <f aca="false">VALUE(MID(Q68,6,2))</f>
        <v>8</v>
      </c>
      <c r="T68" s="7" t="n">
        <f aca="false">VALUE(RIGHT(Q68,2))</f>
        <v>30</v>
      </c>
      <c r="U68" s="7" t="s">
        <v>77</v>
      </c>
      <c r="V68" s="7" t="s">
        <v>78</v>
      </c>
    </row>
    <row r="69" customFormat="false" ht="23.25" hidden="false" customHeight="true" outlineLevel="0" collapsed="false">
      <c r="A69" s="7" t="n">
        <v>68</v>
      </c>
      <c r="B69" s="7" t="s">
        <v>595</v>
      </c>
      <c r="C69" s="7" t="s">
        <v>596</v>
      </c>
      <c r="D69" s="7" t="n">
        <f aca="false">VALUE(LEFT(B69,4))</f>
        <v>1848</v>
      </c>
      <c r="E69" s="7" t="n">
        <f aca="false">INT((D69-1)/100)+1</f>
        <v>19</v>
      </c>
      <c r="F69" s="7" t="s">
        <v>553</v>
      </c>
      <c r="G69" s="7" t="s">
        <v>597</v>
      </c>
      <c r="H69" s="7" t="s">
        <v>598</v>
      </c>
      <c r="I69" s="7" t="s">
        <v>599</v>
      </c>
      <c r="J69" s="7" t="s">
        <v>332</v>
      </c>
      <c r="K69" s="7" t="s">
        <v>600</v>
      </c>
      <c r="L69" s="7" t="s">
        <v>569</v>
      </c>
      <c r="M69" s="7" t="s">
        <v>601</v>
      </c>
      <c r="N69" s="7" t="s">
        <v>18</v>
      </c>
      <c r="O69" s="7" t="s">
        <v>94</v>
      </c>
      <c r="P69" s="7" t="s">
        <v>602</v>
      </c>
      <c r="Q69" s="7" t="s">
        <v>595</v>
      </c>
      <c r="R69" s="7" t="n">
        <f aca="false">VALUE(LEFT(Q69,4))</f>
        <v>1848</v>
      </c>
      <c r="S69" s="7" t="n">
        <f aca="false">VALUE(MID(Q69,6,2))</f>
        <v>3</v>
      </c>
      <c r="T69" s="7" t="n">
        <f aca="false">VALUE(RIGHT(Q69,2))</f>
        <v>29</v>
      </c>
      <c r="U69" s="7" t="s">
        <v>125</v>
      </c>
      <c r="V69" s="7" t="s">
        <v>126</v>
      </c>
    </row>
    <row r="70" customFormat="false" ht="57" hidden="false" customHeight="true" outlineLevel="0" collapsed="false">
      <c r="A70" s="7" t="n">
        <v>69</v>
      </c>
      <c r="B70" s="7" t="s">
        <v>603</v>
      </c>
      <c r="C70" s="7" t="s">
        <v>604</v>
      </c>
      <c r="D70" s="7" t="n">
        <f aca="false">VALUE(LEFT(B70,4))</f>
        <v>1850</v>
      </c>
      <c r="E70" s="7" t="n">
        <f aca="false">INT((D70-1)/100)+1</f>
        <v>19</v>
      </c>
      <c r="F70" s="7" t="s">
        <v>67</v>
      </c>
      <c r="G70" s="7" t="s">
        <v>605</v>
      </c>
      <c r="H70" s="7" t="s">
        <v>606</v>
      </c>
      <c r="I70" s="7" t="s">
        <v>607</v>
      </c>
      <c r="J70" s="7" t="s">
        <v>608</v>
      </c>
      <c r="K70" s="7" t="s">
        <v>609</v>
      </c>
      <c r="L70" s="7" t="s">
        <v>610</v>
      </c>
      <c r="M70" s="7" t="s">
        <v>74</v>
      </c>
      <c r="N70" s="7" t="s">
        <v>20</v>
      </c>
      <c r="O70" s="7" t="s">
        <v>94</v>
      </c>
      <c r="P70" s="7" t="s">
        <v>611</v>
      </c>
      <c r="Q70" s="7" t="s">
        <v>603</v>
      </c>
      <c r="R70" s="7" t="n">
        <f aca="false">VALUE(LEFT(Q70,4))</f>
        <v>1850</v>
      </c>
      <c r="S70" s="7" t="n">
        <f aca="false">VALUE(MID(Q70,6,2))</f>
        <v>7</v>
      </c>
      <c r="T70" s="7" t="n">
        <f aca="false">VALUE(RIGHT(Q70,2))</f>
        <v>18</v>
      </c>
      <c r="U70" s="7" t="s">
        <v>125</v>
      </c>
      <c r="V70" s="7" t="s">
        <v>612</v>
      </c>
    </row>
    <row r="71" customFormat="false" ht="34.5" hidden="false" customHeight="true" outlineLevel="0" collapsed="false">
      <c r="A71" s="7" t="n">
        <v>70</v>
      </c>
      <c r="B71" s="7" t="s">
        <v>613</v>
      </c>
      <c r="C71" s="7" t="s">
        <v>614</v>
      </c>
      <c r="D71" s="7" t="n">
        <f aca="false">VALUE(LEFT(B71,4))</f>
        <v>1857</v>
      </c>
      <c r="E71" s="7" t="n">
        <f aca="false">INT((D71-1)/100)+1</f>
        <v>19</v>
      </c>
      <c r="F71" s="7" t="s">
        <v>615</v>
      </c>
      <c r="G71" s="7" t="s">
        <v>616</v>
      </c>
      <c r="H71" s="7" t="s">
        <v>240</v>
      </c>
      <c r="I71" s="7" t="s">
        <v>617</v>
      </c>
      <c r="J71" s="7" t="s">
        <v>332</v>
      </c>
      <c r="K71" s="7" t="s">
        <v>618</v>
      </c>
      <c r="L71" s="7" t="s">
        <v>425</v>
      </c>
      <c r="M71" s="7"/>
      <c r="N71" s="7" t="s">
        <v>20</v>
      </c>
      <c r="O71" s="7" t="s">
        <v>94</v>
      </c>
      <c r="P71" s="7"/>
      <c r="Q71" s="7" t="s">
        <v>613</v>
      </c>
      <c r="R71" s="7" t="n">
        <f aca="false">VALUE(LEFT(Q71,4))</f>
        <v>1857</v>
      </c>
      <c r="S71" s="7" t="n">
        <f aca="false">VALUE(MID(Q71,6,2))</f>
        <v>1</v>
      </c>
      <c r="T71" s="7" t="n">
        <f aca="false">VALUE(RIGHT(Q71,2))</f>
        <v>18</v>
      </c>
      <c r="U71" s="7" t="s">
        <v>125</v>
      </c>
      <c r="V71" s="7" t="s">
        <v>126</v>
      </c>
    </row>
    <row r="72" customFormat="false" ht="23.25" hidden="false" customHeight="true" outlineLevel="0" collapsed="false">
      <c r="A72" s="7" t="n">
        <v>71</v>
      </c>
      <c r="B72" s="7" t="s">
        <v>619</v>
      </c>
      <c r="C72" s="7" t="s">
        <v>620</v>
      </c>
      <c r="D72" s="7" t="n">
        <f aca="false">VALUE(LEFT(B72,4))</f>
        <v>1857</v>
      </c>
      <c r="E72" s="7" t="n">
        <f aca="false">INT((D72-1)/100)+1</f>
        <v>19</v>
      </c>
      <c r="F72" s="7" t="s">
        <v>621</v>
      </c>
      <c r="G72" s="7" t="s">
        <v>622</v>
      </c>
      <c r="H72" s="7" t="s">
        <v>623</v>
      </c>
      <c r="I72" s="7" t="s">
        <v>624</v>
      </c>
      <c r="J72" s="7" t="s">
        <v>625</v>
      </c>
      <c r="K72" s="7" t="s">
        <v>626</v>
      </c>
      <c r="L72" s="7" t="s">
        <v>627</v>
      </c>
      <c r="M72" s="7" t="s">
        <v>628</v>
      </c>
      <c r="N72" s="7" t="s">
        <v>16</v>
      </c>
      <c r="O72" s="7" t="s">
        <v>75</v>
      </c>
      <c r="P72" s="7" t="s">
        <v>629</v>
      </c>
      <c r="Q72" s="7" t="s">
        <v>630</v>
      </c>
      <c r="R72" s="7" t="n">
        <f aca="false">VALUE(LEFT(Q72,4))</f>
        <v>1857</v>
      </c>
      <c r="S72" s="7" t="n">
        <f aca="false">VALUE(MID(Q72,6,2))</f>
        <v>2</v>
      </c>
      <c r="T72" s="7" t="n">
        <f aca="false">VALUE(RIGHT(Q72,2))</f>
        <v>15</v>
      </c>
      <c r="U72" s="7" t="s">
        <v>317</v>
      </c>
      <c r="V72" s="7" t="s">
        <v>631</v>
      </c>
    </row>
    <row r="73" customFormat="false" ht="23.25" hidden="false" customHeight="true" outlineLevel="0" collapsed="false">
      <c r="A73" s="7" t="n">
        <v>72</v>
      </c>
      <c r="B73" s="7" t="s">
        <v>632</v>
      </c>
      <c r="C73" s="7" t="s">
        <v>632</v>
      </c>
      <c r="D73" s="7" t="n">
        <f aca="false">VALUE(LEFT(B73,4))</f>
        <v>1859</v>
      </c>
      <c r="E73" s="7" t="n">
        <f aca="false">INT((D73-1)/100)+1</f>
        <v>19</v>
      </c>
      <c r="F73" s="7" t="s">
        <v>580</v>
      </c>
      <c r="G73" s="7" t="s">
        <v>633</v>
      </c>
      <c r="H73" s="7" t="s">
        <v>634</v>
      </c>
      <c r="I73" s="7" t="s">
        <v>635</v>
      </c>
      <c r="J73" s="7" t="s">
        <v>332</v>
      </c>
      <c r="K73" s="7" t="s">
        <v>636</v>
      </c>
      <c r="L73" s="7" t="s">
        <v>637</v>
      </c>
      <c r="M73" s="7" t="s">
        <v>638</v>
      </c>
      <c r="N73" s="7" t="s">
        <v>18</v>
      </c>
      <c r="O73" s="7" t="s">
        <v>75</v>
      </c>
      <c r="P73" s="7" t="s">
        <v>639</v>
      </c>
      <c r="Q73" s="7" t="s">
        <v>632</v>
      </c>
      <c r="R73" s="7" t="n">
        <f aca="false">VALUE(LEFT(Q73,4))</f>
        <v>1859</v>
      </c>
      <c r="S73" s="7" t="n">
        <f aca="false">VALUE(MID(Q73,6,2))</f>
        <v>3</v>
      </c>
      <c r="T73" s="7" t="n">
        <f aca="false">VALUE(RIGHT(Q73,2))</f>
        <v>17</v>
      </c>
      <c r="U73" s="7" t="s">
        <v>77</v>
      </c>
      <c r="V73" s="7" t="s">
        <v>78</v>
      </c>
    </row>
    <row r="74" customFormat="false" ht="34.5" hidden="false" customHeight="true" outlineLevel="0" collapsed="false">
      <c r="A74" s="7" t="n">
        <v>73</v>
      </c>
      <c r="B74" s="7" t="s">
        <v>640</v>
      </c>
      <c r="C74" s="7" t="s">
        <v>641</v>
      </c>
      <c r="D74" s="7" t="n">
        <f aca="false">VALUE(LEFT(B74,4))</f>
        <v>1859</v>
      </c>
      <c r="E74" s="7" t="n">
        <f aca="false">INT((D74-1)/100)+1</f>
        <v>19</v>
      </c>
      <c r="F74" s="7" t="s">
        <v>459</v>
      </c>
      <c r="G74" s="7" t="s">
        <v>642</v>
      </c>
      <c r="H74" s="7" t="s">
        <v>643</v>
      </c>
      <c r="I74" s="7" t="s">
        <v>644</v>
      </c>
      <c r="J74" s="7" t="s">
        <v>332</v>
      </c>
      <c r="K74" s="7" t="s">
        <v>645</v>
      </c>
      <c r="L74" s="7" t="s">
        <v>425</v>
      </c>
      <c r="M74" s="7"/>
      <c r="N74" s="7" t="s">
        <v>20</v>
      </c>
      <c r="O74" s="7" t="s">
        <v>94</v>
      </c>
      <c r="P74" s="7"/>
      <c r="Q74" s="7" t="s">
        <v>640</v>
      </c>
      <c r="R74" s="7" t="n">
        <f aca="false">VALUE(LEFT(Q74,4))</f>
        <v>1859</v>
      </c>
      <c r="S74" s="7" t="n">
        <f aca="false">VALUE(MID(Q74,6,2))</f>
        <v>6</v>
      </c>
      <c r="T74" s="7" t="n">
        <f aca="false">VALUE(RIGHT(Q74,2))</f>
        <v>4</v>
      </c>
      <c r="U74" s="7" t="s">
        <v>125</v>
      </c>
      <c r="V74" s="7" t="s">
        <v>126</v>
      </c>
    </row>
    <row r="75" customFormat="false" ht="23.25" hidden="false" customHeight="true" outlineLevel="0" collapsed="false">
      <c r="A75" s="7" t="n">
        <v>74</v>
      </c>
      <c r="B75" s="7" t="s">
        <v>646</v>
      </c>
      <c r="C75" s="7" t="s">
        <v>647</v>
      </c>
      <c r="D75" s="7" t="n">
        <f aca="false">VALUE(LEFT(B75,4))</f>
        <v>1865</v>
      </c>
      <c r="E75" s="7" t="n">
        <f aca="false">INT((D75-1)/100)+1</f>
        <v>19</v>
      </c>
      <c r="F75" s="7" t="s">
        <v>553</v>
      </c>
      <c r="G75" s="7" t="s">
        <v>648</v>
      </c>
      <c r="H75" s="7" t="s">
        <v>555</v>
      </c>
      <c r="I75" s="7" t="s">
        <v>556</v>
      </c>
      <c r="J75" s="7" t="s">
        <v>557</v>
      </c>
      <c r="K75" s="7" t="s">
        <v>558</v>
      </c>
      <c r="L75" s="7" t="s">
        <v>559</v>
      </c>
      <c r="M75" s="7" t="s">
        <v>560</v>
      </c>
      <c r="N75" s="7" t="s">
        <v>20</v>
      </c>
      <c r="O75" s="7" t="s">
        <v>75</v>
      </c>
      <c r="P75" s="7" t="s">
        <v>561</v>
      </c>
      <c r="Q75" s="7" t="s">
        <v>649</v>
      </c>
      <c r="R75" s="7" t="n">
        <f aca="false">VALUE(LEFT(Q75,4))</f>
        <v>1865</v>
      </c>
      <c r="S75" s="7" t="n">
        <f aca="false">VALUE(MID(Q75,6,2))</f>
        <v>3</v>
      </c>
      <c r="T75" s="7" t="n">
        <f aca="false">VALUE(RIGHT(Q75,2))</f>
        <v>9</v>
      </c>
      <c r="U75" s="7" t="s">
        <v>317</v>
      </c>
      <c r="V75" s="7" t="s">
        <v>318</v>
      </c>
    </row>
    <row r="76" customFormat="false" ht="34.5" hidden="false" customHeight="true" outlineLevel="0" collapsed="false">
      <c r="A76" s="7" t="n">
        <v>75</v>
      </c>
      <c r="B76" s="7" t="s">
        <v>650</v>
      </c>
      <c r="C76" s="7" t="s">
        <v>651</v>
      </c>
      <c r="D76" s="7" t="n">
        <f aca="false">VALUE(LEFT(B76,4))</f>
        <v>1869</v>
      </c>
      <c r="E76" s="7" t="n">
        <f aca="false">INT((D76-1)/100)+1</f>
        <v>19</v>
      </c>
      <c r="F76" s="7" t="s">
        <v>129</v>
      </c>
      <c r="G76" s="7" t="s">
        <v>652</v>
      </c>
      <c r="H76" s="7" t="s">
        <v>150</v>
      </c>
      <c r="I76" s="7" t="s">
        <v>653</v>
      </c>
      <c r="J76" s="7" t="s">
        <v>332</v>
      </c>
      <c r="K76" s="7" t="s">
        <v>654</v>
      </c>
      <c r="L76" s="7" t="s">
        <v>425</v>
      </c>
      <c r="M76" s="7"/>
      <c r="N76" s="7" t="s">
        <v>20</v>
      </c>
      <c r="O76" s="7" t="s">
        <v>94</v>
      </c>
      <c r="P76" s="7"/>
      <c r="Q76" s="7" t="s">
        <v>650</v>
      </c>
      <c r="R76" s="7" t="n">
        <f aca="false">VALUE(LEFT(Q76,4))</f>
        <v>1869</v>
      </c>
      <c r="S76" s="7" t="n">
        <f aca="false">VALUE(MID(Q76,6,2))</f>
        <v>10</v>
      </c>
      <c r="T76" s="7" t="n">
        <f aca="false">VALUE(RIGHT(Q76,2))</f>
        <v>3</v>
      </c>
      <c r="U76" s="7" t="s">
        <v>125</v>
      </c>
      <c r="V76" s="7" t="s">
        <v>126</v>
      </c>
    </row>
    <row r="77" customFormat="false" ht="68.25" hidden="false" customHeight="true" outlineLevel="0" collapsed="false">
      <c r="A77" s="7" t="n">
        <v>76</v>
      </c>
      <c r="B77" s="7" t="s">
        <v>651</v>
      </c>
      <c r="C77" s="7" t="s">
        <v>651</v>
      </c>
      <c r="D77" s="7" t="n">
        <f aca="false">VALUE(LEFT(B77,4))</f>
        <v>1869</v>
      </c>
      <c r="E77" s="7" t="n">
        <f aca="false">INT((D77-1)/100)+1</f>
        <v>19</v>
      </c>
      <c r="F77" s="7" t="s">
        <v>655</v>
      </c>
      <c r="G77" s="7" t="s">
        <v>656</v>
      </c>
      <c r="H77" s="7" t="s">
        <v>657</v>
      </c>
      <c r="I77" s="7" t="s">
        <v>658</v>
      </c>
      <c r="J77" s="7" t="s">
        <v>659</v>
      </c>
      <c r="K77" s="7" t="s">
        <v>660</v>
      </c>
      <c r="L77" s="7" t="s">
        <v>661</v>
      </c>
      <c r="M77" s="7" t="s">
        <v>74</v>
      </c>
      <c r="N77" s="7" t="s">
        <v>18</v>
      </c>
      <c r="O77" s="7" t="s">
        <v>75</v>
      </c>
      <c r="P77" s="7" t="s">
        <v>662</v>
      </c>
      <c r="Q77" s="7" t="s">
        <v>651</v>
      </c>
      <c r="R77" s="7" t="n">
        <f aca="false">VALUE(LEFT(Q77,4))</f>
        <v>1869</v>
      </c>
      <c r="S77" s="7" t="n">
        <f aca="false">VALUE(MID(Q77,6,2))</f>
        <v>10</v>
      </c>
      <c r="T77" s="7" t="n">
        <f aca="false">VALUE(RIGHT(Q77,2))</f>
        <v>4</v>
      </c>
      <c r="U77" s="7" t="s">
        <v>77</v>
      </c>
      <c r="V77" s="7" t="s">
        <v>78</v>
      </c>
    </row>
    <row r="78" customFormat="false" ht="23.25" hidden="false" customHeight="true" outlineLevel="0" collapsed="false">
      <c r="A78" s="7" t="n">
        <v>77</v>
      </c>
      <c r="B78" s="7" t="s">
        <v>663</v>
      </c>
      <c r="C78" s="7" t="s">
        <v>664</v>
      </c>
      <c r="D78" s="7" t="n">
        <f aca="false">VALUE(LEFT(B78,4))</f>
        <v>1870</v>
      </c>
      <c r="E78" s="7" t="n">
        <f aca="false">INT((D78-1)/100)+1</f>
        <v>19</v>
      </c>
      <c r="F78" s="7" t="s">
        <v>553</v>
      </c>
      <c r="G78" s="7" t="s">
        <v>665</v>
      </c>
      <c r="H78" s="7" t="s">
        <v>555</v>
      </c>
      <c r="I78" s="7" t="s">
        <v>556</v>
      </c>
      <c r="J78" s="7" t="s">
        <v>557</v>
      </c>
      <c r="K78" s="7" t="s">
        <v>558</v>
      </c>
      <c r="L78" s="7" t="s">
        <v>559</v>
      </c>
      <c r="M78" s="7" t="s">
        <v>560</v>
      </c>
      <c r="N78" s="7" t="s">
        <v>20</v>
      </c>
      <c r="O78" s="7" t="s">
        <v>75</v>
      </c>
      <c r="P78" s="7" t="s">
        <v>561</v>
      </c>
      <c r="Q78" s="7" t="s">
        <v>666</v>
      </c>
      <c r="R78" s="7" t="n">
        <f aca="false">VALUE(LEFT(Q78,4))</f>
        <v>1870</v>
      </c>
      <c r="S78" s="7" t="n">
        <f aca="false">VALUE(MID(Q78,6,2))</f>
        <v>3</v>
      </c>
      <c r="T78" s="7" t="n">
        <f aca="false">VALUE(RIGHT(Q78,2))</f>
        <v>9</v>
      </c>
      <c r="U78" s="7" t="s">
        <v>317</v>
      </c>
      <c r="V78" s="7" t="s">
        <v>318</v>
      </c>
    </row>
    <row r="79" customFormat="false" ht="34.5" hidden="false" customHeight="true" outlineLevel="0" collapsed="false">
      <c r="A79" s="7" t="n">
        <v>78</v>
      </c>
      <c r="B79" s="7" t="s">
        <v>667</v>
      </c>
      <c r="C79" s="7" t="s">
        <v>667</v>
      </c>
      <c r="D79" s="7" t="n">
        <f aca="false">VALUE(LEFT(B79,4))</f>
        <v>1878</v>
      </c>
      <c r="E79" s="7" t="n">
        <f aca="false">INT((D79-1)/100)+1</f>
        <v>19</v>
      </c>
      <c r="F79" s="7" t="s">
        <v>67</v>
      </c>
      <c r="G79" s="7" t="s">
        <v>668</v>
      </c>
      <c r="H79" s="7" t="s">
        <v>669</v>
      </c>
      <c r="I79" s="7" t="s">
        <v>670</v>
      </c>
      <c r="J79" s="7" t="s">
        <v>332</v>
      </c>
      <c r="K79" s="7" t="s">
        <v>671</v>
      </c>
      <c r="L79" s="7" t="s">
        <v>425</v>
      </c>
      <c r="M79" s="7"/>
      <c r="N79" s="7" t="s">
        <v>20</v>
      </c>
      <c r="O79" s="7" t="s">
        <v>94</v>
      </c>
      <c r="P79" s="7"/>
      <c r="Q79" s="7" t="s">
        <v>667</v>
      </c>
      <c r="R79" s="7" t="n">
        <f aca="false">VALUE(LEFT(Q79,4))</f>
        <v>1878</v>
      </c>
      <c r="S79" s="7" t="n">
        <f aca="false">VALUE(MID(Q79,6,2))</f>
        <v>10</v>
      </c>
      <c r="T79" s="7" t="n">
        <f aca="false">VALUE(RIGHT(Q79,2))</f>
        <v>23</v>
      </c>
      <c r="U79" s="7" t="s">
        <v>77</v>
      </c>
      <c r="V79" s="7" t="s">
        <v>78</v>
      </c>
    </row>
    <row r="80" customFormat="false" ht="23.25" hidden="false" customHeight="true" outlineLevel="0" collapsed="false">
      <c r="A80" s="7" t="n">
        <v>79</v>
      </c>
      <c r="B80" s="7" t="s">
        <v>672</v>
      </c>
      <c r="C80" s="7" t="s">
        <v>673</v>
      </c>
      <c r="D80" s="7" t="n">
        <f aca="false">VALUE(LEFT(B80,4))</f>
        <v>1886</v>
      </c>
      <c r="E80" s="7" t="n">
        <f aca="false">INT((D80-1)/100)+1</f>
        <v>19</v>
      </c>
      <c r="F80" s="7" t="s">
        <v>553</v>
      </c>
      <c r="G80" s="7" t="s">
        <v>674</v>
      </c>
      <c r="H80" s="7" t="s">
        <v>675</v>
      </c>
      <c r="I80" s="7" t="s">
        <v>676</v>
      </c>
      <c r="J80" s="7" t="s">
        <v>677</v>
      </c>
      <c r="K80" s="7" t="s">
        <v>678</v>
      </c>
      <c r="L80" s="7" t="s">
        <v>559</v>
      </c>
      <c r="M80" s="7" t="s">
        <v>560</v>
      </c>
      <c r="N80" s="7" t="s">
        <v>18</v>
      </c>
      <c r="O80" s="7" t="s">
        <v>75</v>
      </c>
      <c r="P80" s="7"/>
      <c r="Q80" s="7" t="s">
        <v>672</v>
      </c>
      <c r="R80" s="7" t="n">
        <f aca="false">VALUE(LEFT(Q80,4))</f>
        <v>1886</v>
      </c>
      <c r="S80" s="7" t="n">
        <f aca="false">VALUE(MID(Q80,6,2))</f>
        <v>2</v>
      </c>
      <c r="T80" s="7" t="n">
        <f aca="false">VALUE(RIGHT(Q80,2))</f>
        <v>14</v>
      </c>
      <c r="U80" s="7" t="s">
        <v>125</v>
      </c>
      <c r="V80" s="7" t="s">
        <v>126</v>
      </c>
    </row>
    <row r="81" customFormat="false" ht="23.25" hidden="false" customHeight="true" outlineLevel="0" collapsed="false">
      <c r="A81" s="7" t="n">
        <v>80</v>
      </c>
      <c r="B81" s="7" t="s">
        <v>679</v>
      </c>
      <c r="C81" s="7" t="s">
        <v>680</v>
      </c>
      <c r="D81" s="7" t="n">
        <f aca="false">VALUE(LEFT(B81,4))</f>
        <v>1887</v>
      </c>
      <c r="E81" s="7" t="n">
        <f aca="false">INT((D81-1)/100)+1</f>
        <v>19</v>
      </c>
      <c r="F81" s="7" t="s">
        <v>139</v>
      </c>
      <c r="G81" s="7" t="s">
        <v>681</v>
      </c>
      <c r="H81" s="7" t="s">
        <v>682</v>
      </c>
      <c r="I81" s="7" t="s">
        <v>683</v>
      </c>
      <c r="J81" s="7" t="s">
        <v>310</v>
      </c>
      <c r="K81" s="7" t="s">
        <v>684</v>
      </c>
      <c r="L81" s="7" t="s">
        <v>627</v>
      </c>
      <c r="M81" s="7" t="s">
        <v>628</v>
      </c>
      <c r="N81" s="7" t="s">
        <v>16</v>
      </c>
      <c r="O81" s="7" t="s">
        <v>75</v>
      </c>
      <c r="P81" s="7"/>
      <c r="Q81" s="7" t="s">
        <v>679</v>
      </c>
      <c r="R81" s="7" t="n">
        <f aca="false">VALUE(LEFT(Q81,4))</f>
        <v>1887</v>
      </c>
      <c r="S81" s="7" t="n">
        <f aca="false">VALUE(MID(Q81,6,2))</f>
        <v>12</v>
      </c>
      <c r="T81" s="7" t="n">
        <f aca="false">VALUE(RIGHT(Q81,2))</f>
        <v>18</v>
      </c>
      <c r="U81" s="7" t="s">
        <v>125</v>
      </c>
      <c r="V81" s="7" t="s">
        <v>126</v>
      </c>
    </row>
    <row r="82" customFormat="false" ht="23.25" hidden="false" customHeight="true" outlineLevel="0" collapsed="false">
      <c r="A82" s="7" t="n">
        <v>81</v>
      </c>
      <c r="B82" s="7" t="s">
        <v>685</v>
      </c>
      <c r="C82" s="7" t="s">
        <v>686</v>
      </c>
      <c r="D82" s="7" t="n">
        <f aca="false">VALUE(LEFT(B82,4))</f>
        <v>1888</v>
      </c>
      <c r="E82" s="7" t="n">
        <f aca="false">INT((D82-1)/100)+1</f>
        <v>19</v>
      </c>
      <c r="F82" s="7" t="s">
        <v>219</v>
      </c>
      <c r="G82" s="7" t="s">
        <v>687</v>
      </c>
      <c r="H82" s="7" t="s">
        <v>688</v>
      </c>
      <c r="I82" s="7" t="s">
        <v>689</v>
      </c>
      <c r="J82" s="7" t="s">
        <v>310</v>
      </c>
      <c r="K82" s="7" t="s">
        <v>690</v>
      </c>
      <c r="L82" s="7" t="s">
        <v>627</v>
      </c>
      <c r="M82" s="7" t="s">
        <v>628</v>
      </c>
      <c r="N82" s="7" t="s">
        <v>16</v>
      </c>
      <c r="O82" s="7" t="s">
        <v>75</v>
      </c>
      <c r="P82" s="7" t="s">
        <v>691</v>
      </c>
      <c r="Q82" s="7" t="s">
        <v>685</v>
      </c>
      <c r="R82" s="7" t="n">
        <f aca="false">VALUE(LEFT(Q82,4))</f>
        <v>1888</v>
      </c>
      <c r="S82" s="7" t="n">
        <f aca="false">VALUE(MID(Q82,6,2))</f>
        <v>3</v>
      </c>
      <c r="T82" s="7" t="n">
        <f aca="false">VALUE(RIGHT(Q82,2))</f>
        <v>11</v>
      </c>
      <c r="U82" s="7" t="s">
        <v>125</v>
      </c>
      <c r="V82" s="7" t="s">
        <v>126</v>
      </c>
    </row>
    <row r="83" customFormat="false" ht="23.25" hidden="false" customHeight="true" outlineLevel="0" collapsed="false">
      <c r="A83" s="7" t="n">
        <v>82</v>
      </c>
      <c r="B83" s="7" t="s">
        <v>692</v>
      </c>
      <c r="C83" s="7" t="s">
        <v>693</v>
      </c>
      <c r="D83" s="7" t="n">
        <f aca="false">VALUE(LEFT(B83,4))</f>
        <v>1891</v>
      </c>
      <c r="E83" s="7" t="n">
        <f aca="false">INT((D83-1)/100)+1</f>
        <v>19</v>
      </c>
      <c r="F83" s="7" t="s">
        <v>553</v>
      </c>
      <c r="G83" s="7" t="s">
        <v>694</v>
      </c>
      <c r="H83" s="7" t="s">
        <v>555</v>
      </c>
      <c r="I83" s="7" t="s">
        <v>556</v>
      </c>
      <c r="J83" s="7" t="s">
        <v>557</v>
      </c>
      <c r="K83" s="7" t="s">
        <v>558</v>
      </c>
      <c r="L83" s="7" t="s">
        <v>559</v>
      </c>
      <c r="M83" s="7" t="s">
        <v>560</v>
      </c>
      <c r="N83" s="7" t="s">
        <v>20</v>
      </c>
      <c r="O83" s="7" t="s">
        <v>75</v>
      </c>
      <c r="P83" s="7" t="s">
        <v>561</v>
      </c>
      <c r="Q83" s="7" t="s">
        <v>695</v>
      </c>
      <c r="R83" s="7" t="n">
        <f aca="false">VALUE(LEFT(Q83,4))</f>
        <v>1891</v>
      </c>
      <c r="S83" s="7" t="n">
        <f aca="false">VALUE(MID(Q83,6,2))</f>
        <v>3</v>
      </c>
      <c r="T83" s="7" t="n">
        <f aca="false">VALUE(RIGHT(Q83,2))</f>
        <v>9</v>
      </c>
      <c r="U83" s="7" t="s">
        <v>317</v>
      </c>
      <c r="V83" s="7" t="s">
        <v>318</v>
      </c>
    </row>
    <row r="84" customFormat="false" ht="23.25" hidden="false" customHeight="true" outlineLevel="0" collapsed="false">
      <c r="A84" s="7" t="n">
        <v>83</v>
      </c>
      <c r="B84" s="7" t="s">
        <v>696</v>
      </c>
      <c r="C84" s="7" t="s">
        <v>697</v>
      </c>
      <c r="D84" s="7" t="n">
        <f aca="false">VALUE(LEFT(B84,4))</f>
        <v>1893</v>
      </c>
      <c r="E84" s="7" t="n">
        <f aca="false">INT((D84-1)/100)+1</f>
        <v>19</v>
      </c>
      <c r="F84" s="7" t="s">
        <v>553</v>
      </c>
      <c r="G84" s="7" t="s">
        <v>698</v>
      </c>
      <c r="H84" s="7" t="s">
        <v>555</v>
      </c>
      <c r="I84" s="7" t="s">
        <v>556</v>
      </c>
      <c r="J84" s="7" t="s">
        <v>557</v>
      </c>
      <c r="K84" s="7" t="s">
        <v>558</v>
      </c>
      <c r="L84" s="7" t="s">
        <v>559</v>
      </c>
      <c r="M84" s="7" t="s">
        <v>560</v>
      </c>
      <c r="N84" s="7" t="s">
        <v>20</v>
      </c>
      <c r="O84" s="7" t="s">
        <v>75</v>
      </c>
      <c r="P84" s="7" t="s">
        <v>561</v>
      </c>
      <c r="Q84" s="7" t="s">
        <v>699</v>
      </c>
      <c r="R84" s="7" t="n">
        <f aca="false">VALUE(LEFT(Q84,4))</f>
        <v>1893</v>
      </c>
      <c r="S84" s="7" t="n">
        <f aca="false">VALUE(MID(Q84,6,2))</f>
        <v>3</v>
      </c>
      <c r="T84" s="7" t="n">
        <f aca="false">VALUE(RIGHT(Q84,2))</f>
        <v>9</v>
      </c>
      <c r="U84" s="7" t="s">
        <v>317</v>
      </c>
      <c r="V84" s="7" t="s">
        <v>318</v>
      </c>
    </row>
    <row r="85" customFormat="false" ht="34.5" hidden="false" customHeight="true" outlineLevel="0" collapsed="false">
      <c r="A85" s="7" t="n">
        <v>84</v>
      </c>
      <c r="B85" s="7" t="s">
        <v>700</v>
      </c>
      <c r="C85" s="7" t="s">
        <v>700</v>
      </c>
      <c r="D85" s="7" t="n">
        <f aca="false">VALUE(LEFT(B85,4))</f>
        <v>1893</v>
      </c>
      <c r="E85" s="7" t="n">
        <f aca="false">INT((D85-1)/100)+1</f>
        <v>19</v>
      </c>
      <c r="F85" s="7" t="s">
        <v>67</v>
      </c>
      <c r="G85" s="7" t="s">
        <v>701</v>
      </c>
      <c r="H85" s="7" t="s">
        <v>120</v>
      </c>
      <c r="I85" s="7" t="s">
        <v>702</v>
      </c>
      <c r="J85" s="7" t="s">
        <v>332</v>
      </c>
      <c r="K85" s="7" t="s">
        <v>703</v>
      </c>
      <c r="L85" s="7" t="s">
        <v>425</v>
      </c>
      <c r="M85" s="7"/>
      <c r="N85" s="7" t="s">
        <v>20</v>
      </c>
      <c r="O85" s="7" t="s">
        <v>94</v>
      </c>
      <c r="P85" s="7"/>
      <c r="Q85" s="7" t="s">
        <v>700</v>
      </c>
      <c r="R85" s="7" t="n">
        <f aca="false">VALUE(LEFT(Q85,4))</f>
        <v>1893</v>
      </c>
      <c r="S85" s="7" t="n">
        <f aca="false">VALUE(MID(Q85,6,2))</f>
        <v>8</v>
      </c>
      <c r="T85" s="7" t="n">
        <f aca="false">VALUE(RIGHT(Q85,2))</f>
        <v>24</v>
      </c>
      <c r="U85" s="7" t="s">
        <v>77</v>
      </c>
      <c r="V85" s="7" t="s">
        <v>78</v>
      </c>
    </row>
    <row r="86" customFormat="false" ht="23.25" hidden="false" customHeight="true" outlineLevel="0" collapsed="false">
      <c r="A86" s="7" t="n">
        <v>85</v>
      </c>
      <c r="B86" s="7" t="s">
        <v>704</v>
      </c>
      <c r="C86" s="7" t="s">
        <v>705</v>
      </c>
      <c r="D86" s="7" t="n">
        <f aca="false">VALUE(LEFT(B86,4))</f>
        <v>1896</v>
      </c>
      <c r="E86" s="7" t="n">
        <f aca="false">INT((D86-1)/100)+1</f>
        <v>19</v>
      </c>
      <c r="F86" s="7" t="s">
        <v>706</v>
      </c>
      <c r="G86" s="7" t="s">
        <v>707</v>
      </c>
      <c r="H86" s="7" t="s">
        <v>240</v>
      </c>
      <c r="I86" s="7" t="s">
        <v>708</v>
      </c>
      <c r="J86" s="7" t="s">
        <v>709</v>
      </c>
      <c r="K86" s="7" t="s">
        <v>710</v>
      </c>
      <c r="L86" s="7" t="s">
        <v>569</v>
      </c>
      <c r="M86" s="7"/>
      <c r="N86" s="7" t="s">
        <v>18</v>
      </c>
      <c r="O86" s="7" t="s">
        <v>94</v>
      </c>
      <c r="P86" s="7" t="s">
        <v>711</v>
      </c>
      <c r="Q86" s="7" t="s">
        <v>712</v>
      </c>
      <c r="R86" s="7" t="n">
        <f aca="false">VALUE(LEFT(Q86,4))</f>
        <v>1896</v>
      </c>
      <c r="S86" s="7" t="n">
        <f aca="false">VALUE(MID(Q86,6,2))</f>
        <v>8</v>
      </c>
      <c r="T86" s="7" t="n">
        <f aca="false">VALUE(RIGHT(Q86,2))</f>
        <v>10</v>
      </c>
      <c r="U86" s="7" t="s">
        <v>713</v>
      </c>
      <c r="V86" s="7" t="s">
        <v>714</v>
      </c>
    </row>
    <row r="87" customFormat="false" ht="23.25" hidden="false" customHeight="true" outlineLevel="0" collapsed="false">
      <c r="A87" s="7" t="n">
        <v>86</v>
      </c>
      <c r="B87" s="7" t="s">
        <v>715</v>
      </c>
      <c r="C87" s="7" t="s">
        <v>716</v>
      </c>
      <c r="D87" s="7" t="n">
        <f aca="false">VALUE(LEFT(B87,4))</f>
        <v>1899</v>
      </c>
      <c r="E87" s="7" t="n">
        <f aca="false">INT((D87-1)/100)+1</f>
        <v>19</v>
      </c>
      <c r="F87" s="7" t="s">
        <v>717</v>
      </c>
      <c r="G87" s="7" t="s">
        <v>718</v>
      </c>
      <c r="H87" s="7" t="s">
        <v>719</v>
      </c>
      <c r="I87" s="7" t="s">
        <v>720</v>
      </c>
      <c r="J87" s="7" t="s">
        <v>721</v>
      </c>
      <c r="K87" s="7" t="s">
        <v>722</v>
      </c>
      <c r="L87" s="7" t="s">
        <v>569</v>
      </c>
      <c r="M87" s="7"/>
      <c r="N87" s="7" t="s">
        <v>18</v>
      </c>
      <c r="O87" s="7" t="s">
        <v>94</v>
      </c>
      <c r="P87" s="7" t="s">
        <v>723</v>
      </c>
      <c r="Q87" s="7" t="s">
        <v>724</v>
      </c>
      <c r="R87" s="7" t="n">
        <f aca="false">VALUE(LEFT(Q87,4))</f>
        <v>1899</v>
      </c>
      <c r="S87" s="7" t="n">
        <f aca="false">VALUE(MID(Q87,6,2))</f>
        <v>2</v>
      </c>
      <c r="T87" s="7" t="n">
        <f aca="false">VALUE(RIGHT(Q87,2))</f>
        <v>10</v>
      </c>
      <c r="U87" s="7" t="s">
        <v>125</v>
      </c>
      <c r="V87" s="7" t="s">
        <v>725</v>
      </c>
    </row>
    <row r="88" customFormat="false" ht="45.75" hidden="false" customHeight="true" outlineLevel="0" collapsed="false">
      <c r="A88" s="7" t="n">
        <v>87</v>
      </c>
      <c r="B88" s="7" t="s">
        <v>726</v>
      </c>
      <c r="C88" s="7" t="s">
        <v>727</v>
      </c>
      <c r="D88" s="7" t="n">
        <f aca="false">VALUE(LEFT(B88,4))</f>
        <v>1900</v>
      </c>
      <c r="E88" s="7" t="n">
        <f aca="false">INT((D88-1)/100)+1</f>
        <v>19</v>
      </c>
      <c r="F88" s="7" t="s">
        <v>728</v>
      </c>
      <c r="G88" s="7" t="s">
        <v>729</v>
      </c>
      <c r="H88" s="7" t="s">
        <v>730</v>
      </c>
      <c r="I88" s="7" t="s">
        <v>731</v>
      </c>
      <c r="J88" s="7" t="s">
        <v>732</v>
      </c>
      <c r="K88" s="7" t="s">
        <v>733</v>
      </c>
      <c r="L88" s="7" t="s">
        <v>734</v>
      </c>
      <c r="M88" s="7" t="s">
        <v>735</v>
      </c>
      <c r="N88" s="7" t="s">
        <v>20</v>
      </c>
      <c r="O88" s="7" t="s">
        <v>94</v>
      </c>
      <c r="P88" s="7" t="s">
        <v>736</v>
      </c>
      <c r="Q88" s="7" t="s">
        <v>727</v>
      </c>
      <c r="R88" s="7" t="n">
        <f aca="false">VALUE(LEFT(Q88,4))</f>
        <v>2023</v>
      </c>
      <c r="S88" s="7" t="n">
        <f aca="false">VALUE(MID(Q88,6,2))</f>
        <v>3</v>
      </c>
      <c r="T88" s="7" t="n">
        <f aca="false">VALUE(RIGHT(Q88,2))</f>
        <v>10</v>
      </c>
      <c r="U88" s="7" t="s">
        <v>338</v>
      </c>
      <c r="V88" s="7" t="s">
        <v>737</v>
      </c>
    </row>
    <row r="89" customFormat="false" ht="23.25" hidden="false" customHeight="true" outlineLevel="0" collapsed="false">
      <c r="A89" s="7" t="n">
        <v>88</v>
      </c>
      <c r="B89" s="7" t="s">
        <v>738</v>
      </c>
      <c r="C89" s="7" t="s">
        <v>739</v>
      </c>
      <c r="D89" s="7" t="n">
        <f aca="false">VALUE(LEFT(B89,4))</f>
        <v>1903</v>
      </c>
      <c r="E89" s="7" t="n">
        <f aca="false">INT((D89-1)/100)+1</f>
        <v>20</v>
      </c>
      <c r="F89" s="7" t="s">
        <v>553</v>
      </c>
      <c r="G89" s="7" t="s">
        <v>740</v>
      </c>
      <c r="H89" s="7" t="s">
        <v>741</v>
      </c>
      <c r="I89" s="7" t="s">
        <v>742</v>
      </c>
      <c r="J89" s="7" t="s">
        <v>743</v>
      </c>
      <c r="K89" s="7" t="s">
        <v>744</v>
      </c>
      <c r="L89" s="7" t="s">
        <v>745</v>
      </c>
      <c r="M89" s="7" t="s">
        <v>746</v>
      </c>
      <c r="N89" s="7" t="s">
        <v>18</v>
      </c>
      <c r="O89" s="7" t="s">
        <v>75</v>
      </c>
      <c r="P89" s="7"/>
      <c r="Q89" s="7" t="s">
        <v>747</v>
      </c>
      <c r="R89" s="7" t="n">
        <f aca="false">VALUE(LEFT(Q89,4))</f>
        <v>1903</v>
      </c>
      <c r="S89" s="7" t="n">
        <f aca="false">VALUE(MID(Q89,6,2))</f>
        <v>2</v>
      </c>
      <c r="T89" s="7" t="n">
        <f aca="false">VALUE(RIGHT(Q89,2))</f>
        <v>16</v>
      </c>
      <c r="U89" s="7" t="s">
        <v>114</v>
      </c>
      <c r="V89" s="7" t="s">
        <v>325</v>
      </c>
    </row>
    <row r="90" customFormat="false" ht="23.25" hidden="false" customHeight="true" outlineLevel="0" collapsed="false">
      <c r="A90" s="7" t="n">
        <v>89</v>
      </c>
      <c r="B90" s="7" t="s">
        <v>748</v>
      </c>
      <c r="C90" s="7" t="s">
        <v>749</v>
      </c>
      <c r="D90" s="7" t="n">
        <f aca="false">VALUE(LEFT(B90,4))</f>
        <v>1903</v>
      </c>
      <c r="E90" s="7" t="n">
        <f aca="false">INT((D90-1)/100)+1</f>
        <v>20</v>
      </c>
      <c r="F90" s="7" t="s">
        <v>129</v>
      </c>
      <c r="G90" s="7" t="s">
        <v>750</v>
      </c>
      <c r="H90" s="7" t="s">
        <v>751</v>
      </c>
      <c r="I90" s="7" t="s">
        <v>752</v>
      </c>
      <c r="J90" s="7" t="s">
        <v>721</v>
      </c>
      <c r="K90" s="7" t="s">
        <v>753</v>
      </c>
      <c r="L90" s="7" t="s">
        <v>754</v>
      </c>
      <c r="M90" s="7"/>
      <c r="N90" s="7" t="s">
        <v>18</v>
      </c>
      <c r="O90" s="7" t="s">
        <v>75</v>
      </c>
      <c r="P90" s="7" t="s">
        <v>755</v>
      </c>
      <c r="Q90" s="7" t="s">
        <v>748</v>
      </c>
      <c r="R90" s="7" t="n">
        <f aca="false">VALUE(LEFT(Q90,4))</f>
        <v>1903</v>
      </c>
      <c r="S90" s="7" t="n">
        <f aca="false">VALUE(MID(Q90,6,2))</f>
        <v>10</v>
      </c>
      <c r="T90" s="7" t="n">
        <f aca="false">VALUE(RIGHT(Q90,2))</f>
        <v>8</v>
      </c>
      <c r="U90" s="7" t="s">
        <v>125</v>
      </c>
      <c r="V90" s="7" t="s">
        <v>126</v>
      </c>
    </row>
    <row r="91" customFormat="false" ht="23.25" hidden="false" customHeight="true" outlineLevel="0" collapsed="false">
      <c r="A91" s="7" t="n">
        <v>90</v>
      </c>
      <c r="B91" s="7" t="s">
        <v>756</v>
      </c>
      <c r="C91" s="7" t="s">
        <v>757</v>
      </c>
      <c r="D91" s="7" t="n">
        <f aca="false">VALUE(LEFT(B91,4))</f>
        <v>1911</v>
      </c>
      <c r="E91" s="7" t="n">
        <f aca="false">INT((D91-1)/100)+1</f>
        <v>20</v>
      </c>
      <c r="F91" s="7" t="s">
        <v>706</v>
      </c>
      <c r="G91" s="7" t="s">
        <v>758</v>
      </c>
      <c r="H91" s="7" t="s">
        <v>240</v>
      </c>
      <c r="I91" s="7" t="s">
        <v>759</v>
      </c>
      <c r="J91" s="7" t="s">
        <v>310</v>
      </c>
      <c r="K91" s="7" t="s">
        <v>760</v>
      </c>
      <c r="L91" s="7" t="s">
        <v>761</v>
      </c>
      <c r="M91" s="7"/>
      <c r="N91" s="7" t="s">
        <v>16</v>
      </c>
      <c r="O91" s="7" t="s">
        <v>75</v>
      </c>
      <c r="P91" s="7" t="s">
        <v>762</v>
      </c>
      <c r="Q91" s="7" t="s">
        <v>756</v>
      </c>
      <c r="R91" s="7" t="n">
        <f aca="false">VALUE(LEFT(Q91,4))</f>
        <v>1911</v>
      </c>
      <c r="S91" s="7" t="n">
        <f aca="false">VALUE(MID(Q91,6,2))</f>
        <v>7</v>
      </c>
      <c r="T91" s="7" t="n">
        <f aca="false">VALUE(RIGHT(Q91,2))</f>
        <v>3</v>
      </c>
      <c r="U91" s="7" t="s">
        <v>125</v>
      </c>
      <c r="V91" s="7" t="s">
        <v>126</v>
      </c>
    </row>
    <row r="92" customFormat="false" ht="23.25" hidden="false" customHeight="true" outlineLevel="0" collapsed="false">
      <c r="A92" s="7" t="n">
        <v>91</v>
      </c>
      <c r="B92" s="7" t="s">
        <v>763</v>
      </c>
      <c r="C92" s="7" t="s">
        <v>763</v>
      </c>
      <c r="D92" s="7" t="n">
        <f aca="false">VALUE(LEFT(B92,4))</f>
        <v>1912</v>
      </c>
      <c r="E92" s="7" t="n">
        <f aca="false">INT((D92-1)/100)+1</f>
        <v>20</v>
      </c>
      <c r="F92" s="7" t="s">
        <v>553</v>
      </c>
      <c r="G92" s="7" t="s">
        <v>764</v>
      </c>
      <c r="H92" s="7" t="s">
        <v>765</v>
      </c>
      <c r="I92" s="7" t="s">
        <v>766</v>
      </c>
      <c r="J92" s="7" t="s">
        <v>332</v>
      </c>
      <c r="K92" s="7" t="s">
        <v>767</v>
      </c>
      <c r="L92" s="7" t="s">
        <v>569</v>
      </c>
      <c r="M92" s="7"/>
      <c r="N92" s="7" t="s">
        <v>18</v>
      </c>
      <c r="O92" s="7" t="s">
        <v>94</v>
      </c>
      <c r="P92" s="7" t="s">
        <v>768</v>
      </c>
      <c r="Q92" s="7" t="s">
        <v>763</v>
      </c>
      <c r="R92" s="7" t="n">
        <f aca="false">VALUE(LEFT(Q92,4))</f>
        <v>1912</v>
      </c>
      <c r="S92" s="7" t="n">
        <f aca="false">VALUE(MID(Q92,6,2))</f>
        <v>2</v>
      </c>
      <c r="T92" s="7" t="n">
        <f aca="false">VALUE(RIGHT(Q92,2))</f>
        <v>4</v>
      </c>
      <c r="U92" s="7" t="s">
        <v>77</v>
      </c>
      <c r="V92" s="7" t="s">
        <v>78</v>
      </c>
    </row>
    <row r="93" customFormat="false" ht="34.5" hidden="false" customHeight="true" outlineLevel="0" collapsed="false">
      <c r="A93" s="7" t="n">
        <v>92</v>
      </c>
      <c r="B93" s="7" t="s">
        <v>769</v>
      </c>
      <c r="C93" s="7" t="s">
        <v>770</v>
      </c>
      <c r="D93" s="7" t="n">
        <f aca="false">VALUE(LEFT(B93,4))</f>
        <v>1913</v>
      </c>
      <c r="E93" s="7" t="n">
        <f aca="false">INT((D93-1)/100)+1</f>
        <v>20</v>
      </c>
      <c r="F93" s="7" t="s">
        <v>771</v>
      </c>
      <c r="G93" s="7" t="s">
        <v>772</v>
      </c>
      <c r="H93" s="7" t="s">
        <v>773</v>
      </c>
      <c r="I93" s="7" t="s">
        <v>774</v>
      </c>
      <c r="J93" s="7" t="s">
        <v>775</v>
      </c>
      <c r="K93" s="7" t="s">
        <v>776</v>
      </c>
      <c r="L93" s="7" t="s">
        <v>627</v>
      </c>
      <c r="M93" s="7" t="s">
        <v>628</v>
      </c>
      <c r="N93" s="7" t="s">
        <v>16</v>
      </c>
      <c r="O93" s="7" t="s">
        <v>75</v>
      </c>
      <c r="P93" s="7"/>
      <c r="Q93" s="7" t="s">
        <v>769</v>
      </c>
      <c r="R93" s="7" t="n">
        <f aca="false">VALUE(LEFT(Q93,4))</f>
        <v>1913</v>
      </c>
      <c r="S93" s="7" t="n">
        <f aca="false">VALUE(MID(Q93,6,2))</f>
        <v>3</v>
      </c>
      <c r="T93" s="7" t="n">
        <f aca="false">VALUE(RIGHT(Q93,2))</f>
        <v>25</v>
      </c>
      <c r="U93" s="7" t="s">
        <v>125</v>
      </c>
      <c r="V93" s="7" t="s">
        <v>126</v>
      </c>
    </row>
    <row r="94" customFormat="false" ht="23.25" hidden="false" customHeight="true" outlineLevel="0" collapsed="false">
      <c r="A94" s="7" t="n">
        <v>93</v>
      </c>
      <c r="B94" s="7" t="s">
        <v>777</v>
      </c>
      <c r="C94" s="7" t="s">
        <v>777</v>
      </c>
      <c r="D94" s="7" t="n">
        <f aca="false">VALUE(LEFT(B94,4))</f>
        <v>1914</v>
      </c>
      <c r="E94" s="7" t="n">
        <f aca="false">INT((D94-1)/100)+1</f>
        <v>20</v>
      </c>
      <c r="F94" s="7" t="s">
        <v>219</v>
      </c>
      <c r="G94" s="7" t="s">
        <v>778</v>
      </c>
      <c r="H94" s="7" t="s">
        <v>779</v>
      </c>
      <c r="I94" s="7" t="s">
        <v>780</v>
      </c>
      <c r="J94" s="7" t="s">
        <v>310</v>
      </c>
      <c r="K94" s="7" t="s">
        <v>781</v>
      </c>
      <c r="L94" s="7" t="s">
        <v>627</v>
      </c>
      <c r="M94" s="7" t="s">
        <v>628</v>
      </c>
      <c r="N94" s="7" t="s">
        <v>16</v>
      </c>
      <c r="O94" s="7" t="s">
        <v>75</v>
      </c>
      <c r="P94" s="7"/>
      <c r="Q94" s="7" t="s">
        <v>777</v>
      </c>
      <c r="R94" s="7" t="n">
        <f aca="false">VALUE(LEFT(Q94,4))</f>
        <v>1914</v>
      </c>
      <c r="S94" s="7" t="n">
        <f aca="false">VALUE(MID(Q94,6,2))</f>
        <v>2</v>
      </c>
      <c r="T94" s="7" t="n">
        <f aca="false">VALUE(RIGHT(Q94,2))</f>
        <v>14</v>
      </c>
      <c r="U94" s="7" t="s">
        <v>77</v>
      </c>
      <c r="V94" s="7" t="s">
        <v>78</v>
      </c>
    </row>
    <row r="95" customFormat="false" ht="23.25" hidden="false" customHeight="true" outlineLevel="0" collapsed="false">
      <c r="A95" s="7" t="n">
        <v>94</v>
      </c>
      <c r="B95" s="7" t="s">
        <v>782</v>
      </c>
      <c r="C95" s="7" t="s">
        <v>782</v>
      </c>
      <c r="D95" s="7" t="n">
        <f aca="false">VALUE(LEFT(B95,4))</f>
        <v>1914</v>
      </c>
      <c r="E95" s="7" t="n">
        <f aca="false">INT((D95-1)/100)+1</f>
        <v>20</v>
      </c>
      <c r="F95" s="7" t="s">
        <v>621</v>
      </c>
      <c r="G95" s="7" t="s">
        <v>783</v>
      </c>
      <c r="H95" s="7" t="s">
        <v>784</v>
      </c>
      <c r="I95" s="7" t="s">
        <v>785</v>
      </c>
      <c r="J95" s="7" t="s">
        <v>786</v>
      </c>
      <c r="K95" s="7" t="s">
        <v>787</v>
      </c>
      <c r="L95" s="7" t="s">
        <v>627</v>
      </c>
      <c r="M95" s="7" t="s">
        <v>628</v>
      </c>
      <c r="N95" s="7" t="s">
        <v>16</v>
      </c>
      <c r="O95" s="7" t="s">
        <v>75</v>
      </c>
      <c r="P95" s="7"/>
      <c r="Q95" s="7" t="s">
        <v>782</v>
      </c>
      <c r="R95" s="7" t="n">
        <f aca="false">VALUE(LEFT(Q95,4))</f>
        <v>1914</v>
      </c>
      <c r="S95" s="7" t="n">
        <f aca="false">VALUE(MID(Q95,6,2))</f>
        <v>3</v>
      </c>
      <c r="T95" s="7" t="n">
        <f aca="false">VALUE(RIGHT(Q95,2))</f>
        <v>28</v>
      </c>
      <c r="U95" s="7" t="s">
        <v>77</v>
      </c>
      <c r="V95" s="7" t="s">
        <v>78</v>
      </c>
    </row>
    <row r="96" customFormat="false" ht="23.25" hidden="false" customHeight="true" outlineLevel="0" collapsed="false">
      <c r="A96" s="7" t="n">
        <v>95</v>
      </c>
      <c r="B96" s="7" t="s">
        <v>788</v>
      </c>
      <c r="C96" s="7" t="s">
        <v>789</v>
      </c>
      <c r="D96" s="7" t="n">
        <f aca="false">VALUE(LEFT(B96,4))</f>
        <v>1915</v>
      </c>
      <c r="E96" s="7" t="n">
        <f aca="false">INT((D96-1)/100)+1</f>
        <v>20</v>
      </c>
      <c r="F96" s="7" t="s">
        <v>139</v>
      </c>
      <c r="G96" s="7" t="s">
        <v>790</v>
      </c>
      <c r="H96" s="7" t="s">
        <v>791</v>
      </c>
      <c r="I96" s="7" t="s">
        <v>792</v>
      </c>
      <c r="J96" s="7" t="s">
        <v>310</v>
      </c>
      <c r="K96" s="7" t="s">
        <v>793</v>
      </c>
      <c r="L96" s="7" t="s">
        <v>627</v>
      </c>
      <c r="M96" s="7" t="s">
        <v>628</v>
      </c>
      <c r="N96" s="7" t="s">
        <v>16</v>
      </c>
      <c r="O96" s="7" t="s">
        <v>75</v>
      </c>
      <c r="P96" s="7"/>
      <c r="Q96" s="7" t="s">
        <v>788</v>
      </c>
      <c r="R96" s="7" t="n">
        <f aca="false">VALUE(LEFT(Q96,4))</f>
        <v>1915</v>
      </c>
      <c r="S96" s="7" t="n">
        <f aca="false">VALUE(MID(Q96,6,2))</f>
        <v>12</v>
      </c>
      <c r="T96" s="7" t="n">
        <f aca="false">VALUE(RIGHT(Q96,2))</f>
        <v>13</v>
      </c>
      <c r="U96" s="7" t="s">
        <v>125</v>
      </c>
      <c r="V96" s="7" t="s">
        <v>126</v>
      </c>
    </row>
    <row r="97" customFormat="false" ht="23.25" hidden="false" customHeight="true" outlineLevel="0" collapsed="false">
      <c r="A97" s="7" t="n">
        <v>96</v>
      </c>
      <c r="B97" s="7" t="s">
        <v>794</v>
      </c>
      <c r="C97" s="7" t="s">
        <v>795</v>
      </c>
      <c r="D97" s="7" t="n">
        <f aca="false">VALUE(LEFT(B97,4))</f>
        <v>1917</v>
      </c>
      <c r="E97" s="7" t="n">
        <f aca="false">INT((D97-1)/100)+1</f>
        <v>20</v>
      </c>
      <c r="F97" s="7" t="s">
        <v>106</v>
      </c>
      <c r="G97" s="7" t="s">
        <v>796</v>
      </c>
      <c r="H97" s="7" t="s">
        <v>240</v>
      </c>
      <c r="I97" s="7" t="s">
        <v>797</v>
      </c>
      <c r="J97" s="7" t="s">
        <v>721</v>
      </c>
      <c r="K97" s="7" t="s">
        <v>798</v>
      </c>
      <c r="L97" s="7" t="s">
        <v>569</v>
      </c>
      <c r="M97" s="7"/>
      <c r="N97" s="7" t="s">
        <v>18</v>
      </c>
      <c r="O97" s="7" t="s">
        <v>94</v>
      </c>
      <c r="P97" s="7"/>
      <c r="Q97" s="7" t="s">
        <v>799</v>
      </c>
      <c r="R97" s="7" t="n">
        <f aca="false">VALUE(LEFT(Q97,4))</f>
        <v>1917</v>
      </c>
      <c r="S97" s="7" t="n">
        <f aca="false">VALUE(MID(Q97,6,2))</f>
        <v>12</v>
      </c>
      <c r="T97" s="7" t="n">
        <f aca="false">VALUE(RIGHT(Q97,2))</f>
        <v>30</v>
      </c>
      <c r="U97" s="7" t="s">
        <v>125</v>
      </c>
      <c r="V97" s="7" t="s">
        <v>800</v>
      </c>
    </row>
    <row r="98" customFormat="false" ht="23.25" hidden="false" customHeight="true" outlineLevel="0" collapsed="false">
      <c r="A98" s="7" t="n">
        <v>97</v>
      </c>
      <c r="B98" s="7" t="s">
        <v>801</v>
      </c>
      <c r="C98" s="7" t="s">
        <v>802</v>
      </c>
      <c r="D98" s="7" t="n">
        <f aca="false">VALUE(LEFT(B98,4))</f>
        <v>1920</v>
      </c>
      <c r="E98" s="7" t="n">
        <f aca="false">INT((D98-1)/100)+1</f>
        <v>20</v>
      </c>
      <c r="F98" s="7" t="s">
        <v>159</v>
      </c>
      <c r="G98" s="7" t="s">
        <v>803</v>
      </c>
      <c r="H98" s="7" t="s">
        <v>566</v>
      </c>
      <c r="I98" s="7" t="s">
        <v>804</v>
      </c>
      <c r="J98" s="7" t="s">
        <v>709</v>
      </c>
      <c r="K98" s="7" t="s">
        <v>805</v>
      </c>
      <c r="L98" s="7" t="s">
        <v>569</v>
      </c>
      <c r="M98" s="7"/>
      <c r="N98" s="7" t="s">
        <v>18</v>
      </c>
      <c r="O98" s="7" t="s">
        <v>94</v>
      </c>
      <c r="P98" s="7"/>
      <c r="Q98" s="7" t="s">
        <v>801</v>
      </c>
      <c r="R98" s="7" t="n">
        <f aca="false">VALUE(LEFT(Q98,4))</f>
        <v>1920</v>
      </c>
      <c r="S98" s="7" t="n">
        <f aca="false">VALUE(MID(Q98,6,2))</f>
        <v>2</v>
      </c>
      <c r="T98" s="7" t="n">
        <f aca="false">VALUE(RIGHT(Q98,2))</f>
        <v>4</v>
      </c>
      <c r="U98" s="7" t="s">
        <v>125</v>
      </c>
      <c r="V98" s="7" t="s">
        <v>126</v>
      </c>
    </row>
    <row r="99" customFormat="false" ht="23.25" hidden="false" customHeight="true" outlineLevel="0" collapsed="false">
      <c r="A99" s="7" t="n">
        <v>98</v>
      </c>
      <c r="B99" s="7" t="s">
        <v>806</v>
      </c>
      <c r="C99" s="7" t="s">
        <v>807</v>
      </c>
      <c r="D99" s="7" t="n">
        <f aca="false">VALUE(LEFT(B99,4))</f>
        <v>1927</v>
      </c>
      <c r="E99" s="7" t="n">
        <f aca="false">INT((D99-1)/100)+1</f>
        <v>20</v>
      </c>
      <c r="F99" s="7" t="s">
        <v>655</v>
      </c>
      <c r="G99" s="7" t="s">
        <v>808</v>
      </c>
      <c r="H99" s="7" t="s">
        <v>809</v>
      </c>
      <c r="I99" s="7" t="s">
        <v>810</v>
      </c>
      <c r="J99" s="7" t="s">
        <v>623</v>
      </c>
      <c r="K99" s="7" t="s">
        <v>811</v>
      </c>
      <c r="L99" s="7" t="s">
        <v>627</v>
      </c>
      <c r="M99" s="7" t="s">
        <v>628</v>
      </c>
      <c r="N99" s="7" t="s">
        <v>16</v>
      </c>
      <c r="O99" s="7" t="s">
        <v>75</v>
      </c>
      <c r="P99" s="7"/>
      <c r="Q99" s="7" t="s">
        <v>806</v>
      </c>
      <c r="R99" s="7" t="n">
        <f aca="false">VALUE(LEFT(Q99,4))</f>
        <v>1927</v>
      </c>
      <c r="S99" s="7" t="n">
        <f aca="false">VALUE(MID(Q99,6,2))</f>
        <v>11</v>
      </c>
      <c r="T99" s="7" t="n">
        <f aca="false">VALUE(RIGHT(Q99,2))</f>
        <v>3</v>
      </c>
      <c r="U99" s="7" t="s">
        <v>125</v>
      </c>
      <c r="V99" s="7" t="s">
        <v>126</v>
      </c>
    </row>
    <row r="100" customFormat="false" ht="34.5" hidden="false" customHeight="true" outlineLevel="0" collapsed="false">
      <c r="A100" s="7" t="n">
        <v>99</v>
      </c>
      <c r="B100" s="7" t="s">
        <v>812</v>
      </c>
      <c r="C100" s="7" t="s">
        <v>812</v>
      </c>
      <c r="D100" s="7" t="n">
        <f aca="false">VALUE(LEFT(B100,4))</f>
        <v>1928</v>
      </c>
      <c r="E100" s="7" t="n">
        <f aca="false">INT((D100-1)/100)+1</f>
        <v>20</v>
      </c>
      <c r="F100" s="7" t="s">
        <v>553</v>
      </c>
      <c r="G100" s="7" t="s">
        <v>813</v>
      </c>
      <c r="H100" s="7" t="s">
        <v>814</v>
      </c>
      <c r="I100" s="7" t="s">
        <v>815</v>
      </c>
      <c r="J100" s="7" t="s">
        <v>816</v>
      </c>
      <c r="K100" s="7" t="s">
        <v>817</v>
      </c>
      <c r="L100" s="7" t="s">
        <v>818</v>
      </c>
      <c r="M100" s="7" t="s">
        <v>819</v>
      </c>
      <c r="N100" s="7" t="s">
        <v>20</v>
      </c>
      <c r="O100" s="7" t="s">
        <v>75</v>
      </c>
      <c r="P100" s="7" t="s">
        <v>820</v>
      </c>
      <c r="Q100" s="7" t="s">
        <v>812</v>
      </c>
      <c r="R100" s="7" t="n">
        <f aca="false">VALUE(LEFT(Q100,4))</f>
        <v>1928</v>
      </c>
      <c r="S100" s="7" t="n">
        <f aca="false">VALUE(MID(Q100,6,2))</f>
        <v>1</v>
      </c>
      <c r="T100" s="7" t="n">
        <f aca="false">VALUE(RIGHT(Q100,2))</f>
        <v>31</v>
      </c>
      <c r="U100" s="7" t="s">
        <v>77</v>
      </c>
      <c r="V100" s="7" t="s">
        <v>78</v>
      </c>
    </row>
    <row r="101" customFormat="false" ht="23.25" hidden="false" customHeight="true" outlineLevel="0" collapsed="false">
      <c r="A101" s="7" t="n">
        <v>100</v>
      </c>
      <c r="B101" s="7" t="s">
        <v>821</v>
      </c>
      <c r="C101" s="7" t="s">
        <v>822</v>
      </c>
      <c r="D101" s="7" t="n">
        <f aca="false">VALUE(LEFT(B101,4))</f>
        <v>1929</v>
      </c>
      <c r="E101" s="7" t="n">
        <f aca="false">INT((D101-1)/100)+1</f>
        <v>20</v>
      </c>
      <c r="F101" s="7" t="s">
        <v>823</v>
      </c>
      <c r="G101" s="7" t="s">
        <v>824</v>
      </c>
      <c r="H101" s="7" t="s">
        <v>825</v>
      </c>
      <c r="I101" s="7" t="s">
        <v>826</v>
      </c>
      <c r="J101" s="7" t="s">
        <v>721</v>
      </c>
      <c r="K101" s="7" t="s">
        <v>827</v>
      </c>
      <c r="L101" s="7" t="s">
        <v>627</v>
      </c>
      <c r="M101" s="7" t="s">
        <v>628</v>
      </c>
      <c r="N101" s="7" t="s">
        <v>20</v>
      </c>
      <c r="O101" s="7" t="s">
        <v>75</v>
      </c>
      <c r="P101" s="7" t="s">
        <v>828</v>
      </c>
      <c r="Q101" s="7" t="s">
        <v>829</v>
      </c>
      <c r="R101" s="7" t="n">
        <f aca="false">VALUE(LEFT(Q101,4))</f>
        <v>1929</v>
      </c>
      <c r="S101" s="7" t="n">
        <f aca="false">VALUE(MID(Q101,6,2))</f>
        <v>7</v>
      </c>
      <c r="T101" s="7" t="n">
        <f aca="false">VALUE(RIGHT(Q101,2))</f>
        <v>1</v>
      </c>
      <c r="U101" s="7" t="s">
        <v>338</v>
      </c>
      <c r="V101" s="7" t="s">
        <v>830</v>
      </c>
    </row>
    <row r="102" customFormat="false" ht="23.25" hidden="false" customHeight="true" outlineLevel="0" collapsed="false">
      <c r="A102" s="7" t="n">
        <v>101</v>
      </c>
      <c r="B102" s="7" t="s">
        <v>831</v>
      </c>
      <c r="C102" s="7" t="s">
        <v>832</v>
      </c>
      <c r="D102" s="7" t="n">
        <f aca="false">VALUE(LEFT(B102,4))</f>
        <v>1930</v>
      </c>
      <c r="E102" s="7" t="n">
        <f aca="false">INT((D102-1)/100)+1</f>
        <v>20</v>
      </c>
      <c r="F102" s="7" t="s">
        <v>833</v>
      </c>
      <c r="G102" s="7" t="s">
        <v>834</v>
      </c>
      <c r="H102" s="7" t="s">
        <v>835</v>
      </c>
      <c r="I102" s="7" t="s">
        <v>836</v>
      </c>
      <c r="J102" s="7" t="s">
        <v>721</v>
      </c>
      <c r="K102" s="7" t="s">
        <v>837</v>
      </c>
      <c r="L102" s="7" t="s">
        <v>569</v>
      </c>
      <c r="M102" s="7"/>
      <c r="N102" s="7" t="s">
        <v>18</v>
      </c>
      <c r="O102" s="7" t="s">
        <v>94</v>
      </c>
      <c r="P102" s="7"/>
      <c r="Q102" s="7" t="s">
        <v>838</v>
      </c>
      <c r="R102" s="7" t="n">
        <f aca="false">VALUE(LEFT(Q102,4))</f>
        <v>1930</v>
      </c>
      <c r="S102" s="7" t="n">
        <f aca="false">VALUE(MID(Q102,6,2))</f>
        <v>8</v>
      </c>
      <c r="T102" s="7" t="n">
        <f aca="false">VALUE(RIGHT(Q102,2))</f>
        <v>15</v>
      </c>
      <c r="U102" s="7" t="s">
        <v>114</v>
      </c>
      <c r="V102" s="7" t="s">
        <v>839</v>
      </c>
    </row>
    <row r="103" customFormat="false" ht="23.25" hidden="false" customHeight="true" outlineLevel="0" collapsed="false">
      <c r="A103" s="7" t="n">
        <v>102</v>
      </c>
      <c r="B103" s="7" t="s">
        <v>840</v>
      </c>
      <c r="C103" s="7" t="s">
        <v>840</v>
      </c>
      <c r="D103" s="7" t="n">
        <f aca="false">VALUE(LEFT(B103,4))</f>
        <v>1934</v>
      </c>
      <c r="E103" s="7" t="n">
        <f aca="false">INT((D103-1)/100)+1</f>
        <v>20</v>
      </c>
      <c r="F103" s="7" t="s">
        <v>238</v>
      </c>
      <c r="G103" s="7" t="s">
        <v>841</v>
      </c>
      <c r="H103" s="7" t="s">
        <v>240</v>
      </c>
      <c r="I103" s="7" t="s">
        <v>842</v>
      </c>
      <c r="J103" s="7" t="s">
        <v>843</v>
      </c>
      <c r="K103" s="7" t="s">
        <v>844</v>
      </c>
      <c r="L103" s="7" t="s">
        <v>569</v>
      </c>
      <c r="M103" s="7"/>
      <c r="N103" s="7" t="s">
        <v>18</v>
      </c>
      <c r="O103" s="7" t="s">
        <v>94</v>
      </c>
      <c r="P103" s="7" t="s">
        <v>845</v>
      </c>
      <c r="Q103" s="7" t="s">
        <v>840</v>
      </c>
      <c r="R103" s="7" t="n">
        <f aca="false">VALUE(LEFT(Q103,4))</f>
        <v>1934</v>
      </c>
      <c r="S103" s="7" t="n">
        <f aca="false">VALUE(MID(Q103,6,2))</f>
        <v>2</v>
      </c>
      <c r="T103" s="7" t="n">
        <f aca="false">VALUE(RIGHT(Q103,2))</f>
        <v>9</v>
      </c>
      <c r="U103" s="7" t="s">
        <v>77</v>
      </c>
      <c r="V103" s="7" t="s">
        <v>78</v>
      </c>
    </row>
    <row r="104" customFormat="false" ht="23.25" hidden="false" customHeight="true" outlineLevel="0" collapsed="false">
      <c r="A104" s="7" t="n">
        <v>103</v>
      </c>
      <c r="B104" s="7" t="s">
        <v>846</v>
      </c>
      <c r="C104" s="7" t="s">
        <v>846</v>
      </c>
      <c r="D104" s="7" t="n">
        <f aca="false">VALUE(LEFT(B104,4))</f>
        <v>1935</v>
      </c>
      <c r="E104" s="7" t="n">
        <f aca="false">INT((D104-1)/100)+1</f>
        <v>20</v>
      </c>
      <c r="F104" s="7" t="s">
        <v>847</v>
      </c>
      <c r="G104" s="7" t="s">
        <v>848</v>
      </c>
      <c r="H104" s="7" t="s">
        <v>849</v>
      </c>
      <c r="I104" s="7" t="s">
        <v>850</v>
      </c>
      <c r="J104" s="7" t="s">
        <v>721</v>
      </c>
      <c r="K104" s="7" t="s">
        <v>851</v>
      </c>
      <c r="L104" s="7" t="s">
        <v>569</v>
      </c>
      <c r="M104" s="7"/>
      <c r="N104" s="7" t="s">
        <v>18</v>
      </c>
      <c r="O104" s="7" t="s">
        <v>94</v>
      </c>
      <c r="P104" s="7"/>
      <c r="Q104" s="7" t="s">
        <v>846</v>
      </c>
      <c r="R104" s="7" t="n">
        <f aca="false">VALUE(LEFT(Q104,4))</f>
        <v>1935</v>
      </c>
      <c r="S104" s="7" t="n">
        <f aca="false">VALUE(MID(Q104,6,2))</f>
        <v>7</v>
      </c>
      <c r="T104" s="7" t="n">
        <f aca="false">VALUE(RIGHT(Q104,2))</f>
        <v>8</v>
      </c>
      <c r="U104" s="7" t="s">
        <v>77</v>
      </c>
      <c r="V104" s="7" t="s">
        <v>78</v>
      </c>
    </row>
    <row r="105" customFormat="false" ht="23.25" hidden="false" customHeight="true" outlineLevel="0" collapsed="false">
      <c r="A105" s="7" t="n">
        <v>104</v>
      </c>
      <c r="B105" s="7" t="s">
        <v>852</v>
      </c>
      <c r="C105" s="7" t="s">
        <v>853</v>
      </c>
      <c r="D105" s="7" t="n">
        <f aca="false">VALUE(LEFT(B105,4))</f>
        <v>1936</v>
      </c>
      <c r="E105" s="7" t="n">
        <f aca="false">INT((D105-1)/100)+1</f>
        <v>20</v>
      </c>
      <c r="F105" s="7" t="s">
        <v>771</v>
      </c>
      <c r="G105" s="7" t="s">
        <v>854</v>
      </c>
      <c r="H105" s="7" t="s">
        <v>240</v>
      </c>
      <c r="I105" s="7" t="s">
        <v>855</v>
      </c>
      <c r="J105" s="7" t="s">
        <v>856</v>
      </c>
      <c r="K105" s="7" t="s">
        <v>857</v>
      </c>
      <c r="L105" s="7" t="s">
        <v>627</v>
      </c>
      <c r="M105" s="7" t="s">
        <v>628</v>
      </c>
      <c r="N105" s="7" t="s">
        <v>16</v>
      </c>
      <c r="O105" s="7" t="s">
        <v>75</v>
      </c>
      <c r="P105" s="7"/>
      <c r="Q105" s="7" t="s">
        <v>852</v>
      </c>
      <c r="R105" s="7" t="n">
        <f aca="false">VALUE(LEFT(Q105,4))</f>
        <v>1936</v>
      </c>
      <c r="S105" s="7" t="n">
        <f aca="false">VALUE(MID(Q105,6,2))</f>
        <v>3</v>
      </c>
      <c r="T105" s="7" t="n">
        <f aca="false">VALUE(RIGHT(Q105,2))</f>
        <v>12</v>
      </c>
      <c r="U105" s="7" t="s">
        <v>125</v>
      </c>
      <c r="V105" s="7" t="s">
        <v>126</v>
      </c>
    </row>
    <row r="106" customFormat="false" ht="15" hidden="false" customHeight="true" outlineLevel="0" collapsed="false">
      <c r="A106" s="7" t="n">
        <v>105</v>
      </c>
      <c r="B106" s="7" t="s">
        <v>858</v>
      </c>
      <c r="C106" s="7" t="s">
        <v>859</v>
      </c>
      <c r="D106" s="7" t="n">
        <f aca="false">VALUE(LEFT(B106,4))</f>
        <v>1936</v>
      </c>
      <c r="E106" s="7" t="n">
        <f aca="false">INT((D106-1)/100)+1</f>
        <v>20</v>
      </c>
      <c r="F106" s="7" t="s">
        <v>706</v>
      </c>
      <c r="G106" s="7" t="s">
        <v>860</v>
      </c>
      <c r="H106" s="7" t="s">
        <v>240</v>
      </c>
      <c r="I106" s="7" t="s">
        <v>861</v>
      </c>
      <c r="J106" s="7" t="s">
        <v>721</v>
      </c>
      <c r="K106" s="7" t="s">
        <v>862</v>
      </c>
      <c r="L106" s="7" t="s">
        <v>863</v>
      </c>
      <c r="M106" s="7"/>
      <c r="N106" s="7" t="s">
        <v>16</v>
      </c>
      <c r="O106" s="7" t="s">
        <v>75</v>
      </c>
      <c r="P106" s="7" t="s">
        <v>864</v>
      </c>
      <c r="Q106" s="7" t="s">
        <v>865</v>
      </c>
      <c r="R106" s="7" t="n">
        <f aca="false">VALUE(LEFT(Q106,4))</f>
        <v>1936</v>
      </c>
      <c r="S106" s="7" t="n">
        <f aca="false">VALUE(MID(Q106,6,2))</f>
        <v>7</v>
      </c>
      <c r="T106" s="7" t="n">
        <f aca="false">VALUE(RIGHT(Q106,2))</f>
        <v>16</v>
      </c>
      <c r="U106" s="7" t="s">
        <v>317</v>
      </c>
      <c r="V106" s="7" t="s">
        <v>318</v>
      </c>
    </row>
    <row r="107" customFormat="false" ht="23.25" hidden="false" customHeight="true" outlineLevel="0" collapsed="false">
      <c r="A107" s="7" t="n">
        <v>106</v>
      </c>
      <c r="B107" s="7" t="s">
        <v>866</v>
      </c>
      <c r="C107" s="7" t="s">
        <v>866</v>
      </c>
      <c r="D107" s="7" t="n">
        <f aca="false">VALUE(LEFT(B107,4))</f>
        <v>1938</v>
      </c>
      <c r="E107" s="7" t="n">
        <f aca="false">INT((D107-1)/100)+1</f>
        <v>20</v>
      </c>
      <c r="F107" s="7" t="s">
        <v>553</v>
      </c>
      <c r="G107" s="7" t="s">
        <v>867</v>
      </c>
      <c r="H107" s="7" t="s">
        <v>765</v>
      </c>
      <c r="I107" s="7" t="s">
        <v>868</v>
      </c>
      <c r="J107" s="7" t="s">
        <v>332</v>
      </c>
      <c r="K107" s="7" t="s">
        <v>869</v>
      </c>
      <c r="L107" s="7" t="s">
        <v>569</v>
      </c>
      <c r="M107" s="7"/>
      <c r="N107" s="7" t="s">
        <v>18</v>
      </c>
      <c r="O107" s="7" t="s">
        <v>94</v>
      </c>
      <c r="P107" s="7" t="s">
        <v>768</v>
      </c>
      <c r="Q107" s="7" t="s">
        <v>866</v>
      </c>
      <c r="R107" s="7" t="n">
        <f aca="false">VALUE(LEFT(Q107,4))</f>
        <v>1938</v>
      </c>
      <c r="S107" s="7" t="n">
        <f aca="false">VALUE(MID(Q107,6,2))</f>
        <v>1</v>
      </c>
      <c r="T107" s="7" t="n">
        <f aca="false">VALUE(RIGHT(Q107,2))</f>
        <v>27</v>
      </c>
      <c r="U107" s="7" t="s">
        <v>77</v>
      </c>
      <c r="V107" s="7" t="s">
        <v>78</v>
      </c>
    </row>
    <row r="108" customFormat="false" ht="23.25" hidden="false" customHeight="true" outlineLevel="0" collapsed="false">
      <c r="A108" s="7" t="n">
        <v>107</v>
      </c>
      <c r="B108" s="7" t="s">
        <v>870</v>
      </c>
      <c r="C108" s="7" t="s">
        <v>871</v>
      </c>
      <c r="D108" s="7" t="n">
        <f aca="false">VALUE(LEFT(B108,4))</f>
        <v>1938</v>
      </c>
      <c r="E108" s="7" t="n">
        <f aca="false">INT((D108-1)/100)+1</f>
        <v>20</v>
      </c>
      <c r="F108" s="7" t="s">
        <v>67</v>
      </c>
      <c r="G108" s="7" t="s">
        <v>872</v>
      </c>
      <c r="H108" s="7" t="s">
        <v>873</v>
      </c>
      <c r="I108" s="7" t="s">
        <v>874</v>
      </c>
      <c r="J108" s="7" t="s">
        <v>623</v>
      </c>
      <c r="K108" s="7" t="s">
        <v>875</v>
      </c>
      <c r="L108" s="7" t="s">
        <v>627</v>
      </c>
      <c r="M108" s="7" t="s">
        <v>628</v>
      </c>
      <c r="N108" s="7" t="s">
        <v>16</v>
      </c>
      <c r="O108" s="7" t="s">
        <v>75</v>
      </c>
      <c r="P108" s="7"/>
      <c r="Q108" s="7" t="s">
        <v>870</v>
      </c>
      <c r="R108" s="7" t="n">
        <f aca="false">VALUE(LEFT(Q108,4))</f>
        <v>1938</v>
      </c>
      <c r="S108" s="7" t="n">
        <f aca="false">VALUE(MID(Q108,6,2))</f>
        <v>9</v>
      </c>
      <c r="T108" s="7" t="n">
        <f aca="false">VALUE(RIGHT(Q108,2))</f>
        <v>21</v>
      </c>
      <c r="U108" s="7" t="s">
        <v>125</v>
      </c>
      <c r="V108" s="7" t="s">
        <v>126</v>
      </c>
    </row>
    <row r="109" customFormat="false" ht="34.5" hidden="false" customHeight="true" outlineLevel="0" collapsed="false">
      <c r="A109" s="7" t="n">
        <v>108</v>
      </c>
      <c r="B109" s="7" t="s">
        <v>876</v>
      </c>
      <c r="C109" s="7" t="s">
        <v>876</v>
      </c>
      <c r="D109" s="7" t="n">
        <f aca="false">VALUE(LEFT(B109,4))</f>
        <v>1939</v>
      </c>
      <c r="E109" s="7" t="n">
        <f aca="false">INT((D109-1)/100)+1</f>
        <v>20</v>
      </c>
      <c r="F109" s="7" t="s">
        <v>553</v>
      </c>
      <c r="G109" s="7" t="s">
        <v>877</v>
      </c>
      <c r="H109" s="7" t="s">
        <v>878</v>
      </c>
      <c r="I109" s="7" t="s">
        <v>879</v>
      </c>
      <c r="J109" s="7" t="s">
        <v>816</v>
      </c>
      <c r="K109" s="7" t="s">
        <v>880</v>
      </c>
      <c r="L109" s="7" t="s">
        <v>818</v>
      </c>
      <c r="M109" s="7" t="s">
        <v>819</v>
      </c>
      <c r="N109" s="7" t="s">
        <v>20</v>
      </c>
      <c r="O109" s="7" t="s">
        <v>75</v>
      </c>
      <c r="P109" s="7"/>
      <c r="Q109" s="7" t="s">
        <v>876</v>
      </c>
      <c r="R109" s="7" t="n">
        <f aca="false">VALUE(LEFT(Q109,4))</f>
        <v>1939</v>
      </c>
      <c r="S109" s="7" t="n">
        <f aca="false">VALUE(MID(Q109,6,2))</f>
        <v>2</v>
      </c>
      <c r="T109" s="7" t="n">
        <f aca="false">VALUE(RIGHT(Q109,2))</f>
        <v>17</v>
      </c>
      <c r="U109" s="7" t="s">
        <v>77</v>
      </c>
      <c r="V109" s="7" t="s">
        <v>78</v>
      </c>
    </row>
    <row r="110" customFormat="false" ht="23.25" hidden="false" customHeight="true" outlineLevel="0" collapsed="false">
      <c r="A110" s="7" t="n">
        <v>109</v>
      </c>
      <c r="B110" s="7" t="s">
        <v>881</v>
      </c>
      <c r="C110" s="7" t="s">
        <v>881</v>
      </c>
      <c r="D110" s="7" t="n">
        <f aca="false">VALUE(LEFT(B110,4))</f>
        <v>1940</v>
      </c>
      <c r="E110" s="7" t="n">
        <f aca="false">INT((D110-1)/100)+1</f>
        <v>20</v>
      </c>
      <c r="F110" s="7" t="s">
        <v>139</v>
      </c>
      <c r="G110" s="7" t="s">
        <v>882</v>
      </c>
      <c r="H110" s="7" t="s">
        <v>240</v>
      </c>
      <c r="I110" s="7" t="s">
        <v>883</v>
      </c>
      <c r="J110" s="7" t="s">
        <v>721</v>
      </c>
      <c r="K110" s="7" t="s">
        <v>884</v>
      </c>
      <c r="L110" s="7" t="s">
        <v>569</v>
      </c>
      <c r="M110" s="7"/>
      <c r="N110" s="7" t="s">
        <v>18</v>
      </c>
      <c r="O110" s="7" t="s">
        <v>94</v>
      </c>
      <c r="P110" s="7"/>
      <c r="Q110" s="7" t="s">
        <v>881</v>
      </c>
      <c r="R110" s="7" t="n">
        <f aca="false">VALUE(LEFT(Q110,4))</f>
        <v>1940</v>
      </c>
      <c r="S110" s="7" t="n">
        <f aca="false">VALUE(MID(Q110,6,2))</f>
        <v>2</v>
      </c>
      <c r="T110" s="7" t="n">
        <f aca="false">VALUE(RIGHT(Q110,2))</f>
        <v>14</v>
      </c>
      <c r="U110" s="7" t="s">
        <v>77</v>
      </c>
      <c r="V110" s="7" t="s">
        <v>78</v>
      </c>
    </row>
    <row r="111" customFormat="false" ht="23.25" hidden="false" customHeight="true" outlineLevel="0" collapsed="false">
      <c r="A111" s="7" t="n">
        <v>110</v>
      </c>
      <c r="B111" s="7" t="s">
        <v>885</v>
      </c>
      <c r="C111" s="7" t="s">
        <v>886</v>
      </c>
      <c r="D111" s="7" t="n">
        <f aca="false">VALUE(LEFT(B111,4))</f>
        <v>1942</v>
      </c>
      <c r="E111" s="7" t="n">
        <f aca="false">INT((D111-1)/100)+1</f>
        <v>20</v>
      </c>
      <c r="F111" s="7" t="s">
        <v>847</v>
      </c>
      <c r="G111" s="7" t="s">
        <v>887</v>
      </c>
      <c r="H111" s="7" t="s">
        <v>888</v>
      </c>
      <c r="I111" s="7" t="s">
        <v>889</v>
      </c>
      <c r="J111" s="7" t="s">
        <v>890</v>
      </c>
      <c r="K111" s="7" t="s">
        <v>891</v>
      </c>
      <c r="L111" s="7" t="s">
        <v>569</v>
      </c>
      <c r="M111" s="7"/>
      <c r="N111" s="7" t="s">
        <v>18</v>
      </c>
      <c r="O111" s="7" t="s">
        <v>94</v>
      </c>
      <c r="P111" s="7"/>
      <c r="Q111" s="7" t="s">
        <v>885</v>
      </c>
      <c r="R111" s="7" t="n">
        <f aca="false">VALUE(LEFT(Q111,4))</f>
        <v>1942</v>
      </c>
      <c r="S111" s="7" t="n">
        <f aca="false">VALUE(MID(Q111,6,2))</f>
        <v>5</v>
      </c>
      <c r="T111" s="7" t="n">
        <f aca="false">VALUE(RIGHT(Q111,2))</f>
        <v>22</v>
      </c>
      <c r="U111" s="7" t="s">
        <v>125</v>
      </c>
      <c r="V111" s="7" t="s">
        <v>126</v>
      </c>
    </row>
    <row r="112" customFormat="false" ht="23.25" hidden="false" customHeight="true" outlineLevel="0" collapsed="false">
      <c r="A112" s="7" t="n">
        <v>111</v>
      </c>
      <c r="B112" s="7" t="s">
        <v>892</v>
      </c>
      <c r="C112" s="7" t="s">
        <v>893</v>
      </c>
      <c r="D112" s="7" t="n">
        <f aca="false">VALUE(LEFT(B112,4))</f>
        <v>1942</v>
      </c>
      <c r="E112" s="7" t="n">
        <f aca="false">INT((D112-1)/100)+1</f>
        <v>20</v>
      </c>
      <c r="F112" s="7" t="s">
        <v>823</v>
      </c>
      <c r="G112" s="7" t="s">
        <v>894</v>
      </c>
      <c r="H112" s="7" t="s">
        <v>669</v>
      </c>
      <c r="I112" s="7" t="s">
        <v>895</v>
      </c>
      <c r="J112" s="7" t="s">
        <v>721</v>
      </c>
      <c r="K112" s="7"/>
      <c r="L112" s="7" t="s">
        <v>627</v>
      </c>
      <c r="M112" s="7" t="s">
        <v>628</v>
      </c>
      <c r="N112" s="7" t="s">
        <v>18</v>
      </c>
      <c r="O112" s="7" t="s">
        <v>75</v>
      </c>
      <c r="P112" s="7"/>
      <c r="Q112" s="7" t="s">
        <v>892</v>
      </c>
      <c r="R112" s="7" t="n">
        <f aca="false">VALUE(LEFT(Q112,4))</f>
        <v>1942</v>
      </c>
      <c r="S112" s="7" t="n">
        <f aca="false">VALUE(MID(Q112,6,2))</f>
        <v>12</v>
      </c>
      <c r="T112" s="7" t="n">
        <f aca="false">VALUE(RIGHT(Q112,2))</f>
        <v>29</v>
      </c>
      <c r="U112" s="7" t="s">
        <v>125</v>
      </c>
      <c r="V112" s="7" t="s">
        <v>126</v>
      </c>
    </row>
    <row r="113" customFormat="false" ht="23.25" hidden="false" customHeight="true" outlineLevel="0" collapsed="false">
      <c r="A113" s="7" t="n">
        <v>112</v>
      </c>
      <c r="B113" s="7" t="s">
        <v>896</v>
      </c>
      <c r="C113" s="7" t="s">
        <v>896</v>
      </c>
      <c r="D113" s="7" t="n">
        <f aca="false">VALUE(LEFT(B113,4))</f>
        <v>1943</v>
      </c>
      <c r="E113" s="7" t="n">
        <f aca="false">INT((D113-1)/100)+1</f>
        <v>20</v>
      </c>
      <c r="F113" s="7" t="s">
        <v>238</v>
      </c>
      <c r="G113" s="7" t="s">
        <v>897</v>
      </c>
      <c r="H113" s="7" t="s">
        <v>682</v>
      </c>
      <c r="I113" s="7" t="s">
        <v>898</v>
      </c>
      <c r="J113" s="7" t="s">
        <v>721</v>
      </c>
      <c r="K113" s="7"/>
      <c r="L113" s="7" t="s">
        <v>569</v>
      </c>
      <c r="M113" s="7"/>
      <c r="N113" s="7" t="s">
        <v>20</v>
      </c>
      <c r="O113" s="7" t="s">
        <v>94</v>
      </c>
      <c r="P113" s="7" t="s">
        <v>899</v>
      </c>
      <c r="Q113" s="7" t="s">
        <v>896</v>
      </c>
      <c r="R113" s="7" t="n">
        <f aca="false">VALUE(LEFT(Q113,4))</f>
        <v>1943</v>
      </c>
      <c r="S113" s="7" t="n">
        <f aca="false">VALUE(MID(Q113,6,2))</f>
        <v>2</v>
      </c>
      <c r="T113" s="7" t="n">
        <f aca="false">VALUE(RIGHT(Q113,2))</f>
        <v>15</v>
      </c>
      <c r="U113" s="7" t="s">
        <v>77</v>
      </c>
      <c r="V113" s="7" t="s">
        <v>78</v>
      </c>
    </row>
    <row r="114" customFormat="false" ht="15" hidden="false" customHeight="true" outlineLevel="0" collapsed="false">
      <c r="A114" s="7" t="n">
        <v>113</v>
      </c>
      <c r="B114" s="7" t="s">
        <v>900</v>
      </c>
      <c r="C114" s="7" t="s">
        <v>900</v>
      </c>
      <c r="D114" s="7" t="n">
        <f aca="false">VALUE(LEFT(B114,4))</f>
        <v>1944</v>
      </c>
      <c r="E114" s="7" t="n">
        <f aca="false">INT((D114-1)/100)+1</f>
        <v>20</v>
      </c>
      <c r="F114" s="7" t="s">
        <v>67</v>
      </c>
      <c r="G114" s="7" t="s">
        <v>901</v>
      </c>
      <c r="H114" s="7" t="s">
        <v>574</v>
      </c>
      <c r="I114" s="7" t="s">
        <v>902</v>
      </c>
      <c r="J114" s="7" t="s">
        <v>721</v>
      </c>
      <c r="K114" s="7"/>
      <c r="L114" s="7" t="s">
        <v>903</v>
      </c>
      <c r="M114" s="7"/>
      <c r="N114" s="7" t="s">
        <v>18</v>
      </c>
      <c r="O114" s="7" t="s">
        <v>94</v>
      </c>
      <c r="P114" s="7"/>
      <c r="Q114" s="7" t="s">
        <v>900</v>
      </c>
      <c r="R114" s="7" t="n">
        <f aca="false">VALUE(LEFT(Q114,4))</f>
        <v>1944</v>
      </c>
      <c r="S114" s="7" t="n">
        <f aca="false">VALUE(MID(Q114,6,2))</f>
        <v>9</v>
      </c>
      <c r="T114" s="7" t="n">
        <f aca="false">VALUE(RIGHT(Q114,2))</f>
        <v>14</v>
      </c>
      <c r="U114" s="7" t="s">
        <v>77</v>
      </c>
      <c r="V114" s="7" t="s">
        <v>78</v>
      </c>
    </row>
    <row r="115" customFormat="false" ht="23.25" hidden="false" customHeight="true" outlineLevel="0" collapsed="false">
      <c r="A115" s="7" t="n">
        <v>114</v>
      </c>
      <c r="B115" s="7" t="s">
        <v>904</v>
      </c>
      <c r="C115" s="7" t="s">
        <v>904</v>
      </c>
      <c r="D115" s="7" t="n">
        <f aca="false">VALUE(LEFT(B115,4))</f>
        <v>1945</v>
      </c>
      <c r="E115" s="7" t="n">
        <f aca="false">INT((D115-1)/100)+1</f>
        <v>20</v>
      </c>
      <c r="F115" s="7" t="s">
        <v>905</v>
      </c>
      <c r="G115" s="7" t="s">
        <v>906</v>
      </c>
      <c r="H115" s="7" t="s">
        <v>825</v>
      </c>
      <c r="I115" s="7" t="s">
        <v>907</v>
      </c>
      <c r="J115" s="7" t="s">
        <v>310</v>
      </c>
      <c r="K115" s="7" t="s">
        <v>908</v>
      </c>
      <c r="L115" s="7" t="s">
        <v>627</v>
      </c>
      <c r="M115" s="7" t="s">
        <v>628</v>
      </c>
      <c r="N115" s="7" t="s">
        <v>16</v>
      </c>
      <c r="O115" s="7" t="s">
        <v>75</v>
      </c>
      <c r="P115" s="7" t="s">
        <v>909</v>
      </c>
      <c r="Q115" s="7" t="s">
        <v>904</v>
      </c>
      <c r="R115" s="7" t="n">
        <f aca="false">VALUE(LEFT(Q115,4))</f>
        <v>1945</v>
      </c>
      <c r="S115" s="7" t="n">
        <f aca="false">VALUE(MID(Q115,6,2))</f>
        <v>5</v>
      </c>
      <c r="T115" s="7" t="n">
        <f aca="false">VALUE(RIGHT(Q115,2))</f>
        <v>10</v>
      </c>
      <c r="U115" s="7" t="s">
        <v>77</v>
      </c>
      <c r="V115" s="7" t="s">
        <v>78</v>
      </c>
    </row>
    <row r="116" customFormat="false" ht="23.25" hidden="false" customHeight="true" outlineLevel="0" collapsed="false">
      <c r="A116" s="7" t="n">
        <v>115</v>
      </c>
      <c r="B116" s="7" t="s">
        <v>910</v>
      </c>
      <c r="C116" s="7" t="s">
        <v>910</v>
      </c>
      <c r="D116" s="7" t="n">
        <f aca="false">VALUE(LEFT(B116,4))</f>
        <v>1945</v>
      </c>
      <c r="E116" s="7" t="n">
        <f aca="false">INT((D116-1)/100)+1</f>
        <v>20</v>
      </c>
      <c r="F116" s="7" t="s">
        <v>847</v>
      </c>
      <c r="G116" s="7" t="s">
        <v>911</v>
      </c>
      <c r="H116" s="7" t="s">
        <v>912</v>
      </c>
      <c r="I116" s="7" t="s">
        <v>913</v>
      </c>
      <c r="J116" s="7" t="s">
        <v>914</v>
      </c>
      <c r="K116" s="7" t="s">
        <v>915</v>
      </c>
      <c r="L116" s="7" t="s">
        <v>627</v>
      </c>
      <c r="M116" s="7" t="s">
        <v>628</v>
      </c>
      <c r="N116" s="7" t="s">
        <v>16</v>
      </c>
      <c r="O116" s="7" t="s">
        <v>75</v>
      </c>
      <c r="P116" s="7"/>
      <c r="Q116" s="7" t="s">
        <v>910</v>
      </c>
      <c r="R116" s="7" t="n">
        <f aca="false">VALUE(LEFT(Q116,4))</f>
        <v>1945</v>
      </c>
      <c r="S116" s="7" t="n">
        <f aca="false">VALUE(MID(Q116,6,2))</f>
        <v>10</v>
      </c>
      <c r="T116" s="7" t="n">
        <f aca="false">VALUE(RIGHT(Q116,2))</f>
        <v>2</v>
      </c>
      <c r="U116" s="7" t="s">
        <v>77</v>
      </c>
      <c r="V116" s="7" t="s">
        <v>78</v>
      </c>
    </row>
    <row r="117" customFormat="false" ht="23.25" hidden="false" customHeight="true" outlineLevel="0" collapsed="false">
      <c r="A117" s="7" t="n">
        <v>116</v>
      </c>
      <c r="B117" s="7" t="s">
        <v>916</v>
      </c>
      <c r="C117" s="7" t="s">
        <v>916</v>
      </c>
      <c r="D117" s="7" t="n">
        <f aca="false">VALUE(LEFT(B117,4))</f>
        <v>1947</v>
      </c>
      <c r="E117" s="7" t="n">
        <f aca="false">INT((D117-1)/100)+1</f>
        <v>20</v>
      </c>
      <c r="F117" s="7" t="s">
        <v>139</v>
      </c>
      <c r="G117" s="7" t="s">
        <v>917</v>
      </c>
      <c r="H117" s="7" t="s">
        <v>120</v>
      </c>
      <c r="I117" s="7" t="s">
        <v>918</v>
      </c>
      <c r="J117" s="7" t="s">
        <v>919</v>
      </c>
      <c r="K117" s="7" t="s">
        <v>920</v>
      </c>
      <c r="L117" s="7" t="s">
        <v>569</v>
      </c>
      <c r="M117" s="7"/>
      <c r="N117" s="7" t="s">
        <v>18</v>
      </c>
      <c r="O117" s="7" t="s">
        <v>94</v>
      </c>
      <c r="P117" s="7"/>
      <c r="Q117" s="7" t="s">
        <v>916</v>
      </c>
      <c r="R117" s="7" t="n">
        <f aca="false">VALUE(LEFT(Q117,4))</f>
        <v>1947</v>
      </c>
      <c r="S117" s="7" t="n">
        <f aca="false">VALUE(MID(Q117,6,2))</f>
        <v>12</v>
      </c>
      <c r="T117" s="7" t="n">
        <f aca="false">VALUE(RIGHT(Q117,2))</f>
        <v>26</v>
      </c>
      <c r="U117" s="7" t="s">
        <v>77</v>
      </c>
      <c r="V117" s="7" t="s">
        <v>78</v>
      </c>
    </row>
    <row r="118" customFormat="false" ht="34.5" hidden="false" customHeight="true" outlineLevel="0" collapsed="false">
      <c r="A118" s="7" t="n">
        <v>117</v>
      </c>
      <c r="B118" s="7" t="s">
        <v>921</v>
      </c>
      <c r="C118" s="7" t="s">
        <v>921</v>
      </c>
      <c r="D118" s="7" t="n">
        <f aca="false">VALUE(LEFT(B118,4))</f>
        <v>1948</v>
      </c>
      <c r="E118" s="7" t="n">
        <f aca="false">INT((D118-1)/100)+1</f>
        <v>20</v>
      </c>
      <c r="F118" s="7" t="s">
        <v>553</v>
      </c>
      <c r="G118" s="7" t="s">
        <v>922</v>
      </c>
      <c r="H118" s="7" t="s">
        <v>923</v>
      </c>
      <c r="I118" s="7" t="s">
        <v>924</v>
      </c>
      <c r="J118" s="7" t="s">
        <v>816</v>
      </c>
      <c r="K118" s="7" t="s">
        <v>925</v>
      </c>
      <c r="L118" s="7" t="s">
        <v>818</v>
      </c>
      <c r="M118" s="7" t="s">
        <v>819</v>
      </c>
      <c r="N118" s="7" t="s">
        <v>20</v>
      </c>
      <c r="O118" s="7" t="s">
        <v>75</v>
      </c>
      <c r="P118" s="7"/>
      <c r="Q118" s="7" t="s">
        <v>921</v>
      </c>
      <c r="R118" s="7" t="n">
        <f aca="false">VALUE(LEFT(Q118,4))</f>
        <v>1948</v>
      </c>
      <c r="S118" s="7" t="n">
        <f aca="false">VALUE(MID(Q118,6,2))</f>
        <v>3</v>
      </c>
      <c r="T118" s="7" t="n">
        <f aca="false">VALUE(RIGHT(Q118,2))</f>
        <v>17</v>
      </c>
      <c r="U118" s="7" t="s">
        <v>77</v>
      </c>
      <c r="V118" s="7" t="s">
        <v>78</v>
      </c>
    </row>
    <row r="119" customFormat="false" ht="23.25" hidden="false" customHeight="true" outlineLevel="0" collapsed="false">
      <c r="A119" s="7" t="n">
        <v>118</v>
      </c>
      <c r="B119" s="7" t="s">
        <v>926</v>
      </c>
      <c r="C119" s="7" t="s">
        <v>927</v>
      </c>
      <c r="D119" s="7" t="n">
        <f aca="false">VALUE(LEFT(B119,4))</f>
        <v>1948</v>
      </c>
      <c r="E119" s="7" t="n">
        <f aca="false">INT((D119-1)/100)+1</f>
        <v>20</v>
      </c>
      <c r="F119" s="7" t="s">
        <v>928</v>
      </c>
      <c r="G119" s="7" t="s">
        <v>929</v>
      </c>
      <c r="H119" s="7" t="s">
        <v>930</v>
      </c>
      <c r="I119" s="7" t="s">
        <v>931</v>
      </c>
      <c r="J119" s="7" t="s">
        <v>623</v>
      </c>
      <c r="K119" s="7" t="s">
        <v>932</v>
      </c>
      <c r="L119" s="7" t="s">
        <v>627</v>
      </c>
      <c r="M119" s="7" t="s">
        <v>628</v>
      </c>
      <c r="N119" s="7" t="s">
        <v>16</v>
      </c>
      <c r="O119" s="7" t="s">
        <v>75</v>
      </c>
      <c r="P119" s="7"/>
      <c r="Q119" s="7" t="s">
        <v>926</v>
      </c>
      <c r="R119" s="7" t="n">
        <f aca="false">VALUE(LEFT(Q119,4))</f>
        <v>1948</v>
      </c>
      <c r="S119" s="7" t="n">
        <f aca="false">VALUE(MID(Q119,6,2))</f>
        <v>12</v>
      </c>
      <c r="T119" s="7" t="n">
        <f aca="false">VALUE(RIGHT(Q119,2))</f>
        <v>31</v>
      </c>
      <c r="U119" s="7" t="s">
        <v>125</v>
      </c>
      <c r="V119" s="7" t="s">
        <v>126</v>
      </c>
    </row>
    <row r="120" customFormat="false" ht="23.25" hidden="false" customHeight="true" outlineLevel="0" collapsed="false">
      <c r="A120" s="7" t="n">
        <v>119</v>
      </c>
      <c r="B120" s="7" t="s">
        <v>933</v>
      </c>
      <c r="C120" s="7" t="s">
        <v>934</v>
      </c>
      <c r="D120" s="7" t="n">
        <f aca="false">VALUE(LEFT(B120,4))</f>
        <v>1950</v>
      </c>
      <c r="E120" s="7" t="n">
        <f aca="false">INT((D120-1)/100)+1</f>
        <v>20</v>
      </c>
      <c r="F120" s="7" t="s">
        <v>935</v>
      </c>
      <c r="G120" s="7" t="s">
        <v>936</v>
      </c>
      <c r="H120" s="7" t="s">
        <v>669</v>
      </c>
      <c r="I120" s="7" t="s">
        <v>937</v>
      </c>
      <c r="J120" s="7" t="s">
        <v>310</v>
      </c>
      <c r="K120" s="7" t="s">
        <v>938</v>
      </c>
      <c r="L120" s="7" t="s">
        <v>627</v>
      </c>
      <c r="M120" s="7" t="s">
        <v>628</v>
      </c>
      <c r="N120" s="7" t="s">
        <v>16</v>
      </c>
      <c r="O120" s="7" t="s">
        <v>75</v>
      </c>
      <c r="P120" s="7" t="s">
        <v>939</v>
      </c>
      <c r="Q120" s="7" t="s">
        <v>933</v>
      </c>
      <c r="R120" s="7" t="n">
        <f aca="false">VALUE(LEFT(Q120,4))</f>
        <v>1950</v>
      </c>
      <c r="S120" s="7" t="n">
        <f aca="false">VALUE(MID(Q120,6,2))</f>
        <v>11</v>
      </c>
      <c r="T120" s="7" t="n">
        <f aca="false">VALUE(RIGHT(Q120,2))</f>
        <v>24</v>
      </c>
      <c r="U120" s="7" t="s">
        <v>125</v>
      </c>
      <c r="V120" s="7" t="s">
        <v>126</v>
      </c>
    </row>
    <row r="121" customFormat="false" ht="15" hidden="false" customHeight="true" outlineLevel="0" collapsed="false">
      <c r="A121" s="7" t="n">
        <v>120</v>
      </c>
      <c r="B121" s="7" t="s">
        <v>940</v>
      </c>
      <c r="C121" s="7" t="s">
        <v>940</v>
      </c>
      <c r="D121" s="7" t="n">
        <f aca="false">VALUE(LEFT(B121,4))</f>
        <v>1954</v>
      </c>
      <c r="E121" s="7" t="n">
        <f aca="false">INT((D121-1)/100)+1</f>
        <v>20</v>
      </c>
      <c r="F121" s="7" t="s">
        <v>67</v>
      </c>
      <c r="G121" s="7" t="s">
        <v>941</v>
      </c>
      <c r="H121" s="7" t="s">
        <v>669</v>
      </c>
      <c r="I121" s="7" t="s">
        <v>942</v>
      </c>
      <c r="J121" s="7" t="s">
        <v>721</v>
      </c>
      <c r="K121" s="7" t="s">
        <v>943</v>
      </c>
      <c r="L121" s="7" t="s">
        <v>903</v>
      </c>
      <c r="M121" s="7"/>
      <c r="N121" s="7" t="s">
        <v>18</v>
      </c>
      <c r="O121" s="7" t="s">
        <v>94</v>
      </c>
      <c r="P121" s="7"/>
      <c r="Q121" s="7" t="s">
        <v>940</v>
      </c>
      <c r="R121" s="7" t="n">
        <f aca="false">VALUE(LEFT(Q121,4))</f>
        <v>1954</v>
      </c>
      <c r="S121" s="7" t="n">
        <f aca="false">VALUE(MID(Q121,6,2))</f>
        <v>10</v>
      </c>
      <c r="T121" s="7" t="n">
        <f aca="false">VALUE(RIGHT(Q121,2))</f>
        <v>15</v>
      </c>
      <c r="U121" s="7" t="s">
        <v>77</v>
      </c>
      <c r="V121" s="7" t="s">
        <v>78</v>
      </c>
    </row>
    <row r="122" customFormat="false" ht="23.25" hidden="false" customHeight="true" outlineLevel="0" collapsed="false">
      <c r="A122" s="7" t="n">
        <v>121</v>
      </c>
      <c r="B122" s="7" t="s">
        <v>944</v>
      </c>
      <c r="C122" s="7" t="s">
        <v>945</v>
      </c>
      <c r="D122" s="7" t="n">
        <f aca="false">VALUE(LEFT(B122,4))</f>
        <v>1955</v>
      </c>
      <c r="E122" s="7" t="n">
        <f aca="false">INT((D122-1)/100)+1</f>
        <v>20</v>
      </c>
      <c r="F122" s="7" t="s">
        <v>97</v>
      </c>
      <c r="G122" s="7" t="s">
        <v>946</v>
      </c>
      <c r="H122" s="7" t="s">
        <v>947</v>
      </c>
      <c r="I122" s="7" t="s">
        <v>948</v>
      </c>
      <c r="J122" s="7" t="s">
        <v>949</v>
      </c>
      <c r="K122" s="7" t="s">
        <v>950</v>
      </c>
      <c r="L122" s="7" t="s">
        <v>627</v>
      </c>
      <c r="M122" s="7" t="s">
        <v>628</v>
      </c>
      <c r="N122" s="7" t="s">
        <v>16</v>
      </c>
      <c r="O122" s="7" t="s">
        <v>75</v>
      </c>
      <c r="P122" s="7"/>
      <c r="Q122" s="7" t="s">
        <v>944</v>
      </c>
      <c r="R122" s="7" t="n">
        <f aca="false">VALUE(LEFT(Q122,4))</f>
        <v>1955</v>
      </c>
      <c r="S122" s="7" t="n">
        <f aca="false">VALUE(MID(Q122,6,2))</f>
        <v>8</v>
      </c>
      <c r="T122" s="7" t="n">
        <f aca="false">VALUE(RIGHT(Q122,2))</f>
        <v>12</v>
      </c>
      <c r="U122" s="7" t="s">
        <v>125</v>
      </c>
      <c r="V122" s="7" t="s">
        <v>126</v>
      </c>
    </row>
    <row r="123" customFormat="false" ht="23.25" hidden="false" customHeight="true" outlineLevel="0" collapsed="false">
      <c r="A123" s="7" t="n">
        <v>122</v>
      </c>
      <c r="B123" s="7" t="s">
        <v>951</v>
      </c>
      <c r="C123" s="7" t="s">
        <v>952</v>
      </c>
      <c r="D123" s="7" t="n">
        <f aca="false">VALUE(LEFT(B123,4))</f>
        <v>1955</v>
      </c>
      <c r="E123" s="7" t="n">
        <f aca="false">INT((D123-1)/100)+1</f>
        <v>20</v>
      </c>
      <c r="F123" s="7" t="s">
        <v>129</v>
      </c>
      <c r="G123" s="7" t="s">
        <v>953</v>
      </c>
      <c r="H123" s="7" t="s">
        <v>954</v>
      </c>
      <c r="I123" s="7" t="s">
        <v>955</v>
      </c>
      <c r="J123" s="7" t="s">
        <v>956</v>
      </c>
      <c r="K123" s="7" t="s">
        <v>957</v>
      </c>
      <c r="L123" s="7" t="s">
        <v>627</v>
      </c>
      <c r="M123" s="7" t="s">
        <v>628</v>
      </c>
      <c r="N123" s="7" t="s">
        <v>16</v>
      </c>
      <c r="O123" s="7" t="s">
        <v>75</v>
      </c>
      <c r="P123" s="7"/>
      <c r="Q123" s="7" t="s">
        <v>951</v>
      </c>
      <c r="R123" s="7" t="n">
        <f aca="false">VALUE(LEFT(Q123,4))</f>
        <v>1955</v>
      </c>
      <c r="S123" s="7" t="n">
        <f aca="false">VALUE(MID(Q123,6,2))</f>
        <v>10</v>
      </c>
      <c r="T123" s="7" t="n">
        <f aca="false">VALUE(RIGHT(Q123,2))</f>
        <v>14</v>
      </c>
      <c r="U123" s="7" t="s">
        <v>125</v>
      </c>
      <c r="V123" s="7" t="s">
        <v>126</v>
      </c>
    </row>
    <row r="124" customFormat="false" ht="23.25" hidden="false" customHeight="true" outlineLevel="0" collapsed="false">
      <c r="A124" s="7" t="n">
        <v>123</v>
      </c>
      <c r="B124" s="7" t="s">
        <v>958</v>
      </c>
      <c r="C124" s="7" t="s">
        <v>959</v>
      </c>
      <c r="D124" s="7" t="n">
        <f aca="false">VALUE(LEFT(B124,4))</f>
        <v>1958</v>
      </c>
      <c r="E124" s="7" t="n">
        <f aca="false">INT((D124-1)/100)+1</f>
        <v>20</v>
      </c>
      <c r="F124" s="7" t="s">
        <v>219</v>
      </c>
      <c r="G124" s="7" t="s">
        <v>960</v>
      </c>
      <c r="H124" s="7" t="s">
        <v>961</v>
      </c>
      <c r="I124" s="7" t="s">
        <v>962</v>
      </c>
      <c r="J124" s="7" t="s">
        <v>310</v>
      </c>
      <c r="K124" s="7" t="s">
        <v>963</v>
      </c>
      <c r="L124" s="7" t="s">
        <v>627</v>
      </c>
      <c r="M124" s="7" t="s">
        <v>628</v>
      </c>
      <c r="N124" s="7" t="s">
        <v>16</v>
      </c>
      <c r="O124" s="7" t="s">
        <v>75</v>
      </c>
      <c r="P124" s="7"/>
      <c r="Q124" s="7" t="s">
        <v>958</v>
      </c>
      <c r="R124" s="7" t="n">
        <f aca="false">VALUE(LEFT(Q124,4))</f>
        <v>1958</v>
      </c>
      <c r="S124" s="7" t="n">
        <f aca="false">VALUE(MID(Q124,6,2))</f>
        <v>2</v>
      </c>
      <c r="T124" s="7" t="n">
        <f aca="false">VALUE(RIGHT(Q124,2))</f>
        <v>15</v>
      </c>
      <c r="U124" s="7" t="s">
        <v>125</v>
      </c>
      <c r="V124" s="7" t="s">
        <v>126</v>
      </c>
    </row>
    <row r="125" customFormat="false" ht="23.25" hidden="false" customHeight="true" outlineLevel="0" collapsed="false">
      <c r="A125" s="7" t="n">
        <v>124</v>
      </c>
      <c r="B125" s="7" t="s">
        <v>964</v>
      </c>
      <c r="C125" s="7" t="s">
        <v>965</v>
      </c>
      <c r="D125" s="7" t="n">
        <f aca="false">VALUE(LEFT(B125,4))</f>
        <v>1958</v>
      </c>
      <c r="E125" s="7" t="n">
        <f aca="false">INT((D125-1)/100)+1</f>
        <v>20</v>
      </c>
      <c r="F125" s="7" t="s">
        <v>966</v>
      </c>
      <c r="G125" s="7" t="s">
        <v>967</v>
      </c>
      <c r="H125" s="7" t="s">
        <v>968</v>
      </c>
      <c r="I125" s="7" t="s">
        <v>969</v>
      </c>
      <c r="J125" s="7" t="s">
        <v>721</v>
      </c>
      <c r="K125" s="7" t="s">
        <v>970</v>
      </c>
      <c r="L125" s="7" t="s">
        <v>569</v>
      </c>
      <c r="M125" s="7"/>
      <c r="N125" s="7" t="s">
        <v>18</v>
      </c>
      <c r="O125" s="7" t="s">
        <v>94</v>
      </c>
      <c r="P125" s="7"/>
      <c r="Q125" s="7" t="s">
        <v>964</v>
      </c>
      <c r="R125" s="7" t="n">
        <f aca="false">VALUE(LEFT(Q125,4))</f>
        <v>1958</v>
      </c>
      <c r="S125" s="7" t="n">
        <f aca="false">VALUE(MID(Q125,6,2))</f>
        <v>3</v>
      </c>
      <c r="T125" s="7" t="n">
        <f aca="false">VALUE(RIGHT(Q125,2))</f>
        <v>19</v>
      </c>
      <c r="U125" s="7" t="s">
        <v>125</v>
      </c>
      <c r="V125" s="7" t="s">
        <v>126</v>
      </c>
    </row>
    <row r="126" customFormat="false" ht="23.25" hidden="false" customHeight="true" outlineLevel="0" collapsed="false">
      <c r="A126" s="7" t="n">
        <v>125</v>
      </c>
      <c r="B126" s="7" t="s">
        <v>971</v>
      </c>
      <c r="C126" s="7" t="s">
        <v>971</v>
      </c>
      <c r="D126" s="7" t="n">
        <f aca="false">VALUE(LEFT(B126,4))</f>
        <v>1960</v>
      </c>
      <c r="E126" s="7" t="n">
        <f aca="false">INT((D126-1)/100)+1</f>
        <v>20</v>
      </c>
      <c r="F126" s="7" t="s">
        <v>771</v>
      </c>
      <c r="G126" s="7" t="s">
        <v>972</v>
      </c>
      <c r="H126" s="7" t="s">
        <v>973</v>
      </c>
      <c r="I126" s="7" t="s">
        <v>974</v>
      </c>
      <c r="J126" s="7" t="s">
        <v>975</v>
      </c>
      <c r="K126" s="7"/>
      <c r="L126" s="7" t="s">
        <v>976</v>
      </c>
      <c r="M126" s="7" t="s">
        <v>977</v>
      </c>
      <c r="N126" s="7" t="s">
        <v>16</v>
      </c>
      <c r="O126" s="7" t="s">
        <v>75</v>
      </c>
      <c r="P126" s="7"/>
      <c r="Q126" s="7" t="s">
        <v>971</v>
      </c>
      <c r="R126" s="7" t="n">
        <f aca="false">VALUE(LEFT(Q126,4))</f>
        <v>1960</v>
      </c>
      <c r="S126" s="7" t="n">
        <f aca="false">VALUE(MID(Q126,6,2))</f>
        <v>4</v>
      </c>
      <c r="T126" s="7" t="n">
        <f aca="false">VALUE(RIGHT(Q126,2))</f>
        <v>5</v>
      </c>
      <c r="U126" s="7" t="s">
        <v>77</v>
      </c>
      <c r="V126" s="7" t="s">
        <v>78</v>
      </c>
    </row>
    <row r="127" customFormat="false" ht="23.25" hidden="false" customHeight="true" outlineLevel="0" collapsed="false">
      <c r="A127" s="7" t="n">
        <v>126</v>
      </c>
      <c r="B127" s="7" t="s">
        <v>978</v>
      </c>
      <c r="C127" s="7" t="s">
        <v>978</v>
      </c>
      <c r="D127" s="7" t="n">
        <f aca="false">VALUE(LEFT(B127,4))</f>
        <v>1960</v>
      </c>
      <c r="E127" s="7" t="n">
        <f aca="false">INT((D127-1)/100)+1</f>
        <v>20</v>
      </c>
      <c r="F127" s="7" t="s">
        <v>979</v>
      </c>
      <c r="G127" s="7" t="s">
        <v>980</v>
      </c>
      <c r="H127" s="7" t="s">
        <v>981</v>
      </c>
      <c r="I127" s="7" t="s">
        <v>982</v>
      </c>
      <c r="J127" s="7" t="s">
        <v>983</v>
      </c>
      <c r="K127" s="7" t="s">
        <v>984</v>
      </c>
      <c r="L127" s="7" t="s">
        <v>985</v>
      </c>
      <c r="M127" s="7" t="s">
        <v>986</v>
      </c>
      <c r="N127" s="7" t="s">
        <v>16</v>
      </c>
      <c r="O127" s="7" t="s">
        <v>75</v>
      </c>
      <c r="P127" s="7"/>
      <c r="Q127" s="7" t="s">
        <v>978</v>
      </c>
      <c r="R127" s="7" t="n">
        <f aca="false">VALUE(LEFT(Q127,4))</f>
        <v>1960</v>
      </c>
      <c r="S127" s="7" t="n">
        <f aca="false">VALUE(MID(Q127,6,2))</f>
        <v>6</v>
      </c>
      <c r="T127" s="7" t="n">
        <f aca="false">VALUE(RIGHT(Q127,2))</f>
        <v>24</v>
      </c>
      <c r="U127" s="7" t="s">
        <v>77</v>
      </c>
      <c r="V127" s="7" t="s">
        <v>78</v>
      </c>
    </row>
    <row r="128" customFormat="false" ht="23.25" hidden="false" customHeight="true" outlineLevel="0" collapsed="false">
      <c r="A128" s="7" t="n">
        <v>127</v>
      </c>
      <c r="B128" s="7" t="s">
        <v>987</v>
      </c>
      <c r="C128" s="7" t="s">
        <v>988</v>
      </c>
      <c r="D128" s="7" t="n">
        <f aca="false">VALUE(LEFT(B128,4))</f>
        <v>1961</v>
      </c>
      <c r="E128" s="7" t="n">
        <f aca="false">INT((D128-1)/100)+1</f>
        <v>20</v>
      </c>
      <c r="F128" s="7" t="s">
        <v>219</v>
      </c>
      <c r="G128" s="7" t="s">
        <v>989</v>
      </c>
      <c r="H128" s="7" t="s">
        <v>961</v>
      </c>
      <c r="I128" s="7" t="s">
        <v>990</v>
      </c>
      <c r="J128" s="7" t="s">
        <v>721</v>
      </c>
      <c r="K128" s="7"/>
      <c r="L128" s="7" t="s">
        <v>569</v>
      </c>
      <c r="M128" s="7"/>
      <c r="N128" s="7" t="s">
        <v>18</v>
      </c>
      <c r="O128" s="7" t="s">
        <v>94</v>
      </c>
      <c r="P128" s="7"/>
      <c r="Q128" s="7" t="s">
        <v>987</v>
      </c>
      <c r="R128" s="7" t="n">
        <f aca="false">VALUE(LEFT(Q128,4))</f>
        <v>1961</v>
      </c>
      <c r="S128" s="7" t="n">
        <f aca="false">VALUE(MID(Q128,6,2))</f>
        <v>2</v>
      </c>
      <c r="T128" s="7" t="n">
        <f aca="false">VALUE(RIGHT(Q128,2))</f>
        <v>3</v>
      </c>
      <c r="U128" s="7" t="s">
        <v>125</v>
      </c>
      <c r="V128" s="7" t="s">
        <v>126</v>
      </c>
    </row>
    <row r="129" customFormat="false" ht="45.75" hidden="false" customHeight="true" outlineLevel="0" collapsed="false">
      <c r="A129" s="7" t="n">
        <v>128</v>
      </c>
      <c r="B129" s="7" t="s">
        <v>991</v>
      </c>
      <c r="C129" s="7" t="s">
        <v>992</v>
      </c>
      <c r="D129" s="7" t="n">
        <f aca="false">VALUE(LEFT(B129,4))</f>
        <v>1962</v>
      </c>
      <c r="E129" s="7" t="n">
        <f aca="false">INT((D129-1)/100)+1</f>
        <v>20</v>
      </c>
      <c r="F129" s="7" t="s">
        <v>833</v>
      </c>
      <c r="G129" s="7" t="s">
        <v>993</v>
      </c>
      <c r="H129" s="7" t="s">
        <v>240</v>
      </c>
      <c r="I129" s="7" t="s">
        <v>994</v>
      </c>
      <c r="J129" s="7" t="s">
        <v>721</v>
      </c>
      <c r="K129" s="7" t="s">
        <v>995</v>
      </c>
      <c r="L129" s="7" t="s">
        <v>569</v>
      </c>
      <c r="M129" s="7"/>
      <c r="N129" s="7" t="s">
        <v>18</v>
      </c>
      <c r="O129" s="7" t="s">
        <v>94</v>
      </c>
      <c r="P129" s="7"/>
      <c r="Q129" s="7" t="s">
        <v>996</v>
      </c>
      <c r="R129" s="7" t="n">
        <f aca="false">VALUE(LEFT(Q129,4))</f>
        <v>1965</v>
      </c>
      <c r="S129" s="7" t="n">
        <f aca="false">VALUE(MID(Q129,6,2))</f>
        <v>8</v>
      </c>
      <c r="T129" s="7" t="n">
        <f aca="false">VALUE(RIGHT(Q129,2))</f>
        <v>15</v>
      </c>
      <c r="U129" s="7" t="s">
        <v>114</v>
      </c>
      <c r="V129" s="7" t="s">
        <v>997</v>
      </c>
    </row>
    <row r="130" customFormat="false" ht="23.25" hidden="false" customHeight="true" outlineLevel="0" collapsed="false">
      <c r="A130" s="7" t="n">
        <v>129</v>
      </c>
      <c r="B130" s="7" t="s">
        <v>998</v>
      </c>
      <c r="C130" s="7" t="s">
        <v>999</v>
      </c>
      <c r="D130" s="7" t="n">
        <f aca="false">VALUE(LEFT(B130,4))</f>
        <v>1964</v>
      </c>
      <c r="E130" s="7" t="n">
        <f aca="false">INT((D130-1)/100)+1</f>
        <v>20</v>
      </c>
      <c r="F130" s="7" t="s">
        <v>219</v>
      </c>
      <c r="G130" s="7" t="s">
        <v>1000</v>
      </c>
      <c r="H130" s="7" t="s">
        <v>961</v>
      </c>
      <c r="I130" s="7" t="s">
        <v>1001</v>
      </c>
      <c r="J130" s="7" t="s">
        <v>310</v>
      </c>
      <c r="K130" s="7" t="s">
        <v>1002</v>
      </c>
      <c r="L130" s="7" t="s">
        <v>627</v>
      </c>
      <c r="M130" s="7" t="s">
        <v>628</v>
      </c>
      <c r="N130" s="7" t="s">
        <v>16</v>
      </c>
      <c r="O130" s="7" t="s">
        <v>75</v>
      </c>
      <c r="P130" s="7"/>
      <c r="Q130" s="7" t="s">
        <v>998</v>
      </c>
      <c r="R130" s="7" t="n">
        <f aca="false">VALUE(LEFT(Q130,4))</f>
        <v>1964</v>
      </c>
      <c r="S130" s="7" t="n">
        <f aca="false">VALUE(MID(Q130,6,2))</f>
        <v>1</v>
      </c>
      <c r="T130" s="7" t="n">
        <f aca="false">VALUE(RIGHT(Q130,2))</f>
        <v>13</v>
      </c>
      <c r="U130" s="7" t="s">
        <v>125</v>
      </c>
      <c r="V130" s="7" t="s">
        <v>126</v>
      </c>
    </row>
    <row r="131" customFormat="false" ht="23.25" hidden="false" customHeight="true" outlineLevel="0" collapsed="false">
      <c r="A131" s="7" t="n">
        <v>130</v>
      </c>
      <c r="B131" s="7" t="s">
        <v>1003</v>
      </c>
      <c r="C131" s="7" t="s">
        <v>1003</v>
      </c>
      <c r="D131" s="7" t="n">
        <f aca="false">VALUE(LEFT(B131,4))</f>
        <v>1964</v>
      </c>
      <c r="E131" s="7" t="n">
        <f aca="false">INT((D131-1)/100)+1</f>
        <v>20</v>
      </c>
      <c r="F131" s="7" t="s">
        <v>553</v>
      </c>
      <c r="G131" s="7" t="s">
        <v>1004</v>
      </c>
      <c r="H131" s="7" t="s">
        <v>1005</v>
      </c>
      <c r="I131" s="7" t="s">
        <v>1006</v>
      </c>
      <c r="J131" s="7" t="s">
        <v>1007</v>
      </c>
      <c r="K131" s="7" t="s">
        <v>1008</v>
      </c>
      <c r="L131" s="7" t="s">
        <v>1009</v>
      </c>
      <c r="M131" s="7" t="s">
        <v>1010</v>
      </c>
      <c r="N131" s="7" t="s">
        <v>16</v>
      </c>
      <c r="O131" s="7" t="s">
        <v>75</v>
      </c>
      <c r="P131" s="7" t="s">
        <v>1011</v>
      </c>
      <c r="Q131" s="7" t="s">
        <v>1003</v>
      </c>
      <c r="R131" s="7" t="n">
        <f aca="false">VALUE(LEFT(Q131,4))</f>
        <v>1964</v>
      </c>
      <c r="S131" s="7" t="n">
        <f aca="false">VALUE(MID(Q131,6,2))</f>
        <v>3</v>
      </c>
      <c r="T131" s="7" t="n">
        <f aca="false">VALUE(RIGHT(Q131,2))</f>
        <v>6</v>
      </c>
      <c r="U131" s="7" t="s">
        <v>77</v>
      </c>
      <c r="V131" s="7" t="s">
        <v>78</v>
      </c>
    </row>
    <row r="132" customFormat="false" ht="23.25" hidden="false" customHeight="true" outlineLevel="0" collapsed="false">
      <c r="A132" s="7" t="n">
        <v>131</v>
      </c>
      <c r="B132" s="7" t="s">
        <v>1012</v>
      </c>
      <c r="C132" s="7" t="s">
        <v>1013</v>
      </c>
      <c r="D132" s="7" t="n">
        <f aca="false">VALUE(LEFT(B132,4))</f>
        <v>1964</v>
      </c>
      <c r="E132" s="7" t="n">
        <f aca="false">INT((D132-1)/100)+1</f>
        <v>20</v>
      </c>
      <c r="F132" s="7" t="s">
        <v>823</v>
      </c>
      <c r="G132" s="7" t="s">
        <v>1014</v>
      </c>
      <c r="H132" s="7" t="s">
        <v>1015</v>
      </c>
      <c r="I132" s="7" t="s">
        <v>1016</v>
      </c>
      <c r="J132" s="7" t="s">
        <v>721</v>
      </c>
      <c r="K132" s="7" t="s">
        <v>1017</v>
      </c>
      <c r="L132" s="7" t="s">
        <v>627</v>
      </c>
      <c r="M132" s="7" t="s">
        <v>628</v>
      </c>
      <c r="N132" s="7" t="s">
        <v>16</v>
      </c>
      <c r="O132" s="7" t="s">
        <v>75</v>
      </c>
      <c r="P132" s="7"/>
      <c r="Q132" s="7" t="s">
        <v>1012</v>
      </c>
      <c r="R132" s="7" t="n">
        <f aca="false">VALUE(LEFT(Q132,4))</f>
        <v>1964</v>
      </c>
      <c r="S132" s="7" t="n">
        <f aca="false">VALUE(MID(Q132,6,2))</f>
        <v>12</v>
      </c>
      <c r="T132" s="7" t="n">
        <f aca="false">VALUE(RIGHT(Q132,2))</f>
        <v>4</v>
      </c>
      <c r="U132" s="7" t="s">
        <v>125</v>
      </c>
      <c r="V132" s="7" t="s">
        <v>126</v>
      </c>
    </row>
    <row r="133" customFormat="false" ht="23.25" hidden="false" customHeight="true" outlineLevel="0" collapsed="false">
      <c r="A133" s="7" t="n">
        <v>132</v>
      </c>
      <c r="B133" s="7" t="s">
        <v>1018</v>
      </c>
      <c r="C133" s="7" t="s">
        <v>1019</v>
      </c>
      <c r="D133" s="7" t="n">
        <f aca="false">VALUE(LEFT(B133,4))</f>
        <v>1966</v>
      </c>
      <c r="E133" s="7" t="n">
        <f aca="false">INT((D133-1)/100)+1</f>
        <v>20</v>
      </c>
      <c r="F133" s="7" t="s">
        <v>219</v>
      </c>
      <c r="G133" s="7" t="s">
        <v>1020</v>
      </c>
      <c r="H133" s="7" t="s">
        <v>1021</v>
      </c>
      <c r="I133" s="7" t="s">
        <v>1022</v>
      </c>
      <c r="J133" s="7" t="s">
        <v>310</v>
      </c>
      <c r="K133" s="7" t="s">
        <v>1023</v>
      </c>
      <c r="L133" s="7" t="s">
        <v>627</v>
      </c>
      <c r="M133" s="7" t="s">
        <v>628</v>
      </c>
      <c r="N133" s="7" t="s">
        <v>16</v>
      </c>
      <c r="O133" s="7" t="s">
        <v>75</v>
      </c>
      <c r="P133" s="7"/>
      <c r="Q133" s="7" t="s">
        <v>1018</v>
      </c>
      <c r="R133" s="7" t="n">
        <f aca="false">VALUE(LEFT(Q133,4))</f>
        <v>1966</v>
      </c>
      <c r="S133" s="7" t="n">
        <f aca="false">VALUE(MID(Q133,6,2))</f>
        <v>1</v>
      </c>
      <c r="T133" s="7" t="n">
        <f aca="false">VALUE(RIGHT(Q133,2))</f>
        <v>29</v>
      </c>
      <c r="U133" s="7" t="s">
        <v>125</v>
      </c>
      <c r="V133" s="7" t="s">
        <v>126</v>
      </c>
    </row>
    <row r="134" customFormat="false" ht="23.25" hidden="false" customHeight="true" outlineLevel="0" collapsed="false">
      <c r="A134" s="7" t="n">
        <v>133</v>
      </c>
      <c r="B134" s="7" t="s">
        <v>1024</v>
      </c>
      <c r="C134" s="7" t="s">
        <v>1025</v>
      </c>
      <c r="D134" s="7" t="n">
        <f aca="false">VALUE(LEFT(B134,4))</f>
        <v>1966</v>
      </c>
      <c r="E134" s="7" t="n">
        <f aca="false">INT((D134-1)/100)+1</f>
        <v>20</v>
      </c>
      <c r="F134" s="7" t="s">
        <v>1026</v>
      </c>
      <c r="G134" s="7" t="s">
        <v>1027</v>
      </c>
      <c r="H134" s="7" t="s">
        <v>961</v>
      </c>
      <c r="I134" s="7" t="s">
        <v>1028</v>
      </c>
      <c r="J134" s="7" t="s">
        <v>721</v>
      </c>
      <c r="K134" s="7" t="s">
        <v>1029</v>
      </c>
      <c r="L134" s="7" t="s">
        <v>569</v>
      </c>
      <c r="M134" s="7"/>
      <c r="N134" s="7" t="s">
        <v>18</v>
      </c>
      <c r="O134" s="7" t="s">
        <v>94</v>
      </c>
      <c r="P134" s="7"/>
      <c r="Q134" s="7" t="s">
        <v>1030</v>
      </c>
      <c r="R134" s="7" t="n">
        <f aca="false">VALUE(LEFT(Q134,4))</f>
        <v>1966</v>
      </c>
      <c r="S134" s="7" t="n">
        <f aca="false">VALUE(MID(Q134,6,2))</f>
        <v>7</v>
      </c>
      <c r="T134" s="7" t="n">
        <f aca="false">VALUE(RIGHT(Q134,2))</f>
        <v>3</v>
      </c>
      <c r="U134" s="7" t="s">
        <v>125</v>
      </c>
      <c r="V134" s="7" t="s">
        <v>1031</v>
      </c>
    </row>
    <row r="135" customFormat="false" ht="23.25" hidden="false" customHeight="true" outlineLevel="0" collapsed="false">
      <c r="A135" s="7" t="n">
        <v>134</v>
      </c>
      <c r="B135" s="7" t="s">
        <v>1032</v>
      </c>
      <c r="C135" s="7" t="s">
        <v>1033</v>
      </c>
      <c r="D135" s="7" t="n">
        <f aca="false">VALUE(LEFT(B135,4))</f>
        <v>1969</v>
      </c>
      <c r="E135" s="7" t="n">
        <f aca="false">INT((D135-1)/100)+1</f>
        <v>20</v>
      </c>
      <c r="F135" s="7" t="s">
        <v>139</v>
      </c>
      <c r="G135" s="7" t="s">
        <v>1034</v>
      </c>
      <c r="H135" s="7" t="s">
        <v>961</v>
      </c>
      <c r="I135" s="7" t="s">
        <v>1035</v>
      </c>
      <c r="J135" s="7" t="s">
        <v>310</v>
      </c>
      <c r="K135" s="7" t="s">
        <v>1036</v>
      </c>
      <c r="L135" s="7" t="s">
        <v>627</v>
      </c>
      <c r="M135" s="7" t="s">
        <v>628</v>
      </c>
      <c r="N135" s="7" t="s">
        <v>16</v>
      </c>
      <c r="O135" s="7" t="s">
        <v>75</v>
      </c>
      <c r="P135" s="7"/>
      <c r="Q135" s="7" t="s">
        <v>1032</v>
      </c>
      <c r="R135" s="7" t="n">
        <f aca="false">VALUE(LEFT(Q135,4))</f>
        <v>1969</v>
      </c>
      <c r="S135" s="7" t="n">
        <f aca="false">VALUE(MID(Q135,6,2))</f>
        <v>12</v>
      </c>
      <c r="T135" s="7" t="n">
        <f aca="false">VALUE(RIGHT(Q135,2))</f>
        <v>25</v>
      </c>
      <c r="U135" s="7" t="s">
        <v>125</v>
      </c>
      <c r="V135" s="7" t="s">
        <v>126</v>
      </c>
    </row>
    <row r="136" customFormat="false" ht="23.25" hidden="false" customHeight="true" outlineLevel="0" collapsed="false">
      <c r="A136" s="7" t="n">
        <v>135</v>
      </c>
      <c r="B136" s="7" t="s">
        <v>1037</v>
      </c>
      <c r="C136" s="7" t="s">
        <v>1037</v>
      </c>
      <c r="D136" s="7" t="n">
        <f aca="false">VALUE(LEFT(B136,4))</f>
        <v>1971</v>
      </c>
      <c r="E136" s="7" t="n">
        <f aca="false">INT((D136-1)/100)+1</f>
        <v>20</v>
      </c>
      <c r="F136" s="7" t="s">
        <v>238</v>
      </c>
      <c r="G136" s="7" t="s">
        <v>1038</v>
      </c>
      <c r="H136" s="7" t="s">
        <v>310</v>
      </c>
      <c r="I136" s="7" t="s">
        <v>1039</v>
      </c>
      <c r="J136" s="7" t="s">
        <v>310</v>
      </c>
      <c r="K136" s="7"/>
      <c r="L136" s="7" t="s">
        <v>569</v>
      </c>
      <c r="M136" s="7"/>
      <c r="N136" s="7" t="s">
        <v>18</v>
      </c>
      <c r="O136" s="7" t="s">
        <v>94</v>
      </c>
      <c r="P136" s="7" t="s">
        <v>1040</v>
      </c>
      <c r="Q136" s="7" t="s">
        <v>1037</v>
      </c>
      <c r="R136" s="7" t="n">
        <f aca="false">VALUE(LEFT(Q136,4))</f>
        <v>1971</v>
      </c>
      <c r="S136" s="7" t="n">
        <f aca="false">VALUE(MID(Q136,6,2))</f>
        <v>1</v>
      </c>
      <c r="T136" s="7" t="n">
        <f aca="false">VALUE(RIGHT(Q136,2))</f>
        <v>19</v>
      </c>
      <c r="U136" s="7" t="s">
        <v>77</v>
      </c>
      <c r="V136" s="7" t="s">
        <v>78</v>
      </c>
    </row>
    <row r="137" customFormat="false" ht="23.25" hidden="false" customHeight="true" outlineLevel="0" collapsed="false">
      <c r="A137" s="7" t="n">
        <v>136</v>
      </c>
      <c r="B137" s="7" t="s">
        <v>1041</v>
      </c>
      <c r="C137" s="7" t="s">
        <v>1042</v>
      </c>
      <c r="D137" s="7" t="n">
        <f aca="false">VALUE(LEFT(B137,4))</f>
        <v>1971</v>
      </c>
      <c r="E137" s="7" t="n">
        <f aca="false">INT((D137-1)/100)+1</f>
        <v>20</v>
      </c>
      <c r="F137" s="7" t="s">
        <v>139</v>
      </c>
      <c r="G137" s="7" t="s">
        <v>1043</v>
      </c>
      <c r="H137" s="7" t="s">
        <v>1044</v>
      </c>
      <c r="I137" s="7" t="s">
        <v>1045</v>
      </c>
      <c r="J137" s="7" t="s">
        <v>310</v>
      </c>
      <c r="K137" s="7" t="s">
        <v>1046</v>
      </c>
      <c r="L137" s="7" t="s">
        <v>627</v>
      </c>
      <c r="M137" s="7" t="s">
        <v>628</v>
      </c>
      <c r="N137" s="7" t="s">
        <v>16</v>
      </c>
      <c r="O137" s="7" t="s">
        <v>75</v>
      </c>
      <c r="P137" s="7"/>
      <c r="Q137" s="7" t="s">
        <v>1041</v>
      </c>
      <c r="R137" s="7" t="n">
        <f aca="false">VALUE(LEFT(Q137,4))</f>
        <v>1971</v>
      </c>
      <c r="S137" s="7" t="n">
        <f aca="false">VALUE(MID(Q137,6,2))</f>
        <v>11</v>
      </c>
      <c r="T137" s="7" t="n">
        <f aca="false">VALUE(RIGHT(Q137,2))</f>
        <v>24</v>
      </c>
      <c r="U137" s="7" t="s">
        <v>125</v>
      </c>
      <c r="V137" s="7" t="s">
        <v>126</v>
      </c>
    </row>
    <row r="138" customFormat="false" ht="23.25" hidden="false" customHeight="true" outlineLevel="0" collapsed="false">
      <c r="A138" s="7" t="n">
        <v>137</v>
      </c>
      <c r="B138" s="7" t="s">
        <v>1047</v>
      </c>
      <c r="C138" s="7" t="s">
        <v>1048</v>
      </c>
      <c r="D138" s="7" t="n">
        <f aca="false">VALUE(LEFT(B138,4))</f>
        <v>1972</v>
      </c>
      <c r="E138" s="7" t="n">
        <f aca="false">INT((D138-1)/100)+1</f>
        <v>20</v>
      </c>
      <c r="F138" s="7" t="s">
        <v>97</v>
      </c>
      <c r="G138" s="7" t="s">
        <v>1049</v>
      </c>
      <c r="H138" s="7" t="s">
        <v>1050</v>
      </c>
      <c r="I138" s="7" t="s">
        <v>1051</v>
      </c>
      <c r="J138" s="7" t="s">
        <v>949</v>
      </c>
      <c r="K138" s="7" t="s">
        <v>1052</v>
      </c>
      <c r="L138" s="7" t="s">
        <v>627</v>
      </c>
      <c r="M138" s="7" t="s">
        <v>628</v>
      </c>
      <c r="N138" s="7" t="s">
        <v>16</v>
      </c>
      <c r="O138" s="7" t="s">
        <v>75</v>
      </c>
      <c r="P138" s="7"/>
      <c r="Q138" s="7" t="s">
        <v>1047</v>
      </c>
      <c r="R138" s="7" t="n">
        <f aca="false">VALUE(LEFT(Q138,4))</f>
        <v>1972</v>
      </c>
      <c r="S138" s="7" t="n">
        <f aca="false">VALUE(MID(Q138,6,2))</f>
        <v>6</v>
      </c>
      <c r="T138" s="7" t="n">
        <f aca="false">VALUE(RIGHT(Q138,2))</f>
        <v>19</v>
      </c>
      <c r="U138" s="7" t="s">
        <v>125</v>
      </c>
      <c r="V138" s="7" t="s">
        <v>126</v>
      </c>
    </row>
    <row r="139" customFormat="false" ht="23.25" hidden="false" customHeight="true" outlineLevel="0" collapsed="false">
      <c r="A139" s="7" t="n">
        <v>138</v>
      </c>
      <c r="B139" s="7" t="s">
        <v>1053</v>
      </c>
      <c r="C139" s="7" t="s">
        <v>1053</v>
      </c>
      <c r="D139" s="7" t="n">
        <f aca="false">VALUE(LEFT(B139,4))</f>
        <v>1973</v>
      </c>
      <c r="E139" s="7" t="n">
        <f aca="false">INT((D139-1)/100)+1</f>
        <v>20</v>
      </c>
      <c r="F139" s="7" t="s">
        <v>979</v>
      </c>
      <c r="G139" s="7" t="s">
        <v>1054</v>
      </c>
      <c r="H139" s="7" t="s">
        <v>1055</v>
      </c>
      <c r="I139" s="7" t="s">
        <v>1056</v>
      </c>
      <c r="J139" s="7" t="s">
        <v>983</v>
      </c>
      <c r="K139" s="7" t="s">
        <v>984</v>
      </c>
      <c r="L139" s="7" t="s">
        <v>985</v>
      </c>
      <c r="M139" s="7" t="s">
        <v>986</v>
      </c>
      <c r="N139" s="7" t="s">
        <v>16</v>
      </c>
      <c r="O139" s="7" t="s">
        <v>75</v>
      </c>
      <c r="P139" s="7"/>
      <c r="Q139" s="7" t="s">
        <v>1053</v>
      </c>
      <c r="R139" s="7" t="n">
        <f aca="false">VALUE(LEFT(Q139,4))</f>
        <v>1973</v>
      </c>
      <c r="S139" s="7" t="n">
        <f aca="false">VALUE(MID(Q139,6,2))</f>
        <v>8</v>
      </c>
      <c r="T139" s="7" t="n">
        <f aca="false">VALUE(RIGHT(Q139,2))</f>
        <v>28</v>
      </c>
      <c r="U139" s="7" t="s">
        <v>77</v>
      </c>
      <c r="V139" s="7" t="s">
        <v>78</v>
      </c>
    </row>
    <row r="140" customFormat="false" ht="23.25" hidden="false" customHeight="true" outlineLevel="0" collapsed="false">
      <c r="A140" s="7" t="n">
        <v>139</v>
      </c>
      <c r="B140" s="7" t="s">
        <v>1057</v>
      </c>
      <c r="C140" s="7" t="s">
        <v>1058</v>
      </c>
      <c r="D140" s="7" t="n">
        <f aca="false">VALUE(LEFT(B140,4))</f>
        <v>1973</v>
      </c>
      <c r="E140" s="7" t="n">
        <f aca="false">INT((D140-1)/100)+1</f>
        <v>20</v>
      </c>
      <c r="F140" s="7" t="s">
        <v>823</v>
      </c>
      <c r="G140" s="7" t="s">
        <v>1059</v>
      </c>
      <c r="H140" s="7" t="s">
        <v>1060</v>
      </c>
      <c r="I140" s="7" t="s">
        <v>1061</v>
      </c>
      <c r="J140" s="7" t="s">
        <v>721</v>
      </c>
      <c r="K140" s="7"/>
      <c r="L140" s="7" t="s">
        <v>569</v>
      </c>
      <c r="M140" s="7"/>
      <c r="N140" s="7" t="s">
        <v>20</v>
      </c>
      <c r="O140" s="7" t="s">
        <v>94</v>
      </c>
      <c r="P140" s="7" t="s">
        <v>1062</v>
      </c>
      <c r="Q140" s="7" t="s">
        <v>1057</v>
      </c>
      <c r="R140" s="7" t="n">
        <f aca="false">VALUE(LEFT(Q140,4))</f>
        <v>1973</v>
      </c>
      <c r="S140" s="7" t="n">
        <f aca="false">VALUE(MID(Q140,6,2))</f>
        <v>12</v>
      </c>
      <c r="T140" s="7" t="n">
        <f aca="false">VALUE(RIGHT(Q140,2))</f>
        <v>16</v>
      </c>
      <c r="U140" s="7" t="s">
        <v>125</v>
      </c>
      <c r="V140" s="7" t="s">
        <v>126</v>
      </c>
    </row>
    <row r="141" customFormat="false" ht="23.25" hidden="false" customHeight="true" outlineLevel="0" collapsed="false">
      <c r="A141" s="7" t="n">
        <v>140</v>
      </c>
      <c r="B141" s="7" t="s">
        <v>1063</v>
      </c>
      <c r="C141" s="7" t="s">
        <v>1063</v>
      </c>
      <c r="D141" s="7" t="n">
        <f aca="false">VALUE(LEFT(B141,4))</f>
        <v>1974</v>
      </c>
      <c r="E141" s="7" t="n">
        <f aca="false">INT((D141-1)/100)+1</f>
        <v>20</v>
      </c>
      <c r="F141" s="7" t="s">
        <v>979</v>
      </c>
      <c r="G141" s="7" t="s">
        <v>1064</v>
      </c>
      <c r="H141" s="7" t="s">
        <v>1065</v>
      </c>
      <c r="I141" s="7" t="s">
        <v>1066</v>
      </c>
      <c r="J141" s="7" t="s">
        <v>983</v>
      </c>
      <c r="K141" s="7" t="s">
        <v>984</v>
      </c>
      <c r="L141" s="7" t="s">
        <v>985</v>
      </c>
      <c r="M141" s="7" t="s">
        <v>986</v>
      </c>
      <c r="N141" s="7" t="s">
        <v>16</v>
      </c>
      <c r="O141" s="7" t="s">
        <v>75</v>
      </c>
      <c r="P141" s="7"/>
      <c r="Q141" s="7" t="s">
        <v>1063</v>
      </c>
      <c r="R141" s="7" t="n">
        <f aca="false">VALUE(LEFT(Q141,4))</f>
        <v>1974</v>
      </c>
      <c r="S141" s="7" t="n">
        <f aca="false">VALUE(MID(Q141,6,2))</f>
        <v>6</v>
      </c>
      <c r="T141" s="7" t="n">
        <f aca="false">VALUE(RIGHT(Q141,2))</f>
        <v>16</v>
      </c>
      <c r="U141" s="7" t="s">
        <v>77</v>
      </c>
      <c r="V141" s="7" t="s">
        <v>78</v>
      </c>
    </row>
    <row r="142" customFormat="false" ht="135.75" hidden="false" customHeight="true" outlineLevel="0" collapsed="false">
      <c r="A142" s="7" t="n">
        <v>141</v>
      </c>
      <c r="B142" s="7" t="s">
        <v>337</v>
      </c>
      <c r="C142" s="7" t="s">
        <v>337</v>
      </c>
      <c r="D142" s="7" t="n">
        <f aca="false">VALUE(LEFT(B142,4))</f>
        <v>1975</v>
      </c>
      <c r="E142" s="7" t="n">
        <f aca="false">INT((D142-1)/100)+1</f>
        <v>20</v>
      </c>
      <c r="F142" s="7" t="s">
        <v>728</v>
      </c>
      <c r="G142" s="7" t="s">
        <v>1067</v>
      </c>
      <c r="H142" s="7" t="s">
        <v>1068</v>
      </c>
      <c r="I142" s="7" t="s">
        <v>1069</v>
      </c>
      <c r="J142" s="7" t="s">
        <v>1070</v>
      </c>
      <c r="K142" s="7" t="s">
        <v>1071</v>
      </c>
      <c r="L142" s="7" t="s">
        <v>1072</v>
      </c>
      <c r="M142" s="7" t="s">
        <v>735</v>
      </c>
      <c r="N142" s="7" t="s">
        <v>18</v>
      </c>
      <c r="O142" s="7" t="s">
        <v>75</v>
      </c>
      <c r="P142" s="7" t="s">
        <v>1073</v>
      </c>
      <c r="Q142" s="7" t="s">
        <v>337</v>
      </c>
      <c r="R142" s="7" t="n">
        <f aca="false">VALUE(LEFT(Q142,4))</f>
        <v>1975</v>
      </c>
      <c r="S142" s="7" t="n">
        <f aca="false">VALUE(MID(Q142,6,2))</f>
        <v>5</v>
      </c>
      <c r="T142" s="7" t="n">
        <f aca="false">VALUE(RIGHT(Q142,2))</f>
        <v>15</v>
      </c>
      <c r="U142" s="7" t="s">
        <v>77</v>
      </c>
      <c r="V142" s="7" t="s">
        <v>78</v>
      </c>
    </row>
    <row r="143" customFormat="false" ht="23.25" hidden="false" customHeight="true" outlineLevel="0" collapsed="false">
      <c r="A143" s="7" t="n">
        <v>142</v>
      </c>
      <c r="B143" s="7" t="s">
        <v>1074</v>
      </c>
      <c r="C143" s="7" t="s">
        <v>1075</v>
      </c>
      <c r="D143" s="7" t="n">
        <f aca="false">VALUE(LEFT(B143,4))</f>
        <v>1975</v>
      </c>
      <c r="E143" s="7" t="n">
        <f aca="false">INT((D143-1)/100)+1</f>
        <v>20</v>
      </c>
      <c r="F143" s="7" t="s">
        <v>97</v>
      </c>
      <c r="G143" s="7" t="s">
        <v>1076</v>
      </c>
      <c r="H143" s="7" t="s">
        <v>1077</v>
      </c>
      <c r="I143" s="7" t="s">
        <v>1078</v>
      </c>
      <c r="J143" s="7" t="s">
        <v>721</v>
      </c>
      <c r="K143" s="7"/>
      <c r="L143" s="7" t="s">
        <v>627</v>
      </c>
      <c r="M143" s="7" t="s">
        <v>628</v>
      </c>
      <c r="N143" s="7" t="s">
        <v>18</v>
      </c>
      <c r="O143" s="7" t="s">
        <v>75</v>
      </c>
      <c r="P143" s="7"/>
      <c r="Q143" s="7" t="s">
        <v>1074</v>
      </c>
      <c r="R143" s="7" t="n">
        <f aca="false">VALUE(LEFT(Q143,4))</f>
        <v>1975</v>
      </c>
      <c r="S143" s="7" t="n">
        <f aca="false">VALUE(MID(Q143,6,2))</f>
        <v>9</v>
      </c>
      <c r="T143" s="7" t="n">
        <f aca="false">VALUE(RIGHT(Q143,2))</f>
        <v>24</v>
      </c>
      <c r="U143" s="7" t="s">
        <v>125</v>
      </c>
      <c r="V143" s="7" t="s">
        <v>126</v>
      </c>
    </row>
    <row r="144" customFormat="false" ht="23.25" hidden="false" customHeight="true" outlineLevel="0" collapsed="false">
      <c r="A144" s="7" t="n">
        <v>143</v>
      </c>
      <c r="B144" s="7" t="s">
        <v>1079</v>
      </c>
      <c r="C144" s="7" t="s">
        <v>1080</v>
      </c>
      <c r="D144" s="7" t="n">
        <f aca="false">VALUE(LEFT(B144,4))</f>
        <v>1976</v>
      </c>
      <c r="E144" s="7" t="n">
        <f aca="false">INT((D144-1)/100)+1</f>
        <v>20</v>
      </c>
      <c r="F144" s="7" t="s">
        <v>553</v>
      </c>
      <c r="G144" s="7" t="s">
        <v>1081</v>
      </c>
      <c r="H144" s="7" t="s">
        <v>1082</v>
      </c>
      <c r="I144" s="7" t="s">
        <v>1083</v>
      </c>
      <c r="J144" s="7" t="s">
        <v>332</v>
      </c>
      <c r="K144" s="7" t="s">
        <v>1084</v>
      </c>
      <c r="L144" s="7" t="s">
        <v>1009</v>
      </c>
      <c r="M144" s="7" t="s">
        <v>1010</v>
      </c>
      <c r="N144" s="7" t="s">
        <v>18</v>
      </c>
      <c r="O144" s="7" t="s">
        <v>75</v>
      </c>
      <c r="P144" s="7" t="s">
        <v>1085</v>
      </c>
      <c r="Q144" s="7" t="s">
        <v>1086</v>
      </c>
      <c r="R144" s="7" t="n">
        <f aca="false">VALUE(LEFT(Q144,4))</f>
        <v>1976</v>
      </c>
      <c r="S144" s="7" t="n">
        <f aca="false">VALUE(MID(Q144,6,2))</f>
        <v>2</v>
      </c>
      <c r="T144" s="7" t="n">
        <f aca="false">VALUE(RIGHT(Q144,2))</f>
        <v>22</v>
      </c>
      <c r="U144" s="7" t="s">
        <v>317</v>
      </c>
      <c r="V144" s="7" t="s">
        <v>318</v>
      </c>
    </row>
    <row r="145" customFormat="false" ht="23.25" hidden="false" customHeight="true" outlineLevel="0" collapsed="false">
      <c r="A145" s="7" t="n">
        <v>144</v>
      </c>
      <c r="B145" s="7" t="s">
        <v>1087</v>
      </c>
      <c r="C145" s="7" t="s">
        <v>1087</v>
      </c>
      <c r="D145" s="7" t="n">
        <f aca="false">VALUE(LEFT(B145,4))</f>
        <v>1976</v>
      </c>
      <c r="E145" s="7" t="n">
        <f aca="false">INT((D145-1)/100)+1</f>
        <v>20</v>
      </c>
      <c r="F145" s="7" t="s">
        <v>1088</v>
      </c>
      <c r="G145" s="7" t="s">
        <v>1089</v>
      </c>
      <c r="H145" s="7" t="s">
        <v>310</v>
      </c>
      <c r="I145" s="7" t="s">
        <v>1090</v>
      </c>
      <c r="J145" s="7" t="s">
        <v>310</v>
      </c>
      <c r="K145" s="7" t="s">
        <v>1091</v>
      </c>
      <c r="L145" s="7" t="s">
        <v>627</v>
      </c>
      <c r="M145" s="7" t="s">
        <v>628</v>
      </c>
      <c r="N145" s="7" t="s">
        <v>16</v>
      </c>
      <c r="O145" s="7" t="s">
        <v>75</v>
      </c>
      <c r="P145" s="7"/>
      <c r="Q145" s="7" t="s">
        <v>1087</v>
      </c>
      <c r="R145" s="7" t="n">
        <f aca="false">VALUE(LEFT(Q145,4))</f>
        <v>1976</v>
      </c>
      <c r="S145" s="7" t="n">
        <f aca="false">VALUE(MID(Q145,6,2))</f>
        <v>2</v>
      </c>
      <c r="T145" s="7" t="n">
        <f aca="false">VALUE(RIGHT(Q145,2))</f>
        <v>2</v>
      </c>
      <c r="U145" s="7" t="s">
        <v>77</v>
      </c>
      <c r="V145" s="7" t="s">
        <v>78</v>
      </c>
    </row>
    <row r="146" customFormat="false" ht="23.25" hidden="false" customHeight="true" outlineLevel="0" collapsed="false">
      <c r="A146" s="7" t="n">
        <v>145</v>
      </c>
      <c r="B146" s="7" t="s">
        <v>1092</v>
      </c>
      <c r="C146" s="7" t="s">
        <v>1093</v>
      </c>
      <c r="D146" s="7" t="n">
        <f aca="false">VALUE(LEFT(B146,4))</f>
        <v>1977</v>
      </c>
      <c r="E146" s="7" t="n">
        <f aca="false">INT((D146-1)/100)+1</f>
        <v>20</v>
      </c>
      <c r="F146" s="7" t="s">
        <v>106</v>
      </c>
      <c r="G146" s="7" t="s">
        <v>1094</v>
      </c>
      <c r="H146" s="7" t="s">
        <v>719</v>
      </c>
      <c r="I146" s="7" t="s">
        <v>1095</v>
      </c>
      <c r="J146" s="7" t="s">
        <v>721</v>
      </c>
      <c r="K146" s="7" t="s">
        <v>1096</v>
      </c>
      <c r="L146" s="7" t="s">
        <v>569</v>
      </c>
      <c r="M146" s="7"/>
      <c r="N146" s="7" t="s">
        <v>18</v>
      </c>
      <c r="O146" s="7" t="s">
        <v>94</v>
      </c>
      <c r="P146" s="7"/>
      <c r="Q146" s="7" t="s">
        <v>1097</v>
      </c>
      <c r="R146" s="7" t="n">
        <f aca="false">VALUE(LEFT(Q146,4))</f>
        <v>1977</v>
      </c>
      <c r="S146" s="7" t="n">
        <f aca="false">VALUE(MID(Q146,6,2))</f>
        <v>1</v>
      </c>
      <c r="T146" s="7" t="n">
        <f aca="false">VALUE(RIGHT(Q146,2))</f>
        <v>17</v>
      </c>
      <c r="U146" s="7" t="s">
        <v>317</v>
      </c>
      <c r="V146" s="7" t="s">
        <v>1098</v>
      </c>
    </row>
    <row r="147" customFormat="false" ht="23.25" hidden="false" customHeight="true" outlineLevel="0" collapsed="false">
      <c r="A147" s="7" t="n">
        <v>146</v>
      </c>
      <c r="B147" s="7" t="s">
        <v>1099</v>
      </c>
      <c r="C147" s="7" t="s">
        <v>1100</v>
      </c>
      <c r="D147" s="7" t="n">
        <f aca="false">VALUE(LEFT(B147,4))</f>
        <v>1977</v>
      </c>
      <c r="E147" s="7" t="n">
        <f aca="false">INT((D147-1)/100)+1</f>
        <v>20</v>
      </c>
      <c r="F147" s="7" t="s">
        <v>771</v>
      </c>
      <c r="G147" s="7" t="s">
        <v>1101</v>
      </c>
      <c r="H147" s="7" t="s">
        <v>1102</v>
      </c>
      <c r="I147" s="7" t="s">
        <v>1103</v>
      </c>
      <c r="J147" s="7" t="s">
        <v>914</v>
      </c>
      <c r="K147" s="7" t="s">
        <v>1104</v>
      </c>
      <c r="L147" s="7" t="s">
        <v>627</v>
      </c>
      <c r="M147" s="7" t="s">
        <v>628</v>
      </c>
      <c r="N147" s="7" t="s">
        <v>16</v>
      </c>
      <c r="O147" s="7" t="s">
        <v>75</v>
      </c>
      <c r="P147" s="7"/>
      <c r="Q147" s="7" t="s">
        <v>1099</v>
      </c>
      <c r="R147" s="7" t="n">
        <f aca="false">VALUE(LEFT(Q147,4))</f>
        <v>1977</v>
      </c>
      <c r="S147" s="7" t="n">
        <f aca="false">VALUE(MID(Q147,6,2))</f>
        <v>3</v>
      </c>
      <c r="T147" s="7" t="n">
        <f aca="false">VALUE(RIGHT(Q147,2))</f>
        <v>13</v>
      </c>
      <c r="U147" s="7" t="s">
        <v>125</v>
      </c>
      <c r="V147" s="7" t="s">
        <v>126</v>
      </c>
    </row>
    <row r="148" customFormat="false" ht="23.25" hidden="false" customHeight="true" outlineLevel="0" collapsed="false">
      <c r="A148" s="7" t="n">
        <v>147</v>
      </c>
      <c r="B148" s="7" t="s">
        <v>1105</v>
      </c>
      <c r="C148" s="7" t="s">
        <v>1106</v>
      </c>
      <c r="D148" s="7" t="n">
        <f aca="false">VALUE(LEFT(B148,4))</f>
        <v>1978</v>
      </c>
      <c r="E148" s="7" t="n">
        <f aca="false">INT((D148-1)/100)+1</f>
        <v>20</v>
      </c>
      <c r="F148" s="7" t="s">
        <v>1107</v>
      </c>
      <c r="G148" s="7" t="s">
        <v>1108</v>
      </c>
      <c r="H148" s="7" t="s">
        <v>1109</v>
      </c>
      <c r="I148" s="7" t="s">
        <v>1110</v>
      </c>
      <c r="J148" s="7" t="s">
        <v>878</v>
      </c>
      <c r="K148" s="7" t="s">
        <v>1111</v>
      </c>
      <c r="L148" s="7" t="s">
        <v>627</v>
      </c>
      <c r="M148" s="7" t="s">
        <v>628</v>
      </c>
      <c r="N148" s="7" t="s">
        <v>16</v>
      </c>
      <c r="O148" s="7" t="s">
        <v>75</v>
      </c>
      <c r="P148" s="7"/>
      <c r="Q148" s="7" t="s">
        <v>1112</v>
      </c>
      <c r="R148" s="7" t="n">
        <f aca="false">VALUE(LEFT(Q148,4))</f>
        <v>1978</v>
      </c>
      <c r="S148" s="7" t="n">
        <f aca="false">VALUE(MID(Q148,6,2))</f>
        <v>1</v>
      </c>
      <c r="T148" s="7" t="n">
        <f aca="false">VALUE(RIGHT(Q148,2))</f>
        <v>16</v>
      </c>
      <c r="U148" s="7" t="s">
        <v>317</v>
      </c>
      <c r="V148" s="7" t="s">
        <v>318</v>
      </c>
    </row>
    <row r="149" customFormat="false" ht="23.25" hidden="false" customHeight="true" outlineLevel="0" collapsed="false">
      <c r="A149" s="7" t="n">
        <v>148</v>
      </c>
      <c r="B149" s="7" t="s">
        <v>1113</v>
      </c>
      <c r="C149" s="7" t="s">
        <v>1114</v>
      </c>
      <c r="D149" s="7" t="n">
        <f aca="false">VALUE(LEFT(B149,4))</f>
        <v>1978</v>
      </c>
      <c r="E149" s="7" t="n">
        <f aca="false">INT((D149-1)/100)+1</f>
        <v>20</v>
      </c>
      <c r="F149" s="7" t="s">
        <v>219</v>
      </c>
      <c r="G149" s="7" t="s">
        <v>1115</v>
      </c>
      <c r="H149" s="7" t="s">
        <v>961</v>
      </c>
      <c r="I149" s="7" t="s">
        <v>1116</v>
      </c>
      <c r="J149" s="7" t="s">
        <v>310</v>
      </c>
      <c r="K149" s="7" t="s">
        <v>1117</v>
      </c>
      <c r="L149" s="7" t="s">
        <v>627</v>
      </c>
      <c r="M149" s="7" t="s">
        <v>628</v>
      </c>
      <c r="N149" s="7" t="s">
        <v>16</v>
      </c>
      <c r="O149" s="7" t="s">
        <v>75</v>
      </c>
      <c r="P149" s="7"/>
      <c r="Q149" s="7" t="s">
        <v>1113</v>
      </c>
      <c r="R149" s="7" t="n">
        <f aca="false">VALUE(LEFT(Q149,4))</f>
        <v>1978</v>
      </c>
      <c r="S149" s="7" t="n">
        <f aca="false">VALUE(MID(Q149,6,2))</f>
        <v>2</v>
      </c>
      <c r="T149" s="7" t="n">
        <f aca="false">VALUE(RIGHT(Q149,2))</f>
        <v>6</v>
      </c>
      <c r="U149" s="7" t="s">
        <v>125</v>
      </c>
      <c r="V149" s="7" t="s">
        <v>126</v>
      </c>
    </row>
    <row r="150" customFormat="false" ht="45.75" hidden="false" customHeight="true" outlineLevel="0" collapsed="false">
      <c r="A150" s="7" t="n">
        <v>149</v>
      </c>
      <c r="B150" s="7" t="s">
        <v>1118</v>
      </c>
      <c r="C150" s="7" t="s">
        <v>1119</v>
      </c>
      <c r="D150" s="7" t="n">
        <f aca="false">VALUE(LEFT(B150,4))</f>
        <v>1979</v>
      </c>
      <c r="E150" s="7" t="n">
        <f aca="false">INT((D150-1)/100)+1</f>
        <v>20</v>
      </c>
      <c r="F150" s="7" t="s">
        <v>553</v>
      </c>
      <c r="G150" s="7" t="s">
        <v>1120</v>
      </c>
      <c r="H150" s="7" t="s">
        <v>1121</v>
      </c>
      <c r="I150" s="7" t="s">
        <v>1122</v>
      </c>
      <c r="J150" s="7" t="s">
        <v>332</v>
      </c>
      <c r="K150" s="7" t="s">
        <v>1123</v>
      </c>
      <c r="L150" s="7" t="s">
        <v>1009</v>
      </c>
      <c r="M150" s="7" t="s">
        <v>1010</v>
      </c>
      <c r="N150" s="7" t="s">
        <v>18</v>
      </c>
      <c r="O150" s="7" t="s">
        <v>75</v>
      </c>
      <c r="P150" s="7" t="s">
        <v>1124</v>
      </c>
      <c r="Q150" s="7" t="s">
        <v>1125</v>
      </c>
      <c r="R150" s="7" t="n">
        <f aca="false">VALUE(LEFT(Q150,4))</f>
        <v>1979</v>
      </c>
      <c r="S150" s="7" t="n">
        <f aca="false">VALUE(MID(Q150,6,2))</f>
        <v>2</v>
      </c>
      <c r="T150" s="7" t="n">
        <f aca="false">VALUE(RIGHT(Q150,2))</f>
        <v>13</v>
      </c>
      <c r="U150" s="7" t="s">
        <v>114</v>
      </c>
      <c r="V150" s="7" t="s">
        <v>325</v>
      </c>
    </row>
    <row r="151" customFormat="false" ht="23.25" hidden="false" customHeight="true" outlineLevel="0" collapsed="false">
      <c r="A151" s="7" t="n">
        <v>150</v>
      </c>
      <c r="B151" s="7" t="s">
        <v>1126</v>
      </c>
      <c r="C151" s="7" t="s">
        <v>1127</v>
      </c>
      <c r="D151" s="7" t="n">
        <f aca="false">VALUE(LEFT(B151,4))</f>
        <v>1979</v>
      </c>
      <c r="E151" s="7" t="n">
        <f aca="false">INT((D151-1)/100)+1</f>
        <v>20</v>
      </c>
      <c r="F151" s="7" t="s">
        <v>1107</v>
      </c>
      <c r="G151" s="7" t="s">
        <v>1128</v>
      </c>
      <c r="H151" s="7" t="s">
        <v>1129</v>
      </c>
      <c r="I151" s="7" t="s">
        <v>1130</v>
      </c>
      <c r="J151" s="7" t="s">
        <v>721</v>
      </c>
      <c r="K151" s="7"/>
      <c r="L151" s="7" t="s">
        <v>627</v>
      </c>
      <c r="M151" s="7" t="s">
        <v>628</v>
      </c>
      <c r="N151" s="7" t="s">
        <v>18</v>
      </c>
      <c r="O151" s="7" t="s">
        <v>75</v>
      </c>
      <c r="P151" s="7"/>
      <c r="Q151" s="7" t="s">
        <v>1131</v>
      </c>
      <c r="R151" s="7" t="n">
        <f aca="false">VALUE(LEFT(Q151,4))</f>
        <v>1979</v>
      </c>
      <c r="S151" s="7" t="n">
        <f aca="false">VALUE(MID(Q151,6,2))</f>
        <v>3</v>
      </c>
      <c r="T151" s="7" t="n">
        <f aca="false">VALUE(RIGHT(Q151,2))</f>
        <v>16</v>
      </c>
      <c r="U151" s="7" t="s">
        <v>317</v>
      </c>
      <c r="V151" s="7" t="s">
        <v>318</v>
      </c>
    </row>
    <row r="152" customFormat="false" ht="23.25" hidden="false" customHeight="true" outlineLevel="0" collapsed="false">
      <c r="A152" s="7" t="n">
        <v>151</v>
      </c>
      <c r="B152" s="7" t="s">
        <v>1132</v>
      </c>
      <c r="C152" s="7" t="s">
        <v>1133</v>
      </c>
      <c r="D152" s="7" t="n">
        <f aca="false">VALUE(LEFT(B152,4))</f>
        <v>1980</v>
      </c>
      <c r="E152" s="7" t="n">
        <f aca="false">INT((D152-1)/100)+1</f>
        <v>20</v>
      </c>
      <c r="F152" s="7" t="s">
        <v>129</v>
      </c>
      <c r="G152" s="7" t="s">
        <v>1134</v>
      </c>
      <c r="H152" s="7" t="s">
        <v>1135</v>
      </c>
      <c r="I152" s="7" t="s">
        <v>1136</v>
      </c>
      <c r="J152" s="7" t="s">
        <v>721</v>
      </c>
      <c r="K152" s="7" t="s">
        <v>1137</v>
      </c>
      <c r="L152" s="7" t="s">
        <v>627</v>
      </c>
      <c r="M152" s="7" t="s">
        <v>628</v>
      </c>
      <c r="N152" s="7" t="s">
        <v>16</v>
      </c>
      <c r="O152" s="7" t="s">
        <v>75</v>
      </c>
      <c r="P152" s="7"/>
      <c r="Q152" s="7" t="s">
        <v>1138</v>
      </c>
      <c r="R152" s="7" t="n">
        <f aca="false">VALUE(LEFT(Q152,4))</f>
        <v>1980</v>
      </c>
      <c r="S152" s="7" t="n">
        <f aca="false">VALUE(MID(Q152,6,2))</f>
        <v>3</v>
      </c>
      <c r="T152" s="7" t="n">
        <f aca="false">VALUE(RIGHT(Q152,2))</f>
        <v>16</v>
      </c>
      <c r="U152" s="7" t="s">
        <v>317</v>
      </c>
      <c r="V152" s="7" t="s">
        <v>318</v>
      </c>
    </row>
    <row r="153" customFormat="false" ht="23.25" hidden="false" customHeight="true" outlineLevel="0" collapsed="false">
      <c r="A153" s="7" t="n">
        <v>152</v>
      </c>
      <c r="B153" s="7" t="s">
        <v>1139</v>
      </c>
      <c r="C153" s="7" t="s">
        <v>1140</v>
      </c>
      <c r="D153" s="7" t="n">
        <f aca="false">VALUE(LEFT(B153,4))</f>
        <v>1980</v>
      </c>
      <c r="E153" s="7" t="n">
        <f aca="false">INT((D153-1)/100)+1</f>
        <v>20</v>
      </c>
      <c r="F153" s="7" t="s">
        <v>833</v>
      </c>
      <c r="G153" s="7" t="s">
        <v>1141</v>
      </c>
      <c r="H153" s="7" t="s">
        <v>1142</v>
      </c>
      <c r="I153" s="7" t="s">
        <v>1143</v>
      </c>
      <c r="J153" s="7" t="s">
        <v>721</v>
      </c>
      <c r="K153" s="7"/>
      <c r="L153" s="7" t="s">
        <v>569</v>
      </c>
      <c r="M153" s="7"/>
      <c r="N153" s="7" t="s">
        <v>18</v>
      </c>
      <c r="O153" s="7" t="s">
        <v>94</v>
      </c>
      <c r="P153" s="7"/>
      <c r="Q153" s="7" t="s">
        <v>1144</v>
      </c>
      <c r="R153" s="7" t="n">
        <f aca="false">VALUE(LEFT(Q153,4))</f>
        <v>1981</v>
      </c>
      <c r="S153" s="7" t="n">
        <f aca="false">VALUE(MID(Q153,6,2))</f>
        <v>1</v>
      </c>
      <c r="T153" s="7" t="n">
        <f aca="false">VALUE(RIGHT(Q153,2))</f>
        <v>15</v>
      </c>
      <c r="U153" s="7" t="s">
        <v>114</v>
      </c>
      <c r="V153" s="7" t="s">
        <v>1145</v>
      </c>
    </row>
    <row r="154" customFormat="false" ht="23.25" hidden="false" customHeight="true" outlineLevel="0" collapsed="false">
      <c r="A154" s="7" t="n">
        <v>153</v>
      </c>
      <c r="B154" s="7" t="s">
        <v>1146</v>
      </c>
      <c r="C154" s="7" t="s">
        <v>1147</v>
      </c>
      <c r="D154" s="7" t="n">
        <f aca="false">VALUE(LEFT(B154,4))</f>
        <v>1981</v>
      </c>
      <c r="E154" s="7" t="n">
        <f aca="false">INT((D154-1)/100)+1</f>
        <v>20</v>
      </c>
      <c r="F154" s="7" t="s">
        <v>1107</v>
      </c>
      <c r="G154" s="7" t="s">
        <v>1148</v>
      </c>
      <c r="H154" s="7" t="s">
        <v>1149</v>
      </c>
      <c r="I154" s="7" t="s">
        <v>1150</v>
      </c>
      <c r="J154" s="7" t="s">
        <v>721</v>
      </c>
      <c r="K154" s="7"/>
      <c r="L154" s="7" t="s">
        <v>627</v>
      </c>
      <c r="M154" s="7" t="s">
        <v>628</v>
      </c>
      <c r="N154" s="7" t="s">
        <v>18</v>
      </c>
      <c r="O154" s="7" t="s">
        <v>75</v>
      </c>
      <c r="P154" s="7"/>
      <c r="Q154" s="7" t="s">
        <v>1151</v>
      </c>
      <c r="R154" s="7" t="n">
        <f aca="false">VALUE(LEFT(Q154,4))</f>
        <v>1981</v>
      </c>
      <c r="S154" s="7" t="n">
        <f aca="false">VALUE(MID(Q154,6,2))</f>
        <v>2</v>
      </c>
      <c r="T154" s="7" t="n">
        <f aca="false">VALUE(RIGHT(Q154,2))</f>
        <v>14</v>
      </c>
      <c r="U154" s="7" t="s">
        <v>317</v>
      </c>
      <c r="V154" s="7" t="s">
        <v>318</v>
      </c>
    </row>
    <row r="155" customFormat="false" ht="23.25" hidden="false" customHeight="true" outlineLevel="0" collapsed="false">
      <c r="A155" s="7" t="n">
        <v>154</v>
      </c>
      <c r="B155" s="7" t="s">
        <v>1152</v>
      </c>
      <c r="C155" s="7" t="s">
        <v>1153</v>
      </c>
      <c r="D155" s="7" t="n">
        <f aca="false">VALUE(LEFT(B155,4))</f>
        <v>1982</v>
      </c>
      <c r="E155" s="7" t="n">
        <f aca="false">INT((D155-1)/100)+1</f>
        <v>20</v>
      </c>
      <c r="F155" s="7" t="s">
        <v>219</v>
      </c>
      <c r="G155" s="7" t="s">
        <v>1154</v>
      </c>
      <c r="H155" s="7" t="s">
        <v>961</v>
      </c>
      <c r="I155" s="7" t="s">
        <v>1155</v>
      </c>
      <c r="J155" s="7" t="s">
        <v>310</v>
      </c>
      <c r="K155" s="7" t="s">
        <v>1156</v>
      </c>
      <c r="L155" s="7" t="s">
        <v>627</v>
      </c>
      <c r="M155" s="7" t="s">
        <v>628</v>
      </c>
      <c r="N155" s="7" t="s">
        <v>16</v>
      </c>
      <c r="O155" s="7" t="s">
        <v>75</v>
      </c>
      <c r="P155" s="7"/>
      <c r="Q155" s="7" t="s">
        <v>1152</v>
      </c>
      <c r="R155" s="7" t="n">
        <f aca="false">VALUE(LEFT(Q155,4))</f>
        <v>1982</v>
      </c>
      <c r="S155" s="7" t="n">
        <f aca="false">VALUE(MID(Q155,6,2))</f>
        <v>4</v>
      </c>
      <c r="T155" s="7" t="n">
        <f aca="false">VALUE(RIGHT(Q155,2))</f>
        <v>6</v>
      </c>
      <c r="U155" s="7" t="s">
        <v>125</v>
      </c>
      <c r="V155" s="7" t="s">
        <v>126</v>
      </c>
    </row>
    <row r="156" customFormat="false" ht="23.25" hidden="false" customHeight="true" outlineLevel="0" collapsed="false">
      <c r="A156" s="7" t="n">
        <v>155</v>
      </c>
      <c r="B156" s="7" t="s">
        <v>1157</v>
      </c>
      <c r="C156" s="7" t="s">
        <v>1158</v>
      </c>
      <c r="D156" s="7" t="n">
        <f aca="false">VALUE(LEFT(B156,4))</f>
        <v>1983</v>
      </c>
      <c r="E156" s="7" t="n">
        <f aca="false">INT((D156-1)/100)+1</f>
        <v>20</v>
      </c>
      <c r="F156" s="7" t="s">
        <v>159</v>
      </c>
      <c r="G156" s="7" t="s">
        <v>1159</v>
      </c>
      <c r="H156" s="7" t="s">
        <v>961</v>
      </c>
      <c r="I156" s="7" t="s">
        <v>1160</v>
      </c>
      <c r="J156" s="7" t="s">
        <v>310</v>
      </c>
      <c r="K156" s="7" t="s">
        <v>1161</v>
      </c>
      <c r="L156" s="7" t="s">
        <v>627</v>
      </c>
      <c r="M156" s="7" t="s">
        <v>628</v>
      </c>
      <c r="N156" s="7" t="s">
        <v>16</v>
      </c>
      <c r="O156" s="7" t="s">
        <v>75</v>
      </c>
      <c r="P156" s="7"/>
      <c r="Q156" s="7" t="s">
        <v>1157</v>
      </c>
      <c r="R156" s="7" t="n">
        <f aca="false">VALUE(LEFT(Q156,4))</f>
        <v>1983</v>
      </c>
      <c r="S156" s="7" t="n">
        <f aca="false">VALUE(MID(Q156,6,2))</f>
        <v>1</v>
      </c>
      <c r="T156" s="7" t="n">
        <f aca="false">VALUE(RIGHT(Q156,2))</f>
        <v>15</v>
      </c>
      <c r="U156" s="7" t="s">
        <v>125</v>
      </c>
      <c r="V156" s="7" t="s">
        <v>126</v>
      </c>
    </row>
    <row r="157" customFormat="false" ht="23.25" hidden="false" customHeight="true" outlineLevel="0" collapsed="false">
      <c r="A157" s="7" t="n">
        <v>156</v>
      </c>
      <c r="B157" s="7" t="s">
        <v>1162</v>
      </c>
      <c r="C157" s="7" t="s">
        <v>1163</v>
      </c>
      <c r="D157" s="7" t="n">
        <f aca="false">VALUE(LEFT(B157,4))</f>
        <v>1983</v>
      </c>
      <c r="E157" s="7" t="n">
        <f aca="false">INT((D157-1)/100)+1</f>
        <v>20</v>
      </c>
      <c r="F157" s="7" t="s">
        <v>129</v>
      </c>
      <c r="G157" s="7" t="s">
        <v>1164</v>
      </c>
      <c r="H157" s="7" t="s">
        <v>961</v>
      </c>
      <c r="I157" s="7" t="s">
        <v>1165</v>
      </c>
      <c r="J157" s="7" t="s">
        <v>1166</v>
      </c>
      <c r="K157" s="7" t="s">
        <v>1167</v>
      </c>
      <c r="L157" s="7" t="s">
        <v>627</v>
      </c>
      <c r="M157" s="7" t="s">
        <v>628</v>
      </c>
      <c r="N157" s="7" t="s">
        <v>16</v>
      </c>
      <c r="O157" s="7" t="s">
        <v>75</v>
      </c>
      <c r="P157" s="7"/>
      <c r="Q157" s="7" t="s">
        <v>1168</v>
      </c>
      <c r="R157" s="7" t="n">
        <f aca="false">VALUE(LEFT(Q157,4))</f>
        <v>1983</v>
      </c>
      <c r="S157" s="7" t="n">
        <f aca="false">VALUE(MID(Q157,6,2))</f>
        <v>5</v>
      </c>
      <c r="T157" s="7" t="n">
        <f aca="false">VALUE(RIGHT(Q157,2))</f>
        <v>1</v>
      </c>
      <c r="U157" s="7" t="s">
        <v>77</v>
      </c>
      <c r="V157" s="7" t="s">
        <v>1169</v>
      </c>
    </row>
    <row r="158" customFormat="false" ht="15" hidden="false" customHeight="true" outlineLevel="0" collapsed="false">
      <c r="A158" s="7" t="n">
        <v>157</v>
      </c>
      <c r="B158" s="7" t="s">
        <v>1170</v>
      </c>
      <c r="C158" s="7" t="s">
        <v>1170</v>
      </c>
      <c r="D158" s="7" t="n">
        <f aca="false">VALUE(LEFT(B158,4))</f>
        <v>1985</v>
      </c>
      <c r="E158" s="7" t="n">
        <f aca="false">INT((D158-1)/100)+1</f>
        <v>20</v>
      </c>
      <c r="F158" s="7" t="s">
        <v>67</v>
      </c>
      <c r="G158" s="7" t="s">
        <v>1171</v>
      </c>
      <c r="H158" s="7" t="s">
        <v>574</v>
      </c>
      <c r="I158" s="7" t="s">
        <v>1172</v>
      </c>
      <c r="J158" s="7" t="s">
        <v>721</v>
      </c>
      <c r="K158" s="7"/>
      <c r="L158" s="7" t="s">
        <v>903</v>
      </c>
      <c r="M158" s="7"/>
      <c r="N158" s="7" t="s">
        <v>18</v>
      </c>
      <c r="O158" s="7" t="s">
        <v>94</v>
      </c>
      <c r="P158" s="7"/>
      <c r="Q158" s="7" t="s">
        <v>1170</v>
      </c>
      <c r="R158" s="7" t="n">
        <f aca="false">VALUE(LEFT(Q158,4))</f>
        <v>1985</v>
      </c>
      <c r="S158" s="7" t="n">
        <f aca="false">VALUE(MID(Q158,6,2))</f>
        <v>9</v>
      </c>
      <c r="T158" s="7" t="n">
        <f aca="false">VALUE(RIGHT(Q158,2))</f>
        <v>27</v>
      </c>
      <c r="U158" s="7" t="s">
        <v>77</v>
      </c>
      <c r="V158" s="7" t="s">
        <v>78</v>
      </c>
    </row>
    <row r="159" customFormat="false" ht="23.25" hidden="false" customHeight="true" outlineLevel="0" collapsed="false">
      <c r="A159" s="7" t="n">
        <v>158</v>
      </c>
      <c r="B159" s="7" t="s">
        <v>1173</v>
      </c>
      <c r="C159" s="7" t="s">
        <v>1174</v>
      </c>
      <c r="D159" s="7" t="n">
        <f aca="false">VALUE(LEFT(B159,4))</f>
        <v>1987</v>
      </c>
      <c r="E159" s="7" t="n">
        <f aca="false">INT((D159-1)/100)+1</f>
        <v>20</v>
      </c>
      <c r="F159" s="7" t="s">
        <v>771</v>
      </c>
      <c r="G159" s="7" t="s">
        <v>1175</v>
      </c>
      <c r="H159" s="7" t="s">
        <v>1176</v>
      </c>
      <c r="I159" s="7" t="s">
        <v>1177</v>
      </c>
      <c r="J159" s="7" t="s">
        <v>721</v>
      </c>
      <c r="K159" s="7" t="s">
        <v>1178</v>
      </c>
      <c r="L159" s="7" t="s">
        <v>627</v>
      </c>
      <c r="M159" s="7" t="s">
        <v>628</v>
      </c>
      <c r="N159" s="7" t="s">
        <v>16</v>
      </c>
      <c r="O159" s="7" t="s">
        <v>75</v>
      </c>
      <c r="P159" s="7"/>
      <c r="Q159" s="7" t="s">
        <v>1173</v>
      </c>
      <c r="R159" s="7" t="n">
        <f aca="false">VALUE(LEFT(Q159,4))</f>
        <v>1987</v>
      </c>
      <c r="S159" s="7" t="n">
        <f aca="false">VALUE(MID(Q159,6,2))</f>
        <v>4</v>
      </c>
      <c r="T159" s="7" t="n">
        <f aca="false">VALUE(RIGHT(Q159,2))</f>
        <v>4</v>
      </c>
      <c r="U159" s="7" t="s">
        <v>125</v>
      </c>
      <c r="V159" s="7" t="s">
        <v>126</v>
      </c>
    </row>
    <row r="160" customFormat="false" ht="23.25" hidden="false" customHeight="true" outlineLevel="0" collapsed="false">
      <c r="A160" s="7" t="n">
        <v>159</v>
      </c>
      <c r="B160" s="7" t="s">
        <v>1179</v>
      </c>
      <c r="C160" s="7" t="s">
        <v>1179</v>
      </c>
      <c r="D160" s="7" t="n">
        <f aca="false">VALUE(LEFT(B160,4))</f>
        <v>1987</v>
      </c>
      <c r="E160" s="7" t="n">
        <f aca="false">INT((D160-1)/100)+1</f>
        <v>20</v>
      </c>
      <c r="F160" s="7" t="s">
        <v>466</v>
      </c>
      <c r="G160" s="7" t="s">
        <v>1180</v>
      </c>
      <c r="H160" s="7" t="s">
        <v>1181</v>
      </c>
      <c r="I160" s="7" t="s">
        <v>1182</v>
      </c>
      <c r="J160" s="7" t="s">
        <v>310</v>
      </c>
      <c r="K160" s="7" t="s">
        <v>1183</v>
      </c>
      <c r="L160" s="7" t="s">
        <v>627</v>
      </c>
      <c r="M160" s="7" t="s">
        <v>628</v>
      </c>
      <c r="N160" s="7" t="s">
        <v>16</v>
      </c>
      <c r="O160" s="7" t="s">
        <v>75</v>
      </c>
      <c r="P160" s="7"/>
      <c r="Q160" s="7" t="s">
        <v>1179</v>
      </c>
      <c r="R160" s="7" t="n">
        <f aca="false">VALUE(LEFT(Q160,4))</f>
        <v>1987</v>
      </c>
      <c r="S160" s="7" t="n">
        <f aca="false">VALUE(MID(Q160,6,2))</f>
        <v>10</v>
      </c>
      <c r="T160" s="7" t="n">
        <f aca="false">VALUE(RIGHT(Q160,2))</f>
        <v>4</v>
      </c>
      <c r="U160" s="7" t="s">
        <v>77</v>
      </c>
      <c r="V160" s="7" t="s">
        <v>78</v>
      </c>
    </row>
    <row r="161" customFormat="false" ht="23.25" hidden="false" customHeight="true" outlineLevel="0" collapsed="false">
      <c r="A161" s="7" t="n">
        <v>160</v>
      </c>
      <c r="B161" s="7" t="s">
        <v>1184</v>
      </c>
      <c r="C161" s="7" t="s">
        <v>1185</v>
      </c>
      <c r="D161" s="7" t="n">
        <f aca="false">VALUE(LEFT(B161,4))</f>
        <v>1988</v>
      </c>
      <c r="E161" s="7" t="n">
        <f aca="false">INT((D161-1)/100)+1</f>
        <v>20</v>
      </c>
      <c r="F161" s="7" t="s">
        <v>1186</v>
      </c>
      <c r="G161" s="7" t="s">
        <v>1187</v>
      </c>
      <c r="H161" s="7" t="s">
        <v>961</v>
      </c>
      <c r="I161" s="7" t="s">
        <v>1188</v>
      </c>
      <c r="J161" s="7" t="s">
        <v>721</v>
      </c>
      <c r="K161" s="7" t="s">
        <v>1189</v>
      </c>
      <c r="L161" s="7" t="s">
        <v>1190</v>
      </c>
      <c r="M161" s="7"/>
      <c r="N161" s="7" t="s">
        <v>18</v>
      </c>
      <c r="O161" s="7" t="s">
        <v>75</v>
      </c>
      <c r="P161" s="7" t="s">
        <v>1191</v>
      </c>
      <c r="Q161" s="7" t="s">
        <v>1192</v>
      </c>
      <c r="R161" s="7" t="n">
        <f aca="false">VALUE(LEFT(Q161,4))</f>
        <v>1988</v>
      </c>
      <c r="S161" s="7" t="n">
        <f aca="false">VALUE(MID(Q161,6,2))</f>
        <v>7</v>
      </c>
      <c r="T161" s="7" t="n">
        <f aca="false">VALUE(RIGHT(Q161,2))</f>
        <v>15</v>
      </c>
      <c r="U161" s="7" t="s">
        <v>114</v>
      </c>
      <c r="V161" s="7" t="s">
        <v>1193</v>
      </c>
    </row>
    <row r="162" customFormat="false" ht="34.5" hidden="false" customHeight="true" outlineLevel="0" collapsed="false">
      <c r="A162" s="7" t="n">
        <v>161</v>
      </c>
      <c r="B162" s="7" t="s">
        <v>1194</v>
      </c>
      <c r="C162" s="7" t="s">
        <v>1194</v>
      </c>
      <c r="D162" s="7" t="n">
        <f aca="false">VALUE(LEFT(B162,4))</f>
        <v>1989</v>
      </c>
      <c r="E162" s="7" t="n">
        <f aca="false">INT((D162-1)/100)+1</f>
        <v>20</v>
      </c>
      <c r="F162" s="7" t="s">
        <v>1195</v>
      </c>
      <c r="G162" s="7" t="s">
        <v>1196</v>
      </c>
      <c r="H162" s="7" t="s">
        <v>1197</v>
      </c>
      <c r="I162" s="7" t="s">
        <v>1198</v>
      </c>
      <c r="J162" s="7" t="s">
        <v>983</v>
      </c>
      <c r="K162" s="7" t="s">
        <v>1199</v>
      </c>
      <c r="L162" s="7" t="s">
        <v>569</v>
      </c>
      <c r="M162" s="7" t="s">
        <v>1200</v>
      </c>
      <c r="N162" s="7" t="s">
        <v>16</v>
      </c>
      <c r="O162" s="7" t="s">
        <v>75</v>
      </c>
      <c r="P162" s="7" t="s">
        <v>1201</v>
      </c>
      <c r="Q162" s="7" t="s">
        <v>1194</v>
      </c>
      <c r="R162" s="7" t="n">
        <f aca="false">VALUE(LEFT(Q162,4))</f>
        <v>1989</v>
      </c>
      <c r="S162" s="7" t="n">
        <f aca="false">VALUE(MID(Q162,6,2))</f>
        <v>7</v>
      </c>
      <c r="T162" s="7" t="n">
        <f aca="false">VALUE(RIGHT(Q162,2))</f>
        <v>10</v>
      </c>
      <c r="U162" s="7" t="s">
        <v>77</v>
      </c>
      <c r="V162" s="7" t="s">
        <v>78</v>
      </c>
    </row>
    <row r="163" customFormat="false" ht="23.25" hidden="false" customHeight="true" outlineLevel="0" collapsed="false">
      <c r="A163" s="7" t="n">
        <v>162</v>
      </c>
      <c r="B163" s="7" t="s">
        <v>1202</v>
      </c>
      <c r="C163" s="7" t="s">
        <v>1202</v>
      </c>
      <c r="D163" s="7" t="n">
        <f aca="false">VALUE(LEFT(B163,4))</f>
        <v>1989</v>
      </c>
      <c r="E163" s="7" t="n">
        <f aca="false">INT((D163-1)/100)+1</f>
        <v>20</v>
      </c>
      <c r="F163" s="7" t="s">
        <v>1203</v>
      </c>
      <c r="G163" s="7" t="s">
        <v>1204</v>
      </c>
      <c r="H163" s="7" t="s">
        <v>1205</v>
      </c>
      <c r="I163" s="7" t="s">
        <v>1206</v>
      </c>
      <c r="J163" s="7" t="s">
        <v>983</v>
      </c>
      <c r="K163" s="7" t="s">
        <v>1207</v>
      </c>
      <c r="L163" s="7" t="s">
        <v>985</v>
      </c>
      <c r="M163" s="7" t="s">
        <v>986</v>
      </c>
      <c r="N163" s="7" t="s">
        <v>16</v>
      </c>
      <c r="O163" s="7" t="s">
        <v>75</v>
      </c>
      <c r="P163" s="7" t="s">
        <v>1208</v>
      </c>
      <c r="Q163" s="7" t="s">
        <v>1202</v>
      </c>
      <c r="R163" s="7" t="n">
        <f aca="false">VALUE(LEFT(Q163,4))</f>
        <v>1989</v>
      </c>
      <c r="S163" s="7" t="n">
        <f aca="false">VALUE(MID(Q163,6,2))</f>
        <v>11</v>
      </c>
      <c r="T163" s="7" t="n">
        <f aca="false">VALUE(RIGHT(Q163,2))</f>
        <v>16</v>
      </c>
      <c r="U163" s="7" t="s">
        <v>77</v>
      </c>
      <c r="V163" s="7" t="s">
        <v>78</v>
      </c>
    </row>
    <row r="164" customFormat="false" ht="68.25" hidden="false" customHeight="true" outlineLevel="0" collapsed="false">
      <c r="A164" s="7" t="n">
        <v>163</v>
      </c>
      <c r="B164" s="7" t="s">
        <v>1209</v>
      </c>
      <c r="C164" s="7" t="s">
        <v>1210</v>
      </c>
      <c r="D164" s="7" t="n">
        <f aca="false">VALUE(LEFT(B164,4))</f>
        <v>1991</v>
      </c>
      <c r="E164" s="7" t="n">
        <f aca="false">INT((D164-1)/100)+1</f>
        <v>20</v>
      </c>
      <c r="F164" s="7" t="s">
        <v>1211</v>
      </c>
      <c r="G164" s="7" t="s">
        <v>1212</v>
      </c>
      <c r="H164" s="7" t="s">
        <v>1213</v>
      </c>
      <c r="I164" s="7" t="s">
        <v>1214</v>
      </c>
      <c r="J164" s="7" t="s">
        <v>732</v>
      </c>
      <c r="K164" s="7" t="s">
        <v>1215</v>
      </c>
      <c r="L164" s="7" t="s">
        <v>1216</v>
      </c>
      <c r="M164" s="7" t="s">
        <v>735</v>
      </c>
      <c r="N164" s="7" t="s">
        <v>20</v>
      </c>
      <c r="O164" s="7" t="s">
        <v>94</v>
      </c>
      <c r="P164" s="7" t="s">
        <v>1217</v>
      </c>
      <c r="Q164" s="7" t="s">
        <v>1218</v>
      </c>
      <c r="R164" s="7" t="n">
        <f aca="false">VALUE(LEFT(Q164,4))</f>
        <v>1991</v>
      </c>
      <c r="S164" s="7" t="n">
        <f aca="false">VALUE(MID(Q164,6,2))</f>
        <v>7</v>
      </c>
      <c r="T164" s="7" t="n">
        <f aca="false">VALUE(RIGHT(Q164,2))</f>
        <v>1</v>
      </c>
      <c r="U164" s="7" t="s">
        <v>338</v>
      </c>
      <c r="V164" s="7" t="s">
        <v>1219</v>
      </c>
    </row>
    <row r="165" customFormat="false" ht="23.25" hidden="false" customHeight="true" outlineLevel="0" collapsed="false">
      <c r="A165" s="7" t="n">
        <v>164</v>
      </c>
      <c r="B165" s="7" t="s">
        <v>1220</v>
      </c>
      <c r="C165" s="7" t="s">
        <v>1221</v>
      </c>
      <c r="D165" s="7" t="n">
        <f aca="false">VALUE(LEFT(B165,4))</f>
        <v>1992</v>
      </c>
      <c r="E165" s="7" t="n">
        <f aca="false">INT((D165-1)/100)+1</f>
        <v>20</v>
      </c>
      <c r="F165" s="7" t="s">
        <v>1222</v>
      </c>
      <c r="G165" s="7" t="s">
        <v>1223</v>
      </c>
      <c r="H165" s="7" t="s">
        <v>1224</v>
      </c>
      <c r="I165" s="7" t="s">
        <v>1225</v>
      </c>
      <c r="J165" s="7" t="s">
        <v>721</v>
      </c>
      <c r="K165" s="7" t="s">
        <v>1226</v>
      </c>
      <c r="L165" s="7" t="s">
        <v>627</v>
      </c>
      <c r="M165" s="7" t="s">
        <v>628</v>
      </c>
      <c r="N165" s="7" t="s">
        <v>16</v>
      </c>
      <c r="O165" s="7" t="s">
        <v>75</v>
      </c>
      <c r="P165" s="7" t="s">
        <v>1227</v>
      </c>
      <c r="Q165" s="7" t="s">
        <v>1220</v>
      </c>
      <c r="R165" s="7" t="n">
        <f aca="false">VALUE(LEFT(Q165,4))</f>
        <v>1992</v>
      </c>
      <c r="S165" s="7" t="n">
        <f aca="false">VALUE(MID(Q165,6,2))</f>
        <v>12</v>
      </c>
      <c r="T165" s="7" t="n">
        <f aca="false">VALUE(RIGHT(Q165,2))</f>
        <v>10</v>
      </c>
      <c r="U165" s="7" t="s">
        <v>125</v>
      </c>
      <c r="V165" s="7" t="s">
        <v>126</v>
      </c>
    </row>
    <row r="166" customFormat="false" ht="23.25" hidden="false" customHeight="true" outlineLevel="0" collapsed="false">
      <c r="A166" s="7" t="n">
        <v>165</v>
      </c>
      <c r="B166" s="7" t="s">
        <v>1228</v>
      </c>
      <c r="C166" s="7" t="s">
        <v>1229</v>
      </c>
      <c r="D166" s="7" t="n">
        <f aca="false">VALUE(LEFT(B166,4))</f>
        <v>1993</v>
      </c>
      <c r="E166" s="7" t="n">
        <f aca="false">INT((D166-1)/100)+1</f>
        <v>20</v>
      </c>
      <c r="F166" s="7" t="s">
        <v>219</v>
      </c>
      <c r="G166" s="7" t="s">
        <v>1230</v>
      </c>
      <c r="H166" s="7" t="s">
        <v>719</v>
      </c>
      <c r="I166" s="7" t="s">
        <v>1231</v>
      </c>
      <c r="J166" s="7" t="s">
        <v>310</v>
      </c>
      <c r="K166" s="7" t="s">
        <v>1232</v>
      </c>
      <c r="L166" s="7" t="s">
        <v>627</v>
      </c>
      <c r="M166" s="7" t="s">
        <v>628</v>
      </c>
      <c r="N166" s="7" t="s">
        <v>16</v>
      </c>
      <c r="O166" s="7" t="s">
        <v>75</v>
      </c>
      <c r="P166" s="7"/>
      <c r="Q166" s="7" t="s">
        <v>1228</v>
      </c>
      <c r="R166" s="7" t="n">
        <f aca="false">VALUE(LEFT(Q166,4))</f>
        <v>1993</v>
      </c>
      <c r="S166" s="7" t="n">
        <f aca="false">VALUE(MID(Q166,6,2))</f>
        <v>3</v>
      </c>
      <c r="T166" s="7" t="n">
        <f aca="false">VALUE(RIGHT(Q166,2))</f>
        <v>13</v>
      </c>
      <c r="U166" s="7" t="s">
        <v>125</v>
      </c>
      <c r="V166" s="7" t="s">
        <v>126</v>
      </c>
    </row>
    <row r="167" customFormat="false" ht="23.25" hidden="false" customHeight="true" outlineLevel="0" collapsed="false">
      <c r="A167" s="7" t="n">
        <v>166</v>
      </c>
      <c r="B167" s="7" t="s">
        <v>1233</v>
      </c>
      <c r="C167" s="7" t="s">
        <v>1234</v>
      </c>
      <c r="D167" s="7" t="n">
        <f aca="false">VALUE(LEFT(B167,4))</f>
        <v>1994</v>
      </c>
      <c r="E167" s="7" t="n">
        <f aca="false">INT((D167-1)/100)+1</f>
        <v>20</v>
      </c>
      <c r="F167" s="7" t="s">
        <v>1235</v>
      </c>
      <c r="G167" s="7" t="s">
        <v>1236</v>
      </c>
      <c r="H167" s="7" t="s">
        <v>961</v>
      </c>
      <c r="I167" s="7" t="s">
        <v>1237</v>
      </c>
      <c r="J167" s="7" t="s">
        <v>721</v>
      </c>
      <c r="K167" s="7" t="s">
        <v>1238</v>
      </c>
      <c r="L167" s="7" t="s">
        <v>569</v>
      </c>
      <c r="M167" s="7"/>
      <c r="N167" s="7" t="s">
        <v>18</v>
      </c>
      <c r="O167" s="7" t="s">
        <v>94</v>
      </c>
      <c r="P167" s="7"/>
      <c r="Q167" s="7" t="s">
        <v>1239</v>
      </c>
      <c r="R167" s="7" t="n">
        <f aca="false">VALUE(LEFT(Q167,4))</f>
        <v>1994</v>
      </c>
      <c r="S167" s="7" t="n">
        <f aca="false">VALUE(MID(Q167,6,2))</f>
        <v>1</v>
      </c>
      <c r="T167" s="7" t="n">
        <f aca="false">VALUE(RIGHT(Q167,2))</f>
        <v>19</v>
      </c>
      <c r="U167" s="7" t="s">
        <v>125</v>
      </c>
      <c r="V167" s="7" t="s">
        <v>1240</v>
      </c>
    </row>
    <row r="168" customFormat="false" ht="23.25" hidden="false" customHeight="true" outlineLevel="0" collapsed="false">
      <c r="A168" s="7" t="n">
        <v>167</v>
      </c>
      <c r="B168" s="7" t="s">
        <v>1241</v>
      </c>
      <c r="C168" s="7" t="s">
        <v>1241</v>
      </c>
      <c r="D168" s="7" t="n">
        <f aca="false">VALUE(LEFT(B168,4))</f>
        <v>1995</v>
      </c>
      <c r="E168" s="7" t="n">
        <f aca="false">INT((D168-1)/100)+1</f>
        <v>20</v>
      </c>
      <c r="F168" s="7" t="s">
        <v>1242</v>
      </c>
      <c r="G168" s="7" t="s">
        <v>1243</v>
      </c>
      <c r="H168" s="7" t="s">
        <v>1244</v>
      </c>
      <c r="I168" s="7" t="s">
        <v>1245</v>
      </c>
      <c r="J168" s="7" t="s">
        <v>983</v>
      </c>
      <c r="K168" s="7" t="s">
        <v>1246</v>
      </c>
      <c r="L168" s="7" t="s">
        <v>1247</v>
      </c>
      <c r="M168" s="7" t="s">
        <v>1248</v>
      </c>
      <c r="N168" s="7" t="s">
        <v>16</v>
      </c>
      <c r="O168" s="7" t="s">
        <v>75</v>
      </c>
      <c r="P168" s="7"/>
      <c r="Q168" s="7" t="s">
        <v>1241</v>
      </c>
      <c r="R168" s="7" t="n">
        <f aca="false">VALUE(LEFT(Q168,4))</f>
        <v>1995</v>
      </c>
      <c r="S168" s="7" t="n">
        <f aca="false">VALUE(MID(Q168,6,2))</f>
        <v>7</v>
      </c>
      <c r="T168" s="7" t="n">
        <f aca="false">VALUE(RIGHT(Q168,2))</f>
        <v>15</v>
      </c>
      <c r="U168" s="7" t="s">
        <v>77</v>
      </c>
      <c r="V168" s="7" t="s">
        <v>78</v>
      </c>
    </row>
    <row r="169" customFormat="false" ht="23.25" hidden="false" customHeight="true" outlineLevel="0" collapsed="false">
      <c r="A169" s="7" t="n">
        <v>168</v>
      </c>
      <c r="B169" s="7" t="s">
        <v>1249</v>
      </c>
      <c r="C169" s="7" t="s">
        <v>1250</v>
      </c>
      <c r="D169" s="7" t="n">
        <f aca="false">VALUE(LEFT(B169,4))</f>
        <v>1996</v>
      </c>
      <c r="E169" s="7" t="n">
        <f aca="false">INT((D169-1)/100)+1</f>
        <v>20</v>
      </c>
      <c r="F169" s="7" t="s">
        <v>219</v>
      </c>
      <c r="G169" s="7" t="s">
        <v>1251</v>
      </c>
      <c r="H169" s="7" t="s">
        <v>961</v>
      </c>
      <c r="I169" s="7" t="s">
        <v>1252</v>
      </c>
      <c r="J169" s="7" t="s">
        <v>721</v>
      </c>
      <c r="K169" s="7"/>
      <c r="L169" s="7" t="s">
        <v>569</v>
      </c>
      <c r="M169" s="7"/>
      <c r="N169" s="7" t="s">
        <v>18</v>
      </c>
      <c r="O169" s="7" t="s">
        <v>94</v>
      </c>
      <c r="P169" s="7"/>
      <c r="Q169" s="7" t="s">
        <v>1249</v>
      </c>
      <c r="R169" s="7" t="n">
        <f aca="false">VALUE(LEFT(Q169,4))</f>
        <v>1996</v>
      </c>
      <c r="S169" s="7" t="n">
        <f aca="false">VALUE(MID(Q169,6,2))</f>
        <v>1</v>
      </c>
      <c r="T169" s="7" t="n">
        <f aca="false">VALUE(RIGHT(Q169,2))</f>
        <v>7</v>
      </c>
      <c r="U169" s="7" t="s">
        <v>125</v>
      </c>
      <c r="V169" s="7" t="s">
        <v>126</v>
      </c>
    </row>
    <row r="170" customFormat="false" ht="23.25" hidden="false" customHeight="true" outlineLevel="0" collapsed="false">
      <c r="A170" s="7" t="n">
        <v>169</v>
      </c>
      <c r="B170" s="7" t="s">
        <v>1253</v>
      </c>
      <c r="C170" s="7" t="s">
        <v>1254</v>
      </c>
      <c r="D170" s="7" t="n">
        <f aca="false">VALUE(LEFT(B170,4))</f>
        <v>1996</v>
      </c>
      <c r="E170" s="7" t="n">
        <f aca="false">INT((D170-1)/100)+1</f>
        <v>20</v>
      </c>
      <c r="F170" s="7" t="s">
        <v>1255</v>
      </c>
      <c r="G170" s="7" t="s">
        <v>1256</v>
      </c>
      <c r="H170" s="7" t="s">
        <v>1257</v>
      </c>
      <c r="I170" s="7" t="s">
        <v>1258</v>
      </c>
      <c r="J170" s="7" t="s">
        <v>623</v>
      </c>
      <c r="K170" s="7" t="s">
        <v>1259</v>
      </c>
      <c r="L170" s="7" t="s">
        <v>627</v>
      </c>
      <c r="M170" s="7" t="s">
        <v>628</v>
      </c>
      <c r="N170" s="7" t="s">
        <v>16</v>
      </c>
      <c r="O170" s="7" t="s">
        <v>75</v>
      </c>
      <c r="P170" s="7"/>
      <c r="Q170" s="7" t="s">
        <v>1253</v>
      </c>
      <c r="R170" s="7" t="n">
        <f aca="false">VALUE(LEFT(Q170,4))</f>
        <v>1996</v>
      </c>
      <c r="S170" s="7" t="n">
        <f aca="false">VALUE(MID(Q170,6,2))</f>
        <v>1</v>
      </c>
      <c r="T170" s="7" t="n">
        <f aca="false">VALUE(RIGHT(Q170,2))</f>
        <v>19</v>
      </c>
      <c r="U170" s="7" t="s">
        <v>125</v>
      </c>
      <c r="V170" s="7" t="s">
        <v>126</v>
      </c>
    </row>
    <row r="171" customFormat="false" ht="23.25" hidden="false" customHeight="true" outlineLevel="0" collapsed="false">
      <c r="A171" s="7" t="n">
        <v>170</v>
      </c>
      <c r="B171" s="7" t="s">
        <v>1260</v>
      </c>
      <c r="C171" s="7" t="s">
        <v>1261</v>
      </c>
      <c r="D171" s="7" t="n">
        <f aca="false">VALUE(LEFT(B171,4))</f>
        <v>1996</v>
      </c>
      <c r="E171" s="7" t="n">
        <f aca="false">INT((D171-1)/100)+1</f>
        <v>20</v>
      </c>
      <c r="F171" s="7" t="s">
        <v>97</v>
      </c>
      <c r="G171" s="7" t="s">
        <v>1262</v>
      </c>
      <c r="H171" s="7" t="s">
        <v>1263</v>
      </c>
      <c r="I171" s="7" t="s">
        <v>1264</v>
      </c>
      <c r="J171" s="7" t="s">
        <v>721</v>
      </c>
      <c r="K171" s="7" t="s">
        <v>1265</v>
      </c>
      <c r="L171" s="7" t="s">
        <v>627</v>
      </c>
      <c r="M171" s="7" t="s">
        <v>628</v>
      </c>
      <c r="N171" s="7" t="s">
        <v>16</v>
      </c>
      <c r="O171" s="7" t="s">
        <v>75</v>
      </c>
      <c r="P171" s="7" t="s">
        <v>1266</v>
      </c>
      <c r="Q171" s="7" t="s">
        <v>1260</v>
      </c>
      <c r="R171" s="7" t="n">
        <f aca="false">VALUE(LEFT(Q171,4))</f>
        <v>1996</v>
      </c>
      <c r="S171" s="7" t="n">
        <f aca="false">VALUE(MID(Q171,6,2))</f>
        <v>7</v>
      </c>
      <c r="T171" s="7" t="n">
        <f aca="false">VALUE(RIGHT(Q171,2))</f>
        <v>12</v>
      </c>
      <c r="U171" s="7" t="s">
        <v>125</v>
      </c>
      <c r="V171" s="7" t="s">
        <v>126</v>
      </c>
    </row>
    <row r="172" customFormat="false" ht="23.25" hidden="false" customHeight="true" outlineLevel="0" collapsed="false">
      <c r="A172" s="7" t="n">
        <v>171</v>
      </c>
      <c r="B172" s="7" t="s">
        <v>1267</v>
      </c>
      <c r="C172" s="7" t="s">
        <v>1268</v>
      </c>
      <c r="D172" s="7" t="n">
        <f aca="false">VALUE(LEFT(B172,4))</f>
        <v>1998</v>
      </c>
      <c r="E172" s="7" t="n">
        <f aca="false">INT((D172-1)/100)+1</f>
        <v>20</v>
      </c>
      <c r="F172" s="7" t="s">
        <v>823</v>
      </c>
      <c r="G172" s="7" t="s">
        <v>1269</v>
      </c>
      <c r="H172" s="7" t="s">
        <v>504</v>
      </c>
      <c r="I172" s="7" t="s">
        <v>1270</v>
      </c>
      <c r="J172" s="7" t="s">
        <v>721</v>
      </c>
      <c r="K172" s="7" t="s">
        <v>1271</v>
      </c>
      <c r="L172" s="7" t="s">
        <v>627</v>
      </c>
      <c r="M172" s="7" t="s">
        <v>628</v>
      </c>
      <c r="N172" s="7" t="s">
        <v>16</v>
      </c>
      <c r="O172" s="7" t="s">
        <v>75</v>
      </c>
      <c r="P172" s="7"/>
      <c r="Q172" s="7" t="s">
        <v>1267</v>
      </c>
      <c r="R172" s="7" t="n">
        <f aca="false">VALUE(LEFT(Q172,4))</f>
        <v>1998</v>
      </c>
      <c r="S172" s="7" t="n">
        <f aca="false">VALUE(MID(Q172,6,2))</f>
        <v>1</v>
      </c>
      <c r="T172" s="7" t="n">
        <f aca="false">VALUE(RIGHT(Q172,2))</f>
        <v>5</v>
      </c>
      <c r="U172" s="7" t="s">
        <v>125</v>
      </c>
      <c r="V172" s="7" t="s">
        <v>126</v>
      </c>
    </row>
    <row r="173" customFormat="false" ht="23.25" hidden="false" customHeight="true" outlineLevel="0" collapsed="false">
      <c r="A173" s="7" t="n">
        <v>172</v>
      </c>
      <c r="B173" s="7" t="s">
        <v>1272</v>
      </c>
      <c r="C173" s="7" t="s">
        <v>1272</v>
      </c>
      <c r="D173" s="7" t="n">
        <f aca="false">VALUE(LEFT(B173,4))</f>
        <v>1998</v>
      </c>
      <c r="E173" s="7" t="n">
        <f aca="false">INT((D173-1)/100)+1</f>
        <v>20</v>
      </c>
      <c r="F173" s="7" t="s">
        <v>1273</v>
      </c>
      <c r="G173" s="7" t="s">
        <v>1274</v>
      </c>
      <c r="H173" s="7" t="s">
        <v>973</v>
      </c>
      <c r="I173" s="7" t="s">
        <v>1275</v>
      </c>
      <c r="J173" s="7" t="s">
        <v>975</v>
      </c>
      <c r="K173" s="7" t="s">
        <v>1276</v>
      </c>
      <c r="L173" s="7" t="s">
        <v>976</v>
      </c>
      <c r="M173" s="7" t="s">
        <v>977</v>
      </c>
      <c r="N173" s="7" t="s">
        <v>16</v>
      </c>
      <c r="O173" s="7" t="s">
        <v>75</v>
      </c>
      <c r="P173" s="7"/>
      <c r="Q173" s="7" t="s">
        <v>1272</v>
      </c>
      <c r="R173" s="7" t="n">
        <f aca="false">VALUE(LEFT(Q173,4))</f>
        <v>1998</v>
      </c>
      <c r="S173" s="7" t="n">
        <f aca="false">VALUE(MID(Q173,6,2))</f>
        <v>1</v>
      </c>
      <c r="T173" s="7" t="n">
        <f aca="false">VALUE(RIGHT(Q173,2))</f>
        <v>9</v>
      </c>
      <c r="U173" s="7" t="s">
        <v>77</v>
      </c>
      <c r="V173" s="7" t="s">
        <v>78</v>
      </c>
    </row>
    <row r="174" customFormat="false" ht="23.25" hidden="false" customHeight="true" outlineLevel="0" collapsed="false">
      <c r="A174" s="7" t="n">
        <v>173</v>
      </c>
      <c r="B174" s="7" t="s">
        <v>1277</v>
      </c>
      <c r="C174" s="7" t="s">
        <v>1277</v>
      </c>
      <c r="D174" s="7" t="n">
        <f aca="false">VALUE(LEFT(B174,4))</f>
        <v>1998</v>
      </c>
      <c r="E174" s="7" t="n">
        <f aca="false">INT((D174-1)/100)+1</f>
        <v>20</v>
      </c>
      <c r="F174" s="7" t="s">
        <v>1278</v>
      </c>
      <c r="G174" s="7" t="s">
        <v>1279</v>
      </c>
      <c r="H174" s="7" t="s">
        <v>1280</v>
      </c>
      <c r="I174" s="7" t="s">
        <v>1281</v>
      </c>
      <c r="J174" s="7" t="s">
        <v>983</v>
      </c>
      <c r="K174" s="7" t="s">
        <v>1282</v>
      </c>
      <c r="L174" s="7" t="s">
        <v>985</v>
      </c>
      <c r="M174" s="7" t="s">
        <v>986</v>
      </c>
      <c r="N174" s="7" t="s">
        <v>16</v>
      </c>
      <c r="O174" s="7" t="s">
        <v>75</v>
      </c>
      <c r="P174" s="7"/>
      <c r="Q174" s="7" t="s">
        <v>1277</v>
      </c>
      <c r="R174" s="7" t="n">
        <f aca="false">VALUE(LEFT(Q174,4))</f>
        <v>1998</v>
      </c>
      <c r="S174" s="7" t="n">
        <f aca="false">VALUE(MID(Q174,6,2))</f>
        <v>5</v>
      </c>
      <c r="T174" s="7" t="n">
        <f aca="false">VALUE(RIGHT(Q174,2))</f>
        <v>31</v>
      </c>
      <c r="U174" s="7" t="s">
        <v>77</v>
      </c>
      <c r="V174" s="7" t="s">
        <v>78</v>
      </c>
    </row>
    <row r="175" customFormat="false" ht="23.25" hidden="false" customHeight="true" outlineLevel="0" collapsed="false">
      <c r="A175" s="7" t="n">
        <v>174</v>
      </c>
      <c r="B175" s="7" t="s">
        <v>1283</v>
      </c>
      <c r="C175" s="7" t="s">
        <v>1284</v>
      </c>
      <c r="D175" s="7" t="n">
        <f aca="false">VALUE(LEFT(B175,4))</f>
        <v>1999</v>
      </c>
      <c r="E175" s="7" t="n">
        <f aca="false">INT((D175-1)/100)+1</f>
        <v>20</v>
      </c>
      <c r="F175" s="7" t="s">
        <v>1186</v>
      </c>
      <c r="G175" s="7" t="s">
        <v>1285</v>
      </c>
      <c r="H175" s="7" t="s">
        <v>961</v>
      </c>
      <c r="I175" s="7" t="s">
        <v>1286</v>
      </c>
      <c r="J175" s="7" t="s">
        <v>721</v>
      </c>
      <c r="K175" s="7" t="s">
        <v>1287</v>
      </c>
      <c r="L175" s="7" t="s">
        <v>1288</v>
      </c>
      <c r="M175" s="7"/>
      <c r="N175" s="7" t="s">
        <v>18</v>
      </c>
      <c r="O175" s="7" t="s">
        <v>75</v>
      </c>
      <c r="P175" s="7" t="s">
        <v>1289</v>
      </c>
      <c r="Q175" s="7" t="s">
        <v>1290</v>
      </c>
      <c r="R175" s="7" t="n">
        <f aca="false">VALUE(LEFT(Q175,4))</f>
        <v>1999</v>
      </c>
      <c r="S175" s="7" t="n">
        <f aca="false">VALUE(MID(Q175,6,2))</f>
        <v>7</v>
      </c>
      <c r="T175" s="7" t="n">
        <f aca="false">VALUE(RIGHT(Q175,2))</f>
        <v>6</v>
      </c>
      <c r="U175" s="7" t="s">
        <v>114</v>
      </c>
      <c r="V175" s="7" t="s">
        <v>1291</v>
      </c>
    </row>
    <row r="176" customFormat="false" ht="23.25" hidden="false" customHeight="true" outlineLevel="0" collapsed="false">
      <c r="A176" s="7" t="n">
        <v>175</v>
      </c>
      <c r="B176" s="7" t="s">
        <v>1292</v>
      </c>
      <c r="C176" s="7" t="s">
        <v>1293</v>
      </c>
      <c r="D176" s="7" t="n">
        <f aca="false">VALUE(LEFT(B176,4))</f>
        <v>1999</v>
      </c>
      <c r="E176" s="7" t="n">
        <f aca="false">INT((D176-1)/100)+1</f>
        <v>20</v>
      </c>
      <c r="F176" s="7" t="s">
        <v>97</v>
      </c>
      <c r="G176" s="7" t="s">
        <v>1294</v>
      </c>
      <c r="H176" s="7" t="s">
        <v>961</v>
      </c>
      <c r="I176" s="7" t="s">
        <v>1295</v>
      </c>
      <c r="J176" s="7" t="s">
        <v>310</v>
      </c>
      <c r="K176" s="7" t="s">
        <v>1296</v>
      </c>
      <c r="L176" s="7" t="s">
        <v>627</v>
      </c>
      <c r="M176" s="7" t="s">
        <v>628</v>
      </c>
      <c r="N176" s="7" t="s">
        <v>16</v>
      </c>
      <c r="O176" s="7" t="s">
        <v>75</v>
      </c>
      <c r="P176" s="7" t="s">
        <v>1297</v>
      </c>
      <c r="Q176" s="7" t="s">
        <v>1292</v>
      </c>
      <c r="R176" s="7" t="n">
        <f aca="false">VALUE(LEFT(Q176,4))</f>
        <v>1999</v>
      </c>
      <c r="S176" s="7" t="n">
        <f aca="false">VALUE(MID(Q176,6,2))</f>
        <v>9</v>
      </c>
      <c r="T176" s="7" t="n">
        <f aca="false">VALUE(RIGHT(Q176,2))</f>
        <v>16</v>
      </c>
      <c r="U176" s="7" t="s">
        <v>125</v>
      </c>
      <c r="V176" s="7" t="s">
        <v>126</v>
      </c>
    </row>
    <row r="177" customFormat="false" ht="23.25" hidden="false" customHeight="true" outlineLevel="0" collapsed="false">
      <c r="A177" s="7" t="n">
        <v>176</v>
      </c>
      <c r="B177" s="7" t="s">
        <v>1298</v>
      </c>
      <c r="C177" s="7" t="s">
        <v>1298</v>
      </c>
      <c r="D177" s="7" t="n">
        <f aca="false">VALUE(LEFT(B177,4))</f>
        <v>2002</v>
      </c>
      <c r="E177" s="7" t="n">
        <f aca="false">INT((D177-1)/100)+1</f>
        <v>21</v>
      </c>
      <c r="F177" s="7" t="s">
        <v>905</v>
      </c>
      <c r="G177" s="7" t="s">
        <v>1299</v>
      </c>
      <c r="H177" s="7" t="s">
        <v>1300</v>
      </c>
      <c r="I177" s="7" t="s">
        <v>1301</v>
      </c>
      <c r="J177" s="7" t="s">
        <v>310</v>
      </c>
      <c r="K177" s="7" t="s">
        <v>1302</v>
      </c>
      <c r="L177" s="7" t="s">
        <v>627</v>
      </c>
      <c r="M177" s="7" t="s">
        <v>628</v>
      </c>
      <c r="N177" s="7" t="s">
        <v>16</v>
      </c>
      <c r="O177" s="7" t="s">
        <v>75</v>
      </c>
      <c r="P177" s="7"/>
      <c r="Q177" s="7" t="s">
        <v>1298</v>
      </c>
      <c r="R177" s="7" t="n">
        <f aca="false">VALUE(LEFT(Q177,4))</f>
        <v>2002</v>
      </c>
      <c r="S177" s="7" t="n">
        <f aca="false">VALUE(MID(Q177,6,2))</f>
        <v>5</v>
      </c>
      <c r="T177" s="7" t="n">
        <f aca="false">VALUE(RIGHT(Q177,2))</f>
        <v>18</v>
      </c>
      <c r="U177" s="7" t="s">
        <v>77</v>
      </c>
      <c r="V177" s="7" t="s">
        <v>78</v>
      </c>
    </row>
    <row r="178" customFormat="false" ht="23.25" hidden="false" customHeight="true" outlineLevel="0" collapsed="false">
      <c r="A178" s="7" t="n">
        <v>177</v>
      </c>
      <c r="B178" s="7" t="s">
        <v>1303</v>
      </c>
      <c r="C178" s="7" t="s">
        <v>1304</v>
      </c>
      <c r="D178" s="7" t="n">
        <f aca="false">VALUE(LEFT(B178,4))</f>
        <v>2002</v>
      </c>
      <c r="E178" s="7" t="n">
        <f aca="false">INT((D178-1)/100)+1</f>
        <v>21</v>
      </c>
      <c r="F178" s="7" t="s">
        <v>1305</v>
      </c>
      <c r="G178" s="7" t="s">
        <v>1306</v>
      </c>
      <c r="H178" s="7" t="s">
        <v>961</v>
      </c>
      <c r="I178" s="7" t="s">
        <v>1307</v>
      </c>
      <c r="J178" s="7" t="s">
        <v>310</v>
      </c>
      <c r="K178" s="7" t="s">
        <v>1308</v>
      </c>
      <c r="L178" s="7" t="s">
        <v>627</v>
      </c>
      <c r="M178" s="7" t="s">
        <v>628</v>
      </c>
      <c r="N178" s="7" t="s">
        <v>16</v>
      </c>
      <c r="O178" s="7" t="s">
        <v>75</v>
      </c>
      <c r="P178" s="7"/>
      <c r="Q178" s="7" t="s">
        <v>1303</v>
      </c>
      <c r="R178" s="7" t="n">
        <f aca="false">VALUE(LEFT(Q178,4))</f>
        <v>2002</v>
      </c>
      <c r="S178" s="7" t="n">
        <f aca="false">VALUE(MID(Q178,6,2))</f>
        <v>12</v>
      </c>
      <c r="T178" s="7" t="n">
        <f aca="false">VALUE(RIGHT(Q178,2))</f>
        <v>25</v>
      </c>
      <c r="U178" s="7" t="s">
        <v>125</v>
      </c>
      <c r="V178" s="7" t="s">
        <v>126</v>
      </c>
    </row>
    <row r="179" customFormat="false" ht="23.25" hidden="false" customHeight="true" outlineLevel="0" collapsed="false">
      <c r="A179" s="7" t="n">
        <v>178</v>
      </c>
      <c r="B179" s="7" t="s">
        <v>1309</v>
      </c>
      <c r="C179" s="7" t="s">
        <v>1309</v>
      </c>
      <c r="D179" s="7" t="n">
        <f aca="false">VALUE(LEFT(B179,4))</f>
        <v>2003</v>
      </c>
      <c r="E179" s="7" t="n">
        <f aca="false">INT((D179-1)/100)+1</f>
        <v>21</v>
      </c>
      <c r="F179" s="7" t="s">
        <v>159</v>
      </c>
      <c r="G179" s="7" t="s">
        <v>1310</v>
      </c>
      <c r="H179" s="7" t="s">
        <v>961</v>
      </c>
      <c r="I179" s="7" t="s">
        <v>1311</v>
      </c>
      <c r="J179" s="7" t="s">
        <v>721</v>
      </c>
      <c r="K179" s="7" t="s">
        <v>1312</v>
      </c>
      <c r="L179" s="7" t="s">
        <v>627</v>
      </c>
      <c r="M179" s="7" t="s">
        <v>628</v>
      </c>
      <c r="N179" s="7" t="s">
        <v>16</v>
      </c>
      <c r="O179" s="7" t="s">
        <v>75</v>
      </c>
      <c r="P179" s="7"/>
      <c r="Q179" s="7" t="s">
        <v>1309</v>
      </c>
      <c r="R179" s="7" t="n">
        <f aca="false">VALUE(LEFT(Q179,4))</f>
        <v>2003</v>
      </c>
      <c r="S179" s="7" t="n">
        <f aca="false">VALUE(MID(Q179,6,2))</f>
        <v>2</v>
      </c>
      <c r="T179" s="7" t="n">
        <f aca="false">VALUE(RIGHT(Q179,2))</f>
        <v>17</v>
      </c>
      <c r="U179" s="7" t="s">
        <v>77</v>
      </c>
      <c r="V179" s="7" t="s">
        <v>78</v>
      </c>
    </row>
    <row r="180" customFormat="false" ht="23.25" hidden="false" customHeight="true" outlineLevel="0" collapsed="false">
      <c r="A180" s="7" t="n">
        <v>179</v>
      </c>
      <c r="B180" s="7" t="s">
        <v>1313</v>
      </c>
      <c r="C180" s="7" t="s">
        <v>1314</v>
      </c>
      <c r="D180" s="7" t="n">
        <f aca="false">VALUE(LEFT(B180,4))</f>
        <v>2003</v>
      </c>
      <c r="E180" s="7" t="n">
        <f aca="false">INT((D180-1)/100)+1</f>
        <v>21</v>
      </c>
      <c r="F180" s="7" t="s">
        <v>1315</v>
      </c>
      <c r="G180" s="7" t="s">
        <v>1316</v>
      </c>
      <c r="H180" s="7" t="s">
        <v>1317</v>
      </c>
      <c r="I180" s="7" t="s">
        <v>1318</v>
      </c>
      <c r="J180" s="7" t="s">
        <v>721</v>
      </c>
      <c r="K180" s="7" t="s">
        <v>1319</v>
      </c>
      <c r="L180" s="7" t="s">
        <v>627</v>
      </c>
      <c r="M180" s="7" t="s">
        <v>628</v>
      </c>
      <c r="N180" s="7" t="s">
        <v>16</v>
      </c>
      <c r="O180" s="7" t="s">
        <v>75</v>
      </c>
      <c r="P180" s="7"/>
      <c r="Q180" s="7" t="s">
        <v>1313</v>
      </c>
      <c r="R180" s="7" t="n">
        <f aca="false">VALUE(LEFT(Q180,4))</f>
        <v>2003</v>
      </c>
      <c r="S180" s="7" t="n">
        <f aca="false">VALUE(MID(Q180,6,2))</f>
        <v>4</v>
      </c>
      <c r="T180" s="7" t="n">
        <f aca="false">VALUE(RIGHT(Q180,2))</f>
        <v>3</v>
      </c>
      <c r="U180" s="7" t="s">
        <v>125</v>
      </c>
      <c r="V180" s="7" t="s">
        <v>126</v>
      </c>
    </row>
    <row r="181" customFormat="false" ht="23.25" hidden="false" customHeight="true" outlineLevel="0" collapsed="false">
      <c r="A181" s="7" t="n">
        <v>180</v>
      </c>
      <c r="B181" s="7" t="s">
        <v>1320</v>
      </c>
      <c r="C181" s="7" t="s">
        <v>1320</v>
      </c>
      <c r="D181" s="7" t="n">
        <f aca="false">VALUE(LEFT(B181,4))</f>
        <v>2003</v>
      </c>
      <c r="E181" s="7" t="n">
        <f aca="false">INT((D181-1)/100)+1</f>
        <v>21</v>
      </c>
      <c r="F181" s="7" t="s">
        <v>1195</v>
      </c>
      <c r="G181" s="7" t="s">
        <v>1321</v>
      </c>
      <c r="H181" s="7" t="s">
        <v>1322</v>
      </c>
      <c r="I181" s="7" t="s">
        <v>1323</v>
      </c>
      <c r="J181" s="7" t="s">
        <v>983</v>
      </c>
      <c r="K181" s="7" t="s">
        <v>984</v>
      </c>
      <c r="L181" s="7" t="s">
        <v>985</v>
      </c>
      <c r="M181" s="7" t="s">
        <v>986</v>
      </c>
      <c r="N181" s="7" t="s">
        <v>16</v>
      </c>
      <c r="O181" s="7" t="s">
        <v>75</v>
      </c>
      <c r="P181" s="7"/>
      <c r="Q181" s="7" t="s">
        <v>1320</v>
      </c>
      <c r="R181" s="7" t="n">
        <f aca="false">VALUE(LEFT(Q181,4))</f>
        <v>2003</v>
      </c>
      <c r="S181" s="7" t="n">
        <f aca="false">VALUE(MID(Q181,6,2))</f>
        <v>7</v>
      </c>
      <c r="T181" s="7" t="n">
        <f aca="false">VALUE(RIGHT(Q181,2))</f>
        <v>21</v>
      </c>
      <c r="U181" s="7" t="s">
        <v>77</v>
      </c>
      <c r="V181" s="7" t="s">
        <v>78</v>
      </c>
    </row>
    <row r="182" customFormat="false" ht="23.25" hidden="false" customHeight="true" outlineLevel="0" collapsed="false">
      <c r="A182" s="7" t="n">
        <v>181</v>
      </c>
      <c r="B182" s="7" t="s">
        <v>1324</v>
      </c>
      <c r="C182" s="7" t="s">
        <v>1325</v>
      </c>
      <c r="D182" s="7" t="n">
        <f aca="false">VALUE(LEFT(B182,4))</f>
        <v>2003</v>
      </c>
      <c r="E182" s="7" t="n">
        <f aca="false">INT((D182-1)/100)+1</f>
        <v>21</v>
      </c>
      <c r="F182" s="7" t="s">
        <v>139</v>
      </c>
      <c r="G182" s="7" t="s">
        <v>1326</v>
      </c>
      <c r="H182" s="7" t="s">
        <v>1327</v>
      </c>
      <c r="I182" s="7" t="s">
        <v>1328</v>
      </c>
      <c r="J182" s="7" t="s">
        <v>1166</v>
      </c>
      <c r="K182" s="7" t="s">
        <v>1329</v>
      </c>
      <c r="L182" s="7" t="s">
        <v>627</v>
      </c>
      <c r="M182" s="7" t="s">
        <v>628</v>
      </c>
      <c r="N182" s="7" t="s">
        <v>16</v>
      </c>
      <c r="O182" s="7" t="s">
        <v>75</v>
      </c>
      <c r="P182" s="7"/>
      <c r="Q182" s="7" t="s">
        <v>1324</v>
      </c>
      <c r="R182" s="7" t="n">
        <f aca="false">VALUE(LEFT(Q182,4))</f>
        <v>2003</v>
      </c>
      <c r="S182" s="7" t="n">
        <f aca="false">VALUE(MID(Q182,6,2))</f>
        <v>12</v>
      </c>
      <c r="T182" s="7" t="n">
        <f aca="false">VALUE(RIGHT(Q182,2))</f>
        <v>6</v>
      </c>
      <c r="U182" s="7" t="s">
        <v>125</v>
      </c>
      <c r="V182" s="7" t="s">
        <v>126</v>
      </c>
    </row>
    <row r="183" customFormat="false" ht="23.25" hidden="false" customHeight="true" outlineLevel="0" collapsed="false">
      <c r="A183" s="7" t="n">
        <v>182</v>
      </c>
      <c r="B183" s="7" t="s">
        <v>1330</v>
      </c>
      <c r="C183" s="7" t="s">
        <v>1331</v>
      </c>
      <c r="D183" s="7" t="n">
        <f aca="false">VALUE(LEFT(B183,4))</f>
        <v>2004</v>
      </c>
      <c r="E183" s="7" t="n">
        <f aca="false">INT((D183-1)/100)+1</f>
        <v>21</v>
      </c>
      <c r="F183" s="7" t="s">
        <v>553</v>
      </c>
      <c r="G183" s="7" t="s">
        <v>1332</v>
      </c>
      <c r="H183" s="7" t="s">
        <v>1333</v>
      </c>
      <c r="I183" s="7" t="s">
        <v>1334</v>
      </c>
      <c r="J183" s="7" t="s">
        <v>332</v>
      </c>
      <c r="K183" s="7" t="s">
        <v>1335</v>
      </c>
      <c r="L183" s="7" t="s">
        <v>1009</v>
      </c>
      <c r="M183" s="7" t="s">
        <v>1010</v>
      </c>
      <c r="N183" s="7" t="s">
        <v>18</v>
      </c>
      <c r="O183" s="7" t="s">
        <v>75</v>
      </c>
      <c r="P183" s="7" t="s">
        <v>1336</v>
      </c>
      <c r="Q183" s="7" t="s">
        <v>1337</v>
      </c>
      <c r="R183" s="7" t="n">
        <f aca="false">VALUE(LEFT(Q183,4))</f>
        <v>2004</v>
      </c>
      <c r="S183" s="7" t="n">
        <f aca="false">VALUE(MID(Q183,6,2))</f>
        <v>2</v>
      </c>
      <c r="T183" s="7" t="n">
        <f aca="false">VALUE(RIGHT(Q183,2))</f>
        <v>14</v>
      </c>
      <c r="U183" s="7" t="s">
        <v>317</v>
      </c>
      <c r="V183" s="7" t="s">
        <v>318</v>
      </c>
    </row>
    <row r="184" customFormat="false" ht="23.25" hidden="false" customHeight="true" outlineLevel="0" collapsed="false">
      <c r="A184" s="7" t="n">
        <v>183</v>
      </c>
      <c r="B184" s="7" t="s">
        <v>1338</v>
      </c>
      <c r="C184" s="7" t="s">
        <v>1339</v>
      </c>
      <c r="D184" s="7" t="n">
        <f aca="false">VALUE(LEFT(B184,4))</f>
        <v>2004</v>
      </c>
      <c r="E184" s="7" t="n">
        <f aca="false">INT((D184-1)/100)+1</f>
        <v>21</v>
      </c>
      <c r="F184" s="7" t="s">
        <v>97</v>
      </c>
      <c r="G184" s="7" t="s">
        <v>1340</v>
      </c>
      <c r="H184" s="7" t="s">
        <v>961</v>
      </c>
      <c r="I184" s="7" t="s">
        <v>1341</v>
      </c>
      <c r="J184" s="7" t="s">
        <v>721</v>
      </c>
      <c r="K184" s="7"/>
      <c r="L184" s="7" t="s">
        <v>627</v>
      </c>
      <c r="M184" s="7" t="s">
        <v>628</v>
      </c>
      <c r="N184" s="7" t="s">
        <v>16</v>
      </c>
      <c r="O184" s="7" t="s">
        <v>75</v>
      </c>
      <c r="P184" s="7"/>
      <c r="Q184" s="7" t="s">
        <v>1338</v>
      </c>
      <c r="R184" s="7" t="n">
        <f aca="false">VALUE(LEFT(Q184,4))</f>
        <v>2004</v>
      </c>
      <c r="S184" s="7" t="n">
        <f aca="false">VALUE(MID(Q184,6,2))</f>
        <v>9</v>
      </c>
      <c r="T184" s="7" t="n">
        <f aca="false">VALUE(RIGHT(Q184,2))</f>
        <v>17</v>
      </c>
      <c r="U184" s="7" t="s">
        <v>125</v>
      </c>
      <c r="V184" s="7" t="s">
        <v>126</v>
      </c>
    </row>
    <row r="185" customFormat="false" ht="23.25" hidden="false" customHeight="true" outlineLevel="0" collapsed="false">
      <c r="A185" s="7" t="n">
        <v>184</v>
      </c>
      <c r="B185" s="7" t="s">
        <v>1342</v>
      </c>
      <c r="C185" s="7" t="s">
        <v>1343</v>
      </c>
      <c r="D185" s="7" t="n">
        <f aca="false">VALUE(LEFT(B185,4))</f>
        <v>2005</v>
      </c>
      <c r="E185" s="7" t="n">
        <f aca="false">INT((D185-1)/100)+1</f>
        <v>21</v>
      </c>
      <c r="F185" s="7" t="s">
        <v>1255</v>
      </c>
      <c r="G185" s="7" t="s">
        <v>1344</v>
      </c>
      <c r="H185" s="7" t="s">
        <v>961</v>
      </c>
      <c r="I185" s="7"/>
      <c r="J185" s="7" t="s">
        <v>721</v>
      </c>
      <c r="K185" s="7" t="s">
        <v>1345</v>
      </c>
      <c r="L185" s="7" t="s">
        <v>627</v>
      </c>
      <c r="M185" s="7" t="s">
        <v>628</v>
      </c>
      <c r="N185" s="7" t="s">
        <v>18</v>
      </c>
      <c r="O185" s="7" t="s">
        <v>75</v>
      </c>
      <c r="P185" s="7"/>
      <c r="Q185" s="7" t="s">
        <v>1342</v>
      </c>
      <c r="R185" s="7" t="n">
        <f aca="false">VALUE(LEFT(Q185,4))</f>
        <v>2005</v>
      </c>
      <c r="S185" s="7" t="n">
        <f aca="false">VALUE(MID(Q185,6,2))</f>
        <v>1</v>
      </c>
      <c r="T185" s="7" t="n">
        <f aca="false">VALUE(RIGHT(Q185,2))</f>
        <v>13</v>
      </c>
      <c r="U185" s="7" t="s">
        <v>125</v>
      </c>
      <c r="V185" s="7" t="s">
        <v>126</v>
      </c>
    </row>
    <row r="186" customFormat="false" ht="23.25" hidden="false" customHeight="true" outlineLevel="0" collapsed="false">
      <c r="A186" s="7" t="n">
        <v>185</v>
      </c>
      <c r="B186" s="7" t="s">
        <v>1346</v>
      </c>
      <c r="C186" s="7" t="s">
        <v>1347</v>
      </c>
      <c r="D186" s="7" t="n">
        <f aca="false">VALUE(LEFT(B186,4))</f>
        <v>2005</v>
      </c>
      <c r="E186" s="7" t="n">
        <f aca="false">INT((D186-1)/100)+1</f>
        <v>21</v>
      </c>
      <c r="F186" s="7" t="s">
        <v>129</v>
      </c>
      <c r="G186" s="7" t="s">
        <v>1348</v>
      </c>
      <c r="H186" s="7" t="s">
        <v>1349</v>
      </c>
      <c r="I186" s="7" t="s">
        <v>1350</v>
      </c>
      <c r="J186" s="7" t="s">
        <v>1351</v>
      </c>
      <c r="K186" s="7" t="s">
        <v>1352</v>
      </c>
      <c r="L186" s="7" t="s">
        <v>627</v>
      </c>
      <c r="M186" s="7" t="s">
        <v>628</v>
      </c>
      <c r="N186" s="7" t="s">
        <v>16</v>
      </c>
      <c r="O186" s="7" t="s">
        <v>75</v>
      </c>
      <c r="P186" s="7"/>
      <c r="Q186" s="7" t="s">
        <v>1346</v>
      </c>
      <c r="R186" s="7" t="n">
        <f aca="false">VALUE(LEFT(Q186,4))</f>
        <v>2005</v>
      </c>
      <c r="S186" s="7" t="n">
        <f aca="false">VALUE(MID(Q186,6,2))</f>
        <v>4</v>
      </c>
      <c r="T186" s="7" t="n">
        <f aca="false">VALUE(RIGHT(Q186,2))</f>
        <v>2</v>
      </c>
      <c r="U186" s="7" t="s">
        <v>125</v>
      </c>
      <c r="V186" s="7" t="s">
        <v>126</v>
      </c>
    </row>
    <row r="187" customFormat="false" ht="23.25" hidden="false" customHeight="true" outlineLevel="0" collapsed="false">
      <c r="A187" s="7" t="n">
        <v>186</v>
      </c>
      <c r="B187" s="7" t="s">
        <v>1353</v>
      </c>
      <c r="C187" s="7" t="s">
        <v>1354</v>
      </c>
      <c r="D187" s="7" t="n">
        <f aca="false">VALUE(LEFT(B187,4))</f>
        <v>2005</v>
      </c>
      <c r="E187" s="7" t="n">
        <f aca="false">INT((D187-1)/100)+1</f>
        <v>21</v>
      </c>
      <c r="F187" s="7" t="s">
        <v>129</v>
      </c>
      <c r="G187" s="7" t="s">
        <v>1355</v>
      </c>
      <c r="H187" s="7" t="s">
        <v>1356</v>
      </c>
      <c r="I187" s="7" t="s">
        <v>1357</v>
      </c>
      <c r="J187" s="7" t="s">
        <v>721</v>
      </c>
      <c r="K187" s="7" t="s">
        <v>1358</v>
      </c>
      <c r="L187" s="7" t="s">
        <v>627</v>
      </c>
      <c r="M187" s="7" t="s">
        <v>628</v>
      </c>
      <c r="N187" s="7" t="s">
        <v>16</v>
      </c>
      <c r="O187" s="7" t="s">
        <v>75</v>
      </c>
      <c r="P187" s="7"/>
      <c r="Q187" s="7" t="s">
        <v>1353</v>
      </c>
      <c r="R187" s="7" t="n">
        <f aca="false">VALUE(LEFT(Q187,4))</f>
        <v>2005</v>
      </c>
      <c r="S187" s="7" t="n">
        <f aca="false">VALUE(MID(Q187,6,2))</f>
        <v>10</v>
      </c>
      <c r="T187" s="7" t="n">
        <f aca="false">VALUE(RIGHT(Q187,2))</f>
        <v>7</v>
      </c>
      <c r="U187" s="7" t="s">
        <v>125</v>
      </c>
      <c r="V187" s="7" t="s">
        <v>126</v>
      </c>
    </row>
    <row r="188" customFormat="false" ht="23.25" hidden="false" customHeight="true" outlineLevel="0" collapsed="false">
      <c r="A188" s="7" t="n">
        <v>187</v>
      </c>
      <c r="B188" s="7" t="s">
        <v>1359</v>
      </c>
      <c r="C188" s="7" t="s">
        <v>1360</v>
      </c>
      <c r="D188" s="7" t="n">
        <f aca="false">VALUE(LEFT(B188,4))</f>
        <v>2006</v>
      </c>
      <c r="E188" s="7" t="n">
        <f aca="false">INT((D188-1)/100)+1</f>
        <v>21</v>
      </c>
      <c r="F188" s="7" t="s">
        <v>580</v>
      </c>
      <c r="G188" s="7" t="s">
        <v>1361</v>
      </c>
      <c r="H188" s="7" t="s">
        <v>1362</v>
      </c>
      <c r="I188" s="7" t="s">
        <v>1363</v>
      </c>
      <c r="J188" s="7" t="s">
        <v>332</v>
      </c>
      <c r="K188" s="7" t="s">
        <v>1364</v>
      </c>
      <c r="L188" s="7" t="s">
        <v>569</v>
      </c>
      <c r="M188" s="7" t="s">
        <v>1365</v>
      </c>
      <c r="N188" s="7" t="s">
        <v>18</v>
      </c>
      <c r="O188" s="7" t="s">
        <v>75</v>
      </c>
      <c r="P188" s="7"/>
      <c r="Q188" s="7" t="s">
        <v>1366</v>
      </c>
      <c r="R188" s="7" t="n">
        <f aca="false">VALUE(LEFT(Q188,4))</f>
        <v>2006</v>
      </c>
      <c r="S188" s="7" t="n">
        <f aca="false">VALUE(MID(Q188,6,2))</f>
        <v>7</v>
      </c>
      <c r="T188" s="7" t="n">
        <f aca="false">VALUE(RIGHT(Q188,2))</f>
        <v>16</v>
      </c>
      <c r="U188" s="7" t="s">
        <v>114</v>
      </c>
      <c r="V188" s="7" t="s">
        <v>325</v>
      </c>
    </row>
    <row r="189" customFormat="false" ht="23.25" hidden="false" customHeight="true" outlineLevel="0" collapsed="false">
      <c r="A189" s="7" t="n">
        <v>188</v>
      </c>
      <c r="B189" s="7" t="s">
        <v>1367</v>
      </c>
      <c r="C189" s="7" t="s">
        <v>1368</v>
      </c>
      <c r="D189" s="7" t="n">
        <f aca="false">VALUE(LEFT(B189,4))</f>
        <v>2006</v>
      </c>
      <c r="E189" s="7" t="n">
        <f aca="false">INT((D189-1)/100)+1</f>
        <v>21</v>
      </c>
      <c r="F189" s="7" t="s">
        <v>129</v>
      </c>
      <c r="G189" s="7" t="s">
        <v>1369</v>
      </c>
      <c r="H189" s="7" t="s">
        <v>1370</v>
      </c>
      <c r="I189" s="7" t="s">
        <v>1371</v>
      </c>
      <c r="J189" s="7" t="s">
        <v>721</v>
      </c>
      <c r="K189" s="7" t="s">
        <v>1372</v>
      </c>
      <c r="L189" s="7" t="s">
        <v>627</v>
      </c>
      <c r="M189" s="7" t="s">
        <v>628</v>
      </c>
      <c r="N189" s="7" t="s">
        <v>16</v>
      </c>
      <c r="O189" s="7" t="s">
        <v>75</v>
      </c>
      <c r="P189" s="7"/>
      <c r="Q189" s="7" t="s">
        <v>1367</v>
      </c>
      <c r="R189" s="7" t="n">
        <f aca="false">VALUE(LEFT(Q189,4))</f>
        <v>2006</v>
      </c>
      <c r="S189" s="7" t="n">
        <f aca="false">VALUE(MID(Q189,6,2))</f>
        <v>6</v>
      </c>
      <c r="T189" s="7" t="n">
        <f aca="false">VALUE(RIGHT(Q189,2))</f>
        <v>26</v>
      </c>
      <c r="U189" s="7" t="s">
        <v>125</v>
      </c>
      <c r="V189" s="7" t="s">
        <v>126</v>
      </c>
    </row>
    <row r="190" customFormat="false" ht="23.25" hidden="false" customHeight="true" outlineLevel="0" collapsed="false">
      <c r="A190" s="7" t="n">
        <v>189</v>
      </c>
      <c r="B190" s="7" t="s">
        <v>1373</v>
      </c>
      <c r="C190" s="7" t="s">
        <v>1374</v>
      </c>
      <c r="D190" s="7" t="n">
        <f aca="false">VALUE(LEFT(B190,4))</f>
        <v>2007</v>
      </c>
      <c r="E190" s="7" t="n">
        <f aca="false">INT((D190-1)/100)+1</f>
        <v>21</v>
      </c>
      <c r="F190" s="7" t="s">
        <v>823</v>
      </c>
      <c r="G190" s="7" t="s">
        <v>1375</v>
      </c>
      <c r="H190" s="7" t="s">
        <v>1376</v>
      </c>
      <c r="I190" s="7" t="s">
        <v>1377</v>
      </c>
      <c r="J190" s="7" t="s">
        <v>721</v>
      </c>
      <c r="K190" s="7"/>
      <c r="L190" s="7" t="s">
        <v>627</v>
      </c>
      <c r="M190" s="7" t="s">
        <v>628</v>
      </c>
      <c r="N190" s="7" t="s">
        <v>16</v>
      </c>
      <c r="O190" s="7" t="s">
        <v>75</v>
      </c>
      <c r="P190" s="7"/>
      <c r="Q190" s="7" t="s">
        <v>1373</v>
      </c>
      <c r="R190" s="7" t="n">
        <f aca="false">VALUE(LEFT(Q190,4))</f>
        <v>2007</v>
      </c>
      <c r="S190" s="7" t="n">
        <f aca="false">VALUE(MID(Q190,6,2))</f>
        <v>1</v>
      </c>
      <c r="T190" s="7" t="n">
        <f aca="false">VALUE(RIGHT(Q190,2))</f>
        <v>14</v>
      </c>
      <c r="U190" s="7" t="s">
        <v>125</v>
      </c>
      <c r="V190" s="7" t="s">
        <v>126</v>
      </c>
    </row>
    <row r="191" customFormat="false" ht="23.25" hidden="false" customHeight="true" outlineLevel="0" collapsed="false">
      <c r="A191" s="7" t="n">
        <v>190</v>
      </c>
      <c r="B191" s="7" t="s">
        <v>1378</v>
      </c>
      <c r="C191" s="7" t="s">
        <v>1378</v>
      </c>
      <c r="D191" s="7" t="n">
        <f aca="false">VALUE(LEFT(B191,4))</f>
        <v>2007</v>
      </c>
      <c r="E191" s="7" t="n">
        <f aca="false">INT((D191-1)/100)+1</f>
        <v>21</v>
      </c>
      <c r="F191" s="7" t="s">
        <v>159</v>
      </c>
      <c r="G191" s="7" t="s">
        <v>1379</v>
      </c>
      <c r="H191" s="7" t="s">
        <v>961</v>
      </c>
      <c r="I191" s="7" t="s">
        <v>1380</v>
      </c>
      <c r="J191" s="7" t="s">
        <v>721</v>
      </c>
      <c r="K191" s="7" t="s">
        <v>1023</v>
      </c>
      <c r="L191" s="7" t="s">
        <v>627</v>
      </c>
      <c r="M191" s="7" t="s">
        <v>628</v>
      </c>
      <c r="N191" s="7" t="s">
        <v>16</v>
      </c>
      <c r="O191" s="7" t="s">
        <v>75</v>
      </c>
      <c r="P191" s="7"/>
      <c r="Q191" s="7" t="s">
        <v>1378</v>
      </c>
      <c r="R191" s="7" t="n">
        <f aca="false">VALUE(LEFT(Q191,4))</f>
        <v>2007</v>
      </c>
      <c r="S191" s="7" t="n">
        <f aca="false">VALUE(MID(Q191,6,2))</f>
        <v>2</v>
      </c>
      <c r="T191" s="7" t="n">
        <f aca="false">VALUE(RIGHT(Q191,2))</f>
        <v>14</v>
      </c>
      <c r="U191" s="7" t="s">
        <v>77</v>
      </c>
      <c r="V191" s="7" t="s">
        <v>78</v>
      </c>
    </row>
    <row r="192" customFormat="false" ht="23.25" hidden="false" customHeight="true" outlineLevel="0" collapsed="false">
      <c r="A192" s="7" t="n">
        <v>191</v>
      </c>
      <c r="B192" s="7" t="s">
        <v>1381</v>
      </c>
      <c r="C192" s="7" t="s">
        <v>1382</v>
      </c>
      <c r="D192" s="7" t="n">
        <f aca="false">VALUE(LEFT(B192,4))</f>
        <v>2007</v>
      </c>
      <c r="E192" s="7" t="n">
        <f aca="false">INT((D192-1)/100)+1</f>
        <v>21</v>
      </c>
      <c r="F192" s="7" t="s">
        <v>1383</v>
      </c>
      <c r="G192" s="7" t="s">
        <v>1384</v>
      </c>
      <c r="H192" s="7" t="s">
        <v>1385</v>
      </c>
      <c r="I192" s="7" t="s">
        <v>1386</v>
      </c>
      <c r="J192" s="7" t="s">
        <v>721</v>
      </c>
      <c r="K192" s="7" t="s">
        <v>1387</v>
      </c>
      <c r="L192" s="7" t="s">
        <v>627</v>
      </c>
      <c r="M192" s="7" t="s">
        <v>628</v>
      </c>
      <c r="N192" s="7" t="s">
        <v>16</v>
      </c>
      <c r="O192" s="7" t="s">
        <v>75</v>
      </c>
      <c r="P192" s="7"/>
      <c r="Q192" s="7" t="s">
        <v>1381</v>
      </c>
      <c r="R192" s="7" t="n">
        <f aca="false">VALUE(LEFT(Q192,4))</f>
        <v>2007</v>
      </c>
      <c r="S192" s="7" t="n">
        <f aca="false">VALUE(MID(Q192,6,2))</f>
        <v>4</v>
      </c>
      <c r="T192" s="7" t="n">
        <f aca="false">VALUE(RIGHT(Q192,2))</f>
        <v>15</v>
      </c>
      <c r="U192" s="7" t="s">
        <v>125</v>
      </c>
      <c r="V192" s="7" t="s">
        <v>126</v>
      </c>
    </row>
    <row r="193" customFormat="false" ht="45.75" hidden="false" customHeight="true" outlineLevel="0" collapsed="false">
      <c r="A193" s="7" t="n">
        <v>192</v>
      </c>
      <c r="B193" s="7" t="s">
        <v>1388</v>
      </c>
      <c r="C193" s="7" t="s">
        <v>1389</v>
      </c>
      <c r="D193" s="7" t="n">
        <f aca="false">VALUE(LEFT(B193,4))</f>
        <v>2008</v>
      </c>
      <c r="E193" s="7" t="n">
        <f aca="false">INT((D193-1)/100)+1</f>
        <v>21</v>
      </c>
      <c r="F193" s="7" t="s">
        <v>1390</v>
      </c>
      <c r="G193" s="7" t="s">
        <v>1391</v>
      </c>
      <c r="H193" s="7" t="s">
        <v>1392</v>
      </c>
      <c r="I193" s="7" t="s">
        <v>1393</v>
      </c>
      <c r="J193" s="7" t="s">
        <v>1394</v>
      </c>
      <c r="K193" s="7" t="s">
        <v>1395</v>
      </c>
      <c r="L193" s="7" t="s">
        <v>1396</v>
      </c>
      <c r="M193" s="7" t="s">
        <v>1397</v>
      </c>
      <c r="N193" s="7" t="s">
        <v>20</v>
      </c>
      <c r="O193" s="7" t="s">
        <v>75</v>
      </c>
      <c r="P193" s="7" t="s">
        <v>1398</v>
      </c>
      <c r="Q193" s="7" t="s">
        <v>1399</v>
      </c>
      <c r="R193" s="7" t="n">
        <f aca="false">VALUE(LEFT(Q193,4))</f>
        <v>2008</v>
      </c>
      <c r="S193" s="7" t="n">
        <f aca="false">VALUE(MID(Q193,6,2))</f>
        <v>8</v>
      </c>
      <c r="T193" s="7" t="n">
        <f aca="false">VALUE(RIGHT(Q193,2))</f>
        <v>15</v>
      </c>
      <c r="U193" s="7" t="s">
        <v>317</v>
      </c>
      <c r="V193" s="7" t="s">
        <v>1400</v>
      </c>
    </row>
    <row r="194" customFormat="false" ht="23.25" hidden="false" customHeight="true" outlineLevel="0" collapsed="false">
      <c r="A194" s="7" t="n">
        <v>193</v>
      </c>
      <c r="B194" s="7" t="s">
        <v>1401</v>
      </c>
      <c r="C194" s="7" t="s">
        <v>1402</v>
      </c>
      <c r="D194" s="7" t="n">
        <f aca="false">VALUE(LEFT(B194,4))</f>
        <v>2008</v>
      </c>
      <c r="E194" s="7" t="n">
        <f aca="false">INT((D194-1)/100)+1</f>
        <v>21</v>
      </c>
      <c r="F194" s="7" t="s">
        <v>823</v>
      </c>
      <c r="G194" s="7" t="s">
        <v>1403</v>
      </c>
      <c r="H194" s="7" t="s">
        <v>1404</v>
      </c>
      <c r="I194" s="7" t="s">
        <v>1405</v>
      </c>
      <c r="J194" s="7" t="s">
        <v>721</v>
      </c>
      <c r="K194" s="7" t="s">
        <v>1406</v>
      </c>
      <c r="L194" s="7" t="s">
        <v>627</v>
      </c>
      <c r="M194" s="7" t="s">
        <v>628</v>
      </c>
      <c r="N194" s="7" t="s">
        <v>16</v>
      </c>
      <c r="O194" s="7" t="s">
        <v>75</v>
      </c>
      <c r="P194" s="7"/>
      <c r="Q194" s="7" t="s">
        <v>1401</v>
      </c>
      <c r="R194" s="7" t="n">
        <f aca="false">VALUE(LEFT(Q194,4))</f>
        <v>2008</v>
      </c>
      <c r="S194" s="7" t="n">
        <f aca="false">VALUE(MID(Q194,6,2))</f>
        <v>12</v>
      </c>
      <c r="T194" s="7" t="n">
        <f aca="false">VALUE(RIGHT(Q194,2))</f>
        <v>11</v>
      </c>
      <c r="U194" s="7" t="s">
        <v>125</v>
      </c>
      <c r="V194" s="7" t="s">
        <v>126</v>
      </c>
    </row>
    <row r="195" customFormat="false" ht="57" hidden="false" customHeight="true" outlineLevel="0" collapsed="false">
      <c r="A195" s="7" t="n">
        <v>194</v>
      </c>
      <c r="B195" s="7" t="s">
        <v>1407</v>
      </c>
      <c r="C195" s="7" t="s">
        <v>1408</v>
      </c>
      <c r="D195" s="7" t="n">
        <f aca="false">VALUE(LEFT(B195,4))</f>
        <v>2009</v>
      </c>
      <c r="E195" s="7" t="n">
        <f aca="false">INT((D195-1)/100)+1</f>
        <v>21</v>
      </c>
      <c r="F195" s="7" t="s">
        <v>1409</v>
      </c>
      <c r="G195" s="7" t="s">
        <v>1410</v>
      </c>
      <c r="H195" s="7" t="s">
        <v>1411</v>
      </c>
      <c r="I195" s="7" t="s">
        <v>1412</v>
      </c>
      <c r="J195" s="7" t="s">
        <v>1413</v>
      </c>
      <c r="K195" s="7" t="s">
        <v>1414</v>
      </c>
      <c r="L195" s="7" t="s">
        <v>1396</v>
      </c>
      <c r="M195" s="7" t="s">
        <v>1397</v>
      </c>
      <c r="N195" s="7" t="s">
        <v>20</v>
      </c>
      <c r="O195" s="7" t="s">
        <v>75</v>
      </c>
      <c r="P195" s="7" t="s">
        <v>1415</v>
      </c>
      <c r="Q195" s="7" t="s">
        <v>1416</v>
      </c>
      <c r="R195" s="7" t="n">
        <f aca="false">VALUE(LEFT(Q195,4))</f>
        <v>2009</v>
      </c>
      <c r="S195" s="7" t="n">
        <f aca="false">VALUE(MID(Q195,6,2))</f>
        <v>4</v>
      </c>
      <c r="T195" s="7" t="n">
        <f aca="false">VALUE(RIGHT(Q195,2))</f>
        <v>15</v>
      </c>
      <c r="U195" s="7" t="s">
        <v>317</v>
      </c>
      <c r="V195" s="7" t="s">
        <v>1417</v>
      </c>
    </row>
    <row r="196" customFormat="false" ht="34.5" hidden="false" customHeight="true" outlineLevel="0" collapsed="false">
      <c r="A196" s="7" t="n">
        <v>195</v>
      </c>
      <c r="B196" s="7" t="s">
        <v>1418</v>
      </c>
      <c r="C196" s="7" t="s">
        <v>1419</v>
      </c>
      <c r="D196" s="7" t="n">
        <f aca="false">VALUE(LEFT(B196,4))</f>
        <v>2010</v>
      </c>
      <c r="E196" s="7" t="n">
        <f aca="false">INT((D196-1)/100)+1</f>
        <v>21</v>
      </c>
      <c r="F196" s="7" t="s">
        <v>580</v>
      </c>
      <c r="G196" s="7" t="s">
        <v>1420</v>
      </c>
      <c r="H196" s="7" t="s">
        <v>1421</v>
      </c>
      <c r="I196" s="7" t="s">
        <v>1422</v>
      </c>
      <c r="J196" s="7" t="s">
        <v>332</v>
      </c>
      <c r="K196" s="7" t="s">
        <v>1423</v>
      </c>
      <c r="L196" s="7" t="s">
        <v>1424</v>
      </c>
      <c r="M196" s="7" t="s">
        <v>1425</v>
      </c>
      <c r="N196" s="7" t="s">
        <v>20</v>
      </c>
      <c r="O196" s="7" t="s">
        <v>75</v>
      </c>
      <c r="P196" s="7" t="s">
        <v>1426</v>
      </c>
      <c r="Q196" s="7" t="s">
        <v>1427</v>
      </c>
      <c r="R196" s="7" t="n">
        <f aca="false">VALUE(LEFT(Q196,4))</f>
        <v>2018</v>
      </c>
      <c r="S196" s="7" t="n">
        <f aca="false">VALUE(MID(Q196,6,2))</f>
        <v>2</v>
      </c>
      <c r="T196" s="7" t="n">
        <f aca="false">VALUE(RIGHT(Q196,2))</f>
        <v>22</v>
      </c>
      <c r="U196" s="7" t="s">
        <v>338</v>
      </c>
      <c r="V196" s="7" t="s">
        <v>1428</v>
      </c>
    </row>
    <row r="197" customFormat="false" ht="23.25" hidden="false" customHeight="true" outlineLevel="0" collapsed="false">
      <c r="A197" s="7" t="n">
        <v>196</v>
      </c>
      <c r="B197" s="7" t="s">
        <v>1429</v>
      </c>
      <c r="C197" s="7" t="s">
        <v>1430</v>
      </c>
      <c r="D197" s="7" t="n">
        <f aca="false">VALUE(LEFT(B197,4))</f>
        <v>2010</v>
      </c>
      <c r="E197" s="7" t="n">
        <f aca="false">INT((D197-1)/100)+1</f>
        <v>21</v>
      </c>
      <c r="F197" s="7" t="s">
        <v>1431</v>
      </c>
      <c r="G197" s="7" t="s">
        <v>1432</v>
      </c>
      <c r="H197" s="7" t="s">
        <v>1433</v>
      </c>
      <c r="I197" s="7" t="s">
        <v>1434</v>
      </c>
      <c r="J197" s="7" t="s">
        <v>721</v>
      </c>
      <c r="K197" s="7" t="s">
        <v>1435</v>
      </c>
      <c r="L197" s="7" t="s">
        <v>627</v>
      </c>
      <c r="M197" s="7" t="s">
        <v>628</v>
      </c>
      <c r="N197" s="7" t="s">
        <v>16</v>
      </c>
      <c r="O197" s="7" t="s">
        <v>75</v>
      </c>
      <c r="P197" s="7"/>
      <c r="Q197" s="7" t="s">
        <v>1429</v>
      </c>
      <c r="R197" s="7" t="n">
        <f aca="false">VALUE(LEFT(Q197,4))</f>
        <v>2010</v>
      </c>
      <c r="S197" s="7" t="n">
        <f aca="false">VALUE(MID(Q197,6,2))</f>
        <v>1</v>
      </c>
      <c r="T197" s="7" t="n">
        <f aca="false">VALUE(RIGHT(Q197,2))</f>
        <v>25</v>
      </c>
      <c r="U197" s="7" t="s">
        <v>125</v>
      </c>
      <c r="V197" s="7" t="s">
        <v>126</v>
      </c>
    </row>
    <row r="198" customFormat="false" ht="23.25" hidden="false" customHeight="true" outlineLevel="0" collapsed="false">
      <c r="A198" s="7" t="n">
        <v>197</v>
      </c>
      <c r="B198" s="7" t="s">
        <v>1436</v>
      </c>
      <c r="C198" s="7" t="s">
        <v>1437</v>
      </c>
      <c r="D198" s="7" t="n">
        <f aca="false">VALUE(LEFT(B198,4))</f>
        <v>2010</v>
      </c>
      <c r="E198" s="7" t="n">
        <f aca="false">INT((D198-1)/100)+1</f>
        <v>21</v>
      </c>
      <c r="F198" s="7" t="s">
        <v>1305</v>
      </c>
      <c r="G198" s="7" t="s">
        <v>1438</v>
      </c>
      <c r="H198" s="7" t="s">
        <v>1439</v>
      </c>
      <c r="I198" s="7" t="s">
        <v>1440</v>
      </c>
      <c r="J198" s="7" t="s">
        <v>721</v>
      </c>
      <c r="K198" s="7" t="s">
        <v>1441</v>
      </c>
      <c r="L198" s="7" t="s">
        <v>627</v>
      </c>
      <c r="M198" s="7" t="s">
        <v>628</v>
      </c>
      <c r="N198" s="7" t="s">
        <v>16</v>
      </c>
      <c r="O198" s="7" t="s">
        <v>75</v>
      </c>
      <c r="P198" s="7" t="s">
        <v>1442</v>
      </c>
      <c r="Q198" s="7" t="s">
        <v>1436</v>
      </c>
      <c r="R198" s="7" t="n">
        <f aca="false">VALUE(LEFT(Q198,4))</f>
        <v>2010</v>
      </c>
      <c r="S198" s="7" t="n">
        <f aca="false">VALUE(MID(Q198,6,2))</f>
        <v>2</v>
      </c>
      <c r="T198" s="7" t="n">
        <f aca="false">VALUE(RIGHT(Q198,2))</f>
        <v>23</v>
      </c>
      <c r="U198" s="7" t="s">
        <v>125</v>
      </c>
      <c r="V198" s="7" t="s">
        <v>126</v>
      </c>
    </row>
    <row r="199" customFormat="false" ht="23.25" hidden="false" customHeight="true" outlineLevel="0" collapsed="false">
      <c r="A199" s="7" t="n">
        <v>198</v>
      </c>
      <c r="B199" s="7" t="s">
        <v>1443</v>
      </c>
      <c r="C199" s="7" t="s">
        <v>1444</v>
      </c>
      <c r="D199" s="7" t="n">
        <f aca="false">VALUE(LEFT(B199,4))</f>
        <v>2010</v>
      </c>
      <c r="E199" s="7" t="n">
        <f aca="false">INT((D199-1)/100)+1</f>
        <v>21</v>
      </c>
      <c r="F199" s="7" t="s">
        <v>1445</v>
      </c>
      <c r="G199" s="7" t="s">
        <v>1446</v>
      </c>
      <c r="H199" s="7" t="s">
        <v>961</v>
      </c>
      <c r="I199" s="7" t="s">
        <v>1447</v>
      </c>
      <c r="J199" s="7" t="s">
        <v>310</v>
      </c>
      <c r="K199" s="7" t="s">
        <v>1448</v>
      </c>
      <c r="L199" s="7" t="s">
        <v>627</v>
      </c>
      <c r="M199" s="7" t="s">
        <v>628</v>
      </c>
      <c r="N199" s="7" t="s">
        <v>16</v>
      </c>
      <c r="O199" s="7" t="s">
        <v>75</v>
      </c>
      <c r="P199" s="7"/>
      <c r="Q199" s="7" t="s">
        <v>1443</v>
      </c>
      <c r="R199" s="7" t="n">
        <f aca="false">VALUE(LEFT(Q199,4))</f>
        <v>2010</v>
      </c>
      <c r="S199" s="7" t="n">
        <f aca="false">VALUE(MID(Q199,6,2))</f>
        <v>9</v>
      </c>
      <c r="T199" s="7" t="n">
        <f aca="false">VALUE(RIGHT(Q199,2))</f>
        <v>30</v>
      </c>
      <c r="U199" s="7" t="s">
        <v>125</v>
      </c>
      <c r="V199" s="7" t="s">
        <v>126</v>
      </c>
    </row>
    <row r="200" customFormat="false" ht="23.25" hidden="false" customHeight="true" outlineLevel="0" collapsed="false">
      <c r="A200" s="7" t="n">
        <v>199</v>
      </c>
      <c r="B200" s="7" t="s">
        <v>1449</v>
      </c>
      <c r="C200" s="7" t="s">
        <v>1450</v>
      </c>
      <c r="D200" s="7" t="n">
        <f aca="false">VALUE(LEFT(B200,4))</f>
        <v>2010</v>
      </c>
      <c r="E200" s="7" t="n">
        <f aca="false">INT((D200-1)/100)+1</f>
        <v>21</v>
      </c>
      <c r="F200" s="7" t="s">
        <v>159</v>
      </c>
      <c r="G200" s="7" t="s">
        <v>1451</v>
      </c>
      <c r="H200" s="7" t="s">
        <v>1452</v>
      </c>
      <c r="I200" s="7" t="s">
        <v>1453</v>
      </c>
      <c r="J200" s="7" t="s">
        <v>721</v>
      </c>
      <c r="K200" s="7" t="s">
        <v>1023</v>
      </c>
      <c r="L200" s="7" t="s">
        <v>627</v>
      </c>
      <c r="M200" s="7" t="s">
        <v>628</v>
      </c>
      <c r="N200" s="7" t="s">
        <v>16</v>
      </c>
      <c r="O200" s="7" t="s">
        <v>75</v>
      </c>
      <c r="P200" s="7"/>
      <c r="Q200" s="7" t="s">
        <v>1449</v>
      </c>
      <c r="R200" s="7" t="n">
        <f aca="false">VALUE(LEFT(Q200,4))</f>
        <v>2010</v>
      </c>
      <c r="S200" s="7" t="n">
        <f aca="false">VALUE(MID(Q200,6,2))</f>
        <v>12</v>
      </c>
      <c r="T200" s="7" t="n">
        <f aca="false">VALUE(RIGHT(Q200,2))</f>
        <v>26</v>
      </c>
      <c r="U200" s="7" t="s">
        <v>125</v>
      </c>
      <c r="V200" s="7" t="s">
        <v>126</v>
      </c>
    </row>
    <row r="201" customFormat="false" ht="23.25" hidden="false" customHeight="true" outlineLevel="0" collapsed="false">
      <c r="A201" s="7" t="n">
        <v>200</v>
      </c>
      <c r="B201" s="7" t="s">
        <v>1454</v>
      </c>
      <c r="C201" s="7" t="s">
        <v>1454</v>
      </c>
      <c r="D201" s="7" t="n">
        <f aca="false">VALUE(LEFT(B201,4))</f>
        <v>2011</v>
      </c>
      <c r="E201" s="7" t="n">
        <f aca="false">INT((D201-1)/100)+1</f>
        <v>21</v>
      </c>
      <c r="F201" s="7" t="s">
        <v>159</v>
      </c>
      <c r="G201" s="7" t="s">
        <v>1455</v>
      </c>
      <c r="H201" s="7" t="s">
        <v>961</v>
      </c>
      <c r="I201" s="7" t="s">
        <v>1456</v>
      </c>
      <c r="J201" s="7" t="s">
        <v>721</v>
      </c>
      <c r="K201" s="7"/>
      <c r="L201" s="7" t="s">
        <v>627</v>
      </c>
      <c r="M201" s="7" t="s">
        <v>628</v>
      </c>
      <c r="N201" s="7" t="s">
        <v>16</v>
      </c>
      <c r="O201" s="7" t="s">
        <v>75</v>
      </c>
      <c r="P201" s="7"/>
      <c r="Q201" s="7" t="s">
        <v>1454</v>
      </c>
      <c r="R201" s="7" t="n">
        <f aca="false">VALUE(LEFT(Q201,4))</f>
        <v>2011</v>
      </c>
      <c r="S201" s="7" t="n">
        <f aca="false">VALUE(MID(Q201,6,2))</f>
        <v>1</v>
      </c>
      <c r="T201" s="7" t="n">
        <f aca="false">VALUE(RIGHT(Q201,2))</f>
        <v>12</v>
      </c>
      <c r="U201" s="7" t="s">
        <v>77</v>
      </c>
      <c r="V201" s="7" t="s">
        <v>78</v>
      </c>
    </row>
    <row r="202" customFormat="false" ht="23.25" hidden="false" customHeight="true" outlineLevel="0" collapsed="false">
      <c r="A202" s="7" t="n">
        <v>201</v>
      </c>
      <c r="B202" s="7" t="s">
        <v>1457</v>
      </c>
      <c r="C202" s="7" t="s">
        <v>1458</v>
      </c>
      <c r="D202" s="7" t="n">
        <f aca="false">VALUE(LEFT(B202,4))</f>
        <v>2011</v>
      </c>
      <c r="E202" s="7" t="n">
        <f aca="false">INT((D202-1)/100)+1</f>
        <v>21</v>
      </c>
      <c r="F202" s="7" t="s">
        <v>1431</v>
      </c>
      <c r="G202" s="7" t="s">
        <v>1459</v>
      </c>
      <c r="H202" s="7" t="s">
        <v>1460</v>
      </c>
      <c r="I202" s="7" t="s">
        <v>1461</v>
      </c>
      <c r="J202" s="7" t="s">
        <v>721</v>
      </c>
      <c r="K202" s="7" t="s">
        <v>1462</v>
      </c>
      <c r="L202" s="7" t="s">
        <v>627</v>
      </c>
      <c r="M202" s="7" t="s">
        <v>628</v>
      </c>
      <c r="N202" s="7" t="s">
        <v>16</v>
      </c>
      <c r="O202" s="7" t="s">
        <v>75</v>
      </c>
      <c r="P202" s="7"/>
      <c r="Q202" s="7" t="s">
        <v>1457</v>
      </c>
      <c r="R202" s="7" t="n">
        <f aca="false">VALUE(LEFT(Q202,4))</f>
        <v>2011</v>
      </c>
      <c r="S202" s="7" t="n">
        <f aca="false">VALUE(MID(Q202,6,2))</f>
        <v>3</v>
      </c>
      <c r="T202" s="7" t="n">
        <f aca="false">VALUE(RIGHT(Q202,2))</f>
        <v>6</v>
      </c>
      <c r="U202" s="7" t="s">
        <v>125</v>
      </c>
      <c r="V202" s="7" t="s">
        <v>126</v>
      </c>
    </row>
    <row r="203" customFormat="false" ht="23.25" hidden="false" customHeight="true" outlineLevel="0" collapsed="false">
      <c r="A203" s="7" t="n">
        <v>202</v>
      </c>
      <c r="B203" s="7" t="s">
        <v>1463</v>
      </c>
      <c r="C203" s="7" t="s">
        <v>1464</v>
      </c>
      <c r="D203" s="7" t="n">
        <f aca="false">VALUE(LEFT(B203,4))</f>
        <v>2011</v>
      </c>
      <c r="E203" s="7" t="n">
        <f aca="false">INT((D203-1)/100)+1</f>
        <v>21</v>
      </c>
      <c r="F203" s="7" t="s">
        <v>706</v>
      </c>
      <c r="G203" s="7" t="s">
        <v>1465</v>
      </c>
      <c r="H203" s="7" t="s">
        <v>961</v>
      </c>
      <c r="I203" s="7" t="s">
        <v>1466</v>
      </c>
      <c r="J203" s="7" t="s">
        <v>310</v>
      </c>
      <c r="K203" s="7" t="s">
        <v>1467</v>
      </c>
      <c r="L203" s="7" t="s">
        <v>1468</v>
      </c>
      <c r="M203" s="7" t="s">
        <v>628</v>
      </c>
      <c r="N203" s="7" t="s">
        <v>16</v>
      </c>
      <c r="O203" s="7" t="s">
        <v>75</v>
      </c>
      <c r="P203" s="7" t="s">
        <v>1469</v>
      </c>
      <c r="Q203" s="7" t="s">
        <v>1470</v>
      </c>
      <c r="R203" s="7" t="n">
        <f aca="false">VALUE(LEFT(Q203,4))</f>
        <v>2011</v>
      </c>
      <c r="S203" s="7" t="n">
        <f aca="false">VALUE(MID(Q203,6,2))</f>
        <v>7</v>
      </c>
      <c r="T203" s="7" t="n">
        <f aca="false">VALUE(RIGHT(Q203,2))</f>
        <v>21</v>
      </c>
      <c r="U203" s="7" t="s">
        <v>125</v>
      </c>
      <c r="V203" s="7" t="s">
        <v>1471</v>
      </c>
    </row>
    <row r="204" customFormat="false" ht="23.25" hidden="false" customHeight="true" outlineLevel="0" collapsed="false">
      <c r="A204" s="7" t="n">
        <v>203</v>
      </c>
      <c r="B204" s="7" t="s">
        <v>1472</v>
      </c>
      <c r="C204" s="7" t="s">
        <v>1472</v>
      </c>
      <c r="D204" s="7" t="n">
        <f aca="false">VALUE(LEFT(B204,4))</f>
        <v>2011</v>
      </c>
      <c r="E204" s="7" t="n">
        <f aca="false">INT((D204-1)/100)+1</f>
        <v>21</v>
      </c>
      <c r="F204" s="7" t="s">
        <v>97</v>
      </c>
      <c r="G204" s="7" t="s">
        <v>1473</v>
      </c>
      <c r="H204" s="7" t="s">
        <v>1474</v>
      </c>
      <c r="I204" s="7" t="s">
        <v>1475</v>
      </c>
      <c r="J204" s="7" t="s">
        <v>721</v>
      </c>
      <c r="K204" s="7" t="s">
        <v>1476</v>
      </c>
      <c r="L204" s="7" t="s">
        <v>627</v>
      </c>
      <c r="M204" s="7" t="s">
        <v>628</v>
      </c>
      <c r="N204" s="7" t="s">
        <v>16</v>
      </c>
      <c r="O204" s="7" t="s">
        <v>75</v>
      </c>
      <c r="P204" s="7" t="s">
        <v>1477</v>
      </c>
      <c r="Q204" s="7" t="s">
        <v>1472</v>
      </c>
      <c r="R204" s="7" t="n">
        <f aca="false">VALUE(LEFT(Q204,4))</f>
        <v>2011</v>
      </c>
      <c r="S204" s="7" t="n">
        <f aca="false">VALUE(MID(Q204,6,2))</f>
        <v>8</v>
      </c>
      <c r="T204" s="7" t="n">
        <f aca="false">VALUE(RIGHT(Q204,2))</f>
        <v>28</v>
      </c>
      <c r="U204" s="7" t="s">
        <v>77</v>
      </c>
      <c r="V204" s="7" t="s">
        <v>78</v>
      </c>
    </row>
    <row r="205" customFormat="false" ht="57" hidden="false" customHeight="true" outlineLevel="0" collapsed="false">
      <c r="A205" s="7" t="n">
        <v>204</v>
      </c>
      <c r="B205" s="7" t="s">
        <v>1472</v>
      </c>
      <c r="C205" s="7" t="s">
        <v>1472</v>
      </c>
      <c r="D205" s="7" t="n">
        <f aca="false">VALUE(LEFT(B205,4))</f>
        <v>2011</v>
      </c>
      <c r="E205" s="7" t="n">
        <f aca="false">INT((D205-1)/100)+1</f>
        <v>21</v>
      </c>
      <c r="F205" s="7" t="s">
        <v>728</v>
      </c>
      <c r="G205" s="7" t="s">
        <v>1478</v>
      </c>
      <c r="H205" s="7" t="s">
        <v>1479</v>
      </c>
      <c r="I205" s="7" t="s">
        <v>1480</v>
      </c>
      <c r="J205" s="7" t="s">
        <v>1481</v>
      </c>
      <c r="K205" s="7" t="s">
        <v>1482</v>
      </c>
      <c r="L205" s="7" t="s">
        <v>1072</v>
      </c>
      <c r="M205" s="7" t="s">
        <v>1483</v>
      </c>
      <c r="N205" s="7" t="s">
        <v>18</v>
      </c>
      <c r="O205" s="7" t="s">
        <v>75</v>
      </c>
      <c r="P205" s="7" t="s">
        <v>1484</v>
      </c>
      <c r="Q205" s="7" t="s">
        <v>1472</v>
      </c>
      <c r="R205" s="7" t="n">
        <f aca="false">VALUE(LEFT(Q205,4))</f>
        <v>2011</v>
      </c>
      <c r="S205" s="7" t="n">
        <f aca="false">VALUE(MID(Q205,6,2))</f>
        <v>8</v>
      </c>
      <c r="T205" s="7" t="n">
        <f aca="false">VALUE(RIGHT(Q205,2))</f>
        <v>28</v>
      </c>
      <c r="U205" s="7" t="s">
        <v>77</v>
      </c>
      <c r="V205" s="7" t="s">
        <v>78</v>
      </c>
    </row>
    <row r="206" customFormat="false" ht="57" hidden="false" customHeight="true" outlineLevel="0" collapsed="false">
      <c r="A206" s="7" t="n">
        <v>205</v>
      </c>
      <c r="B206" s="7" t="s">
        <v>1472</v>
      </c>
      <c r="C206" s="7" t="s">
        <v>1472</v>
      </c>
      <c r="D206" s="7" t="n">
        <f aca="false">VALUE(LEFT(B206,4))</f>
        <v>2011</v>
      </c>
      <c r="E206" s="7" t="n">
        <f aca="false">INT((D206-1)/100)+1</f>
        <v>21</v>
      </c>
      <c r="F206" s="7" t="s">
        <v>728</v>
      </c>
      <c r="G206" s="7" t="s">
        <v>1485</v>
      </c>
      <c r="H206" s="7" t="s">
        <v>1486</v>
      </c>
      <c r="I206" s="7" t="s">
        <v>1487</v>
      </c>
      <c r="J206" s="7" t="s">
        <v>1488</v>
      </c>
      <c r="K206" s="7" t="s">
        <v>1489</v>
      </c>
      <c r="L206" s="7" t="s">
        <v>1490</v>
      </c>
      <c r="M206" s="7" t="s">
        <v>1491</v>
      </c>
      <c r="N206" s="7" t="s">
        <v>18</v>
      </c>
      <c r="O206" s="7" t="s">
        <v>75</v>
      </c>
      <c r="P206" s="7" t="s">
        <v>1492</v>
      </c>
      <c r="Q206" s="7" t="s">
        <v>1472</v>
      </c>
      <c r="R206" s="7" t="n">
        <f aca="false">VALUE(LEFT(Q206,4))</f>
        <v>2011</v>
      </c>
      <c r="S206" s="7" t="n">
        <f aca="false">VALUE(MID(Q206,6,2))</f>
        <v>8</v>
      </c>
      <c r="T206" s="7" t="n">
        <f aca="false">VALUE(RIGHT(Q206,2))</f>
        <v>28</v>
      </c>
      <c r="U206" s="7" t="s">
        <v>77</v>
      </c>
      <c r="V206" s="7" t="s">
        <v>78</v>
      </c>
    </row>
    <row r="207" customFormat="false" ht="45.75" hidden="false" customHeight="true" outlineLevel="0" collapsed="false">
      <c r="A207" s="7" t="n">
        <v>206</v>
      </c>
      <c r="B207" s="7" t="s">
        <v>1472</v>
      </c>
      <c r="C207" s="7" t="s">
        <v>1472</v>
      </c>
      <c r="D207" s="7" t="n">
        <f aca="false">VALUE(LEFT(B207,4))</f>
        <v>2011</v>
      </c>
      <c r="E207" s="7" t="n">
        <f aca="false">INT((D207-1)/100)+1</f>
        <v>21</v>
      </c>
      <c r="F207" s="7" t="s">
        <v>1493</v>
      </c>
      <c r="G207" s="7" t="s">
        <v>1494</v>
      </c>
      <c r="H207" s="7" t="s">
        <v>1495</v>
      </c>
      <c r="I207" s="7" t="s">
        <v>1496</v>
      </c>
      <c r="J207" s="7" t="s">
        <v>332</v>
      </c>
      <c r="K207" s="7" t="s">
        <v>1497</v>
      </c>
      <c r="L207" s="7" t="s">
        <v>1498</v>
      </c>
      <c r="M207" s="7" t="s">
        <v>1499</v>
      </c>
      <c r="N207" s="7" t="s">
        <v>16</v>
      </c>
      <c r="O207" s="7" t="s">
        <v>75</v>
      </c>
      <c r="P207" s="7" t="s">
        <v>1500</v>
      </c>
      <c r="Q207" s="7" t="s">
        <v>1472</v>
      </c>
      <c r="R207" s="7" t="n">
        <f aca="false">VALUE(LEFT(Q207,4))</f>
        <v>2011</v>
      </c>
      <c r="S207" s="7" t="n">
        <f aca="false">VALUE(MID(Q207,6,2))</f>
        <v>8</v>
      </c>
      <c r="T207" s="7" t="n">
        <f aca="false">VALUE(RIGHT(Q207,2))</f>
        <v>28</v>
      </c>
      <c r="U207" s="7" t="s">
        <v>77</v>
      </c>
      <c r="V207" s="7" t="s">
        <v>78</v>
      </c>
    </row>
    <row r="208" customFormat="false" ht="23.25" hidden="false" customHeight="true" outlineLevel="0" collapsed="false">
      <c r="A208" s="7" t="n">
        <v>207</v>
      </c>
      <c r="B208" s="7" t="s">
        <v>1501</v>
      </c>
      <c r="C208" s="7" t="s">
        <v>1502</v>
      </c>
      <c r="D208" s="7" t="n">
        <f aca="false">VALUE(LEFT(B208,4))</f>
        <v>2011</v>
      </c>
      <c r="E208" s="7" t="n">
        <f aca="false">INT((D208-1)/100)+1</f>
        <v>21</v>
      </c>
      <c r="F208" s="7" t="s">
        <v>1445</v>
      </c>
      <c r="G208" s="7" t="s">
        <v>1503</v>
      </c>
      <c r="H208" s="7" t="s">
        <v>961</v>
      </c>
      <c r="I208" s="7" t="s">
        <v>1504</v>
      </c>
      <c r="J208" s="7" t="s">
        <v>721</v>
      </c>
      <c r="K208" s="7" t="s">
        <v>1505</v>
      </c>
      <c r="L208" s="7" t="s">
        <v>627</v>
      </c>
      <c r="M208" s="7" t="s">
        <v>628</v>
      </c>
      <c r="N208" s="7" t="s">
        <v>16</v>
      </c>
      <c r="O208" s="7" t="s">
        <v>75</v>
      </c>
      <c r="P208" s="7"/>
      <c r="Q208" s="7" t="s">
        <v>1501</v>
      </c>
      <c r="R208" s="7" t="n">
        <f aca="false">VALUE(LEFT(Q208,4))</f>
        <v>2011</v>
      </c>
      <c r="S208" s="7" t="n">
        <f aca="false">VALUE(MID(Q208,6,2))</f>
        <v>9</v>
      </c>
      <c r="T208" s="7" t="n">
        <f aca="false">VALUE(RIGHT(Q208,2))</f>
        <v>5</v>
      </c>
      <c r="U208" s="7" t="s">
        <v>125</v>
      </c>
      <c r="V208" s="7" t="s">
        <v>126</v>
      </c>
    </row>
    <row r="209" customFormat="false" ht="23.25" hidden="false" customHeight="true" outlineLevel="0" collapsed="false">
      <c r="A209" s="7" t="n">
        <v>208</v>
      </c>
      <c r="B209" s="7" t="s">
        <v>1506</v>
      </c>
      <c r="C209" s="7" t="s">
        <v>1507</v>
      </c>
      <c r="D209" s="7" t="n">
        <f aca="false">VALUE(LEFT(B209,4))</f>
        <v>2011</v>
      </c>
      <c r="E209" s="7" t="n">
        <f aca="false">INT((D209-1)/100)+1</f>
        <v>21</v>
      </c>
      <c r="F209" s="7" t="s">
        <v>1508</v>
      </c>
      <c r="G209" s="7" t="s">
        <v>1509</v>
      </c>
      <c r="H209" s="7" t="s">
        <v>1510</v>
      </c>
      <c r="I209" s="7" t="s">
        <v>1511</v>
      </c>
      <c r="J209" s="7" t="s">
        <v>721</v>
      </c>
      <c r="K209" s="7" t="s">
        <v>1512</v>
      </c>
      <c r="L209" s="7" t="s">
        <v>627</v>
      </c>
      <c r="M209" s="7" t="s">
        <v>628</v>
      </c>
      <c r="N209" s="7" t="s">
        <v>16</v>
      </c>
      <c r="O209" s="7" t="s">
        <v>75</v>
      </c>
      <c r="P209" s="7"/>
      <c r="Q209" s="7" t="s">
        <v>1506</v>
      </c>
      <c r="R209" s="7" t="n">
        <f aca="false">VALUE(LEFT(Q209,4))</f>
        <v>2011</v>
      </c>
      <c r="S209" s="7" t="n">
        <f aca="false">VALUE(MID(Q209,6,2))</f>
        <v>10</v>
      </c>
      <c r="T209" s="7" t="n">
        <f aca="false">VALUE(RIGHT(Q209,2))</f>
        <v>29</v>
      </c>
      <c r="U209" s="7" t="s">
        <v>125</v>
      </c>
      <c r="V209" s="7" t="s">
        <v>126</v>
      </c>
    </row>
    <row r="210" customFormat="false" ht="23.25" hidden="false" customHeight="true" outlineLevel="0" collapsed="false">
      <c r="A210" s="7" t="n">
        <v>209</v>
      </c>
      <c r="B210" s="7" t="s">
        <v>1513</v>
      </c>
      <c r="C210" s="7" t="s">
        <v>1514</v>
      </c>
      <c r="D210" s="7" t="n">
        <f aca="false">VALUE(LEFT(B210,4))</f>
        <v>2012</v>
      </c>
      <c r="E210" s="7" t="n">
        <f aca="false">INT((D210-1)/100)+1</f>
        <v>21</v>
      </c>
      <c r="F210" s="7" t="s">
        <v>706</v>
      </c>
      <c r="G210" s="7" t="s">
        <v>1515</v>
      </c>
      <c r="H210" s="7" t="s">
        <v>835</v>
      </c>
      <c r="I210" s="7" t="s">
        <v>1516</v>
      </c>
      <c r="J210" s="7" t="s">
        <v>721</v>
      </c>
      <c r="K210" s="7" t="s">
        <v>1517</v>
      </c>
      <c r="L210" s="7" t="s">
        <v>569</v>
      </c>
      <c r="M210" s="7"/>
      <c r="N210" s="7" t="s">
        <v>18</v>
      </c>
      <c r="O210" s="7" t="s">
        <v>94</v>
      </c>
      <c r="P210" s="7"/>
      <c r="Q210" s="7" t="s">
        <v>1513</v>
      </c>
      <c r="R210" s="7" t="n">
        <f aca="false">VALUE(LEFT(Q210,4))</f>
        <v>2012</v>
      </c>
      <c r="S210" s="7" t="n">
        <f aca="false">VALUE(MID(Q210,6,2))</f>
        <v>3</v>
      </c>
      <c r="T210" s="7" t="n">
        <f aca="false">VALUE(RIGHT(Q210,2))</f>
        <v>18</v>
      </c>
      <c r="U210" s="7" t="s">
        <v>125</v>
      </c>
      <c r="V210" s="7" t="s">
        <v>126</v>
      </c>
    </row>
    <row r="211" customFormat="false" ht="23.25" hidden="false" customHeight="true" outlineLevel="0" collapsed="false">
      <c r="A211" s="7" t="n">
        <v>210</v>
      </c>
      <c r="B211" s="7" t="s">
        <v>1518</v>
      </c>
      <c r="C211" s="7" t="s">
        <v>1519</v>
      </c>
      <c r="D211" s="7" t="n">
        <f aca="false">VALUE(LEFT(B211,4))</f>
        <v>2012</v>
      </c>
      <c r="E211" s="7" t="n">
        <f aca="false">INT((D211-1)/100)+1</f>
        <v>21</v>
      </c>
      <c r="F211" s="7" t="s">
        <v>459</v>
      </c>
      <c r="G211" s="7" t="s">
        <v>1520</v>
      </c>
      <c r="H211" s="7" t="s">
        <v>835</v>
      </c>
      <c r="I211" s="7" t="s">
        <v>1521</v>
      </c>
      <c r="J211" s="7" t="s">
        <v>721</v>
      </c>
      <c r="K211" s="7" t="s">
        <v>1522</v>
      </c>
      <c r="L211" s="7" t="s">
        <v>569</v>
      </c>
      <c r="M211" s="7"/>
      <c r="N211" s="7" t="s">
        <v>18</v>
      </c>
      <c r="O211" s="7" t="s">
        <v>94</v>
      </c>
      <c r="P211" s="7" t="s">
        <v>1523</v>
      </c>
      <c r="Q211" s="7" t="s">
        <v>1518</v>
      </c>
      <c r="R211" s="7" t="n">
        <f aca="false">VALUE(LEFT(Q211,4))</f>
        <v>2012</v>
      </c>
      <c r="S211" s="7" t="n">
        <f aca="false">VALUE(MID(Q211,6,2))</f>
        <v>4</v>
      </c>
      <c r="T211" s="7" t="n">
        <f aca="false">VALUE(RIGHT(Q211,2))</f>
        <v>27</v>
      </c>
      <c r="U211" s="7" t="s">
        <v>125</v>
      </c>
      <c r="V211" s="7" t="s">
        <v>126</v>
      </c>
    </row>
    <row r="212" customFormat="false" ht="23.25" hidden="false" customHeight="true" outlineLevel="0" collapsed="false">
      <c r="A212" s="7" t="n">
        <v>211</v>
      </c>
      <c r="B212" s="7" t="s">
        <v>1524</v>
      </c>
      <c r="C212" s="7" t="s">
        <v>1524</v>
      </c>
      <c r="D212" s="7" t="n">
        <f aca="false">VALUE(LEFT(B212,4))</f>
        <v>2012</v>
      </c>
      <c r="E212" s="7" t="n">
        <f aca="false">INT((D212-1)/100)+1</f>
        <v>21</v>
      </c>
      <c r="F212" s="7" t="s">
        <v>67</v>
      </c>
      <c r="G212" s="7" t="s">
        <v>1525</v>
      </c>
      <c r="H212" s="7" t="s">
        <v>961</v>
      </c>
      <c r="I212" s="7" t="s">
        <v>1526</v>
      </c>
      <c r="J212" s="7" t="s">
        <v>1527</v>
      </c>
      <c r="K212" s="7" t="s">
        <v>1528</v>
      </c>
      <c r="L212" s="7" t="s">
        <v>627</v>
      </c>
      <c r="M212" s="7" t="s">
        <v>628</v>
      </c>
      <c r="N212" s="7" t="s">
        <v>16</v>
      </c>
      <c r="O212" s="7" t="s">
        <v>75</v>
      </c>
      <c r="P212" s="7"/>
      <c r="Q212" s="7" t="s">
        <v>1524</v>
      </c>
      <c r="R212" s="7" t="n">
        <f aca="false">VALUE(LEFT(Q212,4))</f>
        <v>2012</v>
      </c>
      <c r="S212" s="7" t="n">
        <f aca="false">VALUE(MID(Q212,6,2))</f>
        <v>10</v>
      </c>
      <c r="T212" s="7" t="n">
        <f aca="false">VALUE(RIGHT(Q212,2))</f>
        <v>29</v>
      </c>
      <c r="U212" s="7" t="s">
        <v>77</v>
      </c>
      <c r="V212" s="7" t="s">
        <v>78</v>
      </c>
    </row>
    <row r="213" customFormat="false" ht="23.25" hidden="false" customHeight="true" outlineLevel="0" collapsed="false">
      <c r="A213" s="7" t="n">
        <v>212</v>
      </c>
      <c r="B213" s="7" t="s">
        <v>1529</v>
      </c>
      <c r="C213" s="7" t="s">
        <v>1530</v>
      </c>
      <c r="D213" s="7" t="n">
        <f aca="false">VALUE(LEFT(B213,4))</f>
        <v>2013</v>
      </c>
      <c r="E213" s="7" t="n">
        <f aca="false">INT((D213-1)/100)+1</f>
        <v>21</v>
      </c>
      <c r="F213" s="7" t="s">
        <v>219</v>
      </c>
      <c r="G213" s="7" t="s">
        <v>1531</v>
      </c>
      <c r="H213" s="7" t="s">
        <v>961</v>
      </c>
      <c r="I213" s="7" t="s">
        <v>1456</v>
      </c>
      <c r="J213" s="7" t="s">
        <v>721</v>
      </c>
      <c r="K213" s="7"/>
      <c r="L213" s="7" t="s">
        <v>627</v>
      </c>
      <c r="M213" s="7" t="s">
        <v>628</v>
      </c>
      <c r="N213" s="7" t="s">
        <v>16</v>
      </c>
      <c r="O213" s="7" t="s">
        <v>75</v>
      </c>
      <c r="P213" s="7"/>
      <c r="Q213" s="7" t="s">
        <v>1529</v>
      </c>
      <c r="R213" s="7" t="n">
        <f aca="false">VALUE(LEFT(Q213,4))</f>
        <v>2013</v>
      </c>
      <c r="S213" s="7" t="n">
        <f aca="false">VALUE(MID(Q213,6,2))</f>
        <v>2</v>
      </c>
      <c r="T213" s="7" t="n">
        <f aca="false">VALUE(RIGHT(Q213,2))</f>
        <v>8</v>
      </c>
      <c r="U213" s="7" t="s">
        <v>125</v>
      </c>
      <c r="V213" s="7" t="s">
        <v>126</v>
      </c>
    </row>
    <row r="214" customFormat="false" ht="23.25" hidden="false" customHeight="true" outlineLevel="0" collapsed="false">
      <c r="A214" s="7" t="n">
        <v>213</v>
      </c>
      <c r="B214" s="7" t="s">
        <v>1532</v>
      </c>
      <c r="C214" s="7" t="s">
        <v>1532</v>
      </c>
      <c r="D214" s="7" t="n">
        <f aca="false">VALUE(LEFT(B214,4))</f>
        <v>2013</v>
      </c>
      <c r="E214" s="7" t="n">
        <f aca="false">INT((D214-1)/100)+1</f>
        <v>21</v>
      </c>
      <c r="F214" s="7" t="s">
        <v>1195</v>
      </c>
      <c r="G214" s="7" t="s">
        <v>1533</v>
      </c>
      <c r="H214" s="7" t="s">
        <v>1534</v>
      </c>
      <c r="I214" s="7" t="s">
        <v>1535</v>
      </c>
      <c r="J214" s="7" t="s">
        <v>983</v>
      </c>
      <c r="K214" s="7" t="s">
        <v>984</v>
      </c>
      <c r="L214" s="7" t="s">
        <v>627</v>
      </c>
      <c r="M214" s="7" t="s">
        <v>628</v>
      </c>
      <c r="N214" s="7" t="s">
        <v>16</v>
      </c>
      <c r="O214" s="7" t="s">
        <v>75</v>
      </c>
      <c r="P214" s="7"/>
      <c r="Q214" s="7" t="s">
        <v>1532</v>
      </c>
      <c r="R214" s="7" t="n">
        <f aca="false">VALUE(LEFT(Q214,4))</f>
        <v>2013</v>
      </c>
      <c r="S214" s="7" t="n">
        <f aca="false">VALUE(MID(Q214,6,2))</f>
        <v>5</v>
      </c>
      <c r="T214" s="7" t="n">
        <f aca="false">VALUE(RIGHT(Q214,2))</f>
        <v>29</v>
      </c>
      <c r="U214" s="7" t="s">
        <v>77</v>
      </c>
      <c r="V214" s="7" t="s">
        <v>78</v>
      </c>
    </row>
    <row r="215" customFormat="false" ht="23.25" hidden="false" customHeight="true" outlineLevel="0" collapsed="false">
      <c r="A215" s="7" t="n">
        <v>214</v>
      </c>
      <c r="B215" s="7" t="s">
        <v>1536</v>
      </c>
      <c r="C215" s="7" t="s">
        <v>1536</v>
      </c>
      <c r="D215" s="7" t="n">
        <f aca="false">VALUE(LEFT(B215,4))</f>
        <v>2013</v>
      </c>
      <c r="E215" s="7" t="n">
        <f aca="false">INT((D215-1)/100)+1</f>
        <v>21</v>
      </c>
      <c r="F215" s="7" t="s">
        <v>847</v>
      </c>
      <c r="G215" s="7" t="s">
        <v>1537</v>
      </c>
      <c r="H215" s="7" t="s">
        <v>1538</v>
      </c>
      <c r="I215" s="7" t="s">
        <v>1539</v>
      </c>
      <c r="J215" s="7" t="s">
        <v>721</v>
      </c>
      <c r="K215" s="7" t="s">
        <v>1540</v>
      </c>
      <c r="L215" s="7" t="s">
        <v>627</v>
      </c>
      <c r="M215" s="7" t="s">
        <v>628</v>
      </c>
      <c r="N215" s="7" t="s">
        <v>16</v>
      </c>
      <c r="O215" s="7" t="s">
        <v>75</v>
      </c>
      <c r="P215" s="7"/>
      <c r="Q215" s="7" t="s">
        <v>1536</v>
      </c>
      <c r="R215" s="7" t="n">
        <f aca="false">VALUE(LEFT(Q215,4))</f>
        <v>2013</v>
      </c>
      <c r="S215" s="7" t="n">
        <f aca="false">VALUE(MID(Q215,6,2))</f>
        <v>6</v>
      </c>
      <c r="T215" s="7" t="n">
        <f aca="false">VALUE(RIGHT(Q215,2))</f>
        <v>14</v>
      </c>
      <c r="U215" s="7" t="s">
        <v>77</v>
      </c>
      <c r="V215" s="7" t="s">
        <v>78</v>
      </c>
    </row>
    <row r="216" customFormat="false" ht="23.25" hidden="false" customHeight="true" outlineLevel="0" collapsed="false">
      <c r="A216" s="7" t="n">
        <v>215</v>
      </c>
      <c r="B216" s="7" t="s">
        <v>1541</v>
      </c>
      <c r="C216" s="7" t="s">
        <v>1541</v>
      </c>
      <c r="D216" s="7" t="n">
        <f aca="false">VALUE(LEFT(B216,4))</f>
        <v>2013</v>
      </c>
      <c r="E216" s="7" t="n">
        <f aca="false">INT((D216-1)/100)+1</f>
        <v>21</v>
      </c>
      <c r="F216" s="7" t="s">
        <v>847</v>
      </c>
      <c r="G216" s="7" t="s">
        <v>1542</v>
      </c>
      <c r="H216" s="7" t="s">
        <v>1543</v>
      </c>
      <c r="I216" s="7" t="s">
        <v>1544</v>
      </c>
      <c r="J216" s="7" t="s">
        <v>914</v>
      </c>
      <c r="K216" s="7" t="s">
        <v>1545</v>
      </c>
      <c r="L216" s="7" t="s">
        <v>627</v>
      </c>
      <c r="M216" s="7" t="s">
        <v>628</v>
      </c>
      <c r="N216" s="7" t="s">
        <v>16</v>
      </c>
      <c r="O216" s="7" t="s">
        <v>75</v>
      </c>
      <c r="P216" s="7"/>
      <c r="Q216" s="7" t="s">
        <v>1541</v>
      </c>
      <c r="R216" s="7" t="n">
        <f aca="false">VALUE(LEFT(Q216,4))</f>
        <v>2013</v>
      </c>
      <c r="S216" s="7" t="n">
        <f aca="false">VALUE(MID(Q216,6,2))</f>
        <v>6</v>
      </c>
      <c r="T216" s="7" t="n">
        <f aca="false">VALUE(RIGHT(Q216,2))</f>
        <v>28</v>
      </c>
      <c r="U216" s="7" t="s">
        <v>77</v>
      </c>
      <c r="V216" s="7" t="s">
        <v>78</v>
      </c>
    </row>
    <row r="217" customFormat="false" ht="23.25" hidden="false" customHeight="true" outlineLevel="0" collapsed="false">
      <c r="A217" s="7" t="n">
        <v>216</v>
      </c>
      <c r="B217" s="7" t="s">
        <v>1546</v>
      </c>
      <c r="C217" s="7" t="s">
        <v>1547</v>
      </c>
      <c r="D217" s="7" t="n">
        <f aca="false">VALUE(LEFT(B217,4))</f>
        <v>2013</v>
      </c>
      <c r="E217" s="7" t="n">
        <f aca="false">INT((D217-1)/100)+1</f>
        <v>21</v>
      </c>
      <c r="F217" s="7" t="s">
        <v>706</v>
      </c>
      <c r="G217" s="7" t="s">
        <v>1548</v>
      </c>
      <c r="H217" s="7" t="s">
        <v>961</v>
      </c>
      <c r="I217" s="7"/>
      <c r="J217" s="7" t="s">
        <v>310</v>
      </c>
      <c r="K217" s="7"/>
      <c r="L217" s="7" t="s">
        <v>627</v>
      </c>
      <c r="M217" s="7" t="s">
        <v>628</v>
      </c>
      <c r="N217" s="7" t="s">
        <v>16</v>
      </c>
      <c r="O217" s="7" t="s">
        <v>75</v>
      </c>
      <c r="P217" s="7"/>
      <c r="Q217" s="7" t="s">
        <v>1549</v>
      </c>
      <c r="R217" s="7" t="n">
        <f aca="false">VALUE(LEFT(Q217,4))</f>
        <v>2013</v>
      </c>
      <c r="S217" s="7" t="n">
        <f aca="false">VALUE(MID(Q217,6,2))</f>
        <v>7</v>
      </c>
      <c r="T217" s="7" t="n">
        <f aca="false">VALUE(RIGHT(Q217,2))</f>
        <v>18</v>
      </c>
      <c r="U217" s="7" t="s">
        <v>125</v>
      </c>
      <c r="V217" s="7" t="s">
        <v>1550</v>
      </c>
    </row>
    <row r="218" customFormat="false" ht="23.25" hidden="false" customHeight="true" outlineLevel="0" collapsed="false">
      <c r="A218" s="7" t="n">
        <v>217</v>
      </c>
      <c r="B218" s="7" t="s">
        <v>1551</v>
      </c>
      <c r="C218" s="7" t="s">
        <v>1551</v>
      </c>
      <c r="D218" s="7" t="n">
        <f aca="false">VALUE(LEFT(B218,4))</f>
        <v>2014</v>
      </c>
      <c r="E218" s="7" t="n">
        <f aca="false">INT((D218-1)/100)+1</f>
        <v>21</v>
      </c>
      <c r="F218" s="7" t="s">
        <v>979</v>
      </c>
      <c r="G218" s="7" t="s">
        <v>1552</v>
      </c>
      <c r="H218" s="7" t="s">
        <v>1553</v>
      </c>
      <c r="I218" s="7" t="s">
        <v>1554</v>
      </c>
      <c r="J218" s="7" t="s">
        <v>983</v>
      </c>
      <c r="K218" s="7" t="s">
        <v>984</v>
      </c>
      <c r="L218" s="7" t="s">
        <v>627</v>
      </c>
      <c r="M218" s="7" t="s">
        <v>628</v>
      </c>
      <c r="N218" s="7" t="s">
        <v>16</v>
      </c>
      <c r="O218" s="7" t="s">
        <v>75</v>
      </c>
      <c r="P218" s="7"/>
      <c r="Q218" s="7" t="s">
        <v>1551</v>
      </c>
      <c r="R218" s="7" t="n">
        <f aca="false">VALUE(LEFT(Q218,4))</f>
        <v>2014</v>
      </c>
      <c r="S218" s="7" t="n">
        <f aca="false">VALUE(MID(Q218,6,2))</f>
        <v>5</v>
      </c>
      <c r="T218" s="7" t="n">
        <f aca="false">VALUE(RIGHT(Q218,2))</f>
        <v>22</v>
      </c>
      <c r="U218" s="7" t="s">
        <v>77</v>
      </c>
      <c r="V218" s="7" t="s">
        <v>78</v>
      </c>
    </row>
    <row r="219" customFormat="false" ht="23.25" hidden="false" customHeight="true" outlineLevel="0" collapsed="false">
      <c r="A219" s="7" t="n">
        <v>218</v>
      </c>
      <c r="B219" s="7" t="s">
        <v>1555</v>
      </c>
      <c r="C219" s="7" t="s">
        <v>1556</v>
      </c>
      <c r="D219" s="7" t="n">
        <f aca="false">VALUE(LEFT(B219,4))</f>
        <v>2014</v>
      </c>
      <c r="E219" s="7" t="n">
        <f aca="false">INT((D219-1)/100)+1</f>
        <v>21</v>
      </c>
      <c r="F219" s="7" t="s">
        <v>159</v>
      </c>
      <c r="G219" s="7" t="s">
        <v>1557</v>
      </c>
      <c r="H219" s="7" t="s">
        <v>961</v>
      </c>
      <c r="I219" s="7" t="s">
        <v>1558</v>
      </c>
      <c r="J219" s="7" t="s">
        <v>310</v>
      </c>
      <c r="K219" s="7"/>
      <c r="L219" s="7" t="s">
        <v>627</v>
      </c>
      <c r="M219" s="7" t="s">
        <v>628</v>
      </c>
      <c r="N219" s="7" t="s">
        <v>16</v>
      </c>
      <c r="O219" s="7" t="s">
        <v>75</v>
      </c>
      <c r="P219" s="7"/>
      <c r="Q219" s="7" t="s">
        <v>1555</v>
      </c>
      <c r="R219" s="7" t="n">
        <f aca="false">VALUE(LEFT(Q219,4))</f>
        <v>2014</v>
      </c>
      <c r="S219" s="7" t="n">
        <f aca="false">VALUE(MID(Q219,6,2))</f>
        <v>11</v>
      </c>
      <c r="T219" s="7" t="n">
        <f aca="false">VALUE(RIGHT(Q219,2))</f>
        <v>26</v>
      </c>
      <c r="U219" s="7" t="s">
        <v>125</v>
      </c>
      <c r="V219" s="7" t="s">
        <v>126</v>
      </c>
    </row>
    <row r="220" customFormat="false" ht="23.25" hidden="false" customHeight="true" outlineLevel="0" collapsed="false">
      <c r="A220" s="7" t="n">
        <v>219</v>
      </c>
      <c r="B220" s="7" t="s">
        <v>1559</v>
      </c>
      <c r="C220" s="7" t="s">
        <v>1560</v>
      </c>
      <c r="D220" s="7" t="n">
        <f aca="false">VALUE(LEFT(B220,4))</f>
        <v>2015</v>
      </c>
      <c r="E220" s="7" t="n">
        <f aca="false">INT((D220-1)/100)+1</f>
        <v>21</v>
      </c>
      <c r="F220" s="7" t="s">
        <v>1561</v>
      </c>
      <c r="G220" s="7" t="s">
        <v>1562</v>
      </c>
      <c r="H220" s="7" t="s">
        <v>961</v>
      </c>
      <c r="I220" s="7" t="s">
        <v>1563</v>
      </c>
      <c r="J220" s="7" t="s">
        <v>310</v>
      </c>
      <c r="K220" s="7" t="s">
        <v>1564</v>
      </c>
      <c r="L220" s="7" t="s">
        <v>627</v>
      </c>
      <c r="M220" s="7" t="s">
        <v>628</v>
      </c>
      <c r="N220" s="7" t="s">
        <v>16</v>
      </c>
      <c r="O220" s="7" t="s">
        <v>75</v>
      </c>
      <c r="P220" s="7"/>
      <c r="Q220" s="7" t="s">
        <v>1565</v>
      </c>
      <c r="R220" s="7" t="n">
        <f aca="false">VALUE(LEFT(Q220,4))</f>
        <v>2015</v>
      </c>
      <c r="S220" s="7" t="n">
        <f aca="false">VALUE(MID(Q220,6,2))</f>
        <v>2</v>
      </c>
      <c r="T220" s="7" t="n">
        <f aca="false">VALUE(RIGHT(Q220,2))</f>
        <v>15</v>
      </c>
      <c r="U220" s="7" t="s">
        <v>317</v>
      </c>
      <c r="V220" s="7" t="s">
        <v>1566</v>
      </c>
    </row>
    <row r="221" customFormat="false" ht="23.25" hidden="false" customHeight="true" outlineLevel="0" collapsed="false">
      <c r="A221" s="7" t="n">
        <v>220</v>
      </c>
      <c r="B221" s="7" t="s">
        <v>1567</v>
      </c>
      <c r="C221" s="7" t="s">
        <v>1568</v>
      </c>
      <c r="D221" s="7" t="n">
        <f aca="false">VALUE(LEFT(B221,4))</f>
        <v>2016</v>
      </c>
      <c r="E221" s="7" t="n">
        <f aca="false">INT((D221-1)/100)+1</f>
        <v>21</v>
      </c>
      <c r="F221" s="7" t="s">
        <v>238</v>
      </c>
      <c r="G221" s="7" t="s">
        <v>1569</v>
      </c>
      <c r="H221" s="7" t="s">
        <v>961</v>
      </c>
      <c r="I221" s="7" t="s">
        <v>1570</v>
      </c>
      <c r="J221" s="7" t="s">
        <v>721</v>
      </c>
      <c r="K221" s="7"/>
      <c r="L221" s="7" t="s">
        <v>627</v>
      </c>
      <c r="M221" s="7" t="s">
        <v>628</v>
      </c>
      <c r="N221" s="7" t="s">
        <v>16</v>
      </c>
      <c r="O221" s="7" t="s">
        <v>75</v>
      </c>
      <c r="P221" s="7"/>
      <c r="Q221" s="7" t="s">
        <v>1567</v>
      </c>
      <c r="R221" s="7" t="n">
        <f aca="false">VALUE(LEFT(Q221,4))</f>
        <v>2016</v>
      </c>
      <c r="S221" s="7" t="n">
        <f aca="false">VALUE(MID(Q221,6,2))</f>
        <v>2</v>
      </c>
      <c r="T221" s="7" t="n">
        <f aca="false">VALUE(RIGHT(Q221,2))</f>
        <v>12</v>
      </c>
      <c r="U221" s="7" t="s">
        <v>125</v>
      </c>
      <c r="V221" s="7" t="s">
        <v>126</v>
      </c>
    </row>
    <row r="222" customFormat="false" ht="34.5" hidden="false" customHeight="true" outlineLevel="0" collapsed="false">
      <c r="A222" s="7" t="n">
        <v>221</v>
      </c>
      <c r="B222" s="7" t="s">
        <v>1571</v>
      </c>
      <c r="C222" s="7" t="s">
        <v>1571</v>
      </c>
      <c r="D222" s="7" t="n">
        <f aca="false">VALUE(LEFT(B222,4))</f>
        <v>2016</v>
      </c>
      <c r="E222" s="7" t="n">
        <f aca="false">INT((D222-1)/100)+1</f>
        <v>21</v>
      </c>
      <c r="F222" s="7" t="s">
        <v>1572</v>
      </c>
      <c r="G222" s="7" t="s">
        <v>1573</v>
      </c>
      <c r="H222" s="7" t="s">
        <v>1574</v>
      </c>
      <c r="I222" s="7" t="s">
        <v>1575</v>
      </c>
      <c r="J222" s="7" t="s">
        <v>332</v>
      </c>
      <c r="K222" s="7" t="s">
        <v>1576</v>
      </c>
      <c r="L222" s="7" t="s">
        <v>1577</v>
      </c>
      <c r="M222" s="7" t="s">
        <v>1578</v>
      </c>
      <c r="N222" s="7" t="s">
        <v>18</v>
      </c>
      <c r="O222" s="7" t="s">
        <v>75</v>
      </c>
      <c r="P222" s="7" t="s">
        <v>1579</v>
      </c>
      <c r="Q222" s="7" t="s">
        <v>1571</v>
      </c>
      <c r="R222" s="7" t="n">
        <f aca="false">VALUE(LEFT(Q222,4))</f>
        <v>2016</v>
      </c>
      <c r="S222" s="7" t="n">
        <f aca="false">VALUE(MID(Q222,6,2))</f>
        <v>5</v>
      </c>
      <c r="T222" s="7" t="n">
        <f aca="false">VALUE(RIGHT(Q222,2))</f>
        <v>3</v>
      </c>
      <c r="U222" s="7" t="s">
        <v>77</v>
      </c>
      <c r="V222" s="7" t="s">
        <v>78</v>
      </c>
    </row>
    <row r="223" customFormat="false" ht="23.25" hidden="false" customHeight="true" outlineLevel="0" collapsed="false">
      <c r="A223" s="7" t="n">
        <v>222</v>
      </c>
      <c r="B223" s="7" t="s">
        <v>1580</v>
      </c>
      <c r="C223" s="7" t="s">
        <v>1581</v>
      </c>
      <c r="D223" s="7" t="n">
        <f aca="false">VALUE(LEFT(B223,4))</f>
        <v>2016</v>
      </c>
      <c r="E223" s="7" t="n">
        <f aca="false">INT((D223-1)/100)+1</f>
        <v>21</v>
      </c>
      <c r="F223" s="7" t="s">
        <v>833</v>
      </c>
      <c r="G223" s="7" t="s">
        <v>1582</v>
      </c>
      <c r="H223" s="7" t="s">
        <v>1583</v>
      </c>
      <c r="I223" s="7" t="s">
        <v>1584</v>
      </c>
      <c r="J223" s="7" t="s">
        <v>721</v>
      </c>
      <c r="K223" s="7" t="s">
        <v>1585</v>
      </c>
      <c r="L223" s="7" t="s">
        <v>569</v>
      </c>
      <c r="M223" s="7"/>
      <c r="N223" s="7" t="s">
        <v>18</v>
      </c>
      <c r="O223" s="7" t="s">
        <v>94</v>
      </c>
      <c r="P223" s="7" t="s">
        <v>1586</v>
      </c>
      <c r="Q223" s="7" t="s">
        <v>1587</v>
      </c>
      <c r="R223" s="7" t="n">
        <f aca="false">VALUE(LEFT(Q223,4))</f>
        <v>2016</v>
      </c>
      <c r="S223" s="7" t="n">
        <f aca="false">VALUE(MID(Q223,6,2))</f>
        <v>8</v>
      </c>
      <c r="T223" s="7" t="n">
        <f aca="false">VALUE(RIGHT(Q223,2))</f>
        <v>15</v>
      </c>
      <c r="U223" s="7" t="s">
        <v>114</v>
      </c>
      <c r="V223" s="7" t="s">
        <v>1588</v>
      </c>
    </row>
    <row r="224" customFormat="false" ht="23.25" hidden="false" customHeight="true" outlineLevel="0" collapsed="false">
      <c r="A224" s="7" t="n">
        <v>223</v>
      </c>
      <c r="B224" s="7" t="s">
        <v>1589</v>
      </c>
      <c r="C224" s="7" t="s">
        <v>1589</v>
      </c>
      <c r="D224" s="7" t="n">
        <f aca="false">VALUE(LEFT(B224,4))</f>
        <v>2017</v>
      </c>
      <c r="E224" s="7" t="n">
        <f aca="false">INT((D224-1)/100)+1</f>
        <v>21</v>
      </c>
      <c r="F224" s="7" t="s">
        <v>219</v>
      </c>
      <c r="G224" s="7" t="s">
        <v>1590</v>
      </c>
      <c r="H224" s="7" t="s">
        <v>961</v>
      </c>
      <c r="I224" s="7" t="s">
        <v>1591</v>
      </c>
      <c r="J224" s="7" t="s">
        <v>310</v>
      </c>
      <c r="K224" s="7"/>
      <c r="L224" s="7" t="s">
        <v>627</v>
      </c>
      <c r="M224" s="7" t="s">
        <v>628</v>
      </c>
      <c r="N224" s="7" t="s">
        <v>16</v>
      </c>
      <c r="O224" s="7" t="s">
        <v>75</v>
      </c>
      <c r="P224" s="7"/>
      <c r="Q224" s="7" t="s">
        <v>1589</v>
      </c>
      <c r="R224" s="7" t="n">
        <f aca="false">VALUE(LEFT(Q224,4))</f>
        <v>2017</v>
      </c>
      <c r="S224" s="7" t="n">
        <f aca="false">VALUE(MID(Q224,6,2))</f>
        <v>3</v>
      </c>
      <c r="T224" s="7" t="n">
        <f aca="false">VALUE(RIGHT(Q224,2))</f>
        <v>14</v>
      </c>
      <c r="U224" s="7" t="s">
        <v>77</v>
      </c>
      <c r="V224" s="7" t="s">
        <v>78</v>
      </c>
    </row>
    <row r="225" customFormat="false" ht="23.25" hidden="false" customHeight="true" outlineLevel="0" collapsed="false">
      <c r="A225" s="7" t="n">
        <v>224</v>
      </c>
      <c r="B225" s="7" t="s">
        <v>1592</v>
      </c>
      <c r="C225" s="7" t="s">
        <v>1592</v>
      </c>
      <c r="D225" s="7" t="n">
        <f aca="false">VALUE(LEFT(B225,4))</f>
        <v>2017</v>
      </c>
      <c r="E225" s="7" t="n">
        <f aca="false">INT((D225-1)/100)+1</f>
        <v>21</v>
      </c>
      <c r="F225" s="7" t="s">
        <v>847</v>
      </c>
      <c r="G225" s="7" t="s">
        <v>1593</v>
      </c>
      <c r="H225" s="7" t="s">
        <v>1594</v>
      </c>
      <c r="I225" s="7" t="s">
        <v>1595</v>
      </c>
      <c r="J225" s="7" t="s">
        <v>721</v>
      </c>
      <c r="K225" s="7" t="s">
        <v>1596</v>
      </c>
      <c r="L225" s="7" t="s">
        <v>627</v>
      </c>
      <c r="M225" s="7" t="s">
        <v>628</v>
      </c>
      <c r="N225" s="7" t="s">
        <v>16</v>
      </c>
      <c r="O225" s="7" t="s">
        <v>75</v>
      </c>
      <c r="P225" s="7"/>
      <c r="Q225" s="7" t="s">
        <v>1592</v>
      </c>
      <c r="R225" s="7" t="n">
        <f aca="false">VALUE(LEFT(Q225,4))</f>
        <v>2017</v>
      </c>
      <c r="S225" s="7" t="n">
        <f aca="false">VALUE(MID(Q225,6,2))</f>
        <v>7</v>
      </c>
      <c r="T225" s="7" t="n">
        <f aca="false">VALUE(RIGHT(Q225,2))</f>
        <v>1</v>
      </c>
      <c r="U225" s="7" t="s">
        <v>77</v>
      </c>
      <c r="V225" s="7" t="s">
        <v>78</v>
      </c>
    </row>
    <row r="226" customFormat="false" ht="23.25" hidden="false" customHeight="true" outlineLevel="0" collapsed="false">
      <c r="A226" s="7" t="n">
        <v>225</v>
      </c>
      <c r="B226" s="7" t="s">
        <v>1597</v>
      </c>
      <c r="C226" s="7" t="s">
        <v>1598</v>
      </c>
      <c r="D226" s="7" t="n">
        <f aca="false">VALUE(LEFT(B226,4))</f>
        <v>2017</v>
      </c>
      <c r="E226" s="7" t="n">
        <f aca="false">INT((D226-1)/100)+1</f>
        <v>21</v>
      </c>
      <c r="F226" s="7" t="s">
        <v>1599</v>
      </c>
      <c r="G226" s="7" t="s">
        <v>1600</v>
      </c>
      <c r="H226" s="7" t="s">
        <v>961</v>
      </c>
      <c r="I226" s="7" t="s">
        <v>1601</v>
      </c>
      <c r="J226" s="7" t="s">
        <v>721</v>
      </c>
      <c r="K226" s="7"/>
      <c r="L226" s="7" t="s">
        <v>627</v>
      </c>
      <c r="M226" s="7" t="s">
        <v>628</v>
      </c>
      <c r="N226" s="7" t="s">
        <v>16</v>
      </c>
      <c r="O226" s="7" t="s">
        <v>75</v>
      </c>
      <c r="P226" s="7"/>
      <c r="Q226" s="7" t="s">
        <v>1597</v>
      </c>
      <c r="R226" s="7" t="n">
        <f aca="false">VALUE(LEFT(Q226,4))</f>
        <v>2017</v>
      </c>
      <c r="S226" s="7" t="n">
        <f aca="false">VALUE(MID(Q226,6,2))</f>
        <v>10</v>
      </c>
      <c r="T226" s="7" t="n">
        <f aca="false">VALUE(RIGHT(Q226,2))</f>
        <v>29</v>
      </c>
      <c r="U226" s="7" t="s">
        <v>125</v>
      </c>
      <c r="V226" s="7" t="s">
        <v>126</v>
      </c>
    </row>
    <row r="227" customFormat="false" ht="23.25" hidden="false" customHeight="true" outlineLevel="0" collapsed="false">
      <c r="A227" s="7" t="n">
        <v>226</v>
      </c>
      <c r="B227" s="7" t="s">
        <v>1602</v>
      </c>
      <c r="C227" s="7" t="s">
        <v>1603</v>
      </c>
      <c r="D227" s="7" t="n">
        <f aca="false">VALUE(LEFT(B227,4))</f>
        <v>2017</v>
      </c>
      <c r="E227" s="7" t="n">
        <f aca="false">INT((D227-1)/100)+1</f>
        <v>21</v>
      </c>
      <c r="F227" s="7" t="s">
        <v>238</v>
      </c>
      <c r="G227" s="7" t="s">
        <v>1604</v>
      </c>
      <c r="H227" s="7" t="s">
        <v>961</v>
      </c>
      <c r="I227" s="7" t="s">
        <v>1605</v>
      </c>
      <c r="J227" s="7" t="s">
        <v>721</v>
      </c>
      <c r="K227" s="7" t="s">
        <v>1606</v>
      </c>
      <c r="L227" s="7" t="s">
        <v>627</v>
      </c>
      <c r="M227" s="7" t="s">
        <v>628</v>
      </c>
      <c r="N227" s="7" t="s">
        <v>16</v>
      </c>
      <c r="O227" s="7" t="s">
        <v>75</v>
      </c>
      <c r="P227" s="7"/>
      <c r="Q227" s="7" t="s">
        <v>1607</v>
      </c>
      <c r="R227" s="7" t="n">
        <f aca="false">VALUE(LEFT(Q227,4))</f>
        <v>2018</v>
      </c>
      <c r="S227" s="7" t="n">
        <f aca="false">VALUE(MID(Q227,6,2))</f>
        <v>1</v>
      </c>
      <c r="T227" s="7" t="n">
        <f aca="false">VALUE(RIGHT(Q227,2))</f>
        <v>6</v>
      </c>
      <c r="U227" s="7" t="s">
        <v>125</v>
      </c>
      <c r="V227" s="7" t="s">
        <v>1608</v>
      </c>
    </row>
    <row r="228" customFormat="false" ht="23.25" hidden="false" customHeight="true" outlineLevel="0" collapsed="false">
      <c r="A228" s="7" t="n">
        <v>227</v>
      </c>
      <c r="B228" s="7" t="s">
        <v>1609</v>
      </c>
      <c r="C228" s="7" t="s">
        <v>1610</v>
      </c>
      <c r="D228" s="7" t="n">
        <f aca="false">VALUE(LEFT(B228,4))</f>
        <v>2018</v>
      </c>
      <c r="E228" s="7" t="n">
        <f aca="false">INT((D228-1)/100)+1</f>
        <v>21</v>
      </c>
      <c r="F228" s="7" t="s">
        <v>1107</v>
      </c>
      <c r="G228" s="7" t="s">
        <v>1611</v>
      </c>
      <c r="H228" s="7" t="s">
        <v>1612</v>
      </c>
      <c r="I228" s="7" t="s">
        <v>1613</v>
      </c>
      <c r="J228" s="7" t="s">
        <v>721</v>
      </c>
      <c r="K228" s="7" t="s">
        <v>1614</v>
      </c>
      <c r="L228" s="7" t="s">
        <v>627</v>
      </c>
      <c r="M228" s="7" t="s">
        <v>628</v>
      </c>
      <c r="N228" s="7" t="s">
        <v>16</v>
      </c>
      <c r="O228" s="7" t="s">
        <v>75</v>
      </c>
      <c r="P228" s="7"/>
      <c r="Q228" s="7" t="s">
        <v>1609</v>
      </c>
      <c r="R228" s="7" t="n">
        <f aca="false">VALUE(LEFT(Q228,4))</f>
        <v>2018</v>
      </c>
      <c r="S228" s="7" t="n">
        <f aca="false">VALUE(MID(Q228,6,2))</f>
        <v>1</v>
      </c>
      <c r="T228" s="7" t="n">
        <f aca="false">VALUE(RIGHT(Q228,2))</f>
        <v>12</v>
      </c>
      <c r="U228" s="7" t="s">
        <v>77</v>
      </c>
      <c r="V228" s="7" t="s">
        <v>1615</v>
      </c>
    </row>
    <row r="229" customFormat="false" ht="34.5" hidden="false" customHeight="true" outlineLevel="0" collapsed="false">
      <c r="A229" s="7" t="n">
        <v>228</v>
      </c>
      <c r="B229" s="7" t="s">
        <v>1427</v>
      </c>
      <c r="C229" s="7" t="s">
        <v>1427</v>
      </c>
      <c r="D229" s="7" t="n">
        <f aca="false">VALUE(LEFT(B229,4))</f>
        <v>2018</v>
      </c>
      <c r="E229" s="7" t="n">
        <f aca="false">INT((D229-1)/100)+1</f>
        <v>21</v>
      </c>
      <c r="F229" s="7" t="s">
        <v>553</v>
      </c>
      <c r="G229" s="7" t="s">
        <v>1616</v>
      </c>
      <c r="H229" s="7" t="s">
        <v>1617</v>
      </c>
      <c r="I229" s="7" t="s">
        <v>1618</v>
      </c>
      <c r="J229" s="7" t="s">
        <v>914</v>
      </c>
      <c r="K229" s="7" t="s">
        <v>1619</v>
      </c>
      <c r="L229" s="7" t="s">
        <v>1620</v>
      </c>
      <c r="M229" s="7" t="s">
        <v>1621</v>
      </c>
      <c r="N229" s="7" t="s">
        <v>16</v>
      </c>
      <c r="O229" s="7" t="s">
        <v>75</v>
      </c>
      <c r="P229" s="7" t="s">
        <v>1622</v>
      </c>
      <c r="Q229" s="7" t="s">
        <v>1427</v>
      </c>
      <c r="R229" s="7" t="n">
        <f aca="false">VALUE(LEFT(Q229,4))</f>
        <v>2018</v>
      </c>
      <c r="S229" s="7" t="n">
        <f aca="false">VALUE(MID(Q229,6,2))</f>
        <v>2</v>
      </c>
      <c r="T229" s="7" t="n">
        <f aca="false">VALUE(RIGHT(Q229,2))</f>
        <v>22</v>
      </c>
      <c r="U229" s="7" t="s">
        <v>77</v>
      </c>
      <c r="V229" s="7" t="s">
        <v>78</v>
      </c>
    </row>
    <row r="230" customFormat="false" ht="23.25" hidden="false" customHeight="true" outlineLevel="0" collapsed="false">
      <c r="A230" s="7" t="n">
        <v>229</v>
      </c>
      <c r="B230" s="7" t="s">
        <v>1427</v>
      </c>
      <c r="C230" s="7" t="s">
        <v>1427</v>
      </c>
      <c r="D230" s="7" t="n">
        <f aca="false">VALUE(LEFT(B230,4))</f>
        <v>2018</v>
      </c>
      <c r="E230" s="7" t="n">
        <f aca="false">INT((D230-1)/100)+1</f>
        <v>21</v>
      </c>
      <c r="F230" s="7" t="s">
        <v>580</v>
      </c>
      <c r="G230" s="7" t="s">
        <v>1623</v>
      </c>
      <c r="H230" s="7" t="s">
        <v>675</v>
      </c>
      <c r="I230" s="7" t="s">
        <v>1624</v>
      </c>
      <c r="J230" s="7" t="s">
        <v>332</v>
      </c>
      <c r="K230" s="7" t="s">
        <v>1625</v>
      </c>
      <c r="L230" s="7" t="s">
        <v>1626</v>
      </c>
      <c r="M230" s="7" t="s">
        <v>1627</v>
      </c>
      <c r="N230" s="7" t="s">
        <v>18</v>
      </c>
      <c r="O230" s="7" t="s">
        <v>75</v>
      </c>
      <c r="P230" s="7" t="s">
        <v>1628</v>
      </c>
      <c r="Q230" s="7" t="s">
        <v>1427</v>
      </c>
      <c r="R230" s="7" t="n">
        <f aca="false">VALUE(LEFT(Q230,4))</f>
        <v>2018</v>
      </c>
      <c r="S230" s="7" t="n">
        <f aca="false">VALUE(MID(Q230,6,2))</f>
        <v>2</v>
      </c>
      <c r="T230" s="7" t="n">
        <f aca="false">VALUE(RIGHT(Q230,2))</f>
        <v>22</v>
      </c>
      <c r="U230" s="7" t="s">
        <v>77</v>
      </c>
      <c r="V230" s="7" t="s">
        <v>78</v>
      </c>
    </row>
    <row r="231" customFormat="false" ht="23.25" hidden="false" customHeight="true" outlineLevel="0" collapsed="false">
      <c r="A231" s="7" t="n">
        <v>230</v>
      </c>
      <c r="B231" s="7" t="s">
        <v>1629</v>
      </c>
      <c r="C231" s="7" t="s">
        <v>1630</v>
      </c>
      <c r="D231" s="7" t="n">
        <f aca="false">VALUE(LEFT(B231,4))</f>
        <v>2018</v>
      </c>
      <c r="E231" s="7" t="n">
        <f aca="false">INT((D231-1)/100)+1</f>
        <v>21</v>
      </c>
      <c r="F231" s="7" t="s">
        <v>1305</v>
      </c>
      <c r="G231" s="7" t="s">
        <v>1631</v>
      </c>
      <c r="H231" s="7" t="s">
        <v>961</v>
      </c>
      <c r="I231" s="7" t="s">
        <v>1632</v>
      </c>
      <c r="J231" s="7" t="s">
        <v>721</v>
      </c>
      <c r="K231" s="7"/>
      <c r="L231" s="7" t="s">
        <v>627</v>
      </c>
      <c r="M231" s="7" t="s">
        <v>628</v>
      </c>
      <c r="N231" s="7" t="s">
        <v>16</v>
      </c>
      <c r="O231" s="7" t="s">
        <v>75</v>
      </c>
      <c r="P231" s="7"/>
      <c r="Q231" s="7" t="s">
        <v>1633</v>
      </c>
      <c r="R231" s="7" t="n">
        <f aca="false">VALUE(LEFT(Q231,4))</f>
        <v>2018</v>
      </c>
      <c r="S231" s="7" t="n">
        <f aca="false">VALUE(MID(Q231,6,2))</f>
        <v>3</v>
      </c>
      <c r="T231" s="7" t="n">
        <f aca="false">VALUE(RIGHT(Q231,2))</f>
        <v>13</v>
      </c>
      <c r="U231" s="7" t="s">
        <v>125</v>
      </c>
      <c r="V231" s="7" t="s">
        <v>1634</v>
      </c>
    </row>
    <row r="232" customFormat="false" ht="23.25" hidden="false" customHeight="true" outlineLevel="0" collapsed="false">
      <c r="A232" s="7" t="n">
        <v>231</v>
      </c>
      <c r="B232" s="7" t="s">
        <v>1635</v>
      </c>
      <c r="C232" s="7" t="s">
        <v>1635</v>
      </c>
      <c r="D232" s="7" t="n">
        <f aca="false">VALUE(LEFT(B232,4))</f>
        <v>2018</v>
      </c>
      <c r="E232" s="7" t="n">
        <f aca="false">INT((D232-1)/100)+1</f>
        <v>21</v>
      </c>
      <c r="F232" s="7" t="s">
        <v>1636</v>
      </c>
      <c r="G232" s="7" t="s">
        <v>1637</v>
      </c>
      <c r="H232" s="7" t="s">
        <v>1638</v>
      </c>
      <c r="I232" s="7" t="s">
        <v>1639</v>
      </c>
      <c r="J232" s="7" t="s">
        <v>983</v>
      </c>
      <c r="K232" s="7" t="s">
        <v>1640</v>
      </c>
      <c r="L232" s="7" t="s">
        <v>627</v>
      </c>
      <c r="M232" s="7" t="s">
        <v>628</v>
      </c>
      <c r="N232" s="7" t="s">
        <v>16</v>
      </c>
      <c r="O232" s="7" t="s">
        <v>75</v>
      </c>
      <c r="P232" s="7" t="s">
        <v>1641</v>
      </c>
      <c r="Q232" s="7" t="s">
        <v>1635</v>
      </c>
      <c r="R232" s="7" t="n">
        <f aca="false">VALUE(LEFT(Q232,4))</f>
        <v>2018</v>
      </c>
      <c r="S232" s="7" t="n">
        <f aca="false">VALUE(MID(Q232,6,2))</f>
        <v>5</v>
      </c>
      <c r="T232" s="7" t="n">
        <f aca="false">VALUE(RIGHT(Q232,2))</f>
        <v>15</v>
      </c>
      <c r="U232" s="7" t="s">
        <v>77</v>
      </c>
      <c r="V232" s="7" t="s">
        <v>78</v>
      </c>
    </row>
    <row r="233" customFormat="false" ht="57" hidden="false" customHeight="true" outlineLevel="0" collapsed="false">
      <c r="A233" s="7" t="n">
        <v>232</v>
      </c>
      <c r="B233" s="7" t="s">
        <v>1642</v>
      </c>
      <c r="C233" s="7" t="s">
        <v>1643</v>
      </c>
      <c r="D233" s="7" t="n">
        <f aca="false">VALUE(LEFT(B233,4))</f>
        <v>2018</v>
      </c>
      <c r="E233" s="7" t="n">
        <f aca="false">INT((D233-1)/100)+1</f>
        <v>21</v>
      </c>
      <c r="F233" s="7" t="s">
        <v>1409</v>
      </c>
      <c r="G233" s="7" t="s">
        <v>1644</v>
      </c>
      <c r="H233" s="7" t="s">
        <v>1645</v>
      </c>
      <c r="I233" s="7" t="s">
        <v>1646</v>
      </c>
      <c r="J233" s="7" t="s">
        <v>1647</v>
      </c>
      <c r="K233" s="7" t="s">
        <v>1648</v>
      </c>
      <c r="L233" s="7" t="s">
        <v>1649</v>
      </c>
      <c r="M233" s="7" t="s">
        <v>1397</v>
      </c>
      <c r="N233" s="7" t="s">
        <v>20</v>
      </c>
      <c r="O233" s="7" t="s">
        <v>75</v>
      </c>
      <c r="P233" s="7" t="s">
        <v>1650</v>
      </c>
      <c r="Q233" s="7" t="s">
        <v>1643</v>
      </c>
      <c r="R233" s="7" t="n">
        <f aca="false">VALUE(LEFT(Q233,4))</f>
        <v>2018</v>
      </c>
      <c r="S233" s="7" t="n">
        <f aca="false">VALUE(MID(Q233,6,2))</f>
        <v>8</v>
      </c>
      <c r="T233" s="7" t="n">
        <f aca="false">VALUE(RIGHT(Q233,2))</f>
        <v>22</v>
      </c>
      <c r="U233" s="7" t="s">
        <v>125</v>
      </c>
      <c r="V233" s="7" t="s">
        <v>1651</v>
      </c>
    </row>
    <row r="234" customFormat="false" ht="23.25" hidden="false" customHeight="true" outlineLevel="0" collapsed="false">
      <c r="A234" s="7" t="n">
        <v>233</v>
      </c>
      <c r="B234" s="7" t="s">
        <v>1652</v>
      </c>
      <c r="C234" s="7" t="s">
        <v>1652</v>
      </c>
      <c r="D234" s="7" t="n">
        <f aca="false">VALUE(LEFT(B234,4))</f>
        <v>2019</v>
      </c>
      <c r="E234" s="7" t="n">
        <f aca="false">INT((D234-1)/100)+1</f>
        <v>21</v>
      </c>
      <c r="F234" s="7" t="s">
        <v>935</v>
      </c>
      <c r="G234" s="7" t="s">
        <v>1653</v>
      </c>
      <c r="H234" s="7" t="s">
        <v>961</v>
      </c>
      <c r="I234" s="7"/>
      <c r="J234" s="7" t="s">
        <v>721</v>
      </c>
      <c r="K234" s="7"/>
      <c r="L234" s="7" t="s">
        <v>627</v>
      </c>
      <c r="M234" s="7" t="s">
        <v>628</v>
      </c>
      <c r="N234" s="7" t="s">
        <v>16</v>
      </c>
      <c r="O234" s="7" t="s">
        <v>75</v>
      </c>
      <c r="P234" s="7"/>
      <c r="Q234" s="7" t="s">
        <v>1652</v>
      </c>
      <c r="R234" s="7" t="n">
        <f aca="false">VALUE(LEFT(Q234,4))</f>
        <v>2019</v>
      </c>
      <c r="S234" s="7" t="n">
        <f aca="false">VALUE(MID(Q234,6,2))</f>
        <v>2</v>
      </c>
      <c r="T234" s="7" t="n">
        <f aca="false">VALUE(RIGHT(Q234,2))</f>
        <v>25</v>
      </c>
      <c r="U234" s="7" t="s">
        <v>77</v>
      </c>
      <c r="V234" s="7" t="s">
        <v>78</v>
      </c>
    </row>
    <row r="235" customFormat="false" ht="34.5" hidden="false" customHeight="true" outlineLevel="0" collapsed="false">
      <c r="A235" s="7" t="n">
        <v>234</v>
      </c>
      <c r="B235" s="7" t="s">
        <v>1654</v>
      </c>
      <c r="C235" s="7" t="s">
        <v>1655</v>
      </c>
      <c r="D235" s="7" t="n">
        <f aca="false">VALUE(LEFT(B235,4))</f>
        <v>2019</v>
      </c>
      <c r="E235" s="7" t="n">
        <f aca="false">INT((D235-1)/100)+1</f>
        <v>21</v>
      </c>
      <c r="F235" s="7" t="s">
        <v>1656</v>
      </c>
      <c r="G235" s="7" t="s">
        <v>1657</v>
      </c>
      <c r="H235" s="7" t="s">
        <v>1658</v>
      </c>
      <c r="I235" s="7" t="s">
        <v>1659</v>
      </c>
      <c r="J235" s="7" t="s">
        <v>914</v>
      </c>
      <c r="K235" s="7" t="s">
        <v>1660</v>
      </c>
      <c r="L235" s="7" t="s">
        <v>627</v>
      </c>
      <c r="M235" s="7" t="s">
        <v>628</v>
      </c>
      <c r="N235" s="7" t="s">
        <v>16</v>
      </c>
      <c r="O235" s="7" t="s">
        <v>75</v>
      </c>
      <c r="P235" s="7"/>
      <c r="Q235" s="7" t="s">
        <v>1654</v>
      </c>
      <c r="R235" s="7" t="n">
        <f aca="false">VALUE(LEFT(Q235,4))</f>
        <v>2019</v>
      </c>
      <c r="S235" s="7" t="n">
        <f aca="false">VALUE(MID(Q235,6,2))</f>
        <v>10</v>
      </c>
      <c r="T235" s="7" t="n">
        <f aca="false">VALUE(RIGHT(Q235,2))</f>
        <v>31</v>
      </c>
      <c r="U235" s="7" t="s">
        <v>125</v>
      </c>
      <c r="V235" s="7" t="s">
        <v>126</v>
      </c>
    </row>
    <row r="236" customFormat="false" ht="23.25" hidden="false" customHeight="true" outlineLevel="0" collapsed="false">
      <c r="A236" s="7" t="n">
        <v>235</v>
      </c>
      <c r="B236" s="7" t="s">
        <v>1661</v>
      </c>
      <c r="C236" s="7" t="s">
        <v>1662</v>
      </c>
      <c r="D236" s="7" t="n">
        <f aca="false">VALUE(LEFT(B236,4))</f>
        <v>2019</v>
      </c>
      <c r="E236" s="7" t="n">
        <f aca="false">INT((D236-1)/100)+1</f>
        <v>21</v>
      </c>
      <c r="F236" s="7" t="s">
        <v>139</v>
      </c>
      <c r="G236" s="7" t="s">
        <v>1663</v>
      </c>
      <c r="H236" s="7" t="s">
        <v>961</v>
      </c>
      <c r="I236" s="7" t="s">
        <v>1664</v>
      </c>
      <c r="J236" s="7" t="s">
        <v>721</v>
      </c>
      <c r="K236" s="7"/>
      <c r="L236" s="7" t="s">
        <v>627</v>
      </c>
      <c r="M236" s="7" t="s">
        <v>628</v>
      </c>
      <c r="N236" s="7" t="s">
        <v>16</v>
      </c>
      <c r="O236" s="7" t="s">
        <v>75</v>
      </c>
      <c r="P236" s="7"/>
      <c r="Q236" s="7" t="s">
        <v>1661</v>
      </c>
      <c r="R236" s="7" t="n">
        <f aca="false">VALUE(LEFT(Q236,4))</f>
        <v>2019</v>
      </c>
      <c r="S236" s="7" t="n">
        <f aca="false">VALUE(MID(Q236,6,2))</f>
        <v>12</v>
      </c>
      <c r="T236" s="7" t="n">
        <f aca="false">VALUE(RIGHT(Q236,2))</f>
        <v>1</v>
      </c>
      <c r="U236" s="7" t="s">
        <v>125</v>
      </c>
      <c r="V236" s="7" t="s">
        <v>126</v>
      </c>
    </row>
    <row r="237" customFormat="false" ht="23.25" hidden="false" customHeight="true" outlineLevel="0" collapsed="false">
      <c r="A237" s="7" t="n">
        <v>236</v>
      </c>
      <c r="B237" s="7" t="s">
        <v>1665</v>
      </c>
      <c r="C237" s="7" t="s">
        <v>1665</v>
      </c>
      <c r="D237" s="7" t="n">
        <f aca="false">VALUE(LEFT(B237,4))</f>
        <v>2020</v>
      </c>
      <c r="E237" s="7" t="n">
        <f aca="false">INT((D237-1)/100)+1</f>
        <v>21</v>
      </c>
      <c r="F237" s="7" t="s">
        <v>1666</v>
      </c>
      <c r="G237" s="7" t="s">
        <v>1667</v>
      </c>
      <c r="H237" s="7" t="s">
        <v>1668</v>
      </c>
      <c r="I237" s="7"/>
      <c r="J237" s="7" t="s">
        <v>983</v>
      </c>
      <c r="K237" s="7"/>
      <c r="L237" s="7" t="s">
        <v>627</v>
      </c>
      <c r="M237" s="7" t="s">
        <v>628</v>
      </c>
      <c r="N237" s="7" t="s">
        <v>16</v>
      </c>
      <c r="O237" s="7" t="s">
        <v>75</v>
      </c>
      <c r="P237" s="7" t="s">
        <v>1669</v>
      </c>
      <c r="Q237" s="7" t="s">
        <v>1665</v>
      </c>
      <c r="R237" s="7" t="n">
        <f aca="false">VALUE(LEFT(Q237,4))</f>
        <v>2020</v>
      </c>
      <c r="S237" s="7" t="n">
        <f aca="false">VALUE(MID(Q237,6,2))</f>
        <v>5</v>
      </c>
      <c r="T237" s="7" t="n">
        <f aca="false">VALUE(RIGHT(Q237,2))</f>
        <v>15</v>
      </c>
      <c r="U237" s="7" t="s">
        <v>77</v>
      </c>
      <c r="V237" s="7" t="s">
        <v>78</v>
      </c>
    </row>
    <row r="238" customFormat="false" ht="23.25" hidden="false" customHeight="true" outlineLevel="0" collapsed="false">
      <c r="A238" s="7" t="n">
        <v>237</v>
      </c>
      <c r="B238" s="7" t="s">
        <v>1670</v>
      </c>
      <c r="C238" s="7" t="s">
        <v>1670</v>
      </c>
      <c r="D238" s="7" t="n">
        <f aca="false">VALUE(LEFT(B238,4))</f>
        <v>2020</v>
      </c>
      <c r="E238" s="7" t="n">
        <f aca="false">INT((D238-1)/100)+1</f>
        <v>21</v>
      </c>
      <c r="F238" s="7" t="s">
        <v>67</v>
      </c>
      <c r="G238" s="7" t="s">
        <v>1671</v>
      </c>
      <c r="H238" s="7" t="s">
        <v>961</v>
      </c>
      <c r="I238" s="7" t="s">
        <v>1672</v>
      </c>
      <c r="J238" s="7" t="s">
        <v>721</v>
      </c>
      <c r="K238" s="7"/>
      <c r="L238" s="7" t="s">
        <v>627</v>
      </c>
      <c r="M238" s="7" t="s">
        <v>628</v>
      </c>
      <c r="N238" s="7" t="s">
        <v>16</v>
      </c>
      <c r="O238" s="7" t="s">
        <v>75</v>
      </c>
      <c r="P238" s="7"/>
      <c r="Q238" s="7" t="s">
        <v>1670</v>
      </c>
      <c r="R238" s="7" t="n">
        <f aca="false">VALUE(LEFT(Q238,4))</f>
        <v>2020</v>
      </c>
      <c r="S238" s="7" t="n">
        <f aca="false">VALUE(MID(Q238,6,2))</f>
        <v>8</v>
      </c>
      <c r="T238" s="7" t="n">
        <f aca="false">VALUE(RIGHT(Q238,2))</f>
        <v>4</v>
      </c>
      <c r="U238" s="7" t="s">
        <v>77</v>
      </c>
      <c r="V238" s="7" t="s">
        <v>78</v>
      </c>
    </row>
    <row r="239" customFormat="false" ht="23.25" hidden="false" customHeight="true" outlineLevel="0" collapsed="false">
      <c r="A239" s="7" t="n">
        <v>238</v>
      </c>
      <c r="B239" s="7" t="s">
        <v>1673</v>
      </c>
      <c r="C239" s="7" t="s">
        <v>1673</v>
      </c>
      <c r="D239" s="7" t="n">
        <f aca="false">VALUE(LEFT(B239,4))</f>
        <v>2020</v>
      </c>
      <c r="E239" s="7" t="n">
        <f aca="false">INT((D239-1)/100)+1</f>
        <v>21</v>
      </c>
      <c r="F239" s="7" t="s">
        <v>1242</v>
      </c>
      <c r="G239" s="7" t="s">
        <v>1674</v>
      </c>
      <c r="H239" s="7" t="s">
        <v>961</v>
      </c>
      <c r="I239" s="7" t="s">
        <v>1675</v>
      </c>
      <c r="J239" s="7" t="s">
        <v>983</v>
      </c>
      <c r="K239" s="7"/>
      <c r="L239" s="7" t="s">
        <v>627</v>
      </c>
      <c r="M239" s="7" t="s">
        <v>628</v>
      </c>
      <c r="N239" s="7" t="s">
        <v>16</v>
      </c>
      <c r="O239" s="7" t="s">
        <v>75</v>
      </c>
      <c r="P239" s="7"/>
      <c r="Q239" s="7" t="s">
        <v>1673</v>
      </c>
      <c r="R239" s="7" t="n">
        <f aca="false">VALUE(LEFT(Q239,4))</f>
        <v>2020</v>
      </c>
      <c r="S239" s="7" t="n">
        <f aca="false">VALUE(MID(Q239,6,2))</f>
        <v>10</v>
      </c>
      <c r="T239" s="7" t="n">
        <f aca="false">VALUE(RIGHT(Q239,2))</f>
        <v>7</v>
      </c>
      <c r="U239" s="7" t="s">
        <v>77</v>
      </c>
      <c r="V239" s="7" t="s">
        <v>78</v>
      </c>
    </row>
    <row r="240" customFormat="false" ht="23.25" hidden="false" customHeight="true" outlineLevel="0" collapsed="false">
      <c r="A240" s="7" t="n">
        <v>239</v>
      </c>
      <c r="B240" s="7" t="s">
        <v>1676</v>
      </c>
      <c r="C240" s="7" t="s">
        <v>1677</v>
      </c>
      <c r="D240" s="7" t="n">
        <f aca="false">VALUE(LEFT(B240,4))</f>
        <v>2020</v>
      </c>
      <c r="E240" s="7" t="n">
        <f aca="false">INT((D240-1)/100)+1</f>
        <v>21</v>
      </c>
      <c r="F240" s="7" t="s">
        <v>139</v>
      </c>
      <c r="G240" s="7" t="s">
        <v>1678</v>
      </c>
      <c r="H240" s="7" t="s">
        <v>961</v>
      </c>
      <c r="I240" s="7" t="s">
        <v>1679</v>
      </c>
      <c r="J240" s="7" t="s">
        <v>310</v>
      </c>
      <c r="K240" s="7"/>
      <c r="L240" s="7" t="s">
        <v>627</v>
      </c>
      <c r="M240" s="7" t="s">
        <v>628</v>
      </c>
      <c r="N240" s="7" t="s">
        <v>16</v>
      </c>
      <c r="O240" s="7" t="s">
        <v>75</v>
      </c>
      <c r="P240" s="7" t="s">
        <v>1680</v>
      </c>
      <c r="Q240" s="7" t="s">
        <v>1676</v>
      </c>
      <c r="R240" s="7" t="n">
        <f aca="false">VALUE(LEFT(Q240,4))</f>
        <v>2020</v>
      </c>
      <c r="S240" s="7" t="n">
        <f aca="false">VALUE(MID(Q240,6,2))</f>
        <v>12</v>
      </c>
      <c r="T240" s="7" t="n">
        <f aca="false">VALUE(RIGHT(Q240,2))</f>
        <v>16</v>
      </c>
      <c r="U240" s="7" t="s">
        <v>125</v>
      </c>
      <c r="V240" s="7" t="s">
        <v>126</v>
      </c>
    </row>
    <row r="241" customFormat="false" ht="23.25" hidden="false" customHeight="true" outlineLevel="0" collapsed="false">
      <c r="A241" s="7" t="n">
        <v>240</v>
      </c>
      <c r="B241" s="7" t="s">
        <v>1681</v>
      </c>
      <c r="C241" s="7" t="s">
        <v>1682</v>
      </c>
      <c r="D241" s="7" t="n">
        <f aca="false">VALUE(LEFT(B241,4))</f>
        <v>2020</v>
      </c>
      <c r="E241" s="7" t="n">
        <f aca="false">INT((D241-1)/100)+1</f>
        <v>21</v>
      </c>
      <c r="F241" s="7" t="s">
        <v>1255</v>
      </c>
      <c r="G241" s="7" t="s">
        <v>1683</v>
      </c>
      <c r="H241" s="7" t="s">
        <v>1684</v>
      </c>
      <c r="I241" s="7" t="s">
        <v>1685</v>
      </c>
      <c r="J241" s="7" t="s">
        <v>721</v>
      </c>
      <c r="K241" s="7" t="s">
        <v>1686</v>
      </c>
      <c r="L241" s="7" t="s">
        <v>627</v>
      </c>
      <c r="M241" s="7" t="s">
        <v>628</v>
      </c>
      <c r="N241" s="7" t="s">
        <v>16</v>
      </c>
      <c r="O241" s="7" t="s">
        <v>75</v>
      </c>
      <c r="P241" s="7"/>
      <c r="Q241" s="7" t="s">
        <v>1681</v>
      </c>
      <c r="R241" s="7" t="n">
        <f aca="false">VALUE(LEFT(Q241,4))</f>
        <v>2020</v>
      </c>
      <c r="S241" s="7" t="n">
        <f aca="false">VALUE(MID(Q241,6,2))</f>
        <v>12</v>
      </c>
      <c r="T241" s="7" t="n">
        <f aca="false">VALUE(RIGHT(Q241,2))</f>
        <v>24</v>
      </c>
      <c r="U241" s="7" t="s">
        <v>125</v>
      </c>
      <c r="V241" s="7" t="s">
        <v>126</v>
      </c>
    </row>
    <row r="242" customFormat="false" ht="23.25" hidden="false" customHeight="true" outlineLevel="0" collapsed="false">
      <c r="A242" s="7" t="n">
        <v>241</v>
      </c>
      <c r="B242" s="7" t="s">
        <v>1687</v>
      </c>
      <c r="C242" s="7" t="s">
        <v>1687</v>
      </c>
      <c r="D242" s="7" t="n">
        <f aca="false">VALUE(LEFT(B242,4))</f>
        <v>2021</v>
      </c>
      <c r="E242" s="7" t="n">
        <f aca="false">INT((D242-1)/100)+1</f>
        <v>21</v>
      </c>
      <c r="F242" s="7" t="s">
        <v>1688</v>
      </c>
      <c r="G242" s="7" t="s">
        <v>1689</v>
      </c>
      <c r="H242" s="7" t="s">
        <v>1690</v>
      </c>
      <c r="I242" s="7"/>
      <c r="J242" s="7" t="s">
        <v>983</v>
      </c>
      <c r="K242" s="7" t="s">
        <v>1691</v>
      </c>
      <c r="L242" s="7" t="s">
        <v>627</v>
      </c>
      <c r="M242" s="7" t="s">
        <v>628</v>
      </c>
      <c r="N242" s="7" t="s">
        <v>18</v>
      </c>
      <c r="O242" s="7" t="s">
        <v>75</v>
      </c>
      <c r="P242" s="7" t="s">
        <v>1692</v>
      </c>
      <c r="Q242" s="7" t="s">
        <v>1687</v>
      </c>
      <c r="R242" s="7" t="n">
        <f aca="false">VALUE(LEFT(Q242,4))</f>
        <v>2021</v>
      </c>
      <c r="S242" s="7" t="n">
        <f aca="false">VALUE(MID(Q242,6,2))</f>
        <v>4</v>
      </c>
      <c r="T242" s="7" t="n">
        <f aca="false">VALUE(RIGHT(Q242,2))</f>
        <v>21</v>
      </c>
      <c r="U242" s="7" t="s">
        <v>77</v>
      </c>
      <c r="V242" s="7" t="s">
        <v>78</v>
      </c>
    </row>
    <row r="243" customFormat="false" ht="23.25" hidden="false" customHeight="true" outlineLevel="0" collapsed="false">
      <c r="A243" s="7" t="n">
        <v>242</v>
      </c>
      <c r="B243" s="7" t="s">
        <v>1693</v>
      </c>
      <c r="C243" s="7" t="s">
        <v>1694</v>
      </c>
      <c r="D243" s="7" t="n">
        <f aca="false">VALUE(LEFT(B243,4))</f>
        <v>2021</v>
      </c>
      <c r="E243" s="7" t="n">
        <f aca="false">INT((D243-1)/100)+1</f>
        <v>21</v>
      </c>
      <c r="F243" s="7" t="s">
        <v>1695</v>
      </c>
      <c r="G243" s="7" t="s">
        <v>1696</v>
      </c>
      <c r="H243" s="7" t="s">
        <v>961</v>
      </c>
      <c r="I243" s="7"/>
      <c r="J243" s="7" t="s">
        <v>721</v>
      </c>
      <c r="K243" s="7"/>
      <c r="L243" s="7" t="s">
        <v>627</v>
      </c>
      <c r="M243" s="7" t="s">
        <v>628</v>
      </c>
      <c r="N243" s="7" t="s">
        <v>16</v>
      </c>
      <c r="O243" s="7" t="s">
        <v>75</v>
      </c>
      <c r="P243" s="7"/>
      <c r="Q243" s="7" t="s">
        <v>1697</v>
      </c>
      <c r="R243" s="7" t="n">
        <f aca="false">VALUE(LEFT(Q243,4))</f>
        <v>2021</v>
      </c>
      <c r="S243" s="7" t="n">
        <f aca="false">VALUE(MID(Q243,6,2))</f>
        <v>7</v>
      </c>
      <c r="T243" s="7" t="n">
        <f aca="false">VALUE(RIGHT(Q243,2))</f>
        <v>15</v>
      </c>
      <c r="U243" s="7" t="s">
        <v>317</v>
      </c>
      <c r="V243" s="7" t="s">
        <v>1698</v>
      </c>
    </row>
    <row r="244" customFormat="false" ht="23.25" hidden="false" customHeight="true" outlineLevel="0" collapsed="false">
      <c r="A244" s="7" t="n">
        <v>243</v>
      </c>
      <c r="B244" s="7" t="s">
        <v>1699</v>
      </c>
      <c r="C244" s="7" t="s">
        <v>1700</v>
      </c>
      <c r="D244" s="7" t="n">
        <f aca="false">VALUE(LEFT(B244,4))</f>
        <v>2021</v>
      </c>
      <c r="E244" s="7" t="n">
        <f aca="false">INT((D244-1)/100)+1</f>
        <v>21</v>
      </c>
      <c r="F244" s="7" t="s">
        <v>1445</v>
      </c>
      <c r="G244" s="7" t="s">
        <v>1701</v>
      </c>
      <c r="H244" s="7" t="s">
        <v>1702</v>
      </c>
      <c r="I244" s="7" t="s">
        <v>1703</v>
      </c>
      <c r="J244" s="7" t="s">
        <v>721</v>
      </c>
      <c r="K244" s="7" t="s">
        <v>1704</v>
      </c>
      <c r="L244" s="7" t="s">
        <v>627</v>
      </c>
      <c r="M244" s="7" t="s">
        <v>628</v>
      </c>
      <c r="N244" s="7" t="s">
        <v>16</v>
      </c>
      <c r="O244" s="7" t="s">
        <v>75</v>
      </c>
      <c r="P244" s="7"/>
      <c r="Q244" s="7" t="s">
        <v>1699</v>
      </c>
      <c r="R244" s="7" t="n">
        <f aca="false">VALUE(LEFT(Q244,4))</f>
        <v>2021</v>
      </c>
      <c r="S244" s="7" t="n">
        <f aca="false">VALUE(MID(Q244,6,2))</f>
        <v>9</v>
      </c>
      <c r="T244" s="7" t="n">
        <f aca="false">VALUE(RIGHT(Q244,2))</f>
        <v>1</v>
      </c>
      <c r="U244" s="7" t="s">
        <v>125</v>
      </c>
      <c r="V244" s="7" t="s">
        <v>126</v>
      </c>
    </row>
    <row r="245" customFormat="false" ht="23.25" hidden="false" customHeight="true" outlineLevel="0" collapsed="false">
      <c r="A245" s="7" t="n">
        <v>244</v>
      </c>
      <c r="B245" s="7" t="s">
        <v>1705</v>
      </c>
      <c r="C245" s="7" t="s">
        <v>1706</v>
      </c>
      <c r="D245" s="7" t="n">
        <f aca="false">VALUE(LEFT(B245,4))</f>
        <v>2022</v>
      </c>
      <c r="E245" s="7" t="n">
        <f aca="false">INT((D245-1)/100)+1</f>
        <v>21</v>
      </c>
      <c r="F245" s="7" t="s">
        <v>823</v>
      </c>
      <c r="G245" s="7" t="s">
        <v>1707</v>
      </c>
      <c r="H245" s="7" t="s">
        <v>961</v>
      </c>
      <c r="I245" s="7"/>
      <c r="J245" s="7" t="s">
        <v>721</v>
      </c>
      <c r="K245" s="7"/>
      <c r="L245" s="7" t="s">
        <v>627</v>
      </c>
      <c r="M245" s="7" t="s">
        <v>628</v>
      </c>
      <c r="N245" s="7" t="s">
        <v>16</v>
      </c>
      <c r="O245" s="7" t="s">
        <v>75</v>
      </c>
      <c r="P245" s="7"/>
      <c r="Q245" s="7" t="s">
        <v>1705</v>
      </c>
      <c r="R245" s="7" t="n">
        <f aca="false">VALUE(LEFT(Q245,4))</f>
        <v>2022</v>
      </c>
      <c r="S245" s="7" t="n">
        <f aca="false">VALUE(MID(Q245,6,2))</f>
        <v>2</v>
      </c>
      <c r="T245" s="7" t="n">
        <f aca="false">VALUE(RIGHT(Q245,2))</f>
        <v>3</v>
      </c>
      <c r="U245" s="7" t="s">
        <v>125</v>
      </c>
      <c r="V245" s="7" t="s">
        <v>126</v>
      </c>
    </row>
    <row r="246" customFormat="false" ht="23.25" hidden="false" customHeight="true" outlineLevel="0" collapsed="false">
      <c r="A246" s="7" t="n">
        <v>245</v>
      </c>
      <c r="B246" s="7" t="s">
        <v>1708</v>
      </c>
      <c r="C246" s="7" t="s">
        <v>1709</v>
      </c>
      <c r="D246" s="7" t="n">
        <f aca="false">VALUE(LEFT(B246,4))</f>
        <v>2022</v>
      </c>
      <c r="E246" s="7" t="n">
        <f aca="false">INT((D246-1)/100)+1</f>
        <v>21</v>
      </c>
      <c r="F246" s="7" t="s">
        <v>905</v>
      </c>
      <c r="G246" s="7" t="s">
        <v>1710</v>
      </c>
      <c r="H246" s="7" t="s">
        <v>961</v>
      </c>
      <c r="I246" s="7"/>
      <c r="J246" s="7" t="s">
        <v>721</v>
      </c>
      <c r="K246" s="7"/>
      <c r="L246" s="7" t="s">
        <v>627</v>
      </c>
      <c r="M246" s="7" t="s">
        <v>628</v>
      </c>
      <c r="N246" s="7" t="s">
        <v>16</v>
      </c>
      <c r="O246" s="7" t="s">
        <v>75</v>
      </c>
      <c r="P246" s="7"/>
      <c r="Q246" s="7" t="s">
        <v>1708</v>
      </c>
      <c r="R246" s="7" t="n">
        <f aca="false">VALUE(LEFT(Q246,4))</f>
        <v>2022</v>
      </c>
      <c r="S246" s="7" t="n">
        <f aca="false">VALUE(MID(Q246,6,2))</f>
        <v>4</v>
      </c>
      <c r="T246" s="7" t="n">
        <f aca="false">VALUE(RIGHT(Q246,2))</f>
        <v>18</v>
      </c>
      <c r="U246" s="7" t="s">
        <v>125</v>
      </c>
      <c r="V246" s="7" t="s">
        <v>126</v>
      </c>
    </row>
    <row r="247" customFormat="false" ht="23.25" hidden="false" customHeight="true" outlineLevel="0" collapsed="false">
      <c r="A247" s="7" t="n">
        <v>246</v>
      </c>
      <c r="B247" s="7" t="s">
        <v>1711</v>
      </c>
      <c r="C247" s="7" t="s">
        <v>1712</v>
      </c>
      <c r="D247" s="7" t="n">
        <f aca="false">VALUE(LEFT(B247,4))</f>
        <v>2022</v>
      </c>
      <c r="E247" s="7" t="n">
        <f aca="false">INT((D247-1)/100)+1</f>
        <v>21</v>
      </c>
      <c r="F247" s="7" t="s">
        <v>159</v>
      </c>
      <c r="G247" s="7" t="s">
        <v>1713</v>
      </c>
      <c r="H247" s="7" t="s">
        <v>961</v>
      </c>
      <c r="I247" s="7"/>
      <c r="J247" s="7" t="s">
        <v>721</v>
      </c>
      <c r="K247" s="7"/>
      <c r="L247" s="7" t="s">
        <v>627</v>
      </c>
      <c r="M247" s="7" t="s">
        <v>628</v>
      </c>
      <c r="N247" s="7" t="s">
        <v>16</v>
      </c>
      <c r="O247" s="7" t="s">
        <v>75</v>
      </c>
      <c r="P247" s="7"/>
      <c r="Q247" s="7" t="s">
        <v>1711</v>
      </c>
      <c r="R247" s="7" t="n">
        <f aca="false">VALUE(LEFT(Q247,4))</f>
        <v>2022</v>
      </c>
      <c r="S247" s="7" t="n">
        <f aca="false">VALUE(MID(Q247,6,2))</f>
        <v>12</v>
      </c>
      <c r="T247" s="7" t="n">
        <f aca="false">VALUE(RIGHT(Q247,2))</f>
        <v>15</v>
      </c>
      <c r="U247" s="7" t="s">
        <v>125</v>
      </c>
      <c r="V247" s="7" t="s">
        <v>126</v>
      </c>
    </row>
    <row r="248" customFormat="false" ht="23.25" hidden="false" customHeight="true" outlineLevel="0" collapsed="false">
      <c r="A248" s="7" t="n">
        <v>247</v>
      </c>
      <c r="B248" s="7" t="s">
        <v>1714</v>
      </c>
      <c r="C248" s="7" t="s">
        <v>1715</v>
      </c>
      <c r="D248" s="7" t="n">
        <f aca="false">VALUE(LEFT(B248,4))</f>
        <v>2023</v>
      </c>
      <c r="E248" s="7" t="n">
        <f aca="false">INT((D248-1)/100)+1</f>
        <v>21</v>
      </c>
      <c r="F248" s="7" t="s">
        <v>238</v>
      </c>
      <c r="G248" s="7" t="s">
        <v>1716</v>
      </c>
      <c r="H248" s="7" t="s">
        <v>961</v>
      </c>
      <c r="I248" s="7" t="s">
        <v>1717</v>
      </c>
      <c r="J248" s="7" t="s">
        <v>721</v>
      </c>
      <c r="K248" s="7"/>
      <c r="L248" s="7" t="s">
        <v>627</v>
      </c>
      <c r="M248" s="7" t="s">
        <v>628</v>
      </c>
      <c r="N248" s="7" t="s">
        <v>16</v>
      </c>
      <c r="O248" s="7" t="s">
        <v>75</v>
      </c>
      <c r="P248" s="7"/>
      <c r="Q248" s="7" t="s">
        <v>1714</v>
      </c>
      <c r="R248" s="7" t="n">
        <f aca="false">VALUE(LEFT(Q248,4))</f>
        <v>2023</v>
      </c>
      <c r="S248" s="7" t="n">
        <f aca="false">VALUE(MID(Q248,6,2))</f>
        <v>2</v>
      </c>
      <c r="T248" s="7" t="n">
        <f aca="false">VALUE(RIGHT(Q248,2))</f>
        <v>3</v>
      </c>
      <c r="U248" s="7" t="s">
        <v>125</v>
      </c>
      <c r="V248" s="7" t="s">
        <v>126</v>
      </c>
    </row>
    <row r="249" customFormat="false" ht="23.25" hidden="false" customHeight="true" outlineLevel="0" collapsed="false">
      <c r="A249" s="7" t="n">
        <v>248</v>
      </c>
      <c r="B249" s="7" t="s">
        <v>1718</v>
      </c>
      <c r="C249" s="7" t="s">
        <v>1719</v>
      </c>
      <c r="D249" s="7" t="n">
        <f aca="false">VALUE(LEFT(B249,4))</f>
        <v>2023</v>
      </c>
      <c r="E249" s="7" t="n">
        <f aca="false">INT((D249-1)/100)+1</f>
        <v>21</v>
      </c>
      <c r="F249" s="7" t="s">
        <v>159</v>
      </c>
      <c r="G249" s="7" t="s">
        <v>1720</v>
      </c>
      <c r="H249" s="7" t="s">
        <v>1721</v>
      </c>
      <c r="I249" s="7" t="s">
        <v>1722</v>
      </c>
      <c r="J249" s="7" t="s">
        <v>721</v>
      </c>
      <c r="K249" s="7"/>
      <c r="L249" s="7" t="s">
        <v>627</v>
      </c>
      <c r="M249" s="7" t="s">
        <v>628</v>
      </c>
      <c r="N249" s="7" t="s">
        <v>16</v>
      </c>
      <c r="O249" s="7" t="s">
        <v>75</v>
      </c>
      <c r="P249" s="7"/>
      <c r="Q249" s="7" t="s">
        <v>1718</v>
      </c>
      <c r="R249" s="7" t="n">
        <f aca="false">VALUE(LEFT(Q249,4))</f>
        <v>2023</v>
      </c>
      <c r="S249" s="7" t="n">
        <f aca="false">VALUE(MID(Q249,6,2))</f>
        <v>3</v>
      </c>
      <c r="T249" s="7" t="n">
        <f aca="false">VALUE(RIGHT(Q249,2))</f>
        <v>13</v>
      </c>
      <c r="U249" s="7" t="s">
        <v>125</v>
      </c>
      <c r="V249" s="7" t="s">
        <v>126</v>
      </c>
    </row>
    <row r="250" customFormat="false" ht="15" hidden="false" customHeight="true" outlineLevel="0" collapsed="false">
      <c r="A250" s="7" t="n">
        <v>249</v>
      </c>
      <c r="B250" s="7" t="s">
        <v>1723</v>
      </c>
      <c r="C250" s="7" t="s">
        <v>1723</v>
      </c>
      <c r="D250" s="7" t="n">
        <f aca="false">VALUE(LEFT(B250,4))</f>
        <v>2023</v>
      </c>
      <c r="E250" s="7" t="n">
        <f aca="false">INT((D250-1)/100)+1</f>
        <v>21</v>
      </c>
      <c r="F250" s="7" t="s">
        <v>1572</v>
      </c>
      <c r="G250" s="7" t="s">
        <v>1724</v>
      </c>
      <c r="H250" s="7" t="s">
        <v>1725</v>
      </c>
      <c r="I250" s="7" t="s">
        <v>1726</v>
      </c>
      <c r="J250" s="7" t="s">
        <v>332</v>
      </c>
      <c r="K250" s="7" t="s">
        <v>1727</v>
      </c>
      <c r="L250" s="7" t="s">
        <v>1728</v>
      </c>
      <c r="M250" s="7" t="s">
        <v>1729</v>
      </c>
      <c r="N250" s="7" t="s">
        <v>18</v>
      </c>
      <c r="O250" s="7" t="s">
        <v>75</v>
      </c>
      <c r="P250" s="7"/>
      <c r="Q250" s="7" t="s">
        <v>1723</v>
      </c>
      <c r="R250" s="7" t="n">
        <f aca="false">VALUE(LEFT(Q250,4))</f>
        <v>2023</v>
      </c>
      <c r="S250" s="7" t="n">
        <f aca="false">VALUE(MID(Q250,6,2))</f>
        <v>3</v>
      </c>
      <c r="T250" s="7" t="n">
        <f aca="false">VALUE(RIGHT(Q250,2))</f>
        <v>17</v>
      </c>
      <c r="U250" s="7" t="s">
        <v>77</v>
      </c>
      <c r="V250" s="7" t="s">
        <v>78</v>
      </c>
    </row>
    <row r="251" customFormat="false" ht="23.25" hidden="false" customHeight="true" outlineLevel="0" collapsed="false">
      <c r="A251" s="7" t="n">
        <v>250</v>
      </c>
      <c r="B251" s="7" t="s">
        <v>1730</v>
      </c>
      <c r="C251" s="7" t="s">
        <v>1730</v>
      </c>
      <c r="D251" s="7" t="n">
        <f aca="false">VALUE(LEFT(B251,4))</f>
        <v>2023</v>
      </c>
      <c r="E251" s="7" t="n">
        <f aca="false">INT((D251-1)/100)+1</f>
        <v>21</v>
      </c>
      <c r="F251" s="7" t="s">
        <v>459</v>
      </c>
      <c r="G251" s="7" t="s">
        <v>1731</v>
      </c>
      <c r="H251" s="7" t="s">
        <v>574</v>
      </c>
      <c r="I251" s="7" t="s">
        <v>1732</v>
      </c>
      <c r="J251" s="7" t="s">
        <v>721</v>
      </c>
      <c r="K251" s="7" t="s">
        <v>1733</v>
      </c>
      <c r="L251" s="7" t="s">
        <v>569</v>
      </c>
      <c r="M251" s="7"/>
      <c r="N251" s="7" t="s">
        <v>18</v>
      </c>
      <c r="O251" s="7" t="s">
        <v>94</v>
      </c>
      <c r="P251" s="7" t="s">
        <v>1734</v>
      </c>
      <c r="Q251" s="7" t="s">
        <v>1730</v>
      </c>
      <c r="R251" s="7" t="n">
        <f aca="false">VALUE(LEFT(Q251,4))</f>
        <v>2023</v>
      </c>
      <c r="S251" s="7" t="n">
        <f aca="false">VALUE(MID(Q251,6,2))</f>
        <v>5</v>
      </c>
      <c r="T251" s="7" t="n">
        <f aca="false">VALUE(RIGHT(Q251,2))</f>
        <v>18</v>
      </c>
      <c r="U251" s="7" t="s">
        <v>77</v>
      </c>
      <c r="V251" s="7" t="s">
        <v>78</v>
      </c>
    </row>
    <row r="252" customFormat="false" ht="23.25" hidden="false" customHeight="true" outlineLevel="0" collapsed="false">
      <c r="A252" s="7" t="n">
        <v>251</v>
      </c>
      <c r="B252" s="7" t="s">
        <v>1735</v>
      </c>
      <c r="C252" s="7" t="s">
        <v>1736</v>
      </c>
      <c r="D252" s="7" t="n">
        <f aca="false">VALUE(LEFT(B252,4))</f>
        <v>2023</v>
      </c>
      <c r="E252" s="7" t="n">
        <f aca="false">INT((D252-1)/100)+1</f>
        <v>21</v>
      </c>
      <c r="F252" s="7" t="s">
        <v>1737</v>
      </c>
      <c r="G252" s="7" t="s">
        <v>1738</v>
      </c>
      <c r="H252" s="7" t="s">
        <v>1739</v>
      </c>
      <c r="I252" s="7" t="s">
        <v>1740</v>
      </c>
      <c r="J252" s="7" t="s">
        <v>721</v>
      </c>
      <c r="K252" s="7" t="s">
        <v>1741</v>
      </c>
      <c r="L252" s="7" t="s">
        <v>627</v>
      </c>
      <c r="M252" s="7" t="s">
        <v>628</v>
      </c>
      <c r="N252" s="7" t="s">
        <v>16</v>
      </c>
      <c r="O252" s="7" t="s">
        <v>75</v>
      </c>
      <c r="P252" s="7"/>
      <c r="Q252" s="7" t="s">
        <v>1735</v>
      </c>
      <c r="R252" s="7" t="n">
        <f aca="false">VALUE(LEFT(Q252,4))</f>
        <v>2023</v>
      </c>
      <c r="S252" s="7" t="n">
        <f aca="false">VALUE(MID(Q252,6,2))</f>
        <v>7</v>
      </c>
      <c r="T252" s="7" t="n">
        <f aca="false">VALUE(RIGHT(Q252,2))</f>
        <v>9</v>
      </c>
      <c r="U252" s="7" t="s">
        <v>125</v>
      </c>
      <c r="V252" s="7" t="s">
        <v>126</v>
      </c>
    </row>
    <row r="253" customFormat="false" ht="57" hidden="false" customHeight="true" outlineLevel="0" collapsed="false">
      <c r="A253" s="7" t="n">
        <v>252</v>
      </c>
      <c r="B253" s="7" t="s">
        <v>1742</v>
      </c>
      <c r="C253" s="7" t="s">
        <v>1743</v>
      </c>
      <c r="D253" s="7" t="n">
        <f aca="false">VALUE(LEFT(B253,4))</f>
        <v>2023</v>
      </c>
      <c r="E253" s="7" t="n">
        <f aca="false">INT((D253-1)/100)+1</f>
        <v>21</v>
      </c>
      <c r="F253" s="7" t="s">
        <v>1744</v>
      </c>
      <c r="G253" s="7" t="s">
        <v>1745</v>
      </c>
      <c r="H253" s="7" t="s">
        <v>1746</v>
      </c>
      <c r="I253" s="7" t="s">
        <v>1747</v>
      </c>
      <c r="J253" s="7" t="s">
        <v>1748</v>
      </c>
      <c r="K253" s="7" t="s">
        <v>1749</v>
      </c>
      <c r="L253" s="7" t="s">
        <v>1750</v>
      </c>
      <c r="M253" s="7" t="s">
        <v>1751</v>
      </c>
      <c r="N253" s="7" t="s">
        <v>18</v>
      </c>
      <c r="O253" s="7" t="s">
        <v>75</v>
      </c>
      <c r="P253" s="7" t="s">
        <v>1752</v>
      </c>
      <c r="Q253" s="7" t="s">
        <v>1753</v>
      </c>
      <c r="R253" s="7" t="n">
        <f aca="false">VALUE(LEFT(Q253,4))</f>
        <v>2023</v>
      </c>
      <c r="S253" s="7" t="n">
        <f aca="false">VALUE(MID(Q253,6,2))</f>
        <v>12</v>
      </c>
      <c r="T253" s="7" t="n">
        <f aca="false">VALUE(RIGHT(Q253,2))</f>
        <v>15</v>
      </c>
      <c r="U253" s="7" t="s">
        <v>317</v>
      </c>
      <c r="V253" s="7" t="s">
        <v>1754</v>
      </c>
    </row>
    <row r="254" customFormat="false" ht="23.25" hidden="false" customHeight="true" outlineLevel="0" collapsed="false">
      <c r="A254" s="7" t="n">
        <v>253</v>
      </c>
      <c r="B254" s="7" t="s">
        <v>1755</v>
      </c>
      <c r="C254" s="7" t="s">
        <v>1755</v>
      </c>
      <c r="D254" s="7" t="n">
        <f aca="false">VALUE(LEFT(B254,4))</f>
        <v>2023</v>
      </c>
      <c r="E254" s="7" t="n">
        <f aca="false">INT((D254-1)/100)+1</f>
        <v>21</v>
      </c>
      <c r="F254" s="7" t="s">
        <v>129</v>
      </c>
      <c r="G254" s="7" t="s">
        <v>1756</v>
      </c>
      <c r="H254" s="7" t="s">
        <v>961</v>
      </c>
      <c r="I254" s="7"/>
      <c r="J254" s="7" t="s">
        <v>721</v>
      </c>
      <c r="K254" s="7"/>
      <c r="L254" s="7" t="s">
        <v>627</v>
      </c>
      <c r="M254" s="7" t="s">
        <v>628</v>
      </c>
      <c r="N254" s="7" t="s">
        <v>16</v>
      </c>
      <c r="O254" s="7" t="s">
        <v>75</v>
      </c>
      <c r="P254" s="7"/>
      <c r="Q254" s="7" t="s">
        <v>1755</v>
      </c>
      <c r="R254" s="7" t="n">
        <f aca="false">VALUE(LEFT(Q254,4))</f>
        <v>2023</v>
      </c>
      <c r="S254" s="7" t="n">
        <f aca="false">VALUE(MID(Q254,6,2))</f>
        <v>12</v>
      </c>
      <c r="T254" s="7" t="n">
        <f aca="false">VALUE(RIGHT(Q254,2))</f>
        <v>18</v>
      </c>
      <c r="U254" s="7" t="s">
        <v>77</v>
      </c>
      <c r="V254" s="7" t="s">
        <v>78</v>
      </c>
    </row>
    <row r="255" customFormat="false" ht="45.75" hidden="false" customHeight="true" outlineLevel="0" collapsed="false">
      <c r="A255" s="7" t="n">
        <v>254</v>
      </c>
      <c r="B255" s="7" t="s">
        <v>1757</v>
      </c>
      <c r="C255" s="7" t="s">
        <v>1757</v>
      </c>
      <c r="D255" s="7" t="n">
        <f aca="false">VALUE(LEFT(B255,4))</f>
        <v>2024</v>
      </c>
      <c r="E255" s="7" t="n">
        <f aca="false">INT((D255-1)/100)+1</f>
        <v>21</v>
      </c>
      <c r="F255" s="7" t="s">
        <v>1758</v>
      </c>
      <c r="G255" s="7" t="s">
        <v>1759</v>
      </c>
      <c r="H255" s="7" t="s">
        <v>1760</v>
      </c>
      <c r="I255" s="7" t="s">
        <v>1761</v>
      </c>
      <c r="J255" s="7" t="s">
        <v>1762</v>
      </c>
      <c r="K255" s="7" t="s">
        <v>1763</v>
      </c>
      <c r="L255" s="7" t="s">
        <v>1750</v>
      </c>
      <c r="M255" s="7" t="s">
        <v>1764</v>
      </c>
      <c r="N255" s="7" t="s">
        <v>18</v>
      </c>
      <c r="O255" s="7" t="s">
        <v>75</v>
      </c>
      <c r="P255" s="7" t="s">
        <v>1765</v>
      </c>
      <c r="Q255" s="7" t="s">
        <v>1757</v>
      </c>
      <c r="R255" s="7" t="n">
        <f aca="false">VALUE(LEFT(Q255,4))</f>
        <v>2024</v>
      </c>
      <c r="S255" s="7" t="n">
        <f aca="false">VALUE(MID(Q255,6,2))</f>
        <v>3</v>
      </c>
      <c r="T255" s="7" t="n">
        <f aca="false">VALUE(RIGHT(Q255,2))</f>
        <v>7</v>
      </c>
      <c r="U255" s="7" t="s">
        <v>77</v>
      </c>
      <c r="V255" s="7" t="s">
        <v>78</v>
      </c>
    </row>
    <row r="256" customFormat="false" ht="23.25" hidden="false" customHeight="true" outlineLevel="0" collapsed="false">
      <c r="A256" s="7" t="n">
        <v>255</v>
      </c>
      <c r="B256" s="7" t="s">
        <v>1766</v>
      </c>
      <c r="C256" s="7" t="s">
        <v>1767</v>
      </c>
      <c r="D256" s="7" t="n">
        <f aca="false">VALUE(LEFT(B256,4))</f>
        <v>2024</v>
      </c>
      <c r="E256" s="7" t="n">
        <f aca="false">INT((D256-1)/100)+1</f>
        <v>21</v>
      </c>
      <c r="F256" s="7" t="s">
        <v>1768</v>
      </c>
      <c r="G256" s="7" t="s">
        <v>1769</v>
      </c>
      <c r="H256" s="7" t="s">
        <v>961</v>
      </c>
      <c r="I256" s="7"/>
      <c r="J256" s="7" t="s">
        <v>721</v>
      </c>
      <c r="K256" s="7"/>
      <c r="L256" s="7" t="s">
        <v>627</v>
      </c>
      <c r="M256" s="7" t="s">
        <v>628</v>
      </c>
      <c r="N256" s="7" t="s">
        <v>16</v>
      </c>
      <c r="O256" s="7" t="s">
        <v>75</v>
      </c>
      <c r="P256" s="7"/>
      <c r="Q256" s="7" t="s">
        <v>1766</v>
      </c>
      <c r="R256" s="7" t="n">
        <f aca="false">VALUE(LEFT(Q256,4))</f>
        <v>2024</v>
      </c>
      <c r="S256" s="7" t="n">
        <f aca="false">VALUE(MID(Q256,6,2))</f>
        <v>3</v>
      </c>
      <c r="T256" s="7" t="n">
        <f aca="false">VALUE(RIGHT(Q256,2))</f>
        <v>22</v>
      </c>
      <c r="U256" s="7" t="s">
        <v>125</v>
      </c>
      <c r="V256" s="7" t="s">
        <v>126</v>
      </c>
    </row>
    <row r="257" customFormat="false" ht="23.25" hidden="false" customHeight="true" outlineLevel="0" collapsed="false">
      <c r="A257" s="7" t="n">
        <v>256</v>
      </c>
      <c r="B257" s="7" t="s">
        <v>1770</v>
      </c>
      <c r="C257" s="7" t="s">
        <v>1771</v>
      </c>
      <c r="D257" s="7" t="n">
        <f aca="false">VALUE(LEFT(B257,4))</f>
        <v>2024</v>
      </c>
      <c r="E257" s="7" t="n">
        <f aca="false">INT((D257-1)/100)+1</f>
        <v>21</v>
      </c>
      <c r="F257" s="7" t="s">
        <v>1772</v>
      </c>
      <c r="G257" s="7" t="s">
        <v>1773</v>
      </c>
      <c r="H257" s="7" t="s">
        <v>961</v>
      </c>
      <c r="I257" s="7"/>
      <c r="J257" s="7" t="s">
        <v>721</v>
      </c>
      <c r="K257" s="7"/>
      <c r="L257" s="7" t="s">
        <v>627</v>
      </c>
      <c r="M257" s="7" t="s">
        <v>628</v>
      </c>
      <c r="N257" s="7" t="s">
        <v>16</v>
      </c>
      <c r="O257" s="7" t="s">
        <v>75</v>
      </c>
      <c r="P257" s="7"/>
      <c r="Q257" s="7" t="s">
        <v>1770</v>
      </c>
      <c r="R257" s="7" t="n">
        <f aca="false">VALUE(LEFT(Q257,4))</f>
        <v>2024</v>
      </c>
      <c r="S257" s="7" t="n">
        <f aca="false">VALUE(MID(Q257,6,2))</f>
        <v>4</v>
      </c>
      <c r="T257" s="7" t="n">
        <f aca="false">VALUE(RIGHT(Q257,2))</f>
        <v>3</v>
      </c>
      <c r="U257" s="7" t="s">
        <v>125</v>
      </c>
      <c r="V257" s="7" t="s">
        <v>126</v>
      </c>
    </row>
    <row r="258" customFormat="false" ht="23.25" hidden="false" customHeight="true" outlineLevel="0" collapsed="false">
      <c r="A258" s="7" t="n">
        <v>257</v>
      </c>
      <c r="B258" s="7" t="s">
        <v>1774</v>
      </c>
      <c r="C258" s="7" t="s">
        <v>1774</v>
      </c>
      <c r="D258" s="7" t="n">
        <f aca="false">VALUE(LEFT(B258,4))</f>
        <v>2024</v>
      </c>
      <c r="E258" s="7" t="n">
        <f aca="false">INT((D258-1)/100)+1</f>
        <v>21</v>
      </c>
      <c r="F258" s="7" t="s">
        <v>580</v>
      </c>
      <c r="G258" s="7" t="s">
        <v>1775</v>
      </c>
      <c r="H258" s="7" t="s">
        <v>1776</v>
      </c>
      <c r="I258" s="7" t="s">
        <v>1777</v>
      </c>
      <c r="J258" s="7" t="s">
        <v>332</v>
      </c>
      <c r="K258" s="7"/>
      <c r="L258" s="7" t="s">
        <v>1778</v>
      </c>
      <c r="M258" s="7" t="s">
        <v>1779</v>
      </c>
      <c r="N258" s="7" t="s">
        <v>18</v>
      </c>
      <c r="O258" s="7" t="s">
        <v>75</v>
      </c>
      <c r="P258" s="7" t="s">
        <v>1780</v>
      </c>
      <c r="Q258" s="7" t="s">
        <v>1774</v>
      </c>
      <c r="R258" s="7" t="n">
        <f aca="false">VALUE(LEFT(Q258,4))</f>
        <v>2024</v>
      </c>
      <c r="S258" s="7" t="n">
        <f aca="false">VALUE(MID(Q258,6,2))</f>
        <v>5</v>
      </c>
      <c r="T258" s="7" t="n">
        <f aca="false">VALUE(RIGHT(Q258,2))</f>
        <v>7</v>
      </c>
      <c r="U258" s="7" t="s">
        <v>77</v>
      </c>
      <c r="V258" s="7" t="s">
        <v>78</v>
      </c>
    </row>
    <row r="259" customFormat="false" ht="23.25" hidden="false" customHeight="true" outlineLevel="0" collapsed="false">
      <c r="A259" s="7" t="n">
        <v>258</v>
      </c>
      <c r="B259" s="7" t="s">
        <v>1781</v>
      </c>
      <c r="C259" s="7" t="s">
        <v>1781</v>
      </c>
      <c r="D259" s="7" t="n">
        <f aca="false">VALUE(LEFT(B259,4))</f>
        <v>2024</v>
      </c>
      <c r="E259" s="7" t="n">
        <f aca="false">INT((D259-1)/100)+1</f>
        <v>21</v>
      </c>
      <c r="F259" s="7" t="s">
        <v>1782</v>
      </c>
      <c r="G259" s="7" t="s">
        <v>1783</v>
      </c>
      <c r="H259" s="7" t="s">
        <v>961</v>
      </c>
      <c r="I259" s="7"/>
      <c r="J259" s="7" t="s">
        <v>721</v>
      </c>
      <c r="K259" s="7"/>
      <c r="L259" s="7" t="s">
        <v>627</v>
      </c>
      <c r="M259" s="7" t="s">
        <v>628</v>
      </c>
      <c r="N259" s="7" t="s">
        <v>16</v>
      </c>
      <c r="O259" s="7" t="s">
        <v>75</v>
      </c>
      <c r="P259" s="7"/>
      <c r="Q259" s="7" t="s">
        <v>1781</v>
      </c>
      <c r="R259" s="7" t="n">
        <f aca="false">VALUE(LEFT(Q259,4))</f>
        <v>2024</v>
      </c>
      <c r="S259" s="7" t="n">
        <f aca="false">VALUE(MID(Q259,6,2))</f>
        <v>7</v>
      </c>
      <c r="T259" s="7" t="n">
        <f aca="false">VALUE(RIGHT(Q259,2))</f>
        <v>16</v>
      </c>
      <c r="U259" s="7" t="s">
        <v>77</v>
      </c>
      <c r="V259" s="7" t="s">
        <v>78</v>
      </c>
    </row>
    <row r="260" customFormat="false" ht="23.25" hidden="false" customHeight="true" outlineLevel="0" collapsed="false">
      <c r="A260" s="7" t="n">
        <v>259</v>
      </c>
      <c r="B260" s="7" t="s">
        <v>1784</v>
      </c>
      <c r="C260" s="7" t="s">
        <v>1784</v>
      </c>
      <c r="D260" s="7" t="n">
        <f aca="false">VALUE(LEFT(B260,4))</f>
        <v>2024</v>
      </c>
      <c r="E260" s="7" t="n">
        <f aca="false">INT((D260-1)/100)+1</f>
        <v>21</v>
      </c>
      <c r="F260" s="7" t="s">
        <v>1445</v>
      </c>
      <c r="G260" s="7" t="s">
        <v>1785</v>
      </c>
      <c r="H260" s="7" t="s">
        <v>961</v>
      </c>
      <c r="I260" s="7"/>
      <c r="J260" s="7" t="s">
        <v>721</v>
      </c>
      <c r="K260" s="7"/>
      <c r="L260" s="7" t="s">
        <v>627</v>
      </c>
      <c r="M260" s="7" t="s">
        <v>628</v>
      </c>
      <c r="N260" s="7" t="s">
        <v>16</v>
      </c>
      <c r="O260" s="7" t="s">
        <v>75</v>
      </c>
      <c r="P260" s="7"/>
      <c r="Q260" s="7" t="s">
        <v>1784</v>
      </c>
      <c r="R260" s="7" t="n">
        <f aca="false">VALUE(LEFT(Q260,4))</f>
        <v>2024</v>
      </c>
      <c r="S260" s="7" t="n">
        <f aca="false">VALUE(MID(Q260,6,2))</f>
        <v>8</v>
      </c>
      <c r="T260" s="7" t="n">
        <f aca="false">VALUE(RIGHT(Q260,2))</f>
        <v>9</v>
      </c>
      <c r="U260" s="7" t="s">
        <v>77</v>
      </c>
      <c r="V260" s="7" t="s">
        <v>78</v>
      </c>
    </row>
    <row r="261" customFormat="false" ht="45.75" hidden="false" customHeight="true" outlineLevel="0" collapsed="false">
      <c r="A261" s="7" t="n">
        <v>260</v>
      </c>
      <c r="B261" s="7" t="s">
        <v>1784</v>
      </c>
      <c r="C261" s="7" t="s">
        <v>1784</v>
      </c>
      <c r="D261" s="7" t="n">
        <f aca="false">VALUE(LEFT(B261,4))</f>
        <v>2024</v>
      </c>
      <c r="E261" s="7" t="n">
        <f aca="false">INT((D261-1)/100)+1</f>
        <v>21</v>
      </c>
      <c r="F261" s="7" t="s">
        <v>1758</v>
      </c>
      <c r="G261" s="7" t="s">
        <v>1786</v>
      </c>
      <c r="H261" s="7" t="s">
        <v>1787</v>
      </c>
      <c r="I261" s="7" t="s">
        <v>1788</v>
      </c>
      <c r="J261" s="7" t="s">
        <v>1789</v>
      </c>
      <c r="K261" s="7" t="s">
        <v>1790</v>
      </c>
      <c r="L261" s="7" t="s">
        <v>1750</v>
      </c>
      <c r="M261" s="7" t="s">
        <v>1764</v>
      </c>
      <c r="N261" s="7" t="s">
        <v>18</v>
      </c>
      <c r="O261" s="7" t="s">
        <v>75</v>
      </c>
      <c r="P261" s="7" t="s">
        <v>1791</v>
      </c>
      <c r="Q261" s="7" t="s">
        <v>1784</v>
      </c>
      <c r="R261" s="7" t="n">
        <f aca="false">VALUE(LEFT(Q261,4))</f>
        <v>2024</v>
      </c>
      <c r="S261" s="7" t="n">
        <f aca="false">VALUE(MID(Q261,6,2))</f>
        <v>8</v>
      </c>
      <c r="T261" s="7" t="n">
        <f aca="false">VALUE(RIGHT(Q261,2))</f>
        <v>9</v>
      </c>
      <c r="U261" s="7" t="s">
        <v>77</v>
      </c>
      <c r="V261" s="7" t="s">
        <v>78</v>
      </c>
    </row>
    <row r="262" customFormat="false" ht="23.25" hidden="false" customHeight="true" outlineLevel="0" collapsed="false">
      <c r="A262" s="7" t="n">
        <v>261</v>
      </c>
      <c r="B262" s="7" t="s">
        <v>1792</v>
      </c>
      <c r="C262" s="7" t="s">
        <v>1793</v>
      </c>
      <c r="D262" s="7" t="n">
        <f aca="false">VALUE(LEFT(B262,4))</f>
        <v>2024</v>
      </c>
      <c r="E262" s="7" t="n">
        <f aca="false">INT((D262-1)/100)+1</f>
        <v>21</v>
      </c>
      <c r="F262" s="7" t="s">
        <v>1794</v>
      </c>
      <c r="G262" s="7" t="s">
        <v>1795</v>
      </c>
      <c r="H262" s="7" t="s">
        <v>574</v>
      </c>
      <c r="I262" s="7" t="s">
        <v>1796</v>
      </c>
      <c r="J262" s="7" t="s">
        <v>721</v>
      </c>
      <c r="K262" s="7" t="s">
        <v>1797</v>
      </c>
      <c r="L262" s="7" t="s">
        <v>569</v>
      </c>
      <c r="M262" s="7"/>
      <c r="N262" s="7" t="s">
        <v>18</v>
      </c>
      <c r="O262" s="7" t="s">
        <v>94</v>
      </c>
      <c r="P262" s="7"/>
      <c r="Q262" s="7" t="s">
        <v>1798</v>
      </c>
      <c r="R262" s="7" t="n">
        <f aca="false">VALUE(LEFT(Q262,4))</f>
        <v>2024</v>
      </c>
      <c r="S262" s="7" t="n">
        <f aca="false">VALUE(MID(Q262,6,2))</f>
        <v>11</v>
      </c>
      <c r="T262" s="7" t="n">
        <f aca="false">VALUE(RIGHT(Q262,2))</f>
        <v>9</v>
      </c>
      <c r="U262" s="7" t="s">
        <v>125</v>
      </c>
      <c r="V262" s="7" t="s">
        <v>1799</v>
      </c>
    </row>
    <row r="263" customFormat="false" ht="23.25" hidden="false" customHeight="true" outlineLevel="0" collapsed="false">
      <c r="A263" s="7" t="n">
        <v>262</v>
      </c>
      <c r="B263" s="7" t="s">
        <v>1800</v>
      </c>
      <c r="C263" s="7" t="s">
        <v>1801</v>
      </c>
      <c r="D263" s="7" t="n">
        <f aca="false">VALUE(LEFT(B263,4))</f>
        <v>2025</v>
      </c>
      <c r="E263" s="7" t="n">
        <f aca="false">INT((D263-1)/100)+1</f>
        <v>21</v>
      </c>
      <c r="F263" s="7" t="s">
        <v>1802</v>
      </c>
      <c r="G263" s="7" t="s">
        <v>1803</v>
      </c>
      <c r="H263" s="7" t="s">
        <v>961</v>
      </c>
      <c r="I263" s="7"/>
      <c r="J263" s="7" t="s">
        <v>721</v>
      </c>
      <c r="K263" s="7"/>
      <c r="L263" s="7" t="s">
        <v>627</v>
      </c>
      <c r="M263" s="7" t="s">
        <v>628</v>
      </c>
      <c r="N263" s="7" t="s">
        <v>16</v>
      </c>
      <c r="O263" s="7" t="s">
        <v>75</v>
      </c>
      <c r="P263" s="7"/>
      <c r="Q263" s="7" t="s">
        <v>1800</v>
      </c>
      <c r="R263" s="7" t="n">
        <f aca="false">VALUE(LEFT(Q263,4))</f>
        <v>2025</v>
      </c>
      <c r="S263" s="7" t="n">
        <f aca="false">VALUE(MID(Q263,6,2))</f>
        <v>1</v>
      </c>
      <c r="T263" s="7" t="n">
        <f aca="false">VALUE(RIGHT(Q263,2))</f>
        <v>1</v>
      </c>
      <c r="U263" s="7" t="s">
        <v>125</v>
      </c>
      <c r="V263" s="7" t="s">
        <v>126</v>
      </c>
    </row>
    <row r="264" customFormat="false" ht="23.25" hidden="false" customHeight="true" outlineLevel="0" collapsed="false">
      <c r="A264" s="7" t="n">
        <v>263</v>
      </c>
      <c r="B264" s="7" t="s">
        <v>1804</v>
      </c>
      <c r="C264" s="7" t="s">
        <v>1805</v>
      </c>
      <c r="D264" s="7" t="n">
        <f aca="false">VALUE(LEFT(B264,4))</f>
        <v>2025</v>
      </c>
      <c r="E264" s="7" t="n">
        <f aca="false">INT((D264-1)/100)+1</f>
        <v>21</v>
      </c>
      <c r="F264" s="7" t="s">
        <v>847</v>
      </c>
      <c r="G264" s="7" t="s">
        <v>1806</v>
      </c>
      <c r="H264" s="7" t="s">
        <v>1807</v>
      </c>
      <c r="I264" s="7" t="s">
        <v>1808</v>
      </c>
      <c r="J264" s="7" t="s">
        <v>1809</v>
      </c>
      <c r="K264" s="7" t="s">
        <v>1810</v>
      </c>
      <c r="L264" s="7" t="s">
        <v>1247</v>
      </c>
      <c r="M264" s="7" t="s">
        <v>1248</v>
      </c>
      <c r="N264" s="7" t="s">
        <v>16</v>
      </c>
      <c r="O264" s="7" t="s">
        <v>75</v>
      </c>
      <c r="P264" s="7" t="s">
        <v>1811</v>
      </c>
      <c r="Q264" s="7" t="s">
        <v>1804</v>
      </c>
      <c r="R264" s="7" t="n">
        <f aca="false">VALUE(LEFT(Q264,4))</f>
        <v>2025</v>
      </c>
      <c r="S264" s="7" t="n">
        <f aca="false">VALUE(MID(Q264,6,2))</f>
        <v>6</v>
      </c>
      <c r="T264" s="7" t="n">
        <f aca="false">VALUE(RIGHT(Q264,2))</f>
        <v>6</v>
      </c>
      <c r="U264" s="7" t="s">
        <v>125</v>
      </c>
      <c r="V264" s="7" t="s">
        <v>126</v>
      </c>
    </row>
    <row r="265" customFormat="false" ht="45.75" hidden="false" customHeight="true" outlineLevel="0" collapsed="false">
      <c r="A265" s="7" t="n">
        <v>264</v>
      </c>
      <c r="B265" s="7" t="s">
        <v>1812</v>
      </c>
      <c r="C265" s="7" t="s">
        <v>1813</v>
      </c>
      <c r="D265" s="7" t="n">
        <f aca="false">VALUE(LEFT(B265,4))</f>
        <v>2026</v>
      </c>
      <c r="E265" s="7" t="n">
        <f aca="false">INT((D265-1)/100)+1</f>
        <v>21</v>
      </c>
      <c r="F265" s="7" t="s">
        <v>847</v>
      </c>
      <c r="G265" s="7" t="s">
        <v>1814</v>
      </c>
      <c r="H265" s="7" t="s">
        <v>1815</v>
      </c>
      <c r="I265" s="7" t="s">
        <v>1816</v>
      </c>
      <c r="J265" s="7" t="s">
        <v>1817</v>
      </c>
      <c r="K265" s="7" t="s">
        <v>1818</v>
      </c>
      <c r="L265" s="7" t="s">
        <v>627</v>
      </c>
      <c r="M265" s="7" t="s">
        <v>1819</v>
      </c>
      <c r="N265" s="7" t="s">
        <v>16</v>
      </c>
      <c r="O265" s="7" t="s">
        <v>75</v>
      </c>
      <c r="P265" s="7" t="s">
        <v>1820</v>
      </c>
      <c r="Q265" s="7" t="s">
        <v>1812</v>
      </c>
      <c r="R265" s="7" t="n">
        <f aca="false">VALUE(LEFT(Q265,4))</f>
        <v>2026</v>
      </c>
      <c r="S265" s="7" t="n">
        <f aca="false">VALUE(MID(Q265,6,2))</f>
        <v>7</v>
      </c>
      <c r="T265" s="7" t="n">
        <f aca="false">VALUE(RIGHT(Q265,2))</f>
        <v>28</v>
      </c>
      <c r="U265" s="7" t="s">
        <v>125</v>
      </c>
      <c r="V265" s="7" t="s">
        <v>126</v>
      </c>
    </row>
    <row r="266" customFormat="false" ht="45.75" hidden="false" customHeight="true" outlineLevel="0" collapsed="false">
      <c r="A266" s="7" t="n">
        <v>265</v>
      </c>
      <c r="B266" s="7" t="s">
        <v>1472</v>
      </c>
      <c r="C266" s="7" t="s">
        <v>1472</v>
      </c>
      <c r="D266" s="7" t="n">
        <f aca="false">VALUE(LEFT(B266,4))</f>
        <v>2011</v>
      </c>
      <c r="E266" s="7" t="n">
        <f aca="false">INT((D266-1)/100)+1</f>
        <v>21</v>
      </c>
      <c r="F266" s="7" t="s">
        <v>1821</v>
      </c>
      <c r="G266" s="7" t="s">
        <v>1822</v>
      </c>
      <c r="H266" s="7" t="s">
        <v>1823</v>
      </c>
      <c r="I266" s="7" t="s">
        <v>1824</v>
      </c>
      <c r="J266" s="7" t="s">
        <v>1825</v>
      </c>
      <c r="K266" s="7" t="s">
        <v>1826</v>
      </c>
      <c r="L266" s="7" t="s">
        <v>1827</v>
      </c>
      <c r="M266" s="7"/>
      <c r="N266" s="7" t="s">
        <v>18</v>
      </c>
      <c r="O266" s="7" t="s">
        <v>75</v>
      </c>
      <c r="P266" s="7" t="s">
        <v>1828</v>
      </c>
      <c r="Q266" s="7" t="s">
        <v>1472</v>
      </c>
      <c r="R266" s="7" t="n">
        <f aca="false">VALUE(LEFT(Q266,4))</f>
        <v>2011</v>
      </c>
      <c r="S266" s="7" t="n">
        <f aca="false">VALUE(MID(Q266,6,2))</f>
        <v>8</v>
      </c>
      <c r="T266" s="7" t="n">
        <f aca="false">VALUE(RIGHT(Q266,2))</f>
        <v>28</v>
      </c>
      <c r="U266" s="7" t="s">
        <v>77</v>
      </c>
      <c r="V266" s="7" t="s">
        <v>78</v>
      </c>
    </row>
    <row r="267" customFormat="false" ht="45.75" hidden="false" customHeight="true" outlineLevel="0" collapsed="false">
      <c r="A267" s="7" t="n">
        <v>266</v>
      </c>
      <c r="B267" s="7" t="s">
        <v>1829</v>
      </c>
      <c r="C267" s="7" t="s">
        <v>1829</v>
      </c>
      <c r="D267" s="7" t="n">
        <f aca="false">VALUE(LEFT(B267,4))</f>
        <v>2011</v>
      </c>
      <c r="E267" s="7" t="n">
        <f aca="false">INT((D267-1)/100)+1</f>
        <v>21</v>
      </c>
      <c r="F267" s="7" t="s">
        <v>1821</v>
      </c>
      <c r="G267" s="7" t="s">
        <v>1830</v>
      </c>
      <c r="H267" s="7" t="s">
        <v>1831</v>
      </c>
      <c r="I267" s="7" t="s">
        <v>1832</v>
      </c>
      <c r="J267" s="7" t="s">
        <v>1825</v>
      </c>
      <c r="K267" s="7" t="s">
        <v>1833</v>
      </c>
      <c r="L267" s="7" t="s">
        <v>1827</v>
      </c>
      <c r="M267" s="7"/>
      <c r="N267" s="7" t="s">
        <v>18</v>
      </c>
      <c r="O267" s="7" t="s">
        <v>75</v>
      </c>
      <c r="P267" s="7" t="s">
        <v>1834</v>
      </c>
      <c r="Q267" s="7" t="s">
        <v>1829</v>
      </c>
      <c r="R267" s="7" t="n">
        <f aca="false">VALUE(LEFT(Q267,4))</f>
        <v>2011</v>
      </c>
      <c r="S267" s="7" t="n">
        <f aca="false">VALUE(MID(Q267,6,2))</f>
        <v>8</v>
      </c>
      <c r="T267" s="7" t="n">
        <f aca="false">VALUE(RIGHT(Q267,2))</f>
        <v>29</v>
      </c>
      <c r="U267" s="7" t="s">
        <v>77</v>
      </c>
      <c r="V267" s="7" t="s">
        <v>78</v>
      </c>
    </row>
    <row r="268" customFormat="false" ht="45.75" hidden="false" customHeight="true" outlineLevel="0" collapsed="false">
      <c r="A268" s="7" t="n">
        <v>267</v>
      </c>
      <c r="B268" s="7" t="s">
        <v>1829</v>
      </c>
      <c r="C268" s="7" t="s">
        <v>1829</v>
      </c>
      <c r="D268" s="7" t="n">
        <f aca="false">VALUE(LEFT(B268,4))</f>
        <v>2011</v>
      </c>
      <c r="E268" s="7" t="n">
        <f aca="false">INT((D268-1)/100)+1</f>
        <v>21</v>
      </c>
      <c r="F268" s="7" t="s">
        <v>1835</v>
      </c>
      <c r="G268" s="7" t="s">
        <v>1836</v>
      </c>
      <c r="H268" s="7" t="s">
        <v>1837</v>
      </c>
      <c r="I268" s="7" t="s">
        <v>1838</v>
      </c>
      <c r="J268" s="7" t="s">
        <v>1825</v>
      </c>
      <c r="K268" s="7" t="s">
        <v>1839</v>
      </c>
      <c r="L268" s="7" t="s">
        <v>1827</v>
      </c>
      <c r="M268" s="7"/>
      <c r="N268" s="7" t="s">
        <v>18</v>
      </c>
      <c r="O268" s="7" t="s">
        <v>75</v>
      </c>
      <c r="P268" s="7" t="s">
        <v>1840</v>
      </c>
      <c r="Q268" s="7" t="s">
        <v>1829</v>
      </c>
      <c r="R268" s="7" t="n">
        <f aca="false">VALUE(LEFT(Q268,4))</f>
        <v>2011</v>
      </c>
      <c r="S268" s="7" t="n">
        <f aca="false">VALUE(MID(Q268,6,2))</f>
        <v>8</v>
      </c>
      <c r="T268" s="7" t="n">
        <f aca="false">VALUE(RIGHT(Q268,2))</f>
        <v>29</v>
      </c>
      <c r="U268" s="7" t="s">
        <v>77</v>
      </c>
      <c r="V268" s="7" t="s">
        <v>78</v>
      </c>
    </row>
    <row r="269" customFormat="false" ht="45.75" hidden="false" customHeight="true" outlineLevel="0" collapsed="false">
      <c r="A269" s="7" t="n">
        <v>268</v>
      </c>
      <c r="B269" s="7" t="s">
        <v>1472</v>
      </c>
      <c r="C269" s="7" t="s">
        <v>1472</v>
      </c>
      <c r="D269" s="7" t="n">
        <f aca="false">VALUE(LEFT(B269,4))</f>
        <v>2011</v>
      </c>
      <c r="E269" s="7" t="n">
        <f aca="false">INT((D269-1)/100)+1</f>
        <v>21</v>
      </c>
      <c r="F269" s="7" t="s">
        <v>1841</v>
      </c>
      <c r="G269" s="7" t="s">
        <v>1842</v>
      </c>
      <c r="H269" s="7" t="s">
        <v>1843</v>
      </c>
      <c r="I269" s="7" t="s">
        <v>1844</v>
      </c>
      <c r="J269" s="7" t="s">
        <v>1825</v>
      </c>
      <c r="K269" s="7" t="s">
        <v>1845</v>
      </c>
      <c r="L269" s="7" t="s">
        <v>1827</v>
      </c>
      <c r="M269" s="7"/>
      <c r="N269" s="7" t="s">
        <v>18</v>
      </c>
      <c r="O269" s="7" t="s">
        <v>75</v>
      </c>
      <c r="P269" s="7" t="s">
        <v>1846</v>
      </c>
      <c r="Q269" s="7" t="s">
        <v>1472</v>
      </c>
      <c r="R269" s="7" t="n">
        <f aca="false">VALUE(LEFT(Q269,4))</f>
        <v>2011</v>
      </c>
      <c r="S269" s="7" t="n">
        <f aca="false">VALUE(MID(Q269,6,2))</f>
        <v>8</v>
      </c>
      <c r="T269" s="7" t="n">
        <f aca="false">VALUE(RIGHT(Q269,2))</f>
        <v>28</v>
      </c>
      <c r="U269" s="7" t="s">
        <v>77</v>
      </c>
      <c r="V269" s="7" t="s">
        <v>78</v>
      </c>
    </row>
    <row r="270" customFormat="false" ht="68.25" hidden="false" customHeight="true" outlineLevel="0" collapsed="false">
      <c r="A270" s="7" t="n">
        <v>269</v>
      </c>
      <c r="B270" s="7" t="s">
        <v>1847</v>
      </c>
      <c r="C270" s="7" t="s">
        <v>327</v>
      </c>
      <c r="D270" s="7" t="n">
        <f aca="false">VALUE(LEFT(B270,4))</f>
        <v>2016</v>
      </c>
      <c r="E270" s="7" t="n">
        <f aca="false">INT((D270-1)/100)+1</f>
        <v>21</v>
      </c>
      <c r="F270" s="7" t="s">
        <v>1848</v>
      </c>
      <c r="G270" s="7" t="s">
        <v>1849</v>
      </c>
      <c r="H270" s="7" t="s">
        <v>1850</v>
      </c>
      <c r="I270" s="7" t="s">
        <v>1851</v>
      </c>
      <c r="J270" s="7" t="s">
        <v>1852</v>
      </c>
      <c r="K270" s="7" t="s">
        <v>1853</v>
      </c>
      <c r="L270" s="7" t="s">
        <v>1854</v>
      </c>
      <c r="M270" s="7"/>
      <c r="N270" s="7" t="s">
        <v>18</v>
      </c>
      <c r="O270" s="7" t="s">
        <v>75</v>
      </c>
      <c r="P270" s="7" t="s">
        <v>1855</v>
      </c>
      <c r="Q270" s="7" t="s">
        <v>1847</v>
      </c>
      <c r="R270" s="7" t="n">
        <f aca="false">VALUE(LEFT(Q270,4))</f>
        <v>2016</v>
      </c>
      <c r="S270" s="7" t="n">
        <f aca="false">VALUE(MID(Q270,6,2))</f>
        <v>4</v>
      </c>
      <c r="T270" s="7" t="n">
        <f aca="false">VALUE(RIGHT(Q270,2))</f>
        <v>21</v>
      </c>
      <c r="U270" s="7" t="s">
        <v>338</v>
      </c>
      <c r="V270" s="7" t="s">
        <v>1856</v>
      </c>
    </row>
    <row r="271" customFormat="false" ht="68.25" hidden="false" customHeight="true" outlineLevel="0" collapsed="false">
      <c r="A271" s="7" t="n">
        <v>270</v>
      </c>
      <c r="B271" s="7" t="s">
        <v>1857</v>
      </c>
      <c r="C271" s="7" t="s">
        <v>1857</v>
      </c>
      <c r="D271" s="7" t="n">
        <f aca="false">VALUE(LEFT(B271,4))</f>
        <v>1926</v>
      </c>
      <c r="E271" s="7" t="n">
        <f aca="false">INT((D271-1)/100)+1</f>
        <v>20</v>
      </c>
      <c r="F271" s="7" t="s">
        <v>1858</v>
      </c>
      <c r="G271" s="7" t="s">
        <v>1859</v>
      </c>
      <c r="H271" s="7" t="s">
        <v>1860</v>
      </c>
      <c r="I271" s="7" t="s">
        <v>1861</v>
      </c>
      <c r="J271" s="7" t="s">
        <v>1862</v>
      </c>
      <c r="K271" s="7" t="s">
        <v>1863</v>
      </c>
      <c r="L271" s="7" t="s">
        <v>1864</v>
      </c>
      <c r="M271" s="7"/>
      <c r="N271" s="7" t="s">
        <v>18</v>
      </c>
      <c r="O271" s="7" t="s">
        <v>75</v>
      </c>
      <c r="P271" s="7" t="s">
        <v>1865</v>
      </c>
      <c r="Q271" s="7" t="s">
        <v>1857</v>
      </c>
      <c r="R271" s="7" t="n">
        <f aca="false">VALUE(LEFT(Q271,4))</f>
        <v>1926</v>
      </c>
      <c r="S271" s="7" t="n">
        <f aca="false">VALUE(MID(Q271,6,2))</f>
        <v>7</v>
      </c>
      <c r="T271" s="7" t="n">
        <f aca="false">VALUE(RIGHT(Q271,2))</f>
        <v>22</v>
      </c>
      <c r="U271" s="7" t="s">
        <v>77</v>
      </c>
      <c r="V271" s="7" t="s">
        <v>1866</v>
      </c>
    </row>
    <row r="272" customFormat="false" ht="68.25" hidden="false" customHeight="true" outlineLevel="0" collapsed="false">
      <c r="A272" s="7" t="n">
        <v>271</v>
      </c>
      <c r="B272" s="7" t="s">
        <v>1867</v>
      </c>
      <c r="C272" s="7" t="s">
        <v>1868</v>
      </c>
      <c r="D272" s="7" t="n">
        <f aca="false">VALUE(LEFT(B272,4))</f>
        <v>1936</v>
      </c>
      <c r="E272" s="7" t="n">
        <f aca="false">INT((D272-1)/100)+1</f>
        <v>20</v>
      </c>
      <c r="F272" s="7" t="s">
        <v>1869</v>
      </c>
      <c r="G272" s="7" t="s">
        <v>1870</v>
      </c>
      <c r="H272" s="7" t="s">
        <v>1871</v>
      </c>
      <c r="I272" s="7" t="s">
        <v>1872</v>
      </c>
      <c r="J272" s="7" t="s">
        <v>1873</v>
      </c>
      <c r="K272" s="7" t="s">
        <v>1874</v>
      </c>
      <c r="L272" s="7" t="s">
        <v>1875</v>
      </c>
      <c r="M272" s="7"/>
      <c r="N272" s="7" t="s">
        <v>20</v>
      </c>
      <c r="O272" s="7" t="s">
        <v>75</v>
      </c>
      <c r="P272" s="7" t="s">
        <v>1876</v>
      </c>
      <c r="Q272" s="7" t="s">
        <v>1867</v>
      </c>
      <c r="R272" s="7" t="n">
        <f aca="false">VALUE(LEFT(Q272,4))</f>
        <v>1936</v>
      </c>
      <c r="S272" s="7" t="n">
        <f aca="false">VALUE(MID(Q272,6,2))</f>
        <v>2</v>
      </c>
      <c r="T272" s="7" t="n">
        <f aca="false">VALUE(RIGHT(Q272,2))</f>
        <v>1</v>
      </c>
      <c r="U272" s="7" t="s">
        <v>317</v>
      </c>
      <c r="V272" s="7" t="s">
        <v>1877</v>
      </c>
    </row>
    <row r="273" customFormat="false" ht="57" hidden="false" customHeight="true" outlineLevel="0" collapsed="false">
      <c r="A273" s="7" t="n">
        <v>272</v>
      </c>
      <c r="B273" s="7" t="s">
        <v>1878</v>
      </c>
      <c r="C273" s="7" t="s">
        <v>1879</v>
      </c>
      <c r="D273" s="7" t="n">
        <f aca="false">VALUE(LEFT(B273,4))</f>
        <v>1972</v>
      </c>
      <c r="E273" s="7" t="n">
        <f aca="false">INT((D273-1)/100)+1</f>
        <v>20</v>
      </c>
      <c r="F273" s="7" t="s">
        <v>706</v>
      </c>
      <c r="G273" s="7" t="s">
        <v>1880</v>
      </c>
      <c r="H273" s="7" t="s">
        <v>1881</v>
      </c>
      <c r="I273" s="7" t="s">
        <v>1882</v>
      </c>
      <c r="J273" s="7" t="s">
        <v>1883</v>
      </c>
      <c r="K273" s="7" t="s">
        <v>1884</v>
      </c>
      <c r="L273" s="7" t="s">
        <v>1885</v>
      </c>
      <c r="M273" s="7"/>
      <c r="N273" s="7" t="s">
        <v>18</v>
      </c>
      <c r="O273" s="7" t="s">
        <v>75</v>
      </c>
      <c r="P273" s="7" t="s">
        <v>1886</v>
      </c>
      <c r="Q273" s="7" t="s">
        <v>1878</v>
      </c>
      <c r="R273" s="7" t="n">
        <f aca="false">VALUE(LEFT(Q273,4))</f>
        <v>1972</v>
      </c>
      <c r="S273" s="7" t="n">
        <f aca="false">VALUE(MID(Q273,6,2))</f>
        <v>7</v>
      </c>
      <c r="T273" s="7" t="n">
        <f aca="false">VALUE(RIGHT(Q273,2))</f>
        <v>1</v>
      </c>
      <c r="U273" s="7" t="s">
        <v>317</v>
      </c>
      <c r="V273" s="7" t="s">
        <v>1887</v>
      </c>
    </row>
    <row r="274" customFormat="false" ht="45.75" hidden="false" customHeight="true" outlineLevel="0" collapsed="false">
      <c r="A274" s="7" t="n">
        <v>273</v>
      </c>
      <c r="B274" s="7" t="s">
        <v>1888</v>
      </c>
      <c r="C274" s="7" t="s">
        <v>1889</v>
      </c>
      <c r="D274" s="7" t="n">
        <f aca="false">VALUE(LEFT(B274,4))</f>
        <v>2001</v>
      </c>
      <c r="E274" s="7" t="n">
        <f aca="false">INT((D274-1)/100)+1</f>
        <v>21</v>
      </c>
      <c r="F274" s="7" t="s">
        <v>706</v>
      </c>
      <c r="G274" s="7" t="s">
        <v>1890</v>
      </c>
      <c r="H274" s="7" t="s">
        <v>1891</v>
      </c>
      <c r="I274" s="7" t="s">
        <v>1892</v>
      </c>
      <c r="J274" s="7" t="s">
        <v>721</v>
      </c>
      <c r="K274" s="7" t="s">
        <v>1893</v>
      </c>
      <c r="L274" s="7" t="s">
        <v>1894</v>
      </c>
      <c r="M274" s="7"/>
      <c r="N274" s="7" t="s">
        <v>18</v>
      </c>
      <c r="O274" s="7" t="s">
        <v>75</v>
      </c>
      <c r="P274" s="7" t="s">
        <v>1895</v>
      </c>
      <c r="Q274" s="7" t="s">
        <v>1896</v>
      </c>
      <c r="R274" s="7" t="n">
        <f aca="false">VALUE(LEFT(Q274,4))</f>
        <v>2001</v>
      </c>
      <c r="S274" s="7" t="n">
        <f aca="false">VALUE(MID(Q274,6,2))</f>
        <v>8</v>
      </c>
      <c r="T274" s="7" t="n">
        <f aca="false">VALUE(RIGHT(Q274,2))</f>
        <v>8</v>
      </c>
      <c r="U274" s="7" t="s">
        <v>125</v>
      </c>
      <c r="V274" s="7" t="s">
        <v>1897</v>
      </c>
    </row>
    <row r="275" customFormat="false" ht="45.75" hidden="false" customHeight="true" outlineLevel="0" collapsed="false">
      <c r="A275" s="7" t="n">
        <v>274</v>
      </c>
      <c r="B275" s="7" t="s">
        <v>1898</v>
      </c>
      <c r="C275" s="7" t="s">
        <v>1899</v>
      </c>
      <c r="D275" s="7" t="n">
        <f aca="false">VALUE(LEFT(B275,4))</f>
        <v>2002</v>
      </c>
      <c r="E275" s="7" t="n">
        <f aca="false">INT((D275-1)/100)+1</f>
        <v>21</v>
      </c>
      <c r="F275" s="7" t="s">
        <v>1900</v>
      </c>
      <c r="G275" s="7" t="s">
        <v>1901</v>
      </c>
      <c r="H275" s="7" t="s">
        <v>719</v>
      </c>
      <c r="I275" s="7" t="s">
        <v>1902</v>
      </c>
      <c r="J275" s="7" t="s">
        <v>721</v>
      </c>
      <c r="K275" s="7" t="s">
        <v>1903</v>
      </c>
      <c r="L275" s="7" t="s">
        <v>1904</v>
      </c>
      <c r="M275" s="7"/>
      <c r="N275" s="7" t="s">
        <v>20</v>
      </c>
      <c r="O275" s="7" t="s">
        <v>94</v>
      </c>
      <c r="P275" s="7" t="s">
        <v>1905</v>
      </c>
      <c r="Q275" s="7" t="s">
        <v>1906</v>
      </c>
      <c r="R275" s="7" t="n">
        <f aca="false">VALUE(LEFT(Q275,4))</f>
        <v>2002</v>
      </c>
      <c r="S275" s="7" t="n">
        <f aca="false">VALUE(MID(Q275,6,2))</f>
        <v>4</v>
      </c>
      <c r="T275" s="7" t="n">
        <f aca="false">VALUE(RIGHT(Q275,2))</f>
        <v>15</v>
      </c>
      <c r="U275" s="7" t="s">
        <v>317</v>
      </c>
      <c r="V275" s="7" t="s">
        <v>1907</v>
      </c>
    </row>
    <row r="276" customFormat="false" ht="57" hidden="false" customHeight="true" outlineLevel="0" collapsed="false">
      <c r="A276" s="7" t="n">
        <v>275</v>
      </c>
      <c r="B276" s="7" t="s">
        <v>1908</v>
      </c>
      <c r="C276" s="7" t="s">
        <v>1909</v>
      </c>
      <c r="D276" s="7" t="n">
        <f aca="false">VALUE(LEFT(B276,4))</f>
        <v>2010</v>
      </c>
      <c r="E276" s="7" t="n">
        <f aca="false">INT((D276-1)/100)+1</f>
        <v>21</v>
      </c>
      <c r="F276" s="7" t="s">
        <v>706</v>
      </c>
      <c r="G276" s="7" t="s">
        <v>1910</v>
      </c>
      <c r="H276" s="7" t="s">
        <v>1911</v>
      </c>
      <c r="I276" s="7" t="s">
        <v>1912</v>
      </c>
      <c r="J276" s="7" t="s">
        <v>721</v>
      </c>
      <c r="K276" s="7" t="s">
        <v>1913</v>
      </c>
      <c r="L276" s="7" t="s">
        <v>1914</v>
      </c>
      <c r="M276" s="7"/>
      <c r="N276" s="7" t="s">
        <v>18</v>
      </c>
      <c r="O276" s="7" t="s">
        <v>75</v>
      </c>
      <c r="P276" s="7" t="s">
        <v>1915</v>
      </c>
      <c r="Q276" s="7" t="s">
        <v>1916</v>
      </c>
      <c r="R276" s="7" t="n">
        <f aca="false">VALUE(LEFT(Q276,4))</f>
        <v>2010</v>
      </c>
      <c r="S276" s="7" t="n">
        <f aca="false">VALUE(MID(Q276,6,2))</f>
        <v>7</v>
      </c>
      <c r="T276" s="7" t="n">
        <f aca="false">VALUE(RIGHT(Q276,2))</f>
        <v>7</v>
      </c>
      <c r="U276" s="7" t="s">
        <v>125</v>
      </c>
      <c r="V276" s="7" t="s">
        <v>1917</v>
      </c>
    </row>
    <row r="277" customFormat="false" ht="79.5" hidden="false" customHeight="true" outlineLevel="0" collapsed="false">
      <c r="A277" s="7" t="n">
        <v>276</v>
      </c>
      <c r="B277" s="7" t="s">
        <v>1918</v>
      </c>
      <c r="C277" s="7" t="s">
        <v>1919</v>
      </c>
      <c r="D277" s="7" t="n">
        <f aca="false">VALUE(LEFT(B277,4))</f>
        <v>2012</v>
      </c>
      <c r="E277" s="7" t="n">
        <f aca="false">INT((D277-1)/100)+1</f>
        <v>21</v>
      </c>
      <c r="F277" s="7" t="s">
        <v>706</v>
      </c>
      <c r="G277" s="7" t="s">
        <v>1920</v>
      </c>
      <c r="H277" s="7" t="s">
        <v>961</v>
      </c>
      <c r="I277" s="7" t="s">
        <v>1921</v>
      </c>
      <c r="J277" s="7" t="s">
        <v>721</v>
      </c>
      <c r="K277" s="7" t="s">
        <v>1922</v>
      </c>
      <c r="L277" s="7" t="s">
        <v>1923</v>
      </c>
      <c r="M277" s="7"/>
      <c r="N277" s="7" t="s">
        <v>18</v>
      </c>
      <c r="O277" s="7" t="s">
        <v>75</v>
      </c>
      <c r="P277" s="7" t="s">
        <v>1924</v>
      </c>
      <c r="Q277" s="7" t="s">
        <v>1925</v>
      </c>
      <c r="R277" s="7" t="n">
        <f aca="false">VALUE(LEFT(Q277,4))</f>
        <v>2012</v>
      </c>
      <c r="S277" s="7" t="n">
        <f aca="false">VALUE(MID(Q277,6,2))</f>
        <v>7</v>
      </c>
      <c r="T277" s="7" t="n">
        <f aca="false">VALUE(RIGHT(Q277,2))</f>
        <v>17</v>
      </c>
      <c r="U277" s="7" t="s">
        <v>125</v>
      </c>
      <c r="V277" s="7" t="s">
        <v>1926</v>
      </c>
    </row>
    <row r="278" customFormat="false" ht="34.5" hidden="false" customHeight="true" outlineLevel="0" collapsed="false">
      <c r="A278" s="7" t="n">
        <v>277</v>
      </c>
      <c r="B278" s="7" t="s">
        <v>1927</v>
      </c>
      <c r="C278" s="7" t="s">
        <v>1928</v>
      </c>
      <c r="D278" s="7" t="n">
        <f aca="false">VALUE(LEFT(B278,4))</f>
        <v>2017</v>
      </c>
      <c r="E278" s="7" t="n">
        <f aca="false">INT((D278-1)/100)+1</f>
        <v>21</v>
      </c>
      <c r="F278" s="7" t="s">
        <v>706</v>
      </c>
      <c r="G278" s="7" t="s">
        <v>1929</v>
      </c>
      <c r="H278" s="7" t="s">
        <v>961</v>
      </c>
      <c r="I278" s="7" t="s">
        <v>1930</v>
      </c>
      <c r="J278" s="7" t="s">
        <v>721</v>
      </c>
      <c r="K278" s="7" t="s">
        <v>1931</v>
      </c>
      <c r="L278" s="7" t="s">
        <v>1932</v>
      </c>
      <c r="M278" s="7"/>
      <c r="N278" s="7" t="s">
        <v>18</v>
      </c>
      <c r="O278" s="7" t="s">
        <v>75</v>
      </c>
      <c r="P278" s="7" t="s">
        <v>1933</v>
      </c>
      <c r="Q278" s="7" t="s">
        <v>1934</v>
      </c>
      <c r="R278" s="7" t="n">
        <f aca="false">VALUE(LEFT(Q278,4))</f>
        <v>2017</v>
      </c>
      <c r="S278" s="7" t="n">
        <f aca="false">VALUE(MID(Q278,6,2))</f>
        <v>9</v>
      </c>
      <c r="T278" s="7" t="n">
        <f aca="false">VALUE(RIGHT(Q278,2))</f>
        <v>25</v>
      </c>
      <c r="U278" s="7" t="s">
        <v>125</v>
      </c>
      <c r="V278" s="7" t="s">
        <v>1935</v>
      </c>
    </row>
    <row r="279" customFormat="false" ht="34.5" hidden="false" customHeight="true" outlineLevel="0" collapsed="false">
      <c r="A279" s="7" t="n">
        <v>278</v>
      </c>
      <c r="B279" s="7" t="s">
        <v>1936</v>
      </c>
      <c r="C279" s="7" t="s">
        <v>1937</v>
      </c>
      <c r="D279" s="7" t="n">
        <f aca="false">VALUE(LEFT(B279,4))</f>
        <v>2018</v>
      </c>
      <c r="E279" s="7" t="n">
        <f aca="false">INT((D279-1)/100)+1</f>
        <v>21</v>
      </c>
      <c r="F279" s="7" t="s">
        <v>706</v>
      </c>
      <c r="G279" s="7" t="s">
        <v>1938</v>
      </c>
      <c r="H279" s="7" t="s">
        <v>961</v>
      </c>
      <c r="I279" s="7" t="s">
        <v>1939</v>
      </c>
      <c r="J279" s="7" t="s">
        <v>721</v>
      </c>
      <c r="K279" s="7" t="s">
        <v>1940</v>
      </c>
      <c r="L279" s="7" t="s">
        <v>1941</v>
      </c>
      <c r="M279" s="7"/>
      <c r="N279" s="7" t="s">
        <v>18</v>
      </c>
      <c r="O279" s="7" t="s">
        <v>75</v>
      </c>
      <c r="P279" s="7" t="s">
        <v>1942</v>
      </c>
      <c r="Q279" s="7" t="s">
        <v>1943</v>
      </c>
      <c r="R279" s="7" t="n">
        <f aca="false">VALUE(LEFT(Q279,4))</f>
        <v>2018</v>
      </c>
      <c r="S279" s="7" t="n">
        <f aca="false">VALUE(MID(Q279,6,2))</f>
        <v>7</v>
      </c>
      <c r="T279" s="7" t="n">
        <f aca="false">VALUE(RIGHT(Q279,2))</f>
        <v>2</v>
      </c>
      <c r="U279" s="7" t="s">
        <v>125</v>
      </c>
      <c r="V279" s="7" t="s">
        <v>1944</v>
      </c>
    </row>
    <row r="280" customFormat="false" ht="57" hidden="false" customHeight="true" outlineLevel="0" collapsed="false">
      <c r="A280" s="7" t="n">
        <v>279</v>
      </c>
      <c r="B280" s="7" t="s">
        <v>1945</v>
      </c>
      <c r="C280" s="7" t="s">
        <v>1946</v>
      </c>
      <c r="D280" s="7" t="n">
        <f aca="false">VALUE(LEFT(B280,4))</f>
        <v>2020</v>
      </c>
      <c r="E280" s="7" t="n">
        <f aca="false">INT((D280-1)/100)+1</f>
        <v>21</v>
      </c>
      <c r="F280" s="7" t="s">
        <v>706</v>
      </c>
      <c r="G280" s="7" t="s">
        <v>1947</v>
      </c>
      <c r="H280" s="7" t="s">
        <v>1948</v>
      </c>
      <c r="I280" s="7" t="s">
        <v>1949</v>
      </c>
      <c r="J280" s="7" t="s">
        <v>721</v>
      </c>
      <c r="K280" s="7" t="s">
        <v>1950</v>
      </c>
      <c r="L280" s="7" t="s">
        <v>1941</v>
      </c>
      <c r="M280" s="7"/>
      <c r="N280" s="7" t="s">
        <v>18</v>
      </c>
      <c r="O280" s="7" t="s">
        <v>75</v>
      </c>
      <c r="P280" s="7" t="s">
        <v>1951</v>
      </c>
      <c r="Q280" s="7" t="s">
        <v>1946</v>
      </c>
      <c r="R280" s="7" t="n">
        <f aca="false">VALUE(LEFT(Q280,4))</f>
        <v>2020</v>
      </c>
      <c r="S280" s="7" t="n">
        <f aca="false">VALUE(MID(Q280,6,2))</f>
        <v>6</v>
      </c>
      <c r="T280" s="7" t="n">
        <f aca="false">VALUE(RIGHT(Q280,2))</f>
        <v>22</v>
      </c>
      <c r="U280" s="7" t="s">
        <v>125</v>
      </c>
      <c r="V280" s="7" t="s">
        <v>1952</v>
      </c>
    </row>
    <row r="281" customFormat="false" ht="79.5" hidden="false" customHeight="true" outlineLevel="0" collapsed="false">
      <c r="A281" s="7" t="n">
        <v>280</v>
      </c>
      <c r="B281" s="7" t="s">
        <v>1953</v>
      </c>
      <c r="C281" s="7" t="s">
        <v>1954</v>
      </c>
      <c r="D281" s="7" t="n">
        <f aca="false">VALUE(LEFT(B281,4))</f>
        <v>2025</v>
      </c>
      <c r="E281" s="7" t="n">
        <f aca="false">INT((D281-1)/100)+1</f>
        <v>21</v>
      </c>
      <c r="F281" s="7" t="s">
        <v>706</v>
      </c>
      <c r="G281" s="7" t="s">
        <v>1955</v>
      </c>
      <c r="H281" s="7" t="s">
        <v>961</v>
      </c>
      <c r="I281" s="7" t="s">
        <v>1956</v>
      </c>
      <c r="J281" s="7" t="s">
        <v>721</v>
      </c>
      <c r="K281" s="7" t="s">
        <v>1957</v>
      </c>
      <c r="L281" s="7" t="s">
        <v>1958</v>
      </c>
      <c r="M281" s="7"/>
      <c r="N281" s="7" t="s">
        <v>16</v>
      </c>
      <c r="O281" s="7" t="s">
        <v>75</v>
      </c>
      <c r="P281" s="7" t="s">
        <v>1959</v>
      </c>
      <c r="Q281" s="7" t="s">
        <v>1960</v>
      </c>
      <c r="R281" s="7" t="n">
        <f aca="false">VALUE(LEFT(Q281,4))</f>
        <v>2025</v>
      </c>
      <c r="S281" s="7" t="n">
        <f aca="false">VALUE(MID(Q281,6,2))</f>
        <v>6</v>
      </c>
      <c r="T281" s="7" t="n">
        <f aca="false">VALUE(RIGHT(Q281,2))</f>
        <v>24</v>
      </c>
      <c r="U281" s="7" t="s">
        <v>125</v>
      </c>
      <c r="V281" s="7" t="s">
        <v>1961</v>
      </c>
    </row>
    <row r="282" customFormat="false" ht="57" hidden="false" customHeight="true" outlineLevel="0" collapsed="false">
      <c r="A282" s="7" t="n">
        <v>281</v>
      </c>
      <c r="B282" s="7" t="s">
        <v>1962</v>
      </c>
      <c r="C282" s="7" t="s">
        <v>1963</v>
      </c>
      <c r="D282" s="7" t="n">
        <f aca="false">VALUE(LEFT(B282,4))</f>
        <v>2006</v>
      </c>
      <c r="E282" s="7" t="n">
        <f aca="false">INT((D282-1)/100)+1</f>
        <v>21</v>
      </c>
      <c r="F282" s="7" t="s">
        <v>706</v>
      </c>
      <c r="G282" s="7" t="s">
        <v>1964</v>
      </c>
      <c r="H282" s="7" t="s">
        <v>961</v>
      </c>
      <c r="I282" s="7" t="s">
        <v>1965</v>
      </c>
      <c r="J282" s="7" t="s">
        <v>721</v>
      </c>
      <c r="K282" s="7" t="s">
        <v>1966</v>
      </c>
      <c r="L282" s="7" t="s">
        <v>1967</v>
      </c>
      <c r="M282" s="7"/>
      <c r="N282" s="7" t="s">
        <v>18</v>
      </c>
      <c r="O282" s="7" t="s">
        <v>75</v>
      </c>
      <c r="P282" s="7" t="s">
        <v>1968</v>
      </c>
      <c r="Q282" s="7" t="s">
        <v>1969</v>
      </c>
      <c r="R282" s="7" t="n">
        <f aca="false">VALUE(LEFT(Q282,4))</f>
        <v>2006</v>
      </c>
      <c r="S282" s="7" t="n">
        <f aca="false">VALUE(MID(Q282,6,2))</f>
        <v>8</v>
      </c>
      <c r="T282" s="7" t="n">
        <f aca="false">VALUE(RIGHT(Q282,2))</f>
        <v>1</v>
      </c>
      <c r="U282" s="7" t="s">
        <v>125</v>
      </c>
      <c r="V282" s="7" t="s">
        <v>1970</v>
      </c>
    </row>
    <row r="283" customFormat="false" ht="45.75" hidden="false" customHeight="true" outlineLevel="0" collapsed="false">
      <c r="A283" s="7" t="n">
        <v>282</v>
      </c>
      <c r="B283" s="7" t="s">
        <v>1971</v>
      </c>
      <c r="C283" s="7" t="s">
        <v>1972</v>
      </c>
      <c r="D283" s="7" t="n">
        <f aca="false">VALUE(LEFT(B283,4))</f>
        <v>1901</v>
      </c>
      <c r="E283" s="7" t="n">
        <f aca="false">INT((D283-1)/100)+1</f>
        <v>20</v>
      </c>
      <c r="F283" s="7" t="s">
        <v>706</v>
      </c>
      <c r="G283" s="7" t="s">
        <v>1973</v>
      </c>
      <c r="H283" s="7" t="s">
        <v>1974</v>
      </c>
      <c r="I283" s="7" t="s">
        <v>1975</v>
      </c>
      <c r="J283" s="7" t="s">
        <v>721</v>
      </c>
      <c r="K283" s="7" t="s">
        <v>1976</v>
      </c>
      <c r="L283" s="7" t="s">
        <v>1977</v>
      </c>
      <c r="M283" s="7"/>
      <c r="N283" s="7" t="s">
        <v>18</v>
      </c>
      <c r="O283" s="7" t="s">
        <v>75</v>
      </c>
      <c r="P283" s="7" t="s">
        <v>1978</v>
      </c>
      <c r="Q283" s="7" t="s">
        <v>1979</v>
      </c>
      <c r="R283" s="7" t="n">
        <f aca="false">VALUE(LEFT(Q283,4))</f>
        <v>1901</v>
      </c>
      <c r="S283" s="7" t="n">
        <f aca="false">VALUE(MID(Q283,6,2))</f>
        <v>7</v>
      </c>
      <c r="T283" s="7" t="n">
        <f aca="false">VALUE(RIGHT(Q283,2))</f>
        <v>2</v>
      </c>
      <c r="U283" s="7" t="s">
        <v>125</v>
      </c>
      <c r="V283" s="7" t="s">
        <v>1980</v>
      </c>
    </row>
    <row r="284" customFormat="false" ht="57" hidden="false" customHeight="true" outlineLevel="0" collapsed="false">
      <c r="A284" s="7" t="n">
        <v>283</v>
      </c>
      <c r="B284" s="7" t="s">
        <v>1981</v>
      </c>
      <c r="C284" s="7" t="s">
        <v>1982</v>
      </c>
      <c r="D284" s="7" t="n">
        <f aca="false">VALUE(LEFT(B284,4))</f>
        <v>1903</v>
      </c>
      <c r="E284" s="7" t="n">
        <f aca="false">INT((D284-1)/100)+1</f>
        <v>20</v>
      </c>
      <c r="F284" s="7" t="s">
        <v>580</v>
      </c>
      <c r="G284" s="7" t="s">
        <v>1983</v>
      </c>
      <c r="H284" s="7" t="s">
        <v>1984</v>
      </c>
      <c r="I284" s="7" t="s">
        <v>1985</v>
      </c>
      <c r="J284" s="7" t="s">
        <v>1986</v>
      </c>
      <c r="K284" s="7" t="s">
        <v>1987</v>
      </c>
      <c r="L284" s="7" t="s">
        <v>1988</v>
      </c>
      <c r="M284" s="7"/>
      <c r="N284" s="7" t="s">
        <v>18</v>
      </c>
      <c r="O284" s="7" t="s">
        <v>75</v>
      </c>
      <c r="P284" s="7" t="s">
        <v>1989</v>
      </c>
      <c r="Q284" s="7" t="s">
        <v>1981</v>
      </c>
      <c r="R284" s="7" t="n">
        <f aca="false">VALUE(LEFT(Q284,4))</f>
        <v>1903</v>
      </c>
      <c r="S284" s="7" t="n">
        <f aca="false">VALUE(MID(Q284,6,2))</f>
        <v>1</v>
      </c>
      <c r="T284" s="7" t="n">
        <f aca="false">VALUE(RIGHT(Q284,2))</f>
        <v>29</v>
      </c>
      <c r="U284" s="7" t="s">
        <v>77</v>
      </c>
      <c r="V284" s="7" t="s">
        <v>1990</v>
      </c>
    </row>
    <row r="285" customFormat="false" ht="34.5" hidden="false" customHeight="true" outlineLevel="0" collapsed="false">
      <c r="A285" s="7" t="n">
        <v>284</v>
      </c>
      <c r="B285" s="7" t="s">
        <v>1991</v>
      </c>
      <c r="C285" s="7" t="s">
        <v>1991</v>
      </c>
      <c r="D285" s="7" t="n">
        <f aca="false">VALUE(LEFT(B285,4))</f>
        <v>1893</v>
      </c>
      <c r="E285" s="7" t="n">
        <f aca="false">INT((D285-1)/100)+1</f>
        <v>19</v>
      </c>
      <c r="F285" s="7" t="s">
        <v>580</v>
      </c>
      <c r="G285" s="7" t="s">
        <v>1992</v>
      </c>
      <c r="H285" s="7" t="s">
        <v>1993</v>
      </c>
      <c r="I285" s="7" t="s">
        <v>1994</v>
      </c>
      <c r="J285" s="7" t="s">
        <v>1995</v>
      </c>
      <c r="K285" s="7" t="s">
        <v>1996</v>
      </c>
      <c r="L285" s="7" t="s">
        <v>1997</v>
      </c>
      <c r="M285" s="7"/>
      <c r="N285" s="7" t="s">
        <v>18</v>
      </c>
      <c r="O285" s="7" t="s">
        <v>75</v>
      </c>
      <c r="P285" s="7" t="s">
        <v>1998</v>
      </c>
      <c r="Q285" s="7" t="s">
        <v>1991</v>
      </c>
      <c r="R285" s="7" t="n">
        <f aca="false">VALUE(LEFT(Q285,4))</f>
        <v>1893</v>
      </c>
      <c r="S285" s="7" t="n">
        <f aca="false">VALUE(MID(Q285,6,2))</f>
        <v>12</v>
      </c>
      <c r="T285" s="7" t="n">
        <f aca="false">VALUE(RIGHT(Q285,2))</f>
        <v>26</v>
      </c>
      <c r="U285" s="7" t="s">
        <v>77</v>
      </c>
      <c r="V285" s="7" t="s">
        <v>1999</v>
      </c>
    </row>
    <row r="286" customFormat="false" ht="45.75" hidden="false" customHeight="true" outlineLevel="0" collapsed="false">
      <c r="A286" s="7" t="n">
        <v>285</v>
      </c>
      <c r="B286" s="7" t="s">
        <v>2000</v>
      </c>
      <c r="C286" s="7" t="s">
        <v>2001</v>
      </c>
      <c r="D286" s="7" t="n">
        <f aca="false">VALUE(LEFT(B286,4))</f>
        <v>1956</v>
      </c>
      <c r="E286" s="7" t="n">
        <f aca="false">INT((D286-1)/100)+1</f>
        <v>20</v>
      </c>
      <c r="F286" s="7" t="s">
        <v>1656</v>
      </c>
      <c r="G286" s="7" t="s">
        <v>2002</v>
      </c>
      <c r="H286" s="7" t="s">
        <v>2003</v>
      </c>
      <c r="I286" s="7" t="s">
        <v>2004</v>
      </c>
      <c r="J286" s="7" t="s">
        <v>2005</v>
      </c>
      <c r="K286" s="7" t="s">
        <v>2006</v>
      </c>
      <c r="L286" s="7" t="s">
        <v>2007</v>
      </c>
      <c r="M286" s="7"/>
      <c r="N286" s="7" t="s">
        <v>18</v>
      </c>
      <c r="O286" s="7" t="s">
        <v>75</v>
      </c>
      <c r="P286" s="7" t="s">
        <v>2008</v>
      </c>
      <c r="Q286" s="7" t="s">
        <v>2000</v>
      </c>
      <c r="R286" s="7" t="n">
        <f aca="false">VALUE(LEFT(Q286,4))</f>
        <v>1956</v>
      </c>
      <c r="S286" s="7" t="n">
        <f aca="false">VALUE(MID(Q286,6,2))</f>
        <v>5</v>
      </c>
      <c r="T286" s="7" t="n">
        <f aca="false">VALUE(RIGHT(Q286,2))</f>
        <v>31</v>
      </c>
      <c r="U286" s="7" t="s">
        <v>125</v>
      </c>
      <c r="V286" s="7" t="s">
        <v>2009</v>
      </c>
    </row>
    <row r="287" customFormat="false" ht="45.75" hidden="false" customHeight="true" outlineLevel="0" collapsed="false">
      <c r="A287" s="7" t="n">
        <v>286</v>
      </c>
      <c r="B287" s="7" t="s">
        <v>2010</v>
      </c>
      <c r="C287" s="7" t="s">
        <v>2011</v>
      </c>
      <c r="D287" s="7" t="n">
        <f aca="false">VALUE(LEFT(B287,4))</f>
        <v>2000</v>
      </c>
      <c r="E287" s="7" t="n">
        <f aca="false">INT((D287-1)/100)+1</f>
        <v>20</v>
      </c>
      <c r="F287" s="7" t="s">
        <v>580</v>
      </c>
      <c r="G287" s="7" t="s">
        <v>2012</v>
      </c>
      <c r="H287" s="7" t="s">
        <v>2013</v>
      </c>
      <c r="I287" s="7" t="s">
        <v>2014</v>
      </c>
      <c r="J287" s="7" t="s">
        <v>332</v>
      </c>
      <c r="K287" s="7" t="s">
        <v>2015</v>
      </c>
      <c r="L287" s="7" t="s">
        <v>2016</v>
      </c>
      <c r="M287" s="7"/>
      <c r="N287" s="7" t="s">
        <v>18</v>
      </c>
      <c r="O287" s="7" t="s">
        <v>75</v>
      </c>
      <c r="P287" s="7" t="s">
        <v>2017</v>
      </c>
      <c r="Q287" s="7" t="s">
        <v>2010</v>
      </c>
      <c r="R287" s="7" t="n">
        <f aca="false">VALUE(LEFT(Q287,4))</f>
        <v>2000</v>
      </c>
      <c r="S287" s="7" t="n">
        <f aca="false">VALUE(MID(Q287,6,2))</f>
        <v>4</v>
      </c>
      <c r="T287" s="7" t="n">
        <f aca="false">VALUE(RIGHT(Q287,2))</f>
        <v>15</v>
      </c>
      <c r="U287" s="7" t="s">
        <v>317</v>
      </c>
      <c r="V287" s="7" t="s">
        <v>2018</v>
      </c>
    </row>
    <row r="288" customFormat="false" ht="34.5" hidden="false" customHeight="true" outlineLevel="0" collapsed="false">
      <c r="A288" s="7" t="n">
        <v>287</v>
      </c>
      <c r="B288" s="7" t="s">
        <v>2019</v>
      </c>
      <c r="C288" s="7" t="s">
        <v>2019</v>
      </c>
      <c r="D288" s="7" t="n">
        <f aca="false">VALUE(LEFT(B288,4))</f>
        <v>2001</v>
      </c>
      <c r="E288" s="7" t="n">
        <f aca="false">INT((D288-1)/100)+1</f>
        <v>21</v>
      </c>
      <c r="F288" s="7" t="s">
        <v>2020</v>
      </c>
      <c r="G288" s="7" t="s">
        <v>2021</v>
      </c>
      <c r="H288" s="7" t="s">
        <v>2022</v>
      </c>
      <c r="I288" s="7" t="s">
        <v>2023</v>
      </c>
      <c r="J288" s="7" t="s">
        <v>332</v>
      </c>
      <c r="K288" s="7" t="s">
        <v>2024</v>
      </c>
      <c r="L288" s="7" t="s">
        <v>2016</v>
      </c>
      <c r="M288" s="7"/>
      <c r="N288" s="7" t="s">
        <v>18</v>
      </c>
      <c r="O288" s="7" t="s">
        <v>75</v>
      </c>
      <c r="P288" s="7" t="s">
        <v>2025</v>
      </c>
      <c r="Q288" s="7" t="s">
        <v>2019</v>
      </c>
      <c r="R288" s="7" t="n">
        <f aca="false">VALUE(LEFT(Q288,4))</f>
        <v>2001</v>
      </c>
      <c r="S288" s="7" t="n">
        <f aca="false">VALUE(MID(Q288,6,2))</f>
        <v>2</v>
      </c>
      <c r="T288" s="7" t="n">
        <f aca="false">VALUE(RIGHT(Q288,2))</f>
        <v>26</v>
      </c>
      <c r="U288" s="7" t="s">
        <v>77</v>
      </c>
      <c r="V288" s="7" t="s">
        <v>2026</v>
      </c>
    </row>
    <row r="289" customFormat="false" ht="68.25" hidden="false" customHeight="true" outlineLevel="0" collapsed="false">
      <c r="A289" s="7" t="n">
        <v>288</v>
      </c>
      <c r="B289" s="7" t="s">
        <v>1800</v>
      </c>
      <c r="C289" s="7" t="s">
        <v>2027</v>
      </c>
      <c r="D289" s="7" t="n">
        <f aca="false">VALUE(LEFT(B289,4))</f>
        <v>2025</v>
      </c>
      <c r="E289" s="7" t="n">
        <f aca="false">INT((D289-1)/100)+1</f>
        <v>21</v>
      </c>
      <c r="F289" s="7" t="s">
        <v>2028</v>
      </c>
      <c r="G289" s="7" t="s">
        <v>2029</v>
      </c>
      <c r="H289" s="7" t="s">
        <v>2030</v>
      </c>
      <c r="I289" s="7" t="s">
        <v>2031</v>
      </c>
      <c r="J289" s="7" t="s">
        <v>332</v>
      </c>
      <c r="K289" s="7" t="s">
        <v>2032</v>
      </c>
      <c r="L289" s="7" t="s">
        <v>2033</v>
      </c>
      <c r="M289" s="7" t="s">
        <v>2034</v>
      </c>
      <c r="N289" s="7" t="s">
        <v>18</v>
      </c>
      <c r="O289" s="7" t="s">
        <v>75</v>
      </c>
      <c r="P289" s="7" t="s">
        <v>2035</v>
      </c>
      <c r="Q289" s="7" t="s">
        <v>2027</v>
      </c>
      <c r="R289" s="7" t="n">
        <f aca="false">VALUE(LEFT(Q289,4))</f>
        <v>2026</v>
      </c>
      <c r="S289" s="7" t="n">
        <f aca="false">VALUE(MID(Q289,6,2))</f>
        <v>8</v>
      </c>
      <c r="T289" s="7" t="n">
        <f aca="false">VALUE(RIGHT(Q289,2))</f>
        <v>7</v>
      </c>
      <c r="U289" s="7" t="s">
        <v>2036</v>
      </c>
      <c r="V289" s="7" t="s">
        <v>2037</v>
      </c>
    </row>
    <row r="290" customFormat="false" ht="57" hidden="false" customHeight="true" outlineLevel="0" collapsed="false">
      <c r="A290" s="7" t="n">
        <v>289</v>
      </c>
      <c r="B290" s="7" t="s">
        <v>1253</v>
      </c>
      <c r="C290" s="7" t="s">
        <v>1253</v>
      </c>
      <c r="D290" s="7" t="n">
        <f aca="false">VALUE(LEFT(B290,4))</f>
        <v>1996</v>
      </c>
      <c r="E290" s="7" t="n">
        <f aca="false">INT((D290-1)/100)+1</f>
        <v>20</v>
      </c>
      <c r="F290" s="7" t="s">
        <v>580</v>
      </c>
      <c r="G290" s="7" t="s">
        <v>2038</v>
      </c>
      <c r="H290" s="7" t="s">
        <v>2039</v>
      </c>
      <c r="I290" s="7" t="s">
        <v>2040</v>
      </c>
      <c r="J290" s="7" t="s">
        <v>332</v>
      </c>
      <c r="K290" s="7" t="s">
        <v>2041</v>
      </c>
      <c r="L290" s="7" t="s">
        <v>2042</v>
      </c>
      <c r="M290" s="7" t="s">
        <v>1425</v>
      </c>
      <c r="N290" s="7" t="s">
        <v>18</v>
      </c>
      <c r="O290" s="7" t="s">
        <v>75</v>
      </c>
      <c r="P290" s="7" t="s">
        <v>2043</v>
      </c>
      <c r="Q290" s="7" t="s">
        <v>1253</v>
      </c>
      <c r="R290" s="7" t="n">
        <f aca="false">VALUE(LEFT(Q290,4))</f>
        <v>1996</v>
      </c>
      <c r="S290" s="7" t="n">
        <f aca="false">VALUE(MID(Q290,6,2))</f>
        <v>1</v>
      </c>
      <c r="T290" s="7" t="n">
        <f aca="false">VALUE(RIGHT(Q290,2))</f>
        <v>19</v>
      </c>
      <c r="U290" s="7" t="s">
        <v>317</v>
      </c>
      <c r="V290" s="7" t="s">
        <v>2044</v>
      </c>
    </row>
    <row r="291" customFormat="false" ht="45.75" hidden="false" customHeight="true" outlineLevel="0" collapsed="false">
      <c r="A291" s="7" t="n">
        <v>290</v>
      </c>
      <c r="B291" s="7" t="s">
        <v>2045</v>
      </c>
      <c r="C291" s="7" t="s">
        <v>2046</v>
      </c>
      <c r="D291" s="7" t="n">
        <f aca="false">VALUE(LEFT(B291,4))</f>
        <v>2004</v>
      </c>
      <c r="E291" s="7" t="n">
        <f aca="false">INT((D291-1)/100)+1</f>
        <v>21</v>
      </c>
      <c r="F291" s="7" t="s">
        <v>580</v>
      </c>
      <c r="G291" s="7" t="s">
        <v>2047</v>
      </c>
      <c r="H291" s="7" t="s">
        <v>2048</v>
      </c>
      <c r="I291" s="7" t="s">
        <v>2049</v>
      </c>
      <c r="J291" s="7" t="s">
        <v>332</v>
      </c>
      <c r="K291" s="7" t="s">
        <v>2050</v>
      </c>
      <c r="L291" s="7" t="s">
        <v>2042</v>
      </c>
      <c r="M291" s="7" t="s">
        <v>1425</v>
      </c>
      <c r="N291" s="7" t="s">
        <v>18</v>
      </c>
      <c r="O291" s="7" t="s">
        <v>75</v>
      </c>
      <c r="P291" s="7" t="s">
        <v>2051</v>
      </c>
      <c r="Q291" s="7" t="s">
        <v>2045</v>
      </c>
      <c r="R291" s="7" t="n">
        <f aca="false">VALUE(LEFT(Q291,4))</f>
        <v>2004</v>
      </c>
      <c r="S291" s="7" t="n">
        <f aca="false">VALUE(MID(Q291,6,2))</f>
        <v>4</v>
      </c>
      <c r="T291" s="7" t="n">
        <f aca="false">VALUE(RIGHT(Q291,2))</f>
        <v>15</v>
      </c>
      <c r="U291" s="7" t="s">
        <v>114</v>
      </c>
      <c r="V291" s="7" t="s">
        <v>2052</v>
      </c>
    </row>
    <row r="292" customFormat="false" ht="45.75" hidden="false" customHeight="true" outlineLevel="0" collapsed="false">
      <c r="A292" s="7" t="n">
        <v>291</v>
      </c>
      <c r="B292" s="7" t="s">
        <v>2053</v>
      </c>
      <c r="C292" s="7" t="s">
        <v>2053</v>
      </c>
      <c r="D292" s="7" t="n">
        <f aca="false">VALUE(LEFT(B292,4))</f>
        <v>2017</v>
      </c>
      <c r="E292" s="7" t="n">
        <f aca="false">INT((D292-1)/100)+1</f>
        <v>21</v>
      </c>
      <c r="F292" s="7" t="s">
        <v>580</v>
      </c>
      <c r="G292" s="7" t="s">
        <v>2054</v>
      </c>
      <c r="H292" s="7" t="s">
        <v>2055</v>
      </c>
      <c r="I292" s="7" t="s">
        <v>2056</v>
      </c>
      <c r="J292" s="7" t="s">
        <v>332</v>
      </c>
      <c r="K292" s="7" t="s">
        <v>2057</v>
      </c>
      <c r="L292" s="7" t="s">
        <v>2058</v>
      </c>
      <c r="M292" s="7" t="s">
        <v>2059</v>
      </c>
      <c r="N292" s="7" t="s">
        <v>18</v>
      </c>
      <c r="O292" s="7" t="s">
        <v>75</v>
      </c>
      <c r="P292" s="7" t="s">
        <v>2060</v>
      </c>
      <c r="Q292" s="7" t="s">
        <v>2053</v>
      </c>
      <c r="R292" s="7" t="n">
        <f aca="false">VALUE(LEFT(Q292,4))</f>
        <v>2017</v>
      </c>
      <c r="S292" s="7" t="n">
        <f aca="false">VALUE(MID(Q292,6,2))</f>
        <v>11</v>
      </c>
      <c r="T292" s="7" t="n">
        <f aca="false">VALUE(RIGHT(Q292,2))</f>
        <v>23</v>
      </c>
      <c r="U292" s="7" t="s">
        <v>317</v>
      </c>
      <c r="V292" s="7" t="s">
        <v>2061</v>
      </c>
    </row>
    <row r="293" customFormat="false" ht="45.75" hidden="false" customHeight="true" outlineLevel="0" collapsed="false">
      <c r="A293" s="7" t="n">
        <v>292</v>
      </c>
      <c r="B293" s="7" t="s">
        <v>1367</v>
      </c>
      <c r="C293" s="7" t="s">
        <v>1367</v>
      </c>
      <c r="D293" s="7" t="n">
        <f aca="false">VALUE(LEFT(B293,4))</f>
        <v>2006</v>
      </c>
      <c r="E293" s="7" t="n">
        <f aca="false">INT((D293-1)/100)+1</f>
        <v>21</v>
      </c>
      <c r="F293" s="7" t="s">
        <v>580</v>
      </c>
      <c r="G293" s="7" t="s">
        <v>2062</v>
      </c>
      <c r="H293" s="7" t="s">
        <v>2063</v>
      </c>
      <c r="I293" s="7" t="s">
        <v>2064</v>
      </c>
      <c r="J293" s="7" t="s">
        <v>332</v>
      </c>
      <c r="K293" s="7" t="s">
        <v>2065</v>
      </c>
      <c r="L293" s="7" t="s">
        <v>2066</v>
      </c>
      <c r="M293" s="7" t="s">
        <v>2059</v>
      </c>
      <c r="N293" s="7" t="s">
        <v>18</v>
      </c>
      <c r="O293" s="7" t="s">
        <v>75</v>
      </c>
      <c r="P293" s="7" t="s">
        <v>2067</v>
      </c>
      <c r="Q293" s="7" t="s">
        <v>1367</v>
      </c>
      <c r="R293" s="7" t="n">
        <f aca="false">VALUE(LEFT(Q293,4))</f>
        <v>2006</v>
      </c>
      <c r="S293" s="7" t="n">
        <f aca="false">VALUE(MID(Q293,6,2))</f>
        <v>6</v>
      </c>
      <c r="T293" s="7" t="n">
        <f aca="false">VALUE(RIGHT(Q293,2))</f>
        <v>26</v>
      </c>
      <c r="U293" s="7" t="s">
        <v>338</v>
      </c>
      <c r="V293" s="7" t="s">
        <v>2068</v>
      </c>
    </row>
    <row r="294" customFormat="false" ht="79.5" hidden="false" customHeight="true" outlineLevel="0" collapsed="false">
      <c r="A294" s="7" t="n">
        <v>293</v>
      </c>
      <c r="B294" s="7" t="s">
        <v>2069</v>
      </c>
      <c r="C294" s="7" t="s">
        <v>2070</v>
      </c>
      <c r="D294" s="7" t="n">
        <f aca="false">VALUE(LEFT(B294,4))</f>
        <v>1906</v>
      </c>
      <c r="E294" s="7" t="n">
        <f aca="false">INT((D294-1)/100)+1</f>
        <v>20</v>
      </c>
      <c r="F294" s="7" t="s">
        <v>580</v>
      </c>
      <c r="G294" s="7" t="s">
        <v>2071</v>
      </c>
      <c r="H294" s="7" t="s">
        <v>2072</v>
      </c>
      <c r="I294" s="7" t="s">
        <v>2073</v>
      </c>
      <c r="J294" s="7" t="s">
        <v>332</v>
      </c>
      <c r="K294" s="7" t="s">
        <v>2074</v>
      </c>
      <c r="L294" s="7" t="s">
        <v>2075</v>
      </c>
      <c r="M294" s="7" t="s">
        <v>2076</v>
      </c>
      <c r="N294" s="7" t="s">
        <v>18</v>
      </c>
      <c r="O294" s="7" t="s">
        <v>75</v>
      </c>
      <c r="P294" s="7" t="s">
        <v>2077</v>
      </c>
      <c r="Q294" s="7" t="s">
        <v>2070</v>
      </c>
      <c r="R294" s="7" t="n">
        <f aca="false">VALUE(LEFT(Q294,4))</f>
        <v>1906</v>
      </c>
      <c r="S294" s="7" t="n">
        <f aca="false">VALUE(MID(Q294,6,2))</f>
        <v>1</v>
      </c>
      <c r="T294" s="7" t="n">
        <f aca="false">VALUE(RIGHT(Q294,2))</f>
        <v>8</v>
      </c>
      <c r="U294" s="7" t="s">
        <v>77</v>
      </c>
      <c r="V294" s="7" t="s">
        <v>2078</v>
      </c>
    </row>
  </sheetData>
  <autoFilter ref="A1:V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18"/>
    <col collapsed="false" customWidth="true" hidden="false" outlineLevel="0" max="4" min="4" style="1" width="34"/>
    <col collapsed="false" customWidth="true" hidden="false" outlineLevel="0" max="5" min="5" style="1" width="18"/>
    <col collapsed="false" customWidth="true" hidden="false" outlineLevel="0" max="6" min="6" style="1" width="16"/>
    <col collapsed="false" customWidth="true" hidden="false" outlineLevel="0" max="7" min="7" style="1" width="9"/>
    <col collapsed="false" customWidth="true" hidden="false" outlineLevel="0" max="8" min="8" style="1" width="8"/>
    <col collapsed="false" customWidth="true" hidden="false" outlineLevel="0" max="9" min="9" style="1" width="7"/>
    <col collapsed="false" customWidth="true" hidden="false" outlineLevel="0" max="10" min="10" style="1" width="8"/>
    <col collapsed="false" customWidth="true" hidden="false" outlineLevel="0" max="14" min="11" style="1" width="9"/>
    <col collapsed="false" customWidth="true" hidden="false" outlineLevel="0" max="16" min="15" style="1" width="12"/>
    <col collapsed="false" customWidth="true" hidden="false" outlineLevel="0" max="17" min="17" style="1" width="10"/>
    <col collapsed="false" customWidth="true" hidden="false" outlineLevel="0" max="18" min="18" style="1" width="9"/>
    <col collapsed="false" customWidth="true" hidden="false" outlineLevel="0" max="19" min="19" style="1" width="26"/>
    <col collapsed="false" customWidth="true" hidden="false" outlineLevel="0" max="20" min="20" style="1" width="9"/>
    <col collapsed="false" customWidth="true" hidden="false" outlineLevel="0" max="21" min="21" style="1" width="45"/>
  </cols>
  <sheetData>
    <row r="1" customFormat="false" ht="34.5" hidden="false" customHeight="true" outlineLevel="0" collapsed="false">
      <c r="A1" s="6" t="s">
        <v>2079</v>
      </c>
      <c r="B1" s="6" t="s">
        <v>2080</v>
      </c>
      <c r="C1" s="6" t="s">
        <v>2081</v>
      </c>
      <c r="D1" s="6" t="s">
        <v>2082</v>
      </c>
      <c r="E1" s="6" t="s">
        <v>2083</v>
      </c>
      <c r="F1" s="6" t="s">
        <v>2084</v>
      </c>
      <c r="G1" s="6" t="s">
        <v>2085</v>
      </c>
      <c r="H1" s="6" t="s">
        <v>2086</v>
      </c>
      <c r="I1" s="6" t="s">
        <v>2087</v>
      </c>
      <c r="J1" s="6" t="s">
        <v>2088</v>
      </c>
      <c r="K1" s="6" t="s">
        <v>2089</v>
      </c>
      <c r="L1" s="6" t="s">
        <v>2090</v>
      </c>
      <c r="M1" s="6" t="s">
        <v>2091</v>
      </c>
      <c r="N1" s="6" t="s">
        <v>2092</v>
      </c>
      <c r="O1" s="6" t="s">
        <v>2093</v>
      </c>
      <c r="P1" s="6" t="s">
        <v>2094</v>
      </c>
      <c r="Q1" s="6" t="s">
        <v>2095</v>
      </c>
      <c r="R1" s="6" t="s">
        <v>2096</v>
      </c>
      <c r="S1" s="6" t="s">
        <v>2097</v>
      </c>
      <c r="T1" s="6" t="s">
        <v>57</v>
      </c>
      <c r="U1" s="6" t="s">
        <v>2098</v>
      </c>
    </row>
    <row r="2" customFormat="false" ht="15" hidden="false" customHeight="true" outlineLevel="0" collapsed="false">
      <c r="A2" s="7" t="s">
        <v>2099</v>
      </c>
      <c r="B2" s="7"/>
      <c r="C2" s="7" t="s">
        <v>2100</v>
      </c>
      <c r="D2" s="7" t="s">
        <v>2101</v>
      </c>
      <c r="E2" s="7" t="s">
        <v>979</v>
      </c>
      <c r="F2" s="7" t="s">
        <v>2102</v>
      </c>
      <c r="G2" s="7" t="n">
        <v>5.5</v>
      </c>
      <c r="H2" s="7" t="n">
        <v>100</v>
      </c>
      <c r="I2" s="7" t="n">
        <v>0</v>
      </c>
      <c r="J2" s="7" t="n">
        <v>0</v>
      </c>
      <c r="K2" s="7" t="n">
        <v>42.25</v>
      </c>
      <c r="L2" s="7" t="n">
        <v>-73.62</v>
      </c>
      <c r="M2" s="7"/>
      <c r="N2" s="7"/>
      <c r="O2" s="7" t="n">
        <f aca="false">IF(OR(K2="",L2=""),"",ROUND(3959*ACOS(MIN(1,SIN(RADIANS(README!$B$3))*SIN(RADIANS(K2))+COS(RADIANS(README!$B$3))*COS(RADIANS(K2))*COS(RADIANS(L2-README!$B$4)))),1))</f>
        <v>28.5</v>
      </c>
      <c r="P2" s="7" t="str">
        <f aca="false">IF(OR(M2="",N2=""),"",ROUND(3959*ACOS(MIN(1,SIN(RADIANS(README!$B$3))*SIN(RADIANS(M2))+COS(RADIANS(README!$B$3))*COS(RADIANS(M2))*COS(RADIANS(N2-README!$B$4)))),1))</f>
        <v/>
      </c>
      <c r="Q2" s="7" t="n">
        <f aca="false">IF(O2="","",IF(P2="",O2,MIN(O2,P2)))</f>
        <v>28.5</v>
      </c>
      <c r="R2" s="7" t="str">
        <f aca="false">IF(Q2="","n/a",IF(Q2&lt;=README!$B$5,"Yes","No"))</f>
        <v>Yes</v>
      </c>
      <c r="S2" s="7" t="s">
        <v>2103</v>
      </c>
      <c r="T2" s="7" t="s">
        <v>20</v>
      </c>
      <c r="U2" s="7" t="s">
        <v>2104</v>
      </c>
    </row>
    <row r="3" customFormat="false" ht="15" hidden="false" customHeight="true" outlineLevel="0" collapsed="false">
      <c r="A3" s="7" t="s">
        <v>2105</v>
      </c>
      <c r="B3" s="7"/>
      <c r="C3" s="7" t="s">
        <v>2100</v>
      </c>
      <c r="D3" s="7" t="s">
        <v>2101</v>
      </c>
      <c r="E3" s="7" t="s">
        <v>979</v>
      </c>
      <c r="F3" s="7" t="s">
        <v>2102</v>
      </c>
      <c r="G3" s="7"/>
      <c r="H3" s="7"/>
      <c r="I3" s="7" t="n">
        <v>0</v>
      </c>
      <c r="J3" s="7" t="n">
        <v>0</v>
      </c>
      <c r="K3" s="7" t="n">
        <v>42.25</v>
      </c>
      <c r="L3" s="7" t="n">
        <v>-73.62</v>
      </c>
      <c r="M3" s="7"/>
      <c r="N3" s="7"/>
      <c r="O3" s="7" t="n">
        <f aca="false">IF(OR(K3="",L3=""),"",ROUND(3959*ACOS(MIN(1,SIN(RADIANS(README!$B$3))*SIN(RADIANS(K3))+COS(RADIANS(README!$B$3))*COS(RADIANS(K3))*COS(RADIANS(L3-README!$B$4)))),1))</f>
        <v>28.5</v>
      </c>
      <c r="P3" s="7" t="str">
        <f aca="false">IF(OR(M3="",N3=""),"",ROUND(3959*ACOS(MIN(1,SIN(RADIANS(README!$B$3))*SIN(RADIANS(M3))+COS(RADIANS(README!$B$3))*COS(RADIANS(M3))*COS(RADIANS(N3-README!$B$4)))),1))</f>
        <v/>
      </c>
      <c r="Q3" s="7" t="n">
        <f aca="false">IF(O3="","",IF(P3="",O3,MIN(O3,P3)))</f>
        <v>28.5</v>
      </c>
      <c r="R3" s="7" t="str">
        <f aca="false">IF(Q3="","n/a",IF(Q3&lt;=README!$B$5,"Yes","No"))</f>
        <v>Yes</v>
      </c>
      <c r="S3" s="7" t="s">
        <v>2103</v>
      </c>
      <c r="T3" s="7" t="s">
        <v>20</v>
      </c>
      <c r="U3" s="7" t="s">
        <v>2106</v>
      </c>
    </row>
    <row r="4" customFormat="false" ht="15" hidden="false" customHeight="true" outlineLevel="0" collapsed="false">
      <c r="A4" s="7" t="s">
        <v>2107</v>
      </c>
      <c r="B4" s="7" t="s">
        <v>2108</v>
      </c>
      <c r="C4" s="7" t="s">
        <v>310</v>
      </c>
      <c r="D4" s="7" t="s">
        <v>2109</v>
      </c>
      <c r="E4" s="7" t="s">
        <v>979</v>
      </c>
      <c r="F4" s="7" t="s">
        <v>2110</v>
      </c>
      <c r="G4" s="7"/>
      <c r="H4" s="7"/>
      <c r="I4" s="7" t="n">
        <v>2</v>
      </c>
      <c r="J4" s="7" t="n">
        <v>0</v>
      </c>
      <c r="K4" s="7" t="n">
        <v>42.6</v>
      </c>
      <c r="L4" s="7" t="n">
        <v>-73.97</v>
      </c>
      <c r="M4" s="7"/>
      <c r="N4" s="7"/>
      <c r="O4" s="7" t="n">
        <f aca="false">IF(OR(K4="",L4=""),"",ROUND(3959*ACOS(MIN(1,SIN(RADIANS(README!$B$3))*SIN(RADIANS(K4))+COS(RADIANS(README!$B$3))*COS(RADIANS(K4))*COS(RADIANS(L4-README!$B$4)))),1))</f>
        <v>6.9</v>
      </c>
      <c r="P4" s="7" t="str">
        <f aca="false">IF(OR(M4="",N4=""),"",ROUND(3959*ACOS(MIN(1,SIN(RADIANS(README!$B$3))*SIN(RADIANS(M4))+COS(RADIANS(README!$B$3))*COS(RADIANS(M4))*COS(RADIANS(N4-README!$B$4)))),1))</f>
        <v/>
      </c>
      <c r="Q4" s="7" t="n">
        <f aca="false">IF(O4="","",IF(P4="",O4,MIN(O4,P4)))</f>
        <v>6.9</v>
      </c>
      <c r="R4" s="7" t="str">
        <f aca="false">IF(Q4="","n/a",IF(Q4&lt;=README!$B$5,"Yes","No"))</f>
        <v>Yes</v>
      </c>
      <c r="S4" s="7" t="s">
        <v>2103</v>
      </c>
      <c r="T4" s="7" t="s">
        <v>20</v>
      </c>
      <c r="U4" s="7" t="s">
        <v>2111</v>
      </c>
    </row>
    <row r="5" customFormat="false" ht="15" hidden="false" customHeight="true" outlineLevel="0" collapsed="false">
      <c r="A5" s="7" t="s">
        <v>2112</v>
      </c>
      <c r="B5" s="7" t="s">
        <v>2108</v>
      </c>
      <c r="C5" s="7" t="s">
        <v>2100</v>
      </c>
      <c r="D5" s="7" t="s">
        <v>2101</v>
      </c>
      <c r="E5" s="7" t="s">
        <v>979</v>
      </c>
      <c r="F5" s="7" t="s">
        <v>2110</v>
      </c>
      <c r="G5" s="7"/>
      <c r="H5" s="7"/>
      <c r="I5" s="7" t="n">
        <v>0</v>
      </c>
      <c r="J5" s="7" t="n">
        <v>0</v>
      </c>
      <c r="K5" s="7" t="n">
        <v>42.25</v>
      </c>
      <c r="L5" s="7" t="n">
        <v>-73.62</v>
      </c>
      <c r="M5" s="7"/>
      <c r="N5" s="7"/>
      <c r="O5" s="7" t="n">
        <f aca="false">IF(OR(K5="",L5=""),"",ROUND(3959*ACOS(MIN(1,SIN(RADIANS(README!$B$3))*SIN(RADIANS(K5))+COS(RADIANS(README!$B$3))*COS(RADIANS(K5))*COS(RADIANS(L5-README!$B$4)))),1))</f>
        <v>28.5</v>
      </c>
      <c r="P5" s="7" t="str">
        <f aca="false">IF(OR(M5="",N5=""),"",ROUND(3959*ACOS(MIN(1,SIN(RADIANS(README!$B$3))*SIN(RADIANS(M5))+COS(RADIANS(README!$B$3))*COS(RADIANS(M5))*COS(RADIANS(N5-README!$B$4)))),1))</f>
        <v/>
      </c>
      <c r="Q5" s="7" t="n">
        <f aca="false">IF(O5="","",IF(P5="",O5,MIN(O5,P5)))</f>
        <v>28.5</v>
      </c>
      <c r="R5" s="7" t="str">
        <f aca="false">IF(Q5="","n/a",IF(Q5&lt;=README!$B$5,"Yes","No"))</f>
        <v>Yes</v>
      </c>
      <c r="S5" s="7" t="s">
        <v>2103</v>
      </c>
      <c r="T5" s="7" t="s">
        <v>20</v>
      </c>
      <c r="U5" s="7" t="s">
        <v>2106</v>
      </c>
    </row>
    <row r="6" customFormat="false" ht="15" hidden="false" customHeight="true" outlineLevel="0" collapsed="false">
      <c r="A6" s="7" t="s">
        <v>2113</v>
      </c>
      <c r="B6" s="7" t="s">
        <v>2114</v>
      </c>
      <c r="C6" s="7" t="s">
        <v>310</v>
      </c>
      <c r="D6" s="7" t="s">
        <v>2109</v>
      </c>
      <c r="E6" s="7" t="s">
        <v>979</v>
      </c>
      <c r="F6" s="7" t="s">
        <v>2115</v>
      </c>
      <c r="G6" s="7" t="n">
        <v>0.5</v>
      </c>
      <c r="H6" s="7" t="n">
        <v>50</v>
      </c>
      <c r="I6" s="7" t="n">
        <v>0</v>
      </c>
      <c r="J6" s="7" t="n">
        <v>0</v>
      </c>
      <c r="K6" s="7" t="n">
        <v>42.6</v>
      </c>
      <c r="L6" s="7" t="n">
        <v>-73.97</v>
      </c>
      <c r="M6" s="7"/>
      <c r="N6" s="7"/>
      <c r="O6" s="7" t="n">
        <f aca="false">IF(OR(K6="",L6=""),"",ROUND(3959*ACOS(MIN(1,SIN(RADIANS(README!$B$3))*SIN(RADIANS(K6))+COS(RADIANS(README!$B$3))*COS(RADIANS(K6))*COS(RADIANS(L6-README!$B$4)))),1))</f>
        <v>6.9</v>
      </c>
      <c r="P6" s="7" t="str">
        <f aca="false">IF(OR(M6="",N6=""),"",ROUND(3959*ACOS(MIN(1,SIN(RADIANS(README!$B$3))*SIN(RADIANS(M6))+COS(RADIANS(README!$B$3))*COS(RADIANS(M6))*COS(RADIANS(N6-README!$B$4)))),1))</f>
        <v/>
      </c>
      <c r="Q6" s="7" t="n">
        <f aca="false">IF(O6="","",IF(P6="",O6,MIN(O6,P6)))</f>
        <v>6.9</v>
      </c>
      <c r="R6" s="7" t="str">
        <f aca="false">IF(Q6="","n/a",IF(Q6&lt;=README!$B$5,"Yes","No"))</f>
        <v>Yes</v>
      </c>
      <c r="S6" s="7" t="s">
        <v>2103</v>
      </c>
      <c r="T6" s="7" t="s">
        <v>20</v>
      </c>
      <c r="U6" s="7" t="s">
        <v>2106</v>
      </c>
    </row>
    <row r="7" customFormat="false" ht="15" hidden="false" customHeight="true" outlineLevel="0" collapsed="false">
      <c r="A7" s="7" t="s">
        <v>2116</v>
      </c>
      <c r="B7" s="7" t="s">
        <v>2117</v>
      </c>
      <c r="C7" s="7" t="s">
        <v>2118</v>
      </c>
      <c r="D7" s="7" t="s">
        <v>2119</v>
      </c>
      <c r="E7" s="7" t="s">
        <v>979</v>
      </c>
      <c r="F7" s="7" t="s">
        <v>2115</v>
      </c>
      <c r="G7" s="7"/>
      <c r="H7" s="7"/>
      <c r="I7" s="7" t="n">
        <v>0</v>
      </c>
      <c r="J7" s="7" t="n">
        <v>0</v>
      </c>
      <c r="K7" s="7" t="n">
        <v>42.28</v>
      </c>
      <c r="L7" s="7" t="n">
        <v>-74.12</v>
      </c>
      <c r="M7" s="7"/>
      <c r="N7" s="7"/>
      <c r="O7" s="7" t="n">
        <f aca="false">IF(OR(K7="",L7=""),"",ROUND(3959*ACOS(MIN(1,SIN(RADIANS(README!$B$3))*SIN(RADIANS(K7))+COS(RADIANS(README!$B$3))*COS(RADIANS(K7))*COS(RADIANS(L7-README!$B$4)))),1))</f>
        <v>16.8</v>
      </c>
      <c r="P7" s="7" t="str">
        <f aca="false">IF(OR(M7="",N7=""),"",ROUND(3959*ACOS(MIN(1,SIN(RADIANS(README!$B$3))*SIN(RADIANS(M7))+COS(RADIANS(README!$B$3))*COS(RADIANS(M7))*COS(RADIANS(N7-README!$B$4)))),1))</f>
        <v/>
      </c>
      <c r="Q7" s="7" t="n">
        <f aca="false">IF(O7="","",IF(P7="",O7,MIN(O7,P7)))</f>
        <v>16.8</v>
      </c>
      <c r="R7" s="7" t="str">
        <f aca="false">IF(Q7="","n/a",IF(Q7&lt;=README!$B$5,"Yes","No"))</f>
        <v>Yes</v>
      </c>
      <c r="S7" s="7" t="s">
        <v>2103</v>
      </c>
      <c r="T7" s="7" t="s">
        <v>20</v>
      </c>
      <c r="U7" s="7" t="s">
        <v>2106</v>
      </c>
    </row>
    <row r="8" customFormat="false" ht="34.5" hidden="false" customHeight="true" outlineLevel="0" collapsed="false">
      <c r="A8" s="7" t="s">
        <v>933</v>
      </c>
      <c r="B8" s="7" t="s">
        <v>2120</v>
      </c>
      <c r="C8" s="7" t="s">
        <v>310</v>
      </c>
      <c r="D8" s="7" t="s">
        <v>2121</v>
      </c>
      <c r="E8" s="7" t="s">
        <v>2122</v>
      </c>
      <c r="F8" s="7" t="s">
        <v>2123</v>
      </c>
      <c r="G8" s="7"/>
      <c r="H8" s="7"/>
      <c r="I8" s="7"/>
      <c r="J8" s="7"/>
      <c r="K8" s="7" t="n">
        <v>42.75</v>
      </c>
      <c r="L8" s="7" t="n">
        <v>-73.8</v>
      </c>
      <c r="M8" s="7"/>
      <c r="N8" s="7"/>
      <c r="O8" s="7" t="n">
        <f aca="false">IF(OR(K8="",L8=""),"",ROUND(3959*ACOS(MIN(1,SIN(RADIANS(README!$B$3))*SIN(RADIANS(K8))+COS(RADIANS(README!$B$3))*COS(RADIANS(K8))*COS(RADIANS(L8-README!$B$4)))),1))</f>
        <v>20.4</v>
      </c>
      <c r="P8" s="7" t="str">
        <f aca="false">IF(OR(M8="",N8=""),"",ROUND(3959*ACOS(MIN(1,SIN(RADIANS(README!$B$3))*SIN(RADIANS(M8))+COS(RADIANS(README!$B$3))*COS(RADIANS(M8))*COS(RADIANS(N8-README!$B$4)))),1))</f>
        <v/>
      </c>
      <c r="Q8" s="7" t="n">
        <f aca="false">IF(O8="","",IF(P8="",O8,MIN(O8,P8)))</f>
        <v>20.4</v>
      </c>
      <c r="R8" s="7" t="str">
        <f aca="false">IF(Q8="","n/a",IF(Q8&lt;=README!$B$5,"Yes","No"))</f>
        <v>Yes</v>
      </c>
      <c r="S8" s="7" t="s">
        <v>627</v>
      </c>
      <c r="T8" s="7" t="s">
        <v>16</v>
      </c>
      <c r="U8" s="7" t="s">
        <v>2124</v>
      </c>
    </row>
    <row r="9" customFormat="false" ht="23.25" hidden="false" customHeight="true" outlineLevel="0" collapsed="false">
      <c r="A9" s="7" t="s">
        <v>978</v>
      </c>
      <c r="B9" s="7" t="s">
        <v>2125</v>
      </c>
      <c r="C9" s="7" t="s">
        <v>675</v>
      </c>
      <c r="D9" s="7" t="s">
        <v>2126</v>
      </c>
      <c r="E9" s="7" t="s">
        <v>979</v>
      </c>
      <c r="F9" s="7" t="s">
        <v>2127</v>
      </c>
      <c r="G9" s="7"/>
      <c r="H9" s="7"/>
      <c r="I9" s="7" t="n">
        <v>0</v>
      </c>
      <c r="J9" s="7" t="n">
        <v>9</v>
      </c>
      <c r="K9" s="7" t="n">
        <v>42.8</v>
      </c>
      <c r="L9" s="7" t="n">
        <v>-73.88</v>
      </c>
      <c r="M9" s="7" t="n">
        <v>42.92</v>
      </c>
      <c r="N9" s="7" t="n">
        <v>-73.73</v>
      </c>
      <c r="O9" s="7" t="n">
        <f aca="false">IF(OR(K9="",L9=""),"",ROUND(3959*ACOS(MIN(1,SIN(RADIANS(README!$B$3))*SIN(RADIANS(K9))+COS(RADIANS(README!$B$3))*COS(RADIANS(K9))*COS(RADIANS(L9-README!$B$4)))),1))</f>
        <v>21.3</v>
      </c>
      <c r="P9" s="7" t="n">
        <f aca="false">IF(OR(M9="",N9=""),"",ROUND(3959*ACOS(MIN(1,SIN(RADIANS(README!$B$3))*SIN(RADIANS(M9))+COS(RADIANS(README!$B$3))*COS(RADIANS(M9))*COS(RADIANS(N9-README!$B$4)))),1))</f>
        <v>32.1</v>
      </c>
      <c r="Q9" s="7" t="n">
        <f aca="false">IF(O9="","",IF(P9="",O9,MIN(O9,P9)))</f>
        <v>21.3</v>
      </c>
      <c r="R9" s="7" t="str">
        <f aca="false">IF(Q9="","n/a",IF(Q9&lt;=README!$B$5,"Yes","No"))</f>
        <v>Yes</v>
      </c>
      <c r="S9" s="7" t="s">
        <v>985</v>
      </c>
      <c r="T9" s="7" t="s">
        <v>16</v>
      </c>
      <c r="U9" s="7" t="s">
        <v>2128</v>
      </c>
    </row>
    <row r="10" customFormat="false" ht="34.5" hidden="false" customHeight="true" outlineLevel="0" collapsed="false">
      <c r="A10" s="7" t="s">
        <v>1012</v>
      </c>
      <c r="B10" s="7"/>
      <c r="C10" s="7" t="s">
        <v>961</v>
      </c>
      <c r="D10" s="7" t="s">
        <v>1015</v>
      </c>
      <c r="E10" s="7" t="s">
        <v>2129</v>
      </c>
      <c r="F10" s="7" t="s">
        <v>2130</v>
      </c>
      <c r="G10" s="7"/>
      <c r="H10" s="7"/>
      <c r="I10" s="7"/>
      <c r="J10" s="7"/>
      <c r="K10" s="7" t="n">
        <v>42.75</v>
      </c>
      <c r="L10" s="7" t="n">
        <v>-73.8</v>
      </c>
      <c r="M10" s="7"/>
      <c r="N10" s="7"/>
      <c r="O10" s="7" t="n">
        <f aca="false">IF(OR(K10="",L10=""),"",ROUND(3959*ACOS(MIN(1,SIN(RADIANS(README!$B$3))*SIN(RADIANS(K10))+COS(RADIANS(README!$B$3))*COS(RADIANS(K10))*COS(RADIANS(L10-README!$B$4)))),1))</f>
        <v>20.4</v>
      </c>
      <c r="P10" s="7" t="str">
        <f aca="false">IF(OR(M10="",N10=""),"",ROUND(3959*ACOS(MIN(1,SIN(RADIANS(README!$B$3))*SIN(RADIANS(M10))+COS(RADIANS(README!$B$3))*COS(RADIANS(M10))*COS(RADIANS(N10-README!$B$4)))),1))</f>
        <v/>
      </c>
      <c r="Q10" s="7" t="n">
        <f aca="false">IF(O10="","",IF(P10="",O10,MIN(O10,P10)))</f>
        <v>20.4</v>
      </c>
      <c r="R10" s="7" t="str">
        <f aca="false">IF(Q10="","n/a",IF(Q10&lt;=README!$B$5,"Yes","No"))</f>
        <v>Yes</v>
      </c>
      <c r="S10" s="7" t="s">
        <v>627</v>
      </c>
      <c r="T10" s="7" t="s">
        <v>16</v>
      </c>
      <c r="U10" s="7" t="s">
        <v>2131</v>
      </c>
    </row>
    <row r="11" customFormat="false" ht="23.25" hidden="false" customHeight="true" outlineLevel="0" collapsed="false">
      <c r="A11" s="7" t="s">
        <v>2132</v>
      </c>
      <c r="B11" s="7" t="s">
        <v>2133</v>
      </c>
      <c r="C11" s="7" t="s">
        <v>310</v>
      </c>
      <c r="D11" s="7" t="s">
        <v>2134</v>
      </c>
      <c r="E11" s="7" t="s">
        <v>979</v>
      </c>
      <c r="F11" s="7" t="s">
        <v>2110</v>
      </c>
      <c r="G11" s="7" t="n">
        <v>1.3</v>
      </c>
      <c r="H11" s="7" t="n">
        <v>10</v>
      </c>
      <c r="I11" s="7" t="n">
        <v>0</v>
      </c>
      <c r="J11" s="7" t="n">
        <v>2</v>
      </c>
      <c r="K11" s="7" t="n">
        <v>42.55</v>
      </c>
      <c r="L11" s="7" t="n">
        <v>-74.05</v>
      </c>
      <c r="M11" s="7"/>
      <c r="N11" s="7"/>
      <c r="O11" s="7" t="n">
        <f aca="false">IF(OR(K11="",L11=""),"",ROUND(3959*ACOS(MIN(1,SIN(RADIANS(README!$B$3))*SIN(RADIANS(K11))+COS(RADIANS(README!$B$3))*COS(RADIANS(K11))*COS(RADIANS(L11-README!$B$4)))),1))</f>
        <v>2.3</v>
      </c>
      <c r="P11" s="7" t="str">
        <f aca="false">IF(OR(M11="",N11=""),"",ROUND(3959*ACOS(MIN(1,SIN(RADIANS(README!$B$3))*SIN(RADIANS(M11))+COS(RADIANS(README!$B$3))*COS(RADIANS(M11))*COS(RADIANS(N11-README!$B$4)))),1))</f>
        <v/>
      </c>
      <c r="Q11" s="7" t="n">
        <f aca="false">IF(O11="","",IF(P11="",O11,MIN(O11,P11)))</f>
        <v>2.3</v>
      </c>
      <c r="R11" s="7" t="str">
        <f aca="false">IF(Q11="","n/a",IF(Q11&lt;=README!$B$5,"Yes","No"))</f>
        <v>Yes</v>
      </c>
      <c r="S11" s="7" t="s">
        <v>985</v>
      </c>
      <c r="T11" s="7" t="s">
        <v>16</v>
      </c>
      <c r="U11" s="7" t="s">
        <v>2135</v>
      </c>
    </row>
    <row r="12" customFormat="false" ht="23.25" hidden="false" customHeight="true" outlineLevel="0" collapsed="false">
      <c r="A12" s="7" t="s">
        <v>1053</v>
      </c>
      <c r="B12" s="7" t="s">
        <v>2136</v>
      </c>
      <c r="C12" s="7" t="s">
        <v>2137</v>
      </c>
      <c r="D12" s="7" t="s">
        <v>2138</v>
      </c>
      <c r="E12" s="7" t="s">
        <v>979</v>
      </c>
      <c r="F12" s="7" t="s">
        <v>2115</v>
      </c>
      <c r="G12" s="7" t="n">
        <v>2.3</v>
      </c>
      <c r="H12" s="7" t="n">
        <v>83</v>
      </c>
      <c r="I12" s="7" t="n">
        <v>0</v>
      </c>
      <c r="J12" s="7" t="n">
        <v>1</v>
      </c>
      <c r="K12" s="7" t="n">
        <v>42.9</v>
      </c>
      <c r="L12" s="7" t="n">
        <v>-73.55</v>
      </c>
      <c r="M12" s="7" t="n">
        <v>42.92</v>
      </c>
      <c r="N12" s="7" t="n">
        <v>-73.48</v>
      </c>
      <c r="O12" s="7" t="n">
        <f aca="false">IF(OR(K12="",L12=""),"",ROUND(3959*ACOS(MIN(1,SIN(RADIANS(README!$B$3))*SIN(RADIANS(K12))+COS(RADIANS(README!$B$3))*COS(RADIANS(K12))*COS(RADIANS(L12-README!$B$4)))),1))</f>
        <v>36.5</v>
      </c>
      <c r="P12" s="7" t="n">
        <f aca="false">IF(OR(M12="",N12=""),"",ROUND(3959*ACOS(MIN(1,SIN(RADIANS(README!$B$3))*SIN(RADIANS(M12))+COS(RADIANS(README!$B$3))*COS(RADIANS(M12))*COS(RADIANS(N12-README!$B$4)))),1))</f>
        <v>40</v>
      </c>
      <c r="Q12" s="7" t="n">
        <f aca="false">IF(O12="","",IF(P12="",O12,MIN(O12,P12)))</f>
        <v>36.5</v>
      </c>
      <c r="R12" s="7" t="str">
        <f aca="false">IF(Q12="","n/a",IF(Q12&lt;=README!$B$5,"Yes","No"))</f>
        <v>No</v>
      </c>
      <c r="S12" s="7" t="s">
        <v>985</v>
      </c>
      <c r="T12" s="7" t="s">
        <v>16</v>
      </c>
      <c r="U12" s="7" t="s">
        <v>2139</v>
      </c>
    </row>
    <row r="13" customFormat="false" ht="23.25" hidden="false" customHeight="true" outlineLevel="0" collapsed="false">
      <c r="A13" s="7" t="s">
        <v>1053</v>
      </c>
      <c r="B13" s="7" t="s">
        <v>2140</v>
      </c>
      <c r="C13" s="7" t="s">
        <v>2100</v>
      </c>
      <c r="D13" s="7" t="s">
        <v>2141</v>
      </c>
      <c r="E13" s="7" t="s">
        <v>979</v>
      </c>
      <c r="F13" s="7" t="s">
        <v>2142</v>
      </c>
      <c r="G13" s="7" t="n">
        <v>3.4</v>
      </c>
      <c r="H13" s="7" t="n">
        <v>313</v>
      </c>
      <c r="I13" s="7" t="n">
        <v>0</v>
      </c>
      <c r="J13" s="7" t="n">
        <v>0</v>
      </c>
      <c r="K13" s="7" t="n">
        <v>42.42</v>
      </c>
      <c r="L13" s="7" t="n">
        <v>-73.42</v>
      </c>
      <c r="M13" s="7" t="n">
        <v>42.37</v>
      </c>
      <c r="N13" s="7" t="n">
        <v>-73.42</v>
      </c>
      <c r="O13" s="7" t="n">
        <f aca="false">IF(OR(K13="",L13=""),"",ROUND(3959*ACOS(MIN(1,SIN(RADIANS(README!$B$3))*SIN(RADIANS(K13))+COS(RADIANS(README!$B$3))*COS(RADIANS(K13))*COS(RADIANS(L13-README!$B$4)))),1))</f>
        <v>32.6</v>
      </c>
      <c r="P13" s="7" t="n">
        <f aca="false">IF(OR(M13="",N13=""),"",ROUND(3959*ACOS(MIN(1,SIN(RADIANS(README!$B$3))*SIN(RADIANS(M13))+COS(RADIANS(README!$B$3))*COS(RADIANS(M13))*COS(RADIANS(N13-README!$B$4)))),1))</f>
        <v>33.4</v>
      </c>
      <c r="Q13" s="7" t="n">
        <f aca="false">IF(O13="","",IF(P13="",O13,MIN(O13,P13)))</f>
        <v>32.6</v>
      </c>
      <c r="R13" s="7" t="str">
        <f aca="false">IF(Q13="","n/a",IF(Q13&lt;=README!$B$5,"Yes","No"))</f>
        <v>No</v>
      </c>
      <c r="S13" s="7" t="s">
        <v>985</v>
      </c>
      <c r="T13" s="7" t="s">
        <v>16</v>
      </c>
      <c r="U13" s="7" t="s">
        <v>2143</v>
      </c>
    </row>
    <row r="14" customFormat="false" ht="23.25" hidden="false" customHeight="true" outlineLevel="0" collapsed="false">
      <c r="A14" s="7" t="s">
        <v>1063</v>
      </c>
      <c r="B14" s="7" t="s">
        <v>2144</v>
      </c>
      <c r="C14" s="7" t="s">
        <v>2145</v>
      </c>
      <c r="D14" s="7" t="s">
        <v>2146</v>
      </c>
      <c r="E14" s="7" t="s">
        <v>979</v>
      </c>
      <c r="F14" s="7" t="s">
        <v>2127</v>
      </c>
      <c r="G14" s="7" t="n">
        <v>49.1</v>
      </c>
      <c r="H14" s="7"/>
      <c r="I14" s="7" t="n">
        <v>0</v>
      </c>
      <c r="J14" s="7" t="n">
        <v>0</v>
      </c>
      <c r="K14" s="7" t="n">
        <v>42.25</v>
      </c>
      <c r="L14" s="7" t="n">
        <v>-73.83</v>
      </c>
      <c r="M14" s="7" t="n">
        <v>42.92</v>
      </c>
      <c r="N14" s="7" t="n">
        <v>-73.88</v>
      </c>
      <c r="O14" s="7" t="n">
        <f aca="false">IF(OR(K14="",L14=""),"",ROUND(3959*ACOS(MIN(1,SIN(RADIANS(README!$B$3))*SIN(RADIANS(K14))+COS(RADIANS(README!$B$3))*COS(RADIANS(K14))*COS(RADIANS(L14-README!$B$4)))),1))</f>
        <v>21.5</v>
      </c>
      <c r="P14" s="7" t="n">
        <f aca="false">IF(OR(M14="",N14=""),"",ROUND(3959*ACOS(MIN(1,SIN(RADIANS(README!$B$3))*SIN(RADIANS(M14))+COS(RADIANS(README!$B$3))*COS(RADIANS(M14))*COS(RADIANS(N14-README!$B$4)))),1))</f>
        <v>29.1</v>
      </c>
      <c r="Q14" s="7" t="n">
        <f aca="false">IF(O14="","",IF(P14="",O14,MIN(O14,P14)))</f>
        <v>21.5</v>
      </c>
      <c r="R14" s="7" t="str">
        <f aca="false">IF(Q14="","n/a",IF(Q14&lt;=README!$B$5,"Yes","No"))</f>
        <v>Yes</v>
      </c>
      <c r="S14" s="7" t="s">
        <v>985</v>
      </c>
      <c r="T14" s="7" t="s">
        <v>16</v>
      </c>
      <c r="U14" s="7" t="s">
        <v>2147</v>
      </c>
    </row>
    <row r="15" customFormat="false" ht="23.25" hidden="false" customHeight="true" outlineLevel="0" collapsed="false">
      <c r="A15" s="7" t="s">
        <v>2148</v>
      </c>
      <c r="B15" s="7" t="s">
        <v>2149</v>
      </c>
      <c r="C15" s="7" t="s">
        <v>2137</v>
      </c>
      <c r="D15" s="7" t="s">
        <v>2138</v>
      </c>
      <c r="E15" s="7" t="s">
        <v>979</v>
      </c>
      <c r="F15" s="7" t="s">
        <v>2110</v>
      </c>
      <c r="G15" s="7"/>
      <c r="H15" s="7" t="n">
        <v>33</v>
      </c>
      <c r="I15" s="7" t="n">
        <v>0</v>
      </c>
      <c r="J15" s="7" t="n">
        <v>0</v>
      </c>
      <c r="K15" s="7" t="n">
        <v>42.83</v>
      </c>
      <c r="L15" s="7" t="n">
        <v>-73.5</v>
      </c>
      <c r="M15" s="7"/>
      <c r="N15" s="7"/>
      <c r="O15" s="7" t="n">
        <f aca="false">IF(OR(K15="",L15=""),"",ROUND(3959*ACOS(MIN(1,SIN(RADIANS(README!$B$3))*SIN(RADIANS(K15))+COS(RADIANS(README!$B$3))*COS(RADIANS(K15))*COS(RADIANS(L15-README!$B$4)))),1))</f>
        <v>35.1</v>
      </c>
      <c r="P15" s="7" t="str">
        <f aca="false">IF(OR(M15="",N15=""),"",ROUND(3959*ACOS(MIN(1,SIN(RADIANS(README!$B$3))*SIN(RADIANS(M15))+COS(RADIANS(README!$B$3))*COS(RADIANS(M15))*COS(RADIANS(N15-README!$B$4)))),1))</f>
        <v/>
      </c>
      <c r="Q15" s="7" t="n">
        <f aca="false">IF(O15="","",IF(P15="",O15,MIN(O15,P15)))</f>
        <v>35.1</v>
      </c>
      <c r="R15" s="7" t="str">
        <f aca="false">IF(Q15="","n/a",IF(Q15&lt;=README!$B$5,"Yes","No"))</f>
        <v>No</v>
      </c>
      <c r="S15" s="7" t="s">
        <v>985</v>
      </c>
      <c r="T15" s="7" t="s">
        <v>16</v>
      </c>
      <c r="U15" s="7"/>
    </row>
    <row r="16" customFormat="false" ht="23.25" hidden="false" customHeight="true" outlineLevel="0" collapsed="false">
      <c r="A16" s="7" t="s">
        <v>2150</v>
      </c>
      <c r="B16" s="7" t="s">
        <v>2125</v>
      </c>
      <c r="C16" s="7" t="s">
        <v>2151</v>
      </c>
      <c r="D16" s="7" t="s">
        <v>2152</v>
      </c>
      <c r="E16" s="7" t="s">
        <v>979</v>
      </c>
      <c r="F16" s="7" t="s">
        <v>2110</v>
      </c>
      <c r="G16" s="7" t="n">
        <v>7.1</v>
      </c>
      <c r="H16" s="7" t="n">
        <v>167</v>
      </c>
      <c r="I16" s="7" t="n">
        <v>0</v>
      </c>
      <c r="J16" s="7" t="n">
        <v>3</v>
      </c>
      <c r="K16" s="7" t="n">
        <v>41.97</v>
      </c>
      <c r="L16" s="7" t="n">
        <v>-74.07</v>
      </c>
      <c r="M16" s="7" t="n">
        <v>42.08</v>
      </c>
      <c r="N16" s="7" t="n">
        <v>-73.82</v>
      </c>
      <c r="O16" s="7" t="n">
        <f aca="false">IF(OR(K16="",L16=""),"",ROUND(3959*ACOS(MIN(1,SIN(RADIANS(README!$B$3))*SIN(RADIANS(K16))+COS(RADIANS(README!$B$3))*COS(RADIANS(K16))*COS(RADIANS(L16-README!$B$4)))),1))</f>
        <v>37.8</v>
      </c>
      <c r="P16" s="7" t="n">
        <f aca="false">IF(OR(M16="",N16=""),"",ROUND(3959*ACOS(MIN(1,SIN(RADIANS(README!$B$3))*SIN(RADIANS(M16))+COS(RADIANS(README!$B$3))*COS(RADIANS(M16))*COS(RADIANS(N16-README!$B$4)))),1))</f>
        <v>32.3</v>
      </c>
      <c r="Q16" s="7" t="n">
        <f aca="false">IF(O16="","",IF(P16="",O16,MIN(O16,P16)))</f>
        <v>32.3</v>
      </c>
      <c r="R16" s="7" t="str">
        <f aca="false">IF(Q16="","n/a",IF(Q16&lt;=README!$B$5,"Yes","No"))</f>
        <v>No</v>
      </c>
      <c r="S16" s="7" t="s">
        <v>985</v>
      </c>
      <c r="T16" s="7" t="s">
        <v>16</v>
      </c>
      <c r="U16" s="7"/>
    </row>
    <row r="17" customFormat="false" ht="34.5" hidden="false" customHeight="true" outlineLevel="0" collapsed="false">
      <c r="A17" s="7" t="s">
        <v>1087</v>
      </c>
      <c r="B17" s="7"/>
      <c r="C17" s="7" t="s">
        <v>310</v>
      </c>
      <c r="D17" s="7" t="s">
        <v>2153</v>
      </c>
      <c r="E17" s="7" t="s">
        <v>2122</v>
      </c>
      <c r="F17" s="7" t="s">
        <v>2154</v>
      </c>
      <c r="G17" s="7"/>
      <c r="H17" s="7"/>
      <c r="I17" s="7" t="n">
        <v>2</v>
      </c>
      <c r="J17" s="7"/>
      <c r="K17" s="7" t="n">
        <v>42.75</v>
      </c>
      <c r="L17" s="7" t="n">
        <v>-73.8</v>
      </c>
      <c r="M17" s="7"/>
      <c r="N17" s="7"/>
      <c r="O17" s="7" t="n">
        <f aca="false">IF(OR(K17="",L17=""),"",ROUND(3959*ACOS(MIN(1,SIN(RADIANS(README!$B$3))*SIN(RADIANS(K17))+COS(RADIANS(README!$B$3))*COS(RADIANS(K17))*COS(RADIANS(L17-README!$B$4)))),1))</f>
        <v>20.4</v>
      </c>
      <c r="P17" s="7" t="str">
        <f aca="false">IF(OR(M17="",N17=""),"",ROUND(3959*ACOS(MIN(1,SIN(RADIANS(README!$B$3))*SIN(RADIANS(M17))+COS(RADIANS(README!$B$3))*COS(RADIANS(M17))*COS(RADIANS(N17-README!$B$4)))),1))</f>
        <v/>
      </c>
      <c r="Q17" s="7" t="n">
        <f aca="false">IF(O17="","",IF(P17="",O17,MIN(O17,P17)))</f>
        <v>20.4</v>
      </c>
      <c r="R17" s="7" t="str">
        <f aca="false">IF(Q17="","n/a",IF(Q17&lt;=README!$B$5,"Yes","No"))</f>
        <v>Yes</v>
      </c>
      <c r="S17" s="7" t="s">
        <v>627</v>
      </c>
      <c r="T17" s="7" t="s">
        <v>16</v>
      </c>
      <c r="U17" s="7" t="s">
        <v>2155</v>
      </c>
    </row>
    <row r="18" customFormat="false" ht="23.25" hidden="false" customHeight="true" outlineLevel="0" collapsed="false">
      <c r="A18" s="7" t="s">
        <v>2156</v>
      </c>
      <c r="B18" s="7" t="s">
        <v>2157</v>
      </c>
      <c r="C18" s="7" t="s">
        <v>2118</v>
      </c>
      <c r="D18" s="7" t="s">
        <v>2158</v>
      </c>
      <c r="E18" s="7" t="s">
        <v>979</v>
      </c>
      <c r="F18" s="7" t="s">
        <v>2110</v>
      </c>
      <c r="G18" s="7" t="n">
        <v>1.8</v>
      </c>
      <c r="H18" s="7" t="n">
        <v>33</v>
      </c>
      <c r="I18" s="7" t="n">
        <v>0</v>
      </c>
      <c r="J18" s="7" t="n">
        <v>0</v>
      </c>
      <c r="K18" s="7" t="n">
        <v>42.2</v>
      </c>
      <c r="L18" s="7" t="n">
        <v>-74.22</v>
      </c>
      <c r="M18" s="7"/>
      <c r="N18" s="7"/>
      <c r="O18" s="7" t="n">
        <f aca="false">IF(OR(K18="",L18=""),"",ROUND(3959*ACOS(MIN(1,SIN(RADIANS(README!$B$3))*SIN(RADIANS(K18))+COS(RADIANS(README!$B$3))*COS(RADIANS(K18))*COS(RADIANS(L18-README!$B$4)))),1))</f>
        <v>23.7</v>
      </c>
      <c r="P18" s="7" t="str">
        <f aca="false">IF(OR(M18="",N18=""),"",ROUND(3959*ACOS(MIN(1,SIN(RADIANS(README!$B$3))*SIN(RADIANS(M18))+COS(RADIANS(README!$B$3))*COS(RADIANS(M18))*COS(RADIANS(N18-README!$B$4)))),1))</f>
        <v/>
      </c>
      <c r="Q18" s="7" t="n">
        <f aca="false">IF(O18="","",IF(P18="",O18,MIN(O18,P18)))</f>
        <v>23.7</v>
      </c>
      <c r="R18" s="7" t="str">
        <f aca="false">IF(Q18="","n/a",IF(Q18&lt;=README!$B$5,"Yes","No"))</f>
        <v>Yes</v>
      </c>
      <c r="S18" s="7" t="s">
        <v>985</v>
      </c>
      <c r="T18" s="7" t="s">
        <v>16</v>
      </c>
      <c r="U18" s="7"/>
    </row>
    <row r="19" customFormat="false" ht="23.25" hidden="false" customHeight="true" outlineLevel="0" collapsed="false">
      <c r="A19" s="7" t="s">
        <v>2159</v>
      </c>
      <c r="B19" s="7" t="s">
        <v>2160</v>
      </c>
      <c r="C19" s="7" t="s">
        <v>2100</v>
      </c>
      <c r="D19" s="7" t="s">
        <v>2161</v>
      </c>
      <c r="E19" s="7" t="s">
        <v>979</v>
      </c>
      <c r="F19" s="7" t="s">
        <v>2110</v>
      </c>
      <c r="G19" s="7" t="n">
        <v>0.7</v>
      </c>
      <c r="H19" s="7" t="n">
        <v>53</v>
      </c>
      <c r="I19" s="7" t="n">
        <v>0</v>
      </c>
      <c r="J19" s="7" t="n">
        <v>0</v>
      </c>
      <c r="K19" s="7" t="n">
        <v>42.17</v>
      </c>
      <c r="L19" s="7" t="n">
        <v>-73.75</v>
      </c>
      <c r="M19" s="7"/>
      <c r="N19" s="7"/>
      <c r="O19" s="7" t="n">
        <f aca="false">IF(OR(K19="",L19=""),"",ROUND(3959*ACOS(MIN(1,SIN(RADIANS(README!$B$3))*SIN(RADIANS(K19))+COS(RADIANS(README!$B$3))*COS(RADIANS(K19))*COS(RADIANS(L19-README!$B$4)))),1))</f>
        <v>28.3</v>
      </c>
      <c r="P19" s="7" t="str">
        <f aca="false">IF(OR(M19="",N19=""),"",ROUND(3959*ACOS(MIN(1,SIN(RADIANS(README!$B$3))*SIN(RADIANS(M19))+COS(RADIANS(README!$B$3))*COS(RADIANS(M19))*COS(RADIANS(N19-README!$B$4)))),1))</f>
        <v/>
      </c>
      <c r="Q19" s="7" t="n">
        <f aca="false">IF(O19="","",IF(P19="",O19,MIN(O19,P19)))</f>
        <v>28.3</v>
      </c>
      <c r="R19" s="7" t="str">
        <f aca="false">IF(Q19="","n/a",IF(Q19&lt;=README!$B$5,"Yes","No"))</f>
        <v>Yes</v>
      </c>
      <c r="S19" s="7" t="s">
        <v>985</v>
      </c>
      <c r="T19" s="7" t="s">
        <v>16</v>
      </c>
      <c r="U19" s="7"/>
    </row>
    <row r="20" customFormat="false" ht="23.25" hidden="false" customHeight="true" outlineLevel="0" collapsed="false">
      <c r="A20" s="7" t="s">
        <v>2162</v>
      </c>
      <c r="B20" s="7" t="s">
        <v>2163</v>
      </c>
      <c r="C20" s="7" t="s">
        <v>310</v>
      </c>
      <c r="D20" s="7" t="s">
        <v>2164</v>
      </c>
      <c r="E20" s="7" t="s">
        <v>979</v>
      </c>
      <c r="F20" s="7" t="s">
        <v>2165</v>
      </c>
      <c r="G20" s="7" t="n">
        <v>0.2</v>
      </c>
      <c r="H20" s="7" t="n">
        <v>133</v>
      </c>
      <c r="I20" s="7" t="n">
        <v>0</v>
      </c>
      <c r="J20" s="7" t="n">
        <v>0</v>
      </c>
      <c r="K20" s="7" t="n">
        <v>42.57</v>
      </c>
      <c r="L20" s="7" t="n">
        <v>-73.97</v>
      </c>
      <c r="M20" s="7"/>
      <c r="N20" s="7"/>
      <c r="O20" s="7" t="n">
        <f aca="false">IF(OR(K20="",L20=""),"",ROUND(3959*ACOS(MIN(1,SIN(RADIANS(README!$B$3))*SIN(RADIANS(K20))+COS(RADIANS(README!$B$3))*COS(RADIANS(K20))*COS(RADIANS(L20-README!$B$4)))),1))</f>
        <v>5.3</v>
      </c>
      <c r="P20" s="7" t="str">
        <f aca="false">IF(OR(M20="",N20=""),"",ROUND(3959*ACOS(MIN(1,SIN(RADIANS(README!$B$3))*SIN(RADIANS(M20))+COS(RADIANS(README!$B$3))*COS(RADIANS(M20))*COS(RADIANS(N20-README!$B$4)))),1))</f>
        <v/>
      </c>
      <c r="Q20" s="7" t="n">
        <f aca="false">IF(O20="","",IF(P20="",O20,MIN(O20,P20)))</f>
        <v>5.3</v>
      </c>
      <c r="R20" s="7" t="str">
        <f aca="false">IF(Q20="","n/a",IF(Q20&lt;=README!$B$5,"Yes","No"))</f>
        <v>Yes</v>
      </c>
      <c r="S20" s="7" t="s">
        <v>985</v>
      </c>
      <c r="T20" s="7" t="s">
        <v>16</v>
      </c>
      <c r="U20" s="7"/>
    </row>
    <row r="21" customFormat="false" ht="23.25" hidden="false" customHeight="true" outlineLevel="0" collapsed="false">
      <c r="A21" s="7" t="s">
        <v>2166</v>
      </c>
      <c r="B21" s="7" t="s">
        <v>2167</v>
      </c>
      <c r="C21" s="7" t="s">
        <v>310</v>
      </c>
      <c r="D21" s="7" t="s">
        <v>2168</v>
      </c>
      <c r="E21" s="7" t="s">
        <v>979</v>
      </c>
      <c r="F21" s="7" t="s">
        <v>2165</v>
      </c>
      <c r="G21" s="7"/>
      <c r="H21" s="7" t="n">
        <v>10</v>
      </c>
      <c r="I21" s="7" t="n">
        <v>0</v>
      </c>
      <c r="J21" s="7" t="n">
        <v>13</v>
      </c>
      <c r="K21" s="7" t="n">
        <v>42.7</v>
      </c>
      <c r="L21" s="7" t="n">
        <v>-74.03</v>
      </c>
      <c r="M21" s="7"/>
      <c r="N21" s="7"/>
      <c r="O21" s="7" t="n">
        <f aca="false">IF(OR(K21="",L21=""),"",ROUND(3959*ACOS(MIN(1,SIN(RADIANS(README!$B$3))*SIN(RADIANS(K21))+COS(RADIANS(README!$B$3))*COS(RADIANS(K21))*COS(RADIANS(L21-README!$B$4)))),1))</f>
        <v>12.7</v>
      </c>
      <c r="P21" s="7" t="str">
        <f aca="false">IF(OR(M21="",N21=""),"",ROUND(3959*ACOS(MIN(1,SIN(RADIANS(README!$B$3))*SIN(RADIANS(M21))+COS(RADIANS(README!$B$3))*COS(RADIANS(M21))*COS(RADIANS(N21-README!$B$4)))),1))</f>
        <v/>
      </c>
      <c r="Q21" s="7" t="n">
        <f aca="false">IF(O21="","",IF(P21="",O21,MIN(O21,P21)))</f>
        <v>12.7</v>
      </c>
      <c r="R21" s="7" t="str">
        <f aca="false">IF(Q21="","n/a",IF(Q21&lt;=README!$B$5,"Yes","No"))</f>
        <v>Yes</v>
      </c>
      <c r="S21" s="7" t="s">
        <v>985</v>
      </c>
      <c r="T21" s="7" t="s">
        <v>16</v>
      </c>
      <c r="U21" s="7" t="s">
        <v>2169</v>
      </c>
    </row>
    <row r="22" customFormat="false" ht="23.25" hidden="false" customHeight="true" outlineLevel="0" collapsed="false">
      <c r="A22" s="7" t="s">
        <v>2170</v>
      </c>
      <c r="B22" s="7" t="s">
        <v>2171</v>
      </c>
      <c r="C22" s="7" t="s">
        <v>2172</v>
      </c>
      <c r="D22" s="7" t="s">
        <v>2173</v>
      </c>
      <c r="E22" s="7" t="s">
        <v>979</v>
      </c>
      <c r="F22" s="7" t="s">
        <v>2115</v>
      </c>
      <c r="G22" s="7"/>
      <c r="H22" s="7"/>
      <c r="I22" s="7" t="n">
        <v>0</v>
      </c>
      <c r="J22" s="7" t="n">
        <v>0</v>
      </c>
      <c r="K22" s="7" t="n">
        <v>42.28</v>
      </c>
      <c r="L22" s="7" t="n">
        <v>-74.57</v>
      </c>
      <c r="M22" s="7"/>
      <c r="N22" s="7"/>
      <c r="O22" s="7" t="n">
        <f aca="false">IF(OR(K22="",L22=""),"",ROUND(3959*ACOS(MIN(1,SIN(RADIANS(README!$B$3))*SIN(RADIANS(K22))+COS(RADIANS(README!$B$3))*COS(RADIANS(K22))*COS(RADIANS(L22-README!$B$4)))),1))</f>
        <v>31.4</v>
      </c>
      <c r="P22" s="7" t="str">
        <f aca="false">IF(OR(M22="",N22=""),"",ROUND(3959*ACOS(MIN(1,SIN(RADIANS(README!$B$3))*SIN(RADIANS(M22))+COS(RADIANS(README!$B$3))*COS(RADIANS(M22))*COS(RADIANS(N22-README!$B$4)))),1))</f>
        <v/>
      </c>
      <c r="Q22" s="7" t="n">
        <f aca="false">IF(O22="","",IF(P22="",O22,MIN(O22,P22)))</f>
        <v>31.4</v>
      </c>
      <c r="R22" s="7" t="str">
        <f aca="false">IF(Q22="","n/a",IF(Q22&lt;=README!$B$5,"Yes","No"))</f>
        <v>No</v>
      </c>
      <c r="S22" s="7" t="s">
        <v>985</v>
      </c>
      <c r="T22" s="7" t="s">
        <v>16</v>
      </c>
      <c r="U22" s="7"/>
    </row>
    <row r="23" customFormat="false" ht="34.5" hidden="false" customHeight="true" outlineLevel="0" collapsed="false">
      <c r="A23" s="7" t="s">
        <v>1179</v>
      </c>
      <c r="B23" s="7"/>
      <c r="C23" s="7" t="s">
        <v>961</v>
      </c>
      <c r="D23" s="7" t="s">
        <v>2174</v>
      </c>
      <c r="E23" s="7" t="s">
        <v>2175</v>
      </c>
      <c r="F23" s="7"/>
      <c r="G23" s="7"/>
      <c r="H23" s="7"/>
      <c r="I23" s="7"/>
      <c r="J23" s="7"/>
      <c r="K23" s="7" t="n">
        <v>42.75</v>
      </c>
      <c r="L23" s="7" t="n">
        <v>-73.8</v>
      </c>
      <c r="M23" s="7"/>
      <c r="N23" s="7"/>
      <c r="O23" s="7" t="n">
        <f aca="false">IF(OR(K23="",L23=""),"",ROUND(3959*ACOS(MIN(1,SIN(RADIANS(README!$B$3))*SIN(RADIANS(K23))+COS(RADIANS(README!$B$3))*COS(RADIANS(K23))*COS(RADIANS(L23-README!$B$4)))),1))</f>
        <v>20.4</v>
      </c>
      <c r="P23" s="7" t="str">
        <f aca="false">IF(OR(M23="",N23=""),"",ROUND(3959*ACOS(MIN(1,SIN(RADIANS(README!$B$3))*SIN(RADIANS(M23))+COS(RADIANS(README!$B$3))*COS(RADIANS(M23))*COS(RADIANS(N23-README!$B$4)))),1))</f>
        <v/>
      </c>
      <c r="Q23" s="7" t="n">
        <f aca="false">IF(O23="","",IF(P23="",O23,MIN(O23,P23)))</f>
        <v>20.4</v>
      </c>
      <c r="R23" s="7" t="str">
        <f aca="false">IF(Q23="","n/a",IF(Q23&lt;=README!$B$5,"Yes","No"))</f>
        <v>Yes</v>
      </c>
      <c r="S23" s="7" t="s">
        <v>627</v>
      </c>
      <c r="T23" s="7" t="s">
        <v>16</v>
      </c>
      <c r="U23" s="7" t="s">
        <v>2131</v>
      </c>
    </row>
    <row r="24" customFormat="false" ht="23.25" hidden="false" customHeight="true" outlineLevel="0" collapsed="false">
      <c r="A24" s="7" t="s">
        <v>1194</v>
      </c>
      <c r="B24" s="7" t="s">
        <v>2176</v>
      </c>
      <c r="C24" s="7" t="s">
        <v>2177</v>
      </c>
      <c r="D24" s="7" t="s">
        <v>2178</v>
      </c>
      <c r="E24" s="7" t="s">
        <v>2179</v>
      </c>
      <c r="F24" s="7" t="s">
        <v>2142</v>
      </c>
      <c r="G24" s="7" t="n">
        <v>42</v>
      </c>
      <c r="H24" s="7" t="n">
        <v>1320</v>
      </c>
      <c r="I24" s="7" t="n">
        <v>0</v>
      </c>
      <c r="J24" s="7" t="n">
        <v>20</v>
      </c>
      <c r="K24" s="7" t="n">
        <v>42.83</v>
      </c>
      <c r="L24" s="7" t="n">
        <v>-74.53</v>
      </c>
      <c r="M24" s="7" t="n">
        <v>42.38</v>
      </c>
      <c r="N24" s="7" t="n">
        <v>-74.03</v>
      </c>
      <c r="O24" s="7" t="n">
        <f aca="false">IF(OR(K24="",L24=""),"",ROUND(3959*ACOS(MIN(1,SIN(RADIANS(README!$B$3))*SIN(RADIANS(K24))+COS(RADIANS(README!$B$3))*COS(RADIANS(K24))*COS(RADIANS(L24-README!$B$4)))),1))</f>
        <v>32.8</v>
      </c>
      <c r="P24" s="7" t="n">
        <f aca="false">IF(OR(M24="",N24=""),"",ROUND(3959*ACOS(MIN(1,SIN(RADIANS(README!$B$3))*SIN(RADIANS(M24))+COS(RADIANS(README!$B$3))*COS(RADIANS(M24))*COS(RADIANS(N24-README!$B$4)))),1))</f>
        <v>9.5</v>
      </c>
      <c r="Q24" s="7" t="n">
        <f aca="false">IF(O24="","",IF(P24="",O24,MIN(O24,P24)))</f>
        <v>9.5</v>
      </c>
      <c r="R24" s="7" t="str">
        <f aca="false">IF(Q24="","n/a",IF(Q24&lt;=README!$B$5,"Yes","No"))</f>
        <v>Yes</v>
      </c>
      <c r="S24" s="7" t="s">
        <v>2180</v>
      </c>
      <c r="T24" s="7" t="s">
        <v>16</v>
      </c>
      <c r="U24" s="7" t="s">
        <v>2181</v>
      </c>
    </row>
    <row r="25" customFormat="false" ht="23.25" hidden="false" customHeight="true" outlineLevel="0" collapsed="false">
      <c r="A25" s="7" t="s">
        <v>1202</v>
      </c>
      <c r="B25" s="7" t="s">
        <v>2182</v>
      </c>
      <c r="C25" s="7" t="s">
        <v>2137</v>
      </c>
      <c r="D25" s="7" t="s">
        <v>2138</v>
      </c>
      <c r="E25" s="7" t="s">
        <v>979</v>
      </c>
      <c r="F25" s="7" t="s">
        <v>2165</v>
      </c>
      <c r="G25" s="7" t="n">
        <v>0.1</v>
      </c>
      <c r="H25" s="7" t="n">
        <v>17</v>
      </c>
      <c r="I25" s="7" t="n">
        <v>0</v>
      </c>
      <c r="J25" s="7" t="n">
        <v>0</v>
      </c>
      <c r="K25" s="7" t="n">
        <v>42.95</v>
      </c>
      <c r="L25" s="7" t="n">
        <v>-73.43</v>
      </c>
      <c r="M25" s="7"/>
      <c r="N25" s="7"/>
      <c r="O25" s="7" t="n">
        <f aca="false">IF(OR(K25="",L25=""),"",ROUND(3959*ACOS(MIN(1,SIN(RADIANS(README!$B$3))*SIN(RADIANS(K25))+COS(RADIANS(README!$B$3))*COS(RADIANS(K25))*COS(RADIANS(L25-README!$B$4)))),1))</f>
        <v>43.2</v>
      </c>
      <c r="P25" s="7" t="str">
        <f aca="false">IF(OR(M25="",N25=""),"",ROUND(3959*ACOS(MIN(1,SIN(RADIANS(README!$B$3))*SIN(RADIANS(M25))+COS(RADIANS(README!$B$3))*COS(RADIANS(M25))*COS(RADIANS(N25-README!$B$4)))),1))</f>
        <v/>
      </c>
      <c r="Q25" s="7" t="n">
        <f aca="false">IF(O25="","",IF(P25="",O25,MIN(O25,P25)))</f>
        <v>43.2</v>
      </c>
      <c r="R25" s="7" t="str">
        <f aca="false">IF(Q25="","n/a",IF(Q25&lt;=README!$B$5,"Yes","No"))</f>
        <v>No</v>
      </c>
      <c r="S25" s="7" t="s">
        <v>985</v>
      </c>
      <c r="T25" s="7" t="s">
        <v>16</v>
      </c>
      <c r="U25" s="7" t="s">
        <v>2183</v>
      </c>
    </row>
    <row r="26" customFormat="false" ht="23.25" hidden="false" customHeight="true" outlineLevel="0" collapsed="false">
      <c r="A26" s="7" t="s">
        <v>2184</v>
      </c>
      <c r="B26" s="7" t="s">
        <v>2185</v>
      </c>
      <c r="C26" s="7" t="s">
        <v>2118</v>
      </c>
      <c r="D26" s="7" t="s">
        <v>2186</v>
      </c>
      <c r="E26" s="7" t="s">
        <v>979</v>
      </c>
      <c r="F26" s="7" t="s">
        <v>2165</v>
      </c>
      <c r="G26" s="7" t="n">
        <v>0.2</v>
      </c>
      <c r="H26" s="7" t="n">
        <v>10</v>
      </c>
      <c r="I26" s="7" t="n">
        <v>0</v>
      </c>
      <c r="J26" s="7" t="n">
        <v>1</v>
      </c>
      <c r="K26" s="7" t="n">
        <v>42.2</v>
      </c>
      <c r="L26" s="7" t="n">
        <v>-73.97</v>
      </c>
      <c r="M26" s="7"/>
      <c r="N26" s="7"/>
      <c r="O26" s="7" t="n">
        <f aca="false">IF(OR(K26="",L26=""),"",ROUND(3959*ACOS(MIN(1,SIN(RADIANS(README!$B$3))*SIN(RADIANS(K26))+COS(RADIANS(README!$B$3))*COS(RADIANS(K26))*COS(RADIANS(L26-README!$B$4)))),1))</f>
        <v>22.2</v>
      </c>
      <c r="P26" s="7" t="str">
        <f aca="false">IF(OR(M26="",N26=""),"",ROUND(3959*ACOS(MIN(1,SIN(RADIANS(README!$B$3))*SIN(RADIANS(M26))+COS(RADIANS(README!$B$3))*COS(RADIANS(M26))*COS(RADIANS(N26-README!$B$4)))),1))</f>
        <v/>
      </c>
      <c r="Q26" s="7" t="n">
        <f aca="false">IF(O26="","",IF(P26="",O26,MIN(O26,P26)))</f>
        <v>22.2</v>
      </c>
      <c r="R26" s="7" t="str">
        <f aca="false">IF(Q26="","n/a",IF(Q26&lt;=README!$B$5,"Yes","No"))</f>
        <v>Yes</v>
      </c>
      <c r="S26" s="7" t="s">
        <v>985</v>
      </c>
      <c r="T26" s="7" t="s">
        <v>16</v>
      </c>
      <c r="U26" s="7"/>
    </row>
    <row r="27" customFormat="false" ht="23.25" hidden="false" customHeight="true" outlineLevel="0" collapsed="false">
      <c r="A27" s="7" t="s">
        <v>2187</v>
      </c>
      <c r="B27" s="7" t="s">
        <v>2117</v>
      </c>
      <c r="C27" s="7" t="s">
        <v>310</v>
      </c>
      <c r="D27" s="7" t="s">
        <v>2188</v>
      </c>
      <c r="E27" s="7" t="s">
        <v>979</v>
      </c>
      <c r="F27" s="7" t="s">
        <v>2165</v>
      </c>
      <c r="G27" s="7" t="n">
        <v>0.3</v>
      </c>
      <c r="H27" s="7" t="n">
        <v>7</v>
      </c>
      <c r="I27" s="7" t="n">
        <v>0</v>
      </c>
      <c r="J27" s="7" t="n">
        <v>0</v>
      </c>
      <c r="K27" s="7" t="n">
        <v>42.75</v>
      </c>
      <c r="L27" s="7" t="n">
        <v>-74.1</v>
      </c>
      <c r="M27" s="7"/>
      <c r="N27" s="7"/>
      <c r="O27" s="7" t="n">
        <f aca="false">IF(OR(K27="",L27=""),"",ROUND(3959*ACOS(MIN(1,SIN(RADIANS(README!$B$3))*SIN(RADIANS(K27))+COS(RADIANS(README!$B$3))*COS(RADIANS(K27))*COS(RADIANS(L27-README!$B$4)))),1))</f>
        <v>16.3</v>
      </c>
      <c r="P27" s="7" t="str">
        <f aca="false">IF(OR(M27="",N27=""),"",ROUND(3959*ACOS(MIN(1,SIN(RADIANS(README!$B$3))*SIN(RADIANS(M27))+COS(RADIANS(README!$B$3))*COS(RADIANS(M27))*COS(RADIANS(N27-README!$B$4)))),1))</f>
        <v/>
      </c>
      <c r="Q27" s="7" t="n">
        <f aca="false">IF(O27="","",IF(P27="",O27,MIN(O27,P27)))</f>
        <v>16.3</v>
      </c>
      <c r="R27" s="7" t="str">
        <f aca="false">IF(Q27="","n/a",IF(Q27&lt;=README!$B$5,"Yes","No"))</f>
        <v>Yes</v>
      </c>
      <c r="S27" s="7" t="s">
        <v>985</v>
      </c>
      <c r="T27" s="7" t="s">
        <v>16</v>
      </c>
      <c r="U27" s="7" t="s">
        <v>2189</v>
      </c>
    </row>
    <row r="28" customFormat="false" ht="23.25" hidden="false" customHeight="true" outlineLevel="0" collapsed="false">
      <c r="A28" s="7" t="s">
        <v>2190</v>
      </c>
      <c r="B28" s="7" t="s">
        <v>2191</v>
      </c>
      <c r="C28" s="7" t="s">
        <v>2192</v>
      </c>
      <c r="D28" s="7" t="s">
        <v>2193</v>
      </c>
      <c r="E28" s="7" t="s">
        <v>979</v>
      </c>
      <c r="F28" s="7" t="s">
        <v>2110</v>
      </c>
      <c r="G28" s="7" t="n">
        <v>6</v>
      </c>
      <c r="H28" s="7" t="n">
        <v>73</v>
      </c>
      <c r="I28" s="7" t="n">
        <v>0</v>
      </c>
      <c r="J28" s="7" t="n">
        <v>0</v>
      </c>
      <c r="K28" s="7" t="n">
        <v>42.67</v>
      </c>
      <c r="L28" s="7" t="n">
        <v>-74.45</v>
      </c>
      <c r="M28" s="7" t="n">
        <v>42.6</v>
      </c>
      <c r="N28" s="7" t="n">
        <v>-74.35</v>
      </c>
      <c r="O28" s="7" t="n">
        <f aca="false">IF(OR(K28="",L28=""),"",ROUND(3959*ACOS(MIN(1,SIN(RADIANS(README!$B$3))*SIN(RADIANS(K28))+COS(RADIANS(README!$B$3))*COS(RADIANS(K28))*COS(RADIANS(L28-README!$B$4)))),1))</f>
        <v>23.2</v>
      </c>
      <c r="P28" s="7" t="n">
        <f aca="false">IF(OR(M28="",N28=""),"",ROUND(3959*ACOS(MIN(1,SIN(RADIANS(README!$B$3))*SIN(RADIANS(M28))+COS(RADIANS(README!$B$3))*COS(RADIANS(M28))*COS(RADIANS(N28-README!$B$4)))),1))</f>
        <v>16.5</v>
      </c>
      <c r="Q28" s="7" t="n">
        <f aca="false">IF(O28="","",IF(P28="",O28,MIN(O28,P28)))</f>
        <v>16.5</v>
      </c>
      <c r="R28" s="7" t="str">
        <f aca="false">IF(Q28="","n/a",IF(Q28&lt;=README!$B$5,"Yes","No"))</f>
        <v>Yes</v>
      </c>
      <c r="S28" s="7" t="s">
        <v>985</v>
      </c>
      <c r="T28" s="7" t="s">
        <v>16</v>
      </c>
      <c r="U28" s="7"/>
    </row>
    <row r="29" customFormat="false" ht="23.25" hidden="false" customHeight="true" outlineLevel="0" collapsed="false">
      <c r="A29" s="7" t="s">
        <v>2190</v>
      </c>
      <c r="B29" s="7" t="s">
        <v>2194</v>
      </c>
      <c r="C29" s="7" t="s">
        <v>2137</v>
      </c>
      <c r="D29" s="7" t="s">
        <v>2195</v>
      </c>
      <c r="E29" s="7" t="s">
        <v>979</v>
      </c>
      <c r="F29" s="7" t="s">
        <v>2110</v>
      </c>
      <c r="G29" s="7" t="n">
        <v>2</v>
      </c>
      <c r="H29" s="7" t="n">
        <v>100</v>
      </c>
      <c r="I29" s="7" t="n">
        <v>0</v>
      </c>
      <c r="J29" s="7" t="n">
        <v>0</v>
      </c>
      <c r="K29" s="7" t="n">
        <v>42.7</v>
      </c>
      <c r="L29" s="7" t="n">
        <v>-73.38</v>
      </c>
      <c r="M29" s="7"/>
      <c r="N29" s="7"/>
      <c r="O29" s="7" t="n">
        <f aca="false">IF(OR(K29="",L29=""),"",ROUND(3959*ACOS(MIN(1,SIN(RADIANS(README!$B$3))*SIN(RADIANS(K29))+COS(RADIANS(README!$B$3))*COS(RADIANS(K29))*COS(RADIANS(L29-README!$B$4)))),1))</f>
        <v>36.1</v>
      </c>
      <c r="P29" s="7" t="str">
        <f aca="false">IF(OR(M29="",N29=""),"",ROUND(3959*ACOS(MIN(1,SIN(RADIANS(README!$B$3))*SIN(RADIANS(M29))+COS(RADIANS(README!$B$3))*COS(RADIANS(M29))*COS(RADIANS(N29-README!$B$4)))),1))</f>
        <v/>
      </c>
      <c r="Q29" s="7" t="n">
        <f aca="false">IF(O29="","",IF(P29="",O29,MIN(O29,P29)))</f>
        <v>36.1</v>
      </c>
      <c r="R29" s="7" t="str">
        <f aca="false">IF(Q29="","n/a",IF(Q29&lt;=README!$B$5,"Yes","No"))</f>
        <v>No</v>
      </c>
      <c r="S29" s="7" t="s">
        <v>985</v>
      </c>
      <c r="T29" s="7" t="s">
        <v>16</v>
      </c>
      <c r="U29" s="7" t="s">
        <v>2196</v>
      </c>
    </row>
    <row r="30" customFormat="false" ht="23.25" hidden="false" customHeight="true" outlineLevel="0" collapsed="false">
      <c r="A30" s="7" t="s">
        <v>2197</v>
      </c>
      <c r="B30" s="7" t="s">
        <v>2198</v>
      </c>
      <c r="C30" s="7" t="s">
        <v>2199</v>
      </c>
      <c r="D30" s="7" t="s">
        <v>2200</v>
      </c>
      <c r="E30" s="7" t="s">
        <v>979</v>
      </c>
      <c r="F30" s="7" t="s">
        <v>2110</v>
      </c>
      <c r="G30" s="7"/>
      <c r="H30" s="7"/>
      <c r="I30" s="7" t="n">
        <v>0</v>
      </c>
      <c r="J30" s="7" t="n">
        <v>0</v>
      </c>
      <c r="K30" s="7" t="n">
        <v>42.93</v>
      </c>
      <c r="L30" s="7" t="n">
        <v>-74.18</v>
      </c>
      <c r="M30" s="7"/>
      <c r="N30" s="7"/>
      <c r="O30" s="7" t="n">
        <f aca="false">IF(OR(K30="",L30=""),"",ROUND(3959*ACOS(MIN(1,SIN(RADIANS(README!$B$3))*SIN(RADIANS(K30))+COS(RADIANS(README!$B$3))*COS(RADIANS(K30))*COS(RADIANS(L30-README!$B$4)))),1))</f>
        <v>29.3</v>
      </c>
      <c r="P30" s="7" t="str">
        <f aca="false">IF(OR(M30="",N30=""),"",ROUND(3959*ACOS(MIN(1,SIN(RADIANS(README!$B$3))*SIN(RADIANS(M30))+COS(RADIANS(README!$B$3))*COS(RADIANS(M30))*COS(RADIANS(N30-README!$B$4)))),1))</f>
        <v/>
      </c>
      <c r="Q30" s="7" t="n">
        <f aca="false">IF(O30="","",IF(P30="",O30,MIN(O30,P30)))</f>
        <v>29.3</v>
      </c>
      <c r="R30" s="7" t="str">
        <f aca="false">IF(Q30="","n/a",IF(Q30&lt;=README!$B$5,"Yes","No"))</f>
        <v>Yes</v>
      </c>
      <c r="S30" s="7" t="s">
        <v>985</v>
      </c>
      <c r="T30" s="7" t="s">
        <v>16</v>
      </c>
      <c r="U30" s="7"/>
    </row>
    <row r="31" customFormat="false" ht="23.25" hidden="false" customHeight="true" outlineLevel="0" collapsed="false">
      <c r="A31" s="7" t="s">
        <v>2201</v>
      </c>
      <c r="B31" s="7" t="s">
        <v>2202</v>
      </c>
      <c r="C31" s="7" t="s">
        <v>2203</v>
      </c>
      <c r="D31" s="7" t="s">
        <v>2204</v>
      </c>
      <c r="E31" s="7" t="s">
        <v>979</v>
      </c>
      <c r="F31" s="7" t="s">
        <v>2110</v>
      </c>
      <c r="G31" s="7"/>
      <c r="H31" s="7"/>
      <c r="I31" s="7" t="n">
        <v>0</v>
      </c>
      <c r="J31" s="7" t="n">
        <v>0</v>
      </c>
      <c r="K31" s="7" t="n">
        <v>42.08</v>
      </c>
      <c r="L31" s="7" t="n">
        <v>-73.95</v>
      </c>
      <c r="M31" s="7"/>
      <c r="N31" s="7"/>
      <c r="O31" s="7" t="n">
        <f aca="false">IF(OR(K31="",L31=""),"",ROUND(3959*ACOS(MIN(1,SIN(RADIANS(README!$B$3))*SIN(RADIANS(K31))+COS(RADIANS(README!$B$3))*COS(RADIANS(K31))*COS(RADIANS(L31-README!$B$4)))),1))</f>
        <v>30.6</v>
      </c>
      <c r="P31" s="7" t="str">
        <f aca="false">IF(OR(M31="",N31=""),"",ROUND(3959*ACOS(MIN(1,SIN(RADIANS(README!$B$3))*SIN(RADIANS(M31))+COS(RADIANS(README!$B$3))*COS(RADIANS(M31))*COS(RADIANS(N31-README!$B$4)))),1))</f>
        <v/>
      </c>
      <c r="Q31" s="7" t="n">
        <f aca="false">IF(O31="","",IF(P31="",O31,MIN(O31,P31)))</f>
        <v>30.6</v>
      </c>
      <c r="R31" s="7" t="str">
        <f aca="false">IF(Q31="","n/a",IF(Q31&lt;=README!$B$5,"Yes","No"))</f>
        <v>No</v>
      </c>
      <c r="S31" s="7" t="s">
        <v>985</v>
      </c>
      <c r="T31" s="7" t="s">
        <v>16</v>
      </c>
      <c r="U31" s="7"/>
    </row>
    <row r="32" customFormat="false" ht="23.25" hidden="false" customHeight="true" outlineLevel="0" collapsed="false">
      <c r="A32" s="7" t="s">
        <v>2205</v>
      </c>
      <c r="B32" s="7" t="s">
        <v>2185</v>
      </c>
      <c r="C32" s="7" t="s">
        <v>2137</v>
      </c>
      <c r="D32" s="7" t="s">
        <v>2138</v>
      </c>
      <c r="E32" s="7" t="s">
        <v>979</v>
      </c>
      <c r="F32" s="7" t="s">
        <v>2110</v>
      </c>
      <c r="G32" s="7" t="n">
        <v>1.5</v>
      </c>
      <c r="H32" s="7" t="n">
        <v>25</v>
      </c>
      <c r="I32" s="7" t="n">
        <v>0</v>
      </c>
      <c r="J32" s="7" t="n">
        <v>0</v>
      </c>
      <c r="K32" s="7" t="n">
        <v>42.95</v>
      </c>
      <c r="L32" s="7" t="n">
        <v>-73.4</v>
      </c>
      <c r="M32" s="7"/>
      <c r="N32" s="7"/>
      <c r="O32" s="7" t="n">
        <f aca="false">IF(OR(K32="",L32=""),"",ROUND(3959*ACOS(MIN(1,SIN(RADIANS(README!$B$3))*SIN(RADIANS(K32))+COS(RADIANS(README!$B$3))*COS(RADIANS(K32))*COS(RADIANS(L32-README!$B$4)))),1))</f>
        <v>44.3</v>
      </c>
      <c r="P32" s="7" t="str">
        <f aca="false">IF(OR(M32="",N32=""),"",ROUND(3959*ACOS(MIN(1,SIN(RADIANS(README!$B$3))*SIN(RADIANS(M32))+COS(RADIANS(README!$B$3))*COS(RADIANS(M32))*COS(RADIANS(N32-README!$B$4)))),1))</f>
        <v/>
      </c>
      <c r="Q32" s="7" t="n">
        <f aca="false">IF(O32="","",IF(P32="",O32,MIN(O32,P32)))</f>
        <v>44.3</v>
      </c>
      <c r="R32" s="7" t="str">
        <f aca="false">IF(Q32="","n/a",IF(Q32&lt;=README!$B$5,"Yes","No"))</f>
        <v>No</v>
      </c>
      <c r="S32" s="7" t="s">
        <v>985</v>
      </c>
      <c r="T32" s="7" t="s">
        <v>16</v>
      </c>
      <c r="U32" s="7"/>
    </row>
    <row r="33" customFormat="false" ht="23.25" hidden="false" customHeight="true" outlineLevel="0" collapsed="false">
      <c r="A33" s="7" t="s">
        <v>2206</v>
      </c>
      <c r="B33" s="7" t="s">
        <v>2207</v>
      </c>
      <c r="C33" s="7" t="s">
        <v>2100</v>
      </c>
      <c r="D33" s="7" t="s">
        <v>2208</v>
      </c>
      <c r="E33" s="7" t="s">
        <v>979</v>
      </c>
      <c r="F33" s="7" t="s">
        <v>2115</v>
      </c>
      <c r="G33" s="7" t="n">
        <v>15</v>
      </c>
      <c r="H33" s="7" t="n">
        <v>300</v>
      </c>
      <c r="I33" s="7" t="n">
        <v>0</v>
      </c>
      <c r="J33" s="7" t="n">
        <v>5</v>
      </c>
      <c r="K33" s="7" t="n">
        <v>42.2</v>
      </c>
      <c r="L33" s="7" t="n">
        <v>-73.78</v>
      </c>
      <c r="M33" s="7" t="n">
        <v>42.2</v>
      </c>
      <c r="N33" s="7" t="n">
        <v>-73.52</v>
      </c>
      <c r="O33" s="7" t="n">
        <f aca="false">IF(OR(K33="",L33=""),"",ROUND(3959*ACOS(MIN(1,SIN(RADIANS(README!$B$3))*SIN(RADIANS(K33))+COS(RADIANS(README!$B$3))*COS(RADIANS(K33))*COS(RADIANS(L33-README!$B$4)))),1))</f>
        <v>25.7</v>
      </c>
      <c r="P33" s="7" t="n">
        <f aca="false">IF(OR(M33="",N33=""),"",ROUND(3959*ACOS(MIN(1,SIN(RADIANS(README!$B$3))*SIN(RADIANS(M33))+COS(RADIANS(README!$B$3))*COS(RADIANS(M33))*COS(RADIANS(N33-README!$B$4)))),1))</f>
        <v>34.6</v>
      </c>
      <c r="Q33" s="7" t="n">
        <f aca="false">IF(O33="","",IF(P33="",O33,MIN(O33,P33)))</f>
        <v>25.7</v>
      </c>
      <c r="R33" s="7" t="str">
        <f aca="false">IF(Q33="","n/a",IF(Q33&lt;=README!$B$5,"Yes","No"))</f>
        <v>Yes</v>
      </c>
      <c r="S33" s="7" t="s">
        <v>985</v>
      </c>
      <c r="T33" s="7" t="s">
        <v>16</v>
      </c>
      <c r="U33" s="7"/>
    </row>
    <row r="34" customFormat="false" ht="15" hidden="false" customHeight="true" outlineLevel="0" collapsed="false">
      <c r="A34" s="7" t="s">
        <v>1241</v>
      </c>
      <c r="B34" s="7"/>
      <c r="C34" s="7" t="s">
        <v>2209</v>
      </c>
      <c r="D34" s="7" t="s">
        <v>1243</v>
      </c>
      <c r="E34" s="7" t="s">
        <v>1242</v>
      </c>
      <c r="F34" s="7" t="s">
        <v>2210</v>
      </c>
      <c r="G34" s="7"/>
      <c r="H34" s="7"/>
      <c r="I34" s="7" t="n">
        <v>1</v>
      </c>
      <c r="J34" s="7"/>
      <c r="K34" s="7" t="n">
        <v>42.75</v>
      </c>
      <c r="L34" s="7" t="n">
        <v>-73.8</v>
      </c>
      <c r="M34" s="7"/>
      <c r="N34" s="7"/>
      <c r="O34" s="7" t="n">
        <f aca="false">IF(OR(K34="",L34=""),"",ROUND(3959*ACOS(MIN(1,SIN(RADIANS(README!$B$3))*SIN(RADIANS(K34))+COS(RADIANS(README!$B$3))*COS(RADIANS(K34))*COS(RADIANS(L34-README!$B$4)))),1))</f>
        <v>20.4</v>
      </c>
      <c r="P34" s="7" t="str">
        <f aca="false">IF(OR(M34="",N34=""),"",ROUND(3959*ACOS(MIN(1,SIN(RADIANS(README!$B$3))*SIN(RADIANS(M34))+COS(RADIANS(README!$B$3))*COS(RADIANS(M34))*COS(RADIANS(N34-README!$B$4)))),1))</f>
        <v/>
      </c>
      <c r="Q34" s="7" t="n">
        <f aca="false">IF(O34="","",IF(P34="",O34,MIN(O34,P34)))</f>
        <v>20.4</v>
      </c>
      <c r="R34" s="7" t="str">
        <f aca="false">IF(Q34="","n/a",IF(Q34&lt;=README!$B$5,"Yes","No"))</f>
        <v>Yes</v>
      </c>
      <c r="S34" s="7" t="s">
        <v>1247</v>
      </c>
      <c r="T34" s="7" t="s">
        <v>16</v>
      </c>
      <c r="U34" s="7" t="s">
        <v>2211</v>
      </c>
    </row>
    <row r="35" customFormat="false" ht="23.25" hidden="false" customHeight="true" outlineLevel="0" collapsed="false">
      <c r="A35" s="7" t="s">
        <v>2212</v>
      </c>
      <c r="B35" s="7" t="s">
        <v>2213</v>
      </c>
      <c r="C35" s="7" t="s">
        <v>2100</v>
      </c>
      <c r="D35" s="7" t="s">
        <v>2161</v>
      </c>
      <c r="E35" s="7" t="s">
        <v>979</v>
      </c>
      <c r="F35" s="7" t="s">
        <v>2110</v>
      </c>
      <c r="G35" s="7" t="n">
        <v>5.3</v>
      </c>
      <c r="H35" s="7" t="n">
        <v>100</v>
      </c>
      <c r="I35" s="7" t="n">
        <v>0</v>
      </c>
      <c r="J35" s="7" t="n">
        <v>0</v>
      </c>
      <c r="K35" s="7" t="n">
        <v>42.12</v>
      </c>
      <c r="L35" s="7" t="n">
        <v>-73.6</v>
      </c>
      <c r="M35" s="7" t="n">
        <v>42.15</v>
      </c>
      <c r="N35" s="7" t="n">
        <v>-73.48</v>
      </c>
      <c r="O35" s="7" t="n">
        <f aca="false">IF(OR(K35="",L35=""),"",ROUND(3959*ACOS(MIN(1,SIN(RADIANS(README!$B$3))*SIN(RADIANS(K35))+COS(RADIANS(README!$B$3))*COS(RADIANS(K35))*COS(RADIANS(L35-README!$B$4)))),1))</f>
        <v>35.6</v>
      </c>
      <c r="P35" s="7" t="n">
        <f aca="false">IF(OR(M35="",N35=""),"",ROUND(3959*ACOS(MIN(1,SIN(RADIANS(README!$B$3))*SIN(RADIANS(M35))+COS(RADIANS(README!$B$3))*COS(RADIANS(M35))*COS(RADIANS(N35-README!$B$4)))),1))</f>
        <v>38.4</v>
      </c>
      <c r="Q35" s="7" t="n">
        <f aca="false">IF(O35="","",IF(P35="",O35,MIN(O35,P35)))</f>
        <v>35.6</v>
      </c>
      <c r="R35" s="7" t="str">
        <f aca="false">IF(Q35="","n/a",IF(Q35&lt;=README!$B$5,"Yes","No"))</f>
        <v>No</v>
      </c>
      <c r="S35" s="7" t="s">
        <v>985</v>
      </c>
      <c r="T35" s="7" t="s">
        <v>16</v>
      </c>
      <c r="U35" s="7"/>
    </row>
    <row r="36" customFormat="false" ht="23.25" hidden="false" customHeight="true" outlineLevel="0" collapsed="false">
      <c r="A36" s="7" t="s">
        <v>2212</v>
      </c>
      <c r="B36" s="7" t="s">
        <v>2214</v>
      </c>
      <c r="C36" s="7" t="s">
        <v>2100</v>
      </c>
      <c r="D36" s="7" t="s">
        <v>2161</v>
      </c>
      <c r="E36" s="7" t="s">
        <v>979</v>
      </c>
      <c r="F36" s="7" t="s">
        <v>2110</v>
      </c>
      <c r="G36" s="7" t="n">
        <v>1.2</v>
      </c>
      <c r="H36" s="7" t="n">
        <v>200</v>
      </c>
      <c r="I36" s="7" t="n">
        <v>0</v>
      </c>
      <c r="J36" s="7" t="n">
        <v>0</v>
      </c>
      <c r="K36" s="7" t="n">
        <v>42.4</v>
      </c>
      <c r="L36" s="7" t="n">
        <v>-73.43</v>
      </c>
      <c r="M36" s="7" t="n">
        <v>42.4</v>
      </c>
      <c r="N36" s="7" t="n">
        <v>-73.42</v>
      </c>
      <c r="O36" s="7" t="n">
        <f aca="false">IF(OR(K36="",L36=""),"",ROUND(3959*ACOS(MIN(1,SIN(RADIANS(README!$B$3))*SIN(RADIANS(K36))+COS(RADIANS(README!$B$3))*COS(RADIANS(K36))*COS(RADIANS(L36-README!$B$4)))),1))</f>
        <v>32.4</v>
      </c>
      <c r="P36" s="7" t="n">
        <f aca="false">IF(OR(M36="",N36=""),"",ROUND(3959*ACOS(MIN(1,SIN(RADIANS(README!$B$3))*SIN(RADIANS(M36))+COS(RADIANS(README!$B$3))*COS(RADIANS(M36))*COS(RADIANS(N36-README!$B$4)))),1))</f>
        <v>32.9</v>
      </c>
      <c r="Q36" s="7" t="n">
        <f aca="false">IF(O36="","",IF(P36="",O36,MIN(O36,P36)))</f>
        <v>32.4</v>
      </c>
      <c r="R36" s="7" t="str">
        <f aca="false">IF(Q36="","n/a",IF(Q36&lt;=README!$B$5,"Yes","No"))</f>
        <v>No</v>
      </c>
      <c r="S36" s="7" t="s">
        <v>985</v>
      </c>
      <c r="T36" s="7" t="s">
        <v>16</v>
      </c>
      <c r="U36" s="7"/>
    </row>
    <row r="37" customFormat="false" ht="23.25" hidden="false" customHeight="true" outlineLevel="0" collapsed="false">
      <c r="A37" s="7" t="s">
        <v>2212</v>
      </c>
      <c r="B37" s="7" t="s">
        <v>2215</v>
      </c>
      <c r="C37" s="7" t="s">
        <v>2100</v>
      </c>
      <c r="D37" s="7" t="s">
        <v>2216</v>
      </c>
      <c r="E37" s="7" t="s">
        <v>979</v>
      </c>
      <c r="F37" s="7" t="s">
        <v>2115</v>
      </c>
      <c r="G37" s="7" t="n">
        <v>1</v>
      </c>
      <c r="H37" s="7" t="n">
        <v>100</v>
      </c>
      <c r="I37" s="7" t="n">
        <v>0</v>
      </c>
      <c r="J37" s="7" t="n">
        <v>0</v>
      </c>
      <c r="K37" s="7" t="n">
        <v>42.4</v>
      </c>
      <c r="L37" s="7" t="n">
        <v>-73.42</v>
      </c>
      <c r="M37" s="7" t="n">
        <v>42.38</v>
      </c>
      <c r="N37" s="7" t="n">
        <v>-73.57</v>
      </c>
      <c r="O37" s="7" t="n">
        <f aca="false">IF(OR(K37="",L37=""),"",ROUND(3959*ACOS(MIN(1,SIN(RADIANS(README!$B$3))*SIN(RADIANS(K37))+COS(RADIANS(README!$B$3))*COS(RADIANS(K37))*COS(RADIANS(L37-README!$B$4)))),1))</f>
        <v>32.9</v>
      </c>
      <c r="P37" s="7" t="n">
        <f aca="false">IF(OR(M37="",N37=""),"",ROUND(3959*ACOS(MIN(1,SIN(RADIANS(README!$B$3))*SIN(RADIANS(M37))+COS(RADIANS(README!$B$3))*COS(RADIANS(M37))*COS(RADIANS(N37-README!$B$4)))),1))</f>
        <v>26</v>
      </c>
      <c r="Q37" s="7" t="n">
        <f aca="false">IF(O37="","",IF(P37="",O37,MIN(O37,P37)))</f>
        <v>26</v>
      </c>
      <c r="R37" s="7" t="str">
        <f aca="false">IF(Q37="","n/a",IF(Q37&lt;=README!$B$5,"Yes","No"))</f>
        <v>Yes</v>
      </c>
      <c r="S37" s="7" t="s">
        <v>985</v>
      </c>
      <c r="T37" s="7" t="s">
        <v>16</v>
      </c>
      <c r="U37" s="7"/>
    </row>
    <row r="38" customFormat="false" ht="23.25" hidden="false" customHeight="true" outlineLevel="0" collapsed="false">
      <c r="A38" s="7" t="s">
        <v>1277</v>
      </c>
      <c r="B38" s="7" t="s">
        <v>2217</v>
      </c>
      <c r="C38" s="7" t="s">
        <v>2218</v>
      </c>
      <c r="D38" s="7" t="s">
        <v>2219</v>
      </c>
      <c r="E38" s="7" t="s">
        <v>979</v>
      </c>
      <c r="F38" s="7" t="s">
        <v>2127</v>
      </c>
      <c r="G38" s="7" t="n">
        <v>20.3</v>
      </c>
      <c r="H38" s="7" t="n">
        <v>970</v>
      </c>
      <c r="I38" s="7" t="n">
        <v>0</v>
      </c>
      <c r="J38" s="7" t="n">
        <v>68</v>
      </c>
      <c r="K38" s="7" t="n">
        <v>42.92</v>
      </c>
      <c r="L38" s="7" t="n">
        <v>-73.77</v>
      </c>
      <c r="M38" s="7" t="n">
        <v>42.93</v>
      </c>
      <c r="N38" s="7" t="n">
        <v>-73.27</v>
      </c>
      <c r="O38" s="7" t="n">
        <f aca="false">IF(OR(K38="",L38=""),"",ROUND(3959*ACOS(MIN(1,SIN(RADIANS(README!$B$3))*SIN(RADIANS(K38))+COS(RADIANS(README!$B$3))*COS(RADIANS(K38))*COS(RADIANS(L38-README!$B$4)))),1))</f>
        <v>31.1</v>
      </c>
      <c r="P38" s="7" t="n">
        <f aca="false">IF(OR(M38="",N38=""),"",ROUND(3959*ACOS(MIN(1,SIN(RADIANS(README!$B$3))*SIN(RADIANS(M38))+COS(RADIANS(README!$B$3))*COS(RADIANS(M38))*COS(RADIANS(N38-README!$B$4)))),1))</f>
        <v>48.6</v>
      </c>
      <c r="Q38" s="7" t="n">
        <f aca="false">IF(O38="","",IF(P38="",O38,MIN(O38,P38)))</f>
        <v>31.1</v>
      </c>
      <c r="R38" s="7" t="str">
        <f aca="false">IF(Q38="","n/a",IF(Q38&lt;=README!$B$5,"Yes","No"))</f>
        <v>No</v>
      </c>
      <c r="S38" s="7" t="s">
        <v>985</v>
      </c>
      <c r="T38" s="7" t="s">
        <v>16</v>
      </c>
      <c r="U38" s="7" t="s">
        <v>2220</v>
      </c>
    </row>
    <row r="39" customFormat="false" ht="23.25" hidden="false" customHeight="true" outlineLevel="0" collapsed="false">
      <c r="A39" s="7" t="s">
        <v>1277</v>
      </c>
      <c r="B39" s="7" t="s">
        <v>2221</v>
      </c>
      <c r="C39" s="7" t="s">
        <v>310</v>
      </c>
      <c r="D39" s="7" t="s">
        <v>2164</v>
      </c>
      <c r="E39" s="7" t="s">
        <v>979</v>
      </c>
      <c r="F39" s="7" t="s">
        <v>2110</v>
      </c>
      <c r="G39" s="7" t="n">
        <v>3.5</v>
      </c>
      <c r="H39" s="7" t="n">
        <v>75</v>
      </c>
      <c r="I39" s="7" t="n">
        <v>0</v>
      </c>
      <c r="J39" s="7" t="n">
        <v>0</v>
      </c>
      <c r="K39" s="7" t="n">
        <v>42.73</v>
      </c>
      <c r="L39" s="7" t="n">
        <v>-73.87</v>
      </c>
      <c r="M39" s="7" t="n">
        <v>42.75</v>
      </c>
      <c r="N39" s="7" t="n">
        <v>-73.77</v>
      </c>
      <c r="O39" s="7" t="n">
        <f aca="false">IF(OR(K39="",L39=""),"",ROUND(3959*ACOS(MIN(1,SIN(RADIANS(README!$B$3))*SIN(RADIANS(K39))+COS(RADIANS(README!$B$3))*COS(RADIANS(K39))*COS(RADIANS(L39-README!$B$4)))),1))</f>
        <v>17.2</v>
      </c>
      <c r="P39" s="7" t="n">
        <f aca="false">IF(OR(M39="",N39=""),"",ROUND(3959*ACOS(MIN(1,SIN(RADIANS(README!$B$3))*SIN(RADIANS(M39))+COS(RADIANS(README!$B$3))*COS(RADIANS(M39))*COS(RADIANS(N39-README!$B$4)))),1))</f>
        <v>21.3</v>
      </c>
      <c r="Q39" s="7" t="n">
        <f aca="false">IF(O39="","",IF(P39="",O39,MIN(O39,P39)))</f>
        <v>17.2</v>
      </c>
      <c r="R39" s="7" t="str">
        <f aca="false">IF(Q39="","n/a",IF(Q39&lt;=README!$B$5,"Yes","No"))</f>
        <v>Yes</v>
      </c>
      <c r="S39" s="7" t="s">
        <v>985</v>
      </c>
      <c r="T39" s="7" t="s">
        <v>16</v>
      </c>
      <c r="U39" s="7"/>
    </row>
    <row r="40" customFormat="false" ht="23.25" hidden="false" customHeight="true" outlineLevel="0" collapsed="false">
      <c r="A40" s="7" t="s">
        <v>1277</v>
      </c>
      <c r="B40" s="7" t="s">
        <v>2222</v>
      </c>
      <c r="C40" s="7" t="s">
        <v>2137</v>
      </c>
      <c r="D40" s="7" t="s">
        <v>2138</v>
      </c>
      <c r="E40" s="7" t="s">
        <v>979</v>
      </c>
      <c r="F40" s="7" t="s">
        <v>2115</v>
      </c>
      <c r="G40" s="7" t="n">
        <v>8</v>
      </c>
      <c r="H40" s="7" t="n">
        <v>200</v>
      </c>
      <c r="I40" s="7" t="n">
        <v>0</v>
      </c>
      <c r="J40" s="7" t="n">
        <v>0</v>
      </c>
      <c r="K40" s="7" t="n">
        <v>42.58</v>
      </c>
      <c r="L40" s="7" t="n">
        <v>-73.65</v>
      </c>
      <c r="M40" s="7" t="n">
        <v>42.6</v>
      </c>
      <c r="N40" s="7" t="n">
        <v>-73.52</v>
      </c>
      <c r="O40" s="7" t="n">
        <f aca="false">IF(OR(K40="",L40=""),"",ROUND(3959*ACOS(MIN(1,SIN(RADIANS(README!$B$3))*SIN(RADIANS(K40))+COS(RADIANS(README!$B$3))*COS(RADIANS(K40))*COS(RADIANS(L40-README!$B$4)))),1))</f>
        <v>20.6</v>
      </c>
      <c r="P40" s="7" t="n">
        <f aca="false">IF(OR(M40="",N40=""),"",ROUND(3959*ACOS(MIN(1,SIN(RADIANS(README!$B$3))*SIN(RADIANS(M40))+COS(RADIANS(README!$B$3))*COS(RADIANS(M40))*COS(RADIANS(N40-README!$B$4)))),1))</f>
        <v>27.3</v>
      </c>
      <c r="Q40" s="7" t="n">
        <f aca="false">IF(O40="","",IF(P40="",O40,MIN(O40,P40)))</f>
        <v>20.6</v>
      </c>
      <c r="R40" s="7" t="str">
        <f aca="false">IF(Q40="","n/a",IF(Q40&lt;=README!$B$5,"Yes","No"))</f>
        <v>Yes</v>
      </c>
      <c r="S40" s="7" t="s">
        <v>985</v>
      </c>
      <c r="T40" s="7" t="s">
        <v>16</v>
      </c>
      <c r="U40" s="7"/>
    </row>
    <row r="41" customFormat="false" ht="15" hidden="false" customHeight="true" outlineLevel="0" collapsed="false">
      <c r="A41" s="7" t="s">
        <v>2223</v>
      </c>
      <c r="B41" s="7"/>
      <c r="C41" s="7" t="s">
        <v>310</v>
      </c>
      <c r="D41" s="7" t="s">
        <v>2224</v>
      </c>
      <c r="E41" s="7" t="s">
        <v>2225</v>
      </c>
      <c r="F41" s="7"/>
      <c r="G41" s="7"/>
      <c r="H41" s="7"/>
      <c r="I41" s="7" t="n">
        <v>0</v>
      </c>
      <c r="J41" s="7" t="n">
        <v>9</v>
      </c>
      <c r="K41" s="7" t="n">
        <v>42.698</v>
      </c>
      <c r="L41" s="7" t="n">
        <v>-74.058</v>
      </c>
      <c r="M41" s="7"/>
      <c r="N41" s="7"/>
      <c r="O41" s="7" t="n">
        <f aca="false">IF(OR(K41="",L41=""),"",ROUND(3959*ACOS(MIN(1,SIN(RADIANS(README!$B$3))*SIN(RADIANS(K41))+COS(RADIANS(README!$B$3))*COS(RADIANS(K41))*COS(RADIANS(L41-README!$B$4)))),1))</f>
        <v>12.5</v>
      </c>
      <c r="P41" s="7" t="str">
        <f aca="false">IF(OR(M41="",N41=""),"",ROUND(3959*ACOS(MIN(1,SIN(RADIANS(README!$B$3))*SIN(RADIANS(M41))+COS(RADIANS(README!$B$3))*COS(RADIANS(M41))*COS(RADIANS(N41-README!$B$4)))),1))</f>
        <v/>
      </c>
      <c r="Q41" s="7" t="n">
        <f aca="false">IF(O41="","",IF(P41="",O41,MIN(O41,P41)))</f>
        <v>12.5</v>
      </c>
      <c r="R41" s="7" t="str">
        <f aca="false">IF(Q41="","n/a",IF(Q41&lt;=README!$B$5,"Yes","No"))</f>
        <v>Yes</v>
      </c>
      <c r="S41" s="7" t="s">
        <v>1247</v>
      </c>
      <c r="T41" s="7" t="s">
        <v>16</v>
      </c>
      <c r="U41" s="7" t="s">
        <v>2226</v>
      </c>
    </row>
    <row r="42" customFormat="false" ht="23.25" hidden="false" customHeight="true" outlineLevel="0" collapsed="false">
      <c r="A42" s="7" t="s">
        <v>1320</v>
      </c>
      <c r="B42" s="7" t="s">
        <v>2227</v>
      </c>
      <c r="C42" s="7" t="s">
        <v>2118</v>
      </c>
      <c r="D42" s="7" t="s">
        <v>2186</v>
      </c>
      <c r="E42" s="7" t="s">
        <v>979</v>
      </c>
      <c r="F42" s="7" t="s">
        <v>2110</v>
      </c>
      <c r="G42" s="7" t="n">
        <v>0.5</v>
      </c>
      <c r="H42" s="7" t="n">
        <v>50</v>
      </c>
      <c r="I42" s="7" t="n">
        <v>0</v>
      </c>
      <c r="J42" s="7" t="n">
        <v>0</v>
      </c>
      <c r="K42" s="7" t="n">
        <v>42.18</v>
      </c>
      <c r="L42" s="7" t="n">
        <v>-74.02</v>
      </c>
      <c r="M42" s="7"/>
      <c r="N42" s="7"/>
      <c r="O42" s="7" t="n">
        <f aca="false">IF(OR(K42="",L42=""),"",ROUND(3959*ACOS(MIN(1,SIN(RADIANS(README!$B$3))*SIN(RADIANS(K42))+COS(RADIANS(README!$B$3))*COS(RADIANS(K42))*COS(RADIANS(L42-README!$B$4)))),1))</f>
        <v>23.3</v>
      </c>
      <c r="P42" s="7" t="str">
        <f aca="false">IF(OR(M42="",N42=""),"",ROUND(3959*ACOS(MIN(1,SIN(RADIANS(README!$B$3))*SIN(RADIANS(M42))+COS(RADIANS(README!$B$3))*COS(RADIANS(M42))*COS(RADIANS(N42-README!$B$4)))),1))</f>
        <v/>
      </c>
      <c r="Q42" s="7" t="n">
        <f aca="false">IF(O42="","",IF(P42="",O42,MIN(O42,P42)))</f>
        <v>23.3</v>
      </c>
      <c r="R42" s="7" t="str">
        <f aca="false">IF(Q42="","n/a",IF(Q42&lt;=README!$B$5,"Yes","No"))</f>
        <v>Yes</v>
      </c>
      <c r="S42" s="7" t="s">
        <v>985</v>
      </c>
      <c r="T42" s="7" t="s">
        <v>16</v>
      </c>
      <c r="U42" s="7"/>
    </row>
    <row r="43" customFormat="false" ht="23.25" hidden="false" customHeight="true" outlineLevel="0" collapsed="false">
      <c r="A43" s="7" t="s">
        <v>1320</v>
      </c>
      <c r="B43" s="7" t="s">
        <v>2228</v>
      </c>
      <c r="C43" s="7" t="s">
        <v>2118</v>
      </c>
      <c r="D43" s="7" t="s">
        <v>2229</v>
      </c>
      <c r="E43" s="7" t="s">
        <v>979</v>
      </c>
      <c r="F43" s="7" t="s">
        <v>2115</v>
      </c>
      <c r="G43" s="7" t="n">
        <v>1.5</v>
      </c>
      <c r="H43" s="7" t="n">
        <v>150</v>
      </c>
      <c r="I43" s="7" t="n">
        <v>0</v>
      </c>
      <c r="J43" s="7" t="n">
        <v>7</v>
      </c>
      <c r="K43" s="7" t="n">
        <v>42.2</v>
      </c>
      <c r="L43" s="7" t="n">
        <v>-73.97</v>
      </c>
      <c r="M43" s="7" t="n">
        <v>42.22</v>
      </c>
      <c r="N43" s="7" t="n">
        <v>-73.87</v>
      </c>
      <c r="O43" s="7" t="n">
        <f aca="false">IF(OR(K43="",L43=""),"",ROUND(3959*ACOS(MIN(1,SIN(RADIANS(README!$B$3))*SIN(RADIANS(K43))+COS(RADIANS(README!$B$3))*COS(RADIANS(K43))*COS(RADIANS(L43-README!$B$4)))),1))</f>
        <v>22.2</v>
      </c>
      <c r="P43" s="7" t="n">
        <f aca="false">IF(OR(M43="",N43=""),"",ROUND(3959*ACOS(MIN(1,SIN(RADIANS(README!$B$3))*SIN(RADIANS(M43))+COS(RADIANS(README!$B$3))*COS(RADIANS(M43))*COS(RADIANS(N43-README!$B$4)))),1))</f>
        <v>22.4</v>
      </c>
      <c r="Q43" s="7" t="n">
        <f aca="false">IF(O43="","",IF(P43="",O43,MIN(O43,P43)))</f>
        <v>22.2</v>
      </c>
      <c r="R43" s="7" t="str">
        <f aca="false">IF(Q43="","n/a",IF(Q43&lt;=README!$B$5,"Yes","No"))</f>
        <v>Yes</v>
      </c>
      <c r="S43" s="7" t="s">
        <v>985</v>
      </c>
      <c r="T43" s="7" t="s">
        <v>16</v>
      </c>
      <c r="U43" s="7" t="s">
        <v>2230</v>
      </c>
    </row>
    <row r="44" customFormat="false" ht="23.25" hidden="false" customHeight="true" outlineLevel="0" collapsed="false">
      <c r="A44" s="7" t="s">
        <v>1320</v>
      </c>
      <c r="B44" s="7" t="s">
        <v>2231</v>
      </c>
      <c r="C44" s="7" t="s">
        <v>2118</v>
      </c>
      <c r="D44" s="7" t="s">
        <v>2186</v>
      </c>
      <c r="E44" s="7" t="s">
        <v>979</v>
      </c>
      <c r="F44" s="7" t="s">
        <v>2110</v>
      </c>
      <c r="G44" s="7" t="n">
        <v>0.5</v>
      </c>
      <c r="H44" s="7" t="n">
        <v>50</v>
      </c>
      <c r="I44" s="7" t="n">
        <v>0</v>
      </c>
      <c r="J44" s="7" t="n">
        <v>0</v>
      </c>
      <c r="K44" s="7" t="n">
        <v>42.27</v>
      </c>
      <c r="L44" s="7" t="n">
        <v>-73.82</v>
      </c>
      <c r="M44" s="7"/>
      <c r="N44" s="7"/>
      <c r="O44" s="7" t="n">
        <f aca="false">IF(OR(K44="",L44=""),"",ROUND(3959*ACOS(MIN(1,SIN(RADIANS(README!$B$3))*SIN(RADIANS(K44))+COS(RADIANS(README!$B$3))*COS(RADIANS(K44))*COS(RADIANS(L44-README!$B$4)))),1))</f>
        <v>20.6</v>
      </c>
      <c r="P44" s="7" t="str">
        <f aca="false">IF(OR(M44="",N44=""),"",ROUND(3959*ACOS(MIN(1,SIN(RADIANS(README!$B$3))*SIN(RADIANS(M44))+COS(RADIANS(README!$B$3))*COS(RADIANS(M44))*COS(RADIANS(N44-README!$B$4)))),1))</f>
        <v/>
      </c>
      <c r="Q44" s="7" t="n">
        <f aca="false">IF(O44="","",IF(P44="",O44,MIN(O44,P44)))</f>
        <v>20.6</v>
      </c>
      <c r="R44" s="7" t="str">
        <f aca="false">IF(Q44="","n/a",IF(Q44&lt;=README!$B$5,"Yes","No"))</f>
        <v>Yes</v>
      </c>
      <c r="S44" s="7" t="s">
        <v>985</v>
      </c>
      <c r="T44" s="7" t="s">
        <v>16</v>
      </c>
      <c r="U44" s="7"/>
    </row>
    <row r="45" customFormat="false" ht="23.25" hidden="false" customHeight="true" outlineLevel="0" collapsed="false">
      <c r="A45" s="7" t="s">
        <v>1320</v>
      </c>
      <c r="B45" s="7" t="s">
        <v>2120</v>
      </c>
      <c r="C45" s="7" t="s">
        <v>2118</v>
      </c>
      <c r="D45" s="7" t="s">
        <v>2186</v>
      </c>
      <c r="E45" s="7" t="s">
        <v>979</v>
      </c>
      <c r="F45" s="7" t="s">
        <v>2110</v>
      </c>
      <c r="G45" s="7" t="n">
        <v>0.5</v>
      </c>
      <c r="H45" s="7" t="n">
        <v>150</v>
      </c>
      <c r="I45" s="7" t="n">
        <v>0</v>
      </c>
      <c r="J45" s="7" t="n">
        <v>0</v>
      </c>
      <c r="K45" s="7" t="n">
        <v>42.35</v>
      </c>
      <c r="L45" s="7" t="n">
        <v>-73.8</v>
      </c>
      <c r="M45" s="7"/>
      <c r="N45" s="7"/>
      <c r="O45" s="7" t="n">
        <f aca="false">IF(OR(K45="",L45=""),"",ROUND(3959*ACOS(MIN(1,SIN(RADIANS(README!$B$3))*SIN(RADIANS(K45))+COS(RADIANS(README!$B$3))*COS(RADIANS(K45))*COS(RADIANS(L45-README!$B$4)))),1))</f>
        <v>17</v>
      </c>
      <c r="P45" s="7" t="str">
        <f aca="false">IF(OR(M45="",N45=""),"",ROUND(3959*ACOS(MIN(1,SIN(RADIANS(README!$B$3))*SIN(RADIANS(M45))+COS(RADIANS(README!$B$3))*COS(RADIANS(M45))*COS(RADIANS(N45-README!$B$4)))),1))</f>
        <v/>
      </c>
      <c r="Q45" s="7" t="n">
        <f aca="false">IF(O45="","",IF(P45="",O45,MIN(O45,P45)))</f>
        <v>17</v>
      </c>
      <c r="R45" s="7" t="str">
        <f aca="false">IF(Q45="","n/a",IF(Q45&lt;=README!$B$5,"Yes","No"))</f>
        <v>Yes</v>
      </c>
      <c r="S45" s="7" t="s">
        <v>985</v>
      </c>
      <c r="T45" s="7" t="s">
        <v>16</v>
      </c>
      <c r="U45" s="7"/>
    </row>
    <row r="46" customFormat="false" ht="23.25" hidden="false" customHeight="true" outlineLevel="0" collapsed="false">
      <c r="A46" s="7" t="s">
        <v>1320</v>
      </c>
      <c r="B46" s="7" t="s">
        <v>2232</v>
      </c>
      <c r="C46" s="7" t="s">
        <v>2100</v>
      </c>
      <c r="D46" s="7" t="s">
        <v>2161</v>
      </c>
      <c r="E46" s="7" t="s">
        <v>979</v>
      </c>
      <c r="F46" s="7" t="s">
        <v>2110</v>
      </c>
      <c r="G46" s="7" t="n">
        <v>1.8</v>
      </c>
      <c r="H46" s="7" t="n">
        <v>90</v>
      </c>
      <c r="I46" s="7" t="n">
        <v>0</v>
      </c>
      <c r="J46" s="7" t="n">
        <v>0</v>
      </c>
      <c r="K46" s="7" t="n">
        <v>42.43</v>
      </c>
      <c r="L46" s="7" t="n">
        <v>-73.67</v>
      </c>
      <c r="M46" s="7"/>
      <c r="N46" s="7"/>
      <c r="O46" s="7" t="n">
        <f aca="false">IF(OR(K46="",L46=""),"",ROUND(3959*ACOS(MIN(1,SIN(RADIANS(README!$B$3))*SIN(RADIANS(K46))+COS(RADIANS(README!$B$3))*COS(RADIANS(K46))*COS(RADIANS(L46-README!$B$4)))),1))</f>
        <v>20</v>
      </c>
      <c r="P46" s="7" t="str">
        <f aca="false">IF(OR(M46="",N46=""),"",ROUND(3959*ACOS(MIN(1,SIN(RADIANS(README!$B$3))*SIN(RADIANS(M46))+COS(RADIANS(README!$B$3))*COS(RADIANS(M46))*COS(RADIANS(N46-README!$B$4)))),1))</f>
        <v/>
      </c>
      <c r="Q46" s="7" t="n">
        <f aca="false">IF(O46="","",IF(P46="",O46,MIN(O46,P46)))</f>
        <v>20</v>
      </c>
      <c r="R46" s="7" t="str">
        <f aca="false">IF(Q46="","n/a",IF(Q46&lt;=README!$B$5,"Yes","No"))</f>
        <v>Yes</v>
      </c>
      <c r="S46" s="7" t="s">
        <v>985</v>
      </c>
      <c r="T46" s="7" t="s">
        <v>16</v>
      </c>
      <c r="U46" s="7"/>
    </row>
    <row r="47" customFormat="false" ht="23.25" hidden="false" customHeight="true" outlineLevel="0" collapsed="false">
      <c r="A47" s="7" t="s">
        <v>1320</v>
      </c>
      <c r="B47" s="7" t="s">
        <v>2233</v>
      </c>
      <c r="C47" s="7" t="s">
        <v>2100</v>
      </c>
      <c r="D47" s="7" t="s">
        <v>2161</v>
      </c>
      <c r="E47" s="7" t="s">
        <v>979</v>
      </c>
      <c r="F47" s="7" t="s">
        <v>2165</v>
      </c>
      <c r="G47" s="7" t="n">
        <v>0.4</v>
      </c>
      <c r="H47" s="7" t="n">
        <v>125</v>
      </c>
      <c r="I47" s="7" t="n">
        <v>0</v>
      </c>
      <c r="J47" s="7" t="n">
        <v>0</v>
      </c>
      <c r="K47" s="7" t="n">
        <v>42.35</v>
      </c>
      <c r="L47" s="7" t="n">
        <v>-73.78</v>
      </c>
      <c r="M47" s="7"/>
      <c r="N47" s="7"/>
      <c r="O47" s="7" t="n">
        <f aca="false">IF(OR(K47="",L47=""),"",ROUND(3959*ACOS(MIN(1,SIN(RADIANS(README!$B$3))*SIN(RADIANS(K47))+COS(RADIANS(README!$B$3))*COS(RADIANS(K47))*COS(RADIANS(L47-README!$B$4)))),1))</f>
        <v>17.8</v>
      </c>
      <c r="P47" s="7" t="str">
        <f aca="false">IF(OR(M47="",N47=""),"",ROUND(3959*ACOS(MIN(1,SIN(RADIANS(README!$B$3))*SIN(RADIANS(M47))+COS(RADIANS(README!$B$3))*COS(RADIANS(M47))*COS(RADIANS(N47-README!$B$4)))),1))</f>
        <v/>
      </c>
      <c r="Q47" s="7" t="n">
        <f aca="false">IF(O47="","",IF(P47="",O47,MIN(O47,P47)))</f>
        <v>17.8</v>
      </c>
      <c r="R47" s="7" t="str">
        <f aca="false">IF(Q47="","n/a",IF(Q47&lt;=README!$B$5,"Yes","No"))</f>
        <v>Yes</v>
      </c>
      <c r="S47" s="7" t="s">
        <v>985</v>
      </c>
      <c r="T47" s="7" t="s">
        <v>16</v>
      </c>
      <c r="U47" s="7"/>
    </row>
    <row r="48" customFormat="false" ht="23.25" hidden="false" customHeight="true" outlineLevel="0" collapsed="false">
      <c r="A48" s="7" t="s">
        <v>1320</v>
      </c>
      <c r="B48" s="7" t="s">
        <v>2234</v>
      </c>
      <c r="C48" s="7" t="s">
        <v>2100</v>
      </c>
      <c r="D48" s="7" t="s">
        <v>2161</v>
      </c>
      <c r="E48" s="7" t="s">
        <v>979</v>
      </c>
      <c r="F48" s="7" t="s">
        <v>2165</v>
      </c>
      <c r="G48" s="7" t="n">
        <v>0.5</v>
      </c>
      <c r="H48" s="7" t="n">
        <v>60</v>
      </c>
      <c r="I48" s="7" t="n">
        <v>0</v>
      </c>
      <c r="J48" s="7" t="n">
        <v>0</v>
      </c>
      <c r="K48" s="7" t="n">
        <v>42.38</v>
      </c>
      <c r="L48" s="7" t="n">
        <v>-73.78</v>
      </c>
      <c r="M48" s="7"/>
      <c r="N48" s="7"/>
      <c r="O48" s="7" t="n">
        <f aca="false">IF(OR(K48="",L48=""),"",ROUND(3959*ACOS(MIN(1,SIN(RADIANS(README!$B$3))*SIN(RADIANS(K48))+COS(RADIANS(README!$B$3))*COS(RADIANS(K48))*COS(RADIANS(L48-README!$B$4)))),1))</f>
        <v>16.5</v>
      </c>
      <c r="P48" s="7" t="str">
        <f aca="false">IF(OR(M48="",N48=""),"",ROUND(3959*ACOS(MIN(1,SIN(RADIANS(README!$B$3))*SIN(RADIANS(M48))+COS(RADIANS(README!$B$3))*COS(RADIANS(M48))*COS(RADIANS(N48-README!$B$4)))),1))</f>
        <v/>
      </c>
      <c r="Q48" s="7" t="n">
        <f aca="false">IF(O48="","",IF(P48="",O48,MIN(O48,P48)))</f>
        <v>16.5</v>
      </c>
      <c r="R48" s="7" t="str">
        <f aca="false">IF(Q48="","n/a",IF(Q48&lt;=README!$B$5,"Yes","No"))</f>
        <v>Yes</v>
      </c>
      <c r="S48" s="7" t="s">
        <v>985</v>
      </c>
      <c r="T48" s="7" t="s">
        <v>16</v>
      </c>
      <c r="U48" s="7"/>
    </row>
    <row r="49" customFormat="false" ht="23.25" hidden="false" customHeight="true" outlineLevel="0" collapsed="false">
      <c r="A49" s="7" t="s">
        <v>1320</v>
      </c>
      <c r="B49" s="7" t="s">
        <v>2235</v>
      </c>
      <c r="C49" s="7" t="s">
        <v>2100</v>
      </c>
      <c r="D49" s="7" t="s">
        <v>2161</v>
      </c>
      <c r="E49" s="7" t="s">
        <v>979</v>
      </c>
      <c r="F49" s="7" t="s">
        <v>2165</v>
      </c>
      <c r="G49" s="7" t="n">
        <v>4</v>
      </c>
      <c r="H49" s="7" t="n">
        <v>50</v>
      </c>
      <c r="I49" s="7" t="n">
        <v>0</v>
      </c>
      <c r="J49" s="7" t="n">
        <v>0</v>
      </c>
      <c r="K49" s="7" t="n">
        <v>42.38</v>
      </c>
      <c r="L49" s="7" t="n">
        <v>-73.78</v>
      </c>
      <c r="M49" s="7"/>
      <c r="N49" s="7"/>
      <c r="O49" s="7" t="n">
        <f aca="false">IF(OR(K49="",L49=""),"",ROUND(3959*ACOS(MIN(1,SIN(RADIANS(README!$B$3))*SIN(RADIANS(K49))+COS(RADIANS(README!$B$3))*COS(RADIANS(K49))*COS(RADIANS(L49-README!$B$4)))),1))</f>
        <v>16.5</v>
      </c>
      <c r="P49" s="7" t="str">
        <f aca="false">IF(OR(M49="",N49=""),"",ROUND(3959*ACOS(MIN(1,SIN(RADIANS(README!$B$3))*SIN(RADIANS(M49))+COS(RADIANS(README!$B$3))*COS(RADIANS(M49))*COS(RADIANS(N49-README!$B$4)))),1))</f>
        <v/>
      </c>
      <c r="Q49" s="7" t="n">
        <f aca="false">IF(O49="","",IF(P49="",O49,MIN(O49,P49)))</f>
        <v>16.5</v>
      </c>
      <c r="R49" s="7" t="str">
        <f aca="false">IF(Q49="","n/a",IF(Q49&lt;=README!$B$5,"Yes","No"))</f>
        <v>Yes</v>
      </c>
      <c r="S49" s="7" t="s">
        <v>985</v>
      </c>
      <c r="T49" s="7" t="s">
        <v>16</v>
      </c>
      <c r="U49" s="7"/>
    </row>
    <row r="50" customFormat="false" ht="23.25" hidden="false" customHeight="true" outlineLevel="0" collapsed="false">
      <c r="A50" s="7" t="s">
        <v>1320</v>
      </c>
      <c r="B50" s="7" t="s">
        <v>2235</v>
      </c>
      <c r="C50" s="7" t="s">
        <v>2100</v>
      </c>
      <c r="D50" s="7" t="s">
        <v>2161</v>
      </c>
      <c r="E50" s="7" t="s">
        <v>979</v>
      </c>
      <c r="F50" s="7" t="s">
        <v>2165</v>
      </c>
      <c r="G50" s="7" t="n">
        <v>0.5</v>
      </c>
      <c r="H50" s="7" t="n">
        <v>60</v>
      </c>
      <c r="I50" s="7" t="n">
        <v>0</v>
      </c>
      <c r="J50" s="7" t="n">
        <v>0</v>
      </c>
      <c r="K50" s="7" t="n">
        <v>42.4</v>
      </c>
      <c r="L50" s="7" t="n">
        <v>-73.7</v>
      </c>
      <c r="M50" s="7"/>
      <c r="N50" s="7"/>
      <c r="O50" s="7" t="n">
        <f aca="false">IF(OR(K50="",L50=""),"",ROUND(3959*ACOS(MIN(1,SIN(RADIANS(README!$B$3))*SIN(RADIANS(K50))+COS(RADIANS(README!$B$3))*COS(RADIANS(K50))*COS(RADIANS(L50-README!$B$4)))),1))</f>
        <v>19.4</v>
      </c>
      <c r="P50" s="7" t="str">
        <f aca="false">IF(OR(M50="",N50=""),"",ROUND(3959*ACOS(MIN(1,SIN(RADIANS(README!$B$3))*SIN(RADIANS(M50))+COS(RADIANS(README!$B$3))*COS(RADIANS(M50))*COS(RADIANS(N50-README!$B$4)))),1))</f>
        <v/>
      </c>
      <c r="Q50" s="7" t="n">
        <f aca="false">IF(O50="","",IF(P50="",O50,MIN(O50,P50)))</f>
        <v>19.4</v>
      </c>
      <c r="R50" s="7" t="str">
        <f aca="false">IF(Q50="","n/a",IF(Q50&lt;=README!$B$5,"Yes","No"))</f>
        <v>Yes</v>
      </c>
      <c r="S50" s="7" t="s">
        <v>985</v>
      </c>
      <c r="T50" s="7" t="s">
        <v>16</v>
      </c>
      <c r="U50" s="7"/>
    </row>
    <row r="51" customFormat="false" ht="23.25" hidden="false" customHeight="true" outlineLevel="0" collapsed="false">
      <c r="A51" s="7" t="s">
        <v>1320</v>
      </c>
      <c r="B51" s="7" t="s">
        <v>2236</v>
      </c>
      <c r="C51" s="7" t="s">
        <v>2100</v>
      </c>
      <c r="D51" s="7" t="s">
        <v>2161</v>
      </c>
      <c r="E51" s="7" t="s">
        <v>979</v>
      </c>
      <c r="F51" s="7" t="s">
        <v>2115</v>
      </c>
      <c r="G51" s="7" t="n">
        <v>1.3</v>
      </c>
      <c r="H51" s="7" t="n">
        <v>50</v>
      </c>
      <c r="I51" s="7" t="n">
        <v>0</v>
      </c>
      <c r="J51" s="7" t="n">
        <v>1</v>
      </c>
      <c r="K51" s="7" t="n">
        <v>42.4</v>
      </c>
      <c r="L51" s="7" t="n">
        <v>-73.7</v>
      </c>
      <c r="M51" s="7"/>
      <c r="N51" s="7"/>
      <c r="O51" s="7" t="n">
        <f aca="false">IF(OR(K51="",L51=""),"",ROUND(3959*ACOS(MIN(1,SIN(RADIANS(README!$B$3))*SIN(RADIANS(K51))+COS(RADIANS(README!$B$3))*COS(RADIANS(K51))*COS(RADIANS(L51-README!$B$4)))),1))</f>
        <v>19.4</v>
      </c>
      <c r="P51" s="7" t="str">
        <f aca="false">IF(OR(M51="",N51=""),"",ROUND(3959*ACOS(MIN(1,SIN(RADIANS(README!$B$3))*SIN(RADIANS(M51))+COS(RADIANS(README!$B$3))*COS(RADIANS(M51))*COS(RADIANS(N51-README!$B$4)))),1))</f>
        <v/>
      </c>
      <c r="Q51" s="7" t="n">
        <f aca="false">IF(O51="","",IF(P51="",O51,MIN(O51,P51)))</f>
        <v>19.4</v>
      </c>
      <c r="R51" s="7" t="str">
        <f aca="false">IF(Q51="","n/a",IF(Q51&lt;=README!$B$5,"Yes","No"))</f>
        <v>Yes</v>
      </c>
      <c r="S51" s="7" t="s">
        <v>985</v>
      </c>
      <c r="T51" s="7" t="s">
        <v>16</v>
      </c>
      <c r="U51" s="7"/>
    </row>
    <row r="52" customFormat="false" ht="23.25" hidden="false" customHeight="true" outlineLevel="0" collapsed="false">
      <c r="A52" s="7" t="s">
        <v>1320</v>
      </c>
      <c r="B52" s="7" t="s">
        <v>2237</v>
      </c>
      <c r="C52" s="7" t="s">
        <v>2137</v>
      </c>
      <c r="D52" s="7" t="s">
        <v>2238</v>
      </c>
      <c r="E52" s="7" t="s">
        <v>979</v>
      </c>
      <c r="F52" s="7" t="s">
        <v>2110</v>
      </c>
      <c r="G52" s="7" t="n">
        <v>4.8</v>
      </c>
      <c r="H52" s="7" t="n">
        <v>90</v>
      </c>
      <c r="I52" s="7" t="n">
        <v>0</v>
      </c>
      <c r="J52" s="7" t="n">
        <v>0</v>
      </c>
      <c r="K52" s="7" t="n">
        <v>42.52</v>
      </c>
      <c r="L52" s="7" t="n">
        <v>-73.62</v>
      </c>
      <c r="M52" s="7" t="n">
        <v>42.9</v>
      </c>
      <c r="N52" s="7" t="n">
        <v>-73.58</v>
      </c>
      <c r="O52" s="7" t="n">
        <f aca="false">IF(OR(K52="",L52=""),"",ROUND(3959*ACOS(MIN(1,SIN(RADIANS(README!$B$3))*SIN(RADIANS(K52))+COS(RADIANS(README!$B$3))*COS(RADIANS(K52))*COS(RADIANS(L52-README!$B$4)))),1))</f>
        <v>21.6</v>
      </c>
      <c r="P52" s="7" t="n">
        <f aca="false">IF(OR(M52="",N52=""),"",ROUND(3959*ACOS(MIN(1,SIN(RADIANS(README!$B$3))*SIN(RADIANS(M52))+COS(RADIANS(README!$B$3))*COS(RADIANS(M52))*COS(RADIANS(N52-README!$B$4)))),1))</f>
        <v>35.5</v>
      </c>
      <c r="Q52" s="7" t="n">
        <f aca="false">IF(O52="","",IF(P52="",O52,MIN(O52,P52)))</f>
        <v>21.6</v>
      </c>
      <c r="R52" s="7" t="str">
        <f aca="false">IF(Q52="","n/a",IF(Q52&lt;=README!$B$5,"Yes","No"))</f>
        <v>Yes</v>
      </c>
      <c r="S52" s="7" t="s">
        <v>985</v>
      </c>
      <c r="T52" s="7" t="s">
        <v>16</v>
      </c>
      <c r="U52" s="7"/>
    </row>
    <row r="53" customFormat="false" ht="23.25" hidden="false" customHeight="true" outlineLevel="0" collapsed="false">
      <c r="A53" s="7" t="s">
        <v>2239</v>
      </c>
      <c r="B53" s="7" t="s">
        <v>2240</v>
      </c>
      <c r="C53" s="7" t="s">
        <v>2100</v>
      </c>
      <c r="D53" s="7" t="s">
        <v>2161</v>
      </c>
      <c r="E53" s="7" t="s">
        <v>979</v>
      </c>
      <c r="F53" s="7" t="s">
        <v>2241</v>
      </c>
      <c r="G53" s="7" t="n">
        <v>1.9</v>
      </c>
      <c r="H53" s="7" t="n">
        <v>300</v>
      </c>
      <c r="I53" s="7" t="n">
        <v>0</v>
      </c>
      <c r="J53" s="7" t="n">
        <v>0</v>
      </c>
      <c r="K53" s="7" t="n">
        <v>42.27</v>
      </c>
      <c r="L53" s="7" t="n">
        <v>-73.66</v>
      </c>
      <c r="M53" s="7" t="n">
        <v>42.29</v>
      </c>
      <c r="N53" s="7" t="n">
        <v>-73.65</v>
      </c>
      <c r="O53" s="7" t="n">
        <f aca="false">IF(OR(K53="",L53=""),"",ROUND(3959*ACOS(MIN(1,SIN(RADIANS(README!$B$3))*SIN(RADIANS(K53))+COS(RADIANS(README!$B$3))*COS(RADIANS(K53))*COS(RADIANS(L53-README!$B$4)))),1))</f>
        <v>26</v>
      </c>
      <c r="P53" s="7" t="n">
        <f aca="false">IF(OR(M53="",N53=""),"",ROUND(3959*ACOS(MIN(1,SIN(RADIANS(README!$B$3))*SIN(RADIANS(M53))+COS(RADIANS(README!$B$3))*COS(RADIANS(M53))*COS(RADIANS(N53-README!$B$4)))),1))</f>
        <v>25.5</v>
      </c>
      <c r="Q53" s="7" t="n">
        <f aca="false">IF(O53="","",IF(P53="",O53,MIN(O53,P53)))</f>
        <v>25.5</v>
      </c>
      <c r="R53" s="7" t="str">
        <f aca="false">IF(Q53="","n/a",IF(Q53&lt;=README!$B$5,"Yes","No"))</f>
        <v>Yes</v>
      </c>
      <c r="S53" s="7" t="s">
        <v>985</v>
      </c>
      <c r="T53" s="7" t="s">
        <v>16</v>
      </c>
      <c r="U53" s="7" t="s">
        <v>2242</v>
      </c>
    </row>
    <row r="54" customFormat="false" ht="23.25" hidden="false" customHeight="true" outlineLevel="0" collapsed="false">
      <c r="A54" s="7" t="s">
        <v>2243</v>
      </c>
      <c r="B54" s="7" t="s">
        <v>2244</v>
      </c>
      <c r="C54" s="7" t="s">
        <v>2245</v>
      </c>
      <c r="D54" s="7" t="s">
        <v>2246</v>
      </c>
      <c r="E54" s="7" t="s">
        <v>979</v>
      </c>
      <c r="F54" s="7" t="s">
        <v>2241</v>
      </c>
      <c r="G54" s="7"/>
      <c r="H54" s="7"/>
      <c r="I54" s="7" t="n">
        <v>0</v>
      </c>
      <c r="J54" s="7" t="n">
        <v>0</v>
      </c>
      <c r="K54" s="7" t="n">
        <v>42.9</v>
      </c>
      <c r="L54" s="7" t="n">
        <v>-74.17</v>
      </c>
      <c r="M54" s="7" t="n">
        <v>42.95</v>
      </c>
      <c r="N54" s="7" t="n">
        <v>-74.05</v>
      </c>
      <c r="O54" s="7" t="n">
        <f aca="false">IF(OR(K54="",L54=""),"",ROUND(3959*ACOS(MIN(1,SIN(RADIANS(README!$B$3))*SIN(RADIANS(K54))+COS(RADIANS(README!$B$3))*COS(RADIANS(K54))*COS(RADIANS(L54-README!$B$4)))),1))</f>
        <v>27.2</v>
      </c>
      <c r="P54" s="7" t="n">
        <f aca="false">IF(OR(M54="",N54=""),"",ROUND(3959*ACOS(MIN(1,SIN(RADIANS(README!$B$3))*SIN(RADIANS(M54))+COS(RADIANS(README!$B$3))*COS(RADIANS(M54))*COS(RADIANS(N54-README!$B$4)))),1))</f>
        <v>29.9</v>
      </c>
      <c r="Q54" s="7" t="n">
        <f aca="false">IF(O54="","",IF(P54="",O54,MIN(O54,P54)))</f>
        <v>27.2</v>
      </c>
      <c r="R54" s="7" t="str">
        <f aca="false">IF(Q54="","n/a",IF(Q54&lt;=README!$B$5,"Yes","No"))</f>
        <v>Yes</v>
      </c>
      <c r="S54" s="7" t="s">
        <v>985</v>
      </c>
      <c r="T54" s="7" t="s">
        <v>16</v>
      </c>
      <c r="U54" s="7"/>
    </row>
    <row r="55" customFormat="false" ht="15" hidden="false" customHeight="true" outlineLevel="0" collapsed="false">
      <c r="A55" s="7" t="s">
        <v>1532</v>
      </c>
      <c r="B55" s="7" t="s">
        <v>2247</v>
      </c>
      <c r="C55" s="7" t="s">
        <v>2192</v>
      </c>
      <c r="D55" s="7" t="s">
        <v>2248</v>
      </c>
      <c r="E55" s="7" t="s">
        <v>979</v>
      </c>
      <c r="F55" s="7" t="s">
        <v>2241</v>
      </c>
      <c r="G55" s="7" t="n">
        <v>1.6</v>
      </c>
      <c r="H55" s="7" t="n">
        <v>200</v>
      </c>
      <c r="I55" s="7" t="n">
        <v>0</v>
      </c>
      <c r="J55" s="7" t="n">
        <v>0</v>
      </c>
      <c r="K55" s="7" t="n">
        <v>42.57</v>
      </c>
      <c r="L55" s="7" t="n">
        <v>-74.55</v>
      </c>
      <c r="M55" s="7"/>
      <c r="N55" s="7"/>
      <c r="O55" s="7" t="n">
        <f aca="false">IF(OR(K55="",L55=""),"",ROUND(3959*ACOS(MIN(1,SIN(RADIANS(README!$B$3))*SIN(RADIANS(K55))+COS(RADIANS(README!$B$3))*COS(RADIANS(K55))*COS(RADIANS(L55-README!$B$4)))),1))</f>
        <v>26</v>
      </c>
      <c r="P55" s="7" t="str">
        <f aca="false">IF(OR(M55="",N55=""),"",ROUND(3959*ACOS(MIN(1,SIN(RADIANS(README!$B$3))*SIN(RADIANS(M55))+COS(RADIANS(README!$B$3))*COS(RADIANS(M55))*COS(RADIANS(N55-README!$B$4)))),1))</f>
        <v/>
      </c>
      <c r="Q55" s="7" t="n">
        <f aca="false">IF(O55="","",IF(P55="",O55,MIN(O55,P55)))</f>
        <v>26</v>
      </c>
      <c r="R55" s="7" t="str">
        <f aca="false">IF(Q55="","n/a",IF(Q55&lt;=README!$B$5,"Yes","No"))</f>
        <v>Yes</v>
      </c>
      <c r="S55" s="7" t="s">
        <v>2249</v>
      </c>
      <c r="T55" s="7" t="s">
        <v>18</v>
      </c>
      <c r="U55" s="7" t="s">
        <v>2250</v>
      </c>
    </row>
    <row r="56" customFormat="false" ht="23.25" hidden="false" customHeight="true" outlineLevel="0" collapsed="false">
      <c r="A56" s="7" t="s">
        <v>1532</v>
      </c>
      <c r="B56" s="7"/>
      <c r="C56" s="7" t="s">
        <v>2245</v>
      </c>
      <c r="D56" s="7" t="s">
        <v>2251</v>
      </c>
      <c r="E56" s="7" t="s">
        <v>979</v>
      </c>
      <c r="F56" s="7" t="s">
        <v>2252</v>
      </c>
      <c r="G56" s="7"/>
      <c r="H56" s="7" t="n">
        <v>1760</v>
      </c>
      <c r="I56" s="7" t="n">
        <v>0</v>
      </c>
      <c r="J56" s="7" t="n">
        <v>0</v>
      </c>
      <c r="K56" s="7" t="n">
        <v>42.85</v>
      </c>
      <c r="L56" s="7" t="n">
        <v>-74.07</v>
      </c>
      <c r="M56" s="7" t="n">
        <v>42.81</v>
      </c>
      <c r="N56" s="7" t="n">
        <v>-73.94</v>
      </c>
      <c r="O56" s="7" t="n">
        <f aca="false">IF(OR(K56="",L56=""),"",ROUND(3959*ACOS(MIN(1,SIN(RADIANS(README!$B$3))*SIN(RADIANS(K56))+COS(RADIANS(README!$B$3))*COS(RADIANS(K56))*COS(RADIANS(L56-README!$B$4)))),1))</f>
        <v>23</v>
      </c>
      <c r="P56" s="7" t="n">
        <f aca="false">IF(OR(M56="",N56=""),"",ROUND(3959*ACOS(MIN(1,SIN(RADIANS(README!$B$3))*SIN(RADIANS(M56))+COS(RADIANS(README!$B$3))*COS(RADIANS(M56))*COS(RADIANS(N56-README!$B$4)))),1))</f>
        <v>20.9</v>
      </c>
      <c r="Q56" s="7" t="n">
        <f aca="false">IF(O56="","",IF(P56="",O56,MIN(O56,P56)))</f>
        <v>20.9</v>
      </c>
      <c r="R56" s="7" t="str">
        <f aca="false">IF(Q56="","n/a",IF(Q56&lt;=README!$B$5,"Yes","No"))</f>
        <v>Yes</v>
      </c>
      <c r="S56" s="7" t="s">
        <v>2249</v>
      </c>
      <c r="T56" s="7" t="s">
        <v>18</v>
      </c>
      <c r="U56" s="7" t="s">
        <v>2253</v>
      </c>
    </row>
    <row r="57" customFormat="false" ht="15" hidden="false" customHeight="true" outlineLevel="0" collapsed="false">
      <c r="A57" s="7" t="s">
        <v>1532</v>
      </c>
      <c r="B57" s="7"/>
      <c r="C57" s="7" t="s">
        <v>2254</v>
      </c>
      <c r="D57" s="7" t="s">
        <v>2255</v>
      </c>
      <c r="E57" s="7" t="s">
        <v>979</v>
      </c>
      <c r="F57" s="7" t="s">
        <v>2241</v>
      </c>
      <c r="G57" s="7"/>
      <c r="H57" s="7"/>
      <c r="I57" s="7" t="n">
        <v>0</v>
      </c>
      <c r="J57" s="7" t="n">
        <v>0</v>
      </c>
      <c r="K57" s="7" t="n">
        <v>42.79</v>
      </c>
      <c r="L57" s="7" t="n">
        <v>-73.8</v>
      </c>
      <c r="M57" s="7"/>
      <c r="N57" s="7"/>
      <c r="O57" s="7" t="n">
        <f aca="false">IF(OR(K57="",L57=""),"",ROUND(3959*ACOS(MIN(1,SIN(RADIANS(README!$B$3))*SIN(RADIANS(K57))+COS(RADIANS(README!$B$3))*COS(RADIANS(K57))*COS(RADIANS(L57-README!$B$4)))),1))</f>
        <v>22.6</v>
      </c>
      <c r="P57" s="7" t="str">
        <f aca="false">IF(OR(M57="",N57=""),"",ROUND(3959*ACOS(MIN(1,SIN(RADIANS(README!$B$3))*SIN(RADIANS(M57))+COS(RADIANS(README!$B$3))*COS(RADIANS(M57))*COS(RADIANS(N57-README!$B$4)))),1))</f>
        <v/>
      </c>
      <c r="Q57" s="7" t="n">
        <f aca="false">IF(O57="","",IF(P57="",O57,MIN(O57,P57)))</f>
        <v>22.6</v>
      </c>
      <c r="R57" s="7" t="str">
        <f aca="false">IF(Q57="","n/a",IF(Q57&lt;=README!$B$5,"Yes","No"))</f>
        <v>Yes</v>
      </c>
      <c r="S57" s="7" t="s">
        <v>2249</v>
      </c>
      <c r="T57" s="7" t="s">
        <v>18</v>
      </c>
      <c r="U57" s="7" t="s">
        <v>2256</v>
      </c>
    </row>
    <row r="58" customFormat="false" ht="15" hidden="false" customHeight="true" outlineLevel="0" collapsed="false">
      <c r="A58" s="7" t="s">
        <v>1551</v>
      </c>
      <c r="B58" s="7"/>
      <c r="C58" s="7" t="s">
        <v>310</v>
      </c>
      <c r="D58" s="7" t="s">
        <v>2257</v>
      </c>
      <c r="E58" s="7" t="s">
        <v>979</v>
      </c>
      <c r="F58" s="7" t="s">
        <v>2241</v>
      </c>
      <c r="G58" s="7" t="n">
        <v>0.5</v>
      </c>
      <c r="H58" s="7" t="n">
        <v>440</v>
      </c>
      <c r="I58" s="7" t="n">
        <v>0</v>
      </c>
      <c r="J58" s="7" t="n">
        <v>0</v>
      </c>
      <c r="K58" s="7" t="n">
        <v>42.78</v>
      </c>
      <c r="L58" s="7" t="n">
        <v>-74.13</v>
      </c>
      <c r="M58" s="7"/>
      <c r="N58" s="7"/>
      <c r="O58" s="7" t="n">
        <f aca="false">IF(OR(K58="",L58=""),"",ROUND(3959*ACOS(MIN(1,SIN(RADIANS(README!$B$3))*SIN(RADIANS(K58))+COS(RADIANS(README!$B$3))*COS(RADIANS(K58))*COS(RADIANS(L58-README!$B$4)))),1))</f>
        <v>18.7</v>
      </c>
      <c r="P58" s="7" t="str">
        <f aca="false">IF(OR(M58="",N58=""),"",ROUND(3959*ACOS(MIN(1,SIN(RADIANS(README!$B$3))*SIN(RADIANS(M58))+COS(RADIANS(README!$B$3))*COS(RADIANS(M58))*COS(RADIANS(N58-README!$B$4)))),1))</f>
        <v/>
      </c>
      <c r="Q58" s="7" t="n">
        <f aca="false">IF(O58="","",IF(P58="",O58,MIN(O58,P58)))</f>
        <v>18.7</v>
      </c>
      <c r="R58" s="7" t="str">
        <f aca="false">IF(Q58="","n/a",IF(Q58&lt;=README!$B$5,"Yes","No"))</f>
        <v>Yes</v>
      </c>
      <c r="S58" s="7" t="s">
        <v>2258</v>
      </c>
      <c r="T58" s="7" t="s">
        <v>18</v>
      </c>
      <c r="U58" s="7" t="s">
        <v>2259</v>
      </c>
    </row>
    <row r="59" customFormat="false" ht="15" hidden="false" customHeight="true" outlineLevel="0" collapsed="false">
      <c r="A59" s="7" t="s">
        <v>1551</v>
      </c>
      <c r="B59" s="7" t="s">
        <v>2260</v>
      </c>
      <c r="C59" s="7" t="s">
        <v>675</v>
      </c>
      <c r="D59" s="7" t="s">
        <v>2261</v>
      </c>
      <c r="E59" s="7" t="s">
        <v>979</v>
      </c>
      <c r="F59" s="7" t="s">
        <v>2262</v>
      </c>
      <c r="G59" s="7"/>
      <c r="H59" s="7"/>
      <c r="I59" s="7" t="n">
        <v>0</v>
      </c>
      <c r="J59" s="7" t="n">
        <v>0</v>
      </c>
      <c r="K59" s="7" t="n">
        <v>42.85</v>
      </c>
      <c r="L59" s="7" t="n">
        <v>-74.13</v>
      </c>
      <c r="M59" s="7"/>
      <c r="N59" s="7"/>
      <c r="O59" s="7" t="n">
        <f aca="false">IF(OR(K59="",L59=""),"",ROUND(3959*ACOS(MIN(1,SIN(RADIANS(README!$B$3))*SIN(RADIANS(K59))+COS(RADIANS(README!$B$3))*COS(RADIANS(K59))*COS(RADIANS(L59-README!$B$4)))),1))</f>
        <v>23.4</v>
      </c>
      <c r="P59" s="7" t="str">
        <f aca="false">IF(OR(M59="",N59=""),"",ROUND(3959*ACOS(MIN(1,SIN(RADIANS(README!$B$3))*SIN(RADIANS(M59))+COS(RADIANS(README!$B$3))*COS(RADIANS(M59))*COS(RADIANS(N59-README!$B$4)))),1))</f>
        <v/>
      </c>
      <c r="Q59" s="7" t="n">
        <f aca="false">IF(O59="","",IF(P59="",O59,MIN(O59,P59)))</f>
        <v>23.4</v>
      </c>
      <c r="R59" s="7" t="str">
        <f aca="false">IF(Q59="","n/a",IF(Q59&lt;=README!$B$5,"Yes","No"))</f>
        <v>Yes</v>
      </c>
      <c r="S59" s="7" t="s">
        <v>2249</v>
      </c>
      <c r="T59" s="7" t="s">
        <v>18</v>
      </c>
      <c r="U59" s="7" t="s">
        <v>2263</v>
      </c>
    </row>
    <row r="60" customFormat="false" ht="34.5" hidden="false" customHeight="true" outlineLevel="0" collapsed="false">
      <c r="A60" s="7" t="s">
        <v>2264</v>
      </c>
      <c r="B60" s="7"/>
      <c r="C60" s="7" t="s">
        <v>961</v>
      </c>
      <c r="D60" s="7" t="s">
        <v>2265</v>
      </c>
      <c r="E60" s="7" t="s">
        <v>2266</v>
      </c>
      <c r="F60" s="7"/>
      <c r="G60" s="7"/>
      <c r="H60" s="7"/>
      <c r="I60" s="7"/>
      <c r="J60" s="7"/>
      <c r="K60" s="7" t="n">
        <v>42.75</v>
      </c>
      <c r="L60" s="7" t="n">
        <v>-73.8</v>
      </c>
      <c r="M60" s="7"/>
      <c r="N60" s="7"/>
      <c r="O60" s="7" t="n">
        <f aca="false">IF(OR(K60="",L60=""),"",ROUND(3959*ACOS(MIN(1,SIN(RADIANS(README!$B$3))*SIN(RADIANS(K60))+COS(RADIANS(README!$B$3))*COS(RADIANS(K60))*COS(RADIANS(L60-README!$B$4)))),1))</f>
        <v>20.4</v>
      </c>
      <c r="P60" s="7" t="str">
        <f aca="false">IF(OR(M60="",N60=""),"",ROUND(3959*ACOS(MIN(1,SIN(RADIANS(README!$B$3))*SIN(RADIANS(M60))+COS(RADIANS(README!$B$3))*COS(RADIANS(M60))*COS(RADIANS(N60-README!$B$4)))),1))</f>
        <v/>
      </c>
      <c r="Q60" s="7" t="n">
        <f aca="false">IF(O60="","",IF(P60="",O60,MIN(O60,P60)))</f>
        <v>20.4</v>
      </c>
      <c r="R60" s="7" t="str">
        <f aca="false">IF(Q60="","n/a",IF(Q60&lt;=README!$B$5,"Yes","No"))</f>
        <v>Yes</v>
      </c>
      <c r="S60" s="7" t="s">
        <v>627</v>
      </c>
      <c r="T60" s="7" t="s">
        <v>16</v>
      </c>
      <c r="U60" s="7"/>
    </row>
    <row r="61" customFormat="false" ht="15" hidden="false" customHeight="true" outlineLevel="0" collapsed="false">
      <c r="A61" s="7" t="s">
        <v>2267</v>
      </c>
      <c r="B61" s="7"/>
      <c r="C61" s="7" t="s">
        <v>675</v>
      </c>
      <c r="D61" s="7" t="s">
        <v>2268</v>
      </c>
      <c r="E61" s="7" t="s">
        <v>979</v>
      </c>
      <c r="F61" s="7" t="s">
        <v>2269</v>
      </c>
      <c r="G61" s="7"/>
      <c r="H61" s="7"/>
      <c r="I61" s="7" t="n">
        <v>0</v>
      </c>
      <c r="J61" s="7" t="n">
        <v>0</v>
      </c>
      <c r="K61" s="7" t="n">
        <v>42.83</v>
      </c>
      <c r="L61" s="7" t="n">
        <v>-73.96</v>
      </c>
      <c r="M61" s="7"/>
      <c r="N61" s="7"/>
      <c r="O61" s="7" t="n">
        <f aca="false">IF(OR(K61="",L61=""),"",ROUND(3959*ACOS(MIN(1,SIN(RADIANS(README!$B$3))*SIN(RADIANS(K61))+COS(RADIANS(README!$B$3))*COS(RADIANS(K61))*COS(RADIANS(L61-README!$B$4)))),1))</f>
        <v>22.1</v>
      </c>
      <c r="P61" s="7" t="str">
        <f aca="false">IF(OR(M61="",N61=""),"",ROUND(3959*ACOS(MIN(1,SIN(RADIANS(README!$B$3))*SIN(RADIANS(M61))+COS(RADIANS(README!$B$3))*COS(RADIANS(M61))*COS(RADIANS(N61-README!$B$4)))),1))</f>
        <v/>
      </c>
      <c r="Q61" s="7" t="n">
        <f aca="false">IF(O61="","",IF(P61="",O61,MIN(O61,P61)))</f>
        <v>22.1</v>
      </c>
      <c r="R61" s="7" t="str">
        <f aca="false">IF(Q61="","n/a",IF(Q61&lt;=README!$B$5,"Yes","No"))</f>
        <v>Yes</v>
      </c>
      <c r="S61" s="7" t="s">
        <v>2249</v>
      </c>
      <c r="T61" s="7" t="s">
        <v>18</v>
      </c>
      <c r="U61" s="7" t="s">
        <v>2270</v>
      </c>
    </row>
    <row r="62" customFormat="false" ht="34.5" hidden="false" customHeight="true" outlineLevel="0" collapsed="false">
      <c r="A62" s="7" t="s">
        <v>2271</v>
      </c>
      <c r="B62" s="7"/>
      <c r="C62" s="7" t="s">
        <v>2272</v>
      </c>
      <c r="D62" s="7" t="s">
        <v>2273</v>
      </c>
      <c r="E62" s="7" t="s">
        <v>2122</v>
      </c>
      <c r="F62" s="7"/>
      <c r="G62" s="7"/>
      <c r="H62" s="7"/>
      <c r="I62" s="7"/>
      <c r="J62" s="7"/>
      <c r="K62" s="7" t="n">
        <v>42.75</v>
      </c>
      <c r="L62" s="7" t="n">
        <v>-73.8</v>
      </c>
      <c r="M62" s="7"/>
      <c r="N62" s="7"/>
      <c r="O62" s="7" t="n">
        <f aca="false">IF(OR(K62="",L62=""),"",ROUND(3959*ACOS(MIN(1,SIN(RADIANS(README!$B$3))*SIN(RADIANS(K62))+COS(RADIANS(README!$B$3))*COS(RADIANS(K62))*COS(RADIANS(L62-README!$B$4)))),1))</f>
        <v>20.4</v>
      </c>
      <c r="P62" s="7" t="str">
        <f aca="false">IF(OR(M62="",N62=""),"",ROUND(3959*ACOS(MIN(1,SIN(RADIANS(README!$B$3))*SIN(RADIANS(M62))+COS(RADIANS(README!$B$3))*COS(RADIANS(M62))*COS(RADIANS(N62-README!$B$4)))),1))</f>
        <v/>
      </c>
      <c r="Q62" s="7" t="n">
        <f aca="false">IF(O62="","",IF(P62="",O62,MIN(O62,P62)))</f>
        <v>20.4</v>
      </c>
      <c r="R62" s="7" t="str">
        <f aca="false">IF(Q62="","n/a",IF(Q62&lt;=README!$B$5,"Yes","No"))</f>
        <v>Yes</v>
      </c>
      <c r="S62" s="7" t="s">
        <v>627</v>
      </c>
      <c r="T62" s="7" t="s">
        <v>16</v>
      </c>
      <c r="U62" s="7"/>
    </row>
    <row r="63" customFormat="false" ht="34.5" hidden="false" customHeight="true" outlineLevel="0" collapsed="false">
      <c r="A63" s="7" t="s">
        <v>2274</v>
      </c>
      <c r="B63" s="7"/>
      <c r="C63" s="7" t="s">
        <v>961</v>
      </c>
      <c r="D63" s="7" t="s">
        <v>1782</v>
      </c>
      <c r="E63" s="7" t="s">
        <v>2266</v>
      </c>
      <c r="F63" s="7"/>
      <c r="G63" s="7"/>
      <c r="H63" s="7"/>
      <c r="I63" s="7"/>
      <c r="J63" s="7"/>
      <c r="K63" s="7" t="n">
        <v>42.75</v>
      </c>
      <c r="L63" s="7" t="n">
        <v>-73.8</v>
      </c>
      <c r="M63" s="7"/>
      <c r="N63" s="7"/>
      <c r="O63" s="7" t="n">
        <f aca="false">IF(OR(K63="",L63=""),"",ROUND(3959*ACOS(MIN(1,SIN(RADIANS(README!$B$3))*SIN(RADIANS(K63))+COS(RADIANS(README!$B$3))*COS(RADIANS(K63))*COS(RADIANS(L63-README!$B$4)))),1))</f>
        <v>20.4</v>
      </c>
      <c r="P63" s="7" t="str">
        <f aca="false">IF(OR(M63="",N63=""),"",ROUND(3959*ACOS(MIN(1,SIN(RADIANS(README!$B$3))*SIN(RADIANS(M63))+COS(RADIANS(README!$B$3))*COS(RADIANS(M63))*COS(RADIANS(N63-README!$B$4)))),1))</f>
        <v/>
      </c>
      <c r="Q63" s="7" t="n">
        <f aca="false">IF(O63="","",IF(P63="",O63,MIN(O63,P63)))</f>
        <v>20.4</v>
      </c>
      <c r="R63" s="7" t="str">
        <f aca="false">IF(Q63="","n/a",IF(Q63&lt;=README!$B$5,"Yes","No"))</f>
        <v>Yes</v>
      </c>
      <c r="S63" s="7" t="s">
        <v>627</v>
      </c>
      <c r="T63" s="7" t="s">
        <v>16</v>
      </c>
      <c r="U63" s="7" t="s">
        <v>2275</v>
      </c>
    </row>
    <row r="64" customFormat="false" ht="34.5" hidden="false" customHeight="true" outlineLevel="0" collapsed="false">
      <c r="A64" s="7" t="s">
        <v>2276</v>
      </c>
      <c r="B64" s="7"/>
      <c r="C64" s="7" t="s">
        <v>961</v>
      </c>
      <c r="D64" s="7" t="s">
        <v>2277</v>
      </c>
      <c r="E64" s="7" t="s">
        <v>2266</v>
      </c>
      <c r="F64" s="7"/>
      <c r="G64" s="7"/>
      <c r="H64" s="7"/>
      <c r="I64" s="7"/>
      <c r="J64" s="7"/>
      <c r="K64" s="7" t="n">
        <v>42.75</v>
      </c>
      <c r="L64" s="7" t="n">
        <v>-73.8</v>
      </c>
      <c r="M64" s="7"/>
      <c r="N64" s="7"/>
      <c r="O64" s="7" t="n">
        <f aca="false">IF(OR(K64="",L64=""),"",ROUND(3959*ACOS(MIN(1,SIN(RADIANS(README!$B$3))*SIN(RADIANS(K64))+COS(RADIANS(README!$B$3))*COS(RADIANS(K64))*COS(RADIANS(L64-README!$B$4)))),1))</f>
        <v>20.4</v>
      </c>
      <c r="P64" s="7" t="str">
        <f aca="false">IF(OR(M64="",N64=""),"",ROUND(3959*ACOS(MIN(1,SIN(RADIANS(README!$B$3))*SIN(RADIANS(M64))+COS(RADIANS(README!$B$3))*COS(RADIANS(M64))*COS(RADIANS(N64-README!$B$4)))),1))</f>
        <v/>
      </c>
      <c r="Q64" s="7" t="n">
        <f aca="false">IF(O64="","",IF(P64="",O64,MIN(O64,P64)))</f>
        <v>20.4</v>
      </c>
      <c r="R64" s="7" t="str">
        <f aca="false">IF(Q64="","n/a",IF(Q64&lt;=README!$B$5,"Yes","No"))</f>
        <v>Yes</v>
      </c>
      <c r="S64" s="7" t="s">
        <v>627</v>
      </c>
      <c r="T64" s="7" t="s">
        <v>16</v>
      </c>
      <c r="U64" s="7" t="s">
        <v>2275</v>
      </c>
    </row>
    <row r="65" customFormat="false" ht="15" hidden="false" customHeight="true" outlineLevel="0" collapsed="false">
      <c r="A65" s="7" t="s">
        <v>2278</v>
      </c>
      <c r="B65" s="7" t="s">
        <v>2279</v>
      </c>
      <c r="C65" s="7" t="s">
        <v>2118</v>
      </c>
      <c r="D65" s="7" t="s">
        <v>2186</v>
      </c>
      <c r="E65" s="7" t="s">
        <v>979</v>
      </c>
      <c r="F65" s="7" t="s">
        <v>2269</v>
      </c>
      <c r="G65" s="7" t="n">
        <v>1.9</v>
      </c>
      <c r="H65" s="7" t="n">
        <v>67</v>
      </c>
      <c r="I65" s="7" t="n">
        <v>0</v>
      </c>
      <c r="J65" s="7" t="n">
        <v>0</v>
      </c>
      <c r="K65" s="7" t="n">
        <v>42.28</v>
      </c>
      <c r="L65" s="7" t="n">
        <v>-74.12</v>
      </c>
      <c r="M65" s="7"/>
      <c r="N65" s="7"/>
      <c r="O65" s="7" t="n">
        <f aca="false">IF(OR(K65="",L65=""),"",ROUND(3959*ACOS(MIN(1,SIN(RADIANS(README!$B$3))*SIN(RADIANS(K65))+COS(RADIANS(README!$B$3))*COS(RADIANS(K65))*COS(RADIANS(L65-README!$B$4)))),1))</f>
        <v>16.8</v>
      </c>
      <c r="P65" s="7" t="str">
        <f aca="false">IF(OR(M65="",N65=""),"",ROUND(3959*ACOS(MIN(1,SIN(RADIANS(README!$B$3))*SIN(RADIANS(M65))+COS(RADIANS(README!$B$3))*COS(RADIANS(M65))*COS(RADIANS(N65-README!$B$4)))),1))</f>
        <v/>
      </c>
      <c r="Q65" s="7" t="n">
        <f aca="false">IF(O65="","",IF(P65="",O65,MIN(O65,P65)))</f>
        <v>16.8</v>
      </c>
      <c r="R65" s="7" t="str">
        <f aca="false">IF(Q65="","n/a",IF(Q65&lt;=README!$B$5,"Yes","No"))</f>
        <v>Yes</v>
      </c>
      <c r="S65" s="7" t="s">
        <v>2280</v>
      </c>
      <c r="T65" s="7" t="s">
        <v>18</v>
      </c>
      <c r="U65" s="7" t="s">
        <v>2106</v>
      </c>
    </row>
    <row r="66" customFormat="false" ht="34.5" hidden="false" customHeight="true" outlineLevel="0" collapsed="false">
      <c r="A66" s="7" t="s">
        <v>1652</v>
      </c>
      <c r="B66" s="7"/>
      <c r="C66" s="7" t="s">
        <v>961</v>
      </c>
      <c r="D66" s="7" t="s">
        <v>2281</v>
      </c>
      <c r="E66" s="7" t="s">
        <v>2122</v>
      </c>
      <c r="F66" s="7"/>
      <c r="G66" s="7"/>
      <c r="H66" s="7"/>
      <c r="I66" s="7"/>
      <c r="J66" s="7"/>
      <c r="K66" s="7" t="n">
        <v>42.75</v>
      </c>
      <c r="L66" s="7" t="n">
        <v>-73.8</v>
      </c>
      <c r="M66" s="7"/>
      <c r="N66" s="7"/>
      <c r="O66" s="7" t="n">
        <f aca="false">IF(OR(K66="",L66=""),"",ROUND(3959*ACOS(MIN(1,SIN(RADIANS(README!$B$3))*SIN(RADIANS(K66))+COS(RADIANS(README!$B$3))*COS(RADIANS(K66))*COS(RADIANS(L66-README!$B$4)))),1))</f>
        <v>20.4</v>
      </c>
      <c r="P66" s="7" t="str">
        <f aca="false">IF(OR(M66="",N66=""),"",ROUND(3959*ACOS(MIN(1,SIN(RADIANS(README!$B$3))*SIN(RADIANS(M66))+COS(RADIANS(README!$B$3))*COS(RADIANS(M66))*COS(RADIANS(N66-README!$B$4)))),1))</f>
        <v/>
      </c>
      <c r="Q66" s="7" t="n">
        <f aca="false">IF(O66="","",IF(P66="",O66,MIN(O66,P66)))</f>
        <v>20.4</v>
      </c>
      <c r="R66" s="7" t="str">
        <f aca="false">IF(Q66="","n/a",IF(Q66&lt;=README!$B$5,"Yes","No"))</f>
        <v>Yes</v>
      </c>
      <c r="S66" s="7" t="s">
        <v>627</v>
      </c>
      <c r="T66" s="7" t="s">
        <v>16</v>
      </c>
      <c r="U66" s="7"/>
    </row>
    <row r="67" customFormat="false" ht="34.5" hidden="false" customHeight="true" outlineLevel="0" collapsed="false">
      <c r="A67" s="7" t="s">
        <v>1654</v>
      </c>
      <c r="B67" s="7"/>
      <c r="C67" s="7" t="s">
        <v>961</v>
      </c>
      <c r="D67" s="7" t="s">
        <v>2282</v>
      </c>
      <c r="E67" s="7" t="s">
        <v>2122</v>
      </c>
      <c r="F67" s="7" t="s">
        <v>2283</v>
      </c>
      <c r="G67" s="7"/>
      <c r="H67" s="7"/>
      <c r="I67" s="7"/>
      <c r="J67" s="7"/>
      <c r="K67" s="7" t="n">
        <v>42.75</v>
      </c>
      <c r="L67" s="7" t="n">
        <v>-73.8</v>
      </c>
      <c r="M67" s="7"/>
      <c r="N67" s="7"/>
      <c r="O67" s="7" t="n">
        <f aca="false">IF(OR(K67="",L67=""),"",ROUND(3959*ACOS(MIN(1,SIN(RADIANS(README!$B$3))*SIN(RADIANS(K67))+COS(RADIANS(README!$B$3))*COS(RADIANS(K67))*COS(RADIANS(L67-README!$B$4)))),1))</f>
        <v>20.4</v>
      </c>
      <c r="P67" s="7" t="str">
        <f aca="false">IF(OR(M67="",N67=""),"",ROUND(3959*ACOS(MIN(1,SIN(RADIANS(README!$B$3))*SIN(RADIANS(M67))+COS(RADIANS(README!$B$3))*COS(RADIANS(M67))*COS(RADIANS(N67-README!$B$4)))),1))</f>
        <v/>
      </c>
      <c r="Q67" s="7" t="n">
        <f aca="false">IF(O67="","",IF(P67="",O67,MIN(O67,P67)))</f>
        <v>20.4</v>
      </c>
      <c r="R67" s="7" t="str">
        <f aca="false">IF(Q67="","n/a",IF(Q67&lt;=README!$B$5,"Yes","No"))</f>
        <v>Yes</v>
      </c>
      <c r="S67" s="7" t="s">
        <v>627</v>
      </c>
      <c r="T67" s="7" t="s">
        <v>16</v>
      </c>
      <c r="U67" s="7" t="s">
        <v>2284</v>
      </c>
    </row>
    <row r="68" customFormat="false" ht="34.5" hidden="false" customHeight="true" outlineLevel="0" collapsed="false">
      <c r="A68" s="7" t="s">
        <v>1670</v>
      </c>
      <c r="B68" s="7"/>
      <c r="C68" s="7" t="s">
        <v>961</v>
      </c>
      <c r="D68" s="7" t="s">
        <v>1671</v>
      </c>
      <c r="E68" s="7" t="s">
        <v>2285</v>
      </c>
      <c r="F68" s="7"/>
      <c r="G68" s="7"/>
      <c r="H68" s="7"/>
      <c r="I68" s="7"/>
      <c r="J68" s="7"/>
      <c r="K68" s="7" t="n">
        <v>42.75</v>
      </c>
      <c r="L68" s="7" t="n">
        <v>-73.8</v>
      </c>
      <c r="M68" s="7"/>
      <c r="N68" s="7"/>
      <c r="O68" s="7" t="n">
        <f aca="false">IF(OR(K68="",L68=""),"",ROUND(3959*ACOS(MIN(1,SIN(RADIANS(README!$B$3))*SIN(RADIANS(K68))+COS(RADIANS(README!$B$3))*COS(RADIANS(K68))*COS(RADIANS(L68-README!$B$4)))),1))</f>
        <v>20.4</v>
      </c>
      <c r="P68" s="7" t="str">
        <f aca="false">IF(OR(M68="",N68=""),"",ROUND(3959*ACOS(MIN(1,SIN(RADIANS(README!$B$3))*SIN(RADIANS(M68))+COS(RADIANS(README!$B$3))*COS(RADIANS(M68))*COS(RADIANS(N68-README!$B$4)))),1))</f>
        <v/>
      </c>
      <c r="Q68" s="7" t="n">
        <f aca="false">IF(O68="","",IF(P68="",O68,MIN(O68,P68)))</f>
        <v>20.4</v>
      </c>
      <c r="R68" s="7" t="str">
        <f aca="false">IF(Q68="","n/a",IF(Q68&lt;=README!$B$5,"Yes","No"))</f>
        <v>Yes</v>
      </c>
      <c r="S68" s="7" t="s">
        <v>627</v>
      </c>
      <c r="T68" s="7" t="s">
        <v>16</v>
      </c>
      <c r="U68" s="7"/>
    </row>
    <row r="69" customFormat="false" ht="15" hidden="false" customHeight="true" outlineLevel="0" collapsed="false">
      <c r="A69" s="7" t="s">
        <v>2286</v>
      </c>
      <c r="B69" s="7"/>
      <c r="C69" s="7" t="s">
        <v>310</v>
      </c>
      <c r="D69" s="7" t="s">
        <v>2164</v>
      </c>
      <c r="E69" s="7" t="s">
        <v>2266</v>
      </c>
      <c r="F69" s="7"/>
      <c r="G69" s="7"/>
      <c r="H69" s="7"/>
      <c r="I69" s="7" t="n">
        <v>0</v>
      </c>
      <c r="J69" s="7" t="n">
        <v>0</v>
      </c>
      <c r="K69" s="7" t="n">
        <v>42.75</v>
      </c>
      <c r="L69" s="7" t="n">
        <v>-73.8</v>
      </c>
      <c r="M69" s="7"/>
      <c r="N69" s="7"/>
      <c r="O69" s="7" t="n">
        <f aca="false">IF(OR(K69="",L69=""),"",ROUND(3959*ACOS(MIN(1,SIN(RADIANS(README!$B$3))*SIN(RADIANS(K69))+COS(RADIANS(README!$B$3))*COS(RADIANS(K69))*COS(RADIANS(L69-README!$B$4)))),1))</f>
        <v>20.4</v>
      </c>
      <c r="P69" s="7" t="str">
        <f aca="false">IF(OR(M69="",N69=""),"",ROUND(3959*ACOS(MIN(1,SIN(RADIANS(README!$B$3))*SIN(RADIANS(M69))+COS(RADIANS(README!$B$3))*COS(RADIANS(M69))*COS(RADIANS(N69-README!$B$4)))),1))</f>
        <v/>
      </c>
      <c r="Q69" s="7" t="n">
        <f aca="false">IF(O69="","",IF(P69="",O69,MIN(O69,P69)))</f>
        <v>20.4</v>
      </c>
      <c r="R69" s="7" t="str">
        <f aca="false">IF(Q69="","n/a",IF(Q69&lt;=README!$B$5,"Yes","No"))</f>
        <v>Yes</v>
      </c>
      <c r="S69" s="7" t="s">
        <v>1247</v>
      </c>
      <c r="T69" s="7" t="s">
        <v>16</v>
      </c>
      <c r="U69" s="7" t="s">
        <v>2287</v>
      </c>
    </row>
    <row r="70" customFormat="false" ht="15" hidden="false" customHeight="true" outlineLevel="0" collapsed="false">
      <c r="A70" s="7" t="s">
        <v>2288</v>
      </c>
      <c r="B70" s="7" t="s">
        <v>2289</v>
      </c>
      <c r="C70" s="7" t="s">
        <v>2118</v>
      </c>
      <c r="D70" s="7" t="s">
        <v>2186</v>
      </c>
      <c r="E70" s="7" t="s">
        <v>979</v>
      </c>
      <c r="F70" s="7" t="s">
        <v>2241</v>
      </c>
      <c r="G70" s="7" t="n">
        <v>0.3</v>
      </c>
      <c r="H70" s="7" t="n">
        <v>25</v>
      </c>
      <c r="I70" s="7" t="n">
        <v>0</v>
      </c>
      <c r="J70" s="7" t="n">
        <v>0</v>
      </c>
      <c r="K70" s="7" t="n">
        <v>42.28</v>
      </c>
      <c r="L70" s="7" t="n">
        <v>-74.12</v>
      </c>
      <c r="M70" s="7"/>
      <c r="N70" s="7"/>
      <c r="O70" s="7" t="n">
        <f aca="false">IF(OR(K70="",L70=""),"",ROUND(3959*ACOS(MIN(1,SIN(RADIANS(README!$B$3))*SIN(RADIANS(K70))+COS(RADIANS(README!$B$3))*COS(RADIANS(K70))*COS(RADIANS(L70-README!$B$4)))),1))</f>
        <v>16.8</v>
      </c>
      <c r="P70" s="7" t="str">
        <f aca="false">IF(OR(M70="",N70=""),"",ROUND(3959*ACOS(MIN(1,SIN(RADIANS(README!$B$3))*SIN(RADIANS(M70))+COS(RADIANS(README!$B$3))*COS(RADIANS(M70))*COS(RADIANS(N70-README!$B$4)))),1))</f>
        <v/>
      </c>
      <c r="Q70" s="7" t="n">
        <f aca="false">IF(O70="","",IF(P70="",O70,MIN(O70,P70)))</f>
        <v>16.8</v>
      </c>
      <c r="R70" s="7" t="str">
        <f aca="false">IF(Q70="","n/a",IF(Q70&lt;=README!$B$5,"Yes","No"))</f>
        <v>Yes</v>
      </c>
      <c r="S70" s="7" t="s">
        <v>2280</v>
      </c>
      <c r="T70" s="7" t="s">
        <v>18</v>
      </c>
      <c r="U70" s="7" t="s">
        <v>2106</v>
      </c>
    </row>
    <row r="71" customFormat="false" ht="15" hidden="false" customHeight="true" outlineLevel="0" collapsed="false">
      <c r="A71" s="7" t="s">
        <v>2290</v>
      </c>
      <c r="B71" s="7" t="s">
        <v>2291</v>
      </c>
      <c r="C71" s="7" t="s">
        <v>2137</v>
      </c>
      <c r="D71" s="7" t="s">
        <v>2292</v>
      </c>
      <c r="E71" s="7" t="s">
        <v>979</v>
      </c>
      <c r="F71" s="7" t="s">
        <v>2241</v>
      </c>
      <c r="G71" s="7" t="n">
        <v>2.2</v>
      </c>
      <c r="H71" s="7" t="n">
        <v>100</v>
      </c>
      <c r="I71" s="7" t="n">
        <v>0</v>
      </c>
      <c r="J71" s="7" t="n">
        <v>0</v>
      </c>
      <c r="K71" s="7" t="n">
        <v>42.9</v>
      </c>
      <c r="L71" s="7" t="n">
        <v>-73.59</v>
      </c>
      <c r="M71" s="7"/>
      <c r="N71" s="7"/>
      <c r="O71" s="7" t="n">
        <f aca="false">IF(OR(K71="",L71=""),"",ROUND(3959*ACOS(MIN(1,SIN(RADIANS(README!$B$3))*SIN(RADIANS(K71))+COS(RADIANS(README!$B$3))*COS(RADIANS(K71))*COS(RADIANS(L71-README!$B$4)))),1))</f>
        <v>35.1</v>
      </c>
      <c r="P71" s="7" t="str">
        <f aca="false">IF(OR(M71="",N71=""),"",ROUND(3959*ACOS(MIN(1,SIN(RADIANS(README!$B$3))*SIN(RADIANS(M71))+COS(RADIANS(README!$B$3))*COS(RADIANS(M71))*COS(RADIANS(N71-README!$B$4)))),1))</f>
        <v/>
      </c>
      <c r="Q71" s="7" t="n">
        <f aca="false">IF(O71="","",IF(P71="",O71,MIN(O71,P71)))</f>
        <v>35.1</v>
      </c>
      <c r="R71" s="7" t="str">
        <f aca="false">IF(Q71="","n/a",IF(Q71&lt;=README!$B$5,"Yes","No"))</f>
        <v>No</v>
      </c>
      <c r="S71" s="7" t="s">
        <v>2280</v>
      </c>
      <c r="T71" s="7" t="s">
        <v>16</v>
      </c>
      <c r="U71" s="7"/>
    </row>
    <row r="72" customFormat="false" ht="34.5" hidden="false" customHeight="true" outlineLevel="0" collapsed="false">
      <c r="A72" s="7" t="s">
        <v>1673</v>
      </c>
      <c r="B72" s="7"/>
      <c r="C72" s="7" t="s">
        <v>961</v>
      </c>
      <c r="D72" s="7" t="s">
        <v>2293</v>
      </c>
      <c r="E72" s="7" t="s">
        <v>1242</v>
      </c>
      <c r="F72" s="7"/>
      <c r="G72" s="7"/>
      <c r="H72" s="7"/>
      <c r="I72" s="7"/>
      <c r="J72" s="7"/>
      <c r="K72" s="7" t="n">
        <v>42.75</v>
      </c>
      <c r="L72" s="7" t="n">
        <v>-73.8</v>
      </c>
      <c r="M72" s="7"/>
      <c r="N72" s="7"/>
      <c r="O72" s="7" t="n">
        <f aca="false">IF(OR(K72="",L72=""),"",ROUND(3959*ACOS(MIN(1,SIN(RADIANS(README!$B$3))*SIN(RADIANS(K72))+COS(RADIANS(README!$B$3))*COS(RADIANS(K72))*COS(RADIANS(L72-README!$B$4)))),1))</f>
        <v>20.4</v>
      </c>
      <c r="P72" s="7" t="str">
        <f aca="false">IF(OR(M72="",N72=""),"",ROUND(3959*ACOS(MIN(1,SIN(RADIANS(README!$B$3))*SIN(RADIANS(M72))+COS(RADIANS(README!$B$3))*COS(RADIANS(M72))*COS(RADIANS(N72-README!$B$4)))),1))</f>
        <v/>
      </c>
      <c r="Q72" s="7" t="n">
        <f aca="false">IF(O72="","",IF(P72="",O72,MIN(O72,P72)))</f>
        <v>20.4</v>
      </c>
      <c r="R72" s="7" t="str">
        <f aca="false">IF(Q72="","n/a",IF(Q72&lt;=README!$B$5,"Yes","No"))</f>
        <v>Yes</v>
      </c>
      <c r="S72" s="7" t="s">
        <v>627</v>
      </c>
      <c r="T72" s="7" t="s">
        <v>16</v>
      </c>
      <c r="U72" s="7" t="s">
        <v>1675</v>
      </c>
    </row>
    <row r="73" customFormat="false" ht="34.5" hidden="false" customHeight="true" outlineLevel="0" collapsed="false">
      <c r="A73" s="7" t="s">
        <v>1687</v>
      </c>
      <c r="B73" s="7"/>
      <c r="C73" s="7" t="s">
        <v>2294</v>
      </c>
      <c r="D73" s="7" t="s">
        <v>2295</v>
      </c>
      <c r="E73" s="7" t="s">
        <v>979</v>
      </c>
      <c r="F73" s="7"/>
      <c r="G73" s="7"/>
      <c r="H73" s="7"/>
      <c r="I73" s="7"/>
      <c r="J73" s="7"/>
      <c r="K73" s="7"/>
      <c r="L73" s="7"/>
      <c r="M73" s="7"/>
      <c r="N73" s="7"/>
      <c r="O73" s="7" t="str">
        <f aca="false">IF(OR(K73="",L73=""),"",ROUND(3959*ACOS(MIN(1,SIN(RADIANS(README!$B$3))*SIN(RADIANS(K73))+COS(RADIANS(README!$B$3))*COS(RADIANS(K73))*COS(RADIANS(L73-README!$B$4)))),1))</f>
        <v/>
      </c>
      <c r="P73" s="7" t="str">
        <f aca="false">IF(OR(M73="",N73=""),"",ROUND(3959*ACOS(MIN(1,SIN(RADIANS(README!$B$3))*SIN(RADIANS(M73))+COS(RADIANS(README!$B$3))*COS(RADIANS(M73))*COS(RADIANS(N73-README!$B$4)))),1))</f>
        <v/>
      </c>
      <c r="Q73" s="7" t="str">
        <f aca="false">IF(O73="","",IF(P73="",O73,MIN(O73,P73)))</f>
        <v/>
      </c>
      <c r="R73" s="7" t="str">
        <f aca="false">IF(Q73="","n/a",IF(Q73&lt;=README!$B$5,"Yes","No"))</f>
        <v>n/a</v>
      </c>
      <c r="S73" s="7" t="s">
        <v>627</v>
      </c>
      <c r="T73" s="7" t="s">
        <v>18</v>
      </c>
      <c r="U73" s="7" t="s">
        <v>2296</v>
      </c>
    </row>
    <row r="74" customFormat="false" ht="34.5" hidden="false" customHeight="true" outlineLevel="0" collapsed="false">
      <c r="A74" s="7" t="s">
        <v>2297</v>
      </c>
      <c r="B74" s="7"/>
      <c r="C74" s="7" t="s">
        <v>961</v>
      </c>
      <c r="D74" s="7" t="s">
        <v>1782</v>
      </c>
      <c r="E74" s="7" t="s">
        <v>2266</v>
      </c>
      <c r="F74" s="7"/>
      <c r="G74" s="7"/>
      <c r="H74" s="7"/>
      <c r="I74" s="7"/>
      <c r="J74" s="7"/>
      <c r="K74" s="7" t="n">
        <v>42.75</v>
      </c>
      <c r="L74" s="7" t="n">
        <v>-73.8</v>
      </c>
      <c r="M74" s="7"/>
      <c r="N74" s="7"/>
      <c r="O74" s="7" t="n">
        <f aca="false">IF(OR(K74="",L74=""),"",ROUND(3959*ACOS(MIN(1,SIN(RADIANS(README!$B$3))*SIN(RADIANS(K74))+COS(RADIANS(README!$B$3))*COS(RADIANS(K74))*COS(RADIANS(L74-README!$B$4)))),1))</f>
        <v>20.4</v>
      </c>
      <c r="P74" s="7" t="str">
        <f aca="false">IF(OR(M74="",N74=""),"",ROUND(3959*ACOS(MIN(1,SIN(RADIANS(README!$B$3))*SIN(RADIANS(M74))+COS(RADIANS(README!$B$3))*COS(RADIANS(M74))*COS(RADIANS(N74-README!$B$4)))),1))</f>
        <v/>
      </c>
      <c r="Q74" s="7" t="n">
        <f aca="false">IF(O74="","",IF(P74="",O74,MIN(O74,P74)))</f>
        <v>20.4</v>
      </c>
      <c r="R74" s="7" t="str">
        <f aca="false">IF(Q74="","n/a",IF(Q74&lt;=README!$B$5,"Yes","No"))</f>
        <v>Yes</v>
      </c>
      <c r="S74" s="7" t="s">
        <v>627</v>
      </c>
      <c r="T74" s="7" t="s">
        <v>16</v>
      </c>
      <c r="U74" s="7"/>
    </row>
    <row r="75" customFormat="false" ht="34.5" hidden="false" customHeight="true" outlineLevel="0" collapsed="false">
      <c r="A75" s="7" t="s">
        <v>1781</v>
      </c>
      <c r="B75" s="7"/>
      <c r="C75" s="7" t="s">
        <v>961</v>
      </c>
      <c r="D75" s="7" t="s">
        <v>1782</v>
      </c>
      <c r="E75" s="7" t="s">
        <v>2266</v>
      </c>
      <c r="F75" s="7"/>
      <c r="G75" s="7"/>
      <c r="H75" s="7"/>
      <c r="I75" s="7"/>
      <c r="J75" s="7"/>
      <c r="K75" s="7" t="n">
        <v>42.75</v>
      </c>
      <c r="L75" s="7" t="n">
        <v>-73.8</v>
      </c>
      <c r="M75" s="7"/>
      <c r="N75" s="7"/>
      <c r="O75" s="7" t="n">
        <f aca="false">IF(OR(K75="",L75=""),"",ROUND(3959*ACOS(MIN(1,SIN(RADIANS(README!$B$3))*SIN(RADIANS(K75))+COS(RADIANS(README!$B$3))*COS(RADIANS(K75))*COS(RADIANS(L75-README!$B$4)))),1))</f>
        <v>20.4</v>
      </c>
      <c r="P75" s="7" t="str">
        <f aca="false">IF(OR(M75="",N75=""),"",ROUND(3959*ACOS(MIN(1,SIN(RADIANS(README!$B$3))*SIN(RADIANS(M75))+COS(RADIANS(README!$B$3))*COS(RADIANS(M75))*COS(RADIANS(N75-README!$B$4)))),1))</f>
        <v/>
      </c>
      <c r="Q75" s="7" t="n">
        <f aca="false">IF(O75="","",IF(P75="",O75,MIN(O75,P75)))</f>
        <v>20.4</v>
      </c>
      <c r="R75" s="7" t="str">
        <f aca="false">IF(Q75="","n/a",IF(Q75&lt;=README!$B$5,"Yes","No"))</f>
        <v>Yes</v>
      </c>
      <c r="S75" s="7" t="s">
        <v>627</v>
      </c>
      <c r="T75" s="7" t="s">
        <v>16</v>
      </c>
      <c r="U75" s="7"/>
    </row>
    <row r="76" customFormat="false" ht="23.25" hidden="false" customHeight="true" outlineLevel="0" collapsed="false">
      <c r="A76" s="7" t="s">
        <v>2298</v>
      </c>
      <c r="B76" s="7"/>
      <c r="C76" s="7" t="s">
        <v>2254</v>
      </c>
      <c r="D76" s="7" t="s">
        <v>2299</v>
      </c>
      <c r="E76" s="7" t="s">
        <v>979</v>
      </c>
      <c r="F76" s="7" t="s">
        <v>2300</v>
      </c>
      <c r="G76" s="7"/>
      <c r="H76" s="7"/>
      <c r="I76" s="7" t="n">
        <v>0</v>
      </c>
      <c r="J76" s="7" t="n">
        <v>0</v>
      </c>
      <c r="K76" s="7" t="n">
        <v>43.15</v>
      </c>
      <c r="L76" s="7" t="n">
        <v>-73.72</v>
      </c>
      <c r="M76" s="7"/>
      <c r="N76" s="7"/>
      <c r="O76" s="7" t="n">
        <f aca="false">IF(OR(K76="",L76=""),"",ROUND(3959*ACOS(MIN(1,SIN(RADIANS(README!$B$3))*SIN(RADIANS(K76))+COS(RADIANS(README!$B$3))*COS(RADIANS(K76))*COS(RADIANS(L76-README!$B$4)))),1))</f>
        <v>46.7</v>
      </c>
      <c r="P76" s="7" t="str">
        <f aca="false">IF(OR(M76="",N76=""),"",ROUND(3959*ACOS(MIN(1,SIN(RADIANS(README!$B$3))*SIN(RADIANS(M76))+COS(RADIANS(README!$B$3))*COS(RADIANS(M76))*COS(RADIANS(N76-README!$B$4)))),1))</f>
        <v/>
      </c>
      <c r="Q76" s="7" t="n">
        <f aca="false">IF(O76="","",IF(P76="",O76,MIN(O76,P76)))</f>
        <v>46.7</v>
      </c>
      <c r="R76" s="7" t="str">
        <f aca="false">IF(Q76="","n/a",IF(Q76&lt;=README!$B$5,"Yes","No"))</f>
        <v>No</v>
      </c>
      <c r="S76" s="7" t="s">
        <v>2301</v>
      </c>
      <c r="T76" s="7" t="s">
        <v>18</v>
      </c>
      <c r="U76" s="7" t="s">
        <v>2302</v>
      </c>
    </row>
    <row r="78" customFormat="false" ht="15" hidden="false" customHeight="true" outlineLevel="0" collapsed="false">
      <c r="A78" s="8" t="s">
        <v>2303</v>
      </c>
    </row>
  </sheetData>
  <autoFilter ref="A1:U7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
    <col collapsed="false" customWidth="true" hidden="false" outlineLevel="0" max="3" min="3" style="1" width="3"/>
    <col collapsed="false" customWidth="true" hidden="false" outlineLevel="0" max="4" min="4" style="1" width="18"/>
    <col collapsed="false" customWidth="true" hidden="false" outlineLevel="0" max="5" min="5" style="1" width="8"/>
    <col collapsed="false" customWidth="true" hidden="false" outlineLevel="0" max="6" min="6" style="1" width="3"/>
    <col collapsed="false" customWidth="true" hidden="false" outlineLevel="0" max="7" min="7" style="1" width="14"/>
    <col collapsed="false" customWidth="true" hidden="false" outlineLevel="0" max="8" min="8" style="1" width="8"/>
    <col collapsed="false" customWidth="true" hidden="false" outlineLevel="0" max="9" min="9" style="1" width="3"/>
    <col collapsed="false" customWidth="true" hidden="false" outlineLevel="0" max="10" min="10" style="1" width="32"/>
    <col collapsed="false" customWidth="true" hidden="false" outlineLevel="0" max="11" min="11" style="1" width="10"/>
  </cols>
  <sheetData>
    <row r="1" customFormat="false" ht="15" hidden="false" customHeight="true" outlineLevel="0" collapsed="false">
      <c r="A1" s="9" t="s">
        <v>2304</v>
      </c>
      <c r="B1" s="10"/>
      <c r="C1" s="10"/>
      <c r="D1" s="9" t="s">
        <v>2305</v>
      </c>
      <c r="E1" s="10"/>
      <c r="F1" s="10"/>
      <c r="G1" s="9" t="s">
        <v>2306</v>
      </c>
      <c r="H1" s="10"/>
      <c r="I1" s="10"/>
      <c r="J1" s="9" t="s">
        <v>2307</v>
      </c>
      <c r="K1" s="10"/>
    </row>
    <row r="2" customFormat="false" ht="15" hidden="false" customHeight="true" outlineLevel="0" collapsed="false">
      <c r="A2" s="10" t="s">
        <v>49</v>
      </c>
      <c r="B2" s="10" t="s">
        <v>2308</v>
      </c>
      <c r="C2" s="10"/>
      <c r="D2" s="10" t="s">
        <v>16</v>
      </c>
      <c r="E2" s="10" t="n">
        <f aca="false">COUNTIF(Events!$N$2:$N$265,D2)</f>
        <v>121</v>
      </c>
      <c r="F2" s="10"/>
      <c r="G2" s="10" t="s">
        <v>2309</v>
      </c>
      <c r="H2" s="10" t="n">
        <f aca="false">COUNTIF(Events!$E$2:$E$265,18)</f>
        <v>26</v>
      </c>
      <c r="I2" s="10"/>
      <c r="J2" s="10" t="s">
        <v>2310</v>
      </c>
      <c r="K2" s="10" t="n">
        <f aca="false">COUNTIF('Wind &amp; Tornadoes'!$E$2:$E$76,"Tornado*")</f>
        <v>58</v>
      </c>
    </row>
    <row r="3" customFormat="false" ht="15" hidden="false" customHeight="true" outlineLevel="0" collapsed="false">
      <c r="A3" s="10" t="s">
        <v>238</v>
      </c>
      <c r="B3" s="10" t="n">
        <f aca="false">COUNTIF(Events!$F$2:$F$265,A3)</f>
        <v>15</v>
      </c>
      <c r="C3" s="10"/>
      <c r="D3" s="10" t="s">
        <v>18</v>
      </c>
      <c r="E3" s="10" t="n">
        <f aca="false">COUNTIF(Events!$N$2:$N$265,D3)</f>
        <v>106</v>
      </c>
      <c r="F3" s="10"/>
      <c r="G3" s="10" t="s">
        <v>2311</v>
      </c>
      <c r="H3" s="10" t="n">
        <f aca="false">COUNTIF(Events!$E$2:$E$265,19)</f>
        <v>56</v>
      </c>
      <c r="I3" s="10"/>
      <c r="J3" s="10" t="s">
        <v>2312</v>
      </c>
      <c r="K3" s="10" t="n">
        <f aca="false">COUNTIFS('Wind &amp; Tornadoes'!$E$2:$E$76,"Tornado*",'Wind &amp; Tornadoes'!$R$2:$R$76,"Yes")</f>
        <v>43</v>
      </c>
    </row>
    <row r="4" customFormat="false" ht="15" hidden="false" customHeight="true" outlineLevel="0" collapsed="false">
      <c r="A4" s="10" t="s">
        <v>717</v>
      </c>
      <c r="B4" s="10" t="n">
        <f aca="false">COUNTIF(Events!$F$2:$F$265,A4)</f>
        <v>1</v>
      </c>
      <c r="C4" s="10"/>
      <c r="D4" s="10" t="s">
        <v>20</v>
      </c>
      <c r="E4" s="10" t="n">
        <f aca="false">COUNTIF(Events!$N$2:$N$265,D4)</f>
        <v>37</v>
      </c>
      <c r="F4" s="10"/>
      <c r="G4" s="10" t="s">
        <v>2313</v>
      </c>
      <c r="H4" s="10" t="n">
        <f aca="false">COUNTIF(Events!$E$2:$E$265,20)</f>
        <v>88</v>
      </c>
      <c r="I4" s="10"/>
      <c r="J4" s="10" t="s">
        <v>2314</v>
      </c>
      <c r="K4" s="10" t="n">
        <f aca="false">SUMPRODUCT((LEFT('Wind &amp; Tornadoes'!$E$2:$E$76,7)="Tornado")*('Wind &amp; Tornadoes'!$R$2:$R$76="Yes")*(ISNUMBER(SEARCH("F2",'Wind &amp; Tornadoes'!$F$2:$F$76))+ISNUMBER(SEARCH("F3",'Wind &amp; Tornadoes'!$F$2:$F$76))+ISNUMBER(SEARCH("F4",'Wind &amp; Tornadoes'!$F$2:$F$76))))</f>
        <v>12</v>
      </c>
    </row>
    <row r="5" customFormat="false" ht="15" hidden="false" customHeight="true" outlineLevel="0" collapsed="false">
      <c r="A5" s="10" t="s">
        <v>1235</v>
      </c>
      <c r="B5" s="10" t="n">
        <f aca="false">COUNTIF(Events!$F$2:$F$265,A5)</f>
        <v>1</v>
      </c>
      <c r="C5" s="10"/>
      <c r="D5" s="10"/>
      <c r="E5" s="10"/>
      <c r="F5" s="10"/>
      <c r="G5" s="10" t="s">
        <v>2315</v>
      </c>
      <c r="H5" s="10" t="n">
        <f aca="false">COUNTIF(Events!$E$2:$E$265,21)</f>
        <v>89</v>
      </c>
      <c r="I5" s="10"/>
      <c r="J5" s="10" t="s">
        <v>2316</v>
      </c>
      <c r="K5" s="10" t="n">
        <f aca="false">MIN('Wind &amp; Tornadoes'!$Q$2:$Q$76)</f>
        <v>2.3</v>
      </c>
    </row>
    <row r="6" customFormat="false" ht="15" hidden="false" customHeight="true" outlineLevel="0" collapsed="false">
      <c r="A6" s="10" t="s">
        <v>118</v>
      </c>
      <c r="B6" s="10" t="n">
        <f aca="false">COUNTIF(Events!$F$2:$F$265,A6)</f>
        <v>3</v>
      </c>
      <c r="C6" s="10"/>
      <c r="D6" s="10" t="s">
        <v>2317</v>
      </c>
      <c r="E6" s="10" t="n">
        <f aca="false">COUNTIF(Events!$O$2:$O$265,"Y")</f>
        <v>214</v>
      </c>
      <c r="F6" s="10"/>
      <c r="G6" s="10"/>
      <c r="H6" s="10"/>
      <c r="I6" s="10"/>
      <c r="J6" s="10" t="s">
        <v>2318</v>
      </c>
      <c r="K6" s="10" t="n">
        <f aca="false">SUMIFS('Wind &amp; Tornadoes'!$J$2:$J$76,'Wind &amp; Tornadoes'!$E$2:$E$76,"Tornado*",'Wind &amp; Tornadoes'!$R$2:$R$76,"Yes")</f>
        <v>58</v>
      </c>
    </row>
    <row r="7" customFormat="false" ht="15" hidden="false" customHeight="true" outlineLevel="0" collapsed="false">
      <c r="A7" s="10" t="s">
        <v>219</v>
      </c>
      <c r="B7" s="10" t="n">
        <f aca="false">COUNTIF(Events!$F$2:$F$265,A7)</f>
        <v>13</v>
      </c>
      <c r="C7" s="10"/>
      <c r="D7" s="10" t="s">
        <v>2319</v>
      </c>
      <c r="E7" s="10" t="n">
        <f aca="false">COUNTIF(Events!$O$2:$O$265,"N")</f>
        <v>50</v>
      </c>
      <c r="F7" s="10"/>
      <c r="G7" s="10"/>
      <c r="H7" s="10"/>
      <c r="I7" s="10"/>
      <c r="J7" s="10"/>
      <c r="K7" s="10"/>
    </row>
    <row r="8" customFormat="false" ht="15" hidden="false" customHeight="true" outlineLevel="0" collapsed="false">
      <c r="A8" s="10" t="s">
        <v>615</v>
      </c>
      <c r="B8" s="10" t="n">
        <f aca="false">COUNTIF(Events!$F$2:$F$265,A8)</f>
        <v>1</v>
      </c>
      <c r="C8" s="10"/>
      <c r="D8" s="10"/>
      <c r="E8" s="10"/>
      <c r="F8" s="10"/>
      <c r="G8" s="10"/>
      <c r="H8" s="10"/>
      <c r="I8" s="10"/>
      <c r="J8" s="10"/>
      <c r="K8" s="10"/>
    </row>
    <row r="9" customFormat="false" ht="15" hidden="false" customHeight="true" outlineLevel="0" collapsed="false">
      <c r="A9" s="10" t="s">
        <v>176</v>
      </c>
      <c r="B9" s="10" t="n">
        <f aca="false">COUNTIF(Events!$F$2:$F$265,A9)</f>
        <v>2</v>
      </c>
      <c r="C9" s="10"/>
      <c r="D9" s="10"/>
      <c r="E9" s="10"/>
      <c r="F9" s="10"/>
      <c r="G9" s="10"/>
      <c r="H9" s="10"/>
      <c r="I9" s="10"/>
      <c r="J9" s="10"/>
      <c r="K9" s="10"/>
    </row>
    <row r="10" customFormat="false" ht="15" hidden="false" customHeight="true" outlineLevel="0" collapsed="false">
      <c r="A10" s="10" t="s">
        <v>254</v>
      </c>
      <c r="B10" s="10" t="n">
        <f aca="false">COUNTIF(Events!$F$2:$F$265,A10)</f>
        <v>1</v>
      </c>
      <c r="C10" s="10"/>
      <c r="D10" s="10"/>
      <c r="E10" s="10"/>
      <c r="F10" s="10"/>
      <c r="G10" s="10"/>
      <c r="H10" s="10"/>
      <c r="I10" s="10"/>
      <c r="J10" s="10"/>
      <c r="K10" s="10"/>
    </row>
    <row r="11" customFormat="false" ht="15" hidden="false" customHeight="true" outlineLevel="0" collapsed="false">
      <c r="A11" s="10" t="s">
        <v>1561</v>
      </c>
      <c r="B11" s="10" t="n">
        <f aca="false">COUNTIF(Events!$F$2:$F$265,A11)</f>
        <v>1</v>
      </c>
      <c r="C11" s="10"/>
      <c r="D11" s="10"/>
      <c r="E11" s="10"/>
      <c r="F11" s="10"/>
      <c r="G11" s="10"/>
      <c r="H11" s="10"/>
      <c r="I11" s="10"/>
      <c r="J11" s="10"/>
      <c r="K11" s="10"/>
    </row>
    <row r="12" customFormat="false" ht="15" hidden="false" customHeight="true" outlineLevel="0" collapsed="false">
      <c r="A12" s="10" t="s">
        <v>420</v>
      </c>
      <c r="B12" s="10" t="n">
        <f aca="false">COUNTIF(Events!$F$2:$F$265,A12)</f>
        <v>2</v>
      </c>
      <c r="C12" s="10"/>
      <c r="D12" s="10"/>
      <c r="E12" s="10"/>
      <c r="F12" s="10"/>
      <c r="G12" s="10"/>
      <c r="H12" s="10"/>
      <c r="I12" s="10"/>
      <c r="J12" s="10"/>
      <c r="K12" s="10"/>
    </row>
    <row r="13" customFormat="false" ht="15" hidden="false" customHeight="true" outlineLevel="0" collapsed="false">
      <c r="A13" s="10" t="s">
        <v>392</v>
      </c>
      <c r="B13" s="10" t="n">
        <f aca="false">COUNTIF(Events!$F$2:$F$265,A13)</f>
        <v>1</v>
      </c>
      <c r="C13" s="10"/>
      <c r="D13" s="10"/>
      <c r="E13" s="10"/>
      <c r="F13" s="10"/>
      <c r="G13" s="10"/>
      <c r="H13" s="10"/>
      <c r="I13" s="10"/>
      <c r="J13" s="10"/>
      <c r="K13" s="10"/>
    </row>
    <row r="14" customFormat="false" ht="15" hidden="false" customHeight="true" outlineLevel="0" collapsed="false">
      <c r="A14" s="10" t="s">
        <v>106</v>
      </c>
      <c r="B14" s="10" t="n">
        <f aca="false">COUNTIF(Events!$F$2:$F$265,A14)</f>
        <v>11</v>
      </c>
      <c r="C14" s="10"/>
      <c r="D14" s="10"/>
      <c r="E14" s="10"/>
      <c r="F14" s="10"/>
      <c r="G14" s="10"/>
      <c r="H14" s="10"/>
      <c r="I14" s="10"/>
      <c r="J14" s="10"/>
      <c r="K14" s="10"/>
    </row>
    <row r="15" customFormat="false" ht="15" hidden="false" customHeight="true" outlineLevel="0" collapsed="false">
      <c r="A15" s="10" t="s">
        <v>1242</v>
      </c>
      <c r="B15" s="10" t="n">
        <f aca="false">COUNTIF(Events!$F$2:$F$265,A15)</f>
        <v>2</v>
      </c>
      <c r="C15" s="10"/>
      <c r="D15" s="10"/>
      <c r="E15" s="10"/>
      <c r="F15" s="10"/>
      <c r="G15" s="10"/>
      <c r="H15" s="10"/>
      <c r="I15" s="10"/>
      <c r="J15" s="10"/>
      <c r="K15" s="10"/>
    </row>
    <row r="16" customFormat="false" ht="15" hidden="false" customHeight="true" outlineLevel="0" collapsed="false">
      <c r="A16" s="10" t="s">
        <v>1203</v>
      </c>
      <c r="B16" s="10" t="n">
        <f aca="false">COUNTIF(Events!$F$2:$F$265,A16)</f>
        <v>1</v>
      </c>
      <c r="C16" s="10"/>
      <c r="D16" s="10"/>
      <c r="E16" s="10"/>
      <c r="F16" s="10"/>
      <c r="G16" s="10"/>
      <c r="H16" s="10"/>
      <c r="I16" s="10"/>
      <c r="J16" s="10"/>
      <c r="K16" s="10"/>
    </row>
    <row r="17" customFormat="false" ht="15" hidden="false" customHeight="true" outlineLevel="0" collapsed="false">
      <c r="A17" s="10" t="s">
        <v>833</v>
      </c>
      <c r="B17" s="10" t="n">
        <f aca="false">COUNTIF(Events!$F$2:$F$265,A17)</f>
        <v>4</v>
      </c>
      <c r="C17" s="10"/>
      <c r="D17" s="10"/>
      <c r="E17" s="10"/>
      <c r="F17" s="10"/>
      <c r="G17" s="10"/>
      <c r="H17" s="10"/>
      <c r="I17" s="10"/>
      <c r="J17" s="10"/>
      <c r="K17" s="10"/>
    </row>
    <row r="18" customFormat="false" ht="15" hidden="false" customHeight="true" outlineLevel="0" collapsed="false">
      <c r="A18" s="10" t="s">
        <v>1186</v>
      </c>
      <c r="B18" s="10" t="n">
        <f aca="false">COUNTIF(Events!$F$2:$F$265,A18)</f>
        <v>2</v>
      </c>
      <c r="C18" s="10"/>
      <c r="D18" s="10"/>
      <c r="E18" s="10"/>
      <c r="F18" s="10"/>
      <c r="G18" s="10"/>
      <c r="H18" s="10"/>
      <c r="I18" s="10"/>
      <c r="J18" s="10"/>
      <c r="K18" s="10"/>
    </row>
    <row r="19" customFormat="false" ht="15" hidden="false" customHeight="true" outlineLevel="0" collapsed="false">
      <c r="A19" s="10" t="s">
        <v>1794</v>
      </c>
      <c r="B19" s="10" t="n">
        <f aca="false">COUNTIF(Events!$F$2:$F$265,A19)</f>
        <v>1</v>
      </c>
      <c r="C19" s="10"/>
      <c r="D19" s="10"/>
      <c r="E19" s="10"/>
      <c r="F19" s="10"/>
      <c r="G19" s="10"/>
      <c r="H19" s="10"/>
      <c r="I19" s="10"/>
      <c r="J19" s="10"/>
      <c r="K19" s="10"/>
    </row>
    <row r="20" customFormat="false" ht="15" hidden="false" customHeight="true" outlineLevel="0" collapsed="false">
      <c r="A20" s="10" t="s">
        <v>80</v>
      </c>
      <c r="B20" s="10" t="n">
        <f aca="false">COUNTIF(Events!$F$2:$F$265,A20)</f>
        <v>2</v>
      </c>
      <c r="C20" s="10"/>
      <c r="D20" s="10"/>
      <c r="E20" s="10"/>
      <c r="F20" s="10"/>
      <c r="G20" s="10"/>
      <c r="H20" s="10"/>
      <c r="I20" s="10"/>
      <c r="J20" s="10"/>
      <c r="K20" s="10"/>
    </row>
    <row r="21" customFormat="false" ht="15" hidden="false" customHeight="true" outlineLevel="0" collapsed="false">
      <c r="A21" s="10" t="s">
        <v>1508</v>
      </c>
      <c r="B21" s="10" t="n">
        <f aca="false">COUNTIF(Events!$F$2:$F$265,A21)</f>
        <v>1</v>
      </c>
      <c r="C21" s="10"/>
      <c r="D21" s="10"/>
      <c r="E21" s="10"/>
      <c r="F21" s="10"/>
      <c r="G21" s="10"/>
      <c r="H21" s="10"/>
      <c r="I21" s="10"/>
      <c r="J21" s="10"/>
      <c r="K21" s="10"/>
    </row>
    <row r="22" customFormat="false" ht="15" hidden="false" customHeight="true" outlineLevel="0" collapsed="false">
      <c r="A22" s="10" t="s">
        <v>466</v>
      </c>
      <c r="B22" s="10" t="n">
        <f aca="false">COUNTIF(Events!$F$2:$F$265,A22)</f>
        <v>2</v>
      </c>
      <c r="C22" s="10"/>
      <c r="D22" s="10"/>
      <c r="E22" s="10"/>
      <c r="F22" s="10"/>
      <c r="G22" s="10"/>
      <c r="H22" s="10"/>
      <c r="I22" s="10"/>
      <c r="J22" s="10"/>
      <c r="K22" s="10"/>
    </row>
    <row r="23" customFormat="false" ht="15" hidden="false" customHeight="true" outlineLevel="0" collapsed="false">
      <c r="A23" s="10" t="s">
        <v>847</v>
      </c>
      <c r="B23" s="10" t="n">
        <f aca="false">COUNTIF(Events!$F$2:$F$265,A23)</f>
        <v>8</v>
      </c>
      <c r="C23" s="10"/>
      <c r="D23" s="10"/>
      <c r="E23" s="10"/>
      <c r="F23" s="10"/>
      <c r="G23" s="10"/>
      <c r="H23" s="10"/>
      <c r="I23" s="10"/>
      <c r="J23" s="10"/>
      <c r="K23" s="10"/>
    </row>
    <row r="24" customFormat="false" ht="15" hidden="false" customHeight="true" outlineLevel="0" collapsed="false">
      <c r="A24" s="10" t="s">
        <v>1211</v>
      </c>
      <c r="B24" s="10" t="n">
        <f aca="false">COUNTIF(Events!$F$2:$F$265,A24)</f>
        <v>1</v>
      </c>
      <c r="C24" s="10"/>
      <c r="D24" s="10"/>
      <c r="E24" s="10"/>
      <c r="F24" s="10"/>
      <c r="G24" s="10"/>
      <c r="H24" s="10"/>
      <c r="I24" s="10"/>
      <c r="J24" s="10"/>
      <c r="K24" s="10"/>
    </row>
    <row r="25" customFormat="false" ht="15" hidden="false" customHeight="true" outlineLevel="0" collapsed="false">
      <c r="A25" s="10" t="s">
        <v>1758</v>
      </c>
      <c r="B25" s="10" t="n">
        <f aca="false">COUNTIF(Events!$F$2:$F$265,A25)</f>
        <v>2</v>
      </c>
      <c r="C25" s="10"/>
      <c r="D25" s="10"/>
      <c r="E25" s="10"/>
      <c r="F25" s="10"/>
      <c r="G25" s="10"/>
      <c r="H25" s="10"/>
      <c r="I25" s="10"/>
      <c r="J25" s="10"/>
      <c r="K25" s="10"/>
    </row>
    <row r="26" customFormat="false" ht="15" hidden="false" customHeight="true" outlineLevel="0" collapsed="false">
      <c r="A26" s="10" t="s">
        <v>1737</v>
      </c>
      <c r="B26" s="10" t="n">
        <f aca="false">COUNTIF(Events!$F$2:$F$265,A26)</f>
        <v>1</v>
      </c>
      <c r="C26" s="10"/>
      <c r="D26" s="10"/>
      <c r="E26" s="10"/>
      <c r="F26" s="10"/>
      <c r="G26" s="10"/>
      <c r="H26" s="10"/>
      <c r="I26" s="10"/>
      <c r="J26" s="10"/>
      <c r="K26" s="10"/>
    </row>
    <row r="27" customFormat="false" ht="15" hidden="false" customHeight="true" outlineLevel="0" collapsed="false">
      <c r="A27" s="10" t="s">
        <v>1695</v>
      </c>
      <c r="B27" s="10" t="n">
        <f aca="false">COUNTIF(Events!$F$2:$F$265,A27)</f>
        <v>1</v>
      </c>
      <c r="C27" s="10"/>
      <c r="D27" s="10"/>
      <c r="E27" s="10"/>
      <c r="F27" s="10"/>
      <c r="G27" s="10"/>
      <c r="H27" s="10"/>
      <c r="I27" s="10"/>
      <c r="J27" s="10"/>
      <c r="K27" s="10"/>
    </row>
    <row r="28" customFormat="false" ht="15" hidden="false" customHeight="true" outlineLevel="0" collapsed="false">
      <c r="A28" s="10" t="s">
        <v>1088</v>
      </c>
      <c r="B28" s="10" t="n">
        <f aca="false">COUNTIF(Events!$F$2:$F$265,A28)</f>
        <v>1</v>
      </c>
      <c r="C28" s="10"/>
      <c r="D28" s="10"/>
      <c r="E28" s="10"/>
      <c r="F28" s="10"/>
      <c r="G28" s="10"/>
      <c r="H28" s="10"/>
      <c r="I28" s="10"/>
      <c r="J28" s="10"/>
      <c r="K28" s="10"/>
    </row>
    <row r="29" customFormat="false" ht="15" hidden="false" customHeight="true" outlineLevel="0" collapsed="false">
      <c r="A29" s="10" t="s">
        <v>706</v>
      </c>
      <c r="B29" s="10" t="n">
        <f aca="false">COUNTIF(Events!$F$2:$F$265,A29)</f>
        <v>6</v>
      </c>
      <c r="C29" s="10"/>
      <c r="D29" s="10"/>
      <c r="E29" s="10"/>
      <c r="F29" s="10"/>
      <c r="G29" s="10"/>
      <c r="H29" s="10"/>
      <c r="I29" s="10"/>
      <c r="J29" s="10"/>
      <c r="K29" s="10"/>
    </row>
    <row r="30" customFormat="false" ht="15" hidden="false" customHeight="true" outlineLevel="0" collapsed="false">
      <c r="A30" s="10" t="s">
        <v>1026</v>
      </c>
      <c r="B30" s="10" t="n">
        <f aca="false">COUNTIF(Events!$F$2:$F$265,A30)</f>
        <v>1</v>
      </c>
      <c r="C30" s="10"/>
      <c r="D30" s="10"/>
      <c r="E30" s="10"/>
      <c r="F30" s="10"/>
      <c r="G30" s="10"/>
      <c r="H30" s="10"/>
      <c r="I30" s="10"/>
      <c r="J30" s="10"/>
      <c r="K30" s="10"/>
    </row>
    <row r="31" customFormat="false" ht="15" hidden="false" customHeight="true" outlineLevel="0" collapsed="false">
      <c r="A31" s="10" t="s">
        <v>1315</v>
      </c>
      <c r="B31" s="10" t="n">
        <f aca="false">COUNTIF(Events!$F$2:$F$265,A31)</f>
        <v>1</v>
      </c>
      <c r="C31" s="10"/>
      <c r="D31" s="10"/>
      <c r="E31" s="10"/>
      <c r="F31" s="10"/>
      <c r="G31" s="10"/>
      <c r="H31" s="10"/>
      <c r="I31" s="10"/>
      <c r="J31" s="10"/>
      <c r="K31" s="10"/>
    </row>
    <row r="32" customFormat="false" ht="15" hidden="false" customHeight="true" outlineLevel="0" collapsed="false">
      <c r="A32" s="10" t="s">
        <v>553</v>
      </c>
      <c r="B32" s="10" t="n">
        <f aca="false">COUNTIF(Events!$F$2:$F$265,A32)</f>
        <v>18</v>
      </c>
      <c r="C32" s="10"/>
      <c r="D32" s="10"/>
      <c r="E32" s="10"/>
      <c r="F32" s="10"/>
      <c r="G32" s="10"/>
      <c r="H32" s="10"/>
      <c r="I32" s="10"/>
      <c r="J32" s="10"/>
      <c r="K32" s="10"/>
    </row>
    <row r="33" customFormat="false" ht="15" hidden="false" customHeight="true" outlineLevel="0" collapsed="false">
      <c r="A33" s="10" t="s">
        <v>1273</v>
      </c>
      <c r="B33" s="10" t="n">
        <f aca="false">COUNTIF(Events!$F$2:$F$265,A33)</f>
        <v>1</v>
      </c>
      <c r="C33" s="10"/>
      <c r="D33" s="10"/>
      <c r="E33" s="10"/>
      <c r="F33" s="10"/>
      <c r="G33" s="10"/>
      <c r="H33" s="10"/>
      <c r="I33" s="10"/>
      <c r="J33" s="10"/>
      <c r="K33" s="10"/>
    </row>
    <row r="34" customFormat="false" ht="15" hidden="false" customHeight="true" outlineLevel="0" collapsed="false">
      <c r="A34" s="10" t="s">
        <v>823</v>
      </c>
      <c r="B34" s="10" t="n">
        <f aca="false">COUNTIF(Events!$F$2:$F$265,A34)</f>
        <v>8</v>
      </c>
      <c r="C34" s="10"/>
      <c r="D34" s="10"/>
      <c r="E34" s="10"/>
      <c r="F34" s="10"/>
      <c r="G34" s="10"/>
      <c r="H34" s="10"/>
      <c r="I34" s="10"/>
      <c r="J34" s="10"/>
      <c r="K34" s="10"/>
    </row>
    <row r="35" customFormat="false" ht="15" hidden="false" customHeight="true" outlineLevel="0" collapsed="false">
      <c r="A35" s="10" t="s">
        <v>1107</v>
      </c>
      <c r="B35" s="10" t="n">
        <f aca="false">COUNTIF(Events!$F$2:$F$265,A35)</f>
        <v>4</v>
      </c>
      <c r="C35" s="10"/>
      <c r="D35" s="10"/>
      <c r="E35" s="10"/>
      <c r="F35" s="10"/>
      <c r="G35" s="10"/>
      <c r="H35" s="10"/>
      <c r="I35" s="10"/>
      <c r="J35" s="10"/>
      <c r="K35" s="10"/>
    </row>
    <row r="36" customFormat="false" ht="15" hidden="false" customHeight="true" outlineLevel="0" collapsed="false">
      <c r="A36" s="10" t="s">
        <v>1390</v>
      </c>
      <c r="B36" s="10" t="n">
        <f aca="false">COUNTIF(Events!$F$2:$F$265,A36)</f>
        <v>1</v>
      </c>
      <c r="C36" s="10"/>
      <c r="D36" s="10"/>
      <c r="E36" s="10"/>
      <c r="F36" s="10"/>
      <c r="G36" s="10"/>
      <c r="H36" s="10"/>
      <c r="I36" s="10"/>
      <c r="J36" s="10"/>
      <c r="K36" s="10"/>
    </row>
    <row r="37" customFormat="false" ht="15" hidden="false" customHeight="true" outlineLevel="0" collapsed="false">
      <c r="A37" s="10" t="s">
        <v>1744</v>
      </c>
      <c r="B37" s="10" t="n">
        <f aca="false">COUNTIF(Events!$F$2:$F$265,A37)</f>
        <v>1</v>
      </c>
      <c r="C37" s="10"/>
      <c r="D37" s="10"/>
      <c r="E37" s="10"/>
      <c r="F37" s="10"/>
      <c r="G37" s="10"/>
      <c r="H37" s="10"/>
      <c r="I37" s="10"/>
      <c r="J37" s="10"/>
      <c r="K37" s="10"/>
    </row>
    <row r="38" customFormat="false" ht="15" hidden="false" customHeight="true" outlineLevel="0" collapsed="false">
      <c r="A38" s="10" t="s">
        <v>1802</v>
      </c>
      <c r="B38" s="10" t="n">
        <f aca="false">COUNTIF(Events!$F$2:$F$265,A38)</f>
        <v>1</v>
      </c>
      <c r="C38" s="10"/>
      <c r="D38" s="10"/>
      <c r="E38" s="10"/>
      <c r="F38" s="10"/>
      <c r="G38" s="10"/>
      <c r="H38" s="10"/>
      <c r="I38" s="10"/>
      <c r="J38" s="10"/>
      <c r="K38" s="10"/>
    </row>
    <row r="39" customFormat="false" ht="15" hidden="false" customHeight="true" outlineLevel="0" collapsed="false">
      <c r="A39" s="10" t="s">
        <v>580</v>
      </c>
      <c r="B39" s="10" t="n">
        <f aca="false">COUNTIF(Events!$F$2:$F$265,A39)</f>
        <v>6</v>
      </c>
      <c r="C39" s="10"/>
      <c r="D39" s="10"/>
      <c r="E39" s="10"/>
      <c r="F39" s="10"/>
      <c r="G39" s="10"/>
      <c r="H39" s="10"/>
      <c r="I39" s="10"/>
      <c r="J39" s="10"/>
      <c r="K39" s="10"/>
    </row>
    <row r="40" customFormat="false" ht="15" hidden="false" customHeight="true" outlineLevel="0" collapsed="false">
      <c r="A40" s="10" t="s">
        <v>1493</v>
      </c>
      <c r="B40" s="10" t="n">
        <f aca="false">COUNTIF(Events!$F$2:$F$265,A40)</f>
        <v>1</v>
      </c>
      <c r="C40" s="10"/>
      <c r="D40" s="10"/>
      <c r="E40" s="10"/>
      <c r="F40" s="10"/>
      <c r="G40" s="10"/>
      <c r="H40" s="10"/>
      <c r="I40" s="10"/>
      <c r="J40" s="10"/>
      <c r="K40" s="10"/>
    </row>
    <row r="41" customFormat="false" ht="15" hidden="false" customHeight="true" outlineLevel="0" collapsed="false">
      <c r="A41" s="10" t="s">
        <v>459</v>
      </c>
      <c r="B41" s="10" t="n">
        <f aca="false">COUNTIF(Events!$F$2:$F$265,A41)</f>
        <v>8</v>
      </c>
      <c r="C41" s="10"/>
      <c r="D41" s="10"/>
      <c r="E41" s="10"/>
      <c r="F41" s="10"/>
      <c r="G41" s="10"/>
      <c r="H41" s="10"/>
      <c r="I41" s="10"/>
      <c r="J41" s="10"/>
      <c r="K41" s="10"/>
    </row>
    <row r="42" customFormat="false" ht="15" hidden="false" customHeight="true" outlineLevel="0" collapsed="false">
      <c r="A42" s="10" t="s">
        <v>905</v>
      </c>
      <c r="B42" s="10" t="n">
        <f aca="false">COUNTIF(Events!$F$2:$F$265,A42)</f>
        <v>3</v>
      </c>
      <c r="C42" s="10"/>
      <c r="D42" s="10"/>
      <c r="E42" s="10"/>
      <c r="F42" s="10"/>
      <c r="G42" s="10"/>
      <c r="H42" s="10"/>
      <c r="I42" s="10"/>
      <c r="J42" s="10"/>
      <c r="K42" s="10"/>
    </row>
    <row r="43" customFormat="false" ht="15" hidden="false" customHeight="true" outlineLevel="0" collapsed="false">
      <c r="A43" s="10" t="s">
        <v>359</v>
      </c>
      <c r="B43" s="10" t="n">
        <f aca="false">COUNTIF(Events!$F$2:$F$265,A43)</f>
        <v>1</v>
      </c>
      <c r="C43" s="10"/>
      <c r="D43" s="10"/>
      <c r="E43" s="10"/>
      <c r="F43" s="10"/>
      <c r="G43" s="10"/>
      <c r="H43" s="10"/>
      <c r="I43" s="10"/>
      <c r="J43" s="10"/>
      <c r="K43" s="10"/>
    </row>
    <row r="44" customFormat="false" ht="15" hidden="false" customHeight="true" outlineLevel="0" collapsed="false">
      <c r="A44" s="10" t="s">
        <v>412</v>
      </c>
      <c r="B44" s="10" t="n">
        <f aca="false">COUNTIF(Events!$F$2:$F$265,A44)</f>
        <v>1</v>
      </c>
      <c r="C44" s="10"/>
      <c r="D44" s="10"/>
      <c r="E44" s="10"/>
      <c r="F44" s="10"/>
      <c r="G44" s="10"/>
      <c r="H44" s="10"/>
      <c r="I44" s="10"/>
      <c r="J44" s="10"/>
      <c r="K44" s="10"/>
    </row>
    <row r="45" customFormat="false" ht="15" hidden="false" customHeight="true" outlineLevel="0" collapsed="false">
      <c r="A45" s="10" t="s">
        <v>1636</v>
      </c>
      <c r="B45" s="10" t="n">
        <f aca="false">COUNTIF(Events!$F$2:$F$265,A45)</f>
        <v>1</v>
      </c>
      <c r="C45" s="10"/>
      <c r="D45" s="10"/>
      <c r="E45" s="10"/>
      <c r="F45" s="10"/>
      <c r="G45" s="10"/>
      <c r="H45" s="10"/>
      <c r="I45" s="10"/>
      <c r="J45" s="10"/>
      <c r="K45" s="10"/>
    </row>
    <row r="46" customFormat="false" ht="15" hidden="false" customHeight="true" outlineLevel="0" collapsed="false">
      <c r="A46" s="10" t="s">
        <v>342</v>
      </c>
      <c r="B46" s="10" t="n">
        <f aca="false">COUNTIF(Events!$F$2:$F$265,A46)</f>
        <v>2</v>
      </c>
      <c r="C46" s="10"/>
      <c r="D46" s="10"/>
      <c r="E46" s="10"/>
      <c r="F46" s="10"/>
      <c r="G46" s="10"/>
      <c r="H46" s="10"/>
      <c r="I46" s="10"/>
      <c r="J46" s="10"/>
      <c r="K46" s="10"/>
    </row>
    <row r="47" customFormat="false" ht="15" hidden="false" customHeight="true" outlineLevel="0" collapsed="false">
      <c r="A47" s="10" t="s">
        <v>1772</v>
      </c>
      <c r="B47" s="10" t="n">
        <f aca="false">COUNTIF(Events!$F$2:$F$265,A47)</f>
        <v>1</v>
      </c>
      <c r="C47" s="10"/>
      <c r="D47" s="10"/>
      <c r="E47" s="10"/>
      <c r="F47" s="10"/>
      <c r="G47" s="10"/>
      <c r="H47" s="10"/>
      <c r="I47" s="10"/>
      <c r="J47" s="10"/>
      <c r="K47" s="10"/>
    </row>
    <row r="48" customFormat="false" ht="15" hidden="false" customHeight="true" outlineLevel="0" collapsed="false">
      <c r="A48" s="10" t="s">
        <v>159</v>
      </c>
      <c r="B48" s="10" t="n">
        <f aca="false">COUNTIF(Events!$F$2:$F$265,A48)</f>
        <v>12</v>
      </c>
      <c r="C48" s="10"/>
      <c r="D48" s="10"/>
      <c r="E48" s="10"/>
      <c r="F48" s="10"/>
      <c r="G48" s="10"/>
      <c r="H48" s="10"/>
      <c r="I48" s="10"/>
      <c r="J48" s="10"/>
      <c r="K48" s="10"/>
    </row>
    <row r="49" customFormat="false" ht="15" hidden="false" customHeight="true" outlineLevel="0" collapsed="false">
      <c r="A49" s="10" t="s">
        <v>1222</v>
      </c>
      <c r="B49" s="10" t="n">
        <f aca="false">COUNTIF(Events!$F$2:$F$265,A49)</f>
        <v>1</v>
      </c>
      <c r="C49" s="10"/>
      <c r="D49" s="10"/>
      <c r="E49" s="10"/>
      <c r="F49" s="10"/>
      <c r="G49" s="10"/>
      <c r="H49" s="10"/>
      <c r="I49" s="10"/>
      <c r="J49" s="10"/>
      <c r="K49" s="10"/>
    </row>
    <row r="50" customFormat="false" ht="15" hidden="false" customHeight="true" outlineLevel="0" collapsed="false">
      <c r="A50" s="10" t="s">
        <v>1383</v>
      </c>
      <c r="B50" s="10" t="n">
        <f aca="false">COUNTIF(Events!$F$2:$F$265,A50)</f>
        <v>1</v>
      </c>
      <c r="C50" s="10"/>
      <c r="D50" s="10"/>
      <c r="E50" s="10"/>
      <c r="F50" s="10"/>
      <c r="G50" s="10"/>
      <c r="H50" s="10"/>
      <c r="I50" s="10"/>
      <c r="J50" s="10"/>
      <c r="K50" s="10"/>
    </row>
    <row r="51" customFormat="false" ht="15" hidden="false" customHeight="true" outlineLevel="0" collapsed="false">
      <c r="A51" s="10" t="s">
        <v>1305</v>
      </c>
      <c r="B51" s="10" t="n">
        <f aca="false">COUNTIF(Events!$F$2:$F$265,A51)</f>
        <v>3</v>
      </c>
      <c r="C51" s="10"/>
      <c r="D51" s="10"/>
      <c r="E51" s="10"/>
      <c r="F51" s="10"/>
      <c r="G51" s="10"/>
      <c r="H51" s="10"/>
      <c r="I51" s="10"/>
      <c r="J51" s="10"/>
      <c r="K51" s="10"/>
    </row>
    <row r="52" customFormat="false" ht="15" hidden="false" customHeight="true" outlineLevel="0" collapsed="false">
      <c r="A52" s="10" t="s">
        <v>129</v>
      </c>
      <c r="B52" s="10" t="n">
        <f aca="false">COUNTIF(Events!$F$2:$F$265,A52)</f>
        <v>10</v>
      </c>
      <c r="C52" s="10"/>
      <c r="D52" s="10"/>
      <c r="E52" s="10"/>
      <c r="F52" s="10"/>
      <c r="G52" s="10"/>
      <c r="H52" s="10"/>
      <c r="I52" s="10"/>
      <c r="J52" s="10"/>
      <c r="K52" s="10"/>
    </row>
    <row r="53" customFormat="false" ht="15" hidden="false" customHeight="true" outlineLevel="0" collapsed="false">
      <c r="A53" s="10" t="s">
        <v>655</v>
      </c>
      <c r="B53" s="10" t="n">
        <f aca="false">COUNTIF(Events!$F$2:$F$265,A53)</f>
        <v>2</v>
      </c>
      <c r="C53" s="10"/>
      <c r="D53" s="10"/>
      <c r="E53" s="10"/>
      <c r="F53" s="10"/>
      <c r="G53" s="10"/>
      <c r="H53" s="10"/>
      <c r="I53" s="10"/>
      <c r="J53" s="10"/>
      <c r="K53" s="10"/>
    </row>
    <row r="54" customFormat="false" ht="15" hidden="false" customHeight="true" outlineLevel="0" collapsed="false">
      <c r="A54" s="10" t="s">
        <v>1656</v>
      </c>
      <c r="B54" s="10" t="n">
        <f aca="false">COUNTIF(Events!$F$2:$F$265,A54)</f>
        <v>1</v>
      </c>
      <c r="C54" s="10"/>
      <c r="D54" s="10"/>
      <c r="E54" s="10"/>
      <c r="F54" s="10"/>
      <c r="G54" s="10"/>
      <c r="H54" s="10"/>
      <c r="I54" s="10"/>
      <c r="J54" s="10"/>
      <c r="K54" s="10"/>
    </row>
    <row r="55" customFormat="false" ht="15" hidden="false" customHeight="true" outlineLevel="0" collapsed="false">
      <c r="A55" s="10" t="s">
        <v>1255</v>
      </c>
      <c r="B55" s="10" t="n">
        <f aca="false">COUNTIF(Events!$F$2:$F$265,A55)</f>
        <v>3</v>
      </c>
      <c r="C55" s="10"/>
      <c r="D55" s="10"/>
      <c r="E55" s="10"/>
      <c r="F55" s="10"/>
      <c r="G55" s="10"/>
      <c r="H55" s="10"/>
      <c r="I55" s="10"/>
      <c r="J55" s="10"/>
      <c r="K55" s="10"/>
    </row>
    <row r="56" customFormat="false" ht="15" hidden="false" customHeight="true" outlineLevel="0" collapsed="false">
      <c r="A56" s="10" t="s">
        <v>1431</v>
      </c>
      <c r="B56" s="10" t="n">
        <f aca="false">COUNTIF(Events!$F$2:$F$265,A56)</f>
        <v>2</v>
      </c>
      <c r="C56" s="10"/>
      <c r="D56" s="10"/>
      <c r="E56" s="10"/>
      <c r="F56" s="10"/>
      <c r="G56" s="10"/>
      <c r="H56" s="10"/>
      <c r="I56" s="10"/>
      <c r="J56" s="10"/>
      <c r="K56" s="10"/>
    </row>
    <row r="57" customFormat="false" ht="15" hidden="false" customHeight="true" outlineLevel="0" collapsed="false">
      <c r="A57" s="10" t="s">
        <v>771</v>
      </c>
      <c r="B57" s="10" t="n">
        <f aca="false">COUNTIF(Events!$F$2:$F$265,A57)</f>
        <v>5</v>
      </c>
      <c r="C57" s="10"/>
      <c r="D57" s="10"/>
      <c r="E57" s="10"/>
      <c r="F57" s="10"/>
      <c r="G57" s="10"/>
      <c r="H57" s="10"/>
      <c r="I57" s="10"/>
      <c r="J57" s="10"/>
      <c r="K57" s="10"/>
    </row>
    <row r="58" customFormat="false" ht="15" hidden="false" customHeight="true" outlineLevel="0" collapsed="false">
      <c r="A58" s="10" t="s">
        <v>621</v>
      </c>
      <c r="B58" s="10" t="n">
        <f aca="false">COUNTIF(Events!$F$2:$F$265,A58)</f>
        <v>2</v>
      </c>
      <c r="C58" s="10"/>
      <c r="D58" s="10"/>
      <c r="E58" s="10"/>
      <c r="F58" s="10"/>
      <c r="G58" s="10"/>
      <c r="H58" s="10"/>
      <c r="I58" s="10"/>
      <c r="J58" s="10"/>
      <c r="K58" s="10"/>
    </row>
    <row r="59" customFormat="false" ht="15" hidden="false" customHeight="true" outlineLevel="0" collapsed="false">
      <c r="A59" s="10" t="s">
        <v>928</v>
      </c>
      <c r="B59" s="10" t="n">
        <f aca="false">COUNTIF(Events!$F$2:$F$265,A59)</f>
        <v>1</v>
      </c>
      <c r="C59" s="10"/>
      <c r="D59" s="10"/>
      <c r="E59" s="10"/>
      <c r="F59" s="10"/>
      <c r="G59" s="10"/>
      <c r="H59" s="10"/>
      <c r="I59" s="10"/>
      <c r="J59" s="10"/>
      <c r="K59" s="10"/>
    </row>
    <row r="60" customFormat="false" ht="15" hidden="false" customHeight="true" outlineLevel="0" collapsed="false">
      <c r="A60" s="10" t="s">
        <v>167</v>
      </c>
      <c r="B60" s="10" t="n">
        <f aca="false">COUNTIF(Events!$F$2:$F$265,A60)</f>
        <v>1</v>
      </c>
      <c r="C60" s="10"/>
      <c r="D60" s="10"/>
      <c r="E60" s="10"/>
      <c r="F60" s="10"/>
      <c r="G60" s="10"/>
      <c r="H60" s="10"/>
      <c r="I60" s="10"/>
      <c r="J60" s="10"/>
      <c r="K60" s="10"/>
    </row>
    <row r="61" customFormat="false" ht="15" hidden="false" customHeight="true" outlineLevel="0" collapsed="false">
      <c r="A61" s="10" t="s">
        <v>1782</v>
      </c>
      <c r="B61" s="10" t="n">
        <f aca="false">COUNTIF(Events!$F$2:$F$265,A61)</f>
        <v>1</v>
      </c>
      <c r="C61" s="10"/>
      <c r="D61" s="10"/>
      <c r="E61" s="10"/>
      <c r="F61" s="10"/>
      <c r="G61" s="10"/>
      <c r="H61" s="10"/>
      <c r="I61" s="10"/>
      <c r="J61" s="10"/>
      <c r="K61" s="10"/>
    </row>
    <row r="62" customFormat="false" ht="15" hidden="false" customHeight="true" outlineLevel="0" collapsed="false">
      <c r="A62" s="10" t="s">
        <v>1572</v>
      </c>
      <c r="B62" s="10" t="n">
        <f aca="false">COUNTIF(Events!$F$2:$F$265,A62)</f>
        <v>2</v>
      </c>
      <c r="C62" s="10"/>
      <c r="D62" s="10"/>
      <c r="E62" s="10"/>
      <c r="F62" s="10"/>
      <c r="G62" s="10"/>
      <c r="H62" s="10"/>
      <c r="I62" s="10"/>
      <c r="J62" s="10"/>
      <c r="K62" s="10"/>
    </row>
    <row r="63" customFormat="false" ht="15" hidden="false" customHeight="true" outlineLevel="0" collapsed="false">
      <c r="A63" s="10" t="s">
        <v>1409</v>
      </c>
      <c r="B63" s="10" t="n">
        <f aca="false">COUNTIF(Events!$F$2:$F$265,A63)</f>
        <v>2</v>
      </c>
      <c r="C63" s="10"/>
      <c r="D63" s="10"/>
      <c r="E63" s="10"/>
      <c r="F63" s="10"/>
      <c r="G63" s="10"/>
      <c r="H63" s="10"/>
      <c r="I63" s="10"/>
      <c r="J63" s="10"/>
      <c r="K63" s="10"/>
    </row>
    <row r="64" customFormat="false" ht="15" hidden="false" customHeight="true" outlineLevel="0" collapsed="false">
      <c r="A64" s="10" t="s">
        <v>328</v>
      </c>
      <c r="B64" s="10" t="n">
        <f aca="false">COUNTIF(Events!$F$2:$F$265,A64)</f>
        <v>1</v>
      </c>
      <c r="C64" s="10"/>
      <c r="D64" s="10"/>
      <c r="E64" s="10"/>
      <c r="F64" s="10"/>
      <c r="G64" s="10"/>
      <c r="H64" s="10"/>
      <c r="I64" s="10"/>
      <c r="J64" s="10"/>
      <c r="K64" s="10"/>
    </row>
    <row r="65" customFormat="false" ht="15" hidden="false" customHeight="true" outlineLevel="0" collapsed="false">
      <c r="A65" s="10" t="s">
        <v>728</v>
      </c>
      <c r="B65" s="10" t="n">
        <f aca="false">COUNTIF(Events!$F$2:$F$265,A65)</f>
        <v>4</v>
      </c>
      <c r="C65" s="10"/>
      <c r="D65" s="10"/>
      <c r="E65" s="10"/>
      <c r="F65" s="10"/>
      <c r="G65" s="10"/>
      <c r="H65" s="10"/>
      <c r="I65" s="10"/>
      <c r="J65" s="10"/>
      <c r="K65" s="10"/>
    </row>
    <row r="66" customFormat="false" ht="15" hidden="false" customHeight="true" outlineLevel="0" collapsed="false">
      <c r="A66" s="10" t="s">
        <v>1768</v>
      </c>
      <c r="B66" s="10" t="n">
        <f aca="false">COUNTIF(Events!$F$2:$F$265,A66)</f>
        <v>1</v>
      </c>
      <c r="C66" s="10"/>
      <c r="D66" s="10"/>
      <c r="E66" s="10"/>
      <c r="F66" s="10"/>
      <c r="G66" s="10"/>
      <c r="H66" s="10"/>
      <c r="I66" s="10"/>
      <c r="J66" s="10"/>
      <c r="K66" s="10"/>
    </row>
    <row r="67" customFormat="false" ht="15" hidden="false" customHeight="true" outlineLevel="0" collapsed="false">
      <c r="A67" s="10" t="s">
        <v>139</v>
      </c>
      <c r="B67" s="10" t="n">
        <f aca="false">COUNTIF(Events!$F$2:$F$265,A67)</f>
        <v>12</v>
      </c>
      <c r="C67" s="10"/>
      <c r="D67" s="10"/>
      <c r="E67" s="10"/>
      <c r="F67" s="10"/>
      <c r="G67" s="10"/>
      <c r="H67" s="10"/>
      <c r="I67" s="10"/>
      <c r="J67" s="10"/>
      <c r="K67" s="10"/>
    </row>
    <row r="68" customFormat="false" ht="15" hidden="false" customHeight="true" outlineLevel="0" collapsed="false">
      <c r="A68" s="10" t="s">
        <v>368</v>
      </c>
      <c r="B68" s="10" t="n">
        <f aca="false">COUNTIF(Events!$F$2:$F$265,A68)</f>
        <v>1</v>
      </c>
      <c r="C68" s="10"/>
      <c r="D68" s="10"/>
      <c r="E68" s="10"/>
      <c r="F68" s="10"/>
      <c r="G68" s="10"/>
      <c r="H68" s="10"/>
      <c r="I68" s="10"/>
      <c r="J68" s="10"/>
      <c r="K68" s="10"/>
    </row>
    <row r="69" customFormat="false" ht="15" hidden="false" customHeight="true" outlineLevel="0" collapsed="false">
      <c r="A69" s="10" t="s">
        <v>211</v>
      </c>
      <c r="B69" s="10" t="n">
        <f aca="false">COUNTIF(Events!$F$2:$F$265,A69)</f>
        <v>1</v>
      </c>
      <c r="C69" s="10"/>
      <c r="D69" s="10"/>
      <c r="E69" s="10"/>
      <c r="F69" s="10"/>
      <c r="G69" s="10"/>
      <c r="H69" s="10"/>
      <c r="I69" s="10"/>
      <c r="J69" s="10"/>
      <c r="K69" s="10"/>
    </row>
    <row r="70" customFormat="false" ht="15" hidden="false" customHeight="true" outlineLevel="0" collapsed="false">
      <c r="A70" s="10" t="s">
        <v>979</v>
      </c>
      <c r="B70" s="10" t="n">
        <f aca="false">COUNTIF(Events!$F$2:$F$265,A70)</f>
        <v>4</v>
      </c>
      <c r="C70" s="10"/>
      <c r="D70" s="10"/>
      <c r="E70" s="10"/>
      <c r="F70" s="10"/>
      <c r="G70" s="10"/>
      <c r="H70" s="10"/>
      <c r="I70" s="10"/>
      <c r="J70" s="10"/>
      <c r="K70" s="10"/>
    </row>
    <row r="71" customFormat="false" ht="15" hidden="false" customHeight="true" outlineLevel="0" collapsed="false">
      <c r="A71" s="10" t="s">
        <v>1278</v>
      </c>
      <c r="B71" s="10" t="n">
        <f aca="false">COUNTIF(Events!$F$2:$F$265,A71)</f>
        <v>1</v>
      </c>
      <c r="C71" s="10"/>
      <c r="D71" s="10"/>
      <c r="E71" s="10"/>
      <c r="F71" s="10"/>
      <c r="G71" s="10"/>
      <c r="H71" s="10"/>
      <c r="I71" s="10"/>
      <c r="J71" s="10"/>
      <c r="K71" s="10"/>
    </row>
    <row r="72" customFormat="false" ht="15" hidden="false" customHeight="true" outlineLevel="0" collapsed="false">
      <c r="A72" s="10" t="s">
        <v>1666</v>
      </c>
      <c r="B72" s="10" t="n">
        <f aca="false">COUNTIF(Events!$F$2:$F$265,A72)</f>
        <v>1</v>
      </c>
      <c r="C72" s="10"/>
      <c r="D72" s="10"/>
      <c r="E72" s="10"/>
      <c r="F72" s="10"/>
      <c r="G72" s="10"/>
      <c r="H72" s="10"/>
      <c r="I72" s="10"/>
      <c r="J72" s="10"/>
      <c r="K72" s="10"/>
    </row>
    <row r="73" customFormat="false" ht="15" hidden="false" customHeight="true" outlineLevel="0" collapsed="false">
      <c r="A73" s="10" t="s">
        <v>1195</v>
      </c>
      <c r="B73" s="10" t="n">
        <f aca="false">COUNTIF(Events!$F$2:$F$265,A73)</f>
        <v>3</v>
      </c>
      <c r="C73" s="10"/>
      <c r="D73" s="10"/>
      <c r="E73" s="10"/>
      <c r="F73" s="10"/>
      <c r="G73" s="10"/>
      <c r="H73" s="10"/>
      <c r="I73" s="10"/>
      <c r="J73" s="10"/>
      <c r="K73" s="10"/>
    </row>
    <row r="74" customFormat="false" ht="15" hidden="false" customHeight="true" outlineLevel="0" collapsed="false">
      <c r="A74" s="10" t="s">
        <v>1688</v>
      </c>
      <c r="B74" s="10" t="n">
        <f aca="false">COUNTIF(Events!$F$2:$F$265,A74)</f>
        <v>1</v>
      </c>
      <c r="C74" s="10"/>
      <c r="D74" s="10"/>
      <c r="E74" s="10"/>
      <c r="F74" s="10"/>
      <c r="G74" s="10"/>
      <c r="H74" s="10"/>
      <c r="I74" s="10"/>
      <c r="J74" s="10"/>
      <c r="K74" s="10"/>
    </row>
    <row r="75" customFormat="false" ht="15" hidden="false" customHeight="true" outlineLevel="0" collapsed="false">
      <c r="A75" s="10" t="s">
        <v>67</v>
      </c>
      <c r="B75" s="10" t="n">
        <f aca="false">COUNTIF(Events!$F$2:$F$265,A75)</f>
        <v>18</v>
      </c>
      <c r="C75" s="10"/>
      <c r="D75" s="10"/>
      <c r="E75" s="10"/>
      <c r="F75" s="10"/>
      <c r="G75" s="10"/>
      <c r="H75" s="10"/>
      <c r="I75" s="10"/>
      <c r="J75" s="10"/>
      <c r="K75" s="10"/>
    </row>
    <row r="76" customFormat="false" ht="15" hidden="false" customHeight="true" outlineLevel="0" collapsed="false">
      <c r="A76" s="10" t="s">
        <v>377</v>
      </c>
      <c r="B76" s="10" t="n">
        <f aca="false">COUNTIF(Events!$F$2:$F$265,A76)</f>
        <v>2</v>
      </c>
      <c r="C76" s="10"/>
      <c r="D76" s="10"/>
      <c r="E76" s="10"/>
      <c r="F76" s="10"/>
      <c r="G76" s="10"/>
      <c r="H76" s="10"/>
      <c r="I76" s="10"/>
      <c r="J76" s="10"/>
      <c r="K76" s="10"/>
    </row>
    <row r="77" customFormat="false" ht="15" hidden="false" customHeight="true" outlineLevel="0" collapsed="false">
      <c r="A77" s="10" t="s">
        <v>97</v>
      </c>
      <c r="B77" s="10" t="n">
        <f aca="false">COUNTIF(Events!$F$2:$F$265,A77)</f>
        <v>8</v>
      </c>
      <c r="C77" s="10"/>
      <c r="D77" s="10"/>
      <c r="E77" s="10"/>
      <c r="F77" s="10"/>
      <c r="G77" s="10"/>
      <c r="H77" s="10"/>
      <c r="I77" s="10"/>
      <c r="J77" s="10"/>
      <c r="K77" s="10"/>
    </row>
    <row r="78" customFormat="false" ht="15" hidden="false" customHeight="true" outlineLevel="0" collapsed="false">
      <c r="A78" s="10" t="s">
        <v>286</v>
      </c>
      <c r="B78" s="10" t="n">
        <f aca="false">COUNTIF(Events!$F$2:$F$265,A78)</f>
        <v>1</v>
      </c>
      <c r="C78" s="10"/>
      <c r="D78" s="10"/>
      <c r="E78" s="10"/>
      <c r="F78" s="10"/>
      <c r="G78" s="10"/>
      <c r="H78" s="10"/>
      <c r="I78" s="10"/>
      <c r="J78" s="10"/>
      <c r="K78" s="10"/>
    </row>
    <row r="79" customFormat="false" ht="15" hidden="false" customHeight="true" outlineLevel="0" collapsed="false">
      <c r="A79" s="10" t="s">
        <v>1445</v>
      </c>
      <c r="B79" s="10" t="n">
        <f aca="false">COUNTIF(Events!$F$2:$F$265,A79)</f>
        <v>4</v>
      </c>
      <c r="C79" s="10"/>
      <c r="D79" s="10"/>
      <c r="E79" s="10"/>
      <c r="F79" s="10"/>
      <c r="G79" s="10"/>
      <c r="H79" s="10"/>
      <c r="I79" s="10"/>
      <c r="J79" s="10"/>
      <c r="K79" s="10"/>
    </row>
    <row r="80" customFormat="false" ht="15" hidden="false" customHeight="true" outlineLevel="0" collapsed="false">
      <c r="A80" s="10" t="s">
        <v>262</v>
      </c>
      <c r="B80" s="10" t="n">
        <f aca="false">COUNTIF(Events!$F$2:$F$265,A80)</f>
        <v>1</v>
      </c>
      <c r="C80" s="10"/>
      <c r="D80" s="10"/>
      <c r="E80" s="10"/>
      <c r="F80" s="10"/>
      <c r="G80" s="10"/>
      <c r="H80" s="10"/>
      <c r="I80" s="10"/>
      <c r="J80" s="10"/>
      <c r="K80" s="10"/>
    </row>
    <row r="81" customFormat="false" ht="15" hidden="false" customHeight="true" outlineLevel="0" collapsed="false">
      <c r="A81" s="10" t="s">
        <v>966</v>
      </c>
      <c r="B81" s="10" t="n">
        <f aca="false">COUNTIF(Events!$F$2:$F$265,A81)</f>
        <v>1</v>
      </c>
      <c r="C81" s="10"/>
      <c r="D81" s="10"/>
      <c r="E81" s="10"/>
      <c r="F81" s="10"/>
      <c r="G81" s="10"/>
      <c r="H81" s="10"/>
      <c r="I81" s="10"/>
      <c r="J81" s="10"/>
      <c r="K81" s="10"/>
    </row>
    <row r="82" customFormat="false" ht="15" hidden="false" customHeight="true" outlineLevel="0" collapsed="false">
      <c r="A82" s="10" t="s">
        <v>1599</v>
      </c>
      <c r="B82" s="10" t="n">
        <f aca="false">COUNTIF(Events!$F$2:$F$265,A82)</f>
        <v>1</v>
      </c>
      <c r="C82" s="10"/>
      <c r="D82" s="10"/>
      <c r="E82" s="10"/>
      <c r="F82" s="10"/>
      <c r="G82" s="10"/>
      <c r="H82" s="10"/>
      <c r="I82" s="10"/>
      <c r="J82" s="10"/>
      <c r="K82" s="10"/>
    </row>
    <row r="83" customFormat="false" ht="15" hidden="false" customHeight="true" outlineLevel="0" collapsed="false">
      <c r="A83" s="10" t="s">
        <v>935</v>
      </c>
      <c r="B83" s="10" t="n">
        <f aca="false">COUNTIF(Events!$F$2:$F$265,A83)</f>
        <v>2</v>
      </c>
      <c r="C83" s="10"/>
      <c r="D83" s="10"/>
      <c r="E83" s="10"/>
      <c r="F83" s="10"/>
      <c r="G83" s="10"/>
      <c r="H83" s="10"/>
      <c r="I83" s="10"/>
      <c r="J83" s="10"/>
      <c r="K83" s="10"/>
    </row>
    <row r="84" customFormat="false" ht="15" hidden="false" customHeight="true" outlineLevel="0" collapsed="false">
      <c r="A84" s="10"/>
      <c r="B84" s="10"/>
      <c r="C84" s="10"/>
      <c r="D84" s="10"/>
      <c r="E84" s="10"/>
      <c r="F84" s="10"/>
      <c r="G84" s="10"/>
      <c r="H84" s="10"/>
      <c r="I84" s="10"/>
      <c r="J84" s="10"/>
      <c r="K84" s="10"/>
    </row>
    <row r="85" customFormat="false" ht="15" hidden="false" customHeight="true" outlineLevel="0" collapsed="false">
      <c r="A85" s="9" t="s">
        <v>2320</v>
      </c>
      <c r="B85" s="10" t="n">
        <f aca="false">SUM(B3:B84)</f>
        <v>264</v>
      </c>
      <c r="C85" s="10"/>
      <c r="D85" s="10"/>
      <c r="E85" s="10"/>
      <c r="F85" s="10"/>
      <c r="G85" s="10"/>
      <c r="H85" s="10"/>
      <c r="I85" s="10"/>
      <c r="J85" s="10"/>
      <c r="K85"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5"/>
    <col collapsed="false" customWidth="true" hidden="false" outlineLevel="0" max="2" min="2" style="1" width="60"/>
    <col collapsed="false" customWidth="true" hidden="false" outlineLevel="0" max="3" min="3" style="1" width="70"/>
  </cols>
  <sheetData>
    <row r="1" customFormat="false" ht="15" hidden="false" customHeight="true" outlineLevel="0" collapsed="false">
      <c r="A1" s="6" t="s">
        <v>2097</v>
      </c>
      <c r="B1" s="6" t="s">
        <v>2321</v>
      </c>
      <c r="C1" s="6" t="s">
        <v>2322</v>
      </c>
    </row>
    <row r="2" customFormat="false" ht="23.25" hidden="false" customHeight="true" outlineLevel="0" collapsed="false">
      <c r="A2" s="7" t="s">
        <v>627</v>
      </c>
      <c r="B2" s="7" t="s">
        <v>628</v>
      </c>
      <c r="C2" s="7" t="s">
        <v>2323</v>
      </c>
    </row>
    <row r="3" customFormat="false" ht="23.25" hidden="false" customHeight="true" outlineLevel="0" collapsed="false">
      <c r="A3" s="7" t="s">
        <v>2324</v>
      </c>
      <c r="B3" s="7" t="s">
        <v>1819</v>
      </c>
      <c r="C3" s="7" t="s">
        <v>2325</v>
      </c>
    </row>
    <row r="4" customFormat="false" ht="15" hidden="false" customHeight="true" outlineLevel="0" collapsed="false">
      <c r="A4" s="7" t="s">
        <v>2326</v>
      </c>
      <c r="B4" s="7" t="s">
        <v>2327</v>
      </c>
      <c r="C4" s="7" t="s">
        <v>2328</v>
      </c>
    </row>
    <row r="5" customFormat="false" ht="15" hidden="false" customHeight="true" outlineLevel="0" collapsed="false">
      <c r="A5" s="7" t="s">
        <v>985</v>
      </c>
      <c r="B5" s="7" t="s">
        <v>986</v>
      </c>
      <c r="C5" s="7" t="s">
        <v>2329</v>
      </c>
    </row>
    <row r="6" customFormat="false" ht="23.25" hidden="false" customHeight="true" outlineLevel="0" collapsed="false">
      <c r="A6" s="7" t="s">
        <v>1247</v>
      </c>
      <c r="B6" s="7" t="s">
        <v>1248</v>
      </c>
      <c r="C6" s="7" t="s">
        <v>2330</v>
      </c>
    </row>
    <row r="7" customFormat="false" ht="23.25" hidden="false" customHeight="true" outlineLevel="0" collapsed="false">
      <c r="A7" s="7" t="s">
        <v>2331</v>
      </c>
      <c r="B7" s="7" t="s">
        <v>628</v>
      </c>
      <c r="C7" s="7" t="s">
        <v>2332</v>
      </c>
    </row>
    <row r="8" customFormat="false" ht="23.25" hidden="false" customHeight="true" outlineLevel="0" collapsed="false">
      <c r="A8" s="7" t="s">
        <v>2333</v>
      </c>
      <c r="B8" s="7" t="s">
        <v>1200</v>
      </c>
      <c r="C8" s="7" t="s">
        <v>2334</v>
      </c>
    </row>
    <row r="9" customFormat="false" ht="68.25" hidden="false" customHeight="true" outlineLevel="0" collapsed="false">
      <c r="A9" s="7" t="s">
        <v>73</v>
      </c>
      <c r="B9" s="7" t="s">
        <v>74</v>
      </c>
      <c r="C9" s="7" t="s">
        <v>2335</v>
      </c>
    </row>
    <row r="10" customFormat="false" ht="34.5" hidden="false" customHeight="true" outlineLevel="0" collapsed="false">
      <c r="A10" s="7" t="s">
        <v>2336</v>
      </c>
      <c r="B10" s="7" t="s">
        <v>2337</v>
      </c>
      <c r="C10" s="7" t="s">
        <v>2338</v>
      </c>
    </row>
    <row r="11" customFormat="false" ht="34.5" hidden="false" customHeight="true" outlineLevel="0" collapsed="false">
      <c r="A11" s="7" t="s">
        <v>2339</v>
      </c>
      <c r="B11" s="7" t="s">
        <v>2340</v>
      </c>
      <c r="C11" s="7" t="s">
        <v>2341</v>
      </c>
    </row>
    <row r="12" customFormat="false" ht="45.75" hidden="false" customHeight="true" outlineLevel="0" collapsed="false">
      <c r="A12" s="7" t="s">
        <v>1072</v>
      </c>
      <c r="B12" s="7" t="s">
        <v>735</v>
      </c>
      <c r="C12" s="7" t="s">
        <v>2342</v>
      </c>
    </row>
    <row r="13" customFormat="false" ht="34.5" hidden="false" customHeight="true" outlineLevel="0" collapsed="false">
      <c r="A13" s="7" t="s">
        <v>818</v>
      </c>
      <c r="B13" s="7" t="s">
        <v>819</v>
      </c>
      <c r="C13" s="7" t="s">
        <v>2343</v>
      </c>
    </row>
    <row r="14" customFormat="false" ht="68.25" hidden="false" customHeight="true" outlineLevel="0" collapsed="false">
      <c r="A14" s="7" t="s">
        <v>314</v>
      </c>
      <c r="B14" s="7" t="s">
        <v>315</v>
      </c>
      <c r="C14" s="7" t="s">
        <v>2344</v>
      </c>
    </row>
    <row r="15" customFormat="false" ht="34.5" hidden="false" customHeight="true" outlineLevel="0" collapsed="false">
      <c r="A15" s="7" t="s">
        <v>2345</v>
      </c>
      <c r="B15" s="7"/>
      <c r="C15" s="7" t="s">
        <v>2346</v>
      </c>
    </row>
    <row r="16" customFormat="false" ht="23.25" hidden="false" customHeight="true" outlineLevel="0" collapsed="false">
      <c r="A16" s="7" t="s">
        <v>2347</v>
      </c>
      <c r="B16" s="7"/>
      <c r="C16" s="7" t="s">
        <v>2348</v>
      </c>
    </row>
    <row r="17" customFormat="false" ht="34.5" hidden="false" customHeight="true" outlineLevel="0" collapsed="false">
      <c r="A17" s="7" t="s">
        <v>2349</v>
      </c>
      <c r="B17" s="7"/>
      <c r="C17" s="7" t="s">
        <v>2350</v>
      </c>
    </row>
    <row r="18" customFormat="false" ht="23.25" hidden="false" customHeight="true" outlineLevel="0" collapsed="false">
      <c r="A18" s="7" t="s">
        <v>2351</v>
      </c>
      <c r="B18" s="7" t="s">
        <v>2352</v>
      </c>
      <c r="C18" s="7" t="s">
        <v>2353</v>
      </c>
    </row>
    <row r="19" customFormat="false" ht="34.5" hidden="false" customHeight="true" outlineLevel="0" collapsed="false">
      <c r="A19" s="7" t="s">
        <v>2354</v>
      </c>
      <c r="B19" s="7"/>
      <c r="C19" s="7" t="s">
        <v>2355</v>
      </c>
    </row>
    <row r="20" customFormat="false" ht="23.25" hidden="false" customHeight="true" outlineLevel="0" collapsed="false">
      <c r="A20" s="7" t="s">
        <v>2356</v>
      </c>
      <c r="B20" s="7" t="s">
        <v>2357</v>
      </c>
      <c r="C20" s="7" t="s">
        <v>2358</v>
      </c>
    </row>
    <row r="21" customFormat="false" ht="23.25" hidden="false" customHeight="true" outlineLevel="0" collapsed="false">
      <c r="A21" s="7" t="s">
        <v>2359</v>
      </c>
      <c r="B21" s="7" t="s">
        <v>2360</v>
      </c>
      <c r="C21" s="7" t="s">
        <v>2361</v>
      </c>
    </row>
    <row r="22" customFormat="false" ht="15" hidden="false" customHeight="true" outlineLevel="0" collapsed="false">
      <c r="A22" s="7" t="s">
        <v>2362</v>
      </c>
      <c r="B22" s="7" t="s">
        <v>2363</v>
      </c>
      <c r="C22" s="7" t="s">
        <v>2364</v>
      </c>
    </row>
    <row r="23" customFormat="false" ht="15" hidden="false" customHeight="true" outlineLevel="0" collapsed="false">
      <c r="A23" s="7" t="s">
        <v>2365</v>
      </c>
      <c r="B23" s="7" t="s">
        <v>2366</v>
      </c>
      <c r="C23" s="7" t="s">
        <v>2367</v>
      </c>
    </row>
    <row r="24" customFormat="false" ht="15" hidden="false" customHeight="true" outlineLevel="0" collapsed="false">
      <c r="A24" s="7" t="s">
        <v>2368</v>
      </c>
      <c r="B24" s="7" t="s">
        <v>2369</v>
      </c>
      <c r="C24" s="7" t="s">
        <v>2370</v>
      </c>
    </row>
    <row r="25" customFormat="false" ht="57" hidden="false" customHeight="true" outlineLevel="0" collapsed="false">
      <c r="A25" s="7" t="s">
        <v>2371</v>
      </c>
      <c r="B25" s="7"/>
      <c r="C25" s="7" t="s">
        <v>2372</v>
      </c>
    </row>
    <row r="26" customFormat="false" ht="45.75" hidden="false" customHeight="true" outlineLevel="0" collapsed="false">
      <c r="A26" s="7" t="s">
        <v>2373</v>
      </c>
      <c r="B26" s="7" t="s">
        <v>2374</v>
      </c>
      <c r="C26" s="7" t="s">
        <v>2375</v>
      </c>
    </row>
    <row r="27" customFormat="false" ht="68.25" hidden="false" customHeight="true" outlineLevel="0" collapsed="false">
      <c r="A27" s="7" t="s">
        <v>2376</v>
      </c>
      <c r="B27" s="7" t="s">
        <v>2377</v>
      </c>
      <c r="C27" s="7" t="s">
        <v>2378</v>
      </c>
    </row>
    <row r="28" customFormat="false" ht="90.75" hidden="false" customHeight="true" outlineLevel="0" collapsed="false">
      <c r="A28" s="7" t="s">
        <v>2379</v>
      </c>
      <c r="B28" s="7"/>
      <c r="C28" s="7" t="s">
        <v>2380</v>
      </c>
    </row>
    <row r="29" customFormat="false" ht="45.75" hidden="false" customHeight="true" outlineLevel="0" collapsed="false">
      <c r="A29" s="7" t="s">
        <v>2381</v>
      </c>
      <c r="B29" s="7" t="s">
        <v>2327</v>
      </c>
      <c r="C29" s="7" t="s">
        <v>2382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5"/>
    <col collapsed="false" customWidth="true" hidden="false" outlineLevel="0" max="5" min="5" style="1" width="70"/>
  </cols>
  <sheetData>
    <row r="1" customFormat="false" ht="23.25" hidden="false" customHeight="true" outlineLevel="0" collapsed="false">
      <c r="A1" s="6" t="s">
        <v>2383</v>
      </c>
      <c r="B1" s="6" t="s">
        <v>2384</v>
      </c>
      <c r="C1" s="6" t="s">
        <v>2385</v>
      </c>
      <c r="D1" s="6" t="s">
        <v>2386</v>
      </c>
      <c r="E1" s="6" t="s">
        <v>2387</v>
      </c>
    </row>
    <row r="2" customFormat="false" ht="15" hidden="false" customHeight="true" outlineLevel="0" collapsed="false">
      <c r="A2" s="7" t="s">
        <v>2388</v>
      </c>
      <c r="B2" s="7" t="s">
        <v>2389</v>
      </c>
      <c r="C2" s="7"/>
      <c r="D2" s="7"/>
      <c r="E2" s="7" t="s">
        <v>2390</v>
      </c>
    </row>
    <row r="3" customFormat="false" ht="15" hidden="false" customHeight="true" outlineLevel="0" collapsed="false">
      <c r="A3" s="7" t="s">
        <v>2391</v>
      </c>
      <c r="B3" s="7" t="s">
        <v>2392</v>
      </c>
      <c r="C3" s="7"/>
      <c r="D3" s="7" t="s">
        <v>33</v>
      </c>
      <c r="E3" s="7" t="s">
        <v>2393</v>
      </c>
    </row>
    <row r="4" customFormat="false" ht="15" hidden="false" customHeight="true" outlineLevel="0" collapsed="false">
      <c r="A4" s="7" t="s">
        <v>2394</v>
      </c>
      <c r="B4" s="7" t="s">
        <v>2395</v>
      </c>
      <c r="C4" s="7"/>
      <c r="D4" s="7" t="s">
        <v>25</v>
      </c>
      <c r="E4" s="7" t="s">
        <v>2396</v>
      </c>
    </row>
    <row r="5" customFormat="false" ht="15" hidden="false" customHeight="true" outlineLevel="0" collapsed="false">
      <c r="A5" s="7" t="s">
        <v>2397</v>
      </c>
      <c r="B5" s="7" t="s">
        <v>2398</v>
      </c>
      <c r="C5" s="7"/>
      <c r="D5" s="7"/>
      <c r="E5" s="7" t="s">
        <v>2399</v>
      </c>
    </row>
    <row r="6" customFormat="false" ht="15" hidden="false" customHeight="true" outlineLevel="0" collapsed="false">
      <c r="A6" s="7" t="s">
        <v>2400</v>
      </c>
      <c r="B6" s="7" t="s">
        <v>2401</v>
      </c>
      <c r="C6" s="7"/>
      <c r="D6" s="7"/>
      <c r="E6" s="7" t="s">
        <v>2402</v>
      </c>
    </row>
    <row r="7" customFormat="false" ht="15" hidden="false" customHeight="true" outlineLevel="0" collapsed="false">
      <c r="A7" s="7" t="s">
        <v>2403</v>
      </c>
      <c r="B7" s="7" t="s">
        <v>2404</v>
      </c>
      <c r="C7" s="7"/>
      <c r="D7" s="7"/>
      <c r="E7" s="7" t="s">
        <v>2405</v>
      </c>
    </row>
    <row r="8" customFormat="false" ht="15" hidden="false" customHeight="true" outlineLevel="0" collapsed="false">
      <c r="A8" s="7" t="s">
        <v>2406</v>
      </c>
      <c r="B8" s="7" t="s">
        <v>2407</v>
      </c>
      <c r="C8" s="7" t="s">
        <v>2408</v>
      </c>
      <c r="D8" s="7"/>
      <c r="E8" s="7" t="s">
        <v>2409</v>
      </c>
    </row>
    <row r="9" customFormat="false" ht="15" hidden="false" customHeight="true" outlineLevel="0" collapsed="false">
      <c r="A9" s="7" t="s">
        <v>2410</v>
      </c>
      <c r="B9" s="7" t="s">
        <v>2411</v>
      </c>
      <c r="C9" s="7"/>
      <c r="D9" s="7"/>
      <c r="E9" s="7" t="s">
        <v>2412</v>
      </c>
    </row>
    <row r="10" customFormat="false" ht="15" hidden="false" customHeight="true" outlineLevel="0" collapsed="false">
      <c r="A10" s="7" t="s">
        <v>2413</v>
      </c>
      <c r="B10" s="7" t="s">
        <v>2414</v>
      </c>
      <c r="C10" s="7"/>
      <c r="D10" s="7" t="s">
        <v>27</v>
      </c>
      <c r="E10" s="7" t="s">
        <v>2415</v>
      </c>
    </row>
    <row r="11" customFormat="false" ht="15" hidden="false" customHeight="true" outlineLevel="0" collapsed="false">
      <c r="A11" s="7" t="s">
        <v>2416</v>
      </c>
      <c r="B11" s="7" t="s">
        <v>2414</v>
      </c>
      <c r="C11" s="7"/>
      <c r="D11" s="7" t="s">
        <v>27</v>
      </c>
      <c r="E11" s="7" t="s">
        <v>2417</v>
      </c>
    </row>
    <row r="12" customFormat="false" ht="15" hidden="false" customHeight="true" outlineLevel="0" collapsed="false">
      <c r="A12" s="7" t="s">
        <v>2418</v>
      </c>
      <c r="B12" s="7" t="s">
        <v>2419</v>
      </c>
      <c r="C12" s="7"/>
      <c r="D12" s="7"/>
      <c r="E12" s="7" t="s">
        <v>2420</v>
      </c>
    </row>
    <row r="13" customFormat="false" ht="15" hidden="false" customHeight="true" outlineLevel="0" collapsed="false">
      <c r="A13" s="7" t="s">
        <v>2421</v>
      </c>
      <c r="B13" s="7" t="s">
        <v>2422</v>
      </c>
      <c r="C13" s="7"/>
      <c r="D13" s="7"/>
      <c r="E13" s="7" t="s">
        <v>2423</v>
      </c>
    </row>
    <row r="14" customFormat="false" ht="15" hidden="false" customHeight="true" outlineLevel="0" collapsed="false">
      <c r="A14" s="7" t="s">
        <v>2424</v>
      </c>
      <c r="B14" s="7" t="s">
        <v>2389</v>
      </c>
      <c r="C14" s="7"/>
      <c r="D14" s="7"/>
      <c r="E14" s="7" t="s">
        <v>2425</v>
      </c>
    </row>
    <row r="15" customFormat="false" ht="15" hidden="false" customHeight="true" outlineLevel="0" collapsed="false">
      <c r="A15" s="7" t="s">
        <v>2426</v>
      </c>
      <c r="B15" s="7" t="s">
        <v>2427</v>
      </c>
      <c r="C15" s="7"/>
      <c r="D15" s="7"/>
      <c r="E15" s="7" t="s">
        <v>2428</v>
      </c>
    </row>
    <row r="16" customFormat="false" ht="15" hidden="false" customHeight="true" outlineLevel="0" collapsed="false">
      <c r="A16" s="7" t="s">
        <v>2429</v>
      </c>
      <c r="B16" s="7" t="s">
        <v>2404</v>
      </c>
      <c r="C16" s="7"/>
      <c r="D16" s="7" t="s">
        <v>2430</v>
      </c>
      <c r="E16" s="7" t="s">
        <v>2431</v>
      </c>
    </row>
    <row r="17" customFormat="false" ht="23.25" hidden="false" customHeight="true" outlineLevel="0" collapsed="false">
      <c r="A17" s="7" t="s">
        <v>2432</v>
      </c>
      <c r="B17" s="7" t="s">
        <v>2433</v>
      </c>
      <c r="C17" s="7"/>
      <c r="D17" s="7" t="s">
        <v>27</v>
      </c>
      <c r="E17" s="7" t="s">
        <v>2434</v>
      </c>
    </row>
    <row r="18" customFormat="false" ht="15" hidden="false" customHeight="true" outlineLevel="0" collapsed="false">
      <c r="A18" s="7" t="s">
        <v>2435</v>
      </c>
      <c r="B18" s="7" t="s">
        <v>2436</v>
      </c>
      <c r="C18" s="7" t="s">
        <v>2437</v>
      </c>
      <c r="D18" s="7"/>
      <c r="E18" s="7" t="s">
        <v>2438</v>
      </c>
    </row>
    <row r="19" customFormat="false" ht="15" hidden="false" customHeight="true" outlineLevel="0" collapsed="false">
      <c r="A19" s="7" t="s">
        <v>2439</v>
      </c>
      <c r="B19" s="7" t="s">
        <v>2440</v>
      </c>
      <c r="C19" s="7"/>
      <c r="D19" s="7" t="s">
        <v>31</v>
      </c>
      <c r="E19" s="7" t="s">
        <v>2441</v>
      </c>
    </row>
    <row r="20" customFormat="false" ht="15" hidden="false" customHeight="true" outlineLevel="0" collapsed="false">
      <c r="A20" s="7" t="s">
        <v>2442</v>
      </c>
      <c r="B20" s="7" t="s">
        <v>2443</v>
      </c>
      <c r="C20" s="7"/>
      <c r="D20" s="7"/>
      <c r="E20" s="7" t="s">
        <v>2444</v>
      </c>
    </row>
    <row r="21" customFormat="false" ht="15" hidden="false" customHeight="true" outlineLevel="0" collapsed="false">
      <c r="A21" s="7" t="s">
        <v>2445</v>
      </c>
      <c r="B21" s="7" t="s">
        <v>2395</v>
      </c>
      <c r="C21" s="7"/>
      <c r="D21" s="7" t="s">
        <v>35</v>
      </c>
      <c r="E21" s="7" t="s">
        <v>2446</v>
      </c>
    </row>
    <row r="22" customFormat="false" ht="15" hidden="false" customHeight="true" outlineLevel="0" collapsed="false">
      <c r="A22" s="7" t="s">
        <v>2447</v>
      </c>
      <c r="B22" s="7" t="s">
        <v>2448</v>
      </c>
      <c r="C22" s="7"/>
      <c r="D22" s="7" t="s">
        <v>25</v>
      </c>
      <c r="E22" s="7" t="s">
        <v>2449</v>
      </c>
    </row>
    <row r="23" customFormat="false" ht="15" hidden="false" customHeight="true" outlineLevel="0" collapsed="false">
      <c r="A23" s="7" t="s">
        <v>2450</v>
      </c>
      <c r="B23" s="7" t="s">
        <v>2451</v>
      </c>
      <c r="C23" s="7"/>
      <c r="D23" s="7"/>
      <c r="E23" s="7" t="s">
        <v>2452</v>
      </c>
    </row>
    <row r="24" customFormat="false" ht="15" hidden="false" customHeight="true" outlineLevel="0" collapsed="false">
      <c r="A24" s="7" t="s">
        <v>2453</v>
      </c>
      <c r="B24" s="7" t="s">
        <v>2454</v>
      </c>
      <c r="C24" s="7"/>
      <c r="D24" s="7" t="s">
        <v>27</v>
      </c>
      <c r="E24" s="7" t="s">
        <v>2441</v>
      </c>
    </row>
    <row r="25" customFormat="false" ht="15" hidden="false" customHeight="true" outlineLevel="0" collapsed="false">
      <c r="A25" s="7" t="s">
        <v>2455</v>
      </c>
      <c r="B25" s="7" t="s">
        <v>2407</v>
      </c>
      <c r="C25" s="7"/>
      <c r="D25" s="7" t="s">
        <v>31</v>
      </c>
      <c r="E25" s="7" t="s">
        <v>2441</v>
      </c>
    </row>
    <row r="26" customFormat="false" ht="15" hidden="false" customHeight="true" outlineLevel="0" collapsed="false">
      <c r="A26" s="7" t="s">
        <v>2456</v>
      </c>
      <c r="B26" s="7" t="s">
        <v>2457</v>
      </c>
      <c r="C26" s="7"/>
      <c r="D26" s="7" t="s">
        <v>2458</v>
      </c>
      <c r="E26" s="7" t="s">
        <v>2441</v>
      </c>
    </row>
    <row r="27" customFormat="false" ht="15" hidden="false" customHeight="true" outlineLevel="0" collapsed="false">
      <c r="A27" s="7" t="s">
        <v>2459</v>
      </c>
      <c r="B27" s="7" t="s">
        <v>2460</v>
      </c>
      <c r="C27" s="7"/>
      <c r="D27" s="7" t="s">
        <v>25</v>
      </c>
      <c r="E27" s="7" t="s">
        <v>2461</v>
      </c>
    </row>
    <row r="28" customFormat="false" ht="15" hidden="false" customHeight="true" outlineLevel="0" collapsed="false">
      <c r="A28" s="7" t="s">
        <v>2462</v>
      </c>
      <c r="B28" s="7" t="s">
        <v>2463</v>
      </c>
      <c r="C28" s="7"/>
      <c r="D28" s="7"/>
      <c r="E28" s="7" t="s">
        <v>2464</v>
      </c>
    </row>
    <row r="29" customFormat="false" ht="15" hidden="false" customHeight="true" outlineLevel="0" collapsed="false">
      <c r="A29" s="7" t="s">
        <v>2465</v>
      </c>
      <c r="B29" s="7" t="s">
        <v>2427</v>
      </c>
      <c r="C29" s="7"/>
      <c r="D29" s="7" t="s">
        <v>2466</v>
      </c>
      <c r="E29" s="7" t="s">
        <v>2467</v>
      </c>
    </row>
    <row r="30" customFormat="false" ht="23.25" hidden="false" customHeight="true" outlineLevel="0" collapsed="false">
      <c r="A30" s="7" t="s">
        <v>2468</v>
      </c>
      <c r="B30" s="7" t="s">
        <v>2469</v>
      </c>
      <c r="C30" s="7"/>
      <c r="D30" s="7" t="s">
        <v>2470</v>
      </c>
      <c r="E30" s="7" t="s">
        <v>2471</v>
      </c>
    </row>
    <row r="31" customFormat="false" ht="15" hidden="false" customHeight="true" outlineLevel="0" collapsed="false">
      <c r="A31" s="7" t="s">
        <v>2472</v>
      </c>
      <c r="B31" s="7" t="s">
        <v>2451</v>
      </c>
      <c r="C31" s="7"/>
      <c r="D31" s="7"/>
      <c r="E31" s="7" t="s">
        <v>2473</v>
      </c>
    </row>
    <row r="32" customFormat="false" ht="15" hidden="false" customHeight="true" outlineLevel="0" collapsed="false">
      <c r="A32" s="7" t="s">
        <v>2474</v>
      </c>
      <c r="B32" s="7" t="s">
        <v>2433</v>
      </c>
      <c r="C32" s="7"/>
      <c r="D32" s="7" t="s">
        <v>29</v>
      </c>
      <c r="E32" s="7" t="s">
        <v>2475</v>
      </c>
    </row>
    <row r="33" customFormat="false" ht="23.25" hidden="false" customHeight="true" outlineLevel="0" collapsed="false">
      <c r="A33" s="7" t="s">
        <v>2476</v>
      </c>
      <c r="B33" s="7" t="s">
        <v>2477</v>
      </c>
      <c r="C33" s="7"/>
      <c r="D33" s="7" t="s">
        <v>2478</v>
      </c>
      <c r="E33" s="7" t="s">
        <v>2479</v>
      </c>
    </row>
    <row r="34" customFormat="false" ht="15" hidden="false" customHeight="true" outlineLevel="0" collapsed="false">
      <c r="A34" s="7" t="s">
        <v>2480</v>
      </c>
      <c r="B34" s="7" t="s">
        <v>2433</v>
      </c>
      <c r="C34" s="7"/>
      <c r="D34" s="7" t="s">
        <v>2481</v>
      </c>
      <c r="E34" s="7" t="s">
        <v>2482</v>
      </c>
    </row>
    <row r="35" customFormat="false" ht="15" hidden="false" customHeight="true" outlineLevel="0" collapsed="false">
      <c r="A35" s="7" t="s">
        <v>2483</v>
      </c>
      <c r="B35" s="7" t="s">
        <v>2484</v>
      </c>
      <c r="C35" s="7"/>
      <c r="D35" s="7" t="s">
        <v>29</v>
      </c>
      <c r="E35" s="7" t="s">
        <v>2485</v>
      </c>
    </row>
    <row r="36" customFormat="false" ht="15" hidden="false" customHeight="true" outlineLevel="0" collapsed="false">
      <c r="A36" s="7" t="s">
        <v>2486</v>
      </c>
      <c r="B36" s="7" t="s">
        <v>2427</v>
      </c>
      <c r="C36" s="7" t="s">
        <v>2487</v>
      </c>
      <c r="D36" s="7"/>
      <c r="E36" s="7" t="s">
        <v>2488</v>
      </c>
    </row>
    <row r="37" customFormat="false" ht="15" hidden="false" customHeight="true" outlineLevel="0" collapsed="false">
      <c r="A37" s="7" t="s">
        <v>2489</v>
      </c>
      <c r="B37" s="7" t="s">
        <v>2422</v>
      </c>
      <c r="C37" s="7"/>
      <c r="D37" s="7"/>
      <c r="E37" s="7" t="s">
        <v>2402</v>
      </c>
    </row>
    <row r="38" customFormat="false" ht="15" hidden="false" customHeight="true" outlineLevel="0" collapsed="false">
      <c r="A38" s="7" t="s">
        <v>2490</v>
      </c>
      <c r="B38" s="7" t="s">
        <v>2433</v>
      </c>
      <c r="C38" s="7"/>
      <c r="D38" s="7"/>
      <c r="E38" s="7" t="s">
        <v>2491</v>
      </c>
    </row>
    <row r="39" customFormat="false" ht="15" hidden="false" customHeight="true" outlineLevel="0" collapsed="false">
      <c r="A39" s="7" t="s">
        <v>2492</v>
      </c>
      <c r="B39" s="7" t="s">
        <v>2484</v>
      </c>
      <c r="C39" s="7"/>
      <c r="D39" s="7" t="s">
        <v>29</v>
      </c>
      <c r="E39" s="7" t="s">
        <v>2441</v>
      </c>
    </row>
    <row r="40" customFormat="false" ht="23.25" hidden="false" customHeight="true" outlineLevel="0" collapsed="false">
      <c r="A40" s="7" t="s">
        <v>2493</v>
      </c>
      <c r="B40" s="7" t="s">
        <v>2494</v>
      </c>
      <c r="C40" s="7"/>
      <c r="D40" s="7"/>
      <c r="E40" s="7" t="s">
        <v>2495</v>
      </c>
    </row>
    <row r="41" customFormat="false" ht="15" hidden="false" customHeight="true" outlineLevel="0" collapsed="false">
      <c r="A41" s="7" t="s">
        <v>2496</v>
      </c>
      <c r="B41" s="7" t="s">
        <v>2497</v>
      </c>
      <c r="C41" s="7" t="s">
        <v>2498</v>
      </c>
      <c r="D41" s="7" t="s">
        <v>2466</v>
      </c>
      <c r="E41" s="7" t="s">
        <v>2499</v>
      </c>
    </row>
    <row r="42" customFormat="false" ht="15" hidden="false" customHeight="true" outlineLevel="0" collapsed="false">
      <c r="A42" s="7" t="s">
        <v>2500</v>
      </c>
      <c r="B42" s="7" t="s">
        <v>2501</v>
      </c>
      <c r="C42" s="7"/>
      <c r="D42" s="7" t="s">
        <v>29</v>
      </c>
      <c r="E42" s="7" t="s">
        <v>2502</v>
      </c>
    </row>
    <row r="43" customFormat="false" ht="23.25" hidden="false" customHeight="true" outlineLevel="0" collapsed="false">
      <c r="A43" s="7" t="s">
        <v>2503</v>
      </c>
      <c r="B43" s="7" t="s">
        <v>2504</v>
      </c>
      <c r="C43" s="7"/>
      <c r="D43" s="7" t="s">
        <v>33</v>
      </c>
      <c r="E43" s="7" t="s">
        <v>2505</v>
      </c>
    </row>
    <row r="44" customFormat="false" ht="15" hidden="false" customHeight="true" outlineLevel="0" collapsed="false">
      <c r="A44" s="7" t="s">
        <v>2506</v>
      </c>
      <c r="B44" s="7" t="s">
        <v>2507</v>
      </c>
      <c r="C44" s="7"/>
      <c r="D44" s="7" t="s">
        <v>2508</v>
      </c>
      <c r="E44" s="7" t="s">
        <v>2509</v>
      </c>
    </row>
    <row r="46" customFormat="false" ht="15" hidden="false" customHeight="true" outlineLevel="0" collapsed="false">
      <c r="A46" s="8" t="s">
        <v>2510</v>
      </c>
    </row>
    <row r="47" customFormat="false" ht="15" hidden="false" customHeight="true" outlineLevel="0" collapsed="false">
      <c r="A47" s="8" t="s">
        <v>2511</v>
      </c>
    </row>
  </sheetData>
  <autoFilter ref="A1:E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70"/>
  </cols>
  <sheetData>
    <row r="1" customFormat="false" ht="34.5" hidden="false" customHeight="true" outlineLevel="0" collapsed="false">
      <c r="A1" s="6" t="s">
        <v>2512</v>
      </c>
      <c r="B1" s="6" t="s">
        <v>2513</v>
      </c>
      <c r="C1" s="6" t="s">
        <v>2514</v>
      </c>
      <c r="D1" s="6" t="s">
        <v>2083</v>
      </c>
      <c r="E1" s="6" t="s">
        <v>2515</v>
      </c>
      <c r="F1" s="6" t="s">
        <v>2516</v>
      </c>
    </row>
    <row r="2" customFormat="false" ht="34.5" hidden="false" customHeight="true" outlineLevel="0" collapsed="false">
      <c r="A2" s="7" t="s">
        <v>2517</v>
      </c>
      <c r="B2" s="7" t="s">
        <v>2518</v>
      </c>
      <c r="C2" s="7" t="s">
        <v>2519</v>
      </c>
      <c r="D2" s="7" t="s">
        <v>2520</v>
      </c>
      <c r="E2" s="7" t="n">
        <v>74.4</v>
      </c>
      <c r="F2" s="7" t="s">
        <v>2521</v>
      </c>
    </row>
    <row r="3" customFormat="false" ht="23.25" hidden="false" customHeight="true" outlineLevel="0" collapsed="false">
      <c r="A3" s="7" t="s">
        <v>2522</v>
      </c>
      <c r="B3" s="7" t="s">
        <v>675</v>
      </c>
      <c r="C3" s="7" t="s">
        <v>2523</v>
      </c>
      <c r="D3" s="7" t="s">
        <v>2520</v>
      </c>
      <c r="E3" s="7" t="n">
        <v>24.3</v>
      </c>
      <c r="F3" s="7" t="s">
        <v>2524</v>
      </c>
    </row>
    <row r="4" customFormat="false" ht="15" hidden="false" customHeight="true" outlineLevel="0" collapsed="false">
      <c r="A4" s="7" t="s">
        <v>2525</v>
      </c>
      <c r="B4" s="7" t="s">
        <v>2526</v>
      </c>
      <c r="C4" s="7" t="s">
        <v>2527</v>
      </c>
      <c r="D4" s="7" t="s">
        <v>2528</v>
      </c>
      <c r="E4" s="7" t="n">
        <v>68.1</v>
      </c>
      <c r="F4" s="7" t="s">
        <v>2529</v>
      </c>
    </row>
    <row r="5" customFormat="false" ht="370.5" hidden="false" customHeight="true" outlineLevel="0" collapsed="false">
      <c r="A5" s="7" t="s">
        <v>2530</v>
      </c>
      <c r="B5" s="7" t="s">
        <v>2531</v>
      </c>
      <c r="C5" s="7" t="s">
        <v>2519</v>
      </c>
      <c r="D5" s="7" t="s">
        <v>2532</v>
      </c>
      <c r="E5" s="7" t="n">
        <v>67.5</v>
      </c>
      <c r="F5" s="7" t="s">
        <v>2533</v>
      </c>
    </row>
    <row r="6" customFormat="false" ht="605.25" hidden="false" customHeight="true" outlineLevel="0" collapsed="false">
      <c r="A6" s="7" t="s">
        <v>2534</v>
      </c>
      <c r="B6" s="7" t="s">
        <v>2535</v>
      </c>
      <c r="C6" s="7" t="s">
        <v>2536</v>
      </c>
      <c r="D6" s="7" t="s">
        <v>2520</v>
      </c>
      <c r="E6" s="7" t="n">
        <v>54.2</v>
      </c>
      <c r="F6" s="7" t="s">
        <v>2537</v>
      </c>
    </row>
    <row r="7" customFormat="false" ht="34.5" hidden="false" customHeight="true" outlineLevel="0" collapsed="false">
      <c r="A7" s="7" t="s">
        <v>2538</v>
      </c>
      <c r="B7" s="7" t="s">
        <v>675</v>
      </c>
      <c r="C7" s="7" t="s">
        <v>2523</v>
      </c>
      <c r="D7" s="7" t="s">
        <v>2528</v>
      </c>
      <c r="E7" s="7" t="n">
        <v>21.5</v>
      </c>
      <c r="F7" s="7" t="s">
        <v>2539</v>
      </c>
    </row>
    <row r="8" customFormat="false" ht="15" hidden="false" customHeight="true" outlineLevel="0" collapsed="false">
      <c r="A8" s="7" t="s">
        <v>2540</v>
      </c>
      <c r="B8" s="7" t="s">
        <v>2541</v>
      </c>
      <c r="C8" s="7" t="s">
        <v>2542</v>
      </c>
      <c r="D8" s="7" t="s">
        <v>2520</v>
      </c>
      <c r="E8" s="7" t="n">
        <v>35.5</v>
      </c>
      <c r="F8" s="7"/>
    </row>
    <row r="9" customFormat="false" ht="15" hidden="false" customHeight="true" outlineLevel="0" collapsed="false">
      <c r="A9" s="7" t="s">
        <v>2543</v>
      </c>
      <c r="B9" s="7" t="s">
        <v>2544</v>
      </c>
      <c r="C9" s="7" t="s">
        <v>2523</v>
      </c>
      <c r="D9" s="7" t="s">
        <v>2520</v>
      </c>
      <c r="E9" s="7" t="n">
        <v>23</v>
      </c>
      <c r="F9" s="7"/>
    </row>
    <row r="10" customFormat="false" ht="15" hidden="false" customHeight="true" outlineLevel="0" collapsed="false">
      <c r="A10" s="7" t="s">
        <v>2545</v>
      </c>
      <c r="B10" s="7" t="s">
        <v>310</v>
      </c>
      <c r="C10" s="7" t="s">
        <v>2519</v>
      </c>
      <c r="D10" s="7" t="s">
        <v>2520</v>
      </c>
      <c r="E10" s="7" t="n">
        <v>18.1</v>
      </c>
      <c r="F10" s="7"/>
    </row>
    <row r="11" customFormat="false" ht="23.25" hidden="false" customHeight="true" outlineLevel="0" collapsed="false">
      <c r="A11" s="7" t="s">
        <v>2546</v>
      </c>
      <c r="B11" s="7" t="s">
        <v>2547</v>
      </c>
      <c r="C11" s="7" t="s">
        <v>2548</v>
      </c>
      <c r="D11" s="7" t="s">
        <v>2520</v>
      </c>
      <c r="E11" s="7" t="n">
        <v>45.2</v>
      </c>
      <c r="F11" s="7"/>
    </row>
    <row r="12" customFormat="false" ht="15" hidden="false" customHeight="true" outlineLevel="0" collapsed="false">
      <c r="A12" s="7" t="s">
        <v>2546</v>
      </c>
      <c r="B12" s="7" t="s">
        <v>675</v>
      </c>
      <c r="C12" s="7" t="s">
        <v>2523</v>
      </c>
      <c r="D12" s="7" t="s">
        <v>2520</v>
      </c>
      <c r="E12" s="7" t="n">
        <v>22.4</v>
      </c>
      <c r="F12" s="7"/>
    </row>
    <row r="13" customFormat="false" ht="15" hidden="false" customHeight="true" outlineLevel="0" collapsed="false">
      <c r="A13" s="7" t="s">
        <v>2546</v>
      </c>
      <c r="B13" s="7" t="s">
        <v>2549</v>
      </c>
      <c r="C13" s="7" t="s">
        <v>2550</v>
      </c>
      <c r="D13" s="7" t="s">
        <v>2520</v>
      </c>
      <c r="E13" s="7" t="n">
        <v>44.7</v>
      </c>
      <c r="F13" s="7"/>
    </row>
    <row r="14" customFormat="false" ht="15" hidden="false" customHeight="true" outlineLevel="0" collapsed="false">
      <c r="A14" s="7" t="s">
        <v>2551</v>
      </c>
      <c r="B14" s="7" t="s">
        <v>2552</v>
      </c>
      <c r="C14" s="7" t="s">
        <v>2553</v>
      </c>
      <c r="D14" s="7" t="s">
        <v>2520</v>
      </c>
      <c r="E14" s="7" t="n">
        <v>34.9</v>
      </c>
      <c r="F14" s="7"/>
    </row>
    <row r="15" customFormat="false" ht="15" hidden="false" customHeight="true" outlineLevel="0" collapsed="false">
      <c r="A15" s="7" t="s">
        <v>2554</v>
      </c>
      <c r="B15" s="7" t="s">
        <v>2555</v>
      </c>
      <c r="C15" s="7" t="s">
        <v>2556</v>
      </c>
      <c r="D15" s="7" t="s">
        <v>2520</v>
      </c>
      <c r="E15" s="7" t="n">
        <v>71.5</v>
      </c>
      <c r="F15" s="7"/>
    </row>
    <row r="16" customFormat="false" ht="15" hidden="false" customHeight="true" outlineLevel="0" collapsed="false">
      <c r="A16" s="7" t="s">
        <v>2554</v>
      </c>
      <c r="B16" s="7" t="s">
        <v>675</v>
      </c>
      <c r="C16" s="7" t="s">
        <v>2523</v>
      </c>
      <c r="D16" s="7" t="s">
        <v>2520</v>
      </c>
      <c r="E16" s="7" t="n">
        <v>24.4</v>
      </c>
      <c r="F16" s="7"/>
    </row>
    <row r="17" customFormat="false" ht="15" hidden="false" customHeight="true" outlineLevel="0" collapsed="false">
      <c r="A17" s="7" t="s">
        <v>2554</v>
      </c>
      <c r="B17" s="7" t="s">
        <v>2531</v>
      </c>
      <c r="C17" s="7" t="s">
        <v>2519</v>
      </c>
      <c r="D17" s="7" t="s">
        <v>2520</v>
      </c>
      <c r="E17" s="7" t="n">
        <v>66.4</v>
      </c>
      <c r="F17" s="7"/>
    </row>
    <row r="18" customFormat="false" ht="15" hidden="false" customHeight="true" outlineLevel="0" collapsed="false">
      <c r="A18" s="7" t="s">
        <v>2554</v>
      </c>
      <c r="B18" s="7" t="s">
        <v>2557</v>
      </c>
      <c r="C18" s="7" t="s">
        <v>2550</v>
      </c>
      <c r="D18" s="7" t="s">
        <v>2520</v>
      </c>
      <c r="E18" s="7" t="n">
        <v>43.5</v>
      </c>
      <c r="F18" s="7"/>
    </row>
    <row r="19" customFormat="false" ht="15" hidden="false" customHeight="true" outlineLevel="0" collapsed="false">
      <c r="A19" s="7" t="s">
        <v>1609</v>
      </c>
      <c r="B19" s="7" t="s">
        <v>2558</v>
      </c>
      <c r="C19" s="7" t="s">
        <v>2559</v>
      </c>
      <c r="D19" s="7" t="s">
        <v>2520</v>
      </c>
      <c r="E19" s="7" t="n">
        <v>61.4</v>
      </c>
      <c r="F19" s="7"/>
    </row>
    <row r="20" customFormat="false" ht="15" hidden="false" customHeight="true" outlineLevel="0" collapsed="false">
      <c r="A20" s="7" t="s">
        <v>1609</v>
      </c>
      <c r="B20" s="7" t="s">
        <v>2560</v>
      </c>
      <c r="C20" s="7" t="s">
        <v>2561</v>
      </c>
      <c r="D20" s="7" t="s">
        <v>2520</v>
      </c>
      <c r="E20" s="7" t="n">
        <v>52.1</v>
      </c>
      <c r="F20" s="7"/>
    </row>
    <row r="21" customFormat="false" ht="15" hidden="false" customHeight="true" outlineLevel="0" collapsed="false">
      <c r="A21" s="7" t="s">
        <v>1609</v>
      </c>
      <c r="B21" s="7" t="s">
        <v>2562</v>
      </c>
      <c r="C21" s="7" t="s">
        <v>2563</v>
      </c>
      <c r="D21" s="7" t="s">
        <v>2520</v>
      </c>
      <c r="E21" s="7" t="n">
        <v>74.9</v>
      </c>
      <c r="F21" s="7"/>
    </row>
    <row r="22" customFormat="false" ht="23.25" hidden="false" customHeight="true" outlineLevel="0" collapsed="false">
      <c r="A22" s="7" t="s">
        <v>1609</v>
      </c>
      <c r="B22" s="7" t="s">
        <v>2564</v>
      </c>
      <c r="C22" s="7" t="s">
        <v>2565</v>
      </c>
      <c r="D22" s="7" t="s">
        <v>2520</v>
      </c>
      <c r="E22" s="7" t="n">
        <v>66.4</v>
      </c>
      <c r="F22" s="7"/>
    </row>
    <row r="23" customFormat="false" ht="15" hidden="false" customHeight="true" outlineLevel="0" collapsed="false">
      <c r="A23" s="7" t="s">
        <v>2566</v>
      </c>
      <c r="B23" s="7" t="s">
        <v>675</v>
      </c>
      <c r="C23" s="7" t="s">
        <v>2523</v>
      </c>
      <c r="D23" s="7" t="s">
        <v>2520</v>
      </c>
      <c r="E23" s="7" t="n">
        <v>21.7</v>
      </c>
      <c r="F23" s="7"/>
    </row>
    <row r="24" customFormat="false" ht="102" hidden="false" customHeight="true" outlineLevel="0" collapsed="false">
      <c r="A24" s="7" t="s">
        <v>2567</v>
      </c>
      <c r="B24" s="7" t="s">
        <v>2549</v>
      </c>
      <c r="C24" s="7" t="s">
        <v>2550</v>
      </c>
      <c r="D24" s="7" t="s">
        <v>2528</v>
      </c>
      <c r="E24" s="7" t="n">
        <v>44.7</v>
      </c>
      <c r="F24" s="7" t="s">
        <v>2568</v>
      </c>
    </row>
    <row r="25" customFormat="false" ht="102" hidden="false" customHeight="true" outlineLevel="0" collapsed="false">
      <c r="A25" s="7" t="s">
        <v>2569</v>
      </c>
      <c r="B25" s="7" t="s">
        <v>2570</v>
      </c>
      <c r="C25" s="7" t="s">
        <v>2571</v>
      </c>
      <c r="D25" s="7" t="s">
        <v>2520</v>
      </c>
      <c r="E25" s="7" t="n">
        <v>50.5</v>
      </c>
      <c r="F25" s="7" t="s">
        <v>2572</v>
      </c>
    </row>
    <row r="26" customFormat="false" ht="168.75" hidden="false" customHeight="true" outlineLevel="0" collapsed="false">
      <c r="A26" s="7" t="s">
        <v>2573</v>
      </c>
      <c r="B26" s="7" t="s">
        <v>2574</v>
      </c>
      <c r="C26" s="7" t="s">
        <v>2575</v>
      </c>
      <c r="D26" s="7" t="s">
        <v>2520</v>
      </c>
      <c r="E26" s="7" t="n">
        <v>73.2</v>
      </c>
      <c r="F26" s="7" t="s">
        <v>2576</v>
      </c>
    </row>
    <row r="27" customFormat="false" ht="672.75" hidden="false" customHeight="true" outlineLevel="0" collapsed="false">
      <c r="A27" s="7" t="s">
        <v>2577</v>
      </c>
      <c r="B27" s="7" t="s">
        <v>2578</v>
      </c>
      <c r="C27" s="7" t="s">
        <v>2579</v>
      </c>
      <c r="D27" s="7" t="s">
        <v>2520</v>
      </c>
      <c r="E27" s="7" t="n">
        <v>59.8</v>
      </c>
      <c r="F27" s="7" t="s">
        <v>2580</v>
      </c>
    </row>
    <row r="28" customFormat="false" ht="57" hidden="false" customHeight="true" outlineLevel="0" collapsed="false">
      <c r="A28" s="7" t="s">
        <v>2581</v>
      </c>
      <c r="B28" s="7" t="s">
        <v>2541</v>
      </c>
      <c r="C28" s="7" t="s">
        <v>2542</v>
      </c>
      <c r="D28" s="7" t="s">
        <v>2520</v>
      </c>
      <c r="E28" s="7" t="n">
        <v>35.6</v>
      </c>
      <c r="F28" s="7" t="s">
        <v>2582</v>
      </c>
    </row>
    <row r="29" customFormat="false" ht="157.5" hidden="false" customHeight="true" outlineLevel="0" collapsed="false">
      <c r="A29" s="7" t="s">
        <v>2583</v>
      </c>
      <c r="B29" s="7" t="s">
        <v>2584</v>
      </c>
      <c r="C29" s="7" t="s">
        <v>2585</v>
      </c>
      <c r="D29" s="7" t="s">
        <v>2520</v>
      </c>
      <c r="E29" s="7" t="n">
        <v>72.5</v>
      </c>
      <c r="F29" s="7" t="s">
        <v>2586</v>
      </c>
    </row>
    <row r="30" customFormat="false" ht="102" hidden="false" customHeight="true" outlineLevel="0" collapsed="false">
      <c r="A30" s="7" t="s">
        <v>2587</v>
      </c>
      <c r="B30" s="7" t="s">
        <v>2549</v>
      </c>
      <c r="C30" s="7" t="s">
        <v>2550</v>
      </c>
      <c r="D30" s="7" t="s">
        <v>2520</v>
      </c>
      <c r="E30" s="7" t="n">
        <v>44.7</v>
      </c>
      <c r="F30" s="7" t="s">
        <v>2588</v>
      </c>
    </row>
    <row r="31" customFormat="false" ht="57" hidden="false" customHeight="true" outlineLevel="0" collapsed="false">
      <c r="A31" s="7" t="s">
        <v>2589</v>
      </c>
      <c r="B31" s="7" t="s">
        <v>2590</v>
      </c>
      <c r="C31" s="7" t="s">
        <v>2591</v>
      </c>
      <c r="D31" s="7" t="s">
        <v>2520</v>
      </c>
      <c r="E31" s="7" t="n">
        <v>46.3</v>
      </c>
      <c r="F31" s="7" t="s">
        <v>2592</v>
      </c>
    </row>
    <row r="32" customFormat="false" ht="706.5" hidden="false" customHeight="true" outlineLevel="0" collapsed="false">
      <c r="A32" s="7" t="s">
        <v>2593</v>
      </c>
      <c r="B32" s="7" t="s">
        <v>2594</v>
      </c>
      <c r="C32" s="7" t="s">
        <v>2595</v>
      </c>
      <c r="D32" s="7" t="s">
        <v>2520</v>
      </c>
      <c r="E32" s="7" t="n">
        <v>60.6</v>
      </c>
      <c r="F32" s="7" t="s">
        <v>2596</v>
      </c>
    </row>
    <row r="33" customFormat="false" ht="157.5" hidden="false" customHeight="true" outlineLevel="0" collapsed="false">
      <c r="A33" s="7" t="s">
        <v>2597</v>
      </c>
      <c r="B33" s="7" t="s">
        <v>2557</v>
      </c>
      <c r="C33" s="7" t="s">
        <v>2598</v>
      </c>
      <c r="D33" s="7" t="s">
        <v>2520</v>
      </c>
      <c r="E33" s="7" t="n">
        <v>41.8</v>
      </c>
      <c r="F33" s="7" t="s">
        <v>2599</v>
      </c>
    </row>
    <row r="34" customFormat="false" ht="102" hidden="false" customHeight="true" outlineLevel="0" collapsed="false">
      <c r="A34" s="7" t="s">
        <v>2600</v>
      </c>
      <c r="B34" s="7" t="s">
        <v>2584</v>
      </c>
      <c r="C34" s="7" t="s">
        <v>2519</v>
      </c>
      <c r="D34" s="7" t="s">
        <v>2520</v>
      </c>
      <c r="E34" s="7" t="n">
        <v>68.1</v>
      </c>
      <c r="F34" s="7" t="s">
        <v>2601</v>
      </c>
    </row>
    <row r="35" customFormat="false" ht="102" hidden="false" customHeight="true" outlineLevel="0" collapsed="false">
      <c r="A35" s="7" t="s">
        <v>2602</v>
      </c>
      <c r="B35" s="7" t="s">
        <v>2535</v>
      </c>
      <c r="C35" s="7" t="s">
        <v>2536</v>
      </c>
      <c r="D35" s="7" t="s">
        <v>2520</v>
      </c>
      <c r="E35" s="7" t="n">
        <v>54.6</v>
      </c>
      <c r="F35" s="7" t="s">
        <v>2603</v>
      </c>
    </row>
    <row r="36" customFormat="false" ht="57" hidden="false" customHeight="true" outlineLevel="0" collapsed="false">
      <c r="A36" s="7" t="s">
        <v>2604</v>
      </c>
      <c r="B36" s="7" t="s">
        <v>2605</v>
      </c>
      <c r="C36" s="7" t="s">
        <v>2606</v>
      </c>
      <c r="D36" s="7" t="s">
        <v>2520</v>
      </c>
      <c r="E36" s="7" t="n">
        <v>74.8</v>
      </c>
      <c r="F36" s="7" t="s">
        <v>2607</v>
      </c>
    </row>
    <row r="37" customFormat="false" ht="34.5" hidden="false" customHeight="true" outlineLevel="0" collapsed="false">
      <c r="A37" s="7" t="s">
        <v>2608</v>
      </c>
      <c r="B37" s="7" t="s">
        <v>2609</v>
      </c>
      <c r="C37" s="7" t="s">
        <v>2610</v>
      </c>
      <c r="D37" s="7" t="s">
        <v>2611</v>
      </c>
      <c r="E37" s="7" t="n">
        <v>37.7</v>
      </c>
      <c r="F37" s="7" t="s">
        <v>2612</v>
      </c>
    </row>
    <row r="38" customFormat="false" ht="45.75" hidden="false" customHeight="true" outlineLevel="0" collapsed="false">
      <c r="A38" s="7" t="s">
        <v>2608</v>
      </c>
      <c r="B38" s="7" t="s">
        <v>2613</v>
      </c>
      <c r="C38" s="7" t="s">
        <v>2614</v>
      </c>
      <c r="D38" s="7" t="s">
        <v>2532</v>
      </c>
      <c r="E38" s="7" t="n">
        <v>59.9</v>
      </c>
      <c r="F38" s="7" t="s">
        <v>2615</v>
      </c>
    </row>
    <row r="39" customFormat="false" ht="90.75" hidden="false" customHeight="true" outlineLevel="0" collapsed="false">
      <c r="A39" s="7" t="s">
        <v>2616</v>
      </c>
      <c r="B39" s="7" t="s">
        <v>2617</v>
      </c>
      <c r="C39" s="7" t="s">
        <v>2561</v>
      </c>
      <c r="D39" s="7" t="s">
        <v>2520</v>
      </c>
      <c r="E39" s="7" t="n">
        <v>58.9</v>
      </c>
      <c r="F39" s="7" t="s">
        <v>2618</v>
      </c>
    </row>
    <row r="40" customFormat="false" ht="348" hidden="false" customHeight="true" outlineLevel="0" collapsed="false">
      <c r="A40" s="7" t="s">
        <v>2616</v>
      </c>
      <c r="B40" s="7" t="s">
        <v>675</v>
      </c>
      <c r="C40" s="7" t="s">
        <v>2523</v>
      </c>
      <c r="D40" s="7" t="s">
        <v>2520</v>
      </c>
      <c r="E40" s="7" t="n">
        <v>22.4</v>
      </c>
      <c r="F40" s="7" t="s">
        <v>2619</v>
      </c>
    </row>
    <row r="41" customFormat="false" ht="292.5" hidden="false" customHeight="true" outlineLevel="0" collapsed="false">
      <c r="A41" s="7" t="s">
        <v>2620</v>
      </c>
      <c r="B41" s="7" t="s">
        <v>2621</v>
      </c>
      <c r="C41" s="7" t="s">
        <v>2622</v>
      </c>
      <c r="D41" s="7" t="s">
        <v>2520</v>
      </c>
      <c r="E41" s="7" t="n">
        <v>57.7</v>
      </c>
      <c r="F41" s="7" t="s">
        <v>2623</v>
      </c>
    </row>
    <row r="42" customFormat="false" ht="34.5" hidden="false" customHeight="true" outlineLevel="0" collapsed="false">
      <c r="A42" s="7" t="s">
        <v>2624</v>
      </c>
      <c r="B42" s="7" t="s">
        <v>2609</v>
      </c>
      <c r="C42" s="7" t="s">
        <v>2610</v>
      </c>
      <c r="D42" s="7" t="s">
        <v>2611</v>
      </c>
      <c r="E42" s="7" t="n">
        <v>37.7</v>
      </c>
      <c r="F42" s="7" t="s">
        <v>2625</v>
      </c>
    </row>
    <row r="43" customFormat="false" ht="15" hidden="false" customHeight="true" outlineLevel="0" collapsed="false">
      <c r="A43" s="7" t="s">
        <v>2626</v>
      </c>
      <c r="B43" s="7" t="s">
        <v>2558</v>
      </c>
      <c r="C43" s="7" t="s">
        <v>2559</v>
      </c>
      <c r="D43" s="7" t="s">
        <v>2528</v>
      </c>
      <c r="E43" s="7" t="n">
        <v>61.5</v>
      </c>
      <c r="F43" s="7"/>
    </row>
    <row r="44" customFormat="false" ht="34.5" hidden="false" customHeight="true" outlineLevel="0" collapsed="false">
      <c r="A44" s="7" t="s">
        <v>2627</v>
      </c>
      <c r="B44" s="7" t="s">
        <v>2628</v>
      </c>
      <c r="C44" s="7" t="s">
        <v>2629</v>
      </c>
      <c r="D44" s="7" t="s">
        <v>2611</v>
      </c>
      <c r="E44" s="7" t="n">
        <v>20.7</v>
      </c>
      <c r="F44" s="7" t="s">
        <v>2630</v>
      </c>
    </row>
    <row r="45" customFormat="false" ht="34.5" hidden="false" customHeight="true" outlineLevel="0" collapsed="false">
      <c r="A45" s="7" t="s">
        <v>2631</v>
      </c>
      <c r="B45" s="7" t="s">
        <v>2547</v>
      </c>
      <c r="C45" s="7" t="s">
        <v>2632</v>
      </c>
      <c r="D45" s="7" t="s">
        <v>2528</v>
      </c>
      <c r="E45" s="7" t="n">
        <v>47.4</v>
      </c>
      <c r="F45" s="7" t="s">
        <v>2633</v>
      </c>
    </row>
    <row r="46" customFormat="false" ht="135.75" hidden="false" customHeight="true" outlineLevel="0" collapsed="false">
      <c r="A46" s="7" t="s">
        <v>1430</v>
      </c>
      <c r="B46" s="7" t="s">
        <v>675</v>
      </c>
      <c r="C46" s="7" t="s">
        <v>2523</v>
      </c>
      <c r="D46" s="7" t="s">
        <v>2520</v>
      </c>
      <c r="E46" s="7" t="n">
        <v>23.1</v>
      </c>
      <c r="F46" s="7" t="s">
        <v>2634</v>
      </c>
    </row>
    <row r="47" customFormat="false" ht="68.25" hidden="false" customHeight="true" outlineLevel="0" collapsed="false">
      <c r="A47" s="7" t="s">
        <v>1429</v>
      </c>
      <c r="B47" s="7" t="s">
        <v>2635</v>
      </c>
      <c r="C47" s="7" t="s">
        <v>2636</v>
      </c>
      <c r="D47" s="7" t="s">
        <v>2520</v>
      </c>
      <c r="E47" s="7" t="n">
        <v>11.5</v>
      </c>
      <c r="F47" s="7" t="s">
        <v>2637</v>
      </c>
    </row>
    <row r="48" customFormat="false" ht="225" hidden="false" customHeight="true" outlineLevel="0" collapsed="false">
      <c r="A48" s="7" t="s">
        <v>1429</v>
      </c>
      <c r="B48" s="7" t="s">
        <v>2535</v>
      </c>
      <c r="C48" s="7" t="s">
        <v>2536</v>
      </c>
      <c r="D48" s="7" t="s">
        <v>2520</v>
      </c>
      <c r="E48" s="7" t="n">
        <v>54.6</v>
      </c>
      <c r="F48" s="7" t="s">
        <v>2638</v>
      </c>
    </row>
    <row r="49" customFormat="false" ht="34.5" hidden="false" customHeight="true" outlineLevel="0" collapsed="false">
      <c r="A49" s="7" t="s">
        <v>1429</v>
      </c>
      <c r="B49" s="7" t="s">
        <v>2609</v>
      </c>
      <c r="C49" s="7" t="s">
        <v>2610</v>
      </c>
      <c r="D49" s="7" t="s">
        <v>2611</v>
      </c>
      <c r="E49" s="7" t="n">
        <v>37.7</v>
      </c>
      <c r="F49" s="7" t="s">
        <v>2639</v>
      </c>
    </row>
    <row r="50" customFormat="false" ht="57" hidden="false" customHeight="true" outlineLevel="0" collapsed="false">
      <c r="A50" s="7" t="s">
        <v>2640</v>
      </c>
      <c r="B50" s="7" t="s">
        <v>2535</v>
      </c>
      <c r="C50" s="7" t="s">
        <v>2536</v>
      </c>
      <c r="D50" s="7" t="s">
        <v>2641</v>
      </c>
      <c r="E50" s="7" t="n">
        <v>54.6</v>
      </c>
      <c r="F50" s="7" t="s">
        <v>2642</v>
      </c>
    </row>
    <row r="51" customFormat="false" ht="124.5" hidden="false" customHeight="true" outlineLevel="0" collapsed="false">
      <c r="A51" s="7" t="s">
        <v>2643</v>
      </c>
      <c r="B51" s="7" t="s">
        <v>2535</v>
      </c>
      <c r="C51" s="7" t="s">
        <v>2536</v>
      </c>
      <c r="D51" s="7" t="s">
        <v>2520</v>
      </c>
      <c r="E51" s="7" t="n">
        <v>54.9</v>
      </c>
      <c r="F51" s="7" t="s">
        <v>2644</v>
      </c>
    </row>
    <row r="52" customFormat="false" ht="102" hidden="false" customHeight="true" outlineLevel="0" collapsed="false">
      <c r="A52" s="7" t="s">
        <v>2645</v>
      </c>
      <c r="B52" s="7" t="s">
        <v>675</v>
      </c>
      <c r="C52" s="7" t="s">
        <v>2523</v>
      </c>
      <c r="D52" s="7" t="s">
        <v>2520</v>
      </c>
      <c r="E52" s="7" t="n">
        <v>21.3</v>
      </c>
      <c r="F52" s="7" t="s">
        <v>2646</v>
      </c>
    </row>
    <row r="53" customFormat="false" ht="79.5" hidden="false" customHeight="true" outlineLevel="0" collapsed="false">
      <c r="A53" s="7" t="s">
        <v>2647</v>
      </c>
      <c r="B53" s="7" t="s">
        <v>2570</v>
      </c>
      <c r="C53" s="7" t="s">
        <v>2571</v>
      </c>
      <c r="D53" s="7" t="s">
        <v>2520</v>
      </c>
      <c r="E53" s="7" t="n">
        <v>50.6</v>
      </c>
      <c r="F53" s="7" t="s">
        <v>2648</v>
      </c>
    </row>
    <row r="54" customFormat="false" ht="68.25" hidden="false" customHeight="true" outlineLevel="0" collapsed="false">
      <c r="A54" s="7" t="s">
        <v>2649</v>
      </c>
      <c r="B54" s="7" t="s">
        <v>2549</v>
      </c>
      <c r="C54" s="7" t="s">
        <v>2550</v>
      </c>
      <c r="D54" s="7" t="s">
        <v>2520</v>
      </c>
      <c r="E54" s="7" t="n">
        <v>44.7</v>
      </c>
      <c r="F54" s="7" t="s">
        <v>2650</v>
      </c>
    </row>
    <row r="55" customFormat="false" ht="90.75" hidden="false" customHeight="true" outlineLevel="0" collapsed="false">
      <c r="A55" s="7" t="s">
        <v>2649</v>
      </c>
      <c r="B55" s="7" t="s">
        <v>2621</v>
      </c>
      <c r="C55" s="7" t="s">
        <v>2622</v>
      </c>
      <c r="D55" s="7" t="s">
        <v>2520</v>
      </c>
      <c r="E55" s="7" t="n">
        <v>57.7</v>
      </c>
      <c r="F55" s="7" t="s">
        <v>2651</v>
      </c>
    </row>
    <row r="56" customFormat="false" ht="79.5" hidden="false" customHeight="true" outlineLevel="0" collapsed="false">
      <c r="A56" s="7" t="s">
        <v>2652</v>
      </c>
      <c r="B56" s="7" t="s">
        <v>2653</v>
      </c>
      <c r="C56" s="7" t="s">
        <v>1109</v>
      </c>
      <c r="D56" s="7" t="s">
        <v>2520</v>
      </c>
      <c r="E56" s="7" t="n">
        <v>30.9</v>
      </c>
      <c r="F56" s="7" t="s">
        <v>2654</v>
      </c>
    </row>
    <row r="57" customFormat="false" ht="102" hidden="false" customHeight="true" outlineLevel="0" collapsed="false">
      <c r="A57" s="7" t="s">
        <v>2652</v>
      </c>
      <c r="B57" s="7" t="s">
        <v>2655</v>
      </c>
      <c r="C57" s="7" t="s">
        <v>2656</v>
      </c>
      <c r="D57" s="7" t="s">
        <v>2520</v>
      </c>
      <c r="E57" s="7" t="n">
        <v>59.2</v>
      </c>
      <c r="F57" s="7" t="s">
        <v>2657</v>
      </c>
    </row>
    <row r="58" customFormat="false" ht="102" hidden="false" customHeight="true" outlineLevel="0" collapsed="false">
      <c r="A58" s="7" t="s">
        <v>2658</v>
      </c>
      <c r="B58" s="7" t="s">
        <v>2659</v>
      </c>
      <c r="C58" s="7" t="s">
        <v>2660</v>
      </c>
      <c r="D58" s="7" t="s">
        <v>2528</v>
      </c>
      <c r="E58" s="7" t="n">
        <v>32.1</v>
      </c>
      <c r="F58" s="7" t="s">
        <v>2661</v>
      </c>
    </row>
    <row r="59" customFormat="false" ht="15" hidden="false" customHeight="true" outlineLevel="0" collapsed="false">
      <c r="A59" s="7" t="s">
        <v>2662</v>
      </c>
      <c r="B59" s="7" t="s">
        <v>675</v>
      </c>
      <c r="C59" s="7" t="s">
        <v>2523</v>
      </c>
      <c r="D59" s="7" t="s">
        <v>2532</v>
      </c>
      <c r="E59" s="7" t="n">
        <v>21.4</v>
      </c>
      <c r="F59" s="7"/>
    </row>
    <row r="60" customFormat="false" ht="124.5" hidden="false" customHeight="true" outlineLevel="0" collapsed="false">
      <c r="A60" s="7" t="s">
        <v>2663</v>
      </c>
      <c r="B60" s="7" t="s">
        <v>2557</v>
      </c>
      <c r="C60" s="7" t="s">
        <v>2550</v>
      </c>
      <c r="D60" s="7" t="s">
        <v>2528</v>
      </c>
      <c r="E60" s="7" t="n">
        <v>43.5</v>
      </c>
      <c r="F60" s="7" t="s">
        <v>2664</v>
      </c>
    </row>
    <row r="61" customFormat="false" ht="90.75" hidden="false" customHeight="true" outlineLevel="0" collapsed="false">
      <c r="A61" s="7" t="s">
        <v>2665</v>
      </c>
      <c r="B61" s="7" t="s">
        <v>973</v>
      </c>
      <c r="C61" s="7" t="s">
        <v>2519</v>
      </c>
      <c r="D61" s="7" t="s">
        <v>2666</v>
      </c>
      <c r="E61" s="7" t="n">
        <v>24.3</v>
      </c>
      <c r="F61" s="7" t="s">
        <v>2667</v>
      </c>
    </row>
    <row r="62" customFormat="false" ht="90.75" hidden="false" customHeight="true" outlineLevel="0" collapsed="false">
      <c r="A62" s="7" t="s">
        <v>2668</v>
      </c>
      <c r="B62" s="7" t="s">
        <v>2609</v>
      </c>
      <c r="C62" s="7" t="s">
        <v>2523</v>
      </c>
      <c r="D62" s="7" t="s">
        <v>2666</v>
      </c>
      <c r="E62" s="7" t="n">
        <v>38</v>
      </c>
      <c r="F62" s="7" t="s">
        <v>2669</v>
      </c>
    </row>
    <row r="63" customFormat="false" ht="90.75" hidden="false" customHeight="true" outlineLevel="0" collapsed="false">
      <c r="A63" s="7" t="s">
        <v>2668</v>
      </c>
      <c r="B63" s="7" t="s">
        <v>2670</v>
      </c>
      <c r="C63" s="7" t="s">
        <v>2523</v>
      </c>
      <c r="D63" s="7" t="s">
        <v>2666</v>
      </c>
      <c r="E63" s="7" t="n">
        <v>41</v>
      </c>
      <c r="F63" s="7" t="s">
        <v>2671</v>
      </c>
    </row>
    <row r="64" customFormat="false" ht="180" hidden="false" customHeight="true" outlineLevel="0" collapsed="false">
      <c r="A64" s="7" t="s">
        <v>2668</v>
      </c>
      <c r="B64" s="7" t="s">
        <v>675</v>
      </c>
      <c r="C64" s="7" t="s">
        <v>2523</v>
      </c>
      <c r="D64" s="7" t="s">
        <v>2666</v>
      </c>
      <c r="E64" s="7" t="n">
        <v>21.4</v>
      </c>
      <c r="F64" s="7" t="s">
        <v>2672</v>
      </c>
    </row>
    <row r="65" customFormat="false" ht="90.75" hidden="false" customHeight="true" outlineLevel="0" collapsed="false">
      <c r="A65" s="7" t="s">
        <v>2668</v>
      </c>
      <c r="B65" s="7" t="s">
        <v>2673</v>
      </c>
      <c r="C65" s="7" t="s">
        <v>2523</v>
      </c>
      <c r="D65" s="7" t="s">
        <v>2666</v>
      </c>
      <c r="E65" s="7" t="n">
        <v>35.5</v>
      </c>
      <c r="F65" s="7" t="s">
        <v>2674</v>
      </c>
    </row>
    <row r="66" customFormat="false" ht="113.25" hidden="false" customHeight="true" outlineLevel="0" collapsed="false">
      <c r="A66" s="7" t="s">
        <v>2675</v>
      </c>
      <c r="B66" s="7" t="s">
        <v>2621</v>
      </c>
      <c r="C66" s="7" t="s">
        <v>2622</v>
      </c>
      <c r="D66" s="7" t="s">
        <v>2666</v>
      </c>
      <c r="E66" s="7" t="n">
        <v>57.7</v>
      </c>
      <c r="F66" s="7" t="s">
        <v>2676</v>
      </c>
    </row>
    <row r="67" customFormat="false" ht="68.25" hidden="false" customHeight="true" outlineLevel="0" collapsed="false">
      <c r="A67" s="7" t="s">
        <v>2677</v>
      </c>
      <c r="B67" s="7" t="s">
        <v>2678</v>
      </c>
      <c r="C67" s="7" t="s">
        <v>2519</v>
      </c>
      <c r="D67" s="7" t="s">
        <v>2666</v>
      </c>
      <c r="E67" s="7" t="n">
        <v>45.8</v>
      </c>
      <c r="F67" s="7" t="s">
        <v>2679</v>
      </c>
    </row>
    <row r="68" customFormat="false" ht="68.25" hidden="false" customHeight="true" outlineLevel="0" collapsed="false">
      <c r="A68" s="7" t="s">
        <v>2680</v>
      </c>
      <c r="B68" s="7" t="s">
        <v>2613</v>
      </c>
      <c r="C68" s="7" t="s">
        <v>2614</v>
      </c>
      <c r="D68" s="7" t="s">
        <v>2520</v>
      </c>
      <c r="E68" s="7" t="n">
        <v>59.9</v>
      </c>
      <c r="F68" s="7" t="s">
        <v>2681</v>
      </c>
    </row>
    <row r="69" customFormat="false" ht="102" hidden="false" customHeight="true" outlineLevel="0" collapsed="false">
      <c r="A69" s="7" t="s">
        <v>2682</v>
      </c>
      <c r="B69" s="7" t="s">
        <v>2268</v>
      </c>
      <c r="C69" s="7" t="s">
        <v>2523</v>
      </c>
      <c r="D69" s="7" t="s">
        <v>2528</v>
      </c>
      <c r="E69" s="7" t="n">
        <v>23.1</v>
      </c>
      <c r="F69" s="7" t="s">
        <v>2683</v>
      </c>
    </row>
    <row r="70" customFormat="false" ht="57" hidden="false" customHeight="true" outlineLevel="0" collapsed="false">
      <c r="A70" s="7" t="s">
        <v>2684</v>
      </c>
      <c r="B70" s="7" t="s">
        <v>2584</v>
      </c>
      <c r="C70" s="7" t="s">
        <v>2519</v>
      </c>
      <c r="D70" s="7" t="s">
        <v>2520</v>
      </c>
      <c r="E70" s="7" t="n">
        <v>70</v>
      </c>
      <c r="F70" s="7" t="s">
        <v>2685</v>
      </c>
    </row>
    <row r="71" customFormat="false" ht="34.5" hidden="false" customHeight="true" outlineLevel="0" collapsed="false">
      <c r="A71" s="7" t="s">
        <v>2686</v>
      </c>
      <c r="B71" s="7" t="s">
        <v>2687</v>
      </c>
      <c r="C71" s="7" t="s">
        <v>2523</v>
      </c>
      <c r="D71" s="7" t="s">
        <v>2520</v>
      </c>
      <c r="E71" s="7" t="n">
        <v>72.9</v>
      </c>
      <c r="F71" s="7" t="s">
        <v>2688</v>
      </c>
    </row>
    <row r="72" customFormat="false" ht="57" hidden="false" customHeight="true" outlineLevel="0" collapsed="false">
      <c r="A72" s="7" t="s">
        <v>2689</v>
      </c>
      <c r="B72" s="7" t="s">
        <v>2617</v>
      </c>
      <c r="C72" s="7" t="s">
        <v>2561</v>
      </c>
      <c r="D72" s="7" t="s">
        <v>2532</v>
      </c>
      <c r="E72" s="7" t="n">
        <v>55.3</v>
      </c>
      <c r="F72" s="7" t="s">
        <v>2690</v>
      </c>
    </row>
    <row r="73" customFormat="false" ht="34.5" hidden="false" customHeight="true" outlineLevel="0" collapsed="false">
      <c r="A73" s="7" t="s">
        <v>2689</v>
      </c>
      <c r="B73" s="7" t="s">
        <v>2255</v>
      </c>
      <c r="C73" s="7" t="s">
        <v>2523</v>
      </c>
      <c r="D73" s="7" t="s">
        <v>2532</v>
      </c>
      <c r="E73" s="7" t="n">
        <v>22.5</v>
      </c>
      <c r="F73" s="7" t="s">
        <v>2691</v>
      </c>
    </row>
    <row r="74" customFormat="false" ht="34.5" hidden="false" customHeight="true" outlineLevel="0" collapsed="false">
      <c r="A74" s="7" t="s">
        <v>2689</v>
      </c>
      <c r="B74" s="7" t="s">
        <v>2628</v>
      </c>
      <c r="C74" s="7" t="s">
        <v>2523</v>
      </c>
      <c r="D74" s="7" t="s">
        <v>2532</v>
      </c>
      <c r="E74" s="7" t="n">
        <v>22.2</v>
      </c>
      <c r="F74" s="7" t="s">
        <v>2692</v>
      </c>
    </row>
    <row r="75" customFormat="false" ht="68.25" hidden="false" customHeight="true" outlineLevel="0" collapsed="false">
      <c r="A75" s="7" t="s">
        <v>2689</v>
      </c>
      <c r="B75" s="7" t="s">
        <v>2693</v>
      </c>
      <c r="C75" s="7" t="s">
        <v>2523</v>
      </c>
      <c r="D75" s="7" t="s">
        <v>2520</v>
      </c>
      <c r="E75" s="7" t="n">
        <v>24.5</v>
      </c>
      <c r="F75" s="7" t="s">
        <v>2694</v>
      </c>
    </row>
    <row r="76" customFormat="false" ht="90.75" hidden="false" customHeight="true" outlineLevel="0" collapsed="false">
      <c r="A76" s="7" t="s">
        <v>2695</v>
      </c>
      <c r="B76" s="7" t="s">
        <v>675</v>
      </c>
      <c r="C76" s="7" t="s">
        <v>2523</v>
      </c>
      <c r="D76" s="7" t="s">
        <v>2520</v>
      </c>
      <c r="E76" s="7" t="n">
        <v>21.2</v>
      </c>
      <c r="F76" s="7" t="s">
        <v>2696</v>
      </c>
    </row>
    <row r="77" customFormat="false" ht="68.25" hidden="false" customHeight="true" outlineLevel="0" collapsed="false">
      <c r="A77" s="7" t="s">
        <v>2695</v>
      </c>
      <c r="B77" s="7" t="s">
        <v>2653</v>
      </c>
      <c r="C77" s="7" t="s">
        <v>1109</v>
      </c>
      <c r="D77" s="7" t="s">
        <v>2520</v>
      </c>
      <c r="E77" s="7" t="n">
        <v>30.9</v>
      </c>
      <c r="F77" s="7" t="s">
        <v>2697</v>
      </c>
    </row>
    <row r="78" customFormat="false" ht="68.25" hidden="false" customHeight="true" outlineLevel="0" collapsed="false">
      <c r="A78" s="7" t="s">
        <v>2695</v>
      </c>
      <c r="B78" s="7" t="s">
        <v>878</v>
      </c>
      <c r="C78" s="7" t="s">
        <v>1109</v>
      </c>
      <c r="D78" s="7" t="s">
        <v>2528</v>
      </c>
      <c r="E78" s="7" t="n">
        <v>24.2</v>
      </c>
      <c r="F78" s="7" t="s">
        <v>2698</v>
      </c>
    </row>
    <row r="79" customFormat="false" ht="57" hidden="false" customHeight="true" outlineLevel="0" collapsed="false">
      <c r="A79" s="7" t="s">
        <v>2699</v>
      </c>
      <c r="B79" s="7" t="s">
        <v>2700</v>
      </c>
      <c r="C79" s="7" t="s">
        <v>1109</v>
      </c>
      <c r="D79" s="7" t="s">
        <v>2520</v>
      </c>
      <c r="E79" s="7" t="n">
        <v>24.5</v>
      </c>
      <c r="F79" s="7" t="s">
        <v>2701</v>
      </c>
    </row>
    <row r="80" customFormat="false" ht="1053" hidden="false" customHeight="true" outlineLevel="0" collapsed="false">
      <c r="A80" s="7" t="s">
        <v>2702</v>
      </c>
      <c r="B80" s="7" t="s">
        <v>2613</v>
      </c>
      <c r="C80" s="7" t="s">
        <v>2614</v>
      </c>
      <c r="D80" s="7" t="s">
        <v>2520</v>
      </c>
      <c r="E80" s="7" t="n">
        <v>59.5</v>
      </c>
      <c r="F80" s="7" t="s">
        <v>2703</v>
      </c>
    </row>
    <row r="81" customFormat="false" ht="57" hidden="false" customHeight="true" outlineLevel="0" collapsed="false">
      <c r="A81" s="7" t="s">
        <v>2704</v>
      </c>
      <c r="B81" s="7" t="s">
        <v>2705</v>
      </c>
      <c r="C81" s="7" t="s">
        <v>1109</v>
      </c>
      <c r="D81" s="7" t="s">
        <v>2520</v>
      </c>
      <c r="E81" s="7" t="n">
        <v>22.6</v>
      </c>
      <c r="F81" s="7" t="s">
        <v>2706</v>
      </c>
    </row>
    <row r="82" customFormat="false" ht="57" hidden="false" customHeight="true" outlineLevel="0" collapsed="false">
      <c r="A82" s="7" t="s">
        <v>2704</v>
      </c>
      <c r="B82" s="7" t="s">
        <v>2707</v>
      </c>
      <c r="C82" s="7" t="s">
        <v>1109</v>
      </c>
      <c r="D82" s="7" t="s">
        <v>2520</v>
      </c>
      <c r="E82" s="7" t="n">
        <v>22.6</v>
      </c>
      <c r="F82" s="7" t="s">
        <v>2708</v>
      </c>
    </row>
    <row r="83" customFormat="false" ht="45.75" hidden="false" customHeight="true" outlineLevel="0" collapsed="false">
      <c r="A83" s="7" t="s">
        <v>2704</v>
      </c>
      <c r="B83" s="7" t="s">
        <v>2709</v>
      </c>
      <c r="C83" s="7" t="s">
        <v>1109</v>
      </c>
      <c r="D83" s="7" t="s">
        <v>2520</v>
      </c>
      <c r="E83" s="7" t="n">
        <v>25.7</v>
      </c>
      <c r="F83" s="7" t="s">
        <v>2710</v>
      </c>
    </row>
    <row r="84" customFormat="false" ht="90.75" hidden="false" customHeight="true" outlineLevel="0" collapsed="false">
      <c r="A84" s="7" t="s">
        <v>2704</v>
      </c>
      <c r="B84" s="7" t="s">
        <v>2711</v>
      </c>
      <c r="C84" s="7" t="s">
        <v>1109</v>
      </c>
      <c r="D84" s="7" t="s">
        <v>2520</v>
      </c>
      <c r="E84" s="7" t="n">
        <v>30.9</v>
      </c>
      <c r="F84" s="7" t="s">
        <v>2712</v>
      </c>
    </row>
    <row r="85" customFormat="false" ht="45.75" hidden="false" customHeight="true" outlineLevel="0" collapsed="false">
      <c r="A85" s="7" t="s">
        <v>2704</v>
      </c>
      <c r="B85" s="7" t="s">
        <v>2578</v>
      </c>
      <c r="C85" s="7" t="s">
        <v>2523</v>
      </c>
      <c r="D85" s="7" t="s">
        <v>2532</v>
      </c>
      <c r="E85" s="7" t="n">
        <v>59.4</v>
      </c>
      <c r="F85" s="7" t="s">
        <v>2713</v>
      </c>
    </row>
    <row r="86" customFormat="false" ht="79.5" hidden="false" customHeight="true" outlineLevel="0" collapsed="false">
      <c r="A86" s="7" t="s">
        <v>2714</v>
      </c>
      <c r="B86" s="7" t="s">
        <v>2715</v>
      </c>
      <c r="C86" s="7" t="s">
        <v>1109</v>
      </c>
      <c r="D86" s="7" t="s">
        <v>2520</v>
      </c>
      <c r="E86" s="7" t="n">
        <v>22.5</v>
      </c>
      <c r="F86" s="7" t="s">
        <v>2716</v>
      </c>
    </row>
    <row r="87" customFormat="false" ht="45.75" hidden="false" customHeight="true" outlineLevel="0" collapsed="false">
      <c r="A87" s="7" t="s">
        <v>2717</v>
      </c>
      <c r="B87" s="7" t="s">
        <v>2718</v>
      </c>
      <c r="C87" s="7" t="s">
        <v>2719</v>
      </c>
      <c r="D87" s="7" t="s">
        <v>2532</v>
      </c>
      <c r="E87" s="7" t="n">
        <v>44.7</v>
      </c>
      <c r="F87" s="7" t="s">
        <v>2720</v>
      </c>
    </row>
    <row r="88" customFormat="false" ht="57" hidden="false" customHeight="true" outlineLevel="0" collapsed="false">
      <c r="A88" s="7" t="s">
        <v>2721</v>
      </c>
      <c r="B88" s="7" t="s">
        <v>878</v>
      </c>
      <c r="C88" s="7" t="s">
        <v>1109</v>
      </c>
      <c r="D88" s="7" t="s">
        <v>2528</v>
      </c>
      <c r="E88" s="7" t="n">
        <v>24.5</v>
      </c>
      <c r="F88" s="7" t="s">
        <v>2722</v>
      </c>
    </row>
    <row r="89" customFormat="false" ht="45.75" hidden="false" customHeight="true" outlineLevel="0" collapsed="false">
      <c r="A89" s="7" t="s">
        <v>2721</v>
      </c>
      <c r="B89" s="7" t="s">
        <v>2723</v>
      </c>
      <c r="C89" s="7" t="s">
        <v>2724</v>
      </c>
      <c r="D89" s="7" t="s">
        <v>2528</v>
      </c>
      <c r="E89" s="7" t="n">
        <v>50.6</v>
      </c>
      <c r="F89" s="7" t="s">
        <v>2725</v>
      </c>
    </row>
    <row r="90" customFormat="false" ht="34.5" hidden="false" customHeight="true" outlineLevel="0" collapsed="false">
      <c r="A90" s="7" t="s">
        <v>2721</v>
      </c>
      <c r="B90" s="7" t="s">
        <v>2531</v>
      </c>
      <c r="C90" s="7" t="s">
        <v>2519</v>
      </c>
      <c r="D90" s="7" t="s">
        <v>2528</v>
      </c>
      <c r="E90" s="7" t="n">
        <v>69</v>
      </c>
      <c r="F90" s="7" t="s">
        <v>2726</v>
      </c>
    </row>
    <row r="91" customFormat="false" ht="79.5" hidden="false" customHeight="true" outlineLevel="0" collapsed="false">
      <c r="A91" s="7" t="s">
        <v>2727</v>
      </c>
      <c r="B91" s="7" t="s">
        <v>2728</v>
      </c>
      <c r="C91" s="7" t="s">
        <v>2519</v>
      </c>
      <c r="D91" s="7" t="s">
        <v>2528</v>
      </c>
      <c r="E91" s="7" t="n">
        <v>51.4</v>
      </c>
      <c r="F91" s="7" t="s">
        <v>2729</v>
      </c>
    </row>
    <row r="92" customFormat="false" ht="68.25" hidden="false" customHeight="true" outlineLevel="0" collapsed="false">
      <c r="A92" s="7" t="s">
        <v>2730</v>
      </c>
      <c r="B92" s="7" t="s">
        <v>2731</v>
      </c>
      <c r="C92" s="7" t="s">
        <v>2519</v>
      </c>
      <c r="D92" s="7" t="s">
        <v>2520</v>
      </c>
      <c r="E92" s="7" t="n">
        <v>56.4</v>
      </c>
      <c r="F92" s="7" t="s">
        <v>2732</v>
      </c>
    </row>
    <row r="93" customFormat="false" ht="57" hidden="false" customHeight="true" outlineLevel="0" collapsed="false">
      <c r="A93" s="7" t="s">
        <v>2733</v>
      </c>
      <c r="B93" s="7" t="s">
        <v>2734</v>
      </c>
      <c r="C93" s="7" t="s">
        <v>2523</v>
      </c>
      <c r="D93" s="7" t="s">
        <v>2520</v>
      </c>
      <c r="E93" s="7" t="n">
        <v>26</v>
      </c>
      <c r="F93" s="7" t="s">
        <v>2735</v>
      </c>
    </row>
    <row r="94" customFormat="false" ht="147" hidden="false" customHeight="true" outlineLevel="0" collapsed="false">
      <c r="A94" s="7" t="s">
        <v>2733</v>
      </c>
      <c r="B94" s="7" t="s">
        <v>2736</v>
      </c>
      <c r="C94" s="7" t="s">
        <v>2519</v>
      </c>
      <c r="D94" s="7" t="s">
        <v>2520</v>
      </c>
      <c r="E94" s="7" t="n">
        <v>67.6</v>
      </c>
      <c r="F94" s="7" t="s">
        <v>2737</v>
      </c>
    </row>
    <row r="95" customFormat="false" ht="102" hidden="false" customHeight="true" outlineLevel="0" collapsed="false">
      <c r="A95" s="7" t="s">
        <v>2738</v>
      </c>
      <c r="B95" s="7" t="s">
        <v>2693</v>
      </c>
      <c r="C95" s="7" t="s">
        <v>2523</v>
      </c>
      <c r="D95" s="7" t="s">
        <v>2520</v>
      </c>
      <c r="E95" s="7" t="n">
        <v>24.5</v>
      </c>
      <c r="F95" s="7" t="s">
        <v>2739</v>
      </c>
    </row>
    <row r="96" customFormat="false" ht="68.25" hidden="false" customHeight="true" outlineLevel="0" collapsed="false">
      <c r="A96" s="7" t="s">
        <v>2740</v>
      </c>
      <c r="B96" s="7" t="s">
        <v>2255</v>
      </c>
      <c r="C96" s="7" t="s">
        <v>2523</v>
      </c>
      <c r="D96" s="7" t="s">
        <v>2520</v>
      </c>
      <c r="E96" s="7" t="n">
        <v>22.5</v>
      </c>
      <c r="F96" s="7" t="s">
        <v>2741</v>
      </c>
    </row>
    <row r="97" customFormat="false" ht="57" hidden="false" customHeight="true" outlineLevel="0" collapsed="false">
      <c r="A97" s="7" t="s">
        <v>2740</v>
      </c>
      <c r="B97" s="7" t="s">
        <v>2268</v>
      </c>
      <c r="C97" s="7" t="s">
        <v>2523</v>
      </c>
      <c r="D97" s="7" t="s">
        <v>2520</v>
      </c>
      <c r="E97" s="7" t="n">
        <v>21.8</v>
      </c>
      <c r="F97" s="7" t="s">
        <v>2742</v>
      </c>
    </row>
    <row r="98" customFormat="false" ht="45.75" hidden="false" customHeight="true" outlineLevel="0" collapsed="false">
      <c r="A98" s="7" t="s">
        <v>2743</v>
      </c>
      <c r="B98" s="7" t="s">
        <v>2609</v>
      </c>
      <c r="C98" s="7" t="s">
        <v>2610</v>
      </c>
      <c r="D98" s="7" t="s">
        <v>2532</v>
      </c>
      <c r="E98" s="7" t="n">
        <v>37.7</v>
      </c>
      <c r="F98" s="7" t="s">
        <v>2744</v>
      </c>
    </row>
    <row r="99" customFormat="false" ht="34.5" hidden="false" customHeight="true" outlineLevel="0" collapsed="false">
      <c r="A99" s="7" t="s">
        <v>2743</v>
      </c>
      <c r="B99" s="7" t="s">
        <v>2745</v>
      </c>
      <c r="C99" s="7" t="s">
        <v>2746</v>
      </c>
      <c r="D99" s="7" t="s">
        <v>2520</v>
      </c>
      <c r="E99" s="7" t="n">
        <v>63.3</v>
      </c>
      <c r="F99" s="7" t="s">
        <v>2747</v>
      </c>
    </row>
    <row r="100" customFormat="false" ht="45.75" hidden="false" customHeight="true" outlineLevel="0" collapsed="false">
      <c r="A100" s="7" t="s">
        <v>2743</v>
      </c>
      <c r="B100" s="7" t="s">
        <v>2748</v>
      </c>
      <c r="C100" s="7" t="s">
        <v>2523</v>
      </c>
      <c r="D100" s="7" t="s">
        <v>2520</v>
      </c>
      <c r="E100" s="7" t="n">
        <v>30</v>
      </c>
      <c r="F100" s="7" t="s">
        <v>2749</v>
      </c>
    </row>
    <row r="101" customFormat="false" ht="34.5" hidden="false" customHeight="true" outlineLevel="0" collapsed="false">
      <c r="A101" s="7" t="s">
        <v>2743</v>
      </c>
      <c r="B101" s="7" t="s">
        <v>2609</v>
      </c>
      <c r="C101" s="7" t="s">
        <v>2523</v>
      </c>
      <c r="D101" s="7" t="s">
        <v>2520</v>
      </c>
      <c r="E101" s="7" t="n">
        <v>37.9</v>
      </c>
      <c r="F101" s="7" t="s">
        <v>2750</v>
      </c>
    </row>
    <row r="102" customFormat="false" ht="202.5" hidden="false" customHeight="true" outlineLevel="0" collapsed="false">
      <c r="A102" s="7" t="s">
        <v>2743</v>
      </c>
      <c r="B102" s="7" t="s">
        <v>675</v>
      </c>
      <c r="C102" s="7" t="s">
        <v>2523</v>
      </c>
      <c r="D102" s="7" t="s">
        <v>2520</v>
      </c>
      <c r="E102" s="7" t="n">
        <v>21.2</v>
      </c>
      <c r="F102" s="7" t="s">
        <v>2751</v>
      </c>
    </row>
    <row r="103" customFormat="false" ht="45.75" hidden="false" customHeight="true" outlineLevel="0" collapsed="false">
      <c r="A103" s="7" t="s">
        <v>2752</v>
      </c>
      <c r="B103" s="7" t="s">
        <v>878</v>
      </c>
      <c r="C103" s="7" t="s">
        <v>1109</v>
      </c>
      <c r="D103" s="7" t="s">
        <v>2532</v>
      </c>
      <c r="E103" s="7" t="n">
        <v>24.2</v>
      </c>
      <c r="F103" s="7" t="s">
        <v>2753</v>
      </c>
    </row>
    <row r="104" customFormat="false" ht="68.25" hidden="false" customHeight="true" outlineLevel="0" collapsed="false">
      <c r="A104" s="7" t="s">
        <v>2752</v>
      </c>
      <c r="B104" s="7" t="s">
        <v>2754</v>
      </c>
      <c r="C104" s="7" t="s">
        <v>2755</v>
      </c>
      <c r="D104" s="7" t="s">
        <v>2520</v>
      </c>
      <c r="E104" s="7" t="n">
        <v>73.2</v>
      </c>
      <c r="F104" s="7" t="s">
        <v>2756</v>
      </c>
    </row>
    <row r="105" customFormat="false" ht="45.75" hidden="false" customHeight="true" outlineLevel="0" collapsed="false">
      <c r="A105" s="7" t="s">
        <v>2757</v>
      </c>
      <c r="B105" s="7" t="s">
        <v>2758</v>
      </c>
      <c r="C105" s="7" t="s">
        <v>2759</v>
      </c>
      <c r="D105" s="7" t="s">
        <v>2532</v>
      </c>
      <c r="E105" s="7" t="n">
        <v>40.2</v>
      </c>
      <c r="F105" s="7" t="s">
        <v>2760</v>
      </c>
    </row>
    <row r="106" customFormat="false" ht="45.75" hidden="false" customHeight="true" outlineLevel="0" collapsed="false">
      <c r="A106" s="7" t="s">
        <v>2761</v>
      </c>
      <c r="B106" s="7" t="s">
        <v>2762</v>
      </c>
      <c r="C106" s="7" t="s">
        <v>2763</v>
      </c>
      <c r="D106" s="7" t="s">
        <v>2532</v>
      </c>
      <c r="E106" s="7" t="n">
        <v>51</v>
      </c>
      <c r="F106" s="7" t="s">
        <v>2764</v>
      </c>
    </row>
    <row r="107" customFormat="false" ht="90.75" hidden="false" customHeight="true" outlineLevel="0" collapsed="false">
      <c r="A107" s="7" t="s">
        <v>2765</v>
      </c>
      <c r="B107" s="7" t="s">
        <v>2621</v>
      </c>
      <c r="C107" s="7" t="s">
        <v>2622</v>
      </c>
      <c r="D107" s="7" t="s">
        <v>2520</v>
      </c>
      <c r="E107" s="7" t="n">
        <v>58.1</v>
      </c>
      <c r="F107" s="7" t="s">
        <v>2766</v>
      </c>
    </row>
    <row r="108" customFormat="false" ht="90.75" hidden="false" customHeight="true" outlineLevel="0" collapsed="false">
      <c r="A108" s="7" t="s">
        <v>2765</v>
      </c>
      <c r="B108" s="7" t="s">
        <v>2767</v>
      </c>
      <c r="C108" s="7" t="s">
        <v>2768</v>
      </c>
      <c r="D108" s="7" t="s">
        <v>2528</v>
      </c>
      <c r="E108" s="7" t="n">
        <v>46.6</v>
      </c>
      <c r="F108" s="7" t="s">
        <v>2769</v>
      </c>
    </row>
    <row r="109" customFormat="false" ht="45.75" hidden="false" customHeight="true" outlineLevel="0" collapsed="false">
      <c r="A109" s="7" t="s">
        <v>2770</v>
      </c>
      <c r="B109" s="7" t="s">
        <v>2771</v>
      </c>
      <c r="C109" s="7" t="s">
        <v>2772</v>
      </c>
      <c r="D109" s="7" t="s">
        <v>2532</v>
      </c>
      <c r="E109" s="7" t="n">
        <v>74.2</v>
      </c>
      <c r="F109" s="7" t="s">
        <v>2773</v>
      </c>
    </row>
    <row r="110" customFormat="false" ht="68.25" hidden="false" customHeight="true" outlineLevel="0" collapsed="false">
      <c r="A110" s="7" t="s">
        <v>2774</v>
      </c>
      <c r="B110" s="7" t="s">
        <v>2578</v>
      </c>
      <c r="C110" s="7" t="s">
        <v>2527</v>
      </c>
      <c r="D110" s="7" t="s">
        <v>2520</v>
      </c>
      <c r="E110" s="7" t="n">
        <v>58.2</v>
      </c>
      <c r="F110" s="7" t="s">
        <v>2775</v>
      </c>
    </row>
    <row r="111" customFormat="false" ht="45.75" hidden="false" customHeight="true" outlineLevel="0" collapsed="false">
      <c r="A111" s="7" t="s">
        <v>2776</v>
      </c>
      <c r="B111" s="7" t="s">
        <v>2762</v>
      </c>
      <c r="C111" s="7" t="s">
        <v>2777</v>
      </c>
      <c r="D111" s="7" t="s">
        <v>2528</v>
      </c>
      <c r="E111" s="7" t="n">
        <v>22.4</v>
      </c>
      <c r="F111" s="7" t="s">
        <v>2778</v>
      </c>
    </row>
    <row r="112" customFormat="false" ht="135.75" hidden="false" customHeight="true" outlineLevel="0" collapsed="false">
      <c r="A112" s="7" t="s">
        <v>2776</v>
      </c>
      <c r="B112" s="7" t="s">
        <v>2558</v>
      </c>
      <c r="C112" s="7" t="s">
        <v>2559</v>
      </c>
      <c r="D112" s="7" t="s">
        <v>2528</v>
      </c>
      <c r="E112" s="7" t="n">
        <v>61.5</v>
      </c>
      <c r="F112" s="7" t="s">
        <v>2779</v>
      </c>
    </row>
    <row r="113" customFormat="false" ht="45.75" hidden="false" customHeight="true" outlineLevel="0" collapsed="false">
      <c r="A113" s="7" t="s">
        <v>2780</v>
      </c>
      <c r="B113" s="7" t="s">
        <v>878</v>
      </c>
      <c r="C113" s="7" t="s">
        <v>1109</v>
      </c>
      <c r="D113" s="7" t="s">
        <v>2528</v>
      </c>
      <c r="E113" s="7" t="n">
        <v>24.5</v>
      </c>
      <c r="F113" s="7" t="s">
        <v>2781</v>
      </c>
    </row>
    <row r="114" customFormat="false" ht="34.5" hidden="false" customHeight="true" outlineLevel="0" collapsed="false">
      <c r="A114" s="7" t="s">
        <v>2782</v>
      </c>
      <c r="B114" s="7" t="s">
        <v>2783</v>
      </c>
      <c r="C114" s="7" t="s">
        <v>2784</v>
      </c>
      <c r="D114" s="7" t="s">
        <v>2532</v>
      </c>
      <c r="E114" s="7" t="n">
        <v>51</v>
      </c>
      <c r="F114" s="7" t="s">
        <v>2785</v>
      </c>
    </row>
    <row r="115" customFormat="false" ht="34.5" hidden="false" customHeight="true" outlineLevel="0" collapsed="false">
      <c r="A115" s="7" t="s">
        <v>2786</v>
      </c>
      <c r="B115" s="7" t="s">
        <v>2762</v>
      </c>
      <c r="C115" s="7" t="s">
        <v>2787</v>
      </c>
      <c r="D115" s="7" t="s">
        <v>2532</v>
      </c>
      <c r="E115" s="7" t="n">
        <v>21.9</v>
      </c>
      <c r="F115" s="7" t="s">
        <v>2788</v>
      </c>
    </row>
    <row r="116" customFormat="false" ht="45.75" hidden="false" customHeight="true" outlineLevel="0" collapsed="false">
      <c r="A116" s="7" t="s">
        <v>2789</v>
      </c>
      <c r="B116" s="7" t="s">
        <v>2790</v>
      </c>
      <c r="C116" s="7" t="s">
        <v>2791</v>
      </c>
      <c r="D116" s="7" t="s">
        <v>2528</v>
      </c>
      <c r="E116" s="7" t="n">
        <v>67.5</v>
      </c>
      <c r="F116" s="7" t="s">
        <v>2792</v>
      </c>
    </row>
    <row r="117" customFormat="false" ht="45.75" hidden="false" customHeight="true" outlineLevel="0" collapsed="false">
      <c r="A117" s="7" t="s">
        <v>2793</v>
      </c>
      <c r="B117" s="7" t="s">
        <v>2794</v>
      </c>
      <c r="C117" s="7" t="s">
        <v>2795</v>
      </c>
      <c r="D117" s="7" t="s">
        <v>2611</v>
      </c>
      <c r="E117" s="7" t="n">
        <v>26.2</v>
      </c>
      <c r="F117" s="7" t="s">
        <v>2796</v>
      </c>
    </row>
    <row r="118" customFormat="false" ht="113.25" hidden="false" customHeight="true" outlineLevel="0" collapsed="false">
      <c r="A118" s="7" t="s">
        <v>2797</v>
      </c>
      <c r="B118" s="7" t="s">
        <v>2715</v>
      </c>
      <c r="C118" s="7" t="s">
        <v>1109</v>
      </c>
      <c r="D118" s="7" t="s">
        <v>2520</v>
      </c>
      <c r="E118" s="7" t="n">
        <v>22.7</v>
      </c>
      <c r="F118" s="7" t="s">
        <v>2798</v>
      </c>
    </row>
    <row r="119" customFormat="false" ht="34.5" hidden="false" customHeight="true" outlineLevel="0" collapsed="false">
      <c r="A119" s="7" t="s">
        <v>2797</v>
      </c>
      <c r="B119" s="7" t="s">
        <v>2670</v>
      </c>
      <c r="C119" s="7" t="s">
        <v>2523</v>
      </c>
      <c r="D119" s="7" t="s">
        <v>2611</v>
      </c>
      <c r="E119" s="7" t="n">
        <v>41</v>
      </c>
      <c r="F119" s="7" t="s">
        <v>2799</v>
      </c>
    </row>
    <row r="120" customFormat="false" ht="45.75" hidden="false" customHeight="true" outlineLevel="0" collapsed="false">
      <c r="A120" s="7" t="s">
        <v>2800</v>
      </c>
      <c r="B120" s="7" t="s">
        <v>2547</v>
      </c>
      <c r="C120" s="7" t="s">
        <v>2632</v>
      </c>
      <c r="D120" s="7" t="s">
        <v>2611</v>
      </c>
      <c r="E120" s="7" t="n">
        <v>47.4</v>
      </c>
      <c r="F120" s="7" t="s">
        <v>2801</v>
      </c>
    </row>
    <row r="121" customFormat="false" ht="34.5" hidden="false" customHeight="true" outlineLevel="0" collapsed="false">
      <c r="A121" s="7" t="s">
        <v>2802</v>
      </c>
      <c r="B121" s="7" t="s">
        <v>2762</v>
      </c>
      <c r="C121" s="7" t="s">
        <v>2787</v>
      </c>
      <c r="D121" s="7" t="s">
        <v>2611</v>
      </c>
      <c r="E121" s="7" t="n">
        <v>21.9</v>
      </c>
      <c r="F121" s="7" t="s">
        <v>2803</v>
      </c>
    </row>
    <row r="122" customFormat="false" ht="34.5" hidden="false" customHeight="true" outlineLevel="0" collapsed="false">
      <c r="A122" s="7" t="s">
        <v>2804</v>
      </c>
      <c r="B122" s="7" t="s">
        <v>2617</v>
      </c>
      <c r="C122" s="7" t="s">
        <v>2561</v>
      </c>
      <c r="D122" s="7" t="s">
        <v>2520</v>
      </c>
      <c r="E122" s="7" t="n">
        <v>55.6</v>
      </c>
      <c r="F122" s="7" t="s">
        <v>2805</v>
      </c>
    </row>
    <row r="123" customFormat="false" ht="113.25" hidden="false" customHeight="true" outlineLevel="0" collapsed="false">
      <c r="A123" s="7" t="s">
        <v>2806</v>
      </c>
      <c r="B123" s="7" t="s">
        <v>2531</v>
      </c>
      <c r="C123" s="7" t="s">
        <v>2519</v>
      </c>
      <c r="D123" s="7" t="s">
        <v>2611</v>
      </c>
      <c r="E123" s="7" t="n">
        <v>69</v>
      </c>
      <c r="F123" s="7" t="s">
        <v>2807</v>
      </c>
    </row>
    <row r="124" customFormat="false" ht="102" hidden="false" customHeight="true" outlineLevel="0" collapsed="false">
      <c r="A124" s="7" t="s">
        <v>2806</v>
      </c>
      <c r="B124" s="7" t="s">
        <v>2808</v>
      </c>
      <c r="C124" s="7" t="s">
        <v>2523</v>
      </c>
      <c r="D124" s="7" t="s">
        <v>2520</v>
      </c>
      <c r="E124" s="7" t="n">
        <v>25.2</v>
      </c>
      <c r="F124" s="7" t="s">
        <v>2809</v>
      </c>
    </row>
    <row r="125" customFormat="false" ht="79.5" hidden="false" customHeight="true" outlineLevel="0" collapsed="false">
      <c r="A125" s="7" t="s">
        <v>2806</v>
      </c>
      <c r="B125" s="7" t="s">
        <v>2734</v>
      </c>
      <c r="C125" s="7" t="s">
        <v>2523</v>
      </c>
      <c r="D125" s="7" t="s">
        <v>2611</v>
      </c>
      <c r="E125" s="7" t="n">
        <v>26.5</v>
      </c>
      <c r="F125" s="7" t="s">
        <v>2810</v>
      </c>
    </row>
    <row r="126" customFormat="false" ht="45.75" hidden="false" customHeight="true" outlineLevel="0" collapsed="false">
      <c r="A126" s="7" t="s">
        <v>2806</v>
      </c>
      <c r="B126" s="7" t="s">
        <v>2811</v>
      </c>
      <c r="C126" s="7" t="s">
        <v>2519</v>
      </c>
      <c r="D126" s="7" t="s">
        <v>2611</v>
      </c>
      <c r="E126" s="7" t="n">
        <v>24.3</v>
      </c>
      <c r="F126" s="7" t="s">
        <v>2812</v>
      </c>
    </row>
    <row r="127" customFormat="false" ht="45.75" hidden="false" customHeight="true" outlineLevel="0" collapsed="false">
      <c r="A127" s="7" t="s">
        <v>2813</v>
      </c>
      <c r="B127" s="7" t="s">
        <v>2547</v>
      </c>
      <c r="C127" s="7" t="s">
        <v>2632</v>
      </c>
      <c r="D127" s="7" t="s">
        <v>2611</v>
      </c>
      <c r="E127" s="7" t="n">
        <v>47.4</v>
      </c>
      <c r="F127" s="7" t="s">
        <v>2814</v>
      </c>
    </row>
    <row r="128" customFormat="false" ht="124.5" hidden="false" customHeight="true" outlineLevel="0" collapsed="false">
      <c r="A128" s="7" t="s">
        <v>2815</v>
      </c>
      <c r="B128" s="7" t="s">
        <v>675</v>
      </c>
      <c r="C128" s="7" t="s">
        <v>2523</v>
      </c>
      <c r="D128" s="7" t="s">
        <v>2611</v>
      </c>
      <c r="E128" s="7" t="n">
        <v>21.2</v>
      </c>
      <c r="F128" s="7" t="s">
        <v>2816</v>
      </c>
    </row>
    <row r="129" customFormat="false" ht="45.75" hidden="false" customHeight="true" outlineLevel="0" collapsed="false">
      <c r="A129" s="7" t="s">
        <v>2817</v>
      </c>
      <c r="B129" s="7" t="s">
        <v>878</v>
      </c>
      <c r="C129" s="7" t="s">
        <v>1109</v>
      </c>
      <c r="D129" s="7" t="s">
        <v>2611</v>
      </c>
      <c r="E129" s="7" t="n">
        <v>24.5</v>
      </c>
      <c r="F129" s="7" t="s">
        <v>2818</v>
      </c>
    </row>
    <row r="130" customFormat="false" ht="68.25" hidden="false" customHeight="true" outlineLevel="0" collapsed="false">
      <c r="A130" s="7" t="s">
        <v>2819</v>
      </c>
      <c r="B130" s="7" t="s">
        <v>2621</v>
      </c>
      <c r="C130" s="7" t="s">
        <v>2622</v>
      </c>
      <c r="D130" s="7" t="s">
        <v>2611</v>
      </c>
      <c r="E130" s="7" t="n">
        <v>58.1</v>
      </c>
      <c r="F130" s="7" t="s">
        <v>2820</v>
      </c>
    </row>
    <row r="131" customFormat="false" ht="45.75" hidden="false" customHeight="true" outlineLevel="0" collapsed="false">
      <c r="A131" s="7" t="s">
        <v>2821</v>
      </c>
      <c r="B131" s="7" t="s">
        <v>2771</v>
      </c>
      <c r="C131" s="7" t="s">
        <v>2772</v>
      </c>
      <c r="D131" s="7" t="s">
        <v>2611</v>
      </c>
      <c r="E131" s="7" t="n">
        <v>74.2</v>
      </c>
      <c r="F131" s="7" t="s">
        <v>2822</v>
      </c>
    </row>
    <row r="132" customFormat="false" ht="45.75" hidden="false" customHeight="true" outlineLevel="0" collapsed="false">
      <c r="A132" s="7" t="s">
        <v>2821</v>
      </c>
      <c r="B132" s="7" t="s">
        <v>2794</v>
      </c>
      <c r="C132" s="7" t="s">
        <v>2795</v>
      </c>
      <c r="D132" s="7" t="s">
        <v>2611</v>
      </c>
      <c r="E132" s="7" t="n">
        <v>26.2</v>
      </c>
      <c r="F132" s="7" t="s">
        <v>2823</v>
      </c>
    </row>
    <row r="133" customFormat="false" ht="68.25" hidden="false" customHeight="true" outlineLevel="0" collapsed="false">
      <c r="A133" s="7" t="s">
        <v>2824</v>
      </c>
      <c r="B133" s="7" t="s">
        <v>2825</v>
      </c>
      <c r="C133" s="7" t="s">
        <v>2826</v>
      </c>
      <c r="D133" s="7" t="s">
        <v>2611</v>
      </c>
      <c r="E133" s="7" t="n">
        <v>42</v>
      </c>
      <c r="F133" s="7" t="s">
        <v>2827</v>
      </c>
    </row>
    <row r="134" customFormat="false" ht="45.75" hidden="false" customHeight="true" outlineLevel="0" collapsed="false">
      <c r="A134" s="7" t="s">
        <v>2828</v>
      </c>
      <c r="B134" s="7" t="s">
        <v>2617</v>
      </c>
      <c r="C134" s="7" t="s">
        <v>2561</v>
      </c>
      <c r="D134" s="7" t="s">
        <v>2611</v>
      </c>
      <c r="E134" s="7" t="n">
        <v>58.9</v>
      </c>
      <c r="F134" s="7" t="s">
        <v>2829</v>
      </c>
    </row>
    <row r="135" customFormat="false" ht="57" hidden="false" customHeight="true" outlineLevel="0" collapsed="false">
      <c r="A135" s="7" t="s">
        <v>2830</v>
      </c>
      <c r="B135" s="7" t="s">
        <v>2693</v>
      </c>
      <c r="C135" s="7" t="s">
        <v>2523</v>
      </c>
      <c r="D135" s="7" t="s">
        <v>2528</v>
      </c>
      <c r="E135" s="7" t="n">
        <v>24.5</v>
      </c>
      <c r="F135" s="7" t="s">
        <v>2831</v>
      </c>
    </row>
    <row r="136" customFormat="false" ht="45.75" hidden="false" customHeight="true" outlineLevel="0" collapsed="false">
      <c r="A136" s="7" t="s">
        <v>2832</v>
      </c>
      <c r="B136" s="7" t="s">
        <v>2609</v>
      </c>
      <c r="C136" s="7" t="s">
        <v>2523</v>
      </c>
      <c r="D136" s="7" t="s">
        <v>2833</v>
      </c>
      <c r="E136" s="7" t="n">
        <v>37.9</v>
      </c>
      <c r="F136" s="7" t="s">
        <v>2834</v>
      </c>
    </row>
    <row r="137" customFormat="false" ht="79.5" hidden="false" customHeight="true" outlineLevel="0" collapsed="false">
      <c r="A137" s="7" t="s">
        <v>2835</v>
      </c>
      <c r="B137" s="7" t="s">
        <v>675</v>
      </c>
      <c r="C137" s="7" t="s">
        <v>2523</v>
      </c>
      <c r="D137" s="7" t="s">
        <v>2611</v>
      </c>
      <c r="E137" s="7" t="n">
        <v>21.2</v>
      </c>
      <c r="F137" s="7" t="s">
        <v>2836</v>
      </c>
    </row>
    <row r="138" customFormat="false" ht="202.5" hidden="false" customHeight="true" outlineLevel="0" collapsed="false">
      <c r="A138" s="7" t="s">
        <v>2835</v>
      </c>
      <c r="B138" s="7" t="s">
        <v>2837</v>
      </c>
      <c r="C138" s="7" t="s">
        <v>2622</v>
      </c>
      <c r="D138" s="7" t="s">
        <v>2611</v>
      </c>
      <c r="E138" s="7" t="n">
        <v>57.4</v>
      </c>
      <c r="F138" s="7" t="s">
        <v>2838</v>
      </c>
    </row>
    <row r="139" customFormat="false" ht="79.5" hidden="false" customHeight="true" outlineLevel="0" collapsed="false">
      <c r="A139" s="7" t="s">
        <v>2835</v>
      </c>
      <c r="B139" s="7" t="s">
        <v>2839</v>
      </c>
      <c r="C139" s="7" t="s">
        <v>2523</v>
      </c>
      <c r="D139" s="7" t="s">
        <v>2611</v>
      </c>
      <c r="E139" s="7" t="n">
        <v>34</v>
      </c>
      <c r="F139" s="7" t="s">
        <v>2840</v>
      </c>
    </row>
    <row r="140" customFormat="false" ht="102" hidden="false" customHeight="true" outlineLevel="0" collapsed="false">
      <c r="A140" s="7" t="s">
        <v>2841</v>
      </c>
      <c r="B140" s="7" t="s">
        <v>2842</v>
      </c>
      <c r="C140" s="7" t="s">
        <v>2843</v>
      </c>
      <c r="D140" s="7" t="s">
        <v>2611</v>
      </c>
      <c r="E140" s="7" t="n">
        <v>64.8</v>
      </c>
      <c r="F140" s="7" t="s">
        <v>2844</v>
      </c>
    </row>
    <row r="141" customFormat="false" ht="34.5" hidden="false" customHeight="true" outlineLevel="0" collapsed="false">
      <c r="A141" s="7" t="s">
        <v>2841</v>
      </c>
      <c r="B141" s="7" t="s">
        <v>2845</v>
      </c>
      <c r="C141" s="7" t="s">
        <v>2523</v>
      </c>
      <c r="D141" s="7" t="s">
        <v>2611</v>
      </c>
      <c r="E141" s="7" t="n">
        <v>44.5</v>
      </c>
      <c r="F141" s="7" t="s">
        <v>2846</v>
      </c>
    </row>
    <row r="142" customFormat="false" ht="57" hidden="false" customHeight="true" outlineLevel="0" collapsed="false">
      <c r="A142" s="7" t="s">
        <v>2847</v>
      </c>
      <c r="B142" s="7" t="s">
        <v>2783</v>
      </c>
      <c r="C142" s="7" t="s">
        <v>2784</v>
      </c>
      <c r="D142" s="7" t="s">
        <v>2611</v>
      </c>
      <c r="E142" s="7" t="n">
        <v>47.3</v>
      </c>
      <c r="F142" s="7" t="s">
        <v>2848</v>
      </c>
    </row>
    <row r="143" customFormat="false" ht="258.75" hidden="false" customHeight="true" outlineLevel="0" collapsed="false">
      <c r="A143" s="7" t="s">
        <v>2849</v>
      </c>
      <c r="B143" s="7" t="s">
        <v>2557</v>
      </c>
      <c r="C143" s="7" t="s">
        <v>2550</v>
      </c>
      <c r="D143" s="7" t="s">
        <v>2611</v>
      </c>
      <c r="E143" s="7" t="n">
        <v>41.4</v>
      </c>
      <c r="F143" s="7" t="s">
        <v>2850</v>
      </c>
    </row>
    <row r="144" customFormat="false" ht="79.5" hidden="false" customHeight="true" outlineLevel="0" collapsed="false">
      <c r="A144" s="7" t="s">
        <v>2849</v>
      </c>
      <c r="B144" s="7" t="s">
        <v>2851</v>
      </c>
      <c r="C144" s="7" t="s">
        <v>2852</v>
      </c>
      <c r="D144" s="7" t="s">
        <v>2611</v>
      </c>
      <c r="E144" s="7" t="n">
        <v>33.2</v>
      </c>
      <c r="F144" s="7" t="s">
        <v>2853</v>
      </c>
    </row>
    <row r="145" customFormat="false" ht="90.75" hidden="false" customHeight="true" outlineLevel="0" collapsed="false">
      <c r="A145" s="7" t="s">
        <v>2854</v>
      </c>
      <c r="B145" s="7" t="s">
        <v>2855</v>
      </c>
      <c r="C145" s="7" t="s">
        <v>2856</v>
      </c>
      <c r="D145" s="7" t="s">
        <v>2611</v>
      </c>
      <c r="E145" s="7" t="n">
        <v>52.4</v>
      </c>
      <c r="F145" s="7" t="s">
        <v>2857</v>
      </c>
    </row>
    <row r="146" customFormat="false" ht="34.5" hidden="false" customHeight="true" outlineLevel="0" collapsed="false">
      <c r="A146" s="7" t="s">
        <v>2858</v>
      </c>
      <c r="B146" s="7" t="s">
        <v>2790</v>
      </c>
      <c r="C146" s="7" t="s">
        <v>2791</v>
      </c>
      <c r="D146" s="7" t="s">
        <v>2528</v>
      </c>
      <c r="E146" s="7" t="n">
        <v>67.5</v>
      </c>
      <c r="F146" s="7" t="s">
        <v>2859</v>
      </c>
    </row>
    <row r="147" customFormat="false" ht="135.75" hidden="false" customHeight="true" outlineLevel="0" collapsed="false">
      <c r="A147" s="7" t="s">
        <v>2860</v>
      </c>
      <c r="B147" s="7" t="s">
        <v>2617</v>
      </c>
      <c r="C147" s="7" t="s">
        <v>2561</v>
      </c>
      <c r="D147" s="7" t="s">
        <v>2520</v>
      </c>
      <c r="E147" s="7" t="n">
        <v>55.6</v>
      </c>
      <c r="F147" s="7" t="s">
        <v>2861</v>
      </c>
    </row>
    <row r="148" customFormat="false" ht="57" hidden="false" customHeight="true" outlineLevel="0" collapsed="false">
      <c r="A148" s="7" t="s">
        <v>2862</v>
      </c>
      <c r="B148" s="7" t="s">
        <v>2535</v>
      </c>
      <c r="C148" s="7" t="s">
        <v>2536</v>
      </c>
      <c r="D148" s="7" t="s">
        <v>2611</v>
      </c>
      <c r="E148" s="7" t="n">
        <v>54.8</v>
      </c>
      <c r="F148" s="7" t="s">
        <v>2863</v>
      </c>
    </row>
    <row r="149" customFormat="false" ht="34.5" hidden="false" customHeight="true" outlineLevel="0" collapsed="false">
      <c r="A149" s="7" t="s">
        <v>2864</v>
      </c>
      <c r="B149" s="7" t="s">
        <v>2255</v>
      </c>
      <c r="C149" s="7" t="s">
        <v>2523</v>
      </c>
      <c r="D149" s="7" t="s">
        <v>2611</v>
      </c>
      <c r="E149" s="7" t="n">
        <v>22.5</v>
      </c>
      <c r="F149" s="7" t="s">
        <v>2865</v>
      </c>
    </row>
    <row r="150" customFormat="false" ht="57" hidden="false" customHeight="true" outlineLevel="0" collapsed="false">
      <c r="A150" s="7" t="s">
        <v>2864</v>
      </c>
      <c r="B150" s="7" t="s">
        <v>675</v>
      </c>
      <c r="C150" s="7" t="s">
        <v>2523</v>
      </c>
      <c r="D150" s="7" t="s">
        <v>2611</v>
      </c>
      <c r="E150" s="7" t="n">
        <v>21.2</v>
      </c>
      <c r="F150" s="7" t="s">
        <v>2866</v>
      </c>
    </row>
    <row r="151" customFormat="false" ht="68.25" hidden="false" customHeight="true" outlineLevel="0" collapsed="false">
      <c r="A151" s="7" t="s">
        <v>2867</v>
      </c>
      <c r="B151" s="7" t="s">
        <v>2734</v>
      </c>
      <c r="C151" s="7" t="s">
        <v>2523</v>
      </c>
      <c r="D151" s="7" t="s">
        <v>2611</v>
      </c>
      <c r="E151" s="7" t="n">
        <v>26.5</v>
      </c>
      <c r="F151" s="7" t="s">
        <v>2868</v>
      </c>
    </row>
    <row r="152" customFormat="false" ht="68.25" hidden="false" customHeight="true" outlineLevel="0" collapsed="false">
      <c r="A152" s="7" t="s">
        <v>2869</v>
      </c>
      <c r="B152" s="7" t="s">
        <v>2723</v>
      </c>
      <c r="C152" s="7" t="s">
        <v>2523</v>
      </c>
      <c r="D152" s="7" t="s">
        <v>2611</v>
      </c>
      <c r="E152" s="7" t="n">
        <v>50.6</v>
      </c>
      <c r="F152" s="7" t="s">
        <v>2870</v>
      </c>
    </row>
    <row r="153" customFormat="false" ht="45.75" hidden="false" customHeight="true" outlineLevel="0" collapsed="false">
      <c r="A153" s="7" t="s">
        <v>2869</v>
      </c>
      <c r="B153" s="7" t="s">
        <v>2871</v>
      </c>
      <c r="C153" s="7" t="s">
        <v>1109</v>
      </c>
      <c r="D153" s="7" t="s">
        <v>2520</v>
      </c>
      <c r="E153" s="7" t="n">
        <v>34.2</v>
      </c>
      <c r="F153" s="7" t="s">
        <v>2872</v>
      </c>
    </row>
    <row r="154" customFormat="false" ht="57" hidden="false" customHeight="true" outlineLevel="0" collapsed="false">
      <c r="A154" s="7" t="s">
        <v>2869</v>
      </c>
      <c r="B154" s="7" t="s">
        <v>2808</v>
      </c>
      <c r="C154" s="7" t="s">
        <v>2523</v>
      </c>
      <c r="D154" s="7" t="s">
        <v>2611</v>
      </c>
      <c r="E154" s="7" t="n">
        <v>25.3</v>
      </c>
      <c r="F154" s="7" t="s">
        <v>2873</v>
      </c>
    </row>
    <row r="155" customFormat="false" ht="57" hidden="false" customHeight="true" outlineLevel="0" collapsed="false">
      <c r="A155" s="7" t="s">
        <v>2874</v>
      </c>
      <c r="B155" s="7" t="s">
        <v>2558</v>
      </c>
      <c r="C155" s="7" t="s">
        <v>2559</v>
      </c>
      <c r="D155" s="7" t="s">
        <v>2611</v>
      </c>
      <c r="E155" s="7" t="n">
        <v>61.5</v>
      </c>
      <c r="F155" s="7" t="s">
        <v>2875</v>
      </c>
    </row>
    <row r="156" customFormat="false" ht="45.75" hidden="false" customHeight="true" outlineLevel="0" collapsed="false">
      <c r="A156" s="7" t="s">
        <v>2876</v>
      </c>
      <c r="B156" s="7" t="s">
        <v>2268</v>
      </c>
      <c r="C156" s="7" t="s">
        <v>2523</v>
      </c>
      <c r="D156" s="7" t="s">
        <v>2520</v>
      </c>
      <c r="E156" s="7" t="n">
        <v>21.8</v>
      </c>
      <c r="F156" s="7" t="s">
        <v>2877</v>
      </c>
    </row>
    <row r="157" customFormat="false" ht="68.25" hidden="false" customHeight="true" outlineLevel="0" collapsed="false">
      <c r="A157" s="7" t="s">
        <v>2876</v>
      </c>
      <c r="B157" s="7" t="s">
        <v>2878</v>
      </c>
      <c r="C157" s="7" t="s">
        <v>2879</v>
      </c>
      <c r="D157" s="7" t="s">
        <v>2520</v>
      </c>
      <c r="E157" s="7" t="n">
        <v>27.2</v>
      </c>
      <c r="F157" s="7" t="s">
        <v>2880</v>
      </c>
    </row>
    <row r="158" customFormat="false" ht="57" hidden="false" customHeight="true" outlineLevel="0" collapsed="false">
      <c r="A158" s="7" t="s">
        <v>2881</v>
      </c>
      <c r="B158" s="7" t="s">
        <v>2613</v>
      </c>
      <c r="C158" s="7" t="s">
        <v>2614</v>
      </c>
      <c r="D158" s="7" t="s">
        <v>2520</v>
      </c>
      <c r="E158" s="7" t="n">
        <v>35.3</v>
      </c>
      <c r="F158" s="7" t="s">
        <v>2882</v>
      </c>
    </row>
    <row r="159" customFormat="false" ht="68.25" hidden="false" customHeight="true" outlineLevel="0" collapsed="false">
      <c r="A159" s="7" t="s">
        <v>2883</v>
      </c>
      <c r="B159" s="7" t="s">
        <v>2535</v>
      </c>
      <c r="C159" s="7" t="s">
        <v>2536</v>
      </c>
      <c r="D159" s="7" t="s">
        <v>2520</v>
      </c>
      <c r="E159" s="7" t="n">
        <v>54.8</v>
      </c>
      <c r="F159" s="7" t="s">
        <v>2884</v>
      </c>
    </row>
    <row r="160" customFormat="false" ht="45.75" hidden="false" customHeight="true" outlineLevel="0" collapsed="false">
      <c r="A160" s="7" t="s">
        <v>2885</v>
      </c>
      <c r="B160" s="7" t="s">
        <v>2886</v>
      </c>
      <c r="C160" s="7" t="s">
        <v>2622</v>
      </c>
      <c r="D160" s="7" t="s">
        <v>2520</v>
      </c>
      <c r="E160" s="7" t="n">
        <v>55.1</v>
      </c>
      <c r="F160" s="7" t="s">
        <v>2887</v>
      </c>
    </row>
    <row r="161" customFormat="false" ht="45.75" hidden="false" customHeight="true" outlineLevel="0" collapsed="false">
      <c r="A161" s="7" t="s">
        <v>2888</v>
      </c>
      <c r="B161" s="7" t="s">
        <v>2621</v>
      </c>
      <c r="C161" s="7" t="s">
        <v>2622</v>
      </c>
      <c r="D161" s="7" t="s">
        <v>2520</v>
      </c>
      <c r="E161" s="7" t="n">
        <v>58.1</v>
      </c>
      <c r="F161" s="7" t="s">
        <v>2889</v>
      </c>
    </row>
    <row r="162" customFormat="false" ht="34.5" hidden="false" customHeight="true" outlineLevel="0" collapsed="false">
      <c r="A162" s="7" t="s">
        <v>2890</v>
      </c>
      <c r="B162" s="7" t="s">
        <v>2891</v>
      </c>
      <c r="C162" s="7" t="s">
        <v>2519</v>
      </c>
      <c r="D162" s="7" t="s">
        <v>2520</v>
      </c>
      <c r="E162" s="7" t="n">
        <v>22.7</v>
      </c>
      <c r="F162" s="7" t="s">
        <v>2892</v>
      </c>
    </row>
    <row r="163" customFormat="false" ht="45.75" hidden="false" customHeight="true" outlineLevel="0" collapsed="false">
      <c r="A163" s="7" t="s">
        <v>1254</v>
      </c>
      <c r="B163" s="7" t="s">
        <v>2893</v>
      </c>
      <c r="C163" s="7" t="s">
        <v>2894</v>
      </c>
      <c r="D163" s="7" t="s">
        <v>2532</v>
      </c>
      <c r="E163" s="7" t="n">
        <v>66.4</v>
      </c>
      <c r="F163" s="7" t="s">
        <v>2895</v>
      </c>
    </row>
    <row r="164" customFormat="false" ht="34.5" hidden="false" customHeight="true" outlineLevel="0" collapsed="false">
      <c r="A164" s="7" t="s">
        <v>1254</v>
      </c>
      <c r="B164" s="7" t="s">
        <v>2896</v>
      </c>
      <c r="C164" s="7" t="s">
        <v>2556</v>
      </c>
      <c r="D164" s="7" t="s">
        <v>2532</v>
      </c>
      <c r="E164" s="7" t="n">
        <v>74.7</v>
      </c>
      <c r="F164" s="7" t="s">
        <v>2897</v>
      </c>
    </row>
    <row r="165" customFormat="false" ht="45.75" hidden="false" customHeight="true" outlineLevel="0" collapsed="false">
      <c r="A165" s="7" t="s">
        <v>1253</v>
      </c>
      <c r="B165" s="7" t="s">
        <v>878</v>
      </c>
      <c r="C165" s="7" t="s">
        <v>1109</v>
      </c>
      <c r="D165" s="7" t="s">
        <v>2520</v>
      </c>
      <c r="E165" s="7" t="n">
        <v>23.8</v>
      </c>
      <c r="F165" s="7" t="s">
        <v>2898</v>
      </c>
    </row>
    <row r="166" customFormat="false" ht="68.25" hidden="false" customHeight="true" outlineLevel="0" collapsed="false">
      <c r="A166" s="7" t="s">
        <v>1253</v>
      </c>
      <c r="B166" s="7" t="s">
        <v>2613</v>
      </c>
      <c r="C166" s="7" t="s">
        <v>2523</v>
      </c>
      <c r="D166" s="7" t="s">
        <v>2520</v>
      </c>
      <c r="E166" s="7" t="n">
        <v>35.3</v>
      </c>
      <c r="F166" s="7" t="s">
        <v>2899</v>
      </c>
    </row>
    <row r="167" customFormat="false" ht="79.5" hidden="false" customHeight="true" outlineLevel="0" collapsed="false">
      <c r="A167" s="7" t="s">
        <v>1253</v>
      </c>
      <c r="B167" s="7" t="s">
        <v>2900</v>
      </c>
      <c r="C167" s="7" t="s">
        <v>2523</v>
      </c>
      <c r="D167" s="7" t="s">
        <v>2520</v>
      </c>
      <c r="E167" s="7" t="n">
        <v>60.2</v>
      </c>
      <c r="F167" s="7" t="s">
        <v>2901</v>
      </c>
    </row>
    <row r="168" customFormat="false" ht="68.25" hidden="false" customHeight="true" outlineLevel="0" collapsed="false">
      <c r="A168" s="7" t="s">
        <v>1253</v>
      </c>
      <c r="B168" s="7" t="s">
        <v>2578</v>
      </c>
      <c r="C168" s="7" t="s">
        <v>2523</v>
      </c>
      <c r="D168" s="7" t="s">
        <v>2520</v>
      </c>
      <c r="E168" s="7" t="n">
        <v>59.4</v>
      </c>
      <c r="F168" s="7" t="s">
        <v>2902</v>
      </c>
    </row>
    <row r="169" customFormat="false" ht="45.75" hidden="false" customHeight="true" outlineLevel="0" collapsed="false">
      <c r="A169" s="7" t="s">
        <v>1253</v>
      </c>
      <c r="B169" s="7" t="s">
        <v>2628</v>
      </c>
      <c r="C169" s="7" t="s">
        <v>2629</v>
      </c>
      <c r="D169" s="7" t="s">
        <v>2532</v>
      </c>
      <c r="E169" s="7" t="n">
        <v>20.7</v>
      </c>
      <c r="F169" s="7" t="s">
        <v>2903</v>
      </c>
    </row>
    <row r="170" customFormat="false" ht="34.5" hidden="false" customHeight="true" outlineLevel="0" collapsed="false">
      <c r="A170" s="7" t="s">
        <v>1253</v>
      </c>
      <c r="B170" s="7" t="s">
        <v>2904</v>
      </c>
      <c r="C170" s="7" t="s">
        <v>2550</v>
      </c>
      <c r="D170" s="7" t="s">
        <v>2520</v>
      </c>
      <c r="E170" s="7" t="n">
        <v>31.7</v>
      </c>
      <c r="F170" s="7" t="s">
        <v>2905</v>
      </c>
    </row>
    <row r="171" customFormat="false" ht="168.75" hidden="false" customHeight="true" outlineLevel="0" collapsed="false">
      <c r="A171" s="7" t="s">
        <v>2906</v>
      </c>
      <c r="B171" s="7" t="s">
        <v>2613</v>
      </c>
      <c r="C171" s="7" t="s">
        <v>2614</v>
      </c>
      <c r="D171" s="7" t="s">
        <v>2520</v>
      </c>
      <c r="E171" s="7" t="n">
        <v>59.5</v>
      </c>
      <c r="F171" s="7" t="s">
        <v>2907</v>
      </c>
    </row>
    <row r="172" customFormat="false" ht="90.75" hidden="false" customHeight="true" outlineLevel="0" collapsed="false">
      <c r="A172" s="7" t="s">
        <v>2908</v>
      </c>
      <c r="B172" s="7" t="s">
        <v>2723</v>
      </c>
      <c r="C172" s="7" t="s">
        <v>2523</v>
      </c>
      <c r="D172" s="7" t="s">
        <v>2520</v>
      </c>
      <c r="E172" s="7" t="n">
        <v>50.6</v>
      </c>
      <c r="F172" s="7" t="s">
        <v>2909</v>
      </c>
    </row>
    <row r="173" customFormat="false" ht="34.5" hidden="false" customHeight="true" outlineLevel="0" collapsed="false">
      <c r="A173" s="7" t="s">
        <v>2908</v>
      </c>
      <c r="B173" s="7" t="s">
        <v>2268</v>
      </c>
      <c r="C173" s="7" t="s">
        <v>2523</v>
      </c>
      <c r="D173" s="7" t="s">
        <v>2520</v>
      </c>
      <c r="E173" s="7" t="n">
        <v>21.8</v>
      </c>
      <c r="F173" s="7" t="s">
        <v>2910</v>
      </c>
    </row>
    <row r="174" customFormat="false" ht="34.5" hidden="false" customHeight="true" outlineLevel="0" collapsed="false">
      <c r="A174" s="7" t="s">
        <v>2911</v>
      </c>
      <c r="B174" s="7" t="s">
        <v>2621</v>
      </c>
      <c r="C174" s="7" t="s">
        <v>2622</v>
      </c>
      <c r="D174" s="7" t="s">
        <v>2611</v>
      </c>
      <c r="E174" s="7" t="n">
        <v>57.7</v>
      </c>
      <c r="F174" s="7" t="s">
        <v>2912</v>
      </c>
    </row>
    <row r="175" customFormat="false" ht="57" hidden="false" customHeight="true" outlineLevel="0" collapsed="false">
      <c r="A175" s="7" t="s">
        <v>2913</v>
      </c>
      <c r="B175" s="7" t="s">
        <v>2914</v>
      </c>
      <c r="C175" s="7" t="s">
        <v>2915</v>
      </c>
      <c r="D175" s="7" t="s">
        <v>2611</v>
      </c>
      <c r="E175" s="7" t="n">
        <v>42.9</v>
      </c>
      <c r="F175" s="7" t="s">
        <v>2916</v>
      </c>
    </row>
    <row r="176" customFormat="false" ht="45.75" hidden="false" customHeight="true" outlineLevel="0" collapsed="false">
      <c r="A176" s="7" t="s">
        <v>2913</v>
      </c>
      <c r="B176" s="7" t="s">
        <v>2767</v>
      </c>
      <c r="C176" s="7" t="s">
        <v>2768</v>
      </c>
      <c r="D176" s="7" t="s">
        <v>2611</v>
      </c>
      <c r="E176" s="7" t="n">
        <v>46.6</v>
      </c>
      <c r="F176" s="7" t="s">
        <v>2917</v>
      </c>
    </row>
    <row r="177" customFormat="false" ht="45.75" hidden="false" customHeight="true" outlineLevel="0" collapsed="false">
      <c r="A177" s="7" t="s">
        <v>2913</v>
      </c>
      <c r="B177" s="7" t="s">
        <v>2549</v>
      </c>
      <c r="C177" s="7" t="s">
        <v>2550</v>
      </c>
      <c r="D177" s="7" t="s">
        <v>2611</v>
      </c>
      <c r="E177" s="7" t="n">
        <v>44.7</v>
      </c>
      <c r="F177" s="7" t="s">
        <v>2918</v>
      </c>
    </row>
    <row r="178" customFormat="false" ht="57" hidden="false" customHeight="true" outlineLevel="0" collapsed="false">
      <c r="A178" s="7" t="s">
        <v>2919</v>
      </c>
      <c r="B178" s="7" t="s">
        <v>2613</v>
      </c>
      <c r="C178" s="7" t="s">
        <v>2614</v>
      </c>
      <c r="D178" s="7" t="s">
        <v>2520</v>
      </c>
      <c r="E178" s="7" t="n">
        <v>35.3</v>
      </c>
      <c r="F178" s="7" t="s">
        <v>2920</v>
      </c>
    </row>
    <row r="179" customFormat="false" ht="34.5" hidden="false" customHeight="true" outlineLevel="0" collapsed="false">
      <c r="A179" s="7" t="s">
        <v>2921</v>
      </c>
      <c r="B179" s="7" t="s">
        <v>2922</v>
      </c>
      <c r="C179" s="7" t="s">
        <v>2923</v>
      </c>
      <c r="D179" s="7" t="s">
        <v>2611</v>
      </c>
      <c r="E179" s="7" t="n">
        <v>48.1</v>
      </c>
      <c r="F179" s="7" t="s">
        <v>2924</v>
      </c>
    </row>
    <row r="180" customFormat="false" ht="34.5" hidden="false" customHeight="true" outlineLevel="0" collapsed="false">
      <c r="A180" s="7" t="s">
        <v>2925</v>
      </c>
      <c r="B180" s="7" t="s">
        <v>2594</v>
      </c>
      <c r="C180" s="7" t="s">
        <v>2926</v>
      </c>
      <c r="D180" s="7" t="s">
        <v>2611</v>
      </c>
      <c r="E180" s="7" t="n">
        <v>56.1</v>
      </c>
      <c r="F180" s="7" t="s">
        <v>2927</v>
      </c>
    </row>
    <row r="181" customFormat="false" ht="34.5" hidden="false" customHeight="true" outlineLevel="0" collapsed="false">
      <c r="A181" s="7" t="s">
        <v>2928</v>
      </c>
      <c r="B181" s="7" t="s">
        <v>2762</v>
      </c>
      <c r="C181" s="7" t="s">
        <v>2787</v>
      </c>
      <c r="D181" s="7" t="s">
        <v>2611</v>
      </c>
      <c r="E181" s="7" t="n">
        <v>21.9</v>
      </c>
      <c r="F181" s="7" t="s">
        <v>2929</v>
      </c>
    </row>
    <row r="182" customFormat="false" ht="45.75" hidden="false" customHeight="true" outlineLevel="0" collapsed="false">
      <c r="A182" s="7" t="s">
        <v>2930</v>
      </c>
      <c r="B182" s="7" t="s">
        <v>2931</v>
      </c>
      <c r="C182" s="7" t="s">
        <v>2932</v>
      </c>
      <c r="D182" s="7" t="s">
        <v>2611</v>
      </c>
      <c r="E182" s="7" t="n">
        <v>39.8</v>
      </c>
      <c r="F182" s="7" t="s">
        <v>2933</v>
      </c>
    </row>
    <row r="183" customFormat="false" ht="45.75" hidden="false" customHeight="true" outlineLevel="0" collapsed="false">
      <c r="A183" s="7" t="s">
        <v>2934</v>
      </c>
      <c r="B183" s="7" t="s">
        <v>2914</v>
      </c>
      <c r="C183" s="7" t="s">
        <v>2935</v>
      </c>
      <c r="D183" s="7" t="s">
        <v>2611</v>
      </c>
      <c r="E183" s="7" t="n">
        <v>44.6</v>
      </c>
      <c r="F183" s="7" t="s">
        <v>2936</v>
      </c>
    </row>
    <row r="184" customFormat="false" ht="34.5" hidden="false" customHeight="true" outlineLevel="0" collapsed="false">
      <c r="A184" s="7" t="s">
        <v>2937</v>
      </c>
      <c r="B184" s="7" t="s">
        <v>2938</v>
      </c>
      <c r="C184" s="7" t="s">
        <v>2939</v>
      </c>
      <c r="D184" s="7" t="s">
        <v>2611</v>
      </c>
      <c r="E184" s="7" t="n">
        <v>45.1</v>
      </c>
      <c r="F184" s="7" t="s">
        <v>2940</v>
      </c>
    </row>
    <row r="185" customFormat="false" ht="57" hidden="false" customHeight="true" outlineLevel="0" collapsed="false">
      <c r="A185" s="7" t="s">
        <v>2941</v>
      </c>
      <c r="B185" s="7" t="s">
        <v>2942</v>
      </c>
      <c r="C185" s="7" t="s">
        <v>1109</v>
      </c>
      <c r="D185" s="7" t="s">
        <v>2611</v>
      </c>
      <c r="E185" s="7" t="n">
        <v>27.4</v>
      </c>
      <c r="F185" s="7" t="s">
        <v>2943</v>
      </c>
    </row>
    <row r="186" customFormat="false" ht="45.75" hidden="false" customHeight="true" outlineLevel="0" collapsed="false">
      <c r="A186" s="7" t="s">
        <v>1229</v>
      </c>
      <c r="B186" s="7" t="s">
        <v>2944</v>
      </c>
      <c r="C186" s="7" t="s">
        <v>2791</v>
      </c>
      <c r="D186" s="7" t="s">
        <v>2528</v>
      </c>
      <c r="E186" s="7" t="n">
        <v>49.4</v>
      </c>
      <c r="F186" s="7" t="s">
        <v>2945</v>
      </c>
    </row>
    <row r="187" customFormat="false" ht="34.5" hidden="false" customHeight="true" outlineLevel="0" collapsed="false">
      <c r="A187" s="7" t="s">
        <v>2946</v>
      </c>
      <c r="B187" s="7" t="s">
        <v>2558</v>
      </c>
      <c r="C187" s="7" t="s">
        <v>2559</v>
      </c>
      <c r="D187" s="7" t="s">
        <v>2520</v>
      </c>
      <c r="E187" s="7" t="n">
        <v>61.5</v>
      </c>
      <c r="F187" s="7" t="s">
        <v>2947</v>
      </c>
    </row>
    <row r="188" customFormat="false" ht="34.5" hidden="false" customHeight="true" outlineLevel="0" collapsed="false">
      <c r="A188" s="7" t="s">
        <v>2948</v>
      </c>
      <c r="B188" s="7" t="s">
        <v>2728</v>
      </c>
      <c r="C188" s="7" t="s">
        <v>2519</v>
      </c>
      <c r="D188" s="7" t="s">
        <v>2949</v>
      </c>
      <c r="E188" s="7" t="n">
        <v>51.4</v>
      </c>
      <c r="F188" s="7" t="s">
        <v>2950</v>
      </c>
    </row>
    <row r="189" customFormat="false" ht="57" hidden="false" customHeight="true" outlineLevel="0" collapsed="false">
      <c r="A189" s="7" t="s">
        <v>2951</v>
      </c>
      <c r="B189" s="7" t="s">
        <v>2952</v>
      </c>
      <c r="C189" s="7" t="s">
        <v>2953</v>
      </c>
      <c r="D189" s="7" t="s">
        <v>2611</v>
      </c>
      <c r="E189" s="7" t="n">
        <v>65.5</v>
      </c>
      <c r="F189" s="7" t="s">
        <v>2954</v>
      </c>
    </row>
    <row r="190" customFormat="false" ht="45.75" hidden="false" customHeight="true" outlineLevel="0" collapsed="false">
      <c r="A190" s="7" t="s">
        <v>2955</v>
      </c>
      <c r="B190" s="7" t="s">
        <v>2762</v>
      </c>
      <c r="C190" s="7" t="s">
        <v>2787</v>
      </c>
      <c r="D190" s="7" t="s">
        <v>2611</v>
      </c>
      <c r="E190" s="7" t="n">
        <v>21.9</v>
      </c>
      <c r="F190" s="7" t="s">
        <v>2956</v>
      </c>
    </row>
    <row r="191" customFormat="false" ht="45.75" hidden="false" customHeight="true" outlineLevel="0" collapsed="false">
      <c r="A191" s="7" t="s">
        <v>2957</v>
      </c>
      <c r="B191" s="7" t="s">
        <v>2574</v>
      </c>
      <c r="C191" s="7" t="s">
        <v>2575</v>
      </c>
      <c r="D191" s="7" t="s">
        <v>2611</v>
      </c>
      <c r="E191" s="7" t="n">
        <v>73.8</v>
      </c>
      <c r="F191" s="7" t="s">
        <v>2958</v>
      </c>
    </row>
    <row r="192" customFormat="false" ht="68.25" hidden="false" customHeight="true" outlineLevel="0" collapsed="false">
      <c r="A192" s="7" t="s">
        <v>2957</v>
      </c>
      <c r="B192" s="7" t="s">
        <v>2959</v>
      </c>
      <c r="C192" s="7" t="s">
        <v>2548</v>
      </c>
      <c r="D192" s="7" t="s">
        <v>2611</v>
      </c>
      <c r="E192" s="7" t="n">
        <v>61</v>
      </c>
      <c r="F192" s="7" t="s">
        <v>2960</v>
      </c>
    </row>
    <row r="193" customFormat="false" ht="34.5" hidden="false" customHeight="true" outlineLevel="0" collapsed="false">
      <c r="A193" s="7" t="s">
        <v>2957</v>
      </c>
      <c r="B193" s="7" t="s">
        <v>2621</v>
      </c>
      <c r="C193" s="7" t="s">
        <v>2622</v>
      </c>
      <c r="D193" s="7" t="s">
        <v>2611</v>
      </c>
      <c r="E193" s="7" t="n">
        <v>57.7</v>
      </c>
      <c r="F193" s="7" t="s">
        <v>2961</v>
      </c>
    </row>
    <row r="194" customFormat="false" ht="45.75" hidden="false" customHeight="true" outlineLevel="0" collapsed="false">
      <c r="A194" s="7" t="s">
        <v>2957</v>
      </c>
      <c r="B194" s="7" t="s">
        <v>2715</v>
      </c>
      <c r="C194" s="7" t="s">
        <v>1109</v>
      </c>
      <c r="D194" s="7" t="s">
        <v>2611</v>
      </c>
      <c r="E194" s="7" t="n">
        <v>22.5</v>
      </c>
      <c r="F194" s="7" t="s">
        <v>2962</v>
      </c>
    </row>
    <row r="195" customFormat="false" ht="45.75" hidden="false" customHeight="true" outlineLevel="0" collapsed="false">
      <c r="A195" s="7" t="s">
        <v>2957</v>
      </c>
      <c r="B195" s="7" t="s">
        <v>2767</v>
      </c>
      <c r="C195" s="7" t="s">
        <v>2768</v>
      </c>
      <c r="D195" s="7" t="s">
        <v>2611</v>
      </c>
      <c r="E195" s="7" t="n">
        <v>46.6</v>
      </c>
      <c r="F195" s="7" t="s">
        <v>2963</v>
      </c>
    </row>
    <row r="196" customFormat="false" ht="68.25" hidden="false" customHeight="true" outlineLevel="0" collapsed="false">
      <c r="A196" s="7" t="s">
        <v>2957</v>
      </c>
      <c r="B196" s="7" t="s">
        <v>2964</v>
      </c>
      <c r="C196" s="7" t="s">
        <v>2965</v>
      </c>
      <c r="D196" s="7" t="s">
        <v>2611</v>
      </c>
      <c r="E196" s="7" t="n">
        <v>15.7</v>
      </c>
      <c r="F196" s="7" t="s">
        <v>2966</v>
      </c>
    </row>
    <row r="197" customFormat="false" ht="45.75" hidden="false" customHeight="true" outlineLevel="0" collapsed="false">
      <c r="A197" s="7" t="s">
        <v>2957</v>
      </c>
      <c r="B197" s="7" t="s">
        <v>2967</v>
      </c>
      <c r="C197" s="7" t="s">
        <v>2565</v>
      </c>
      <c r="D197" s="7" t="s">
        <v>2611</v>
      </c>
      <c r="E197" s="7" t="n">
        <v>68.9</v>
      </c>
      <c r="F197" s="7" t="s">
        <v>2968</v>
      </c>
    </row>
    <row r="198" customFormat="false" ht="57" hidden="false" customHeight="true" outlineLevel="0" collapsed="false">
      <c r="A198" s="7" t="s">
        <v>2969</v>
      </c>
      <c r="B198" s="7" t="s">
        <v>878</v>
      </c>
      <c r="C198" s="7" t="s">
        <v>1109</v>
      </c>
      <c r="D198" s="7" t="s">
        <v>2611</v>
      </c>
      <c r="E198" s="7" t="n">
        <v>24.2</v>
      </c>
      <c r="F198" s="7" t="s">
        <v>2970</v>
      </c>
    </row>
    <row r="199" customFormat="false" ht="34.5" hidden="false" customHeight="true" outlineLevel="0" collapsed="false">
      <c r="A199" s="7" t="s">
        <v>2971</v>
      </c>
      <c r="B199" s="7" t="s">
        <v>2605</v>
      </c>
      <c r="C199" s="7" t="s">
        <v>2606</v>
      </c>
      <c r="D199" s="7" t="s">
        <v>2611</v>
      </c>
      <c r="E199" s="7" t="n">
        <v>68.7</v>
      </c>
      <c r="F199" s="7" t="s">
        <v>2972</v>
      </c>
    </row>
    <row r="200" customFormat="false" ht="57" hidden="false" customHeight="true" outlineLevel="0" collapsed="false">
      <c r="A200" s="7" t="s">
        <v>2973</v>
      </c>
      <c r="B200" s="7" t="s">
        <v>2617</v>
      </c>
      <c r="C200" s="7" t="s">
        <v>2561</v>
      </c>
      <c r="D200" s="7" t="s">
        <v>2611</v>
      </c>
      <c r="E200" s="7" t="n">
        <v>58.9</v>
      </c>
      <c r="F200" s="7" t="s">
        <v>2974</v>
      </c>
    </row>
    <row r="201" customFormat="false" ht="57" hidden="false" customHeight="true" outlineLevel="0" collapsed="false">
      <c r="A201" s="7" t="s">
        <v>2975</v>
      </c>
      <c r="B201" s="7" t="s">
        <v>2574</v>
      </c>
      <c r="C201" s="7" t="s">
        <v>2575</v>
      </c>
      <c r="D201" s="7" t="s">
        <v>2611</v>
      </c>
      <c r="E201" s="7" t="n">
        <v>73.8</v>
      </c>
      <c r="F201" s="7" t="s">
        <v>2976</v>
      </c>
    </row>
    <row r="202" customFormat="false" ht="57" hidden="false" customHeight="true" outlineLevel="0" collapsed="false">
      <c r="A202" s="7" t="s">
        <v>2975</v>
      </c>
      <c r="B202" s="7" t="s">
        <v>2621</v>
      </c>
      <c r="C202" s="7" t="s">
        <v>2622</v>
      </c>
      <c r="D202" s="7" t="s">
        <v>2611</v>
      </c>
      <c r="E202" s="7" t="n">
        <v>57.7</v>
      </c>
      <c r="F202" s="7" t="s">
        <v>2977</v>
      </c>
    </row>
    <row r="203" customFormat="false" ht="57" hidden="false" customHeight="true" outlineLevel="0" collapsed="false">
      <c r="A203" s="7" t="s">
        <v>2975</v>
      </c>
      <c r="B203" s="7" t="s">
        <v>2617</v>
      </c>
      <c r="C203" s="7" t="s">
        <v>2561</v>
      </c>
      <c r="D203" s="7" t="s">
        <v>2611</v>
      </c>
      <c r="E203" s="7" t="n">
        <v>58.9</v>
      </c>
      <c r="F203" s="7" t="s">
        <v>2978</v>
      </c>
    </row>
    <row r="204" customFormat="false" ht="34.5" hidden="false" customHeight="true" outlineLevel="0" collapsed="false">
      <c r="A204" s="7" t="s">
        <v>2975</v>
      </c>
      <c r="B204" s="7" t="s">
        <v>310</v>
      </c>
      <c r="C204" s="7" t="s">
        <v>2979</v>
      </c>
      <c r="D204" s="7" t="s">
        <v>2611</v>
      </c>
      <c r="E204" s="7" t="n">
        <v>14.6</v>
      </c>
      <c r="F204" s="7" t="s">
        <v>2980</v>
      </c>
    </row>
    <row r="205" customFormat="false" ht="34.5" hidden="false" customHeight="true" outlineLevel="0" collapsed="false">
      <c r="A205" s="7" t="s">
        <v>2975</v>
      </c>
      <c r="B205" s="7" t="s">
        <v>2549</v>
      </c>
      <c r="C205" s="7" t="s">
        <v>2550</v>
      </c>
      <c r="D205" s="7" t="s">
        <v>2611</v>
      </c>
      <c r="E205" s="7" t="n">
        <v>44.7</v>
      </c>
      <c r="F205" s="7" t="s">
        <v>2981</v>
      </c>
    </row>
    <row r="206" customFormat="false" ht="45.75" hidden="false" customHeight="true" outlineLevel="0" collapsed="false">
      <c r="A206" s="7" t="s">
        <v>2982</v>
      </c>
      <c r="B206" s="7" t="s">
        <v>2983</v>
      </c>
      <c r="C206" s="7" t="s">
        <v>2984</v>
      </c>
      <c r="D206" s="7" t="s">
        <v>2611</v>
      </c>
      <c r="E206" s="7" t="n">
        <v>60</v>
      </c>
      <c r="F206" s="7" t="s">
        <v>2985</v>
      </c>
    </row>
    <row r="207" customFormat="false" ht="45.75" hidden="false" customHeight="true" outlineLevel="0" collapsed="false">
      <c r="A207" s="7" t="s">
        <v>2982</v>
      </c>
      <c r="B207" s="7" t="s">
        <v>2986</v>
      </c>
      <c r="C207" s="7" t="s">
        <v>2527</v>
      </c>
      <c r="D207" s="7" t="s">
        <v>2611</v>
      </c>
      <c r="E207" s="7" t="n">
        <v>61.2</v>
      </c>
      <c r="F207" s="7" t="s">
        <v>2987</v>
      </c>
    </row>
    <row r="208" customFormat="false" ht="45.75" hidden="false" customHeight="true" outlineLevel="0" collapsed="false">
      <c r="A208" s="7" t="s">
        <v>2982</v>
      </c>
      <c r="B208" s="7" t="s">
        <v>2922</v>
      </c>
      <c r="C208" s="7" t="s">
        <v>2923</v>
      </c>
      <c r="D208" s="7" t="s">
        <v>2611</v>
      </c>
      <c r="E208" s="7" t="n">
        <v>48.1</v>
      </c>
      <c r="F208" s="7" t="s">
        <v>2988</v>
      </c>
    </row>
    <row r="209" customFormat="false" ht="34.5" hidden="false" customHeight="true" outlineLevel="0" collapsed="false">
      <c r="A209" s="7" t="s">
        <v>2982</v>
      </c>
      <c r="B209" s="7" t="s">
        <v>878</v>
      </c>
      <c r="C209" s="7" t="s">
        <v>1109</v>
      </c>
      <c r="D209" s="7" t="s">
        <v>2611</v>
      </c>
      <c r="E209" s="7" t="n">
        <v>24.2</v>
      </c>
      <c r="F209" s="7" t="s">
        <v>2989</v>
      </c>
    </row>
    <row r="210" customFormat="false" ht="45.75" hidden="false" customHeight="true" outlineLevel="0" collapsed="false">
      <c r="A210" s="7" t="s">
        <v>2982</v>
      </c>
      <c r="B210" s="7" t="s">
        <v>2762</v>
      </c>
      <c r="C210" s="7" t="s">
        <v>2787</v>
      </c>
      <c r="D210" s="7" t="s">
        <v>2611</v>
      </c>
      <c r="E210" s="7" t="n">
        <v>21.9</v>
      </c>
      <c r="F210" s="7" t="s">
        <v>2990</v>
      </c>
    </row>
    <row r="211" customFormat="false" ht="34.5" hidden="false" customHeight="true" outlineLevel="0" collapsed="false">
      <c r="A211" s="7" t="s">
        <v>2982</v>
      </c>
      <c r="B211" s="7" t="s">
        <v>2991</v>
      </c>
      <c r="C211" s="7" t="s">
        <v>2992</v>
      </c>
      <c r="D211" s="7" t="s">
        <v>2611</v>
      </c>
      <c r="E211" s="7" t="n">
        <v>22.7</v>
      </c>
      <c r="F211" s="7" t="s">
        <v>2993</v>
      </c>
    </row>
    <row r="212" customFormat="false" ht="34.5" hidden="false" customHeight="true" outlineLevel="0" collapsed="false">
      <c r="A212" s="7" t="s">
        <v>2982</v>
      </c>
      <c r="B212" s="7" t="s">
        <v>2931</v>
      </c>
      <c r="C212" s="7" t="s">
        <v>2932</v>
      </c>
      <c r="D212" s="7" t="s">
        <v>2611</v>
      </c>
      <c r="E212" s="7" t="n">
        <v>39.8</v>
      </c>
      <c r="F212" s="7" t="s">
        <v>2994</v>
      </c>
    </row>
    <row r="213" customFormat="false" ht="45.75" hidden="false" customHeight="true" outlineLevel="0" collapsed="false">
      <c r="A213" s="7" t="s">
        <v>2982</v>
      </c>
      <c r="B213" s="7" t="s">
        <v>2995</v>
      </c>
      <c r="C213" s="7" t="s">
        <v>2996</v>
      </c>
      <c r="D213" s="7" t="s">
        <v>2611</v>
      </c>
      <c r="E213" s="7" t="n">
        <v>32.8</v>
      </c>
      <c r="F213" s="7" t="s">
        <v>2997</v>
      </c>
    </row>
    <row r="214" customFormat="false" ht="45.75" hidden="false" customHeight="true" outlineLevel="0" collapsed="false">
      <c r="A214" s="7" t="s">
        <v>2982</v>
      </c>
      <c r="B214" s="7" t="s">
        <v>2952</v>
      </c>
      <c r="C214" s="7" t="s">
        <v>2953</v>
      </c>
      <c r="D214" s="7" t="s">
        <v>2611</v>
      </c>
      <c r="E214" s="7" t="n">
        <v>65.5</v>
      </c>
      <c r="F214" s="7" t="s">
        <v>2998</v>
      </c>
    </row>
    <row r="215" customFormat="false" ht="45.75" hidden="false" customHeight="true" outlineLevel="0" collapsed="false">
      <c r="A215" s="7" t="s">
        <v>2999</v>
      </c>
      <c r="B215" s="7" t="s">
        <v>2995</v>
      </c>
      <c r="C215" s="7" t="s">
        <v>2996</v>
      </c>
      <c r="D215" s="7" t="s">
        <v>2611</v>
      </c>
      <c r="E215" s="7" t="n">
        <v>32.8</v>
      </c>
      <c r="F215" s="7" t="s">
        <v>3000</v>
      </c>
    </row>
    <row r="216" customFormat="false" ht="45.75" hidden="false" customHeight="true" outlineLevel="0" collapsed="false">
      <c r="A216" s="7" t="s">
        <v>2999</v>
      </c>
      <c r="B216" s="7" t="s">
        <v>2959</v>
      </c>
      <c r="C216" s="7" t="s">
        <v>2548</v>
      </c>
      <c r="D216" s="7" t="s">
        <v>2611</v>
      </c>
      <c r="E216" s="7" t="n">
        <v>61</v>
      </c>
      <c r="F216" s="7" t="s">
        <v>3001</v>
      </c>
    </row>
    <row r="217" customFormat="false" ht="57" hidden="false" customHeight="true" outlineLevel="0" collapsed="false">
      <c r="A217" s="7" t="s">
        <v>2999</v>
      </c>
      <c r="B217" s="7" t="s">
        <v>2621</v>
      </c>
      <c r="C217" s="7" t="s">
        <v>2622</v>
      </c>
      <c r="D217" s="7" t="s">
        <v>2611</v>
      </c>
      <c r="E217" s="7" t="n">
        <v>57.7</v>
      </c>
      <c r="F217" s="7" t="s">
        <v>3002</v>
      </c>
    </row>
    <row r="218" customFormat="false" ht="34.5" hidden="false" customHeight="true" outlineLevel="0" collapsed="false">
      <c r="A218" s="7" t="s">
        <v>2999</v>
      </c>
      <c r="B218" s="7" t="s">
        <v>2762</v>
      </c>
      <c r="C218" s="7" t="s">
        <v>2787</v>
      </c>
      <c r="D218" s="7" t="s">
        <v>2611</v>
      </c>
      <c r="E218" s="7" t="n">
        <v>21.9</v>
      </c>
      <c r="F218" s="7" t="s">
        <v>3003</v>
      </c>
    </row>
    <row r="219" customFormat="false" ht="45.75" hidden="false" customHeight="true" outlineLevel="0" collapsed="false">
      <c r="A219" s="7" t="s">
        <v>2999</v>
      </c>
      <c r="B219" s="7" t="s">
        <v>2991</v>
      </c>
      <c r="C219" s="7" t="s">
        <v>2992</v>
      </c>
      <c r="D219" s="7" t="s">
        <v>2611</v>
      </c>
      <c r="E219" s="7" t="n">
        <v>22.7</v>
      </c>
      <c r="F219" s="7" t="s">
        <v>3004</v>
      </c>
    </row>
    <row r="220" customFormat="false" ht="34.5" hidden="false" customHeight="true" outlineLevel="0" collapsed="false">
      <c r="A220" s="7" t="s">
        <v>2999</v>
      </c>
      <c r="B220" s="7" t="s">
        <v>2931</v>
      </c>
      <c r="C220" s="7" t="s">
        <v>2932</v>
      </c>
      <c r="D220" s="7" t="s">
        <v>2611</v>
      </c>
      <c r="E220" s="7" t="n">
        <v>39.8</v>
      </c>
      <c r="F220" s="7" t="s">
        <v>3005</v>
      </c>
    </row>
    <row r="221" customFormat="false" ht="34.5" hidden="false" customHeight="true" outlineLevel="0" collapsed="false">
      <c r="A221" s="7" t="s">
        <v>2999</v>
      </c>
      <c r="B221" s="7" t="s">
        <v>2549</v>
      </c>
      <c r="C221" s="7" t="s">
        <v>2550</v>
      </c>
      <c r="D221" s="7" t="s">
        <v>2611</v>
      </c>
      <c r="E221" s="7" t="n">
        <v>44.7</v>
      </c>
      <c r="F221" s="7" t="s">
        <v>3006</v>
      </c>
    </row>
    <row r="222" customFormat="false" ht="34.5" hidden="false" customHeight="true" outlineLevel="0" collapsed="false">
      <c r="A222" s="7" t="s">
        <v>3007</v>
      </c>
      <c r="B222" s="7" t="s">
        <v>2762</v>
      </c>
      <c r="C222" s="7" t="s">
        <v>2787</v>
      </c>
      <c r="D222" s="7" t="s">
        <v>2528</v>
      </c>
      <c r="E222" s="7" t="n">
        <v>21.9</v>
      </c>
      <c r="F222" s="7" t="s">
        <v>3008</v>
      </c>
    </row>
    <row r="223" customFormat="false" ht="34.5" hidden="false" customHeight="true" outlineLevel="0" collapsed="false">
      <c r="A223" s="7" t="s">
        <v>3007</v>
      </c>
      <c r="B223" s="7" t="s">
        <v>2762</v>
      </c>
      <c r="C223" s="7" t="s">
        <v>2787</v>
      </c>
      <c r="D223" s="7" t="s">
        <v>2528</v>
      </c>
      <c r="E223" s="7" t="n">
        <v>21.9</v>
      </c>
      <c r="F223" s="7" t="s">
        <v>3009</v>
      </c>
    </row>
    <row r="224" customFormat="false" ht="45.75" hidden="false" customHeight="true" outlineLevel="0" collapsed="false">
      <c r="A224" s="7" t="s">
        <v>3010</v>
      </c>
      <c r="B224" s="7" t="s">
        <v>3011</v>
      </c>
      <c r="C224" s="7" t="s">
        <v>2542</v>
      </c>
      <c r="D224" s="7" t="s">
        <v>2611</v>
      </c>
      <c r="E224" s="7" t="n">
        <v>36.7</v>
      </c>
      <c r="F224" s="7" t="s">
        <v>3012</v>
      </c>
    </row>
    <row r="225" customFormat="false" ht="102" hidden="false" customHeight="true" outlineLevel="0" collapsed="false">
      <c r="A225" s="7" t="s">
        <v>3013</v>
      </c>
      <c r="B225" s="7" t="s">
        <v>878</v>
      </c>
      <c r="C225" s="7" t="s">
        <v>1109</v>
      </c>
      <c r="D225" s="7" t="s">
        <v>2611</v>
      </c>
      <c r="E225" s="7" t="n">
        <v>24.1</v>
      </c>
      <c r="F225" s="7" t="s">
        <v>3014</v>
      </c>
    </row>
    <row r="226" customFormat="false" ht="34.5" hidden="false" customHeight="true" outlineLevel="0" collapsed="false">
      <c r="A226" s="7" t="s">
        <v>3013</v>
      </c>
      <c r="B226" s="7" t="s">
        <v>2670</v>
      </c>
      <c r="C226" s="7" t="s">
        <v>2591</v>
      </c>
      <c r="D226" s="7" t="s">
        <v>2611</v>
      </c>
      <c r="E226" s="7" t="n">
        <v>41</v>
      </c>
      <c r="F226" s="7" t="s">
        <v>3015</v>
      </c>
    </row>
    <row r="227" customFormat="false" ht="34.5" hidden="false" customHeight="true" outlineLevel="0" collapsed="false">
      <c r="A227" s="7" t="s">
        <v>3013</v>
      </c>
      <c r="B227" s="7" t="s">
        <v>3016</v>
      </c>
      <c r="C227" s="7" t="s">
        <v>2939</v>
      </c>
      <c r="D227" s="7" t="s">
        <v>2611</v>
      </c>
      <c r="E227" s="7" t="n">
        <v>65.7</v>
      </c>
      <c r="F227" s="7" t="s">
        <v>3017</v>
      </c>
    </row>
    <row r="228" customFormat="false" ht="45.75" hidden="false" customHeight="true" outlineLevel="0" collapsed="false">
      <c r="A228" s="7" t="s">
        <v>3018</v>
      </c>
      <c r="B228" s="7" t="s">
        <v>2964</v>
      </c>
      <c r="C228" s="7" t="s">
        <v>2965</v>
      </c>
      <c r="D228" s="7" t="s">
        <v>2611</v>
      </c>
      <c r="E228" s="7" t="n">
        <v>15.7</v>
      </c>
      <c r="F228" s="7" t="s">
        <v>3019</v>
      </c>
    </row>
    <row r="229" customFormat="false" ht="90.75" hidden="false" customHeight="true" outlineLevel="0" collapsed="false">
      <c r="A229" s="7" t="s">
        <v>3020</v>
      </c>
      <c r="B229" s="7" t="s">
        <v>2621</v>
      </c>
      <c r="C229" s="7" t="s">
        <v>2622</v>
      </c>
      <c r="D229" s="7" t="s">
        <v>2611</v>
      </c>
      <c r="E229" s="7" t="n">
        <v>57.7</v>
      </c>
      <c r="F229" s="7" t="s">
        <v>3021</v>
      </c>
    </row>
    <row r="230" customFormat="false" ht="68.25" hidden="false" customHeight="true" outlineLevel="0" collapsed="false">
      <c r="A230" s="7" t="s">
        <v>3022</v>
      </c>
      <c r="B230" s="7" t="s">
        <v>2964</v>
      </c>
      <c r="C230" s="7" t="s">
        <v>2965</v>
      </c>
      <c r="D230" s="7" t="s">
        <v>2611</v>
      </c>
      <c r="E230" s="7" t="n">
        <v>15.7</v>
      </c>
      <c r="F230" s="7" t="s">
        <v>3023</v>
      </c>
    </row>
    <row r="231" customFormat="false" ht="102" hidden="false" customHeight="true" outlineLevel="0" collapsed="false">
      <c r="A231" s="7" t="s">
        <v>3024</v>
      </c>
      <c r="B231" s="7" t="s">
        <v>2621</v>
      </c>
      <c r="C231" s="7" t="s">
        <v>2622</v>
      </c>
      <c r="D231" s="7" t="s">
        <v>2611</v>
      </c>
      <c r="E231" s="7" t="n">
        <v>57.7</v>
      </c>
      <c r="F231" s="7" t="s">
        <v>3025</v>
      </c>
    </row>
    <row r="232" customFormat="false" ht="68.25" hidden="false" customHeight="true" outlineLevel="0" collapsed="false">
      <c r="A232" s="7" t="s">
        <v>3026</v>
      </c>
      <c r="B232" s="7" t="s">
        <v>2964</v>
      </c>
      <c r="C232" s="7" t="s">
        <v>2965</v>
      </c>
      <c r="D232" s="7" t="s">
        <v>2611</v>
      </c>
      <c r="E232" s="7" t="n">
        <v>15.7</v>
      </c>
      <c r="F232" s="7" t="s">
        <v>3027</v>
      </c>
    </row>
    <row r="233" customFormat="false" ht="45.75" hidden="false" customHeight="true" outlineLevel="0" collapsed="false">
      <c r="A233" s="7" t="s">
        <v>3028</v>
      </c>
      <c r="B233" s="7" t="s">
        <v>2967</v>
      </c>
      <c r="C233" s="7" t="s">
        <v>2565</v>
      </c>
      <c r="D233" s="7" t="s">
        <v>2611</v>
      </c>
      <c r="E233" s="7" t="n">
        <v>68.9</v>
      </c>
      <c r="F233" s="7" t="s">
        <v>3029</v>
      </c>
    </row>
    <row r="234" customFormat="false" ht="34.5" hidden="false" customHeight="true" outlineLevel="0" collapsed="false">
      <c r="A234" s="7" t="s">
        <v>3028</v>
      </c>
      <c r="B234" s="7" t="s">
        <v>2991</v>
      </c>
      <c r="C234" s="7" t="s">
        <v>3030</v>
      </c>
      <c r="D234" s="7" t="s">
        <v>2611</v>
      </c>
      <c r="E234" s="7" t="n">
        <v>21.4</v>
      </c>
      <c r="F234" s="7" t="s">
        <v>3031</v>
      </c>
    </row>
    <row r="235" customFormat="false" ht="57" hidden="false" customHeight="true" outlineLevel="0" collapsed="false">
      <c r="A235" s="7" t="s">
        <v>3028</v>
      </c>
      <c r="B235" s="7" t="s">
        <v>2549</v>
      </c>
      <c r="C235" s="7" t="s">
        <v>2550</v>
      </c>
      <c r="D235" s="7" t="s">
        <v>2611</v>
      </c>
      <c r="E235" s="7" t="n">
        <v>44.7</v>
      </c>
      <c r="F235" s="7" t="s">
        <v>3032</v>
      </c>
    </row>
    <row r="236" customFormat="false" ht="90.75" hidden="false" customHeight="true" outlineLevel="0" collapsed="false">
      <c r="A236" s="7" t="s">
        <v>3033</v>
      </c>
      <c r="B236" s="7" t="s">
        <v>878</v>
      </c>
      <c r="C236" s="7" t="s">
        <v>1109</v>
      </c>
      <c r="D236" s="7" t="s">
        <v>2611</v>
      </c>
      <c r="E236" s="7" t="n">
        <v>24.1</v>
      </c>
      <c r="F236" s="7" t="s">
        <v>3034</v>
      </c>
    </row>
    <row r="237" customFormat="false" ht="34.5" hidden="false" customHeight="true" outlineLevel="0" collapsed="false">
      <c r="A237" s="7" t="s">
        <v>3033</v>
      </c>
      <c r="B237" s="7" t="s">
        <v>2922</v>
      </c>
      <c r="C237" s="7" t="s">
        <v>2923</v>
      </c>
      <c r="D237" s="7" t="s">
        <v>2611</v>
      </c>
      <c r="E237" s="7" t="n">
        <v>48.1</v>
      </c>
      <c r="F237" s="7" t="s">
        <v>3035</v>
      </c>
    </row>
    <row r="238" customFormat="false" ht="90.75" hidden="false" customHeight="true" outlineLevel="0" collapsed="false">
      <c r="A238" s="7" t="s">
        <v>3036</v>
      </c>
      <c r="B238" s="7" t="s">
        <v>2621</v>
      </c>
      <c r="C238" s="7" t="s">
        <v>2622</v>
      </c>
      <c r="D238" s="7" t="s">
        <v>2611</v>
      </c>
      <c r="E238" s="7" t="n">
        <v>57.7</v>
      </c>
      <c r="F238" s="7" t="s">
        <v>3037</v>
      </c>
    </row>
    <row r="239" customFormat="false" ht="57" hidden="false" customHeight="true" outlineLevel="0" collapsed="false">
      <c r="A239" s="7" t="s">
        <v>3038</v>
      </c>
      <c r="B239" s="7" t="s">
        <v>2549</v>
      </c>
      <c r="C239" s="7" t="s">
        <v>2550</v>
      </c>
      <c r="D239" s="7" t="s">
        <v>2611</v>
      </c>
      <c r="E239" s="7" t="n">
        <v>44.7</v>
      </c>
      <c r="F239" s="7" t="s">
        <v>3039</v>
      </c>
    </row>
    <row r="240" customFormat="false" ht="34.5" hidden="false" customHeight="true" outlineLevel="0" collapsed="false">
      <c r="A240" s="7" t="s">
        <v>3040</v>
      </c>
      <c r="B240" s="7" t="s">
        <v>2574</v>
      </c>
      <c r="C240" s="7" t="s">
        <v>2575</v>
      </c>
      <c r="D240" s="7" t="s">
        <v>2611</v>
      </c>
      <c r="E240" s="7" t="n">
        <v>73.9</v>
      </c>
      <c r="F240" s="7" t="s">
        <v>3041</v>
      </c>
    </row>
    <row r="241" customFormat="false" ht="68.25" hidden="false" customHeight="true" outlineLevel="0" collapsed="false">
      <c r="A241" s="7" t="s">
        <v>3042</v>
      </c>
      <c r="B241" s="7" t="s">
        <v>2964</v>
      </c>
      <c r="C241" s="7" t="s">
        <v>2965</v>
      </c>
      <c r="D241" s="7" t="s">
        <v>2611</v>
      </c>
      <c r="E241" s="7" t="n">
        <v>15.7</v>
      </c>
      <c r="F241" s="7" t="s">
        <v>3043</v>
      </c>
    </row>
    <row r="242" customFormat="false" ht="79.5" hidden="false" customHeight="true" outlineLevel="0" collapsed="false">
      <c r="A242" s="7" t="s">
        <v>3044</v>
      </c>
      <c r="B242" s="7" t="s">
        <v>2762</v>
      </c>
      <c r="C242" s="7" t="s">
        <v>2787</v>
      </c>
      <c r="D242" s="7" t="s">
        <v>2611</v>
      </c>
      <c r="E242" s="7" t="n">
        <v>21.7</v>
      </c>
      <c r="F242" s="7" t="s">
        <v>3045</v>
      </c>
    </row>
    <row r="243" customFormat="false" ht="34.5" hidden="false" customHeight="true" outlineLevel="0" collapsed="false">
      <c r="A243" s="7" t="s">
        <v>3046</v>
      </c>
      <c r="B243" s="7" t="s">
        <v>3047</v>
      </c>
      <c r="C243" s="7" t="s">
        <v>3048</v>
      </c>
      <c r="D243" s="7" t="s">
        <v>2611</v>
      </c>
      <c r="E243" s="7" t="n">
        <v>52.9</v>
      </c>
      <c r="F243" s="7" t="s">
        <v>3049</v>
      </c>
    </row>
    <row r="244" customFormat="false" ht="79.5" hidden="false" customHeight="true" outlineLevel="0" collapsed="false">
      <c r="A244" s="7" t="s">
        <v>3050</v>
      </c>
      <c r="B244" s="7" t="s">
        <v>878</v>
      </c>
      <c r="C244" s="7" t="s">
        <v>1109</v>
      </c>
      <c r="D244" s="7" t="s">
        <v>2611</v>
      </c>
      <c r="E244" s="7" t="n">
        <v>24.1</v>
      </c>
      <c r="F244" s="7" t="s">
        <v>3051</v>
      </c>
    </row>
    <row r="245" customFormat="false" ht="34.5" hidden="false" customHeight="true" outlineLevel="0" collapsed="false">
      <c r="A245" s="7" t="s">
        <v>3050</v>
      </c>
      <c r="B245" s="7" t="s">
        <v>2670</v>
      </c>
      <c r="C245" s="7" t="s">
        <v>2591</v>
      </c>
      <c r="D245" s="7" t="s">
        <v>2611</v>
      </c>
      <c r="E245" s="7" t="n">
        <v>41</v>
      </c>
      <c r="F245" s="7" t="s">
        <v>3052</v>
      </c>
    </row>
    <row r="246" customFormat="false" ht="45.75" hidden="false" customHeight="true" outlineLevel="0" collapsed="false">
      <c r="A246" s="7" t="s">
        <v>3053</v>
      </c>
      <c r="B246" s="7" t="s">
        <v>2621</v>
      </c>
      <c r="C246" s="7" t="s">
        <v>2622</v>
      </c>
      <c r="D246" s="7" t="s">
        <v>2611</v>
      </c>
      <c r="E246" s="7" t="n">
        <v>57.7</v>
      </c>
      <c r="F246" s="7" t="s">
        <v>3054</v>
      </c>
    </row>
    <row r="247" customFormat="false" ht="34.5" hidden="false" customHeight="true" outlineLevel="0" collapsed="false">
      <c r="A247" s="7" t="s">
        <v>3055</v>
      </c>
      <c r="B247" s="7" t="s">
        <v>2938</v>
      </c>
      <c r="C247" s="7" t="s">
        <v>2939</v>
      </c>
      <c r="D247" s="7" t="s">
        <v>2611</v>
      </c>
      <c r="E247" s="7" t="n">
        <v>45.1</v>
      </c>
      <c r="F247" s="7" t="s">
        <v>3056</v>
      </c>
    </row>
    <row r="248" customFormat="false" ht="34.5" hidden="false" customHeight="true" outlineLevel="0" collapsed="false">
      <c r="A248" s="7" t="s">
        <v>3057</v>
      </c>
      <c r="B248" s="7" t="s">
        <v>2762</v>
      </c>
      <c r="C248" s="7" t="s">
        <v>2787</v>
      </c>
      <c r="D248" s="7" t="s">
        <v>2611</v>
      </c>
      <c r="E248" s="7" t="n">
        <v>21.7</v>
      </c>
      <c r="F248" s="7" t="s">
        <v>3058</v>
      </c>
    </row>
    <row r="249" customFormat="false" ht="34.5" hidden="false" customHeight="true" outlineLevel="0" collapsed="false">
      <c r="A249" s="7" t="s">
        <v>3059</v>
      </c>
      <c r="B249" s="7" t="s">
        <v>2938</v>
      </c>
      <c r="C249" s="7" t="s">
        <v>2939</v>
      </c>
      <c r="D249" s="7" t="s">
        <v>2611</v>
      </c>
      <c r="E249" s="7" t="n">
        <v>45.1</v>
      </c>
      <c r="F249" s="7" t="s">
        <v>3060</v>
      </c>
    </row>
    <row r="250" customFormat="false" ht="34.5" hidden="false" customHeight="true" outlineLevel="0" collapsed="false">
      <c r="A250" s="7" t="s">
        <v>3059</v>
      </c>
      <c r="B250" s="7" t="s">
        <v>2991</v>
      </c>
      <c r="C250" s="7" t="s">
        <v>3030</v>
      </c>
      <c r="D250" s="7" t="s">
        <v>2611</v>
      </c>
      <c r="E250" s="7" t="n">
        <v>21.4</v>
      </c>
      <c r="F250" s="7" t="s">
        <v>3061</v>
      </c>
    </row>
    <row r="251" customFormat="false" ht="34.5" hidden="false" customHeight="true" outlineLevel="0" collapsed="false">
      <c r="A251" s="7" t="s">
        <v>3062</v>
      </c>
      <c r="B251" s="7" t="s">
        <v>2574</v>
      </c>
      <c r="C251" s="7" t="s">
        <v>3063</v>
      </c>
      <c r="D251" s="7" t="s">
        <v>2611</v>
      </c>
      <c r="E251" s="7" t="n">
        <v>73.3</v>
      </c>
      <c r="F251" s="7" t="s">
        <v>3064</v>
      </c>
    </row>
    <row r="252" customFormat="false" ht="34.5" hidden="false" customHeight="true" outlineLevel="0" collapsed="false">
      <c r="A252" s="7" t="s">
        <v>3062</v>
      </c>
      <c r="B252" s="7" t="s">
        <v>2621</v>
      </c>
      <c r="C252" s="7" t="s">
        <v>2622</v>
      </c>
      <c r="D252" s="7" t="s">
        <v>2611</v>
      </c>
      <c r="E252" s="7" t="n">
        <v>57.7</v>
      </c>
      <c r="F252" s="7" t="s">
        <v>3065</v>
      </c>
    </row>
    <row r="253" customFormat="false" ht="90.75" hidden="false" customHeight="true" outlineLevel="0" collapsed="false">
      <c r="A253" s="7" t="s">
        <v>3062</v>
      </c>
      <c r="B253" s="7" t="s">
        <v>878</v>
      </c>
      <c r="C253" s="7" t="s">
        <v>1109</v>
      </c>
      <c r="D253" s="7" t="s">
        <v>2528</v>
      </c>
      <c r="E253" s="7" t="n">
        <v>24.5</v>
      </c>
      <c r="F253" s="7" t="s">
        <v>3066</v>
      </c>
    </row>
    <row r="254" customFormat="false" ht="34.5" hidden="false" customHeight="true" outlineLevel="0" collapsed="false">
      <c r="A254" s="7" t="s">
        <v>3062</v>
      </c>
      <c r="B254" s="7" t="s">
        <v>2762</v>
      </c>
      <c r="C254" s="7" t="s">
        <v>2787</v>
      </c>
      <c r="D254" s="7" t="s">
        <v>2611</v>
      </c>
      <c r="E254" s="7" t="n">
        <v>21.7</v>
      </c>
      <c r="F254" s="7" t="s">
        <v>3067</v>
      </c>
    </row>
    <row r="255" customFormat="false" ht="45.75" hidden="false" customHeight="true" outlineLevel="0" collapsed="false">
      <c r="A255" s="7" t="s">
        <v>3062</v>
      </c>
      <c r="B255" s="7" t="s">
        <v>2964</v>
      </c>
      <c r="C255" s="7" t="s">
        <v>2965</v>
      </c>
      <c r="D255" s="7" t="s">
        <v>2611</v>
      </c>
      <c r="E255" s="7" t="n">
        <v>15.7</v>
      </c>
      <c r="F255" s="7" t="s">
        <v>3068</v>
      </c>
    </row>
    <row r="256" customFormat="false" ht="34.5" hidden="false" customHeight="true" outlineLevel="0" collapsed="false">
      <c r="A256" s="7" t="s">
        <v>3062</v>
      </c>
      <c r="B256" s="7" t="s">
        <v>2938</v>
      </c>
      <c r="C256" s="7" t="s">
        <v>2939</v>
      </c>
      <c r="D256" s="7" t="s">
        <v>2611</v>
      </c>
      <c r="E256" s="7" t="n">
        <v>45.1</v>
      </c>
      <c r="F256" s="7" t="s">
        <v>3069</v>
      </c>
    </row>
    <row r="257" customFormat="false" ht="45.75" hidden="false" customHeight="true" outlineLevel="0" collapsed="false">
      <c r="A257" s="7" t="s">
        <v>3070</v>
      </c>
      <c r="B257" s="7" t="s">
        <v>3071</v>
      </c>
      <c r="C257" s="7" t="s">
        <v>2519</v>
      </c>
      <c r="D257" s="7" t="s">
        <v>2611</v>
      </c>
      <c r="E257" s="7" t="n">
        <v>56.7</v>
      </c>
      <c r="F257" s="7" t="s">
        <v>3072</v>
      </c>
    </row>
    <row r="258" customFormat="false" ht="34.5" hidden="false" customHeight="true" outlineLevel="0" collapsed="false">
      <c r="A258" s="7" t="s">
        <v>3073</v>
      </c>
      <c r="B258" s="7" t="s">
        <v>2574</v>
      </c>
      <c r="C258" s="7" t="s">
        <v>3063</v>
      </c>
      <c r="D258" s="7" t="s">
        <v>2611</v>
      </c>
      <c r="E258" s="7" t="n">
        <v>73.3</v>
      </c>
      <c r="F258" s="7" t="s">
        <v>3074</v>
      </c>
    </row>
    <row r="259" customFormat="false" ht="34.5" hidden="false" customHeight="true" outlineLevel="0" collapsed="false">
      <c r="A259" s="7" t="s">
        <v>3073</v>
      </c>
      <c r="B259" s="7" t="s">
        <v>2549</v>
      </c>
      <c r="C259" s="7" t="s">
        <v>2550</v>
      </c>
      <c r="D259" s="7" t="s">
        <v>2611</v>
      </c>
      <c r="E259" s="7" t="n">
        <v>44.7</v>
      </c>
      <c r="F259" s="7" t="s">
        <v>3075</v>
      </c>
    </row>
    <row r="260" customFormat="false" ht="45.75" hidden="false" customHeight="true" outlineLevel="0" collapsed="false">
      <c r="A260" s="7" t="s">
        <v>3076</v>
      </c>
      <c r="B260" s="7" t="s">
        <v>878</v>
      </c>
      <c r="C260" s="7" t="s">
        <v>1109</v>
      </c>
      <c r="D260" s="7" t="s">
        <v>2611</v>
      </c>
      <c r="E260" s="7" t="n">
        <v>24.1</v>
      </c>
      <c r="F260" s="7" t="s">
        <v>3077</v>
      </c>
    </row>
    <row r="261" customFormat="false" ht="34.5" hidden="false" customHeight="true" outlineLevel="0" collapsed="false">
      <c r="A261" s="7" t="s">
        <v>3078</v>
      </c>
      <c r="B261" s="7" t="s">
        <v>2964</v>
      </c>
      <c r="C261" s="7" t="s">
        <v>2965</v>
      </c>
      <c r="D261" s="7" t="s">
        <v>2611</v>
      </c>
      <c r="E261" s="7" t="n">
        <v>15.7</v>
      </c>
      <c r="F261" s="7" t="s">
        <v>3079</v>
      </c>
    </row>
    <row r="262" customFormat="false" ht="34.5" hidden="false" customHeight="true" outlineLevel="0" collapsed="false">
      <c r="A262" s="7" t="s">
        <v>3080</v>
      </c>
      <c r="B262" s="7" t="s">
        <v>2922</v>
      </c>
      <c r="C262" s="7" t="s">
        <v>2923</v>
      </c>
      <c r="D262" s="7" t="s">
        <v>2611</v>
      </c>
      <c r="E262" s="7" t="n">
        <v>48.1</v>
      </c>
      <c r="F262" s="7" t="s">
        <v>3081</v>
      </c>
    </row>
    <row r="263" customFormat="false" ht="45.75" hidden="false" customHeight="true" outlineLevel="0" collapsed="false">
      <c r="A263" s="7" t="s">
        <v>1003</v>
      </c>
      <c r="B263" s="7" t="s">
        <v>2808</v>
      </c>
      <c r="C263" s="7" t="s">
        <v>2523</v>
      </c>
      <c r="D263" s="7" t="s">
        <v>2532</v>
      </c>
      <c r="E263" s="7" t="n">
        <v>25.2</v>
      </c>
      <c r="F263" s="7" t="s">
        <v>3082</v>
      </c>
    </row>
    <row r="264" customFormat="false" ht="45.75" hidden="false" customHeight="true" outlineLevel="0" collapsed="false">
      <c r="A264" s="7" t="s">
        <v>1003</v>
      </c>
      <c r="B264" s="7" t="s">
        <v>2808</v>
      </c>
      <c r="C264" s="7" t="s">
        <v>2523</v>
      </c>
      <c r="D264" s="7" t="s">
        <v>2611</v>
      </c>
      <c r="E264" s="7" t="n">
        <v>25.2</v>
      </c>
      <c r="F264" s="7" t="s">
        <v>3083</v>
      </c>
    </row>
    <row r="265" customFormat="false" ht="45.75" hidden="false" customHeight="true" outlineLevel="0" collapsed="false">
      <c r="A265" s="7" t="s">
        <v>3084</v>
      </c>
      <c r="B265" s="7" t="s">
        <v>2983</v>
      </c>
      <c r="C265" s="7" t="s">
        <v>2984</v>
      </c>
      <c r="D265" s="7" t="s">
        <v>2611</v>
      </c>
      <c r="E265" s="7" t="n">
        <v>60</v>
      </c>
      <c r="F265" s="7" t="s">
        <v>3085</v>
      </c>
    </row>
    <row r="266" customFormat="false" ht="57" hidden="false" customHeight="true" outlineLevel="0" collapsed="false">
      <c r="A266" s="7" t="s">
        <v>3086</v>
      </c>
      <c r="B266" s="7" t="s">
        <v>2621</v>
      </c>
      <c r="C266" s="7" t="s">
        <v>2622</v>
      </c>
      <c r="D266" s="7" t="s">
        <v>2611</v>
      </c>
      <c r="E266" s="7" t="n">
        <v>57.7</v>
      </c>
      <c r="F266" s="7" t="s">
        <v>3087</v>
      </c>
    </row>
    <row r="267" customFormat="false" ht="45.75" hidden="false" customHeight="true" outlineLevel="0" collapsed="false">
      <c r="A267" s="7" t="s">
        <v>3088</v>
      </c>
      <c r="B267" s="7" t="s">
        <v>3089</v>
      </c>
      <c r="C267" s="7" t="s">
        <v>3090</v>
      </c>
      <c r="D267" s="7" t="s">
        <v>2611</v>
      </c>
      <c r="E267" s="7" t="n">
        <v>57.1</v>
      </c>
      <c r="F267" s="7" t="s">
        <v>3091</v>
      </c>
    </row>
    <row r="268" customFormat="false" ht="45.75" hidden="false" customHeight="true" outlineLevel="0" collapsed="false">
      <c r="A268" s="7" t="s">
        <v>3088</v>
      </c>
      <c r="B268" s="7" t="s">
        <v>3092</v>
      </c>
      <c r="C268" s="7" t="s">
        <v>3093</v>
      </c>
      <c r="D268" s="7" t="s">
        <v>2611</v>
      </c>
      <c r="E268" s="7" t="n">
        <v>63.4</v>
      </c>
      <c r="F268" s="7" t="s">
        <v>3094</v>
      </c>
    </row>
    <row r="269" customFormat="false" ht="45.75" hidden="false" customHeight="true" outlineLevel="0" collapsed="false">
      <c r="A269" s="7" t="s">
        <v>3088</v>
      </c>
      <c r="B269" s="7" t="s">
        <v>878</v>
      </c>
      <c r="C269" s="7" t="s">
        <v>1109</v>
      </c>
      <c r="D269" s="7" t="s">
        <v>2611</v>
      </c>
      <c r="E269" s="7" t="n">
        <v>24.2</v>
      </c>
      <c r="F269" s="7" t="s">
        <v>3095</v>
      </c>
    </row>
    <row r="270" customFormat="false" ht="34.5" hidden="false" customHeight="true" outlineLevel="0" collapsed="false">
      <c r="A270" s="7" t="s">
        <v>3088</v>
      </c>
      <c r="B270" s="7" t="s">
        <v>973</v>
      </c>
      <c r="C270" s="7" t="s">
        <v>3096</v>
      </c>
      <c r="D270" s="7" t="s">
        <v>2611</v>
      </c>
      <c r="E270" s="7" t="n">
        <v>25.7</v>
      </c>
      <c r="F270" s="7" t="s">
        <v>3097</v>
      </c>
    </row>
    <row r="271" customFormat="false" ht="45.75" hidden="false" customHeight="true" outlineLevel="0" collapsed="false">
      <c r="A271" s="7" t="s">
        <v>3088</v>
      </c>
      <c r="B271" s="7" t="s">
        <v>3098</v>
      </c>
      <c r="C271" s="7" t="s">
        <v>2565</v>
      </c>
      <c r="D271" s="7" t="s">
        <v>2611</v>
      </c>
      <c r="E271" s="7" t="n">
        <v>64.7</v>
      </c>
      <c r="F271" s="7" t="s">
        <v>3099</v>
      </c>
    </row>
    <row r="272" customFormat="false" ht="45.75" hidden="false" customHeight="true" outlineLevel="0" collapsed="false">
      <c r="A272" s="7" t="s">
        <v>3088</v>
      </c>
      <c r="B272" s="7" t="s">
        <v>2574</v>
      </c>
      <c r="C272" s="7" t="s">
        <v>3063</v>
      </c>
      <c r="D272" s="7" t="s">
        <v>2611</v>
      </c>
      <c r="E272" s="7" t="n">
        <v>73.3</v>
      </c>
      <c r="F272" s="7" t="s">
        <v>3100</v>
      </c>
    </row>
    <row r="273" customFormat="false" ht="45.75" hidden="false" customHeight="true" outlineLevel="0" collapsed="false">
      <c r="A273" s="7" t="s">
        <v>3101</v>
      </c>
      <c r="B273" s="7" t="s">
        <v>2893</v>
      </c>
      <c r="C273" s="7" t="s">
        <v>2894</v>
      </c>
      <c r="D273" s="7" t="s">
        <v>2611</v>
      </c>
      <c r="E273" s="7" t="n">
        <v>66.4</v>
      </c>
      <c r="F273" s="7" t="s">
        <v>3102</v>
      </c>
    </row>
    <row r="274" customFormat="false" ht="45.75" hidden="false" customHeight="true" outlineLevel="0" collapsed="false">
      <c r="A274" s="7" t="s">
        <v>998</v>
      </c>
      <c r="B274" s="7" t="s">
        <v>3103</v>
      </c>
      <c r="C274" s="7" t="s">
        <v>3104</v>
      </c>
      <c r="D274" s="7" t="s">
        <v>2611</v>
      </c>
      <c r="E274" s="7" t="n">
        <v>57.8</v>
      </c>
      <c r="F274" s="7" t="s">
        <v>3105</v>
      </c>
    </row>
    <row r="275" customFormat="false" ht="45.75" hidden="false" customHeight="true" outlineLevel="0" collapsed="false">
      <c r="A275" s="7" t="s">
        <v>3106</v>
      </c>
      <c r="B275" s="7" t="s">
        <v>2715</v>
      </c>
      <c r="C275" s="7" t="s">
        <v>1109</v>
      </c>
      <c r="D275" s="7" t="s">
        <v>2611</v>
      </c>
      <c r="E275" s="7" t="n">
        <v>22.5</v>
      </c>
      <c r="F275" s="7" t="s">
        <v>3107</v>
      </c>
    </row>
    <row r="276" customFormat="false" ht="45.75" hidden="false" customHeight="true" outlineLevel="0" collapsed="false">
      <c r="A276" s="7" t="s">
        <v>3106</v>
      </c>
      <c r="B276" s="7" t="s">
        <v>2670</v>
      </c>
      <c r="C276" s="7" t="s">
        <v>2591</v>
      </c>
      <c r="D276" s="7" t="s">
        <v>2611</v>
      </c>
      <c r="E276" s="7" t="n">
        <v>41</v>
      </c>
      <c r="F276" s="7" t="s">
        <v>3108</v>
      </c>
    </row>
    <row r="277" customFormat="false" ht="45.75" hidden="false" customHeight="true" outlineLevel="0" collapsed="false">
      <c r="A277" s="7" t="s">
        <v>3109</v>
      </c>
      <c r="B277" s="7" t="s">
        <v>2621</v>
      </c>
      <c r="C277" s="7" t="s">
        <v>2622</v>
      </c>
      <c r="D277" s="7" t="s">
        <v>2611</v>
      </c>
      <c r="E277" s="7" t="n">
        <v>57.7</v>
      </c>
      <c r="F277" s="7" t="s">
        <v>3110</v>
      </c>
    </row>
    <row r="278" customFormat="false" ht="45.75" hidden="false" customHeight="true" outlineLevel="0" collapsed="false">
      <c r="A278" s="7" t="s">
        <v>3109</v>
      </c>
      <c r="B278" s="7" t="s">
        <v>3092</v>
      </c>
      <c r="C278" s="7" t="s">
        <v>3093</v>
      </c>
      <c r="D278" s="7" t="s">
        <v>2611</v>
      </c>
      <c r="E278" s="7" t="n">
        <v>63.4</v>
      </c>
      <c r="F278" s="7" t="s">
        <v>3111</v>
      </c>
    </row>
    <row r="279" customFormat="false" ht="34.5" hidden="false" customHeight="true" outlineLevel="0" collapsed="false">
      <c r="A279" s="7" t="s">
        <v>3112</v>
      </c>
      <c r="B279" s="7" t="s">
        <v>2621</v>
      </c>
      <c r="C279" s="7" t="s">
        <v>2622</v>
      </c>
      <c r="D279" s="7" t="s">
        <v>2611</v>
      </c>
      <c r="E279" s="7" t="n">
        <v>57.7</v>
      </c>
      <c r="F279" s="7" t="s">
        <v>3113</v>
      </c>
    </row>
    <row r="280" customFormat="false" ht="34.5" hidden="false" customHeight="true" outlineLevel="0" collapsed="false">
      <c r="A280" s="7" t="s">
        <v>3112</v>
      </c>
      <c r="B280" s="7" t="s">
        <v>2767</v>
      </c>
      <c r="C280" s="7" t="s">
        <v>2768</v>
      </c>
      <c r="D280" s="7" t="s">
        <v>2611</v>
      </c>
      <c r="E280" s="7" t="n">
        <v>46.6</v>
      </c>
      <c r="F280" s="7" t="s">
        <v>3114</v>
      </c>
    </row>
    <row r="281" customFormat="false" ht="34.5" hidden="false" customHeight="true" outlineLevel="0" collapsed="false">
      <c r="A281" s="7" t="s">
        <v>3112</v>
      </c>
      <c r="B281" s="7" t="s">
        <v>3115</v>
      </c>
      <c r="C281" s="7" t="s">
        <v>2791</v>
      </c>
      <c r="D281" s="7" t="s">
        <v>2611</v>
      </c>
      <c r="E281" s="7" t="n">
        <v>59.7</v>
      </c>
      <c r="F281" s="7" t="s">
        <v>3116</v>
      </c>
    </row>
    <row r="282" customFormat="false" ht="57" hidden="false" customHeight="true" outlineLevel="0" collapsed="false">
      <c r="A282" s="7" t="s">
        <v>3117</v>
      </c>
      <c r="B282" s="7" t="s">
        <v>2621</v>
      </c>
      <c r="C282" s="7" t="s">
        <v>2622</v>
      </c>
      <c r="D282" s="7" t="s">
        <v>2611</v>
      </c>
      <c r="E282" s="7" t="n">
        <v>57.4</v>
      </c>
      <c r="F282" s="7" t="s">
        <v>3118</v>
      </c>
    </row>
    <row r="283" customFormat="false" ht="34.5" hidden="false" customHeight="true" outlineLevel="0" collapsed="false">
      <c r="A283" s="7" t="s">
        <v>3119</v>
      </c>
      <c r="B283" s="7" t="s">
        <v>2783</v>
      </c>
      <c r="C283" s="7" t="s">
        <v>2784</v>
      </c>
      <c r="D283" s="7" t="s">
        <v>2611</v>
      </c>
      <c r="E283" s="7" t="n">
        <v>51</v>
      </c>
      <c r="F283" s="7" t="s">
        <v>3120</v>
      </c>
    </row>
    <row r="284" customFormat="false" ht="45.75" hidden="false" customHeight="true" outlineLevel="0" collapsed="false">
      <c r="A284" s="7" t="s">
        <v>3119</v>
      </c>
      <c r="B284" s="7" t="s">
        <v>2986</v>
      </c>
      <c r="C284" s="7" t="s">
        <v>2527</v>
      </c>
      <c r="D284" s="7" t="s">
        <v>2611</v>
      </c>
      <c r="E284" s="7" t="n">
        <v>61.6</v>
      </c>
      <c r="F284" s="7" t="s">
        <v>3121</v>
      </c>
    </row>
    <row r="285" customFormat="false" ht="45.75" hidden="false" customHeight="true" outlineLevel="0" collapsed="false">
      <c r="A285" s="7" t="s">
        <v>3119</v>
      </c>
      <c r="B285" s="7" t="s">
        <v>3092</v>
      </c>
      <c r="C285" s="7" t="s">
        <v>3093</v>
      </c>
      <c r="D285" s="7" t="s">
        <v>2611</v>
      </c>
      <c r="E285" s="7" t="n">
        <v>63.4</v>
      </c>
      <c r="F285" s="7" t="s">
        <v>3122</v>
      </c>
    </row>
    <row r="286" customFormat="false" ht="34.5" hidden="false" customHeight="true" outlineLevel="0" collapsed="false">
      <c r="A286" s="7" t="s">
        <v>3119</v>
      </c>
      <c r="B286" s="7" t="s">
        <v>2617</v>
      </c>
      <c r="C286" s="7" t="s">
        <v>2561</v>
      </c>
      <c r="D286" s="7" t="s">
        <v>2611</v>
      </c>
      <c r="E286" s="7" t="n">
        <v>58.9</v>
      </c>
      <c r="F286" s="7" t="s">
        <v>3123</v>
      </c>
    </row>
    <row r="287" customFormat="false" ht="34.5" hidden="false" customHeight="true" outlineLevel="0" collapsed="false">
      <c r="A287" s="7" t="s">
        <v>3119</v>
      </c>
      <c r="B287" s="7" t="s">
        <v>3124</v>
      </c>
      <c r="C287" s="7" t="s">
        <v>2852</v>
      </c>
      <c r="D287" s="7" t="s">
        <v>2611</v>
      </c>
      <c r="E287" s="7" t="n">
        <v>20</v>
      </c>
      <c r="F287" s="7" t="s">
        <v>3125</v>
      </c>
    </row>
    <row r="288" customFormat="false" ht="34.5" hidden="false" customHeight="true" outlineLevel="0" collapsed="false">
      <c r="A288" s="7" t="s">
        <v>3126</v>
      </c>
      <c r="B288" s="7" t="s">
        <v>2938</v>
      </c>
      <c r="C288" s="7" t="s">
        <v>3127</v>
      </c>
      <c r="D288" s="7" t="s">
        <v>2611</v>
      </c>
      <c r="E288" s="7" t="n">
        <v>42.2</v>
      </c>
      <c r="F288" s="7" t="s">
        <v>3128</v>
      </c>
    </row>
    <row r="289" customFormat="false" ht="34.5" hidden="false" customHeight="true" outlineLevel="0" collapsed="false">
      <c r="A289" s="7" t="s">
        <v>3126</v>
      </c>
      <c r="B289" s="7" t="s">
        <v>2931</v>
      </c>
      <c r="C289" s="7" t="s">
        <v>2932</v>
      </c>
      <c r="D289" s="7" t="s">
        <v>2611</v>
      </c>
      <c r="E289" s="7" t="n">
        <v>40</v>
      </c>
      <c r="F289" s="7" t="s">
        <v>3129</v>
      </c>
    </row>
    <row r="290" customFormat="false" ht="34.5" hidden="false" customHeight="true" outlineLevel="0" collapsed="false">
      <c r="A290" s="7" t="s">
        <v>3130</v>
      </c>
      <c r="B290" s="7" t="s">
        <v>3131</v>
      </c>
      <c r="C290" s="7" t="s">
        <v>2939</v>
      </c>
      <c r="D290" s="7" t="s">
        <v>2611</v>
      </c>
      <c r="E290" s="7" t="n">
        <v>44.9</v>
      </c>
      <c r="F290" s="7" t="s">
        <v>3132</v>
      </c>
    </row>
    <row r="291" customFormat="false" ht="45.75" hidden="false" customHeight="true" outlineLevel="0" collapsed="false">
      <c r="A291" s="7" t="s">
        <v>3133</v>
      </c>
      <c r="B291" s="7" t="s">
        <v>878</v>
      </c>
      <c r="C291" s="7" t="s">
        <v>1109</v>
      </c>
      <c r="D291" s="7" t="s">
        <v>2611</v>
      </c>
      <c r="E291" s="7" t="n">
        <v>24.5</v>
      </c>
      <c r="F291" s="7" t="s">
        <v>3134</v>
      </c>
    </row>
    <row r="292" customFormat="false" ht="34.5" hidden="false" customHeight="true" outlineLevel="0" collapsed="false">
      <c r="A292" s="7" t="s">
        <v>3133</v>
      </c>
      <c r="B292" s="7" t="s">
        <v>2670</v>
      </c>
      <c r="C292" s="7" t="s">
        <v>2591</v>
      </c>
      <c r="D292" s="7" t="s">
        <v>2611</v>
      </c>
      <c r="E292" s="7" t="n">
        <v>41.1</v>
      </c>
      <c r="F292" s="7" t="s">
        <v>3135</v>
      </c>
    </row>
    <row r="293" customFormat="false" ht="45.75" hidden="false" customHeight="true" outlineLevel="0" collapsed="false">
      <c r="A293" s="7" t="s">
        <v>3136</v>
      </c>
      <c r="B293" s="7" t="s">
        <v>2715</v>
      </c>
      <c r="C293" s="7" t="s">
        <v>1109</v>
      </c>
      <c r="D293" s="7" t="s">
        <v>2611</v>
      </c>
      <c r="E293" s="7" t="n">
        <v>22.5</v>
      </c>
      <c r="F293" s="7" t="s">
        <v>3137</v>
      </c>
    </row>
    <row r="294" customFormat="false" ht="45.75" hidden="false" customHeight="true" outlineLevel="0" collapsed="false">
      <c r="A294" s="7" t="s">
        <v>3138</v>
      </c>
      <c r="B294" s="7" t="s">
        <v>3139</v>
      </c>
      <c r="C294" s="7" t="s">
        <v>3140</v>
      </c>
      <c r="D294" s="7" t="s">
        <v>2611</v>
      </c>
      <c r="E294" s="7" t="n">
        <v>66.7</v>
      </c>
      <c r="F294" s="7" t="s">
        <v>3141</v>
      </c>
    </row>
    <row r="295" customFormat="false" ht="34.5" hidden="false" customHeight="true" outlineLevel="0" collapsed="false">
      <c r="A295" s="7" t="s">
        <v>3142</v>
      </c>
      <c r="B295" s="7" t="s">
        <v>2983</v>
      </c>
      <c r="C295" s="7" t="s">
        <v>2984</v>
      </c>
      <c r="D295" s="7" t="s">
        <v>2611</v>
      </c>
      <c r="E295" s="7" t="n">
        <v>60.3</v>
      </c>
      <c r="F295" s="7" t="s">
        <v>3143</v>
      </c>
    </row>
    <row r="296" customFormat="false" ht="34.5" hidden="false" customHeight="true" outlineLevel="0" collapsed="false">
      <c r="A296" s="7" t="s">
        <v>3144</v>
      </c>
      <c r="B296" s="7" t="s">
        <v>3145</v>
      </c>
      <c r="C296" s="7" t="s">
        <v>3146</v>
      </c>
      <c r="D296" s="7" t="s">
        <v>2611</v>
      </c>
      <c r="E296" s="7" t="n">
        <v>58.2</v>
      </c>
      <c r="F296" s="7" t="s">
        <v>3147</v>
      </c>
    </row>
    <row r="297" customFormat="false" ht="34.5" hidden="false" customHeight="true" outlineLevel="0" collapsed="false">
      <c r="A297" s="7" t="s">
        <v>3148</v>
      </c>
      <c r="B297" s="7" t="s">
        <v>973</v>
      </c>
      <c r="C297" s="7" t="s">
        <v>3096</v>
      </c>
      <c r="D297" s="7" t="s">
        <v>2611</v>
      </c>
      <c r="E297" s="7" t="n">
        <v>25.2</v>
      </c>
      <c r="F297" s="7" t="s">
        <v>3149</v>
      </c>
    </row>
    <row r="298" customFormat="false" ht="34.5" hidden="false" customHeight="true" outlineLevel="0" collapsed="false">
      <c r="A298" s="7" t="s">
        <v>3150</v>
      </c>
      <c r="B298" s="7" t="s">
        <v>3131</v>
      </c>
      <c r="C298" s="7" t="s">
        <v>2939</v>
      </c>
      <c r="D298" s="7" t="s">
        <v>2611</v>
      </c>
      <c r="E298" s="7" t="n">
        <v>44.9</v>
      </c>
      <c r="F298" s="7" t="s">
        <v>3151</v>
      </c>
    </row>
    <row r="299" customFormat="false" ht="45.75" hidden="false" customHeight="true" outlineLevel="0" collapsed="false">
      <c r="A299" s="7" t="s">
        <v>3150</v>
      </c>
      <c r="B299" s="7" t="s">
        <v>2621</v>
      </c>
      <c r="C299" s="7" t="s">
        <v>2622</v>
      </c>
      <c r="D299" s="7" t="s">
        <v>2611</v>
      </c>
      <c r="E299" s="7" t="n">
        <v>57.4</v>
      </c>
      <c r="F299" s="7" t="s">
        <v>3152</v>
      </c>
    </row>
    <row r="300" customFormat="false" ht="34.5" hidden="false" customHeight="true" outlineLevel="0" collapsed="false">
      <c r="A300" s="7" t="s">
        <v>3153</v>
      </c>
      <c r="B300" s="7" t="s">
        <v>3103</v>
      </c>
      <c r="C300" s="7" t="s">
        <v>3104</v>
      </c>
      <c r="D300" s="7" t="s">
        <v>2611</v>
      </c>
      <c r="E300" s="7" t="n">
        <v>57.8</v>
      </c>
      <c r="F300" s="7" t="s">
        <v>3154</v>
      </c>
    </row>
    <row r="301" customFormat="false" ht="34.5" hidden="false" customHeight="true" outlineLevel="0" collapsed="false">
      <c r="A301" s="7" t="s">
        <v>3153</v>
      </c>
      <c r="B301" s="7" t="s">
        <v>3155</v>
      </c>
      <c r="C301" s="7" t="s">
        <v>2556</v>
      </c>
      <c r="D301" s="7" t="s">
        <v>2611</v>
      </c>
      <c r="E301" s="7" t="n">
        <v>66.9</v>
      </c>
      <c r="F301" s="7" t="s">
        <v>3156</v>
      </c>
    </row>
    <row r="302" customFormat="false" ht="34.5" hidden="false" customHeight="true" outlineLevel="0" collapsed="false">
      <c r="A302" s="7" t="s">
        <v>3153</v>
      </c>
      <c r="B302" s="7" t="s">
        <v>3092</v>
      </c>
      <c r="C302" s="7" t="s">
        <v>3093</v>
      </c>
      <c r="D302" s="7" t="s">
        <v>2611</v>
      </c>
      <c r="E302" s="7" t="n">
        <v>63.4</v>
      </c>
      <c r="F302" s="7" t="s">
        <v>3157</v>
      </c>
    </row>
    <row r="303" customFormat="false" ht="34.5" hidden="false" customHeight="true" outlineLevel="0" collapsed="false">
      <c r="A303" s="7" t="s">
        <v>3153</v>
      </c>
      <c r="B303" s="7" t="s">
        <v>2617</v>
      </c>
      <c r="C303" s="7" t="s">
        <v>2561</v>
      </c>
      <c r="D303" s="7" t="s">
        <v>2611</v>
      </c>
      <c r="E303" s="7" t="n">
        <v>58.9</v>
      </c>
      <c r="F303" s="7" t="s">
        <v>3158</v>
      </c>
    </row>
    <row r="304" customFormat="false" ht="45.75" hidden="false" customHeight="true" outlineLevel="0" collapsed="false">
      <c r="A304" s="7" t="s">
        <v>3153</v>
      </c>
      <c r="B304" s="7" t="s">
        <v>2767</v>
      </c>
      <c r="C304" s="7" t="s">
        <v>2768</v>
      </c>
      <c r="D304" s="7" t="s">
        <v>2611</v>
      </c>
      <c r="E304" s="7" t="n">
        <v>46.6</v>
      </c>
      <c r="F304" s="7" t="s">
        <v>3159</v>
      </c>
    </row>
    <row r="305" customFormat="false" ht="34.5" hidden="false" customHeight="true" outlineLevel="0" collapsed="false">
      <c r="A305" s="7" t="s">
        <v>3153</v>
      </c>
      <c r="B305" s="7" t="s">
        <v>3160</v>
      </c>
      <c r="C305" s="7" t="s">
        <v>3161</v>
      </c>
      <c r="D305" s="7" t="s">
        <v>2611</v>
      </c>
      <c r="E305" s="7" t="n">
        <v>55.3</v>
      </c>
      <c r="F305" s="7" t="s">
        <v>3162</v>
      </c>
    </row>
    <row r="306" customFormat="false" ht="34.5" hidden="false" customHeight="true" outlineLevel="0" collapsed="false">
      <c r="A306" s="7" t="s">
        <v>3153</v>
      </c>
      <c r="B306" s="7" t="s">
        <v>3163</v>
      </c>
      <c r="C306" s="7" t="s">
        <v>3164</v>
      </c>
      <c r="D306" s="7" t="s">
        <v>2611</v>
      </c>
      <c r="E306" s="7" t="n">
        <v>51.4</v>
      </c>
      <c r="F306" s="7" t="s">
        <v>3165</v>
      </c>
    </row>
    <row r="307" customFormat="false" ht="34.5" hidden="false" customHeight="true" outlineLevel="0" collapsed="false">
      <c r="A307" s="7" t="s">
        <v>3153</v>
      </c>
      <c r="B307" s="7" t="s">
        <v>3089</v>
      </c>
      <c r="C307" s="7" t="s">
        <v>3090</v>
      </c>
      <c r="D307" s="7" t="s">
        <v>2611</v>
      </c>
      <c r="E307" s="7" t="n">
        <v>57.1</v>
      </c>
      <c r="F307" s="7" t="s">
        <v>3166</v>
      </c>
    </row>
    <row r="308" customFormat="false" ht="34.5" hidden="false" customHeight="true" outlineLevel="0" collapsed="false">
      <c r="A308" s="7" t="s">
        <v>3153</v>
      </c>
      <c r="B308" s="7" t="s">
        <v>3167</v>
      </c>
      <c r="C308" s="7" t="s">
        <v>3090</v>
      </c>
      <c r="D308" s="7" t="s">
        <v>2611</v>
      </c>
      <c r="E308" s="7" t="n">
        <v>48.2</v>
      </c>
      <c r="F308" s="7" t="s">
        <v>3168</v>
      </c>
    </row>
    <row r="309" customFormat="false" ht="45.75" hidden="false" customHeight="true" outlineLevel="0" collapsed="false">
      <c r="A309" s="7" t="s">
        <v>3153</v>
      </c>
      <c r="B309" s="7" t="s">
        <v>2783</v>
      </c>
      <c r="C309" s="7" t="s">
        <v>2784</v>
      </c>
      <c r="D309" s="7" t="s">
        <v>2611</v>
      </c>
      <c r="E309" s="7" t="n">
        <v>51</v>
      </c>
      <c r="F309" s="7" t="s">
        <v>3169</v>
      </c>
    </row>
    <row r="310" customFormat="false" ht="34.5" hidden="false" customHeight="true" outlineLevel="0" collapsed="false">
      <c r="A310" s="7" t="s">
        <v>3170</v>
      </c>
      <c r="B310" s="7" t="s">
        <v>3171</v>
      </c>
      <c r="C310" s="7" t="s">
        <v>3172</v>
      </c>
      <c r="D310" s="7" t="s">
        <v>2611</v>
      </c>
      <c r="E310" s="7" t="n">
        <v>62.5</v>
      </c>
      <c r="F310" s="7" t="s">
        <v>3173</v>
      </c>
    </row>
    <row r="311" customFormat="false" ht="34.5" hidden="false" customHeight="true" outlineLevel="0" collapsed="false">
      <c r="A311" s="7" t="s">
        <v>3170</v>
      </c>
      <c r="B311" s="7" t="s">
        <v>3103</v>
      </c>
      <c r="C311" s="7" t="s">
        <v>3174</v>
      </c>
      <c r="D311" s="7" t="s">
        <v>2611</v>
      </c>
      <c r="E311" s="7" t="n">
        <v>58.8</v>
      </c>
      <c r="F311" s="7" t="s">
        <v>3175</v>
      </c>
    </row>
    <row r="312" customFormat="false" ht="34.5" hidden="false" customHeight="true" outlineLevel="0" collapsed="false">
      <c r="A312" s="7" t="s">
        <v>3170</v>
      </c>
      <c r="B312" s="7" t="s">
        <v>3124</v>
      </c>
      <c r="C312" s="7" t="s">
        <v>2852</v>
      </c>
      <c r="D312" s="7" t="s">
        <v>2611</v>
      </c>
      <c r="E312" s="7" t="n">
        <v>20</v>
      </c>
      <c r="F312" s="7" t="s">
        <v>3176</v>
      </c>
    </row>
    <row r="313" customFormat="false" ht="45.75" hidden="false" customHeight="true" outlineLevel="0" collapsed="false">
      <c r="A313" s="7" t="s">
        <v>3170</v>
      </c>
      <c r="B313" s="7" t="s">
        <v>2549</v>
      </c>
      <c r="C313" s="7" t="s">
        <v>2550</v>
      </c>
      <c r="D313" s="7" t="s">
        <v>2611</v>
      </c>
      <c r="E313" s="7" t="n">
        <v>44.9</v>
      </c>
      <c r="F313" s="7" t="s">
        <v>3177</v>
      </c>
    </row>
    <row r="314" customFormat="false" ht="34.5" hidden="false" customHeight="true" outlineLevel="0" collapsed="false">
      <c r="A314" s="7" t="s">
        <v>3178</v>
      </c>
      <c r="B314" s="7" t="s">
        <v>2986</v>
      </c>
      <c r="C314" s="7" t="s">
        <v>2527</v>
      </c>
      <c r="D314" s="7" t="s">
        <v>2611</v>
      </c>
      <c r="E314" s="7" t="n">
        <v>61.6</v>
      </c>
      <c r="F314" s="7" t="s">
        <v>3179</v>
      </c>
    </row>
    <row r="315" customFormat="false" ht="34.5" hidden="false" customHeight="true" outlineLevel="0" collapsed="false">
      <c r="A315" s="7" t="s">
        <v>3180</v>
      </c>
      <c r="B315" s="7" t="s">
        <v>3011</v>
      </c>
      <c r="C315" s="7" t="s">
        <v>2542</v>
      </c>
      <c r="D315" s="7" t="s">
        <v>2611</v>
      </c>
      <c r="E315" s="7" t="n">
        <v>36.6</v>
      </c>
      <c r="F315" s="7" t="s">
        <v>3181</v>
      </c>
    </row>
    <row r="316" customFormat="false" ht="57" hidden="false" customHeight="true" outlineLevel="0" collapsed="false">
      <c r="A316" s="7" t="s">
        <v>3182</v>
      </c>
      <c r="B316" s="7" t="s">
        <v>2621</v>
      </c>
      <c r="C316" s="7" t="s">
        <v>2622</v>
      </c>
      <c r="D316" s="7" t="s">
        <v>2611</v>
      </c>
      <c r="E316" s="7" t="n">
        <v>57.4</v>
      </c>
      <c r="F316" s="7" t="s">
        <v>3183</v>
      </c>
    </row>
    <row r="317" customFormat="false" ht="34.5" hidden="false" customHeight="true" outlineLevel="0" collapsed="false">
      <c r="A317" s="7" t="s">
        <v>3184</v>
      </c>
      <c r="B317" s="7" t="s">
        <v>3145</v>
      </c>
      <c r="C317" s="7" t="s">
        <v>3146</v>
      </c>
      <c r="D317" s="7" t="s">
        <v>2611</v>
      </c>
      <c r="E317" s="7" t="n">
        <v>58.2</v>
      </c>
      <c r="F317" s="7" t="s">
        <v>3185</v>
      </c>
    </row>
    <row r="318" customFormat="false" ht="34.5" hidden="false" customHeight="true" outlineLevel="0" collapsed="false">
      <c r="A318" s="7" t="s">
        <v>3186</v>
      </c>
      <c r="B318" s="7" t="s">
        <v>2670</v>
      </c>
      <c r="C318" s="7" t="s">
        <v>2591</v>
      </c>
      <c r="D318" s="7" t="s">
        <v>2611</v>
      </c>
      <c r="E318" s="7" t="n">
        <v>41.1</v>
      </c>
      <c r="F318" s="7" t="s">
        <v>3187</v>
      </c>
    </row>
    <row r="319" customFormat="false" ht="34.5" hidden="false" customHeight="true" outlineLevel="0" collapsed="false">
      <c r="A319" s="7" t="s">
        <v>3188</v>
      </c>
      <c r="B319" s="7" t="s">
        <v>3103</v>
      </c>
      <c r="C319" s="7" t="s">
        <v>3104</v>
      </c>
      <c r="D319" s="7" t="s">
        <v>2611</v>
      </c>
      <c r="E319" s="7" t="n">
        <v>57.8</v>
      </c>
      <c r="F319" s="7" t="s">
        <v>3189</v>
      </c>
    </row>
    <row r="320" customFormat="false" ht="34.5" hidden="false" customHeight="true" outlineLevel="0" collapsed="false">
      <c r="A320" s="7" t="s">
        <v>3188</v>
      </c>
      <c r="B320" s="7" t="s">
        <v>2621</v>
      </c>
      <c r="C320" s="7" t="s">
        <v>2622</v>
      </c>
      <c r="D320" s="7" t="s">
        <v>2611</v>
      </c>
      <c r="E320" s="7" t="n">
        <v>57.4</v>
      </c>
      <c r="F320" s="7" t="s">
        <v>3190</v>
      </c>
    </row>
    <row r="321" customFormat="false" ht="34.5" hidden="false" customHeight="true" outlineLevel="0" collapsed="false">
      <c r="A321" s="7" t="s">
        <v>3188</v>
      </c>
      <c r="B321" s="7" t="s">
        <v>3191</v>
      </c>
      <c r="C321" s="7" t="s">
        <v>3192</v>
      </c>
      <c r="D321" s="7" t="s">
        <v>2611</v>
      </c>
      <c r="E321" s="7" t="n">
        <v>70.3</v>
      </c>
      <c r="F321" s="7" t="s">
        <v>3193</v>
      </c>
    </row>
    <row r="322" customFormat="false" ht="45.75" hidden="false" customHeight="true" outlineLevel="0" collapsed="false">
      <c r="A322" s="7" t="s">
        <v>3188</v>
      </c>
      <c r="B322" s="7" t="s">
        <v>2715</v>
      </c>
      <c r="C322" s="7" t="s">
        <v>1109</v>
      </c>
      <c r="D322" s="7" t="s">
        <v>2611</v>
      </c>
      <c r="E322" s="7" t="n">
        <v>22.5</v>
      </c>
      <c r="F322" s="7" t="s">
        <v>3194</v>
      </c>
    </row>
    <row r="323" customFormat="false" ht="45.75" hidden="false" customHeight="true" outlineLevel="0" collapsed="false">
      <c r="A323" s="7" t="s">
        <v>3188</v>
      </c>
      <c r="B323" s="7" t="s">
        <v>878</v>
      </c>
      <c r="C323" s="7" t="s">
        <v>1109</v>
      </c>
      <c r="D323" s="7" t="s">
        <v>2611</v>
      </c>
      <c r="E323" s="7" t="n">
        <v>24.5</v>
      </c>
      <c r="F323" s="7" t="s">
        <v>3195</v>
      </c>
    </row>
    <row r="324" customFormat="false" ht="34.5" hidden="false" customHeight="true" outlineLevel="0" collapsed="false">
      <c r="A324" s="7" t="s">
        <v>3188</v>
      </c>
      <c r="B324" s="7" t="s">
        <v>2617</v>
      </c>
      <c r="C324" s="7" t="s">
        <v>2561</v>
      </c>
      <c r="D324" s="7" t="s">
        <v>2611</v>
      </c>
      <c r="E324" s="7" t="n">
        <v>58.9</v>
      </c>
      <c r="F324" s="7" t="s">
        <v>3196</v>
      </c>
    </row>
    <row r="325" customFormat="false" ht="34.5" hidden="false" customHeight="true" outlineLevel="0" collapsed="false">
      <c r="A325" s="7" t="s">
        <v>3188</v>
      </c>
      <c r="B325" s="7" t="s">
        <v>3197</v>
      </c>
      <c r="C325" s="7" t="s">
        <v>3198</v>
      </c>
      <c r="D325" s="7" t="s">
        <v>2611</v>
      </c>
      <c r="E325" s="7" t="n">
        <v>47.8</v>
      </c>
      <c r="F325" s="7" t="s">
        <v>3199</v>
      </c>
    </row>
    <row r="326" customFormat="false" ht="34.5" hidden="false" customHeight="true" outlineLevel="0" collapsed="false">
      <c r="A326" s="7" t="s">
        <v>3188</v>
      </c>
      <c r="B326" s="7" t="s">
        <v>2723</v>
      </c>
      <c r="C326" s="7" t="s">
        <v>2523</v>
      </c>
      <c r="D326" s="7" t="s">
        <v>2611</v>
      </c>
      <c r="E326" s="7" t="n">
        <v>50.6</v>
      </c>
      <c r="F326" s="7" t="s">
        <v>3200</v>
      </c>
    </row>
    <row r="327" customFormat="false" ht="34.5" hidden="false" customHeight="true" outlineLevel="0" collapsed="false">
      <c r="A327" s="7" t="s">
        <v>3188</v>
      </c>
      <c r="B327" s="7" t="s">
        <v>3011</v>
      </c>
      <c r="C327" s="7" t="s">
        <v>2542</v>
      </c>
      <c r="D327" s="7" t="s">
        <v>2611</v>
      </c>
      <c r="E327" s="7" t="n">
        <v>36.6</v>
      </c>
      <c r="F327" s="7" t="s">
        <v>3201</v>
      </c>
    </row>
    <row r="328" customFormat="false" ht="45.75" hidden="false" customHeight="true" outlineLevel="0" collapsed="false">
      <c r="A328" s="7" t="s">
        <v>3188</v>
      </c>
      <c r="B328" s="7" t="s">
        <v>2549</v>
      </c>
      <c r="C328" s="7" t="s">
        <v>2550</v>
      </c>
      <c r="D328" s="7" t="s">
        <v>2611</v>
      </c>
      <c r="E328" s="7" t="n">
        <v>44.9</v>
      </c>
      <c r="F328" s="7" t="s">
        <v>3202</v>
      </c>
    </row>
    <row r="329" customFormat="false" ht="34.5" hidden="false" customHeight="true" outlineLevel="0" collapsed="false">
      <c r="A329" s="7" t="s">
        <v>3188</v>
      </c>
      <c r="B329" s="7" t="s">
        <v>3139</v>
      </c>
      <c r="C329" s="7" t="s">
        <v>3140</v>
      </c>
      <c r="D329" s="7" t="s">
        <v>2611</v>
      </c>
      <c r="E329" s="7" t="n">
        <v>66.7</v>
      </c>
      <c r="F329" s="7" t="s">
        <v>3203</v>
      </c>
    </row>
    <row r="330" customFormat="false" ht="34.5" hidden="false" customHeight="true" outlineLevel="0" collapsed="false">
      <c r="A330" s="7" t="s">
        <v>3188</v>
      </c>
      <c r="B330" s="7" t="s">
        <v>3204</v>
      </c>
      <c r="C330" s="7" t="s">
        <v>3090</v>
      </c>
      <c r="D330" s="7" t="s">
        <v>2611</v>
      </c>
      <c r="E330" s="7" t="n">
        <v>62</v>
      </c>
      <c r="F330" s="7" t="s">
        <v>3205</v>
      </c>
    </row>
    <row r="331" customFormat="false" ht="34.5" hidden="false" customHeight="true" outlineLevel="0" collapsed="false">
      <c r="A331" s="7" t="s">
        <v>3188</v>
      </c>
      <c r="B331" s="7" t="s">
        <v>3089</v>
      </c>
      <c r="C331" s="7" t="s">
        <v>3090</v>
      </c>
      <c r="D331" s="7" t="s">
        <v>2611</v>
      </c>
      <c r="E331" s="7" t="n">
        <v>57.1</v>
      </c>
      <c r="F331" s="7" t="s">
        <v>3206</v>
      </c>
    </row>
    <row r="332" customFormat="false" ht="34.5" hidden="false" customHeight="true" outlineLevel="0" collapsed="false">
      <c r="A332" s="7" t="s">
        <v>3188</v>
      </c>
      <c r="B332" s="7" t="s">
        <v>3167</v>
      </c>
      <c r="C332" s="7" t="s">
        <v>3090</v>
      </c>
      <c r="D332" s="7" t="s">
        <v>2611</v>
      </c>
      <c r="E332" s="7" t="n">
        <v>48.2</v>
      </c>
      <c r="F332" s="7" t="s">
        <v>3207</v>
      </c>
    </row>
    <row r="333" customFormat="false" ht="57" hidden="false" customHeight="true" outlineLevel="0" collapsed="false">
      <c r="A333" s="7" t="s">
        <v>3188</v>
      </c>
      <c r="B333" s="7" t="s">
        <v>2783</v>
      </c>
      <c r="C333" s="7" t="s">
        <v>2784</v>
      </c>
      <c r="D333" s="7" t="s">
        <v>2611</v>
      </c>
      <c r="E333" s="7" t="n">
        <v>51</v>
      </c>
      <c r="F333" s="7" t="s">
        <v>3208</v>
      </c>
    </row>
    <row r="334" customFormat="false" ht="34.5" hidden="false" customHeight="true" outlineLevel="0" collapsed="false">
      <c r="A334" s="7" t="s">
        <v>3209</v>
      </c>
      <c r="B334" s="7" t="s">
        <v>2938</v>
      </c>
      <c r="C334" s="7" t="s">
        <v>3127</v>
      </c>
      <c r="D334" s="7" t="s">
        <v>2611</v>
      </c>
      <c r="E334" s="7" t="n">
        <v>42.2</v>
      </c>
      <c r="F334" s="7" t="s">
        <v>3210</v>
      </c>
    </row>
    <row r="335" customFormat="false" ht="34.5" hidden="false" customHeight="true" outlineLevel="0" collapsed="false">
      <c r="A335" s="7" t="s">
        <v>3211</v>
      </c>
      <c r="B335" s="7" t="s">
        <v>3212</v>
      </c>
      <c r="C335" s="7" t="s">
        <v>3213</v>
      </c>
      <c r="D335" s="7" t="s">
        <v>2611</v>
      </c>
      <c r="E335" s="7" t="n">
        <v>67.2</v>
      </c>
      <c r="F335" s="7" t="s">
        <v>3214</v>
      </c>
    </row>
    <row r="336" customFormat="false" ht="34.5" hidden="false" customHeight="true" outlineLevel="0" collapsed="false">
      <c r="A336" s="7" t="s">
        <v>3215</v>
      </c>
      <c r="B336" s="7" t="s">
        <v>2783</v>
      </c>
      <c r="C336" s="7" t="s">
        <v>2784</v>
      </c>
      <c r="D336" s="7" t="s">
        <v>2611</v>
      </c>
      <c r="E336" s="7" t="n">
        <v>51</v>
      </c>
      <c r="F336" s="7" t="s">
        <v>3216</v>
      </c>
    </row>
    <row r="337" customFormat="false" ht="34.5" hidden="false" customHeight="true" outlineLevel="0" collapsed="false">
      <c r="A337" s="7" t="s">
        <v>3217</v>
      </c>
      <c r="B337" s="7" t="s">
        <v>3011</v>
      </c>
      <c r="C337" s="7" t="s">
        <v>3218</v>
      </c>
      <c r="D337" s="7" t="s">
        <v>2611</v>
      </c>
      <c r="E337" s="7" t="n">
        <v>35.9</v>
      </c>
      <c r="F337" s="7" t="s">
        <v>3219</v>
      </c>
    </row>
    <row r="338" customFormat="false" ht="57" hidden="false" customHeight="true" outlineLevel="0" collapsed="false">
      <c r="A338" s="7" t="s">
        <v>3220</v>
      </c>
      <c r="B338" s="7" t="s">
        <v>2617</v>
      </c>
      <c r="C338" s="7" t="s">
        <v>2561</v>
      </c>
      <c r="D338" s="7" t="s">
        <v>2611</v>
      </c>
      <c r="E338" s="7" t="n">
        <v>58.9</v>
      </c>
      <c r="F338" s="7" t="s">
        <v>3221</v>
      </c>
    </row>
    <row r="339" customFormat="false" ht="34.5" hidden="false" customHeight="true" outlineLevel="0" collapsed="false">
      <c r="A339" s="7" t="s">
        <v>3220</v>
      </c>
      <c r="B339" s="7" t="s">
        <v>3011</v>
      </c>
      <c r="C339" s="7" t="s">
        <v>2542</v>
      </c>
      <c r="D339" s="7" t="s">
        <v>2611</v>
      </c>
      <c r="E339" s="7" t="n">
        <v>36.6</v>
      </c>
      <c r="F339" s="7" t="s">
        <v>3222</v>
      </c>
    </row>
    <row r="340" customFormat="false" ht="34.5" hidden="false" customHeight="true" outlineLevel="0" collapsed="false">
      <c r="A340" s="7" t="s">
        <v>3223</v>
      </c>
      <c r="B340" s="7" t="s">
        <v>2783</v>
      </c>
      <c r="C340" s="7" t="s">
        <v>2784</v>
      </c>
      <c r="D340" s="7" t="s">
        <v>2611</v>
      </c>
      <c r="E340" s="7" t="n">
        <v>51</v>
      </c>
      <c r="F340" s="7" t="s">
        <v>3224</v>
      </c>
    </row>
    <row r="341" customFormat="false" ht="57" hidden="false" customHeight="true" outlineLevel="0" collapsed="false">
      <c r="A341" s="7" t="s">
        <v>3223</v>
      </c>
      <c r="B341" s="7" t="s">
        <v>2670</v>
      </c>
      <c r="C341" s="7" t="s">
        <v>2591</v>
      </c>
      <c r="D341" s="7" t="s">
        <v>2611</v>
      </c>
      <c r="E341" s="7" t="n">
        <v>41.1</v>
      </c>
      <c r="F341" s="7" t="s">
        <v>3225</v>
      </c>
    </row>
    <row r="342" customFormat="false" ht="34.5" hidden="false" customHeight="true" outlineLevel="0" collapsed="false">
      <c r="A342" s="7" t="s">
        <v>3226</v>
      </c>
      <c r="B342" s="7" t="s">
        <v>3227</v>
      </c>
      <c r="C342" s="7" t="s">
        <v>3213</v>
      </c>
      <c r="D342" s="7" t="s">
        <v>2611</v>
      </c>
      <c r="E342" s="7" t="n">
        <v>71.9</v>
      </c>
      <c r="F342" s="7" t="s">
        <v>3228</v>
      </c>
    </row>
    <row r="343" customFormat="false" ht="45.75" hidden="false" customHeight="true" outlineLevel="0" collapsed="false">
      <c r="A343" s="7" t="s">
        <v>3229</v>
      </c>
      <c r="B343" s="7" t="s">
        <v>2549</v>
      </c>
      <c r="C343" s="7" t="s">
        <v>2550</v>
      </c>
      <c r="D343" s="7" t="s">
        <v>2611</v>
      </c>
      <c r="E343" s="7" t="n">
        <v>44.9</v>
      </c>
      <c r="F343" s="7" t="s">
        <v>3230</v>
      </c>
    </row>
    <row r="344" customFormat="false" ht="34.5" hidden="false" customHeight="true" outlineLevel="0" collapsed="false">
      <c r="A344" s="7" t="s">
        <v>3229</v>
      </c>
      <c r="B344" s="7" t="s">
        <v>2931</v>
      </c>
      <c r="C344" s="7" t="s">
        <v>2932</v>
      </c>
      <c r="D344" s="7" t="s">
        <v>2611</v>
      </c>
      <c r="E344" s="7" t="n">
        <v>40</v>
      </c>
      <c r="F344" s="7" t="s">
        <v>3231</v>
      </c>
    </row>
    <row r="345" customFormat="false" ht="34.5" hidden="false" customHeight="true" outlineLevel="0" collapsed="false">
      <c r="A345" s="7" t="s">
        <v>3232</v>
      </c>
      <c r="B345" s="7" t="s">
        <v>3011</v>
      </c>
      <c r="C345" s="7" t="s">
        <v>2542</v>
      </c>
      <c r="D345" s="7" t="s">
        <v>2611</v>
      </c>
      <c r="E345" s="7" t="n">
        <v>36.6</v>
      </c>
      <c r="F345" s="7" t="s">
        <v>3233</v>
      </c>
    </row>
    <row r="346" customFormat="false" ht="34.5" hidden="false" customHeight="true" outlineLevel="0" collapsed="false">
      <c r="A346" s="7" t="s">
        <v>3234</v>
      </c>
      <c r="B346" s="7" t="s">
        <v>2783</v>
      </c>
      <c r="C346" s="7" t="s">
        <v>2784</v>
      </c>
      <c r="D346" s="7" t="s">
        <v>2611</v>
      </c>
      <c r="E346" s="7" t="n">
        <v>51</v>
      </c>
      <c r="F346" s="7" t="s">
        <v>3235</v>
      </c>
    </row>
    <row r="347" customFormat="false" ht="34.5" hidden="false" customHeight="true" outlineLevel="0" collapsed="false">
      <c r="A347" s="7" t="s">
        <v>3234</v>
      </c>
      <c r="B347" s="7" t="s">
        <v>2617</v>
      </c>
      <c r="C347" s="7" t="s">
        <v>2561</v>
      </c>
      <c r="D347" s="7" t="s">
        <v>2611</v>
      </c>
      <c r="E347" s="7" t="n">
        <v>58.9</v>
      </c>
      <c r="F347" s="7" t="s">
        <v>3236</v>
      </c>
    </row>
    <row r="348" customFormat="false" ht="34.5" hidden="false" customHeight="true" outlineLevel="0" collapsed="false">
      <c r="A348" s="7" t="s">
        <v>3234</v>
      </c>
      <c r="B348" s="7" t="s">
        <v>3197</v>
      </c>
      <c r="C348" s="7" t="s">
        <v>3198</v>
      </c>
      <c r="D348" s="7" t="s">
        <v>2611</v>
      </c>
      <c r="E348" s="7" t="n">
        <v>47.8</v>
      </c>
      <c r="F348" s="7" t="s">
        <v>3237</v>
      </c>
    </row>
    <row r="349" customFormat="false" ht="34.5" hidden="false" customHeight="true" outlineLevel="0" collapsed="false">
      <c r="A349" s="7" t="s">
        <v>3234</v>
      </c>
      <c r="B349" s="7" t="s">
        <v>2983</v>
      </c>
      <c r="C349" s="7" t="s">
        <v>2984</v>
      </c>
      <c r="D349" s="7" t="s">
        <v>2611</v>
      </c>
      <c r="E349" s="7" t="n">
        <v>60.3</v>
      </c>
      <c r="F349" s="7" t="s">
        <v>3238</v>
      </c>
    </row>
    <row r="350" customFormat="false" ht="34.5" hidden="false" customHeight="true" outlineLevel="0" collapsed="false">
      <c r="A350" s="7" t="s">
        <v>3239</v>
      </c>
      <c r="B350" s="7" t="s">
        <v>3204</v>
      </c>
      <c r="C350" s="7" t="s">
        <v>3090</v>
      </c>
      <c r="D350" s="7" t="s">
        <v>2611</v>
      </c>
      <c r="E350" s="7" t="n">
        <v>62</v>
      </c>
      <c r="F350" s="7" t="s">
        <v>3240</v>
      </c>
    </row>
    <row r="351" customFormat="false" ht="34.5" hidden="false" customHeight="true" outlineLevel="0" collapsed="false">
      <c r="A351" s="7" t="s">
        <v>3239</v>
      </c>
      <c r="B351" s="7" t="s">
        <v>3103</v>
      </c>
      <c r="C351" s="7" t="s">
        <v>3104</v>
      </c>
      <c r="D351" s="7" t="s">
        <v>2611</v>
      </c>
      <c r="E351" s="7" t="n">
        <v>57.8</v>
      </c>
      <c r="F351" s="7" t="s">
        <v>3241</v>
      </c>
    </row>
    <row r="352" customFormat="false" ht="34.5" hidden="false" customHeight="true" outlineLevel="0" collapsed="false">
      <c r="A352" s="7" t="s">
        <v>3239</v>
      </c>
      <c r="B352" s="7" t="s">
        <v>2574</v>
      </c>
      <c r="C352" s="7" t="s">
        <v>3063</v>
      </c>
      <c r="D352" s="7" t="s">
        <v>2611</v>
      </c>
      <c r="E352" s="7" t="n">
        <v>73</v>
      </c>
      <c r="F352" s="7" t="s">
        <v>3242</v>
      </c>
    </row>
    <row r="353" customFormat="false" ht="45.75" hidden="false" customHeight="true" outlineLevel="0" collapsed="false">
      <c r="A353" s="7" t="s">
        <v>3243</v>
      </c>
      <c r="B353" s="7" t="s">
        <v>2715</v>
      </c>
      <c r="C353" s="7" t="s">
        <v>1109</v>
      </c>
      <c r="D353" s="7" t="s">
        <v>2611</v>
      </c>
      <c r="E353" s="7" t="n">
        <v>22.5</v>
      </c>
      <c r="F353" s="7" t="s">
        <v>3244</v>
      </c>
    </row>
    <row r="354" customFormat="false" ht="57" hidden="false" customHeight="true" outlineLevel="0" collapsed="false">
      <c r="A354" s="7" t="s">
        <v>3245</v>
      </c>
      <c r="B354" s="7" t="s">
        <v>2670</v>
      </c>
      <c r="C354" s="7" t="s">
        <v>2591</v>
      </c>
      <c r="D354" s="7" t="s">
        <v>2611</v>
      </c>
      <c r="E354" s="7" t="n">
        <v>41.1</v>
      </c>
      <c r="F354" s="7" t="s">
        <v>3246</v>
      </c>
    </row>
    <row r="355" customFormat="false" ht="34.5" hidden="false" customHeight="true" outlineLevel="0" collapsed="false">
      <c r="A355" s="7" t="s">
        <v>3247</v>
      </c>
      <c r="B355" s="7" t="s">
        <v>3103</v>
      </c>
      <c r="C355" s="7" t="s">
        <v>3174</v>
      </c>
      <c r="D355" s="7" t="s">
        <v>2611</v>
      </c>
      <c r="E355" s="7" t="n">
        <v>58.8</v>
      </c>
      <c r="F355" s="7" t="s">
        <v>3248</v>
      </c>
    </row>
    <row r="356" customFormat="false" ht="34.5" hidden="false" customHeight="true" outlineLevel="0" collapsed="false">
      <c r="A356" s="7" t="s">
        <v>3249</v>
      </c>
      <c r="B356" s="7" t="s">
        <v>2783</v>
      </c>
      <c r="C356" s="7" t="s">
        <v>2784</v>
      </c>
      <c r="D356" s="7" t="s">
        <v>2611</v>
      </c>
      <c r="E356" s="7" t="n">
        <v>51</v>
      </c>
      <c r="F356" s="7" t="s">
        <v>3250</v>
      </c>
    </row>
    <row r="357" customFormat="false" ht="45.75" hidden="false" customHeight="true" outlineLevel="0" collapsed="false">
      <c r="A357" s="7" t="s">
        <v>3251</v>
      </c>
      <c r="B357" s="7" t="s">
        <v>878</v>
      </c>
      <c r="C357" s="7" t="s">
        <v>1109</v>
      </c>
      <c r="D357" s="7" t="s">
        <v>2611</v>
      </c>
      <c r="E357" s="7" t="n">
        <v>24.5</v>
      </c>
      <c r="F357" s="7" t="s">
        <v>3252</v>
      </c>
    </row>
    <row r="358" customFormat="false" ht="34.5" hidden="false" customHeight="true" outlineLevel="0" collapsed="false">
      <c r="A358" s="7" t="s">
        <v>3253</v>
      </c>
      <c r="B358" s="7" t="s">
        <v>2983</v>
      </c>
      <c r="C358" s="7" t="s">
        <v>2984</v>
      </c>
      <c r="D358" s="7" t="s">
        <v>2611</v>
      </c>
      <c r="E358" s="7" t="n">
        <v>60.3</v>
      </c>
      <c r="F358" s="7" t="s">
        <v>3254</v>
      </c>
    </row>
    <row r="359" customFormat="false" ht="34.5" hidden="false" customHeight="true" outlineLevel="0" collapsed="false">
      <c r="A359" s="7" t="s">
        <v>3255</v>
      </c>
      <c r="B359" s="7" t="s">
        <v>878</v>
      </c>
      <c r="C359" s="7" t="s">
        <v>1109</v>
      </c>
      <c r="D359" s="7" t="s">
        <v>2611</v>
      </c>
      <c r="E359" s="7" t="n">
        <v>24.5</v>
      </c>
      <c r="F359" s="7" t="s">
        <v>3256</v>
      </c>
    </row>
    <row r="360" customFormat="false" ht="34.5" hidden="false" customHeight="true" outlineLevel="0" collapsed="false">
      <c r="A360" s="7" t="s">
        <v>3257</v>
      </c>
      <c r="B360" s="7" t="s">
        <v>2621</v>
      </c>
      <c r="C360" s="7" t="s">
        <v>2622</v>
      </c>
      <c r="D360" s="7" t="s">
        <v>2611</v>
      </c>
      <c r="E360" s="7" t="n">
        <v>57.4</v>
      </c>
      <c r="F360" s="7" t="s">
        <v>3258</v>
      </c>
    </row>
    <row r="361" customFormat="false" ht="45.75" hidden="false" customHeight="true" outlineLevel="0" collapsed="false">
      <c r="A361" s="7" t="s">
        <v>3259</v>
      </c>
      <c r="B361" s="7" t="s">
        <v>2715</v>
      </c>
      <c r="C361" s="7" t="s">
        <v>1109</v>
      </c>
      <c r="D361" s="7" t="s">
        <v>2611</v>
      </c>
      <c r="E361" s="7" t="n">
        <v>22.5</v>
      </c>
      <c r="F361" s="7" t="s">
        <v>3260</v>
      </c>
    </row>
    <row r="362" customFormat="false" ht="34.5" hidden="false" customHeight="true" outlineLevel="0" collapsed="false">
      <c r="A362" s="7" t="s">
        <v>3261</v>
      </c>
      <c r="B362" s="7" t="s">
        <v>2547</v>
      </c>
      <c r="C362" s="7" t="s">
        <v>2548</v>
      </c>
      <c r="D362" s="7" t="s">
        <v>2611</v>
      </c>
      <c r="E362" s="7" t="n">
        <v>48.3</v>
      </c>
      <c r="F362" s="7" t="s">
        <v>3262</v>
      </c>
    </row>
    <row r="363" customFormat="false" ht="34.5" hidden="false" customHeight="true" outlineLevel="0" collapsed="false">
      <c r="A363" s="7" t="s">
        <v>3261</v>
      </c>
      <c r="B363" s="7" t="s">
        <v>2621</v>
      </c>
      <c r="C363" s="7" t="s">
        <v>2622</v>
      </c>
      <c r="D363" s="7" t="s">
        <v>2611</v>
      </c>
      <c r="E363" s="7" t="n">
        <v>57.4</v>
      </c>
      <c r="F363" s="7" t="s">
        <v>3263</v>
      </c>
    </row>
    <row r="364" customFormat="false" ht="34.5" hidden="false" customHeight="true" outlineLevel="0" collapsed="false">
      <c r="A364" s="7" t="s">
        <v>3261</v>
      </c>
      <c r="B364" s="7" t="s">
        <v>3098</v>
      </c>
      <c r="C364" s="7" t="s">
        <v>2565</v>
      </c>
      <c r="D364" s="7" t="s">
        <v>2611</v>
      </c>
      <c r="E364" s="7" t="n">
        <v>65</v>
      </c>
      <c r="F364" s="7" t="s">
        <v>3264</v>
      </c>
    </row>
    <row r="365" customFormat="false" ht="34.5" hidden="false" customHeight="true" outlineLevel="0" collapsed="false">
      <c r="A365" s="7" t="s">
        <v>3265</v>
      </c>
      <c r="B365" s="7" t="s">
        <v>973</v>
      </c>
      <c r="C365" s="7" t="s">
        <v>3096</v>
      </c>
      <c r="D365" s="7" t="s">
        <v>2611</v>
      </c>
      <c r="E365" s="7" t="n">
        <v>25.2</v>
      </c>
      <c r="F365" s="7" t="s">
        <v>3266</v>
      </c>
    </row>
    <row r="366" customFormat="false" ht="34.5" hidden="false" customHeight="true" outlineLevel="0" collapsed="false">
      <c r="A366" s="7" t="s">
        <v>3265</v>
      </c>
      <c r="B366" s="7" t="s">
        <v>2938</v>
      </c>
      <c r="C366" s="7" t="s">
        <v>3127</v>
      </c>
      <c r="D366" s="7" t="s">
        <v>2611</v>
      </c>
      <c r="E366" s="7" t="n">
        <v>42.2</v>
      </c>
      <c r="F366" s="7" t="s">
        <v>3267</v>
      </c>
    </row>
    <row r="367" customFormat="false" ht="34.5" hidden="false" customHeight="true" outlineLevel="0" collapsed="false">
      <c r="A367" s="7" t="s">
        <v>3265</v>
      </c>
      <c r="B367" s="7" t="s">
        <v>3131</v>
      </c>
      <c r="C367" s="7" t="s">
        <v>2939</v>
      </c>
      <c r="D367" s="7" t="s">
        <v>2611</v>
      </c>
      <c r="E367" s="7" t="n">
        <v>44.9</v>
      </c>
      <c r="F367" s="7" t="s">
        <v>3268</v>
      </c>
    </row>
    <row r="368" customFormat="false" ht="34.5" hidden="false" customHeight="true" outlineLevel="0" collapsed="false">
      <c r="A368" s="7" t="s">
        <v>3269</v>
      </c>
      <c r="B368" s="7" t="s">
        <v>3011</v>
      </c>
      <c r="C368" s="7" t="s">
        <v>3218</v>
      </c>
      <c r="D368" s="7" t="s">
        <v>2611</v>
      </c>
      <c r="E368" s="7" t="n">
        <v>35.9</v>
      </c>
      <c r="F368" s="7" t="s">
        <v>3270</v>
      </c>
    </row>
    <row r="369" customFormat="false" ht="34.5" hidden="false" customHeight="true" outlineLevel="0" collapsed="false">
      <c r="A369" s="7" t="s">
        <v>3271</v>
      </c>
      <c r="B369" s="7" t="s">
        <v>2731</v>
      </c>
      <c r="C369" s="7" t="s">
        <v>2519</v>
      </c>
      <c r="D369" s="7" t="s">
        <v>2611</v>
      </c>
      <c r="E369" s="7" t="n">
        <v>56.4</v>
      </c>
      <c r="F369" s="7" t="s">
        <v>3272</v>
      </c>
    </row>
    <row r="370" customFormat="false" ht="34.5" hidden="false" customHeight="true" outlineLevel="0" collapsed="false">
      <c r="A370" s="7" t="s">
        <v>921</v>
      </c>
      <c r="B370" s="7" t="s">
        <v>2621</v>
      </c>
      <c r="C370" s="7" t="s">
        <v>2622</v>
      </c>
      <c r="D370" s="7" t="s">
        <v>2611</v>
      </c>
      <c r="E370" s="7" t="n">
        <v>57.4</v>
      </c>
      <c r="F370" s="7" t="s">
        <v>3273</v>
      </c>
    </row>
    <row r="371" customFormat="false" ht="34.5" hidden="false" customHeight="true" outlineLevel="0" collapsed="false">
      <c r="A371" s="7" t="s">
        <v>921</v>
      </c>
      <c r="B371" s="7" t="s">
        <v>3124</v>
      </c>
      <c r="C371" s="7" t="s">
        <v>2852</v>
      </c>
      <c r="D371" s="7" t="s">
        <v>2611</v>
      </c>
      <c r="E371" s="7" t="n">
        <v>20</v>
      </c>
      <c r="F371" s="7" t="s">
        <v>3274</v>
      </c>
    </row>
    <row r="372" customFormat="false" ht="34.5" hidden="false" customHeight="true" outlineLevel="0" collapsed="false">
      <c r="A372" s="7" t="s">
        <v>3275</v>
      </c>
      <c r="B372" s="7" t="s">
        <v>3089</v>
      </c>
      <c r="C372" s="7" t="s">
        <v>3090</v>
      </c>
      <c r="D372" s="7" t="s">
        <v>2611</v>
      </c>
      <c r="E372" s="7" t="n">
        <v>57.1</v>
      </c>
      <c r="F372" s="7" t="s">
        <v>3276</v>
      </c>
    </row>
    <row r="373" customFormat="false" ht="45.75" hidden="false" customHeight="true" outlineLevel="0" collapsed="false">
      <c r="A373" s="7" t="s">
        <v>3275</v>
      </c>
      <c r="B373" s="7" t="s">
        <v>2715</v>
      </c>
      <c r="C373" s="7" t="s">
        <v>1109</v>
      </c>
      <c r="D373" s="7" t="s">
        <v>2611</v>
      </c>
      <c r="E373" s="7" t="n">
        <v>22.5</v>
      </c>
      <c r="F373" s="7" t="s">
        <v>3277</v>
      </c>
    </row>
    <row r="374" customFormat="false" ht="45.75" hidden="false" customHeight="true" outlineLevel="0" collapsed="false">
      <c r="A374" s="7" t="s">
        <v>3275</v>
      </c>
      <c r="B374" s="7" t="s">
        <v>2767</v>
      </c>
      <c r="C374" s="7" t="s">
        <v>2768</v>
      </c>
      <c r="D374" s="7" t="s">
        <v>2611</v>
      </c>
      <c r="E374" s="7" t="n">
        <v>46.6</v>
      </c>
      <c r="F374" s="7" t="s">
        <v>3278</v>
      </c>
    </row>
    <row r="375" customFormat="false" ht="34.5" hidden="false" customHeight="true" outlineLevel="0" collapsed="false">
      <c r="A375" s="7" t="s">
        <v>3275</v>
      </c>
      <c r="B375" s="7" t="s">
        <v>2938</v>
      </c>
      <c r="C375" s="7" t="s">
        <v>3127</v>
      </c>
      <c r="D375" s="7" t="s">
        <v>2611</v>
      </c>
      <c r="E375" s="7" t="n">
        <v>42.2</v>
      </c>
      <c r="F375" s="7" t="s">
        <v>3279</v>
      </c>
    </row>
    <row r="376" customFormat="false" ht="34.5" hidden="false" customHeight="true" outlineLevel="0" collapsed="false">
      <c r="A376" s="7" t="s">
        <v>3280</v>
      </c>
      <c r="B376" s="7" t="s">
        <v>3098</v>
      </c>
      <c r="C376" s="7" t="s">
        <v>2565</v>
      </c>
      <c r="D376" s="7" t="s">
        <v>2611</v>
      </c>
      <c r="E376" s="7" t="n">
        <v>65</v>
      </c>
      <c r="F376" s="7" t="s">
        <v>3281</v>
      </c>
    </row>
    <row r="377" customFormat="false" ht="34.5" hidden="false" customHeight="true" outlineLevel="0" collapsed="false">
      <c r="A377" s="7" t="s">
        <v>3282</v>
      </c>
      <c r="B377" s="7" t="s">
        <v>3047</v>
      </c>
      <c r="C377" s="7" t="s">
        <v>3048</v>
      </c>
      <c r="D377" s="7" t="s">
        <v>2611</v>
      </c>
      <c r="E377" s="7" t="n">
        <v>52.9</v>
      </c>
      <c r="F377" s="7" t="s">
        <v>3283</v>
      </c>
    </row>
    <row r="378" customFormat="false" ht="45.75" hidden="false" customHeight="true" outlineLevel="0" collapsed="false">
      <c r="A378" s="7" t="s">
        <v>3282</v>
      </c>
      <c r="B378" s="7" t="s">
        <v>878</v>
      </c>
      <c r="C378" s="7" t="s">
        <v>1109</v>
      </c>
      <c r="D378" s="7" t="s">
        <v>2611</v>
      </c>
      <c r="E378" s="7" t="n">
        <v>24.5</v>
      </c>
      <c r="F378" s="7" t="s">
        <v>3284</v>
      </c>
    </row>
    <row r="379" customFormat="false" ht="34.5" hidden="false" customHeight="true" outlineLevel="0" collapsed="false">
      <c r="A379" s="7" t="s">
        <v>3282</v>
      </c>
      <c r="B379" s="7" t="s">
        <v>3285</v>
      </c>
      <c r="C379" s="7" t="s">
        <v>2791</v>
      </c>
      <c r="D379" s="7" t="s">
        <v>2611</v>
      </c>
      <c r="E379" s="7" t="n">
        <v>52.7</v>
      </c>
      <c r="F379" s="7" t="s">
        <v>3286</v>
      </c>
    </row>
    <row r="380" customFormat="false" ht="34.5" hidden="false" customHeight="true" outlineLevel="0" collapsed="false">
      <c r="A380" s="7" t="s">
        <v>3282</v>
      </c>
      <c r="B380" s="7" t="s">
        <v>3287</v>
      </c>
      <c r="C380" s="7" t="s">
        <v>3288</v>
      </c>
      <c r="D380" s="7" t="s">
        <v>2611</v>
      </c>
      <c r="E380" s="7" t="n">
        <v>52.6</v>
      </c>
      <c r="F380" s="7" t="s">
        <v>3289</v>
      </c>
    </row>
    <row r="381" customFormat="false" ht="34.5" hidden="false" customHeight="true" outlineLevel="0" collapsed="false">
      <c r="A381" s="7" t="s">
        <v>3290</v>
      </c>
      <c r="B381" s="7" t="s">
        <v>3098</v>
      </c>
      <c r="C381" s="7" t="s">
        <v>2565</v>
      </c>
      <c r="D381" s="7" t="s">
        <v>2611</v>
      </c>
      <c r="E381" s="7" t="n">
        <v>65</v>
      </c>
      <c r="F381" s="7" t="s">
        <v>3291</v>
      </c>
    </row>
    <row r="382" customFormat="false" ht="45.75" hidden="false" customHeight="true" outlineLevel="0" collapsed="false">
      <c r="A382" s="7" t="s">
        <v>3290</v>
      </c>
      <c r="B382" s="7" t="s">
        <v>878</v>
      </c>
      <c r="C382" s="7" t="s">
        <v>1109</v>
      </c>
      <c r="D382" s="7" t="s">
        <v>2611</v>
      </c>
      <c r="E382" s="7" t="n">
        <v>24.5</v>
      </c>
      <c r="F382" s="7" t="s">
        <v>3292</v>
      </c>
    </row>
    <row r="383" customFormat="false" ht="34.5" hidden="false" customHeight="true" outlineLevel="0" collapsed="false">
      <c r="A383" s="7" t="s">
        <v>3290</v>
      </c>
      <c r="B383" s="7" t="s">
        <v>2938</v>
      </c>
      <c r="C383" s="7" t="s">
        <v>3127</v>
      </c>
      <c r="D383" s="7" t="s">
        <v>2611</v>
      </c>
      <c r="E383" s="7" t="n">
        <v>42.2</v>
      </c>
      <c r="F383" s="7" t="s">
        <v>3293</v>
      </c>
    </row>
    <row r="384" customFormat="false" ht="34.5" hidden="false" customHeight="true" outlineLevel="0" collapsed="false">
      <c r="A384" s="7" t="s">
        <v>3290</v>
      </c>
      <c r="B384" s="7" t="s">
        <v>2547</v>
      </c>
      <c r="C384" s="7" t="s">
        <v>2632</v>
      </c>
      <c r="D384" s="7" t="s">
        <v>2611</v>
      </c>
      <c r="E384" s="7" t="n">
        <v>47.8</v>
      </c>
      <c r="F384" s="7" t="s">
        <v>3294</v>
      </c>
    </row>
    <row r="385" customFormat="false" ht="34.5" hidden="false" customHeight="true" outlineLevel="0" collapsed="false">
      <c r="A385" s="7" t="s">
        <v>3295</v>
      </c>
      <c r="B385" s="7" t="s">
        <v>973</v>
      </c>
      <c r="C385" s="7" t="s">
        <v>3096</v>
      </c>
      <c r="D385" s="7" t="s">
        <v>2611</v>
      </c>
      <c r="E385" s="7" t="n">
        <v>25.2</v>
      </c>
      <c r="F385" s="7" t="s">
        <v>3296</v>
      </c>
    </row>
    <row r="386" customFormat="false" ht="34.5" hidden="false" customHeight="true" outlineLevel="0" collapsed="false">
      <c r="A386" s="7" t="s">
        <v>3297</v>
      </c>
      <c r="B386" s="7" t="s">
        <v>3191</v>
      </c>
      <c r="C386" s="7" t="s">
        <v>3192</v>
      </c>
      <c r="D386" s="7" t="s">
        <v>2611</v>
      </c>
      <c r="E386" s="7" t="n">
        <v>70.1</v>
      </c>
      <c r="F386" s="7" t="s">
        <v>3298</v>
      </c>
    </row>
    <row r="387" customFormat="false" ht="68.25" hidden="false" customHeight="true" outlineLevel="0" collapsed="false">
      <c r="A387" s="7" t="s">
        <v>3299</v>
      </c>
      <c r="B387" s="7" t="s">
        <v>2896</v>
      </c>
      <c r="C387" s="7" t="s">
        <v>2556</v>
      </c>
      <c r="D387" s="7" t="s">
        <v>2611</v>
      </c>
      <c r="E387" s="7" t="n">
        <v>74.9</v>
      </c>
      <c r="F387" s="7" t="s">
        <v>3300</v>
      </c>
    </row>
    <row r="388" customFormat="false" ht="34.5" hidden="false" customHeight="true" outlineLevel="0" collapsed="false">
      <c r="A388" s="7" t="s">
        <v>3301</v>
      </c>
      <c r="B388" s="7" t="s">
        <v>3302</v>
      </c>
      <c r="C388" s="7" t="s">
        <v>3303</v>
      </c>
      <c r="D388" s="7" t="s">
        <v>2611</v>
      </c>
      <c r="E388" s="7" t="n">
        <v>38.4</v>
      </c>
      <c r="F388" s="7" t="s">
        <v>3304</v>
      </c>
    </row>
    <row r="389" customFormat="false" ht="34.5" hidden="false" customHeight="true" outlineLevel="0" collapsed="false">
      <c r="A389" s="7" t="s">
        <v>3305</v>
      </c>
      <c r="B389" s="7" t="s">
        <v>973</v>
      </c>
      <c r="C389" s="7" t="s">
        <v>3096</v>
      </c>
      <c r="D389" s="7" t="s">
        <v>2611</v>
      </c>
      <c r="E389" s="7" t="n">
        <v>25.2</v>
      </c>
      <c r="F389" s="7" t="s">
        <v>3306</v>
      </c>
    </row>
    <row r="390" customFormat="false" ht="34.5" hidden="false" customHeight="true" outlineLevel="0" collapsed="false">
      <c r="A390" s="7" t="s">
        <v>3305</v>
      </c>
      <c r="B390" s="7" t="s">
        <v>2617</v>
      </c>
      <c r="C390" s="7" t="s">
        <v>2561</v>
      </c>
      <c r="D390" s="7" t="s">
        <v>2611</v>
      </c>
      <c r="E390" s="7" t="n">
        <v>58.9</v>
      </c>
      <c r="F390" s="7" t="s">
        <v>3307</v>
      </c>
    </row>
    <row r="391" customFormat="false" ht="57" hidden="false" customHeight="true" outlineLevel="0" collapsed="false">
      <c r="A391" s="7" t="s">
        <v>3308</v>
      </c>
      <c r="B391" s="7" t="s">
        <v>2896</v>
      </c>
      <c r="C391" s="7" t="s">
        <v>2556</v>
      </c>
      <c r="D391" s="7" t="s">
        <v>2611</v>
      </c>
      <c r="E391" s="7" t="n">
        <v>74.9</v>
      </c>
      <c r="F391" s="7" t="s">
        <v>3309</v>
      </c>
    </row>
    <row r="392" customFormat="false" ht="34.5" hidden="false" customHeight="true" outlineLevel="0" collapsed="false">
      <c r="A392" s="7" t="s">
        <v>3310</v>
      </c>
      <c r="B392" s="7" t="s">
        <v>3287</v>
      </c>
      <c r="C392" s="7" t="s">
        <v>3288</v>
      </c>
      <c r="D392" s="7" t="s">
        <v>2611</v>
      </c>
      <c r="E392" s="7" t="n">
        <v>52.6</v>
      </c>
      <c r="F392" s="7" t="s">
        <v>3311</v>
      </c>
    </row>
    <row r="393" customFormat="false" ht="34.5" hidden="false" customHeight="true" outlineLevel="0" collapsed="false">
      <c r="A393" s="7" t="s">
        <v>3310</v>
      </c>
      <c r="B393" s="7" t="s">
        <v>3227</v>
      </c>
      <c r="C393" s="7" t="s">
        <v>3213</v>
      </c>
      <c r="D393" s="7" t="s">
        <v>2611</v>
      </c>
      <c r="E393" s="7" t="n">
        <v>71.9</v>
      </c>
      <c r="F393" s="7" t="s">
        <v>3312</v>
      </c>
    </row>
    <row r="394" customFormat="false" ht="34.5" hidden="false" customHeight="true" outlineLevel="0" collapsed="false">
      <c r="A394" s="7" t="s">
        <v>3313</v>
      </c>
      <c r="B394" s="7" t="s">
        <v>3287</v>
      </c>
      <c r="C394" s="7" t="s">
        <v>3314</v>
      </c>
      <c r="D394" s="7" t="s">
        <v>2611</v>
      </c>
      <c r="E394" s="7" t="n">
        <v>51.7</v>
      </c>
      <c r="F394" s="7" t="s">
        <v>3315</v>
      </c>
    </row>
    <row r="395" customFormat="false" ht="34.5" hidden="false" customHeight="true" outlineLevel="0" collapsed="false">
      <c r="A395" s="7" t="s">
        <v>3316</v>
      </c>
      <c r="B395" s="7" t="s">
        <v>2574</v>
      </c>
      <c r="C395" s="7" t="s">
        <v>3063</v>
      </c>
      <c r="D395" s="7" t="s">
        <v>2611</v>
      </c>
      <c r="E395" s="7" t="n">
        <v>73</v>
      </c>
      <c r="F395" s="7" t="s">
        <v>3317</v>
      </c>
    </row>
    <row r="396" customFormat="false" ht="45.75" hidden="false" customHeight="true" outlineLevel="0" collapsed="false">
      <c r="A396" s="7" t="s">
        <v>3318</v>
      </c>
      <c r="B396" s="7" t="s">
        <v>878</v>
      </c>
      <c r="C396" s="7" t="s">
        <v>1109</v>
      </c>
      <c r="D396" s="7" t="s">
        <v>2611</v>
      </c>
      <c r="E396" s="7" t="n">
        <v>24.5</v>
      </c>
      <c r="F396" s="7" t="s">
        <v>3319</v>
      </c>
    </row>
    <row r="397" customFormat="false" ht="45.75" hidden="false" customHeight="true" outlineLevel="0" collapsed="false">
      <c r="A397" s="7" t="s">
        <v>3318</v>
      </c>
      <c r="B397" s="7" t="s">
        <v>3098</v>
      </c>
      <c r="C397" s="7" t="s">
        <v>2565</v>
      </c>
      <c r="D397" s="7" t="s">
        <v>2611</v>
      </c>
      <c r="E397" s="7" t="n">
        <v>65</v>
      </c>
      <c r="F397" s="7" t="s">
        <v>3320</v>
      </c>
    </row>
    <row r="398" customFormat="false" ht="34.5" hidden="false" customHeight="true" outlineLevel="0" collapsed="false">
      <c r="A398" s="7" t="s">
        <v>3321</v>
      </c>
      <c r="B398" s="7" t="s">
        <v>3155</v>
      </c>
      <c r="C398" s="7" t="s">
        <v>2556</v>
      </c>
      <c r="D398" s="7" t="s">
        <v>2611</v>
      </c>
      <c r="E398" s="7" t="n">
        <v>66.9</v>
      </c>
      <c r="F398" s="7" t="s">
        <v>3322</v>
      </c>
    </row>
    <row r="399" customFormat="false" ht="34.5" hidden="false" customHeight="true" outlineLevel="0" collapsed="false">
      <c r="A399" s="7" t="s">
        <v>3323</v>
      </c>
      <c r="B399" s="7" t="s">
        <v>2967</v>
      </c>
      <c r="C399" s="7" t="s">
        <v>2565</v>
      </c>
      <c r="D399" s="7" t="s">
        <v>2611</v>
      </c>
      <c r="E399" s="7" t="n">
        <v>68.6</v>
      </c>
      <c r="F399" s="7" t="s">
        <v>3324</v>
      </c>
    </row>
    <row r="400" customFormat="false" ht="45.75" hidden="false" customHeight="true" outlineLevel="0" collapsed="false">
      <c r="A400" s="7" t="s">
        <v>3323</v>
      </c>
      <c r="B400" s="7" t="s">
        <v>2621</v>
      </c>
      <c r="C400" s="7" t="s">
        <v>2622</v>
      </c>
      <c r="D400" s="7" t="s">
        <v>2611</v>
      </c>
      <c r="E400" s="7" t="n">
        <v>57.4</v>
      </c>
      <c r="F400" s="7" t="s">
        <v>3325</v>
      </c>
    </row>
    <row r="401" customFormat="false" ht="34.5" hidden="false" customHeight="true" outlineLevel="0" collapsed="false">
      <c r="A401" s="7" t="s">
        <v>3326</v>
      </c>
      <c r="B401" s="7" t="s">
        <v>2621</v>
      </c>
      <c r="C401" s="7" t="s">
        <v>2622</v>
      </c>
      <c r="D401" s="7" t="s">
        <v>2611</v>
      </c>
      <c r="E401" s="7" t="n">
        <v>57.4</v>
      </c>
      <c r="F401" s="7" t="s">
        <v>3327</v>
      </c>
    </row>
    <row r="402" customFormat="false" ht="34.5" hidden="false" customHeight="true" outlineLevel="0" collapsed="false">
      <c r="A402" s="7" t="s">
        <v>3328</v>
      </c>
      <c r="B402" s="7" t="s">
        <v>2767</v>
      </c>
      <c r="C402" s="7" t="s">
        <v>2768</v>
      </c>
      <c r="D402" s="7" t="s">
        <v>2611</v>
      </c>
      <c r="E402" s="7" t="n">
        <v>46.6</v>
      </c>
      <c r="F402" s="7" t="s">
        <v>3329</v>
      </c>
    </row>
    <row r="403" customFormat="false" ht="34.5" hidden="false" customHeight="true" outlineLevel="0" collapsed="false">
      <c r="A403" s="7" t="s">
        <v>3330</v>
      </c>
      <c r="B403" s="7" t="s">
        <v>2783</v>
      </c>
      <c r="C403" s="7" t="s">
        <v>2784</v>
      </c>
      <c r="D403" s="7" t="s">
        <v>2611</v>
      </c>
      <c r="E403" s="7" t="n">
        <v>51</v>
      </c>
      <c r="F403" s="7" t="s">
        <v>3331</v>
      </c>
    </row>
    <row r="404" customFormat="false" ht="45.75" hidden="false" customHeight="true" outlineLevel="0" collapsed="false">
      <c r="A404" s="7" t="s">
        <v>3332</v>
      </c>
      <c r="B404" s="7" t="s">
        <v>3098</v>
      </c>
      <c r="C404" s="7" t="s">
        <v>2565</v>
      </c>
      <c r="D404" s="7" t="s">
        <v>2611</v>
      </c>
      <c r="E404" s="7" t="n">
        <v>65</v>
      </c>
      <c r="F404" s="7" t="s">
        <v>3333</v>
      </c>
    </row>
    <row r="405" customFormat="false" ht="45.75" hidden="false" customHeight="true" outlineLevel="0" collapsed="false">
      <c r="A405" s="7" t="s">
        <v>3332</v>
      </c>
      <c r="B405" s="7" t="s">
        <v>2715</v>
      </c>
      <c r="C405" s="7" t="s">
        <v>1109</v>
      </c>
      <c r="D405" s="7" t="s">
        <v>2611</v>
      </c>
      <c r="E405" s="7" t="n">
        <v>22.5</v>
      </c>
      <c r="F405" s="7" t="s">
        <v>3334</v>
      </c>
    </row>
    <row r="406" customFormat="false" ht="34.5" hidden="false" customHeight="true" outlineLevel="0" collapsed="false">
      <c r="A406" s="7" t="s">
        <v>3335</v>
      </c>
      <c r="B406" s="7" t="s">
        <v>3302</v>
      </c>
      <c r="C406" s="7" t="s">
        <v>3303</v>
      </c>
      <c r="D406" s="7" t="s">
        <v>2611</v>
      </c>
      <c r="E406" s="7" t="n">
        <v>38.4</v>
      </c>
      <c r="F406" s="7" t="s">
        <v>3336</v>
      </c>
    </row>
    <row r="407" customFormat="false" ht="45.75" hidden="false" customHeight="true" outlineLevel="0" collapsed="false">
      <c r="A407" s="7" t="s">
        <v>3337</v>
      </c>
      <c r="B407" s="7" t="s">
        <v>2938</v>
      </c>
      <c r="C407" s="7" t="s">
        <v>3127</v>
      </c>
      <c r="D407" s="7" t="s">
        <v>2611</v>
      </c>
      <c r="E407" s="7" t="n">
        <v>42.2</v>
      </c>
      <c r="F407" s="7" t="s">
        <v>3338</v>
      </c>
    </row>
    <row r="408" customFormat="false" ht="34.5" hidden="false" customHeight="true" outlineLevel="0" collapsed="false">
      <c r="A408" s="7" t="s">
        <v>3337</v>
      </c>
      <c r="B408" s="7" t="s">
        <v>2547</v>
      </c>
      <c r="C408" s="7" t="s">
        <v>2632</v>
      </c>
      <c r="D408" s="7" t="s">
        <v>2611</v>
      </c>
      <c r="E408" s="7" t="n">
        <v>47.8</v>
      </c>
      <c r="F408" s="7" t="s">
        <v>3339</v>
      </c>
    </row>
    <row r="409" customFormat="false" ht="45.75" hidden="false" customHeight="true" outlineLevel="0" collapsed="false">
      <c r="A409" s="7" t="s">
        <v>3340</v>
      </c>
      <c r="B409" s="7" t="s">
        <v>2896</v>
      </c>
      <c r="C409" s="7" t="s">
        <v>2556</v>
      </c>
      <c r="D409" s="7" t="s">
        <v>2611</v>
      </c>
      <c r="E409" s="7" t="n">
        <v>74.9</v>
      </c>
      <c r="F409" s="7" t="s">
        <v>3341</v>
      </c>
    </row>
    <row r="410" customFormat="false" ht="34.5" hidden="false" customHeight="true" outlineLevel="0" collapsed="false">
      <c r="A410" s="7" t="s">
        <v>3342</v>
      </c>
      <c r="B410" s="7" t="s">
        <v>3131</v>
      </c>
      <c r="C410" s="7" t="s">
        <v>2939</v>
      </c>
      <c r="D410" s="7" t="s">
        <v>2611</v>
      </c>
      <c r="E410" s="7" t="n">
        <v>44.9</v>
      </c>
      <c r="F410" s="7" t="s">
        <v>3343</v>
      </c>
    </row>
    <row r="411" customFormat="false" ht="34.5" hidden="false" customHeight="true" outlineLevel="0" collapsed="false">
      <c r="A411" s="7" t="s">
        <v>3342</v>
      </c>
      <c r="B411" s="7" t="s">
        <v>3344</v>
      </c>
      <c r="C411" s="7" t="s">
        <v>2923</v>
      </c>
      <c r="D411" s="7" t="s">
        <v>2611</v>
      </c>
      <c r="E411" s="7" t="n">
        <v>48.7</v>
      </c>
      <c r="F411" s="7" t="s">
        <v>3345</v>
      </c>
    </row>
    <row r="412" customFormat="false" ht="45.75" hidden="false" customHeight="true" outlineLevel="0" collapsed="false">
      <c r="A412" s="7" t="s">
        <v>3342</v>
      </c>
      <c r="B412" s="7" t="s">
        <v>878</v>
      </c>
      <c r="C412" s="7" t="s">
        <v>1109</v>
      </c>
      <c r="D412" s="7" t="s">
        <v>2611</v>
      </c>
      <c r="E412" s="7" t="n">
        <v>24.5</v>
      </c>
      <c r="F412" s="7" t="s">
        <v>3346</v>
      </c>
    </row>
    <row r="413" customFormat="false" ht="34.5" hidden="false" customHeight="true" outlineLevel="0" collapsed="false">
      <c r="A413" s="7" t="s">
        <v>3347</v>
      </c>
      <c r="B413" s="7" t="s">
        <v>2617</v>
      </c>
      <c r="C413" s="7" t="s">
        <v>2561</v>
      </c>
      <c r="D413" s="7" t="s">
        <v>2611</v>
      </c>
      <c r="E413" s="7" t="n">
        <v>58.9</v>
      </c>
      <c r="F413" s="7" t="s">
        <v>3348</v>
      </c>
    </row>
    <row r="414" customFormat="false" ht="34.5" hidden="false" customHeight="true" outlineLevel="0" collapsed="false">
      <c r="A414" s="7" t="s">
        <v>3349</v>
      </c>
      <c r="B414" s="7" t="s">
        <v>3204</v>
      </c>
      <c r="C414" s="7" t="s">
        <v>3090</v>
      </c>
      <c r="D414" s="7" t="s">
        <v>2611</v>
      </c>
      <c r="E414" s="7" t="n">
        <v>62</v>
      </c>
      <c r="F414" s="7" t="s">
        <v>3350</v>
      </c>
    </row>
    <row r="415" customFormat="false" ht="34.5" hidden="false" customHeight="true" outlineLevel="0" collapsed="false">
      <c r="A415" s="7" t="s">
        <v>3349</v>
      </c>
      <c r="B415" s="7" t="s">
        <v>2986</v>
      </c>
      <c r="C415" s="7" t="s">
        <v>2527</v>
      </c>
      <c r="D415" s="7" t="s">
        <v>2611</v>
      </c>
      <c r="E415" s="7" t="n">
        <v>61.6</v>
      </c>
      <c r="F415" s="7" t="s">
        <v>3351</v>
      </c>
    </row>
    <row r="416" customFormat="false" ht="34.5" hidden="false" customHeight="true" outlineLevel="0" collapsed="false">
      <c r="A416" s="7" t="s">
        <v>3349</v>
      </c>
      <c r="B416" s="7" t="s">
        <v>3160</v>
      </c>
      <c r="C416" s="7" t="s">
        <v>3161</v>
      </c>
      <c r="D416" s="7" t="s">
        <v>2611</v>
      </c>
      <c r="E416" s="7" t="n">
        <v>55.3</v>
      </c>
      <c r="F416" s="7" t="s">
        <v>3352</v>
      </c>
    </row>
    <row r="417" customFormat="false" ht="34.5" hidden="false" customHeight="true" outlineLevel="0" collapsed="false">
      <c r="A417" s="7" t="s">
        <v>3349</v>
      </c>
      <c r="B417" s="7" t="s">
        <v>3098</v>
      </c>
      <c r="C417" s="7" t="s">
        <v>2565</v>
      </c>
      <c r="D417" s="7" t="s">
        <v>2611</v>
      </c>
      <c r="E417" s="7" t="n">
        <v>65</v>
      </c>
      <c r="F417" s="7" t="s">
        <v>3353</v>
      </c>
    </row>
    <row r="418" customFormat="false" ht="34.5" hidden="false" customHeight="true" outlineLevel="0" collapsed="false">
      <c r="A418" s="7" t="s">
        <v>3354</v>
      </c>
      <c r="B418" s="7" t="s">
        <v>2896</v>
      </c>
      <c r="C418" s="7" t="s">
        <v>2556</v>
      </c>
      <c r="D418" s="7" t="s">
        <v>2611</v>
      </c>
      <c r="E418" s="7" t="n">
        <v>74.9</v>
      </c>
      <c r="F418" s="7" t="s">
        <v>3355</v>
      </c>
    </row>
    <row r="419" customFormat="false" ht="34.5" hidden="false" customHeight="true" outlineLevel="0" collapsed="false">
      <c r="A419" s="7" t="s">
        <v>3354</v>
      </c>
      <c r="B419" s="7" t="s">
        <v>2547</v>
      </c>
      <c r="C419" s="7" t="s">
        <v>2632</v>
      </c>
      <c r="D419" s="7" t="s">
        <v>2611</v>
      </c>
      <c r="E419" s="7" t="n">
        <v>47.8</v>
      </c>
      <c r="F419" s="7" t="s">
        <v>3356</v>
      </c>
    </row>
    <row r="420" customFormat="false" ht="34.5" hidden="false" customHeight="true" outlineLevel="0" collapsed="false">
      <c r="A420" s="7" t="s">
        <v>3357</v>
      </c>
      <c r="B420" s="7" t="s">
        <v>2938</v>
      </c>
      <c r="C420" s="7" t="s">
        <v>3127</v>
      </c>
      <c r="D420" s="7" t="s">
        <v>2611</v>
      </c>
      <c r="E420" s="7" t="n">
        <v>42.2</v>
      </c>
      <c r="F420" s="7" t="s">
        <v>3358</v>
      </c>
    </row>
    <row r="421" customFormat="false" ht="34.5" hidden="false" customHeight="true" outlineLevel="0" collapsed="false">
      <c r="A421" s="7" t="s">
        <v>3359</v>
      </c>
      <c r="B421" s="7" t="s">
        <v>2783</v>
      </c>
      <c r="C421" s="7" t="s">
        <v>2784</v>
      </c>
      <c r="D421" s="7" t="s">
        <v>2611</v>
      </c>
      <c r="E421" s="7" t="n">
        <v>51</v>
      </c>
      <c r="F421" s="7" t="s">
        <v>3360</v>
      </c>
    </row>
    <row r="422" customFormat="false" ht="34.5" hidden="false" customHeight="true" outlineLevel="0" collapsed="false">
      <c r="A422" s="7" t="s">
        <v>3361</v>
      </c>
      <c r="B422" s="7" t="s">
        <v>2574</v>
      </c>
      <c r="C422" s="7" t="s">
        <v>3063</v>
      </c>
      <c r="D422" s="7" t="s">
        <v>2611</v>
      </c>
      <c r="E422" s="7" t="n">
        <v>73</v>
      </c>
      <c r="F422" s="7" t="s">
        <v>3362</v>
      </c>
    </row>
    <row r="423" customFormat="false" ht="34.5" hidden="false" customHeight="true" outlineLevel="0" collapsed="false">
      <c r="A423" s="7" t="s">
        <v>3363</v>
      </c>
      <c r="B423" s="7" t="s">
        <v>3227</v>
      </c>
      <c r="C423" s="7" t="s">
        <v>3213</v>
      </c>
      <c r="D423" s="7" t="s">
        <v>2611</v>
      </c>
      <c r="E423" s="7" t="n">
        <v>71.9</v>
      </c>
      <c r="F423" s="7" t="s">
        <v>3364</v>
      </c>
    </row>
    <row r="424" customFormat="false" ht="34.5" hidden="false" customHeight="true" outlineLevel="0" collapsed="false">
      <c r="A424" s="7" t="s">
        <v>3365</v>
      </c>
      <c r="B424" s="7" t="s">
        <v>3302</v>
      </c>
      <c r="C424" s="7" t="s">
        <v>3303</v>
      </c>
      <c r="D424" s="7" t="s">
        <v>2611</v>
      </c>
      <c r="E424" s="7" t="n">
        <v>38.4</v>
      </c>
      <c r="F424" s="7" t="s">
        <v>3366</v>
      </c>
    </row>
    <row r="425" customFormat="false" ht="34.5" hidden="false" customHeight="true" outlineLevel="0" collapsed="false">
      <c r="A425" s="7" t="s">
        <v>3367</v>
      </c>
      <c r="B425" s="7" t="s">
        <v>2535</v>
      </c>
      <c r="C425" s="7" t="s">
        <v>2536</v>
      </c>
      <c r="D425" s="7" t="s">
        <v>2611</v>
      </c>
      <c r="E425" s="7" t="n">
        <v>54.8</v>
      </c>
      <c r="F425" s="7" t="s">
        <v>3368</v>
      </c>
    </row>
    <row r="426" customFormat="false" ht="34.5" hidden="false" customHeight="true" outlineLevel="0" collapsed="false">
      <c r="A426" s="7" t="s">
        <v>3369</v>
      </c>
      <c r="B426" s="7" t="s">
        <v>2621</v>
      </c>
      <c r="C426" s="7" t="s">
        <v>2622</v>
      </c>
      <c r="D426" s="7" t="s">
        <v>2611</v>
      </c>
      <c r="E426" s="7" t="n">
        <v>57.4</v>
      </c>
      <c r="F426" s="7" t="s">
        <v>3370</v>
      </c>
    </row>
    <row r="427" customFormat="false" ht="34.5" hidden="false" customHeight="true" outlineLevel="0" collapsed="false">
      <c r="A427" s="7" t="s">
        <v>3371</v>
      </c>
      <c r="B427" s="7" t="s">
        <v>2617</v>
      </c>
      <c r="C427" s="7" t="s">
        <v>2561</v>
      </c>
      <c r="D427" s="7" t="s">
        <v>2611</v>
      </c>
      <c r="E427" s="7" t="n">
        <v>58.9</v>
      </c>
      <c r="F427" s="7" t="s">
        <v>3372</v>
      </c>
    </row>
    <row r="428" customFormat="false" ht="34.5" hidden="false" customHeight="true" outlineLevel="0" collapsed="false">
      <c r="A428" s="7" t="s">
        <v>3373</v>
      </c>
      <c r="B428" s="7" t="s">
        <v>2783</v>
      </c>
      <c r="C428" s="7" t="s">
        <v>2784</v>
      </c>
      <c r="D428" s="7" t="s">
        <v>2611</v>
      </c>
      <c r="E428" s="7" t="n">
        <v>51</v>
      </c>
      <c r="F428" s="7" t="s">
        <v>3374</v>
      </c>
    </row>
    <row r="429" customFormat="false" ht="34.5" hidden="false" customHeight="true" outlineLevel="0" collapsed="false">
      <c r="A429" s="7" t="s">
        <v>3373</v>
      </c>
      <c r="B429" s="7" t="s">
        <v>2896</v>
      </c>
      <c r="C429" s="7" t="s">
        <v>2556</v>
      </c>
      <c r="D429" s="7" t="s">
        <v>2611</v>
      </c>
      <c r="E429" s="7" t="n">
        <v>74.9</v>
      </c>
      <c r="F429" s="7" t="s">
        <v>3375</v>
      </c>
    </row>
    <row r="430" customFormat="false" ht="34.5" hidden="false" customHeight="true" outlineLevel="0" collapsed="false">
      <c r="A430" s="7" t="s">
        <v>3373</v>
      </c>
      <c r="B430" s="7" t="s">
        <v>973</v>
      </c>
      <c r="C430" s="7" t="s">
        <v>3096</v>
      </c>
      <c r="D430" s="7" t="s">
        <v>2611</v>
      </c>
      <c r="E430" s="7" t="n">
        <v>25.2</v>
      </c>
      <c r="F430" s="7" t="s">
        <v>3376</v>
      </c>
    </row>
    <row r="431" customFormat="false" ht="34.5" hidden="false" customHeight="true" outlineLevel="0" collapsed="false">
      <c r="A431" s="7" t="s">
        <v>3377</v>
      </c>
      <c r="B431" s="7" t="s">
        <v>2967</v>
      </c>
      <c r="C431" s="7" t="s">
        <v>2565</v>
      </c>
      <c r="D431" s="7" t="s">
        <v>2611</v>
      </c>
      <c r="E431" s="7" t="n">
        <v>68.6</v>
      </c>
      <c r="F431" s="7" t="s">
        <v>3378</v>
      </c>
    </row>
    <row r="432" customFormat="false" ht="34.5" hidden="false" customHeight="true" outlineLevel="0" collapsed="false">
      <c r="A432" s="7" t="s">
        <v>3377</v>
      </c>
      <c r="B432" s="7" t="s">
        <v>2547</v>
      </c>
      <c r="C432" s="7" t="s">
        <v>2632</v>
      </c>
      <c r="D432" s="7" t="s">
        <v>2611</v>
      </c>
      <c r="E432" s="7" t="n">
        <v>47.8</v>
      </c>
      <c r="F432" s="7" t="s">
        <v>3379</v>
      </c>
    </row>
    <row r="433" customFormat="false" ht="45.75" hidden="false" customHeight="true" outlineLevel="0" collapsed="false">
      <c r="A433" s="7" t="s">
        <v>3380</v>
      </c>
      <c r="B433" s="7" t="s">
        <v>2715</v>
      </c>
      <c r="C433" s="7" t="s">
        <v>1109</v>
      </c>
      <c r="D433" s="7" t="s">
        <v>2611</v>
      </c>
      <c r="E433" s="7" t="n">
        <v>22.5</v>
      </c>
      <c r="F433" s="7" t="s">
        <v>3381</v>
      </c>
    </row>
    <row r="434" customFormat="false" ht="57" hidden="false" customHeight="true" outlineLevel="0" collapsed="false">
      <c r="A434" s="7" t="s">
        <v>3382</v>
      </c>
      <c r="B434" s="7" t="s">
        <v>2986</v>
      </c>
      <c r="C434" s="7" t="s">
        <v>2527</v>
      </c>
      <c r="D434" s="7" t="s">
        <v>2611</v>
      </c>
      <c r="E434" s="7" t="n">
        <v>61.6</v>
      </c>
      <c r="F434" s="7" t="s">
        <v>3383</v>
      </c>
    </row>
    <row r="435" customFormat="false" ht="68.25" hidden="false" customHeight="true" outlineLevel="0" collapsed="false">
      <c r="A435" s="7" t="s">
        <v>893</v>
      </c>
      <c r="B435" s="7" t="s">
        <v>878</v>
      </c>
      <c r="C435" s="7" t="s">
        <v>1109</v>
      </c>
      <c r="D435" s="7" t="s">
        <v>2611</v>
      </c>
      <c r="E435" s="7" t="n">
        <v>24.5</v>
      </c>
      <c r="F435" s="7" t="s">
        <v>3384</v>
      </c>
    </row>
    <row r="436" customFormat="false" ht="34.5" hidden="false" customHeight="true" outlineLevel="0" collapsed="false">
      <c r="A436" s="7" t="s">
        <v>893</v>
      </c>
      <c r="B436" s="7" t="s">
        <v>3197</v>
      </c>
      <c r="C436" s="7" t="s">
        <v>3198</v>
      </c>
      <c r="D436" s="7" t="s">
        <v>2611</v>
      </c>
      <c r="E436" s="7" t="n">
        <v>47.8</v>
      </c>
      <c r="F436" s="7" t="s">
        <v>3385</v>
      </c>
    </row>
    <row r="437" customFormat="false" ht="34.5" hidden="false" customHeight="true" outlineLevel="0" collapsed="false">
      <c r="A437" s="7" t="s">
        <v>893</v>
      </c>
      <c r="B437" s="7" t="s">
        <v>3011</v>
      </c>
      <c r="C437" s="7" t="s">
        <v>2542</v>
      </c>
      <c r="D437" s="7" t="s">
        <v>2611</v>
      </c>
      <c r="E437" s="7" t="n">
        <v>36.6</v>
      </c>
      <c r="F437" s="7" t="s">
        <v>3386</v>
      </c>
    </row>
    <row r="438" customFormat="false" ht="45.75" hidden="false" customHeight="true" outlineLevel="0" collapsed="false">
      <c r="A438" s="7" t="s">
        <v>3387</v>
      </c>
      <c r="B438" s="7" t="s">
        <v>2715</v>
      </c>
      <c r="C438" s="7" t="s">
        <v>1109</v>
      </c>
      <c r="D438" s="7" t="s">
        <v>2611</v>
      </c>
      <c r="E438" s="7" t="n">
        <v>22.5</v>
      </c>
      <c r="F438" s="7" t="s">
        <v>3388</v>
      </c>
    </row>
    <row r="439" customFormat="false" ht="45.75" hidden="false" customHeight="true" outlineLevel="0" collapsed="false">
      <c r="A439" s="7" t="s">
        <v>3387</v>
      </c>
      <c r="B439" s="7" t="s">
        <v>878</v>
      </c>
      <c r="C439" s="7" t="s">
        <v>1109</v>
      </c>
      <c r="D439" s="7" t="s">
        <v>2611</v>
      </c>
      <c r="E439" s="7" t="n">
        <v>24.5</v>
      </c>
      <c r="F439" s="7" t="s">
        <v>3389</v>
      </c>
    </row>
    <row r="440" customFormat="false" ht="34.5" hidden="false" customHeight="true" outlineLevel="0" collapsed="false">
      <c r="A440" s="7" t="s">
        <v>3387</v>
      </c>
      <c r="B440" s="7" t="s">
        <v>2547</v>
      </c>
      <c r="C440" s="7" t="s">
        <v>2632</v>
      </c>
      <c r="D440" s="7" t="s">
        <v>2611</v>
      </c>
      <c r="E440" s="7" t="n">
        <v>47.8</v>
      </c>
      <c r="F440" s="7" t="s">
        <v>3390</v>
      </c>
    </row>
    <row r="441" customFormat="false" ht="34.5" hidden="false" customHeight="true" outlineLevel="0" collapsed="false">
      <c r="A441" s="7" t="s">
        <v>3391</v>
      </c>
      <c r="B441" s="7" t="s">
        <v>2574</v>
      </c>
      <c r="C441" s="7" t="s">
        <v>3063</v>
      </c>
      <c r="D441" s="7" t="s">
        <v>2611</v>
      </c>
      <c r="E441" s="7" t="n">
        <v>73</v>
      </c>
      <c r="F441" s="7" t="s">
        <v>3392</v>
      </c>
    </row>
    <row r="442" customFormat="false" ht="45.75" hidden="false" customHeight="true" outlineLevel="0" collapsed="false">
      <c r="A442" s="7" t="s">
        <v>3393</v>
      </c>
      <c r="B442" s="7" t="s">
        <v>3394</v>
      </c>
      <c r="C442" s="7" t="s">
        <v>3395</v>
      </c>
      <c r="D442" s="7" t="s">
        <v>2520</v>
      </c>
      <c r="E442" s="7" t="n">
        <v>74.9</v>
      </c>
      <c r="F442" s="7" t="s">
        <v>3396</v>
      </c>
    </row>
    <row r="443" customFormat="false" ht="34.5" hidden="false" customHeight="true" outlineLevel="0" collapsed="false">
      <c r="A443" s="7" t="s">
        <v>3397</v>
      </c>
      <c r="B443" s="7" t="s">
        <v>2547</v>
      </c>
      <c r="C443" s="7" t="s">
        <v>2632</v>
      </c>
      <c r="D443" s="7" t="s">
        <v>2611</v>
      </c>
      <c r="E443" s="7" t="n">
        <v>47.8</v>
      </c>
      <c r="F443" s="7" t="s">
        <v>3398</v>
      </c>
    </row>
    <row r="444" customFormat="false" ht="34.5" hidden="false" customHeight="true" outlineLevel="0" collapsed="false">
      <c r="A444" s="7" t="s">
        <v>3399</v>
      </c>
      <c r="B444" s="7" t="s">
        <v>3131</v>
      </c>
      <c r="C444" s="7" t="s">
        <v>2939</v>
      </c>
      <c r="D444" s="7" t="s">
        <v>2611</v>
      </c>
      <c r="E444" s="7" t="n">
        <v>44.9</v>
      </c>
      <c r="F444" s="7" t="s">
        <v>3400</v>
      </c>
    </row>
    <row r="445" customFormat="false" ht="34.5" hidden="false" customHeight="true" outlineLevel="0" collapsed="false">
      <c r="A445" s="7" t="s">
        <v>3401</v>
      </c>
      <c r="B445" s="7" t="s">
        <v>2574</v>
      </c>
      <c r="C445" s="7" t="s">
        <v>3063</v>
      </c>
      <c r="D445" s="7" t="s">
        <v>2611</v>
      </c>
      <c r="E445" s="7" t="n">
        <v>73</v>
      </c>
      <c r="F445" s="7" t="s">
        <v>3402</v>
      </c>
    </row>
    <row r="446" customFormat="false" ht="34.5" hidden="false" customHeight="true" outlineLevel="0" collapsed="false">
      <c r="A446" s="7" t="s">
        <v>3401</v>
      </c>
      <c r="B446" s="7" t="s">
        <v>2621</v>
      </c>
      <c r="C446" s="7" t="s">
        <v>2622</v>
      </c>
      <c r="D446" s="7" t="s">
        <v>2611</v>
      </c>
      <c r="E446" s="7" t="n">
        <v>57.4</v>
      </c>
      <c r="F446" s="7" t="s">
        <v>3403</v>
      </c>
    </row>
    <row r="447" customFormat="false" ht="45.75" hidden="false" customHeight="true" outlineLevel="0" collapsed="false">
      <c r="A447" s="7" t="s">
        <v>3401</v>
      </c>
      <c r="B447" s="7" t="s">
        <v>2715</v>
      </c>
      <c r="C447" s="7" t="s">
        <v>1109</v>
      </c>
      <c r="D447" s="7" t="s">
        <v>2611</v>
      </c>
      <c r="E447" s="7" t="n">
        <v>22.5</v>
      </c>
      <c r="F447" s="7" t="s">
        <v>3404</v>
      </c>
    </row>
    <row r="448" customFormat="false" ht="45.75" hidden="false" customHeight="true" outlineLevel="0" collapsed="false">
      <c r="A448" s="7" t="s">
        <v>3401</v>
      </c>
      <c r="B448" s="7" t="s">
        <v>878</v>
      </c>
      <c r="C448" s="7" t="s">
        <v>1109</v>
      </c>
      <c r="D448" s="7" t="s">
        <v>2611</v>
      </c>
      <c r="E448" s="7" t="n">
        <v>24.5</v>
      </c>
      <c r="F448" s="7" t="s">
        <v>3405</v>
      </c>
    </row>
    <row r="449" customFormat="false" ht="45.75" hidden="false" customHeight="true" outlineLevel="0" collapsed="false">
      <c r="A449" s="7" t="s">
        <v>3401</v>
      </c>
      <c r="B449" s="7" t="s">
        <v>2767</v>
      </c>
      <c r="C449" s="7" t="s">
        <v>2768</v>
      </c>
      <c r="D449" s="7" t="s">
        <v>2611</v>
      </c>
      <c r="E449" s="7" t="n">
        <v>46.6</v>
      </c>
      <c r="F449" s="7" t="s">
        <v>3406</v>
      </c>
    </row>
    <row r="450" customFormat="false" ht="34.5" hidden="false" customHeight="true" outlineLevel="0" collapsed="false">
      <c r="A450" s="7" t="s">
        <v>3401</v>
      </c>
      <c r="B450" s="7" t="s">
        <v>973</v>
      </c>
      <c r="C450" s="7" t="s">
        <v>3096</v>
      </c>
      <c r="D450" s="7" t="s">
        <v>2611</v>
      </c>
      <c r="E450" s="7" t="n">
        <v>25.2</v>
      </c>
      <c r="F450" s="7" t="s">
        <v>3407</v>
      </c>
    </row>
    <row r="451" customFormat="false" ht="34.5" hidden="false" customHeight="true" outlineLevel="0" collapsed="false">
      <c r="A451" s="7" t="s">
        <v>3408</v>
      </c>
      <c r="B451" s="7" t="s">
        <v>3302</v>
      </c>
      <c r="C451" s="7" t="s">
        <v>3303</v>
      </c>
      <c r="D451" s="7" t="s">
        <v>2611</v>
      </c>
      <c r="E451" s="7" t="n">
        <v>38.4</v>
      </c>
      <c r="F451" s="7" t="s">
        <v>3409</v>
      </c>
    </row>
    <row r="452" customFormat="false" ht="34.5" hidden="false" customHeight="true" outlineLevel="0" collapsed="false">
      <c r="A452" s="7" t="s">
        <v>3410</v>
      </c>
      <c r="B452" s="7" t="s">
        <v>3302</v>
      </c>
      <c r="C452" s="7" t="s">
        <v>3303</v>
      </c>
      <c r="D452" s="7" t="s">
        <v>2611</v>
      </c>
      <c r="E452" s="7" t="n">
        <v>38.4</v>
      </c>
      <c r="F452" s="7" t="s">
        <v>3411</v>
      </c>
    </row>
    <row r="453" customFormat="false" ht="34.5" hidden="false" customHeight="true" outlineLevel="0" collapsed="false">
      <c r="A453" s="7" t="s">
        <v>3412</v>
      </c>
      <c r="B453" s="7" t="s">
        <v>2617</v>
      </c>
      <c r="C453" s="7" t="s">
        <v>2561</v>
      </c>
      <c r="D453" s="7" t="s">
        <v>2611</v>
      </c>
      <c r="E453" s="7" t="n">
        <v>58.9</v>
      </c>
      <c r="F453" s="7" t="s">
        <v>3413</v>
      </c>
    </row>
    <row r="454" customFormat="false" ht="34.5" hidden="false" customHeight="true" outlineLevel="0" collapsed="false">
      <c r="A454" s="7" t="s">
        <v>3414</v>
      </c>
      <c r="B454" s="7" t="s">
        <v>3131</v>
      </c>
      <c r="C454" s="7" t="s">
        <v>2939</v>
      </c>
      <c r="D454" s="7" t="s">
        <v>2611</v>
      </c>
      <c r="E454" s="7" t="n">
        <v>44.9</v>
      </c>
      <c r="F454" s="7" t="s">
        <v>3415</v>
      </c>
    </row>
    <row r="455" customFormat="false" ht="57" hidden="false" customHeight="true" outlineLevel="0" collapsed="false">
      <c r="A455" s="7" t="s">
        <v>3414</v>
      </c>
      <c r="B455" s="7" t="s">
        <v>2621</v>
      </c>
      <c r="C455" s="7" t="s">
        <v>2622</v>
      </c>
      <c r="D455" s="7" t="s">
        <v>2611</v>
      </c>
      <c r="E455" s="7" t="n">
        <v>57.4</v>
      </c>
      <c r="F455" s="7" t="s">
        <v>3416</v>
      </c>
    </row>
    <row r="456" customFormat="false" ht="45.75" hidden="false" customHeight="true" outlineLevel="0" collapsed="false">
      <c r="A456" s="7" t="s">
        <v>3414</v>
      </c>
      <c r="B456" s="7" t="s">
        <v>2767</v>
      </c>
      <c r="C456" s="7" t="s">
        <v>2768</v>
      </c>
      <c r="D456" s="7" t="s">
        <v>2611</v>
      </c>
      <c r="E456" s="7" t="n">
        <v>46.6</v>
      </c>
      <c r="F456" s="7" t="s">
        <v>3417</v>
      </c>
    </row>
    <row r="457" customFormat="false" ht="34.5" hidden="false" customHeight="true" outlineLevel="0" collapsed="false">
      <c r="A457" s="7" t="s">
        <v>3418</v>
      </c>
      <c r="B457" s="7" t="s">
        <v>2617</v>
      </c>
      <c r="C457" s="7" t="s">
        <v>2561</v>
      </c>
      <c r="D457" s="7" t="s">
        <v>2611</v>
      </c>
      <c r="E457" s="7" t="n">
        <v>58.9</v>
      </c>
      <c r="F457" s="7" t="s">
        <v>3419</v>
      </c>
    </row>
    <row r="458" customFormat="false" ht="45.75" hidden="false" customHeight="true" outlineLevel="0" collapsed="false">
      <c r="A458" s="7" t="s">
        <v>876</v>
      </c>
      <c r="B458" s="7" t="s">
        <v>878</v>
      </c>
      <c r="C458" s="7" t="s">
        <v>1109</v>
      </c>
      <c r="D458" s="7" t="s">
        <v>2611</v>
      </c>
      <c r="E458" s="7" t="n">
        <v>24.5</v>
      </c>
      <c r="F458" s="7" t="s">
        <v>3420</v>
      </c>
    </row>
    <row r="459" customFormat="false" ht="34.5" hidden="false" customHeight="true" outlineLevel="0" collapsed="false">
      <c r="A459" s="7" t="s">
        <v>3421</v>
      </c>
      <c r="B459" s="7" t="s">
        <v>2621</v>
      </c>
      <c r="C459" s="7" t="s">
        <v>2622</v>
      </c>
      <c r="D459" s="7" t="s">
        <v>2611</v>
      </c>
      <c r="E459" s="7" t="n">
        <v>57.4</v>
      </c>
      <c r="F459" s="7" t="s">
        <v>3422</v>
      </c>
    </row>
    <row r="460" customFormat="false" ht="34.5" hidden="false" customHeight="true" outlineLevel="0" collapsed="false">
      <c r="A460" s="7" t="s">
        <v>3423</v>
      </c>
      <c r="B460" s="7" t="s">
        <v>2783</v>
      </c>
      <c r="C460" s="7" t="s">
        <v>2784</v>
      </c>
      <c r="D460" s="7" t="s">
        <v>2611</v>
      </c>
      <c r="E460" s="7" t="n">
        <v>51</v>
      </c>
      <c r="F460" s="7" t="s">
        <v>3424</v>
      </c>
    </row>
    <row r="461" customFormat="false" ht="45.75" hidden="false" customHeight="true" outlineLevel="0" collapsed="false">
      <c r="A461" s="7" t="s">
        <v>3423</v>
      </c>
      <c r="B461" s="7" t="s">
        <v>2549</v>
      </c>
      <c r="C461" s="7" t="s">
        <v>2550</v>
      </c>
      <c r="D461" s="7" t="s">
        <v>2611</v>
      </c>
      <c r="E461" s="7" t="n">
        <v>44.9</v>
      </c>
      <c r="F461" s="7" t="s">
        <v>3425</v>
      </c>
    </row>
    <row r="462" customFormat="false" ht="34.5" hidden="false" customHeight="true" outlineLevel="0" collapsed="false">
      <c r="A462" s="7" t="s">
        <v>3423</v>
      </c>
      <c r="B462" s="7" t="s">
        <v>2967</v>
      </c>
      <c r="C462" s="7" t="s">
        <v>2565</v>
      </c>
      <c r="D462" s="7" t="s">
        <v>2611</v>
      </c>
      <c r="E462" s="7" t="n">
        <v>68.6</v>
      </c>
      <c r="F462" s="7" t="s">
        <v>3426</v>
      </c>
    </row>
    <row r="463" customFormat="false" ht="34.5" hidden="false" customHeight="true" outlineLevel="0" collapsed="false">
      <c r="A463" s="7" t="s">
        <v>3423</v>
      </c>
      <c r="B463" s="7" t="s">
        <v>3098</v>
      </c>
      <c r="C463" s="7" t="s">
        <v>2565</v>
      </c>
      <c r="D463" s="7" t="s">
        <v>2611</v>
      </c>
      <c r="E463" s="7" t="n">
        <v>65</v>
      </c>
      <c r="F463" s="7" t="s">
        <v>3427</v>
      </c>
    </row>
    <row r="464" customFormat="false" ht="34.5" hidden="false" customHeight="true" outlineLevel="0" collapsed="false">
      <c r="A464" s="7" t="s">
        <v>3428</v>
      </c>
      <c r="B464" s="7" t="s">
        <v>3191</v>
      </c>
      <c r="C464" s="7" t="s">
        <v>3192</v>
      </c>
      <c r="D464" s="7" t="s">
        <v>2611</v>
      </c>
      <c r="E464" s="7" t="n">
        <v>70.3</v>
      </c>
      <c r="F464" s="7" t="s">
        <v>3429</v>
      </c>
    </row>
    <row r="465" customFormat="false" ht="34.5" hidden="false" customHeight="true" outlineLevel="0" collapsed="false">
      <c r="A465" s="7" t="s">
        <v>3430</v>
      </c>
      <c r="B465" s="7" t="s">
        <v>3344</v>
      </c>
      <c r="C465" s="7" t="s">
        <v>2923</v>
      </c>
      <c r="D465" s="7" t="s">
        <v>2611</v>
      </c>
      <c r="E465" s="7" t="n">
        <v>48.7</v>
      </c>
      <c r="F465" s="7" t="s">
        <v>3431</v>
      </c>
    </row>
    <row r="466" customFormat="false" ht="34.5" hidden="false" customHeight="true" outlineLevel="0" collapsed="false">
      <c r="A466" s="7" t="s">
        <v>3430</v>
      </c>
      <c r="B466" s="7" t="s">
        <v>3432</v>
      </c>
      <c r="C466" s="7" t="s">
        <v>3433</v>
      </c>
      <c r="D466" s="7" t="s">
        <v>2611</v>
      </c>
      <c r="E466" s="7" t="n">
        <v>70.6</v>
      </c>
      <c r="F466" s="7" t="s">
        <v>3434</v>
      </c>
    </row>
    <row r="467" customFormat="false" ht="79.5" hidden="false" customHeight="true" outlineLevel="0" collapsed="false">
      <c r="A467" s="7" t="s">
        <v>3435</v>
      </c>
      <c r="B467" s="7" t="s">
        <v>3436</v>
      </c>
      <c r="C467" s="7" t="s">
        <v>2519</v>
      </c>
      <c r="D467" s="7" t="s">
        <v>2520</v>
      </c>
      <c r="E467" s="7" t="n">
        <v>14.3</v>
      </c>
      <c r="F467" s="7" t="s">
        <v>3437</v>
      </c>
    </row>
    <row r="468" customFormat="false" ht="45.75" hidden="false" customHeight="true" outlineLevel="0" collapsed="false">
      <c r="A468" s="7" t="s">
        <v>3438</v>
      </c>
      <c r="B468" s="7" t="s">
        <v>2986</v>
      </c>
      <c r="C468" s="7" t="s">
        <v>2527</v>
      </c>
      <c r="D468" s="7" t="s">
        <v>2611</v>
      </c>
      <c r="E468" s="7" t="n">
        <v>61.3</v>
      </c>
      <c r="F468" s="7" t="s">
        <v>3439</v>
      </c>
    </row>
    <row r="469" customFormat="false" ht="34.5" hidden="false" customHeight="true" outlineLevel="0" collapsed="false">
      <c r="A469" s="7" t="s">
        <v>3438</v>
      </c>
      <c r="B469" s="7" t="s">
        <v>2986</v>
      </c>
      <c r="C469" s="7" t="s">
        <v>2527</v>
      </c>
      <c r="D469" s="7" t="s">
        <v>2611</v>
      </c>
      <c r="E469" s="7" t="n">
        <v>61.6</v>
      </c>
      <c r="F469" s="7" t="s">
        <v>3440</v>
      </c>
    </row>
    <row r="470" customFormat="false" ht="135.75" hidden="false" customHeight="true" outlineLevel="0" collapsed="false">
      <c r="A470" s="7" t="s">
        <v>3441</v>
      </c>
      <c r="B470" s="7" t="s">
        <v>310</v>
      </c>
      <c r="C470" s="7" t="s">
        <v>2519</v>
      </c>
      <c r="D470" s="7" t="s">
        <v>2611</v>
      </c>
      <c r="E470" s="7" t="n">
        <v>17.4</v>
      </c>
      <c r="F470" s="7" t="s">
        <v>3442</v>
      </c>
    </row>
    <row r="471" customFormat="false" ht="34.5" hidden="false" customHeight="true" outlineLevel="0" collapsed="false">
      <c r="A471" s="7" t="s">
        <v>852</v>
      </c>
      <c r="B471" s="7" t="s">
        <v>2560</v>
      </c>
      <c r="C471" s="7" t="s">
        <v>3443</v>
      </c>
      <c r="D471" s="7" t="s">
        <v>2611</v>
      </c>
      <c r="E471" s="7" t="n">
        <v>51.7</v>
      </c>
      <c r="F471" s="7" t="s">
        <v>3444</v>
      </c>
    </row>
    <row r="472" customFormat="false" ht="34.5" hidden="false" customHeight="true" outlineLevel="0" collapsed="false">
      <c r="A472" s="7" t="s">
        <v>852</v>
      </c>
      <c r="B472" s="7" t="s">
        <v>2621</v>
      </c>
      <c r="C472" s="7" t="s">
        <v>2622</v>
      </c>
      <c r="D472" s="7" t="s">
        <v>2611</v>
      </c>
      <c r="E472" s="7" t="n">
        <v>57.7</v>
      </c>
      <c r="F472" s="7" t="s">
        <v>3445</v>
      </c>
    </row>
    <row r="473" customFormat="false" ht="34.5" hidden="false" customHeight="true" outlineLevel="0" collapsed="false">
      <c r="A473" s="7" t="s">
        <v>852</v>
      </c>
      <c r="B473" s="7" t="s">
        <v>2621</v>
      </c>
      <c r="C473" s="7" t="s">
        <v>2622</v>
      </c>
      <c r="D473" s="7" t="s">
        <v>2611</v>
      </c>
      <c r="E473" s="7" t="n">
        <v>57.4</v>
      </c>
      <c r="F473" s="7" t="s">
        <v>3446</v>
      </c>
    </row>
    <row r="474" customFormat="false" ht="57" hidden="false" customHeight="true" outlineLevel="0" collapsed="false">
      <c r="A474" s="7" t="s">
        <v>852</v>
      </c>
      <c r="B474" s="7" t="s">
        <v>2617</v>
      </c>
      <c r="C474" s="7" t="s">
        <v>2561</v>
      </c>
      <c r="D474" s="7" t="s">
        <v>2611</v>
      </c>
      <c r="E474" s="7" t="n">
        <v>58.9</v>
      </c>
      <c r="F474" s="7" t="s">
        <v>3447</v>
      </c>
    </row>
    <row r="475" customFormat="false" ht="34.5" hidden="false" customHeight="true" outlineLevel="0" collapsed="false">
      <c r="A475" s="7" t="s">
        <v>852</v>
      </c>
      <c r="B475" s="7" t="s">
        <v>2617</v>
      </c>
      <c r="C475" s="7" t="s">
        <v>2561</v>
      </c>
      <c r="D475" s="7" t="s">
        <v>2611</v>
      </c>
      <c r="E475" s="7" t="n">
        <v>58.9</v>
      </c>
      <c r="F475" s="7" t="s">
        <v>3448</v>
      </c>
    </row>
    <row r="476" customFormat="false" ht="135.75" hidden="false" customHeight="true" outlineLevel="0" collapsed="false">
      <c r="A476" s="7" t="s">
        <v>852</v>
      </c>
      <c r="B476" s="7" t="s">
        <v>3449</v>
      </c>
      <c r="C476" s="7" t="s">
        <v>2768</v>
      </c>
      <c r="D476" s="7" t="s">
        <v>2611</v>
      </c>
      <c r="E476" s="7" t="n">
        <v>55.3</v>
      </c>
      <c r="F476" s="7" t="s">
        <v>3450</v>
      </c>
    </row>
    <row r="477" customFormat="false" ht="34.5" hidden="false" customHeight="true" outlineLevel="0" collapsed="false">
      <c r="A477" s="7" t="s">
        <v>852</v>
      </c>
      <c r="B477" s="7" t="s">
        <v>2808</v>
      </c>
      <c r="C477" s="7" t="s">
        <v>2523</v>
      </c>
      <c r="D477" s="7" t="s">
        <v>2611</v>
      </c>
      <c r="E477" s="7" t="n">
        <v>25.2</v>
      </c>
      <c r="F477" s="7" t="s">
        <v>3451</v>
      </c>
    </row>
    <row r="478" customFormat="false" ht="168.75" hidden="false" customHeight="true" outlineLevel="0" collapsed="false">
      <c r="A478" s="7" t="s">
        <v>852</v>
      </c>
      <c r="B478" s="7" t="s">
        <v>2535</v>
      </c>
      <c r="C478" s="7" t="s">
        <v>2536</v>
      </c>
      <c r="D478" s="7" t="s">
        <v>2611</v>
      </c>
      <c r="E478" s="7" t="n">
        <v>54.6</v>
      </c>
      <c r="F478" s="7" t="s">
        <v>3452</v>
      </c>
    </row>
    <row r="479" customFormat="false" ht="34.5" hidden="false" customHeight="true" outlineLevel="0" collapsed="false">
      <c r="A479" s="7" t="s">
        <v>852</v>
      </c>
      <c r="B479" s="7" t="s">
        <v>2535</v>
      </c>
      <c r="C479" s="7" t="s">
        <v>2536</v>
      </c>
      <c r="D479" s="7" t="s">
        <v>2611</v>
      </c>
      <c r="E479" s="7" t="n">
        <v>54.8</v>
      </c>
      <c r="F479" s="7" t="s">
        <v>3453</v>
      </c>
    </row>
    <row r="480" customFormat="false" ht="34.5" hidden="false" customHeight="true" outlineLevel="0" collapsed="false">
      <c r="A480" s="7" t="s">
        <v>3454</v>
      </c>
      <c r="B480" s="7" t="s">
        <v>2783</v>
      </c>
      <c r="C480" s="7" t="s">
        <v>2784</v>
      </c>
      <c r="D480" s="7" t="s">
        <v>2611</v>
      </c>
      <c r="E480" s="7" t="n">
        <v>51</v>
      </c>
      <c r="F480" s="7" t="s">
        <v>3455</v>
      </c>
    </row>
    <row r="481" customFormat="false" ht="34.5" hidden="false" customHeight="true" outlineLevel="0" collapsed="false">
      <c r="A481" s="7" t="s">
        <v>3456</v>
      </c>
      <c r="B481" s="7" t="s">
        <v>2560</v>
      </c>
      <c r="C481" s="7" t="s">
        <v>3443</v>
      </c>
      <c r="D481" s="7" t="s">
        <v>2611</v>
      </c>
      <c r="E481" s="7" t="n">
        <v>51.7</v>
      </c>
      <c r="F481" s="7" t="s">
        <v>3457</v>
      </c>
    </row>
    <row r="482" customFormat="false" ht="34.5" hidden="false" customHeight="true" outlineLevel="0" collapsed="false">
      <c r="A482" s="7" t="s">
        <v>3458</v>
      </c>
      <c r="B482" s="7" t="s">
        <v>2621</v>
      </c>
      <c r="C482" s="7" t="s">
        <v>2622</v>
      </c>
      <c r="D482" s="7" t="s">
        <v>2611</v>
      </c>
      <c r="E482" s="7" t="n">
        <v>57.4</v>
      </c>
      <c r="F482" s="7" t="s">
        <v>3459</v>
      </c>
    </row>
    <row r="483" customFormat="false" ht="34.5" hidden="false" customHeight="true" outlineLevel="0" collapsed="false">
      <c r="A483" s="7" t="s">
        <v>3460</v>
      </c>
      <c r="B483" s="7" t="s">
        <v>3098</v>
      </c>
      <c r="C483" s="7" t="s">
        <v>2565</v>
      </c>
      <c r="D483" s="7" t="s">
        <v>2611</v>
      </c>
      <c r="E483" s="7" t="n">
        <v>65</v>
      </c>
      <c r="F483" s="7" t="s">
        <v>3461</v>
      </c>
    </row>
    <row r="484" customFormat="false" ht="34.5" hidden="false" customHeight="true" outlineLevel="0" collapsed="false">
      <c r="A484" s="7" t="s">
        <v>3460</v>
      </c>
      <c r="B484" s="7" t="s">
        <v>2967</v>
      </c>
      <c r="C484" s="7" t="s">
        <v>2565</v>
      </c>
      <c r="D484" s="7" t="s">
        <v>2611</v>
      </c>
      <c r="E484" s="7" t="n">
        <v>68.6</v>
      </c>
      <c r="F484" s="7" t="s">
        <v>3462</v>
      </c>
    </row>
    <row r="485" customFormat="false" ht="34.5" hidden="false" customHeight="true" outlineLevel="0" collapsed="false">
      <c r="A485" s="7" t="s">
        <v>3460</v>
      </c>
      <c r="B485" s="7" t="s">
        <v>3098</v>
      </c>
      <c r="C485" s="7" t="s">
        <v>2565</v>
      </c>
      <c r="D485" s="7" t="s">
        <v>2611</v>
      </c>
      <c r="E485" s="7" t="n">
        <v>64.7</v>
      </c>
      <c r="F485" s="7" t="s">
        <v>3463</v>
      </c>
    </row>
    <row r="486" customFormat="false" ht="34.5" hidden="false" customHeight="true" outlineLevel="0" collapsed="false">
      <c r="A486" s="7" t="s">
        <v>3464</v>
      </c>
      <c r="B486" s="7" t="s">
        <v>2535</v>
      </c>
      <c r="C486" s="7" t="s">
        <v>2536</v>
      </c>
      <c r="D486" s="7" t="s">
        <v>2611</v>
      </c>
      <c r="E486" s="7" t="n">
        <v>54.8</v>
      </c>
      <c r="F486" s="7" t="s">
        <v>3465</v>
      </c>
    </row>
    <row r="487" customFormat="false" ht="45.75" hidden="false" customHeight="true" outlineLevel="0" collapsed="false">
      <c r="A487" s="7" t="s">
        <v>3464</v>
      </c>
      <c r="B487" s="7" t="s">
        <v>2808</v>
      </c>
      <c r="C487" s="7" t="s">
        <v>2523</v>
      </c>
      <c r="D487" s="7" t="s">
        <v>2611</v>
      </c>
      <c r="E487" s="7" t="n">
        <v>25.3</v>
      </c>
      <c r="F487" s="7" t="s">
        <v>3466</v>
      </c>
    </row>
    <row r="488" customFormat="false" ht="34.5" hidden="false" customHeight="true" outlineLevel="0" collapsed="false">
      <c r="A488" s="7" t="s">
        <v>3464</v>
      </c>
      <c r="B488" s="7" t="s">
        <v>3011</v>
      </c>
      <c r="C488" s="7" t="s">
        <v>2542</v>
      </c>
      <c r="D488" s="7" t="s">
        <v>2611</v>
      </c>
      <c r="E488" s="7" t="n">
        <v>36.6</v>
      </c>
      <c r="F488" s="7" t="s">
        <v>3467</v>
      </c>
    </row>
    <row r="489" customFormat="false" ht="34.5" hidden="false" customHeight="true" outlineLevel="0" collapsed="false">
      <c r="A489" s="7" t="s">
        <v>3464</v>
      </c>
      <c r="B489" s="7" t="s">
        <v>2560</v>
      </c>
      <c r="C489" s="7" t="s">
        <v>3468</v>
      </c>
      <c r="D489" s="7" t="s">
        <v>2611</v>
      </c>
      <c r="E489" s="7" t="n">
        <v>54.4</v>
      </c>
      <c r="F489" s="7" t="s">
        <v>3469</v>
      </c>
    </row>
    <row r="490" customFormat="false" ht="34.5" hidden="false" customHeight="true" outlineLevel="0" collapsed="false">
      <c r="A490" s="7" t="s">
        <v>3470</v>
      </c>
      <c r="B490" s="7" t="s">
        <v>2986</v>
      </c>
      <c r="C490" s="7" t="s">
        <v>2527</v>
      </c>
      <c r="D490" s="7" t="s">
        <v>2611</v>
      </c>
      <c r="E490" s="7" t="n">
        <v>61.6</v>
      </c>
      <c r="F490" s="7" t="s">
        <v>3471</v>
      </c>
    </row>
    <row r="491" customFormat="false" ht="34.5" hidden="false" customHeight="true" outlineLevel="0" collapsed="false">
      <c r="A491" s="7" t="s">
        <v>3470</v>
      </c>
      <c r="B491" s="7" t="s">
        <v>2617</v>
      </c>
      <c r="C491" s="7" t="s">
        <v>2561</v>
      </c>
      <c r="D491" s="7" t="s">
        <v>2611</v>
      </c>
      <c r="E491" s="7" t="n">
        <v>58.9</v>
      </c>
      <c r="F491" s="7" t="s">
        <v>3472</v>
      </c>
    </row>
    <row r="492" customFormat="false" ht="34.5" hidden="false" customHeight="true" outlineLevel="0" collapsed="false">
      <c r="A492" s="7" t="s">
        <v>3473</v>
      </c>
      <c r="B492" s="7" t="s">
        <v>2535</v>
      </c>
      <c r="C492" s="7" t="s">
        <v>2536</v>
      </c>
      <c r="D492" s="7" t="s">
        <v>2611</v>
      </c>
      <c r="E492" s="7" t="n">
        <v>54.8</v>
      </c>
      <c r="F492" s="7" t="s">
        <v>3474</v>
      </c>
    </row>
    <row r="493" customFormat="false" ht="34.5" hidden="false" customHeight="true" outlineLevel="0" collapsed="false">
      <c r="A493" s="7" t="s">
        <v>3475</v>
      </c>
      <c r="B493" s="7" t="s">
        <v>3204</v>
      </c>
      <c r="C493" s="7" t="s">
        <v>3090</v>
      </c>
      <c r="D493" s="7" t="s">
        <v>2611</v>
      </c>
      <c r="E493" s="7" t="n">
        <v>62</v>
      </c>
      <c r="F493" s="7" t="s">
        <v>3476</v>
      </c>
    </row>
    <row r="494" customFormat="false" ht="34.5" hidden="false" customHeight="true" outlineLevel="0" collapsed="false">
      <c r="A494" s="7" t="s">
        <v>3475</v>
      </c>
      <c r="B494" s="7" t="s">
        <v>3477</v>
      </c>
      <c r="C494" s="7" t="s">
        <v>3478</v>
      </c>
      <c r="D494" s="7" t="s">
        <v>2611</v>
      </c>
      <c r="E494" s="7" t="n">
        <v>60.3</v>
      </c>
      <c r="F494" s="7" t="s">
        <v>3479</v>
      </c>
    </row>
    <row r="495" customFormat="false" ht="34.5" hidden="false" customHeight="true" outlineLevel="0" collapsed="false">
      <c r="A495" s="7" t="s">
        <v>3475</v>
      </c>
      <c r="B495" s="7" t="s">
        <v>2621</v>
      </c>
      <c r="C495" s="7" t="s">
        <v>2622</v>
      </c>
      <c r="D495" s="7" t="s">
        <v>2611</v>
      </c>
      <c r="E495" s="7" t="n">
        <v>57.4</v>
      </c>
      <c r="F495" s="7" t="s">
        <v>3480</v>
      </c>
    </row>
    <row r="496" customFormat="false" ht="34.5" hidden="false" customHeight="true" outlineLevel="0" collapsed="false">
      <c r="A496" s="7" t="s">
        <v>3475</v>
      </c>
      <c r="B496" s="7" t="s">
        <v>3011</v>
      </c>
      <c r="C496" s="7" t="s">
        <v>2542</v>
      </c>
      <c r="D496" s="7" t="s">
        <v>2611</v>
      </c>
      <c r="E496" s="7" t="n">
        <v>36.6</v>
      </c>
      <c r="F496" s="7" t="s">
        <v>3481</v>
      </c>
    </row>
    <row r="497" customFormat="false" ht="34.5" hidden="false" customHeight="true" outlineLevel="0" collapsed="false">
      <c r="A497" s="7" t="s">
        <v>3482</v>
      </c>
      <c r="B497" s="7" t="s">
        <v>2767</v>
      </c>
      <c r="C497" s="7" t="s">
        <v>2768</v>
      </c>
      <c r="D497" s="7" t="s">
        <v>2611</v>
      </c>
      <c r="E497" s="7" t="n">
        <v>46.6</v>
      </c>
      <c r="F497" s="7" t="s">
        <v>3483</v>
      </c>
    </row>
    <row r="498" customFormat="false" ht="34.5" hidden="false" customHeight="true" outlineLevel="0" collapsed="false">
      <c r="A498" s="7" t="s">
        <v>3482</v>
      </c>
      <c r="B498" s="7" t="s">
        <v>2967</v>
      </c>
      <c r="C498" s="7" t="s">
        <v>2565</v>
      </c>
      <c r="D498" s="7" t="s">
        <v>2611</v>
      </c>
      <c r="E498" s="7" t="n">
        <v>68.6</v>
      </c>
      <c r="F498" s="7" t="s">
        <v>3484</v>
      </c>
    </row>
    <row r="499" customFormat="false" ht="34.5" hidden="false" customHeight="true" outlineLevel="0" collapsed="false">
      <c r="A499" s="7" t="s">
        <v>3485</v>
      </c>
      <c r="B499" s="7" t="s">
        <v>973</v>
      </c>
      <c r="C499" s="7" t="s">
        <v>3096</v>
      </c>
      <c r="D499" s="7" t="s">
        <v>2611</v>
      </c>
      <c r="E499" s="7" t="n">
        <v>25.2</v>
      </c>
      <c r="F499" s="7" t="s">
        <v>3486</v>
      </c>
    </row>
    <row r="500" customFormat="false" ht="34.5" hidden="false" customHeight="true" outlineLevel="0" collapsed="false">
      <c r="A500" s="7" t="s">
        <v>3485</v>
      </c>
      <c r="B500" s="7" t="s">
        <v>2986</v>
      </c>
      <c r="C500" s="7" t="s">
        <v>2527</v>
      </c>
      <c r="D500" s="7" t="s">
        <v>2611</v>
      </c>
      <c r="E500" s="7" t="n">
        <v>61.6</v>
      </c>
      <c r="F500" s="7" t="s">
        <v>3487</v>
      </c>
    </row>
    <row r="501" customFormat="false" ht="34.5" hidden="false" customHeight="true" outlineLevel="0" collapsed="false">
      <c r="A501" s="7" t="s">
        <v>3488</v>
      </c>
      <c r="B501" s="7" t="s">
        <v>2621</v>
      </c>
      <c r="C501" s="7" t="s">
        <v>2622</v>
      </c>
      <c r="D501" s="7" t="s">
        <v>2611</v>
      </c>
      <c r="E501" s="7" t="n">
        <v>57.4</v>
      </c>
      <c r="F501" s="7" t="s">
        <v>3489</v>
      </c>
    </row>
    <row r="502" customFormat="false" ht="34.5" hidden="false" customHeight="true" outlineLevel="0" collapsed="false">
      <c r="A502" s="7" t="s">
        <v>3490</v>
      </c>
      <c r="B502" s="7" t="s">
        <v>2967</v>
      </c>
      <c r="C502" s="7" t="s">
        <v>2565</v>
      </c>
      <c r="D502" s="7" t="s">
        <v>2611</v>
      </c>
      <c r="E502" s="7" t="n">
        <v>68.6</v>
      </c>
      <c r="F502" s="7" t="s">
        <v>3491</v>
      </c>
    </row>
    <row r="503" customFormat="false" ht="34.5" hidden="false" customHeight="true" outlineLevel="0" collapsed="false">
      <c r="A503" s="7" t="s">
        <v>3490</v>
      </c>
      <c r="B503" s="7" t="s">
        <v>2621</v>
      </c>
      <c r="C503" s="7" t="s">
        <v>2622</v>
      </c>
      <c r="D503" s="7" t="s">
        <v>2611</v>
      </c>
      <c r="E503" s="7" t="n">
        <v>57.4</v>
      </c>
      <c r="F503" s="7" t="s">
        <v>3492</v>
      </c>
    </row>
    <row r="504" customFormat="false" ht="45.75" hidden="false" customHeight="true" outlineLevel="0" collapsed="false">
      <c r="A504" s="7" t="s">
        <v>3493</v>
      </c>
      <c r="B504" s="7" t="s">
        <v>3477</v>
      </c>
      <c r="C504" s="7" t="s">
        <v>3478</v>
      </c>
      <c r="D504" s="7" t="s">
        <v>2611</v>
      </c>
      <c r="E504" s="7" t="n">
        <v>60.3</v>
      </c>
      <c r="F504" s="7" t="s">
        <v>3494</v>
      </c>
    </row>
    <row r="505" customFormat="false" ht="45.75" hidden="false" customHeight="true" outlineLevel="0" collapsed="false">
      <c r="A505" s="7" t="s">
        <v>3495</v>
      </c>
      <c r="B505" s="7" t="s">
        <v>2767</v>
      </c>
      <c r="C505" s="7" t="s">
        <v>2768</v>
      </c>
      <c r="D505" s="7" t="s">
        <v>2611</v>
      </c>
      <c r="E505" s="7" t="n">
        <v>46.6</v>
      </c>
      <c r="F505" s="7" t="s">
        <v>3496</v>
      </c>
    </row>
    <row r="506" customFormat="false" ht="34.5" hidden="false" customHeight="true" outlineLevel="0" collapsed="false">
      <c r="A506" s="7" t="s">
        <v>3497</v>
      </c>
      <c r="B506" s="7" t="s">
        <v>2621</v>
      </c>
      <c r="C506" s="7" t="s">
        <v>2622</v>
      </c>
      <c r="D506" s="7" t="s">
        <v>2611</v>
      </c>
      <c r="E506" s="7" t="n">
        <v>57.4</v>
      </c>
      <c r="F506" s="7" t="s">
        <v>3498</v>
      </c>
    </row>
    <row r="507" customFormat="false" ht="34.5" hidden="false" customHeight="true" outlineLevel="0" collapsed="false">
      <c r="A507" s="7" t="s">
        <v>812</v>
      </c>
      <c r="B507" s="7" t="s">
        <v>2659</v>
      </c>
      <c r="C507" s="7" t="s">
        <v>3499</v>
      </c>
      <c r="D507" s="7" t="s">
        <v>2611</v>
      </c>
      <c r="E507" s="7" t="n">
        <v>32.7</v>
      </c>
      <c r="F507" s="7" t="s">
        <v>3500</v>
      </c>
    </row>
    <row r="508" customFormat="false" ht="34.5" hidden="false" customHeight="true" outlineLevel="0" collapsed="false">
      <c r="A508" s="7" t="s">
        <v>3501</v>
      </c>
      <c r="B508" s="7" t="s">
        <v>2731</v>
      </c>
      <c r="C508" s="7" t="s">
        <v>2519</v>
      </c>
      <c r="D508" s="7" t="s">
        <v>2611</v>
      </c>
      <c r="E508" s="7" t="n">
        <v>56.4</v>
      </c>
      <c r="F508" s="7" t="s">
        <v>3502</v>
      </c>
    </row>
    <row r="509" customFormat="false" ht="45.75" hidden="false" customHeight="true" outlineLevel="0" collapsed="false">
      <c r="A509" s="7" t="s">
        <v>3503</v>
      </c>
      <c r="B509" s="7" t="s">
        <v>2767</v>
      </c>
      <c r="C509" s="7" t="s">
        <v>2768</v>
      </c>
      <c r="D509" s="7" t="s">
        <v>2611</v>
      </c>
      <c r="E509" s="7" t="n">
        <v>46.6</v>
      </c>
      <c r="F509" s="7" t="s">
        <v>3504</v>
      </c>
    </row>
    <row r="510" customFormat="false" ht="34.5" hidden="false" customHeight="true" outlineLevel="0" collapsed="false">
      <c r="A510" s="7" t="s">
        <v>3505</v>
      </c>
      <c r="B510" s="7" t="s">
        <v>973</v>
      </c>
      <c r="C510" s="7" t="s">
        <v>3096</v>
      </c>
      <c r="D510" s="7" t="s">
        <v>2611</v>
      </c>
      <c r="E510" s="7" t="n">
        <v>25.2</v>
      </c>
      <c r="F510" s="7" t="s">
        <v>3506</v>
      </c>
    </row>
    <row r="511" customFormat="false" ht="45.75" hidden="false" customHeight="true" outlineLevel="0" collapsed="false">
      <c r="A511" s="7" t="s">
        <v>3507</v>
      </c>
      <c r="B511" s="7" t="s">
        <v>2621</v>
      </c>
      <c r="C511" s="7" t="s">
        <v>2622</v>
      </c>
      <c r="D511" s="7" t="s">
        <v>2611</v>
      </c>
      <c r="E511" s="7" t="n">
        <v>57.4</v>
      </c>
      <c r="F511" s="7" t="s">
        <v>3508</v>
      </c>
    </row>
    <row r="512" customFormat="false" ht="34.5" hidden="false" customHeight="true" outlineLevel="0" collapsed="false">
      <c r="A512" s="7" t="s">
        <v>3509</v>
      </c>
      <c r="B512" s="7" t="s">
        <v>2783</v>
      </c>
      <c r="C512" s="7" t="s">
        <v>2784</v>
      </c>
      <c r="D512" s="7" t="s">
        <v>2611</v>
      </c>
      <c r="E512" s="7" t="n">
        <v>51</v>
      </c>
      <c r="F512" s="7" t="s">
        <v>3510</v>
      </c>
    </row>
    <row r="513" customFormat="false" ht="45.75" hidden="false" customHeight="true" outlineLevel="0" collapsed="false">
      <c r="A513" s="7" t="s">
        <v>3511</v>
      </c>
      <c r="B513" s="7" t="s">
        <v>2621</v>
      </c>
      <c r="C513" s="7" t="s">
        <v>2622</v>
      </c>
      <c r="D513" s="7" t="s">
        <v>2611</v>
      </c>
      <c r="E513" s="7" t="n">
        <v>57.4</v>
      </c>
      <c r="F513" s="7" t="s">
        <v>3512</v>
      </c>
    </row>
    <row r="514" customFormat="false" ht="34.5" hidden="false" customHeight="true" outlineLevel="0" collapsed="false">
      <c r="A514" s="7" t="s">
        <v>3513</v>
      </c>
      <c r="B514" s="7" t="s">
        <v>2783</v>
      </c>
      <c r="C514" s="7" t="s">
        <v>2784</v>
      </c>
      <c r="D514" s="7" t="s">
        <v>2611</v>
      </c>
      <c r="E514" s="7" t="n">
        <v>51</v>
      </c>
      <c r="F514" s="7" t="s">
        <v>3514</v>
      </c>
    </row>
    <row r="515" customFormat="false" ht="45.75" hidden="false" customHeight="true" outlineLevel="0" collapsed="false">
      <c r="A515" s="7" t="s">
        <v>3513</v>
      </c>
      <c r="B515" s="7" t="s">
        <v>2549</v>
      </c>
      <c r="C515" s="7" t="s">
        <v>2550</v>
      </c>
      <c r="D515" s="7" t="s">
        <v>2611</v>
      </c>
      <c r="E515" s="7" t="n">
        <v>44.9</v>
      </c>
      <c r="F515" s="7" t="s">
        <v>3515</v>
      </c>
    </row>
    <row r="516" customFormat="false" ht="34.5" hidden="false" customHeight="true" outlineLevel="0" collapsed="false">
      <c r="A516" s="7" t="s">
        <v>3516</v>
      </c>
      <c r="B516" s="7" t="s">
        <v>2783</v>
      </c>
      <c r="C516" s="7" t="s">
        <v>2784</v>
      </c>
      <c r="D516" s="7" t="s">
        <v>2611</v>
      </c>
      <c r="E516" s="7" t="n">
        <v>51</v>
      </c>
      <c r="F516" s="7" t="s">
        <v>3517</v>
      </c>
    </row>
    <row r="517" customFormat="false" ht="34.5" hidden="false" customHeight="true" outlineLevel="0" collapsed="false">
      <c r="A517" s="7" t="s">
        <v>3518</v>
      </c>
      <c r="B517" s="7" t="s">
        <v>2617</v>
      </c>
      <c r="C517" s="7" t="s">
        <v>2561</v>
      </c>
      <c r="D517" s="7" t="s">
        <v>2611</v>
      </c>
      <c r="E517" s="7" t="n">
        <v>58.9</v>
      </c>
      <c r="F517" s="7" t="s">
        <v>3519</v>
      </c>
    </row>
    <row r="518" customFormat="false" ht="45.75" hidden="false" customHeight="true" outlineLevel="0" collapsed="false">
      <c r="A518" s="7" t="s">
        <v>3520</v>
      </c>
      <c r="B518" s="7" t="s">
        <v>2549</v>
      </c>
      <c r="C518" s="7" t="s">
        <v>2550</v>
      </c>
      <c r="D518" s="7" t="s">
        <v>2611</v>
      </c>
      <c r="E518" s="7" t="n">
        <v>44.9</v>
      </c>
      <c r="F518" s="7" t="s">
        <v>3521</v>
      </c>
    </row>
    <row r="519" customFormat="false" ht="113.25" hidden="false" customHeight="true" outlineLevel="0" collapsed="false">
      <c r="A519" s="7" t="s">
        <v>782</v>
      </c>
      <c r="B519" s="7" t="s">
        <v>2255</v>
      </c>
      <c r="C519" s="7" t="s">
        <v>2523</v>
      </c>
      <c r="D519" s="7" t="s">
        <v>2611</v>
      </c>
      <c r="E519" s="7" t="n">
        <v>22.5</v>
      </c>
      <c r="F519" s="7" t="s">
        <v>3522</v>
      </c>
    </row>
    <row r="520" customFormat="false" ht="34.5" hidden="false" customHeight="true" outlineLevel="0" collapsed="false">
      <c r="A520" s="7" t="s">
        <v>3523</v>
      </c>
      <c r="B520" s="7" t="s">
        <v>2584</v>
      </c>
      <c r="C520" s="7" t="s">
        <v>2519</v>
      </c>
      <c r="D520" s="7" t="s">
        <v>2611</v>
      </c>
      <c r="E520" s="7" t="n">
        <v>67.4</v>
      </c>
      <c r="F520" s="7" t="s">
        <v>3524</v>
      </c>
    </row>
    <row r="521" customFormat="false" ht="34.5" hidden="false" customHeight="true" outlineLevel="0" collapsed="false">
      <c r="A521" s="7" t="s">
        <v>3525</v>
      </c>
      <c r="B521" s="7" t="s">
        <v>2557</v>
      </c>
      <c r="C521" s="7" t="s">
        <v>2550</v>
      </c>
      <c r="D521" s="7" t="s">
        <v>2611</v>
      </c>
      <c r="E521" s="7" t="n">
        <v>43.2</v>
      </c>
      <c r="F521" s="7" t="s">
        <v>3526</v>
      </c>
    </row>
    <row r="522" customFormat="false" ht="34.5" hidden="false" customHeight="true" outlineLevel="0" collapsed="false">
      <c r="A522" s="7" t="s">
        <v>3527</v>
      </c>
      <c r="B522" s="7" t="s">
        <v>2557</v>
      </c>
      <c r="C522" s="7" t="s">
        <v>2550</v>
      </c>
      <c r="D522" s="7" t="s">
        <v>2611</v>
      </c>
      <c r="E522" s="7" t="n">
        <v>43.2</v>
      </c>
      <c r="F522" s="7" t="s">
        <v>3528</v>
      </c>
    </row>
    <row r="523" customFormat="false" ht="34.5" hidden="false" customHeight="true" outlineLevel="0" collapsed="false">
      <c r="A523" s="7" t="s">
        <v>3529</v>
      </c>
      <c r="B523" s="7" t="s">
        <v>310</v>
      </c>
      <c r="C523" s="7" t="s">
        <v>2519</v>
      </c>
      <c r="D523" s="7" t="s">
        <v>2532</v>
      </c>
      <c r="E523" s="7" t="n">
        <v>17.5</v>
      </c>
      <c r="F523" s="7" t="s">
        <v>3530</v>
      </c>
    </row>
    <row r="525" customFormat="false" ht="15" hidden="false" customHeight="true" outlineLevel="0" collapsed="false">
      <c r="A525" s="8" t="s">
        <v>3531</v>
      </c>
    </row>
    <row r="526" customFormat="false" ht="15" hidden="false" customHeight="true" outlineLevel="0" collapsed="false">
      <c r="A526" s="11" t="s">
        <v>3532</v>
      </c>
    </row>
  </sheetData>
  <autoFilter ref="A1:F5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26"/>
    <col collapsed="false" customWidth="true" hidden="false" outlineLevel="0" max="4" min="4" style="1" width="40"/>
    <col collapsed="false" customWidth="true" hidden="false" outlineLevel="0" max="5" min="5" style="1" width="38"/>
    <col collapsed="false" customWidth="true" hidden="false" outlineLevel="0" max="6" min="6" style="1" width="44"/>
    <col collapsed="false" customWidth="true" hidden="false" outlineLevel="0" max="7" min="7" style="1" width="60"/>
  </cols>
  <sheetData>
    <row r="1" customFormat="false" ht="15" hidden="false" customHeight="true" outlineLevel="0" collapsed="false">
      <c r="A1" s="6" t="s">
        <v>3533</v>
      </c>
      <c r="B1" s="6" t="s">
        <v>3534</v>
      </c>
      <c r="C1" s="6" t="s">
        <v>3535</v>
      </c>
      <c r="D1" s="6" t="s">
        <v>3536</v>
      </c>
      <c r="E1" s="6" t="s">
        <v>3537</v>
      </c>
      <c r="F1" s="6" t="s">
        <v>3538</v>
      </c>
      <c r="G1" s="6" t="s">
        <v>3539</v>
      </c>
    </row>
    <row r="2" customFormat="false" ht="57" hidden="false" customHeight="true" outlineLevel="0" collapsed="false">
      <c r="A2" s="7" t="s">
        <v>3540</v>
      </c>
      <c r="B2" s="7" t="s">
        <v>3541</v>
      </c>
      <c r="C2" s="7" t="s">
        <v>3542</v>
      </c>
      <c r="D2" s="7" t="s">
        <v>3543</v>
      </c>
      <c r="E2" s="7" t="s">
        <v>3544</v>
      </c>
      <c r="F2" s="7" t="s">
        <v>3545</v>
      </c>
      <c r="G2" s="7" t="s">
        <v>3546</v>
      </c>
    </row>
    <row r="3" customFormat="false" ht="90.75" hidden="false" customHeight="true" outlineLevel="0" collapsed="false">
      <c r="A3" s="7" t="s">
        <v>3547</v>
      </c>
      <c r="B3" s="7" t="s">
        <v>3548</v>
      </c>
      <c r="C3" s="7" t="s">
        <v>3549</v>
      </c>
      <c r="D3" s="7" t="s">
        <v>3550</v>
      </c>
      <c r="E3" s="7" t="s">
        <v>3551</v>
      </c>
      <c r="F3" s="7" t="s">
        <v>3552</v>
      </c>
      <c r="G3" s="7" t="s">
        <v>3553</v>
      </c>
    </row>
    <row r="4" customFormat="false" ht="102" hidden="false" customHeight="true" outlineLevel="0" collapsed="false">
      <c r="A4" s="7" t="s">
        <v>3554</v>
      </c>
      <c r="B4" s="7" t="s">
        <v>3555</v>
      </c>
      <c r="C4" s="7" t="s">
        <v>3556</v>
      </c>
      <c r="D4" s="7" t="s">
        <v>3557</v>
      </c>
      <c r="E4" s="7" t="s">
        <v>3558</v>
      </c>
      <c r="F4" s="7" t="s">
        <v>3559</v>
      </c>
      <c r="G4" s="7" t="s">
        <v>3560</v>
      </c>
    </row>
    <row r="5" customFormat="false" ht="23.25" hidden="false" customHeight="true" outlineLevel="0" collapsed="false">
      <c r="A5" s="7" t="s">
        <v>3561</v>
      </c>
      <c r="B5" s="7" t="s">
        <v>3562</v>
      </c>
      <c r="C5" s="7" t="s">
        <v>3556</v>
      </c>
      <c r="D5" s="7" t="s">
        <v>3563</v>
      </c>
      <c r="E5" s="7" t="s">
        <v>3564</v>
      </c>
      <c r="F5" s="7" t="s">
        <v>3565</v>
      </c>
      <c r="G5" s="7" t="s">
        <v>3566</v>
      </c>
    </row>
    <row r="6" customFormat="false" ht="15" hidden="false" customHeight="true" outlineLevel="0" collapsed="false">
      <c r="A6" s="7" t="s">
        <v>3567</v>
      </c>
      <c r="B6" s="7" t="s">
        <v>3568</v>
      </c>
      <c r="C6" s="7" t="s">
        <v>3569</v>
      </c>
      <c r="D6" s="7" t="s">
        <v>3570</v>
      </c>
      <c r="E6" s="7" t="s">
        <v>3571</v>
      </c>
      <c r="F6" s="7"/>
      <c r="G6" s="7" t="s">
        <v>3572</v>
      </c>
    </row>
    <row r="7" customFormat="false" ht="23.25" hidden="false" customHeight="true" outlineLevel="0" collapsed="false">
      <c r="A7" s="7" t="s">
        <v>3573</v>
      </c>
      <c r="B7" s="7" t="s">
        <v>3574</v>
      </c>
      <c r="C7" s="7" t="s">
        <v>3556</v>
      </c>
      <c r="D7" s="7" t="s">
        <v>3575</v>
      </c>
      <c r="E7" s="7"/>
      <c r="F7" s="7" t="s">
        <v>3576</v>
      </c>
      <c r="G7" s="7" t="s">
        <v>3577</v>
      </c>
    </row>
    <row r="8" customFormat="false" ht="57" hidden="false" customHeight="true" outlineLevel="0" collapsed="false">
      <c r="A8" s="7" t="s">
        <v>3578</v>
      </c>
      <c r="B8" s="7" t="s">
        <v>730</v>
      </c>
      <c r="C8" s="7" t="s">
        <v>3579</v>
      </c>
      <c r="D8" s="7" t="s">
        <v>3580</v>
      </c>
      <c r="E8" s="7" t="s">
        <v>3581</v>
      </c>
      <c r="F8" s="7" t="s">
        <v>3582</v>
      </c>
      <c r="G8" s="7" t="s">
        <v>3583</v>
      </c>
    </row>
    <row r="9" customFormat="false" ht="23.25" hidden="false" customHeight="true" outlineLevel="0" collapsed="false">
      <c r="A9" s="7" t="s">
        <v>3584</v>
      </c>
      <c r="B9" s="7" t="s">
        <v>3585</v>
      </c>
      <c r="C9" s="7" t="s">
        <v>3569</v>
      </c>
      <c r="D9" s="7" t="s">
        <v>3586</v>
      </c>
      <c r="E9" s="7"/>
      <c r="F9" s="7" t="s">
        <v>3587</v>
      </c>
      <c r="G9" s="7" t="s">
        <v>3588</v>
      </c>
    </row>
    <row r="10" customFormat="false" ht="34.5" hidden="false" customHeight="true" outlineLevel="0" collapsed="false">
      <c r="A10" s="7" t="s">
        <v>3589</v>
      </c>
      <c r="B10" s="7" t="s">
        <v>3590</v>
      </c>
      <c r="C10" s="7" t="s">
        <v>3591</v>
      </c>
      <c r="D10" s="7" t="s">
        <v>3592</v>
      </c>
      <c r="E10" s="7" t="s">
        <v>3593</v>
      </c>
      <c r="F10" s="7" t="s">
        <v>3594</v>
      </c>
      <c r="G10" s="7" t="s">
        <v>3595</v>
      </c>
    </row>
    <row r="11" customFormat="false" ht="34.5" hidden="false" customHeight="true" outlineLevel="0" collapsed="false">
      <c r="A11" s="7" t="s">
        <v>3596</v>
      </c>
      <c r="B11" s="7" t="s">
        <v>3597</v>
      </c>
      <c r="C11" s="7" t="s">
        <v>3598</v>
      </c>
      <c r="D11" s="7" t="s">
        <v>3599</v>
      </c>
      <c r="E11" s="7" t="s">
        <v>3600</v>
      </c>
      <c r="F11" s="7" t="s">
        <v>3601</v>
      </c>
      <c r="G11" s="7" t="s">
        <v>3602</v>
      </c>
    </row>
    <row r="12" customFormat="false" ht="23.25" hidden="false" customHeight="true" outlineLevel="0" collapsed="false">
      <c r="A12" s="7" t="s">
        <v>3603</v>
      </c>
      <c r="B12" s="7" t="s">
        <v>3597</v>
      </c>
      <c r="C12" s="7" t="s">
        <v>3569</v>
      </c>
      <c r="D12" s="7" t="s">
        <v>3604</v>
      </c>
      <c r="E12" s="7" t="s">
        <v>3605</v>
      </c>
      <c r="F12" s="7"/>
      <c r="G12" s="7" t="s">
        <v>3606</v>
      </c>
    </row>
    <row r="13" customFormat="false" ht="23.25" hidden="false" customHeight="true" outlineLevel="0" collapsed="false">
      <c r="A13" s="7" t="s">
        <v>3607</v>
      </c>
      <c r="B13" s="7" t="s">
        <v>3597</v>
      </c>
      <c r="C13" s="7" t="s">
        <v>3569</v>
      </c>
      <c r="D13" s="7" t="s">
        <v>3608</v>
      </c>
      <c r="E13" s="7" t="s">
        <v>3609</v>
      </c>
      <c r="F13" s="7"/>
      <c r="G13" s="7" t="s">
        <v>3610</v>
      </c>
    </row>
    <row r="14" customFormat="false" ht="45.75" hidden="false" customHeight="true" outlineLevel="0" collapsed="false">
      <c r="A14" s="7" t="s">
        <v>3611</v>
      </c>
      <c r="B14" s="7" t="s">
        <v>3612</v>
      </c>
      <c r="C14" s="7" t="s">
        <v>3613</v>
      </c>
      <c r="D14" s="7" t="s">
        <v>3614</v>
      </c>
      <c r="E14" s="7"/>
      <c r="F14" s="7" t="s">
        <v>3615</v>
      </c>
      <c r="G14" s="7" t="s">
        <v>3616</v>
      </c>
    </row>
    <row r="15" customFormat="false" ht="45.75" hidden="false" customHeight="true" outlineLevel="0" collapsed="false">
      <c r="A15" s="7" t="s">
        <v>3617</v>
      </c>
      <c r="B15" s="7" t="s">
        <v>3541</v>
      </c>
      <c r="C15" s="7" t="s">
        <v>3579</v>
      </c>
      <c r="D15" s="7" t="s">
        <v>3618</v>
      </c>
      <c r="E15" s="7" t="s">
        <v>3619</v>
      </c>
      <c r="F15" s="7" t="s">
        <v>3620</v>
      </c>
      <c r="G15" s="7" t="s">
        <v>3621</v>
      </c>
    </row>
    <row r="16" customFormat="false" ht="34.5" hidden="false" customHeight="true" outlineLevel="0" collapsed="false">
      <c r="A16" s="7" t="s">
        <v>3622</v>
      </c>
      <c r="B16" s="7" t="s">
        <v>3541</v>
      </c>
      <c r="C16" s="7" t="s">
        <v>3579</v>
      </c>
      <c r="D16" s="7" t="s">
        <v>3623</v>
      </c>
      <c r="E16" s="7" t="s">
        <v>3624</v>
      </c>
      <c r="F16" s="7" t="s">
        <v>3625</v>
      </c>
      <c r="G16" s="7" t="s">
        <v>3626</v>
      </c>
    </row>
    <row r="17" customFormat="false" ht="57" hidden="false" customHeight="true" outlineLevel="0" collapsed="false">
      <c r="A17" s="7" t="s">
        <v>3627</v>
      </c>
      <c r="B17" s="7" t="s">
        <v>3628</v>
      </c>
      <c r="C17" s="7" t="s">
        <v>3629</v>
      </c>
      <c r="D17" s="7" t="s">
        <v>3630</v>
      </c>
      <c r="E17" s="7" t="s">
        <v>3631</v>
      </c>
      <c r="F17" s="7" t="s">
        <v>3632</v>
      </c>
      <c r="G17" s="7" t="s">
        <v>3633</v>
      </c>
    </row>
    <row r="18" customFormat="false" ht="57" hidden="false" customHeight="true" outlineLevel="0" collapsed="false">
      <c r="A18" s="7" t="s">
        <v>3634</v>
      </c>
      <c r="B18" s="7" t="s">
        <v>330</v>
      </c>
      <c r="C18" s="7" t="s">
        <v>3635</v>
      </c>
      <c r="D18" s="7" t="s">
        <v>3636</v>
      </c>
      <c r="E18" s="7" t="s">
        <v>3637</v>
      </c>
      <c r="F18" s="7" t="s">
        <v>3638</v>
      </c>
      <c r="G18" s="7" t="s">
        <v>3639</v>
      </c>
    </row>
    <row r="19" customFormat="false" ht="45.75" hidden="false" customHeight="true" outlineLevel="0" collapsed="false">
      <c r="A19" s="7" t="s">
        <v>3640</v>
      </c>
      <c r="B19" s="7" t="s">
        <v>3641</v>
      </c>
      <c r="C19" s="7" t="s">
        <v>3642</v>
      </c>
      <c r="D19" s="7" t="s">
        <v>3643</v>
      </c>
      <c r="E19" s="7" t="s">
        <v>3644</v>
      </c>
      <c r="F19" s="7" t="s">
        <v>3645</v>
      </c>
      <c r="G19" s="7" t="s">
        <v>3646</v>
      </c>
    </row>
    <row r="20" customFormat="false" ht="15" hidden="false" customHeight="true" outlineLevel="0" collapsed="false">
      <c r="A20" s="7" t="s">
        <v>3647</v>
      </c>
      <c r="B20" s="7" t="s">
        <v>3641</v>
      </c>
      <c r="C20" s="7" t="s">
        <v>3642</v>
      </c>
      <c r="D20" s="7" t="s">
        <v>3648</v>
      </c>
      <c r="E20" s="7" t="s">
        <v>3644</v>
      </c>
      <c r="F20" s="7" t="s">
        <v>3649</v>
      </c>
      <c r="G20" s="7" t="s">
        <v>3650</v>
      </c>
    </row>
    <row r="21" customFormat="false" ht="15" hidden="false" customHeight="true" outlineLevel="0" collapsed="false">
      <c r="A21" s="7" t="s">
        <v>3651</v>
      </c>
      <c r="B21" s="7" t="s">
        <v>3641</v>
      </c>
      <c r="C21" s="7" t="s">
        <v>3652</v>
      </c>
      <c r="D21" s="7" t="s">
        <v>3653</v>
      </c>
      <c r="E21" s="7" t="s">
        <v>3654</v>
      </c>
      <c r="F21" s="7" t="s">
        <v>3655</v>
      </c>
      <c r="G21" s="7" t="s">
        <v>3656</v>
      </c>
    </row>
    <row r="22" customFormat="false" ht="15" hidden="false" customHeight="true" outlineLevel="0" collapsed="false">
      <c r="A22" s="7" t="s">
        <v>3657</v>
      </c>
      <c r="B22" s="7" t="s">
        <v>3658</v>
      </c>
      <c r="C22" s="7" t="s">
        <v>3556</v>
      </c>
      <c r="D22" s="7" t="s">
        <v>3659</v>
      </c>
      <c r="E22" s="7" t="s">
        <v>3660</v>
      </c>
      <c r="F22" s="7" t="s">
        <v>3661</v>
      </c>
      <c r="G22" s="7" t="s">
        <v>3662</v>
      </c>
    </row>
    <row r="23" customFormat="false" ht="15" hidden="false" customHeight="true" outlineLevel="0" collapsed="false">
      <c r="A23" s="7" t="s">
        <v>3663</v>
      </c>
      <c r="B23" s="7" t="s">
        <v>3664</v>
      </c>
      <c r="C23" s="7" t="s">
        <v>3556</v>
      </c>
      <c r="D23" s="7" t="s">
        <v>3665</v>
      </c>
      <c r="E23" s="7" t="s">
        <v>3666</v>
      </c>
      <c r="F23" s="7" t="s">
        <v>3667</v>
      </c>
      <c r="G23" s="7" t="s">
        <v>3668</v>
      </c>
    </row>
    <row r="24" customFormat="false" ht="15" hidden="false" customHeight="true" outlineLevel="0" collapsed="false"/>
    <row r="25" customFormat="false" ht="15" hidden="false" customHeight="true" outlineLevel="0" collapsed="false">
      <c r="A25" s="8" t="s">
        <v>3669</v>
      </c>
    </row>
    <row r="26" customFormat="false" ht="15" hidden="false" customHeight="true" outlineLevel="0" collapsed="false">
      <c r="A26" s="11" t="s">
        <v>3670</v>
      </c>
    </row>
    <row r="27" customFormat="false" ht="15" hidden="false" customHeight="true" outlineLevel="0" collapsed="false">
      <c r="A27" s="8" t="s">
        <v>3671</v>
      </c>
    </row>
    <row r="28" customFormat="false" ht="15" hidden="false" customHeight="true" outlineLevel="0" collapsed="false">
      <c r="A28" s="8" t="s">
        <v>3672</v>
      </c>
    </row>
    <row r="29" customFormat="false" ht="15" hidden="false" customHeight="true" outlineLevel="0" collapsed="false">
      <c r="A29" s="8" t="s">
        <v>3673</v>
      </c>
    </row>
  </sheetData>
  <autoFilter ref="A1:G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16"/>
    <col collapsed="false" customWidth="true" hidden="false" outlineLevel="0" max="4" min="4" style="1" width="22"/>
    <col collapsed="false" customWidth="true" hidden="false" outlineLevel="0" max="5" min="5" style="1" width="20"/>
    <col collapsed="false" customWidth="true" hidden="false" outlineLevel="0" max="6" min="6" style="1" width="14"/>
    <col collapsed="false" customWidth="true" hidden="false" outlineLevel="0" max="7" min="7" style="1" width="50"/>
    <col collapsed="false" customWidth="true" hidden="false" outlineLevel="0" max="9" min="8" style="1" width="11"/>
  </cols>
  <sheetData>
    <row r="1" customFormat="false" ht="34.5" hidden="false" customHeight="true" outlineLevel="0" collapsed="false">
      <c r="A1" s="6" t="s">
        <v>3674</v>
      </c>
      <c r="B1" s="6" t="s">
        <v>2515</v>
      </c>
      <c r="C1" s="6" t="s">
        <v>2081</v>
      </c>
      <c r="D1" s="6" t="s">
        <v>3675</v>
      </c>
      <c r="E1" s="6" t="s">
        <v>3676</v>
      </c>
      <c r="F1" s="6" t="s">
        <v>3677</v>
      </c>
      <c r="G1" s="6" t="s">
        <v>3678</v>
      </c>
      <c r="H1" s="6" t="s">
        <v>3679</v>
      </c>
      <c r="I1" s="6" t="s">
        <v>3680</v>
      </c>
    </row>
    <row r="2" customFormat="false" ht="23.25" hidden="false" customHeight="true" outlineLevel="0" collapsed="false">
      <c r="A2" s="7" t="s">
        <v>3681</v>
      </c>
      <c r="B2" s="7" t="n">
        <v>8.1</v>
      </c>
      <c r="C2" s="7" t="s">
        <v>3682</v>
      </c>
      <c r="D2" s="7" t="s">
        <v>3683</v>
      </c>
      <c r="E2" s="7" t="s">
        <v>3684</v>
      </c>
      <c r="F2" s="7" t="s">
        <v>3685</v>
      </c>
      <c r="G2" s="7" t="s">
        <v>3686</v>
      </c>
      <c r="H2" s="7" t="n">
        <v>42.63428</v>
      </c>
      <c r="I2" s="7" t="n">
        <v>-74.02888</v>
      </c>
    </row>
    <row r="3" customFormat="false" ht="15" hidden="false" customHeight="true" outlineLevel="0" collapsed="false">
      <c r="A3" s="7" t="s">
        <v>3687</v>
      </c>
      <c r="B3" s="7" t="n">
        <v>10</v>
      </c>
      <c r="C3" s="7" t="s">
        <v>3682</v>
      </c>
      <c r="D3" s="7" t="s">
        <v>3683</v>
      </c>
      <c r="E3" s="7" t="s">
        <v>3684</v>
      </c>
      <c r="F3" s="7" t="s">
        <v>3685</v>
      </c>
      <c r="G3" s="7" t="s">
        <v>3688</v>
      </c>
      <c r="H3" s="7" t="n">
        <v>42.49291</v>
      </c>
      <c r="I3" s="7" t="n">
        <v>-73.85062</v>
      </c>
    </row>
    <row r="4" customFormat="false" ht="15" hidden="false" customHeight="true" outlineLevel="0" collapsed="false">
      <c r="A4" s="7" t="s">
        <v>3689</v>
      </c>
      <c r="B4" s="7" t="n">
        <v>10.4</v>
      </c>
      <c r="C4" s="7" t="s">
        <v>3682</v>
      </c>
      <c r="D4" s="7" t="s">
        <v>3690</v>
      </c>
      <c r="E4" s="7" t="s">
        <v>3691</v>
      </c>
      <c r="F4" s="7" t="s">
        <v>3692</v>
      </c>
      <c r="G4" s="7" t="s">
        <v>3688</v>
      </c>
      <c r="H4" s="7" t="n">
        <v>42.66082</v>
      </c>
      <c r="I4" s="7" t="n">
        <v>-73.98735</v>
      </c>
    </row>
    <row r="5" customFormat="false" ht="15" hidden="false" customHeight="true" outlineLevel="0" collapsed="false">
      <c r="A5" s="7" t="s">
        <v>3693</v>
      </c>
      <c r="B5" s="7" t="n">
        <v>11.5</v>
      </c>
      <c r="C5" s="7" t="s">
        <v>3682</v>
      </c>
      <c r="D5" s="7" t="s">
        <v>3690</v>
      </c>
      <c r="E5" s="7" t="s">
        <v>3691</v>
      </c>
      <c r="F5" s="7" t="s">
        <v>3692</v>
      </c>
      <c r="G5" s="7" t="s">
        <v>3694</v>
      </c>
      <c r="H5" s="7" t="n">
        <v>42.66437</v>
      </c>
      <c r="I5" s="7" t="n">
        <v>-73.94105</v>
      </c>
    </row>
    <row r="6" customFormat="false" ht="15" hidden="false" customHeight="true" outlineLevel="0" collapsed="false">
      <c r="A6" s="7" t="s">
        <v>3695</v>
      </c>
      <c r="B6" s="7" t="n">
        <v>11.6</v>
      </c>
      <c r="C6" s="7" t="s">
        <v>3682</v>
      </c>
      <c r="D6" s="7" t="s">
        <v>3683</v>
      </c>
      <c r="E6" s="7" t="s">
        <v>3684</v>
      </c>
      <c r="F6" s="7" t="s">
        <v>3685</v>
      </c>
      <c r="G6" s="7" t="s">
        <v>3696</v>
      </c>
      <c r="H6" s="7" t="n">
        <v>42.66053</v>
      </c>
      <c r="I6" s="7" t="n">
        <v>-74.16354</v>
      </c>
    </row>
    <row r="7" customFormat="false" ht="15" hidden="false" customHeight="true" outlineLevel="0" collapsed="false">
      <c r="A7" s="7" t="s">
        <v>3697</v>
      </c>
      <c r="B7" s="7" t="n">
        <v>12.3</v>
      </c>
      <c r="C7" s="7" t="s">
        <v>3698</v>
      </c>
      <c r="D7" s="7" t="s">
        <v>3699</v>
      </c>
      <c r="E7" s="7" t="s">
        <v>3684</v>
      </c>
      <c r="F7" s="7" t="s">
        <v>3700</v>
      </c>
      <c r="G7" s="7" t="s">
        <v>3701</v>
      </c>
      <c r="H7" s="7" t="n">
        <v>42.44523</v>
      </c>
      <c r="I7" s="7" t="n">
        <v>-73.8241</v>
      </c>
    </row>
    <row r="8" customFormat="false" ht="23.25" hidden="false" customHeight="true" outlineLevel="0" collapsed="false">
      <c r="A8" s="7" t="s">
        <v>3702</v>
      </c>
      <c r="B8" s="7" t="n">
        <v>14.6</v>
      </c>
      <c r="C8" s="7" t="s">
        <v>3682</v>
      </c>
      <c r="D8" s="7" t="s">
        <v>3690</v>
      </c>
      <c r="E8" s="7" t="s">
        <v>3691</v>
      </c>
      <c r="F8" s="7" t="s">
        <v>3700</v>
      </c>
      <c r="G8" s="7" t="s">
        <v>3703</v>
      </c>
      <c r="H8" s="7" t="n">
        <v>42.72409</v>
      </c>
      <c r="I8" s="7" t="n">
        <v>-73.99007</v>
      </c>
    </row>
    <row r="9" customFormat="false" ht="15" hidden="false" customHeight="true" outlineLevel="0" collapsed="false">
      <c r="A9" s="7" t="s">
        <v>3704</v>
      </c>
      <c r="B9" s="7" t="n">
        <v>14.7</v>
      </c>
      <c r="C9" s="7" t="s">
        <v>3682</v>
      </c>
      <c r="D9" s="7" t="s">
        <v>3690</v>
      </c>
      <c r="E9" s="7" t="s">
        <v>3691</v>
      </c>
      <c r="F9" s="7" t="s">
        <v>3700</v>
      </c>
      <c r="G9" s="7" t="s">
        <v>3705</v>
      </c>
      <c r="H9" s="7" t="n">
        <v>42.7246</v>
      </c>
      <c r="I9" s="7" t="n">
        <v>-73.986</v>
      </c>
    </row>
    <row r="10" customFormat="false" ht="15" hidden="false" customHeight="true" outlineLevel="0" collapsed="false">
      <c r="A10" s="7" t="s">
        <v>3706</v>
      </c>
      <c r="B10" s="7" t="n">
        <v>15</v>
      </c>
      <c r="C10" s="7" t="s">
        <v>3682</v>
      </c>
      <c r="D10" s="7" t="s">
        <v>3690</v>
      </c>
      <c r="E10" s="7" t="s">
        <v>3691</v>
      </c>
      <c r="F10" s="7" t="s">
        <v>3692</v>
      </c>
      <c r="G10" s="7" t="s">
        <v>3707</v>
      </c>
      <c r="H10" s="7" t="n">
        <v>42.7143</v>
      </c>
      <c r="I10" s="7" t="n">
        <v>-73.9216</v>
      </c>
    </row>
    <row r="11" customFormat="false" ht="15" hidden="false" customHeight="true" outlineLevel="0" collapsed="false">
      <c r="A11" s="7" t="s">
        <v>3708</v>
      </c>
      <c r="B11" s="7" t="n">
        <v>15.4</v>
      </c>
      <c r="C11" s="7" t="s">
        <v>3682</v>
      </c>
      <c r="D11" s="7" t="s">
        <v>3690</v>
      </c>
      <c r="E11" s="7" t="s">
        <v>3691</v>
      </c>
      <c r="F11" s="7" t="s">
        <v>3692</v>
      </c>
      <c r="G11" s="7" t="s">
        <v>3688</v>
      </c>
      <c r="H11" s="7" t="n">
        <v>42.70977</v>
      </c>
      <c r="I11" s="7" t="n">
        <v>-73.89335</v>
      </c>
    </row>
    <row r="12" customFormat="false" ht="15" hidden="false" customHeight="true" outlineLevel="0" collapsed="false">
      <c r="A12" s="7" t="s">
        <v>3709</v>
      </c>
      <c r="B12" s="7" t="n">
        <v>16.1</v>
      </c>
      <c r="C12" s="7" t="s">
        <v>3682</v>
      </c>
      <c r="D12" s="7" t="s">
        <v>3690</v>
      </c>
      <c r="E12" s="7" t="s">
        <v>3691</v>
      </c>
      <c r="F12" s="7" t="s">
        <v>3692</v>
      </c>
      <c r="G12" s="7" t="s">
        <v>3710</v>
      </c>
      <c r="H12" s="7" t="n">
        <v>42.71792</v>
      </c>
      <c r="I12" s="7" t="n">
        <v>-73.88443</v>
      </c>
    </row>
    <row r="13" customFormat="false" ht="15" hidden="false" customHeight="true" outlineLevel="0" collapsed="false">
      <c r="A13" s="7" t="s">
        <v>3711</v>
      </c>
      <c r="B13" s="7" t="n">
        <v>16.2</v>
      </c>
      <c r="C13" s="7" t="s">
        <v>3682</v>
      </c>
      <c r="D13" s="7" t="s">
        <v>3690</v>
      </c>
      <c r="E13" s="7" t="s">
        <v>3691</v>
      </c>
      <c r="F13" s="7" t="s">
        <v>3692</v>
      </c>
      <c r="G13" s="7" t="s">
        <v>3710</v>
      </c>
      <c r="H13" s="7" t="n">
        <v>42.71784</v>
      </c>
      <c r="I13" s="7" t="n">
        <v>-73.88231</v>
      </c>
    </row>
    <row r="14" customFormat="false" ht="15" hidden="false" customHeight="true" outlineLevel="0" collapsed="false">
      <c r="A14" s="7" t="s">
        <v>3712</v>
      </c>
      <c r="B14" s="7" t="n">
        <v>16.3</v>
      </c>
      <c r="C14" s="7" t="s">
        <v>3682</v>
      </c>
      <c r="D14" s="7" t="s">
        <v>3690</v>
      </c>
      <c r="E14" s="7" t="s">
        <v>3691</v>
      </c>
      <c r="F14" s="7" t="s">
        <v>3692</v>
      </c>
      <c r="G14" s="7" t="s">
        <v>3688</v>
      </c>
      <c r="H14" s="7" t="n">
        <v>42.72629</v>
      </c>
      <c r="I14" s="7" t="n">
        <v>-73.89886</v>
      </c>
    </row>
    <row r="15" customFormat="false" ht="15" hidden="false" customHeight="true" outlineLevel="0" collapsed="false">
      <c r="A15" s="7" t="s">
        <v>3713</v>
      </c>
      <c r="B15" s="7" t="n">
        <v>16.3</v>
      </c>
      <c r="C15" s="7" t="s">
        <v>3682</v>
      </c>
      <c r="D15" s="7" t="s">
        <v>3690</v>
      </c>
      <c r="E15" s="7" t="s">
        <v>3691</v>
      </c>
      <c r="F15" s="7" t="s">
        <v>3692</v>
      </c>
      <c r="G15" s="7" t="s">
        <v>3710</v>
      </c>
      <c r="H15" s="7" t="n">
        <v>42.71917</v>
      </c>
      <c r="I15" s="7" t="n">
        <v>-73.88086</v>
      </c>
    </row>
    <row r="16" customFormat="false" ht="15" hidden="false" customHeight="true" outlineLevel="0" collapsed="false">
      <c r="A16" s="7" t="s">
        <v>3714</v>
      </c>
      <c r="B16" s="7" t="n">
        <v>16.3</v>
      </c>
      <c r="C16" s="7" t="s">
        <v>3698</v>
      </c>
      <c r="D16" s="7" t="s">
        <v>3690</v>
      </c>
      <c r="E16" s="7" t="s">
        <v>3691</v>
      </c>
      <c r="F16" s="7" t="s">
        <v>3700</v>
      </c>
      <c r="G16" s="7" t="s">
        <v>3701</v>
      </c>
      <c r="H16" s="7" t="n">
        <v>42.2908</v>
      </c>
      <c r="I16" s="7" t="n">
        <v>-73.95274</v>
      </c>
    </row>
    <row r="17" customFormat="false" ht="15" hidden="false" customHeight="true" outlineLevel="0" collapsed="false">
      <c r="A17" s="7" t="s">
        <v>3715</v>
      </c>
      <c r="B17" s="7" t="n">
        <v>16.4</v>
      </c>
      <c r="C17" s="7" t="s">
        <v>3698</v>
      </c>
      <c r="D17" s="7" t="s">
        <v>3690</v>
      </c>
      <c r="E17" s="7" t="s">
        <v>3691</v>
      </c>
      <c r="F17" s="7" t="s">
        <v>3700</v>
      </c>
      <c r="G17" s="7" t="s">
        <v>3716</v>
      </c>
      <c r="H17" s="7" t="n">
        <v>42.28986</v>
      </c>
      <c r="I17" s="7" t="n">
        <v>-73.95493</v>
      </c>
    </row>
    <row r="18" customFormat="false" ht="23.25" hidden="false" customHeight="true" outlineLevel="0" collapsed="false">
      <c r="A18" s="7" t="s">
        <v>3717</v>
      </c>
      <c r="B18" s="7" t="n">
        <v>16.5</v>
      </c>
      <c r="C18" s="7" t="s">
        <v>3682</v>
      </c>
      <c r="D18" s="7" t="s">
        <v>3690</v>
      </c>
      <c r="E18" s="7" t="s">
        <v>3691</v>
      </c>
      <c r="F18" s="7" t="s">
        <v>3692</v>
      </c>
      <c r="G18" s="7" t="s">
        <v>3718</v>
      </c>
      <c r="H18" s="7" t="n">
        <v>42.7319</v>
      </c>
      <c r="I18" s="7" t="n">
        <v>-73.90284</v>
      </c>
    </row>
    <row r="19" customFormat="false" ht="15" hidden="false" customHeight="true" outlineLevel="0" collapsed="false">
      <c r="A19" s="7" t="s">
        <v>3719</v>
      </c>
      <c r="B19" s="7" t="n">
        <v>16.8</v>
      </c>
      <c r="C19" s="7" t="s">
        <v>3682</v>
      </c>
      <c r="D19" s="7" t="s">
        <v>3690</v>
      </c>
      <c r="E19" s="7" t="s">
        <v>3691</v>
      </c>
      <c r="F19" s="7" t="s">
        <v>3692</v>
      </c>
      <c r="G19" s="7" t="s">
        <v>3720</v>
      </c>
      <c r="H19" s="7" t="n">
        <v>42.72699</v>
      </c>
      <c r="I19" s="7" t="n">
        <v>-73.87879</v>
      </c>
    </row>
    <row r="20" customFormat="false" ht="15" hidden="false" customHeight="true" outlineLevel="0" collapsed="false">
      <c r="A20" s="7" t="s">
        <v>3721</v>
      </c>
      <c r="B20" s="7" t="n">
        <v>17</v>
      </c>
      <c r="C20" s="7" t="s">
        <v>3682</v>
      </c>
      <c r="D20" s="7" t="s">
        <v>3690</v>
      </c>
      <c r="E20" s="7" t="s">
        <v>3691</v>
      </c>
      <c r="F20" s="7" t="s">
        <v>3700</v>
      </c>
      <c r="G20" s="7" t="s">
        <v>3722</v>
      </c>
      <c r="H20" s="7" t="n">
        <v>42.73475</v>
      </c>
      <c r="I20" s="7" t="n">
        <v>-73.8876</v>
      </c>
    </row>
    <row r="21" customFormat="false" ht="15" hidden="false" customHeight="true" outlineLevel="0" collapsed="false">
      <c r="A21" s="7" t="s">
        <v>3723</v>
      </c>
      <c r="B21" s="7" t="n">
        <v>17</v>
      </c>
      <c r="C21" s="7" t="s">
        <v>3682</v>
      </c>
      <c r="D21" s="7" t="s">
        <v>3690</v>
      </c>
      <c r="E21" s="7" t="s">
        <v>3691</v>
      </c>
      <c r="F21" s="7" t="s">
        <v>3692</v>
      </c>
      <c r="G21" s="7" t="s">
        <v>3720</v>
      </c>
      <c r="H21" s="7" t="n">
        <v>42.73009</v>
      </c>
      <c r="I21" s="7" t="n">
        <v>-73.8778</v>
      </c>
    </row>
    <row r="22" customFormat="false" ht="15" hidden="false" customHeight="true" outlineLevel="0" collapsed="false">
      <c r="A22" s="7" t="s">
        <v>3724</v>
      </c>
      <c r="B22" s="7" t="n">
        <v>18.5</v>
      </c>
      <c r="C22" s="7" t="s">
        <v>3698</v>
      </c>
      <c r="D22" s="7" t="s">
        <v>3690</v>
      </c>
      <c r="E22" s="7" t="s">
        <v>3691</v>
      </c>
      <c r="F22" s="7" t="s">
        <v>3692</v>
      </c>
      <c r="G22" s="7" t="s">
        <v>3688</v>
      </c>
      <c r="H22" s="7" t="n">
        <v>42.25498</v>
      </c>
      <c r="I22" s="7" t="n">
        <v>-73.9659</v>
      </c>
    </row>
    <row r="23" customFormat="false" ht="15" hidden="false" customHeight="true" outlineLevel="0" collapsed="false">
      <c r="A23" s="7" t="s">
        <v>3725</v>
      </c>
      <c r="B23" s="7" t="n">
        <v>20.8</v>
      </c>
      <c r="C23" s="7" t="s">
        <v>3726</v>
      </c>
      <c r="D23" s="7" t="s">
        <v>3690</v>
      </c>
      <c r="E23" s="7" t="s">
        <v>3691</v>
      </c>
      <c r="F23" s="7" t="s">
        <v>3700</v>
      </c>
      <c r="G23" s="7" t="s">
        <v>3727</v>
      </c>
      <c r="H23" s="7" t="n">
        <v>42.35485</v>
      </c>
      <c r="I23" s="7" t="n">
        <v>-73.70184</v>
      </c>
    </row>
    <row r="24" customFormat="false" ht="15" hidden="false" customHeight="true" outlineLevel="0" collapsed="false">
      <c r="A24" s="7" t="s">
        <v>3728</v>
      </c>
      <c r="B24" s="7" t="n">
        <v>22.2</v>
      </c>
      <c r="C24" s="7" t="s">
        <v>3726</v>
      </c>
      <c r="D24" s="7" t="s">
        <v>3690</v>
      </c>
      <c r="E24" s="7" t="s">
        <v>3691</v>
      </c>
      <c r="F24" s="7" t="s">
        <v>3700</v>
      </c>
      <c r="G24" s="7" t="s">
        <v>3729</v>
      </c>
      <c r="H24" s="7" t="n">
        <v>42.27935</v>
      </c>
      <c r="I24" s="7" t="n">
        <v>-73.75349</v>
      </c>
    </row>
    <row r="25" customFormat="false" ht="23.25" hidden="false" customHeight="true" outlineLevel="0" collapsed="false">
      <c r="A25" s="7" t="s">
        <v>3730</v>
      </c>
      <c r="B25" s="7" t="n">
        <v>23.2</v>
      </c>
      <c r="C25" s="7" t="s">
        <v>3726</v>
      </c>
      <c r="D25" s="7" t="s">
        <v>3690</v>
      </c>
      <c r="E25" s="7" t="s">
        <v>3691</v>
      </c>
      <c r="F25" s="7" t="s">
        <v>3692</v>
      </c>
      <c r="G25" s="7" t="s">
        <v>3731</v>
      </c>
      <c r="H25" s="7" t="n">
        <v>42.31337</v>
      </c>
      <c r="I25" s="7" t="n">
        <v>-73.68359</v>
      </c>
    </row>
    <row r="26" customFormat="false" ht="15" hidden="false" customHeight="true" outlineLevel="0" collapsed="false">
      <c r="A26" s="7" t="s">
        <v>3732</v>
      </c>
      <c r="B26" s="7" t="n">
        <v>23.3</v>
      </c>
      <c r="C26" s="7" t="s">
        <v>3698</v>
      </c>
      <c r="D26" s="7" t="s">
        <v>3690</v>
      </c>
      <c r="E26" s="7" t="s">
        <v>3691</v>
      </c>
      <c r="F26" s="7" t="s">
        <v>3700</v>
      </c>
      <c r="G26" s="7" t="s">
        <v>3733</v>
      </c>
      <c r="H26" s="7" t="n">
        <v>42.19496</v>
      </c>
      <c r="I26" s="7" t="n">
        <v>-73.90871</v>
      </c>
    </row>
    <row r="27" customFormat="false" ht="15" hidden="false" customHeight="true" outlineLevel="0" collapsed="false">
      <c r="A27" s="7" t="s">
        <v>3734</v>
      </c>
      <c r="B27" s="7" t="n">
        <v>23.4</v>
      </c>
      <c r="C27" s="7" t="s">
        <v>3698</v>
      </c>
      <c r="D27" s="7" t="s">
        <v>3690</v>
      </c>
      <c r="E27" s="7" t="s">
        <v>3691</v>
      </c>
      <c r="F27" s="7" t="s">
        <v>3700</v>
      </c>
      <c r="G27" s="7" t="s">
        <v>3733</v>
      </c>
      <c r="H27" s="7" t="n">
        <v>42.19355</v>
      </c>
      <c r="I27" s="7" t="n">
        <v>-73.90634</v>
      </c>
    </row>
    <row r="28" customFormat="false" ht="15" hidden="false" customHeight="true" outlineLevel="0" collapsed="false">
      <c r="A28" s="7" t="s">
        <v>3735</v>
      </c>
      <c r="B28" s="7" t="n">
        <v>23.6</v>
      </c>
      <c r="C28" s="7" t="s">
        <v>3698</v>
      </c>
      <c r="D28" s="7" t="s">
        <v>3690</v>
      </c>
      <c r="E28" s="7" t="s">
        <v>3691</v>
      </c>
      <c r="F28" s="7" t="s">
        <v>3700</v>
      </c>
      <c r="G28" s="7" t="s">
        <v>3733</v>
      </c>
      <c r="H28" s="7" t="n">
        <v>42.19</v>
      </c>
      <c r="I28" s="7" t="n">
        <v>-73.91</v>
      </c>
    </row>
    <row r="29" customFormat="false" ht="15" hidden="false" customHeight="true" outlineLevel="0" collapsed="false">
      <c r="A29" s="7" t="s">
        <v>3736</v>
      </c>
      <c r="B29" s="7" t="n">
        <v>23.7</v>
      </c>
      <c r="C29" s="7" t="s">
        <v>3726</v>
      </c>
      <c r="D29" s="7" t="s">
        <v>3690</v>
      </c>
      <c r="E29" s="7" t="s">
        <v>3691</v>
      </c>
      <c r="F29" s="7" t="s">
        <v>3700</v>
      </c>
      <c r="G29" s="7" t="s">
        <v>3737</v>
      </c>
      <c r="H29" s="7" t="n">
        <v>42.22974</v>
      </c>
      <c r="I29" s="7" t="n">
        <v>-73.79115</v>
      </c>
    </row>
    <row r="30" customFormat="false" ht="15" hidden="false" customHeight="true" outlineLevel="0" collapsed="false">
      <c r="A30" s="7" t="s">
        <v>3738</v>
      </c>
      <c r="B30" s="7" t="n">
        <v>23.9</v>
      </c>
      <c r="C30" s="7" t="s">
        <v>3726</v>
      </c>
      <c r="D30" s="7" t="s">
        <v>3699</v>
      </c>
      <c r="E30" s="7" t="s">
        <v>3684</v>
      </c>
      <c r="F30" s="7" t="s">
        <v>3700</v>
      </c>
      <c r="G30" s="7" t="s">
        <v>3701</v>
      </c>
      <c r="H30" s="7" t="n">
        <v>42.23317</v>
      </c>
      <c r="I30" s="7" t="n">
        <v>-73.77867</v>
      </c>
    </row>
    <row r="31" customFormat="false" ht="23.25" hidden="false" customHeight="true" outlineLevel="0" collapsed="false">
      <c r="A31" s="7" t="s">
        <v>3739</v>
      </c>
      <c r="B31" s="7" t="n">
        <v>24.2</v>
      </c>
      <c r="C31" s="7" t="s">
        <v>1538</v>
      </c>
      <c r="D31" s="7" t="s">
        <v>3683</v>
      </c>
      <c r="E31" s="7" t="s">
        <v>3684</v>
      </c>
      <c r="F31" s="7" t="s">
        <v>3700</v>
      </c>
      <c r="G31" s="7" t="s">
        <v>3740</v>
      </c>
      <c r="H31" s="7" t="n">
        <v>42.67867</v>
      </c>
      <c r="I31" s="7" t="n">
        <v>-74.46634</v>
      </c>
    </row>
    <row r="32" customFormat="false" ht="15" hidden="false" customHeight="true" outlineLevel="0" collapsed="false">
      <c r="A32" s="7" t="s">
        <v>3741</v>
      </c>
      <c r="B32" s="7" t="n">
        <v>25</v>
      </c>
      <c r="C32" s="7" t="s">
        <v>3698</v>
      </c>
      <c r="D32" s="7" t="s">
        <v>3690</v>
      </c>
      <c r="E32" s="7" t="s">
        <v>3691</v>
      </c>
      <c r="F32" s="7" t="s">
        <v>3700</v>
      </c>
      <c r="G32" s="7" t="s">
        <v>3733</v>
      </c>
      <c r="H32" s="7" t="n">
        <v>42.16704</v>
      </c>
      <c r="I32" s="7" t="n">
        <v>-73.92124</v>
      </c>
    </row>
    <row r="33" customFormat="false" ht="23.25" hidden="false" customHeight="true" outlineLevel="0" collapsed="false">
      <c r="A33" s="7" t="s">
        <v>3742</v>
      </c>
      <c r="B33" s="7" t="n">
        <v>25.1</v>
      </c>
      <c r="C33" s="7" t="s">
        <v>981</v>
      </c>
      <c r="D33" s="7" t="s">
        <v>3690</v>
      </c>
      <c r="E33" s="7" t="s">
        <v>3691</v>
      </c>
      <c r="F33" s="7" t="s">
        <v>3692</v>
      </c>
      <c r="G33" s="7" t="s">
        <v>3743</v>
      </c>
      <c r="H33" s="7" t="n">
        <v>42.87998</v>
      </c>
      <c r="I33" s="7" t="n">
        <v>-74.05264</v>
      </c>
    </row>
    <row r="34" customFormat="false" ht="15" hidden="false" customHeight="true" outlineLevel="0" collapsed="false">
      <c r="A34" s="7" t="s">
        <v>3744</v>
      </c>
      <c r="B34" s="7" t="n">
        <v>25.9</v>
      </c>
      <c r="C34" s="7" t="s">
        <v>3726</v>
      </c>
      <c r="D34" s="7" t="s">
        <v>3690</v>
      </c>
      <c r="E34" s="7" t="s">
        <v>3691</v>
      </c>
      <c r="F34" s="7" t="s">
        <v>3700</v>
      </c>
      <c r="G34" s="7" t="s">
        <v>3745</v>
      </c>
      <c r="H34" s="7" t="n">
        <v>42.18125</v>
      </c>
      <c r="I34" s="7" t="n">
        <v>-73.81919</v>
      </c>
    </row>
    <row r="35" customFormat="false" ht="23.25" hidden="false" customHeight="true" outlineLevel="0" collapsed="false">
      <c r="A35" s="7" t="s">
        <v>3746</v>
      </c>
      <c r="B35" s="7" t="n">
        <v>26.1</v>
      </c>
      <c r="C35" s="7" t="s">
        <v>3726</v>
      </c>
      <c r="D35" s="7" t="s">
        <v>3690</v>
      </c>
      <c r="E35" s="7" t="s">
        <v>3691</v>
      </c>
      <c r="F35" s="7" t="s">
        <v>3692</v>
      </c>
      <c r="G35" s="7" t="s">
        <v>3747</v>
      </c>
      <c r="H35" s="7" t="n">
        <v>42.27336</v>
      </c>
      <c r="I35" s="7" t="n">
        <v>-73.65417</v>
      </c>
    </row>
    <row r="36" customFormat="false" ht="15" hidden="false" customHeight="true" outlineLevel="0" collapsed="false">
      <c r="A36" s="7" t="s">
        <v>3748</v>
      </c>
      <c r="B36" s="7" t="n">
        <v>26.8</v>
      </c>
      <c r="C36" s="7" t="s">
        <v>3698</v>
      </c>
      <c r="D36" s="7" t="s">
        <v>3690</v>
      </c>
      <c r="E36" s="7" t="s">
        <v>3691</v>
      </c>
      <c r="F36" s="7" t="s">
        <v>3700</v>
      </c>
      <c r="G36" s="7" t="s">
        <v>3701</v>
      </c>
      <c r="H36" s="7" t="n">
        <v>42.13942</v>
      </c>
      <c r="I36" s="7" t="n">
        <v>-73.92564</v>
      </c>
    </row>
    <row r="37" customFormat="false" ht="23.25" hidden="false" customHeight="true" outlineLevel="0" collapsed="false">
      <c r="A37" s="7" t="s">
        <v>3749</v>
      </c>
      <c r="B37" s="7" t="n">
        <v>29.2</v>
      </c>
      <c r="C37" s="7" t="s">
        <v>981</v>
      </c>
      <c r="D37" s="7" t="s">
        <v>3690</v>
      </c>
      <c r="E37" s="7" t="s">
        <v>3691</v>
      </c>
      <c r="F37" s="7" t="s">
        <v>3700</v>
      </c>
      <c r="G37" s="7" t="s">
        <v>3750</v>
      </c>
      <c r="H37" s="7" t="n">
        <v>42.93895</v>
      </c>
      <c r="I37" s="7" t="n">
        <v>-74.0506</v>
      </c>
    </row>
    <row r="38" customFormat="false" ht="15" hidden="false" customHeight="true" outlineLevel="0" collapsed="false">
      <c r="A38" s="7" t="s">
        <v>3751</v>
      </c>
      <c r="B38" s="7" t="n">
        <v>29.7</v>
      </c>
      <c r="C38" s="7" t="s">
        <v>3726</v>
      </c>
      <c r="D38" s="7" t="s">
        <v>3690</v>
      </c>
      <c r="E38" s="7" t="s">
        <v>3691</v>
      </c>
      <c r="F38" s="7" t="s">
        <v>3700</v>
      </c>
      <c r="G38" s="7" t="s">
        <v>3727</v>
      </c>
      <c r="H38" s="7" t="n">
        <v>42.13076</v>
      </c>
      <c r="I38" s="7" t="n">
        <v>-73.78804</v>
      </c>
    </row>
    <row r="39" customFormat="false" ht="23.25" hidden="false" customHeight="true" outlineLevel="0" collapsed="false">
      <c r="A39" s="7" t="s">
        <v>3752</v>
      </c>
      <c r="B39" s="7" t="n">
        <v>30</v>
      </c>
      <c r="C39" s="7" t="s">
        <v>3753</v>
      </c>
      <c r="D39" s="7" t="s">
        <v>3754</v>
      </c>
      <c r="E39" s="7" t="s">
        <v>3684</v>
      </c>
      <c r="F39" s="7" t="s">
        <v>3700</v>
      </c>
      <c r="G39" s="7" t="s">
        <v>3755</v>
      </c>
      <c r="H39" s="7" t="n">
        <v>42.94641</v>
      </c>
      <c r="I39" s="7" t="n">
        <v>-74.13708</v>
      </c>
    </row>
    <row r="40" customFormat="false" ht="15" hidden="false" customHeight="true" outlineLevel="0" collapsed="false">
      <c r="A40" s="7" t="s">
        <v>3756</v>
      </c>
      <c r="B40" s="7" t="n">
        <v>30.5</v>
      </c>
      <c r="C40" s="7" t="s">
        <v>1538</v>
      </c>
      <c r="D40" s="7" t="s">
        <v>3690</v>
      </c>
      <c r="E40" s="7" t="s">
        <v>3691</v>
      </c>
      <c r="F40" s="7" t="s">
        <v>3700</v>
      </c>
      <c r="G40" s="7" t="s">
        <v>3757</v>
      </c>
      <c r="H40" s="7" t="n">
        <v>42.63985</v>
      </c>
      <c r="I40" s="7" t="n">
        <v>-74.62068</v>
      </c>
    </row>
    <row r="41" customFormat="false" ht="23.25" hidden="false" customHeight="true" outlineLevel="0" collapsed="false">
      <c r="A41" s="7" t="s">
        <v>3758</v>
      </c>
      <c r="B41" s="7" t="n">
        <v>30.6</v>
      </c>
      <c r="C41" s="7" t="s">
        <v>3753</v>
      </c>
      <c r="D41" s="7" t="s">
        <v>3690</v>
      </c>
      <c r="E41" s="7" t="s">
        <v>3691</v>
      </c>
      <c r="F41" s="7" t="s">
        <v>3700</v>
      </c>
      <c r="G41" s="7" t="s">
        <v>3759</v>
      </c>
      <c r="H41" s="7" t="n">
        <v>42.93935</v>
      </c>
      <c r="I41" s="7" t="n">
        <v>-74.22431</v>
      </c>
    </row>
    <row r="42" customFormat="false" ht="23.25" hidden="false" customHeight="true" outlineLevel="0" collapsed="false">
      <c r="A42" s="7" t="s">
        <v>3760</v>
      </c>
      <c r="B42" s="7" t="n">
        <v>30.7</v>
      </c>
      <c r="C42" s="7" t="s">
        <v>3753</v>
      </c>
      <c r="D42" s="7" t="s">
        <v>3690</v>
      </c>
      <c r="E42" s="7" t="s">
        <v>3691</v>
      </c>
      <c r="F42" s="7" t="s">
        <v>3700</v>
      </c>
      <c r="G42" s="7" t="s">
        <v>3759</v>
      </c>
      <c r="H42" s="7" t="n">
        <v>42.93652</v>
      </c>
      <c r="I42" s="7" t="n">
        <v>-74.24587</v>
      </c>
    </row>
    <row r="43" customFormat="false" ht="23.25" hidden="false" customHeight="true" outlineLevel="0" collapsed="false">
      <c r="A43" s="7" t="s">
        <v>3761</v>
      </c>
      <c r="B43" s="7" t="n">
        <v>30.9</v>
      </c>
      <c r="C43" s="7" t="s">
        <v>3753</v>
      </c>
      <c r="D43" s="7" t="s">
        <v>3690</v>
      </c>
      <c r="E43" s="7" t="s">
        <v>3691</v>
      </c>
      <c r="F43" s="7" t="s">
        <v>3700</v>
      </c>
      <c r="G43" s="7" t="s">
        <v>3759</v>
      </c>
      <c r="H43" s="7" t="n">
        <v>42.94283</v>
      </c>
      <c r="I43" s="7" t="n">
        <v>-74.22789</v>
      </c>
    </row>
    <row r="44" customFormat="false" ht="15" hidden="false" customHeight="true" outlineLevel="0" collapsed="false">
      <c r="A44" s="7" t="s">
        <v>3762</v>
      </c>
      <c r="B44" s="7" t="n">
        <v>31.5</v>
      </c>
      <c r="C44" s="7" t="s">
        <v>3726</v>
      </c>
      <c r="D44" s="7" t="s">
        <v>3690</v>
      </c>
      <c r="E44" s="7" t="s">
        <v>3691</v>
      </c>
      <c r="F44" s="7" t="s">
        <v>3692</v>
      </c>
      <c r="G44" s="7" t="s">
        <v>3763</v>
      </c>
      <c r="H44" s="7" t="n">
        <v>42.09892</v>
      </c>
      <c r="I44" s="7" t="n">
        <v>-73.79793</v>
      </c>
    </row>
    <row r="45" customFormat="false" ht="15" hidden="false" customHeight="true" outlineLevel="0" collapsed="false">
      <c r="A45" s="7" t="s">
        <v>3764</v>
      </c>
      <c r="B45" s="7" t="n">
        <v>31.6</v>
      </c>
      <c r="C45" s="7" t="s">
        <v>3726</v>
      </c>
      <c r="D45" s="7" t="s">
        <v>3690</v>
      </c>
      <c r="E45" s="7" t="s">
        <v>3691</v>
      </c>
      <c r="F45" s="7" t="s">
        <v>3692</v>
      </c>
      <c r="G45" s="7" t="s">
        <v>3763</v>
      </c>
      <c r="H45" s="7" t="n">
        <v>42.09122</v>
      </c>
      <c r="I45" s="7" t="n">
        <v>-73.81713</v>
      </c>
    </row>
    <row r="46" customFormat="false" ht="15" hidden="false" customHeight="true" outlineLevel="0" collapsed="false">
      <c r="A46" s="7" t="s">
        <v>3765</v>
      </c>
      <c r="B46" s="7" t="n">
        <v>31.7</v>
      </c>
      <c r="C46" s="7" t="s">
        <v>2904</v>
      </c>
      <c r="D46" s="7" t="s">
        <v>3690</v>
      </c>
      <c r="E46" s="7" t="s">
        <v>3691</v>
      </c>
      <c r="F46" s="7" t="s">
        <v>3692</v>
      </c>
      <c r="G46" s="7" t="s">
        <v>3688</v>
      </c>
      <c r="H46" s="7" t="n">
        <v>42.67</v>
      </c>
      <c r="I46" s="7" t="n">
        <v>-73.45827</v>
      </c>
    </row>
    <row r="47" customFormat="false" ht="15" hidden="false" customHeight="true" outlineLevel="0" collapsed="false">
      <c r="A47" s="7" t="s">
        <v>3766</v>
      </c>
      <c r="B47" s="7" t="n">
        <v>32.8</v>
      </c>
      <c r="C47" s="7" t="s">
        <v>3767</v>
      </c>
      <c r="D47" s="7" t="s">
        <v>3699</v>
      </c>
      <c r="E47" s="7" t="s">
        <v>3684</v>
      </c>
      <c r="F47" s="7" t="s">
        <v>3700</v>
      </c>
      <c r="G47" s="7" t="s">
        <v>3768</v>
      </c>
      <c r="H47" s="7" t="n">
        <v>42.0449</v>
      </c>
      <c r="I47" s="7" t="n">
        <v>-73.97185</v>
      </c>
    </row>
    <row r="48" customFormat="false" ht="15" hidden="false" customHeight="true" outlineLevel="0" collapsed="false">
      <c r="A48" s="7" t="s">
        <v>3769</v>
      </c>
      <c r="B48" s="7" t="n">
        <v>33.4</v>
      </c>
      <c r="C48" s="7" t="s">
        <v>3726</v>
      </c>
      <c r="D48" s="7" t="s">
        <v>3770</v>
      </c>
      <c r="E48" s="7" t="s">
        <v>3684</v>
      </c>
      <c r="F48" s="7" t="s">
        <v>3685</v>
      </c>
      <c r="G48" s="7" t="s">
        <v>3688</v>
      </c>
      <c r="H48" s="7" t="n">
        <v>42.39714</v>
      </c>
      <c r="I48" s="7" t="n">
        <v>-73.41038</v>
      </c>
    </row>
    <row r="49" customFormat="false" ht="15" hidden="false" customHeight="true" outlineLevel="0" collapsed="false">
      <c r="A49" s="7" t="s">
        <v>3771</v>
      </c>
      <c r="B49" s="7" t="n">
        <v>33.8</v>
      </c>
      <c r="C49" s="7" t="s">
        <v>3726</v>
      </c>
      <c r="D49" s="7" t="s">
        <v>3770</v>
      </c>
      <c r="E49" s="7" t="s">
        <v>3684</v>
      </c>
      <c r="F49" s="7" t="s">
        <v>3700</v>
      </c>
      <c r="G49" s="7" t="s">
        <v>3727</v>
      </c>
      <c r="H49" s="7" t="n">
        <v>42.48072</v>
      </c>
      <c r="I49" s="7" t="n">
        <v>-73.38267</v>
      </c>
    </row>
    <row r="50" customFormat="false" ht="34.5" hidden="false" customHeight="true" outlineLevel="0" collapsed="false">
      <c r="A50" s="7" t="s">
        <v>3772</v>
      </c>
      <c r="B50" s="7" t="n">
        <v>33.8</v>
      </c>
      <c r="C50" s="7" t="s">
        <v>3753</v>
      </c>
      <c r="D50" s="7" t="s">
        <v>3690</v>
      </c>
      <c r="E50" s="7" t="s">
        <v>3691</v>
      </c>
      <c r="F50" s="7" t="s">
        <v>3692</v>
      </c>
      <c r="G50" s="7" t="s">
        <v>3773</v>
      </c>
      <c r="H50" s="7" t="n">
        <v>42.90739</v>
      </c>
      <c r="I50" s="7" t="n">
        <v>-74.44665</v>
      </c>
    </row>
    <row r="51" customFormat="false" ht="23.25" hidden="false" customHeight="true" outlineLevel="0" collapsed="false">
      <c r="A51" s="7" t="s">
        <v>3774</v>
      </c>
      <c r="B51" s="7" t="n">
        <v>33.9</v>
      </c>
      <c r="C51" s="7" t="s">
        <v>3753</v>
      </c>
      <c r="D51" s="7" t="s">
        <v>3690</v>
      </c>
      <c r="E51" s="7" t="s">
        <v>3691</v>
      </c>
      <c r="F51" s="7" t="s">
        <v>3700</v>
      </c>
      <c r="G51" s="7" t="s">
        <v>3701</v>
      </c>
      <c r="H51" s="7" t="n">
        <v>42.91182</v>
      </c>
      <c r="I51" s="7" t="n">
        <v>-74.44087</v>
      </c>
    </row>
    <row r="52" customFormat="false" ht="15" hidden="false" customHeight="true" outlineLevel="0" collapsed="false">
      <c r="A52" s="7" t="s">
        <v>3775</v>
      </c>
      <c r="B52" s="7" t="n">
        <v>34.5</v>
      </c>
      <c r="C52" s="7" t="s">
        <v>3726</v>
      </c>
      <c r="D52" s="7" t="s">
        <v>3690</v>
      </c>
      <c r="E52" s="7" t="s">
        <v>3691</v>
      </c>
      <c r="F52" s="7" t="s">
        <v>3692</v>
      </c>
      <c r="G52" s="7" t="s">
        <v>3776</v>
      </c>
      <c r="H52" s="7" t="n">
        <v>42.05282</v>
      </c>
      <c r="I52" s="7" t="n">
        <v>-73.79429</v>
      </c>
    </row>
    <row r="53" customFormat="false" ht="15" hidden="false" customHeight="true" outlineLevel="0" collapsed="false">
      <c r="A53" s="7" t="s">
        <v>3777</v>
      </c>
      <c r="B53" s="7" t="n">
        <v>34.6</v>
      </c>
      <c r="C53" s="7" t="s">
        <v>2904</v>
      </c>
      <c r="D53" s="7" t="s">
        <v>3690</v>
      </c>
      <c r="E53" s="7" t="s">
        <v>3691</v>
      </c>
      <c r="F53" s="7" t="s">
        <v>3692</v>
      </c>
      <c r="G53" s="7" t="s">
        <v>3778</v>
      </c>
      <c r="H53" s="7" t="n">
        <v>42.6035</v>
      </c>
      <c r="I53" s="7" t="n">
        <v>-73.37604</v>
      </c>
    </row>
    <row r="54" customFormat="false" ht="34.5" hidden="false" customHeight="true" outlineLevel="0" collapsed="false">
      <c r="A54" s="7" t="s">
        <v>3779</v>
      </c>
      <c r="B54" s="7" t="n">
        <v>36.5</v>
      </c>
      <c r="C54" s="7" t="s">
        <v>1538</v>
      </c>
      <c r="D54" s="7" t="s">
        <v>3699</v>
      </c>
      <c r="E54" s="7" t="s">
        <v>3684</v>
      </c>
      <c r="F54" s="7" t="s">
        <v>3685</v>
      </c>
      <c r="G54" s="7" t="s">
        <v>3780</v>
      </c>
      <c r="H54" s="7" t="n">
        <v>42.80917</v>
      </c>
      <c r="I54" s="7" t="n">
        <v>-74.64461</v>
      </c>
    </row>
    <row r="55" customFormat="false" ht="23.25" hidden="false" customHeight="true" outlineLevel="0" collapsed="false">
      <c r="A55" s="7" t="s">
        <v>3781</v>
      </c>
      <c r="B55" s="7" t="n">
        <v>36.6</v>
      </c>
      <c r="C55" s="7" t="s">
        <v>1668</v>
      </c>
      <c r="D55" s="7" t="s">
        <v>3690</v>
      </c>
      <c r="E55" s="7" t="s">
        <v>3691</v>
      </c>
      <c r="F55" s="7" t="s">
        <v>3700</v>
      </c>
      <c r="G55" s="7" t="s">
        <v>3782</v>
      </c>
      <c r="H55" s="7" t="n">
        <v>43.02566</v>
      </c>
      <c r="I55" s="7" t="n">
        <v>-73.84396</v>
      </c>
    </row>
    <row r="56" customFormat="false" ht="15" hidden="false" customHeight="true" outlineLevel="0" collapsed="false">
      <c r="A56" s="7" t="s">
        <v>3783</v>
      </c>
      <c r="B56" s="7" t="n">
        <v>36.8</v>
      </c>
      <c r="C56" s="7" t="s">
        <v>3784</v>
      </c>
      <c r="D56" s="7" t="s">
        <v>3690</v>
      </c>
      <c r="E56" s="7" t="s">
        <v>3691</v>
      </c>
      <c r="F56" s="7" t="s">
        <v>3692</v>
      </c>
      <c r="G56" s="7" t="s">
        <v>3785</v>
      </c>
      <c r="H56" s="7" t="n">
        <v>42.00184</v>
      </c>
      <c r="I56" s="7" t="n">
        <v>-73.86128</v>
      </c>
    </row>
    <row r="57" customFormat="false" ht="15" hidden="false" customHeight="true" outlineLevel="0" collapsed="false">
      <c r="A57" s="7" t="s">
        <v>3786</v>
      </c>
      <c r="B57" s="7" t="n">
        <v>36.9</v>
      </c>
      <c r="C57" s="7" t="s">
        <v>3784</v>
      </c>
      <c r="D57" s="7" t="s">
        <v>3690</v>
      </c>
      <c r="E57" s="7" t="s">
        <v>3691</v>
      </c>
      <c r="F57" s="7" t="s">
        <v>3692</v>
      </c>
      <c r="G57" s="7" t="s">
        <v>3787</v>
      </c>
      <c r="H57" s="7" t="n">
        <v>42.01212</v>
      </c>
      <c r="I57" s="7" t="n">
        <v>-73.80767</v>
      </c>
    </row>
    <row r="58" customFormat="false" ht="15" hidden="false" customHeight="true" outlineLevel="0" collapsed="false">
      <c r="A58" s="7" t="s">
        <v>3788</v>
      </c>
      <c r="B58" s="7" t="n">
        <v>36.9</v>
      </c>
      <c r="C58" s="7" t="s">
        <v>3767</v>
      </c>
      <c r="D58" s="7" t="s">
        <v>3699</v>
      </c>
      <c r="E58" s="7" t="s">
        <v>3684</v>
      </c>
      <c r="F58" s="7" t="s">
        <v>3685</v>
      </c>
      <c r="G58" s="7" t="s">
        <v>3789</v>
      </c>
      <c r="H58" s="7" t="n">
        <v>41.98535</v>
      </c>
      <c r="I58" s="7" t="n">
        <v>-73.9735</v>
      </c>
    </row>
    <row r="59" customFormat="false" ht="15" hidden="false" customHeight="true" outlineLevel="0" collapsed="false">
      <c r="A59" s="7" t="s">
        <v>3790</v>
      </c>
      <c r="B59" s="7" t="n">
        <v>37.1</v>
      </c>
      <c r="C59" s="7" t="s">
        <v>3784</v>
      </c>
      <c r="D59" s="7" t="s">
        <v>3690</v>
      </c>
      <c r="E59" s="7" t="s">
        <v>3691</v>
      </c>
      <c r="F59" s="7" t="s">
        <v>3692</v>
      </c>
      <c r="G59" s="7" t="s">
        <v>3791</v>
      </c>
      <c r="H59" s="7" t="n">
        <v>42.00974</v>
      </c>
      <c r="I59" s="7" t="n">
        <v>-73.80831</v>
      </c>
    </row>
    <row r="60" customFormat="false" ht="15" hidden="false" customHeight="true" outlineLevel="0" collapsed="false">
      <c r="A60" s="7" t="s">
        <v>3792</v>
      </c>
      <c r="B60" s="7" t="n">
        <v>37.2</v>
      </c>
      <c r="C60" s="7" t="s">
        <v>3767</v>
      </c>
      <c r="D60" s="7" t="s">
        <v>3690</v>
      </c>
      <c r="E60" s="7" t="s">
        <v>3691</v>
      </c>
      <c r="F60" s="7" t="s">
        <v>3700</v>
      </c>
      <c r="G60" s="7" t="s">
        <v>3793</v>
      </c>
      <c r="H60" s="7" t="n">
        <v>41.97953</v>
      </c>
      <c r="I60" s="7" t="n">
        <v>-74.09015</v>
      </c>
    </row>
    <row r="61" customFormat="false" ht="23.25" hidden="false" customHeight="true" outlineLevel="0" collapsed="false">
      <c r="A61" s="7" t="s">
        <v>3794</v>
      </c>
      <c r="B61" s="7" t="n">
        <v>37.6</v>
      </c>
      <c r="C61" s="7" t="s">
        <v>3784</v>
      </c>
      <c r="D61" s="7" t="s">
        <v>3690</v>
      </c>
      <c r="E61" s="7" t="s">
        <v>3691</v>
      </c>
      <c r="F61" s="7" t="s">
        <v>3692</v>
      </c>
      <c r="G61" s="7" t="s">
        <v>3795</v>
      </c>
      <c r="H61" s="7" t="n">
        <v>42.00065</v>
      </c>
      <c r="I61" s="7" t="n">
        <v>-73.81028</v>
      </c>
    </row>
    <row r="62" customFormat="false" ht="15" hidden="false" customHeight="true" outlineLevel="0" collapsed="false">
      <c r="A62" s="7" t="s">
        <v>3796</v>
      </c>
      <c r="B62" s="7" t="n">
        <v>37.8</v>
      </c>
      <c r="C62" s="7" t="s">
        <v>1668</v>
      </c>
      <c r="D62" s="7" t="s">
        <v>3690</v>
      </c>
      <c r="E62" s="7" t="s">
        <v>3691</v>
      </c>
      <c r="F62" s="7" t="s">
        <v>3692</v>
      </c>
      <c r="G62" s="7" t="s">
        <v>3688</v>
      </c>
      <c r="H62" s="7" t="n">
        <v>43.04356</v>
      </c>
      <c r="I62" s="7" t="n">
        <v>-73.84141</v>
      </c>
    </row>
    <row r="63" customFormat="false" ht="15" hidden="false" customHeight="true" outlineLevel="0" collapsed="false">
      <c r="A63" s="7" t="s">
        <v>3797</v>
      </c>
      <c r="B63" s="7" t="n">
        <v>38</v>
      </c>
      <c r="C63" s="7" t="s">
        <v>3767</v>
      </c>
      <c r="D63" s="7" t="s">
        <v>3699</v>
      </c>
      <c r="E63" s="7" t="s">
        <v>3684</v>
      </c>
      <c r="F63" s="7" t="s">
        <v>3685</v>
      </c>
      <c r="G63" s="7" t="s">
        <v>3789</v>
      </c>
      <c r="H63" s="7" t="n">
        <v>41.96933</v>
      </c>
      <c r="I63" s="7" t="n">
        <v>-73.97719</v>
      </c>
    </row>
    <row r="64" customFormat="false" ht="15" hidden="false" customHeight="true" outlineLevel="0" collapsed="false">
      <c r="A64" s="7" t="s">
        <v>3798</v>
      </c>
      <c r="B64" s="7" t="n">
        <v>38.6</v>
      </c>
      <c r="C64" s="7" t="s">
        <v>3767</v>
      </c>
      <c r="D64" s="7" t="s">
        <v>3699</v>
      </c>
      <c r="E64" s="7" t="s">
        <v>3684</v>
      </c>
      <c r="F64" s="7" t="s">
        <v>3700</v>
      </c>
      <c r="G64" s="7" t="s">
        <v>3733</v>
      </c>
      <c r="H64" s="7" t="n">
        <v>41.96015</v>
      </c>
      <c r="I64" s="7" t="n">
        <v>-73.9766</v>
      </c>
    </row>
    <row r="65" customFormat="false" ht="15" hidden="false" customHeight="true" outlineLevel="0" collapsed="false">
      <c r="A65" s="7" t="s">
        <v>3799</v>
      </c>
      <c r="B65" s="7" t="n">
        <v>38.7</v>
      </c>
      <c r="C65" s="7" t="s">
        <v>3767</v>
      </c>
      <c r="D65" s="7" t="s">
        <v>3699</v>
      </c>
      <c r="E65" s="7" t="s">
        <v>3684</v>
      </c>
      <c r="F65" s="7" t="s">
        <v>3700</v>
      </c>
      <c r="G65" s="7" t="s">
        <v>3733</v>
      </c>
      <c r="H65" s="7" t="n">
        <v>41.95923</v>
      </c>
      <c r="I65" s="7" t="n">
        <v>-73.97408</v>
      </c>
    </row>
    <row r="66" customFormat="false" ht="15" hidden="false" customHeight="true" outlineLevel="0" collapsed="false">
      <c r="A66" s="7" t="s">
        <v>3800</v>
      </c>
      <c r="B66" s="7" t="n">
        <v>38.7</v>
      </c>
      <c r="C66" s="7" t="s">
        <v>3767</v>
      </c>
      <c r="D66" s="7" t="s">
        <v>3690</v>
      </c>
      <c r="E66" s="7" t="s">
        <v>3691</v>
      </c>
      <c r="F66" s="7" t="s">
        <v>3700</v>
      </c>
      <c r="G66" s="7" t="s">
        <v>3801</v>
      </c>
      <c r="H66" s="7" t="n">
        <v>41.95802</v>
      </c>
      <c r="I66" s="7" t="n">
        <v>-74.00978</v>
      </c>
    </row>
    <row r="67" customFormat="false" ht="15" hidden="false" customHeight="true" outlineLevel="0" collapsed="false">
      <c r="A67" s="7" t="s">
        <v>3802</v>
      </c>
      <c r="B67" s="7" t="n">
        <v>39.2</v>
      </c>
      <c r="C67" s="7" t="s">
        <v>1668</v>
      </c>
      <c r="D67" s="7" t="s">
        <v>3690</v>
      </c>
      <c r="E67" s="7" t="s">
        <v>3691</v>
      </c>
      <c r="F67" s="7" t="s">
        <v>3692</v>
      </c>
      <c r="G67" s="7" t="s">
        <v>3803</v>
      </c>
      <c r="H67" s="7" t="n">
        <v>43.06602</v>
      </c>
      <c r="I67" s="7" t="n">
        <v>-73.84924</v>
      </c>
    </row>
    <row r="68" customFormat="false" ht="15" hidden="false" customHeight="true" outlineLevel="0" collapsed="false">
      <c r="A68" s="7" t="s">
        <v>3804</v>
      </c>
      <c r="B68" s="7" t="n">
        <v>39.8</v>
      </c>
      <c r="C68" s="7" t="s">
        <v>3726</v>
      </c>
      <c r="D68" s="7" t="s">
        <v>3690</v>
      </c>
      <c r="E68" s="7" t="s">
        <v>3691</v>
      </c>
      <c r="F68" s="7" t="s">
        <v>3692</v>
      </c>
      <c r="G68" s="7" t="s">
        <v>3688</v>
      </c>
      <c r="H68" s="7" t="n">
        <v>42.06316</v>
      </c>
      <c r="I68" s="7" t="n">
        <v>-73.56541</v>
      </c>
    </row>
    <row r="69" customFormat="false" ht="15" hidden="false" customHeight="true" outlineLevel="0" collapsed="false">
      <c r="A69" s="7" t="s">
        <v>3805</v>
      </c>
      <c r="B69" s="7" t="n">
        <v>40</v>
      </c>
      <c r="C69" s="7" t="s">
        <v>3767</v>
      </c>
      <c r="D69" s="7" t="s">
        <v>3690</v>
      </c>
      <c r="E69" s="7" t="s">
        <v>3691</v>
      </c>
      <c r="F69" s="7" t="s">
        <v>3700</v>
      </c>
      <c r="G69" s="7" t="s">
        <v>3801</v>
      </c>
      <c r="H69" s="7" t="n">
        <v>41.94043</v>
      </c>
      <c r="I69" s="7" t="n">
        <v>-73.9714</v>
      </c>
    </row>
    <row r="70" customFormat="false" ht="15" hidden="false" customHeight="true" outlineLevel="0" collapsed="false">
      <c r="A70" s="7" t="s">
        <v>3806</v>
      </c>
      <c r="B70" s="7" t="n">
        <v>40.3</v>
      </c>
      <c r="C70" s="7" t="s">
        <v>3807</v>
      </c>
      <c r="D70" s="7" t="s">
        <v>3699</v>
      </c>
      <c r="E70" s="7" t="s">
        <v>3684</v>
      </c>
      <c r="F70" s="7" t="s">
        <v>3700</v>
      </c>
      <c r="G70" s="7" t="s">
        <v>3808</v>
      </c>
      <c r="H70" s="7" t="n">
        <v>42.82897</v>
      </c>
      <c r="I70" s="7" t="n">
        <v>-74.71584</v>
      </c>
    </row>
    <row r="71" customFormat="false" ht="15" hidden="false" customHeight="true" outlineLevel="0" collapsed="false">
      <c r="A71" s="7" t="s">
        <v>3809</v>
      </c>
      <c r="B71" s="7" t="n">
        <v>40.5</v>
      </c>
      <c r="C71" s="7" t="s">
        <v>1668</v>
      </c>
      <c r="D71" s="7" t="s">
        <v>3770</v>
      </c>
      <c r="E71" s="7" t="s">
        <v>3684</v>
      </c>
      <c r="F71" s="7" t="s">
        <v>3685</v>
      </c>
      <c r="G71" s="7" t="s">
        <v>3688</v>
      </c>
      <c r="H71" s="7" t="n">
        <v>43.10381</v>
      </c>
      <c r="I71" s="7" t="n">
        <v>-74.04173</v>
      </c>
    </row>
    <row r="72" customFormat="false" ht="23.25" hidden="false" customHeight="true" outlineLevel="0" collapsed="false">
      <c r="A72" s="7" t="s">
        <v>3810</v>
      </c>
      <c r="B72" s="7" t="n">
        <v>40.7</v>
      </c>
      <c r="C72" s="7" t="s">
        <v>3784</v>
      </c>
      <c r="D72" s="7" t="s">
        <v>3690</v>
      </c>
      <c r="E72" s="7" t="s">
        <v>3691</v>
      </c>
      <c r="F72" s="7" t="s">
        <v>3692</v>
      </c>
      <c r="G72" s="7" t="s">
        <v>3811</v>
      </c>
      <c r="H72" s="7" t="n">
        <v>41.93929</v>
      </c>
      <c r="I72" s="7" t="n">
        <v>-73.88748</v>
      </c>
    </row>
    <row r="73" customFormat="false" ht="15" hidden="false" customHeight="true" outlineLevel="0" collapsed="false">
      <c r="A73" s="7" t="s">
        <v>3812</v>
      </c>
      <c r="B73" s="7" t="n">
        <v>40.9</v>
      </c>
      <c r="C73" s="7" t="s">
        <v>3726</v>
      </c>
      <c r="D73" s="7" t="s">
        <v>3690</v>
      </c>
      <c r="E73" s="7" t="s">
        <v>3691</v>
      </c>
      <c r="F73" s="7" t="s">
        <v>3700</v>
      </c>
      <c r="G73" s="7" t="s">
        <v>3813</v>
      </c>
      <c r="H73" s="7" t="n">
        <v>42.04913</v>
      </c>
      <c r="I73" s="7" t="n">
        <v>-73.55415</v>
      </c>
    </row>
    <row r="74" customFormat="false" ht="15" hidden="false" customHeight="true" outlineLevel="0" collapsed="false">
      <c r="A74" s="7" t="s">
        <v>3814</v>
      </c>
      <c r="B74" s="7" t="n">
        <v>41.7</v>
      </c>
      <c r="C74" s="7" t="s">
        <v>3726</v>
      </c>
      <c r="D74" s="7" t="s">
        <v>3690</v>
      </c>
      <c r="E74" s="7" t="s">
        <v>3691</v>
      </c>
      <c r="F74" s="7" t="s">
        <v>3700</v>
      </c>
      <c r="G74" s="7" t="s">
        <v>3727</v>
      </c>
      <c r="H74" s="7" t="n">
        <v>42.0528</v>
      </c>
      <c r="I74" s="7" t="n">
        <v>-73.52503</v>
      </c>
    </row>
    <row r="75" customFormat="false" ht="15" hidden="false" customHeight="true" outlineLevel="0" collapsed="false">
      <c r="A75" s="7" t="s">
        <v>3815</v>
      </c>
      <c r="B75" s="7" t="n">
        <v>42.8</v>
      </c>
      <c r="C75" s="7" t="s">
        <v>3726</v>
      </c>
      <c r="D75" s="7" t="s">
        <v>3690</v>
      </c>
      <c r="E75" s="7" t="s">
        <v>3691</v>
      </c>
      <c r="F75" s="7" t="s">
        <v>3700</v>
      </c>
      <c r="G75" s="7" t="s">
        <v>3701</v>
      </c>
      <c r="H75" s="7" t="n">
        <v>42.00164</v>
      </c>
      <c r="I75" s="7" t="n">
        <v>-73.57943</v>
      </c>
    </row>
    <row r="76" customFormat="false" ht="23.25" hidden="false" customHeight="true" outlineLevel="0" collapsed="false">
      <c r="A76" s="7" t="s">
        <v>3816</v>
      </c>
      <c r="B76" s="7" t="n">
        <v>43.2</v>
      </c>
      <c r="C76" s="7" t="s">
        <v>3807</v>
      </c>
      <c r="D76" s="7" t="s">
        <v>3817</v>
      </c>
      <c r="E76" s="7" t="s">
        <v>3818</v>
      </c>
      <c r="F76" s="7" t="s">
        <v>3700</v>
      </c>
      <c r="G76" s="7" t="s">
        <v>3819</v>
      </c>
      <c r="H76" s="7" t="n">
        <v>42.8324</v>
      </c>
      <c r="I76" s="7" t="n">
        <v>-74.77818</v>
      </c>
    </row>
    <row r="77" customFormat="false" ht="15" hidden="false" customHeight="true" outlineLevel="0" collapsed="false">
      <c r="A77" s="7" t="s">
        <v>3820</v>
      </c>
      <c r="B77" s="7" t="n">
        <v>43.7</v>
      </c>
      <c r="C77" s="7" t="s">
        <v>3767</v>
      </c>
      <c r="D77" s="7" t="s">
        <v>3683</v>
      </c>
      <c r="E77" s="7" t="s">
        <v>3684</v>
      </c>
      <c r="F77" s="7" t="s">
        <v>3685</v>
      </c>
      <c r="G77" s="7" t="s">
        <v>3688</v>
      </c>
      <c r="H77" s="7" t="n">
        <v>41.88436</v>
      </c>
      <c r="I77" s="7" t="n">
        <v>-74.06591</v>
      </c>
    </row>
    <row r="78" customFormat="false" ht="15" hidden="false" customHeight="true" outlineLevel="0" collapsed="false">
      <c r="A78" s="7" t="s">
        <v>3821</v>
      </c>
      <c r="B78" s="7" t="n">
        <v>44.3</v>
      </c>
      <c r="C78" s="7" t="s">
        <v>3822</v>
      </c>
      <c r="D78" s="7" t="s">
        <v>3690</v>
      </c>
      <c r="E78" s="7" t="s">
        <v>3691</v>
      </c>
      <c r="F78" s="7" t="s">
        <v>3700</v>
      </c>
      <c r="G78" s="7" t="s">
        <v>3701</v>
      </c>
      <c r="H78" s="7" t="n">
        <v>43.03921</v>
      </c>
      <c r="I78" s="7" t="n">
        <v>-74.55156</v>
      </c>
    </row>
    <row r="79" customFormat="false" ht="23.25" hidden="false" customHeight="true" outlineLevel="0" collapsed="false">
      <c r="A79" s="7" t="s">
        <v>3823</v>
      </c>
      <c r="B79" s="7" t="n">
        <v>44.5</v>
      </c>
      <c r="C79" s="7" t="s">
        <v>3807</v>
      </c>
      <c r="D79" s="7" t="s">
        <v>3699</v>
      </c>
      <c r="E79" s="7" t="s">
        <v>3684</v>
      </c>
      <c r="F79" s="7" t="s">
        <v>3685</v>
      </c>
      <c r="G79" s="7" t="s">
        <v>3824</v>
      </c>
      <c r="H79" s="7" t="n">
        <v>42.86637</v>
      </c>
      <c r="I79" s="7" t="n">
        <v>-74.78124</v>
      </c>
    </row>
    <row r="80" customFormat="false" ht="15" hidden="false" customHeight="true" outlineLevel="0" collapsed="false">
      <c r="A80" s="7" t="s">
        <v>3825</v>
      </c>
      <c r="B80" s="7" t="n">
        <v>44.5</v>
      </c>
      <c r="C80" s="7" t="s">
        <v>3767</v>
      </c>
      <c r="D80" s="7" t="s">
        <v>3683</v>
      </c>
      <c r="E80" s="7" t="s">
        <v>3684</v>
      </c>
      <c r="F80" s="7" t="s">
        <v>3685</v>
      </c>
      <c r="G80" s="7" t="s">
        <v>3688</v>
      </c>
      <c r="H80" s="7" t="n">
        <v>41.87291</v>
      </c>
      <c r="I80" s="7" t="n">
        <v>-74.07465</v>
      </c>
    </row>
    <row r="81" customFormat="false" ht="23.25" hidden="false" customHeight="true" outlineLevel="0" collapsed="false">
      <c r="A81" s="7" t="s">
        <v>3826</v>
      </c>
      <c r="B81" s="7" t="n">
        <v>44.8</v>
      </c>
      <c r="C81" s="7" t="s">
        <v>3784</v>
      </c>
      <c r="D81" s="7" t="s">
        <v>3827</v>
      </c>
      <c r="E81" s="7" t="s">
        <v>3684</v>
      </c>
      <c r="F81" s="7" t="s">
        <v>3685</v>
      </c>
      <c r="G81" s="7" t="s">
        <v>3828</v>
      </c>
      <c r="H81" s="7" t="n">
        <v>41.89258</v>
      </c>
      <c r="I81" s="7" t="n">
        <v>-73.80626</v>
      </c>
    </row>
    <row r="82" customFormat="false" ht="15" hidden="false" customHeight="true" outlineLevel="0" collapsed="false">
      <c r="A82" s="7" t="s">
        <v>3829</v>
      </c>
      <c r="B82" s="7" t="n">
        <v>44.8</v>
      </c>
      <c r="C82" s="7" t="s">
        <v>3767</v>
      </c>
      <c r="D82" s="7" t="s">
        <v>3683</v>
      </c>
      <c r="E82" s="7" t="s">
        <v>3684</v>
      </c>
      <c r="F82" s="7" t="s">
        <v>3685</v>
      </c>
      <c r="G82" s="7" t="s">
        <v>3688</v>
      </c>
      <c r="H82" s="7" t="n">
        <v>41.86946</v>
      </c>
      <c r="I82" s="7" t="n">
        <v>-74.07638</v>
      </c>
    </row>
    <row r="83" customFormat="false" ht="15" hidden="false" customHeight="true" outlineLevel="0" collapsed="false">
      <c r="A83" s="7" t="s">
        <v>3830</v>
      </c>
      <c r="B83" s="7" t="n">
        <v>45</v>
      </c>
      <c r="C83" s="7" t="s">
        <v>3822</v>
      </c>
      <c r="D83" s="7" t="s">
        <v>3690</v>
      </c>
      <c r="E83" s="7" t="s">
        <v>3691</v>
      </c>
      <c r="F83" s="7" t="s">
        <v>3692</v>
      </c>
      <c r="G83" s="7" t="s">
        <v>3831</v>
      </c>
      <c r="H83" s="7" t="n">
        <v>43.03976</v>
      </c>
      <c r="I83" s="7" t="n">
        <v>-74.57273</v>
      </c>
    </row>
    <row r="84" customFormat="false" ht="15" hidden="false" customHeight="true" outlineLevel="0" collapsed="false">
      <c r="A84" s="7" t="s">
        <v>3832</v>
      </c>
      <c r="B84" s="7" t="n">
        <v>45.3</v>
      </c>
      <c r="C84" s="7" t="s">
        <v>3822</v>
      </c>
      <c r="D84" s="7" t="s">
        <v>3690</v>
      </c>
      <c r="E84" s="7" t="s">
        <v>3691</v>
      </c>
      <c r="F84" s="7" t="s">
        <v>3692</v>
      </c>
      <c r="G84" s="7" t="s">
        <v>3831</v>
      </c>
      <c r="H84" s="7" t="n">
        <v>43.04731</v>
      </c>
      <c r="I84" s="7" t="n">
        <v>-74.56856</v>
      </c>
    </row>
    <row r="85" customFormat="false" ht="15" hidden="false" customHeight="true" outlineLevel="0" collapsed="false">
      <c r="A85" s="7" t="s">
        <v>3833</v>
      </c>
      <c r="B85" s="7" t="n">
        <v>45.5</v>
      </c>
      <c r="C85" s="7" t="s">
        <v>1668</v>
      </c>
      <c r="D85" s="7" t="s">
        <v>3690</v>
      </c>
      <c r="E85" s="7" t="s">
        <v>3691</v>
      </c>
      <c r="F85" s="7" t="s">
        <v>3692</v>
      </c>
      <c r="G85" s="7" t="s">
        <v>3834</v>
      </c>
      <c r="H85" s="7" t="n">
        <v>43.13638</v>
      </c>
      <c r="I85" s="7" t="n">
        <v>-73.74178</v>
      </c>
    </row>
    <row r="86" customFormat="false" ht="15" hidden="false" customHeight="true" outlineLevel="0" collapsed="false">
      <c r="A86" s="7" t="s">
        <v>3835</v>
      </c>
      <c r="B86" s="7" t="n">
        <v>45.5</v>
      </c>
      <c r="C86" s="7" t="s">
        <v>1668</v>
      </c>
      <c r="D86" s="7" t="s">
        <v>3690</v>
      </c>
      <c r="E86" s="7" t="s">
        <v>3691</v>
      </c>
      <c r="F86" s="7" t="s">
        <v>3692</v>
      </c>
      <c r="G86" s="7" t="s">
        <v>3836</v>
      </c>
      <c r="H86" s="7" t="n">
        <v>43.13424</v>
      </c>
      <c r="I86" s="7" t="n">
        <v>-73.7307</v>
      </c>
    </row>
    <row r="87" customFormat="false" ht="23.25" hidden="false" customHeight="true" outlineLevel="0" collapsed="false">
      <c r="A87" s="7" t="s">
        <v>3837</v>
      </c>
      <c r="B87" s="7" t="n">
        <v>45.6</v>
      </c>
      <c r="C87" s="7" t="s">
        <v>3838</v>
      </c>
      <c r="D87" s="7" t="s">
        <v>3699</v>
      </c>
      <c r="E87" s="7" t="s">
        <v>3684</v>
      </c>
      <c r="F87" s="7" t="s">
        <v>3685</v>
      </c>
      <c r="G87" s="7" t="s">
        <v>3839</v>
      </c>
      <c r="H87" s="7" t="n">
        <v>42.88648</v>
      </c>
      <c r="I87" s="7" t="n">
        <v>-74.78888</v>
      </c>
    </row>
    <row r="88" customFormat="false" ht="15" hidden="false" customHeight="true" outlineLevel="0" collapsed="false">
      <c r="A88" s="7" t="s">
        <v>3840</v>
      </c>
      <c r="B88" s="7" t="n">
        <v>45.6</v>
      </c>
      <c r="C88" s="7" t="s">
        <v>1668</v>
      </c>
      <c r="D88" s="7" t="s">
        <v>3690</v>
      </c>
      <c r="E88" s="7" t="s">
        <v>3691</v>
      </c>
      <c r="F88" s="7" t="s">
        <v>3692</v>
      </c>
      <c r="G88" s="7" t="s">
        <v>3834</v>
      </c>
      <c r="H88" s="7" t="n">
        <v>43.13716</v>
      </c>
      <c r="I88" s="7" t="n">
        <v>-73.73911</v>
      </c>
    </row>
    <row r="89" customFormat="false" ht="23.25" hidden="false" customHeight="true" outlineLevel="0" collapsed="false">
      <c r="A89" s="7" t="s">
        <v>3841</v>
      </c>
      <c r="B89" s="7" t="n">
        <v>45.8</v>
      </c>
      <c r="C89" s="7" t="s">
        <v>3807</v>
      </c>
      <c r="D89" s="7" t="s">
        <v>3683</v>
      </c>
      <c r="E89" s="7" t="s">
        <v>3684</v>
      </c>
      <c r="F89" s="7" t="s">
        <v>3685</v>
      </c>
      <c r="G89" s="7" t="s">
        <v>3842</v>
      </c>
      <c r="H89" s="7" t="n">
        <v>42.8702</v>
      </c>
      <c r="I89" s="7" t="n">
        <v>-74.80894</v>
      </c>
    </row>
    <row r="90" customFormat="false" ht="23.25" hidden="false" customHeight="true" outlineLevel="0" collapsed="false">
      <c r="A90" s="7" t="s">
        <v>3843</v>
      </c>
      <c r="B90" s="7" t="n">
        <v>45.9</v>
      </c>
      <c r="C90" s="7" t="s">
        <v>3767</v>
      </c>
      <c r="D90" s="7" t="s">
        <v>3683</v>
      </c>
      <c r="E90" s="7" t="s">
        <v>3684</v>
      </c>
      <c r="F90" s="7" t="s">
        <v>3685</v>
      </c>
      <c r="G90" s="7" t="s">
        <v>3844</v>
      </c>
      <c r="H90" s="7" t="n">
        <v>41.85766</v>
      </c>
      <c r="I90" s="7" t="n">
        <v>-74.15384</v>
      </c>
    </row>
    <row r="91" customFormat="false" ht="23.25" hidden="false" customHeight="true" outlineLevel="0" collapsed="false">
      <c r="A91" s="7" t="s">
        <v>3845</v>
      </c>
      <c r="B91" s="7" t="n">
        <v>45.9</v>
      </c>
      <c r="C91" s="7" t="s">
        <v>3767</v>
      </c>
      <c r="D91" s="7" t="s">
        <v>3690</v>
      </c>
      <c r="E91" s="7" t="s">
        <v>3691</v>
      </c>
      <c r="F91" s="7" t="s">
        <v>3692</v>
      </c>
      <c r="G91" s="7" t="s">
        <v>3846</v>
      </c>
      <c r="H91" s="7" t="n">
        <v>41.8546</v>
      </c>
      <c r="I91" s="7" t="n">
        <v>-73.97584</v>
      </c>
    </row>
    <row r="92" customFormat="false" ht="15" hidden="false" customHeight="true" outlineLevel="0" collapsed="false">
      <c r="A92" s="7" t="s">
        <v>3847</v>
      </c>
      <c r="B92" s="7" t="n">
        <v>46.2</v>
      </c>
      <c r="C92" s="7" t="s">
        <v>1668</v>
      </c>
      <c r="D92" s="7" t="s">
        <v>3690</v>
      </c>
      <c r="E92" s="7" t="s">
        <v>3691</v>
      </c>
      <c r="F92" s="7" t="s">
        <v>3692</v>
      </c>
      <c r="G92" s="7" t="s">
        <v>3688</v>
      </c>
      <c r="H92" s="7" t="n">
        <v>43.128</v>
      </c>
      <c r="I92" s="7" t="n">
        <v>-73.67267</v>
      </c>
    </row>
    <row r="93" customFormat="false" ht="15" hidden="false" customHeight="true" outlineLevel="0" collapsed="false">
      <c r="A93" s="7" t="s">
        <v>3848</v>
      </c>
      <c r="B93" s="7" t="n">
        <v>46.3</v>
      </c>
      <c r="C93" s="7" t="s">
        <v>3838</v>
      </c>
      <c r="D93" s="7" t="s">
        <v>3699</v>
      </c>
      <c r="E93" s="7" t="s">
        <v>3684</v>
      </c>
      <c r="F93" s="7" t="s">
        <v>3685</v>
      </c>
      <c r="G93" s="7" t="s">
        <v>3849</v>
      </c>
      <c r="H93" s="7" t="n">
        <v>42.88418</v>
      </c>
      <c r="I93" s="7" t="n">
        <v>-74.80673</v>
      </c>
    </row>
    <row r="94" customFormat="false" ht="23.25" hidden="false" customHeight="true" outlineLevel="0" collapsed="false">
      <c r="A94" s="7" t="s">
        <v>3850</v>
      </c>
      <c r="B94" s="7" t="n">
        <v>46.3</v>
      </c>
      <c r="C94" s="7" t="s">
        <v>3767</v>
      </c>
      <c r="D94" s="7" t="s">
        <v>3683</v>
      </c>
      <c r="E94" s="7" t="s">
        <v>3684</v>
      </c>
      <c r="F94" s="7" t="s">
        <v>3685</v>
      </c>
      <c r="G94" s="7" t="s">
        <v>3851</v>
      </c>
      <c r="H94" s="7" t="n">
        <v>41.85209</v>
      </c>
      <c r="I94" s="7" t="n">
        <v>-74.16191</v>
      </c>
    </row>
    <row r="95" customFormat="false" ht="15" hidden="false" customHeight="true" outlineLevel="0" collapsed="false">
      <c r="A95" s="7" t="s">
        <v>3852</v>
      </c>
      <c r="B95" s="7" t="n">
        <v>46.9</v>
      </c>
      <c r="C95" s="7" t="s">
        <v>1668</v>
      </c>
      <c r="D95" s="7" t="s">
        <v>3690</v>
      </c>
      <c r="E95" s="7" t="s">
        <v>3691</v>
      </c>
      <c r="F95" s="7" t="s">
        <v>3692</v>
      </c>
      <c r="G95" s="7" t="s">
        <v>3688</v>
      </c>
      <c r="H95" s="7" t="n">
        <v>43.13954</v>
      </c>
      <c r="I95" s="7" t="n">
        <v>-73.67773</v>
      </c>
    </row>
    <row r="96" customFormat="false" ht="15" hidden="false" customHeight="true" outlineLevel="0" collapsed="false">
      <c r="A96" s="7" t="s">
        <v>3853</v>
      </c>
      <c r="B96" s="7" t="n">
        <v>47.1</v>
      </c>
      <c r="C96" s="7" t="s">
        <v>1668</v>
      </c>
      <c r="D96" s="7" t="s">
        <v>3690</v>
      </c>
      <c r="E96" s="7" t="s">
        <v>3691</v>
      </c>
      <c r="F96" s="7" t="s">
        <v>3692</v>
      </c>
      <c r="G96" s="7" t="s">
        <v>3688</v>
      </c>
      <c r="H96" s="7" t="n">
        <v>43.14444</v>
      </c>
      <c r="I96" s="7" t="n">
        <v>-73.68111</v>
      </c>
    </row>
    <row r="97" customFormat="false" ht="15" hidden="false" customHeight="true" outlineLevel="0" collapsed="false">
      <c r="A97" s="7" t="s">
        <v>3854</v>
      </c>
      <c r="B97" s="7" t="n">
        <v>47.1</v>
      </c>
      <c r="C97" s="7" t="s">
        <v>1668</v>
      </c>
      <c r="D97" s="7" t="s">
        <v>3690</v>
      </c>
      <c r="E97" s="7" t="s">
        <v>3691</v>
      </c>
      <c r="F97" s="7" t="s">
        <v>3692</v>
      </c>
      <c r="G97" s="7" t="s">
        <v>3688</v>
      </c>
      <c r="H97" s="7" t="n">
        <v>43.14207</v>
      </c>
      <c r="I97" s="7" t="n">
        <v>-73.67412</v>
      </c>
    </row>
    <row r="98" customFormat="false" ht="15" hidden="false" customHeight="true" outlineLevel="0" collapsed="false">
      <c r="A98" s="7" t="s">
        <v>3855</v>
      </c>
      <c r="B98" s="7" t="n">
        <v>47.2</v>
      </c>
      <c r="C98" s="7" t="s">
        <v>1668</v>
      </c>
      <c r="D98" s="7" t="s">
        <v>3770</v>
      </c>
      <c r="E98" s="7" t="s">
        <v>3684</v>
      </c>
      <c r="F98" s="7" t="s">
        <v>3685</v>
      </c>
      <c r="G98" s="7" t="s">
        <v>3856</v>
      </c>
      <c r="H98" s="7" t="n">
        <v>43.18963</v>
      </c>
      <c r="I98" s="7" t="n">
        <v>-73.88278</v>
      </c>
    </row>
    <row r="99" customFormat="false" ht="15" hidden="false" customHeight="true" outlineLevel="0" collapsed="false">
      <c r="A99" s="7" t="s">
        <v>3857</v>
      </c>
      <c r="B99" s="7" t="n">
        <v>47.2</v>
      </c>
      <c r="C99" s="7" t="s">
        <v>1668</v>
      </c>
      <c r="D99" s="7" t="s">
        <v>3690</v>
      </c>
      <c r="E99" s="7" t="s">
        <v>3691</v>
      </c>
      <c r="F99" s="7" t="s">
        <v>3692</v>
      </c>
      <c r="G99" s="7" t="s">
        <v>3688</v>
      </c>
      <c r="H99" s="7" t="n">
        <v>43.14453</v>
      </c>
      <c r="I99" s="7" t="n">
        <v>-73.67675</v>
      </c>
    </row>
    <row r="100" customFormat="false" ht="15" hidden="false" customHeight="true" outlineLevel="0" collapsed="false">
      <c r="A100" s="7" t="s">
        <v>3858</v>
      </c>
      <c r="B100" s="7" t="n">
        <v>47.2</v>
      </c>
      <c r="C100" s="7" t="s">
        <v>3767</v>
      </c>
      <c r="D100" s="7" t="s">
        <v>3690</v>
      </c>
      <c r="E100" s="7" t="s">
        <v>3691</v>
      </c>
      <c r="F100" s="7" t="s">
        <v>3692</v>
      </c>
      <c r="G100" s="7" t="s">
        <v>3688</v>
      </c>
      <c r="H100" s="7" t="n">
        <v>41.85534</v>
      </c>
      <c r="I100" s="7" t="n">
        <v>-74.27494</v>
      </c>
    </row>
    <row r="101" customFormat="false" ht="15" hidden="false" customHeight="true" outlineLevel="0" collapsed="false">
      <c r="A101" s="7" t="s">
        <v>3859</v>
      </c>
      <c r="B101" s="7" t="n">
        <v>47.3</v>
      </c>
      <c r="C101" s="7" t="s">
        <v>1668</v>
      </c>
      <c r="D101" s="7" t="s">
        <v>3690</v>
      </c>
      <c r="E101" s="7" t="s">
        <v>3691</v>
      </c>
      <c r="F101" s="7" t="s">
        <v>3692</v>
      </c>
      <c r="G101" s="7" t="s">
        <v>3688</v>
      </c>
      <c r="H101" s="7" t="n">
        <v>43.1492</v>
      </c>
      <c r="I101" s="7" t="n">
        <v>-73.68484</v>
      </c>
    </row>
    <row r="102" customFormat="false" ht="15" hidden="false" customHeight="true" outlineLevel="0" collapsed="false">
      <c r="A102" s="7" t="s">
        <v>3860</v>
      </c>
      <c r="B102" s="7" t="n">
        <v>47.3</v>
      </c>
      <c r="C102" s="7" t="s">
        <v>1668</v>
      </c>
      <c r="D102" s="7" t="s">
        <v>3690</v>
      </c>
      <c r="E102" s="7" t="s">
        <v>3691</v>
      </c>
      <c r="F102" s="7" t="s">
        <v>3692</v>
      </c>
      <c r="G102" s="7" t="s">
        <v>3688</v>
      </c>
      <c r="H102" s="7" t="n">
        <v>43.1479</v>
      </c>
      <c r="I102" s="7" t="n">
        <v>-73.68082</v>
      </c>
    </row>
    <row r="103" customFormat="false" ht="15" hidden="false" customHeight="true" outlineLevel="0" collapsed="false">
      <c r="A103" s="7" t="s">
        <v>3861</v>
      </c>
      <c r="B103" s="7" t="n">
        <v>47.4</v>
      </c>
      <c r="C103" s="7" t="s">
        <v>1668</v>
      </c>
      <c r="D103" s="7" t="s">
        <v>3690</v>
      </c>
      <c r="E103" s="7" t="s">
        <v>3691</v>
      </c>
      <c r="F103" s="7" t="s">
        <v>3692</v>
      </c>
      <c r="G103" s="7" t="s">
        <v>3688</v>
      </c>
      <c r="H103" s="7" t="n">
        <v>43.14988</v>
      </c>
      <c r="I103" s="7" t="n">
        <v>-73.68468</v>
      </c>
    </row>
    <row r="104" customFormat="false" ht="15" hidden="false" customHeight="true" outlineLevel="0" collapsed="false">
      <c r="A104" s="7" t="s">
        <v>3862</v>
      </c>
      <c r="B104" s="7" t="n">
        <v>47.4</v>
      </c>
      <c r="C104" s="7" t="s">
        <v>1668</v>
      </c>
      <c r="D104" s="7" t="s">
        <v>3690</v>
      </c>
      <c r="E104" s="7" t="s">
        <v>3691</v>
      </c>
      <c r="F104" s="7" t="s">
        <v>3692</v>
      </c>
      <c r="G104" s="7" t="s">
        <v>3688</v>
      </c>
      <c r="H104" s="7" t="n">
        <v>43.14709</v>
      </c>
      <c r="I104" s="7" t="n">
        <v>-73.67372</v>
      </c>
    </row>
    <row r="105" customFormat="false" ht="15" hidden="false" customHeight="true" outlineLevel="0" collapsed="false">
      <c r="A105" s="7" t="s">
        <v>3863</v>
      </c>
      <c r="B105" s="7" t="n">
        <v>47.5</v>
      </c>
      <c r="C105" s="7" t="s">
        <v>1668</v>
      </c>
      <c r="D105" s="7" t="s">
        <v>3754</v>
      </c>
      <c r="E105" s="7" t="s">
        <v>3684</v>
      </c>
      <c r="F105" s="7" t="s">
        <v>3685</v>
      </c>
      <c r="G105" s="7" t="s">
        <v>3688</v>
      </c>
      <c r="H105" s="7" t="n">
        <v>43.17151</v>
      </c>
      <c r="I105" s="7" t="n">
        <v>-73.75745</v>
      </c>
    </row>
    <row r="106" customFormat="false" ht="15" hidden="false" customHeight="true" outlineLevel="0" collapsed="false">
      <c r="A106" s="7" t="s">
        <v>3864</v>
      </c>
      <c r="B106" s="7" t="n">
        <v>47.5</v>
      </c>
      <c r="C106" s="7" t="s">
        <v>1668</v>
      </c>
      <c r="D106" s="7" t="s">
        <v>3690</v>
      </c>
      <c r="E106" s="7" t="s">
        <v>3691</v>
      </c>
      <c r="F106" s="7" t="s">
        <v>3692</v>
      </c>
      <c r="G106" s="7" t="s">
        <v>3694</v>
      </c>
      <c r="H106" s="7" t="n">
        <v>43.15505</v>
      </c>
      <c r="I106" s="7" t="n">
        <v>-73.69417</v>
      </c>
    </row>
    <row r="107" customFormat="false" ht="15" hidden="false" customHeight="true" outlineLevel="0" collapsed="false">
      <c r="A107" s="7" t="s">
        <v>3865</v>
      </c>
      <c r="B107" s="7" t="n">
        <v>47.6</v>
      </c>
      <c r="C107" s="7" t="s">
        <v>3807</v>
      </c>
      <c r="D107" s="7" t="s">
        <v>3683</v>
      </c>
      <c r="E107" s="7" t="s">
        <v>3684</v>
      </c>
      <c r="F107" s="7" t="s">
        <v>3700</v>
      </c>
      <c r="G107" s="7" t="s">
        <v>3866</v>
      </c>
      <c r="H107" s="7" t="n">
        <v>42.84132</v>
      </c>
      <c r="I107" s="7" t="n">
        <v>-74.87187</v>
      </c>
    </row>
    <row r="108" customFormat="false" ht="15" hidden="false" customHeight="true" outlineLevel="0" collapsed="false">
      <c r="A108" s="7" t="s">
        <v>3867</v>
      </c>
      <c r="B108" s="7" t="n">
        <v>47.7</v>
      </c>
      <c r="C108" s="7" t="s">
        <v>1668</v>
      </c>
      <c r="D108" s="7" t="s">
        <v>3690</v>
      </c>
      <c r="E108" s="7" t="s">
        <v>3691</v>
      </c>
      <c r="F108" s="7" t="s">
        <v>3692</v>
      </c>
      <c r="G108" s="7" t="s">
        <v>3688</v>
      </c>
      <c r="H108" s="7" t="n">
        <v>43.1524</v>
      </c>
      <c r="I108" s="7" t="n">
        <v>-73.67744</v>
      </c>
    </row>
    <row r="109" customFormat="false" ht="23.25" hidden="false" customHeight="true" outlineLevel="0" collapsed="false">
      <c r="A109" s="7" t="s">
        <v>3868</v>
      </c>
      <c r="B109" s="7" t="n">
        <v>47.9</v>
      </c>
      <c r="C109" s="7" t="s">
        <v>1668</v>
      </c>
      <c r="D109" s="7" t="s">
        <v>3690</v>
      </c>
      <c r="E109" s="7" t="s">
        <v>3691</v>
      </c>
      <c r="F109" s="7" t="s">
        <v>3692</v>
      </c>
      <c r="G109" s="7" t="s">
        <v>3869</v>
      </c>
      <c r="H109" s="7" t="n">
        <v>43.15008</v>
      </c>
      <c r="I109" s="7" t="n">
        <v>-73.66182</v>
      </c>
    </row>
    <row r="110" customFormat="false" ht="23.25" hidden="false" customHeight="true" outlineLevel="0" collapsed="false">
      <c r="A110" s="7" t="s">
        <v>3870</v>
      </c>
      <c r="B110" s="7" t="n">
        <v>48</v>
      </c>
      <c r="C110" s="7" t="s">
        <v>3838</v>
      </c>
      <c r="D110" s="7" t="s">
        <v>3699</v>
      </c>
      <c r="E110" s="7" t="s">
        <v>3684</v>
      </c>
      <c r="F110" s="7" t="s">
        <v>3685</v>
      </c>
      <c r="G110" s="7" t="s">
        <v>3871</v>
      </c>
      <c r="H110" s="7" t="n">
        <v>42.90931</v>
      </c>
      <c r="I110" s="7" t="n">
        <v>-74.82483</v>
      </c>
    </row>
    <row r="111" customFormat="false" ht="15" hidden="false" customHeight="true" outlineLevel="0" collapsed="false">
      <c r="A111" s="7" t="s">
        <v>3872</v>
      </c>
      <c r="B111" s="7" t="n">
        <v>48.5</v>
      </c>
      <c r="C111" s="7" t="s">
        <v>1668</v>
      </c>
      <c r="D111" s="7" t="s">
        <v>3754</v>
      </c>
      <c r="E111" s="7" t="s">
        <v>3684</v>
      </c>
      <c r="F111" s="7" t="s">
        <v>3700</v>
      </c>
      <c r="G111" s="7" t="s">
        <v>3759</v>
      </c>
      <c r="H111" s="7" t="n">
        <v>43.17741</v>
      </c>
      <c r="I111" s="7" t="n">
        <v>-73.72171</v>
      </c>
    </row>
    <row r="112" customFormat="false" ht="15" hidden="false" customHeight="true" outlineLevel="0" collapsed="false">
      <c r="A112" s="7" t="s">
        <v>3873</v>
      </c>
      <c r="B112" s="7" t="n">
        <v>49.6</v>
      </c>
      <c r="C112" s="7" t="s">
        <v>1668</v>
      </c>
      <c r="D112" s="7" t="s">
        <v>3770</v>
      </c>
      <c r="E112" s="7" t="s">
        <v>3684</v>
      </c>
      <c r="F112" s="7" t="s">
        <v>3685</v>
      </c>
      <c r="G112" s="7" t="s">
        <v>3688</v>
      </c>
      <c r="H112" s="7" t="n">
        <v>43.21631</v>
      </c>
      <c r="I112" s="7" t="n">
        <v>-73.8216</v>
      </c>
    </row>
    <row r="113" customFormat="false" ht="15" hidden="false" customHeight="true" outlineLevel="0" collapsed="false">
      <c r="A113" s="7" t="s">
        <v>3874</v>
      </c>
      <c r="B113" s="7" t="n">
        <v>49.8</v>
      </c>
      <c r="C113" s="7" t="s">
        <v>3784</v>
      </c>
      <c r="D113" s="7" t="s">
        <v>3690</v>
      </c>
      <c r="E113" s="7" t="s">
        <v>3691</v>
      </c>
      <c r="F113" s="7" t="s">
        <v>3700</v>
      </c>
      <c r="G113" s="7" t="s">
        <v>3875</v>
      </c>
      <c r="H113" s="7" t="n">
        <v>41.84005</v>
      </c>
      <c r="I113" s="7" t="n">
        <v>-73.7122</v>
      </c>
    </row>
    <row r="114" customFormat="false" ht="15" hidden="false" customHeight="true" outlineLevel="0" collapsed="false">
      <c r="A114" s="7" t="s">
        <v>3876</v>
      </c>
      <c r="B114" s="7" t="n">
        <v>49.9</v>
      </c>
      <c r="C114" s="7" t="s">
        <v>3784</v>
      </c>
      <c r="D114" s="7" t="s">
        <v>3690</v>
      </c>
      <c r="E114" s="7" t="s">
        <v>3691</v>
      </c>
      <c r="F114" s="7" t="s">
        <v>3692</v>
      </c>
      <c r="G114" s="7" t="s">
        <v>3696</v>
      </c>
      <c r="H114" s="7" t="n">
        <v>41.80718</v>
      </c>
      <c r="I114" s="7" t="n">
        <v>-73.86368</v>
      </c>
    </row>
    <row r="115" customFormat="false" ht="15" hidden="false" customHeight="true" outlineLevel="0" collapsed="false">
      <c r="A115" s="7" t="s">
        <v>3877</v>
      </c>
      <c r="B115" s="7" t="n">
        <v>50.4</v>
      </c>
      <c r="C115" s="7" t="s">
        <v>1668</v>
      </c>
      <c r="D115" s="7" t="s">
        <v>3770</v>
      </c>
      <c r="E115" s="7" t="s">
        <v>3684</v>
      </c>
      <c r="F115" s="7" t="s">
        <v>3685</v>
      </c>
      <c r="G115" s="7" t="s">
        <v>3688</v>
      </c>
      <c r="H115" s="7" t="n">
        <v>43.23206</v>
      </c>
      <c r="I115" s="7" t="n">
        <v>-73.85326</v>
      </c>
    </row>
    <row r="116" customFormat="false" ht="15" hidden="false" customHeight="true" outlineLevel="0" collapsed="false">
      <c r="A116" s="7" t="s">
        <v>3878</v>
      </c>
      <c r="B116" s="7" t="n">
        <v>50.9</v>
      </c>
      <c r="C116" s="7" t="s">
        <v>3767</v>
      </c>
      <c r="D116" s="7" t="s">
        <v>3690</v>
      </c>
      <c r="E116" s="7" t="s">
        <v>3691</v>
      </c>
      <c r="F116" s="7" t="s">
        <v>3700</v>
      </c>
      <c r="G116" s="7" t="s">
        <v>3701</v>
      </c>
      <c r="H116" s="7" t="n">
        <v>41.80717</v>
      </c>
      <c r="I116" s="7" t="n">
        <v>-74.3108</v>
      </c>
    </row>
    <row r="117" customFormat="false" ht="15" hidden="false" customHeight="true" outlineLevel="0" collapsed="false">
      <c r="A117" s="7" t="s">
        <v>3879</v>
      </c>
      <c r="B117" s="7" t="n">
        <v>51.1</v>
      </c>
      <c r="C117" s="7" t="s">
        <v>3784</v>
      </c>
      <c r="D117" s="7" t="s">
        <v>3690</v>
      </c>
      <c r="E117" s="7" t="s">
        <v>3691</v>
      </c>
      <c r="F117" s="7" t="s">
        <v>3700</v>
      </c>
      <c r="G117" s="7" t="s">
        <v>3880</v>
      </c>
      <c r="H117" s="7" t="n">
        <v>41.81055</v>
      </c>
      <c r="I117" s="7" t="n">
        <v>-73.74795</v>
      </c>
    </row>
    <row r="118" customFormat="false" ht="15" hidden="false" customHeight="true" outlineLevel="0" collapsed="false">
      <c r="A118" s="7" t="s">
        <v>3881</v>
      </c>
      <c r="B118" s="7" t="n">
        <v>51.2</v>
      </c>
      <c r="C118" s="7" t="s">
        <v>3767</v>
      </c>
      <c r="D118" s="7" t="s">
        <v>3683</v>
      </c>
      <c r="E118" s="7" t="s">
        <v>3684</v>
      </c>
      <c r="F118" s="7" t="s">
        <v>3700</v>
      </c>
      <c r="G118" s="7" t="s">
        <v>3882</v>
      </c>
      <c r="H118" s="7" t="n">
        <v>41.79922</v>
      </c>
      <c r="I118" s="7" t="n">
        <v>-74.29401</v>
      </c>
    </row>
    <row r="119" customFormat="false" ht="15" hidden="false" customHeight="true" outlineLevel="0" collapsed="false">
      <c r="A119" s="7" t="s">
        <v>3883</v>
      </c>
      <c r="B119" s="7" t="n">
        <v>51.8</v>
      </c>
      <c r="C119" s="7" t="s">
        <v>1668</v>
      </c>
      <c r="D119" s="7" t="s">
        <v>3770</v>
      </c>
      <c r="E119" s="7" t="s">
        <v>3684</v>
      </c>
      <c r="F119" s="7" t="s">
        <v>3700</v>
      </c>
      <c r="G119" s="7" t="s">
        <v>3884</v>
      </c>
      <c r="H119" s="7" t="n">
        <v>43.24591</v>
      </c>
      <c r="I119" s="7" t="n">
        <v>-73.80196</v>
      </c>
    </row>
    <row r="120" customFormat="false" ht="15" hidden="false" customHeight="true" outlineLevel="0" collapsed="false">
      <c r="A120" s="7" t="s">
        <v>3885</v>
      </c>
      <c r="B120" s="7" t="n">
        <v>52</v>
      </c>
      <c r="C120" s="7" t="s">
        <v>3767</v>
      </c>
      <c r="D120" s="7" t="s">
        <v>3683</v>
      </c>
      <c r="E120" s="7" t="s">
        <v>3684</v>
      </c>
      <c r="F120" s="7" t="s">
        <v>3685</v>
      </c>
      <c r="G120" s="7" t="s">
        <v>3886</v>
      </c>
      <c r="H120" s="7" t="n">
        <v>41.78898</v>
      </c>
      <c r="I120" s="7" t="n">
        <v>-74.30329</v>
      </c>
    </row>
    <row r="121" customFormat="false" ht="23.25" hidden="false" customHeight="true" outlineLevel="0" collapsed="false">
      <c r="A121" s="7" t="s">
        <v>3887</v>
      </c>
      <c r="B121" s="7" t="n">
        <v>52.3</v>
      </c>
      <c r="C121" s="7" t="s">
        <v>3838</v>
      </c>
      <c r="D121" s="7" t="s">
        <v>3683</v>
      </c>
      <c r="E121" s="7" t="s">
        <v>3684</v>
      </c>
      <c r="F121" s="7" t="s">
        <v>3685</v>
      </c>
      <c r="G121" s="7" t="s">
        <v>3888</v>
      </c>
      <c r="H121" s="7" t="n">
        <v>42.94067</v>
      </c>
      <c r="I121" s="7" t="n">
        <v>-74.89907</v>
      </c>
    </row>
    <row r="122" customFormat="false" ht="15" hidden="false" customHeight="true" outlineLevel="0" collapsed="false">
      <c r="A122" s="7" t="s">
        <v>3889</v>
      </c>
      <c r="B122" s="7" t="n">
        <v>52.5</v>
      </c>
      <c r="C122" s="7" t="s">
        <v>3767</v>
      </c>
      <c r="D122" s="7" t="s">
        <v>3690</v>
      </c>
      <c r="E122" s="7" t="s">
        <v>3691</v>
      </c>
      <c r="F122" s="7" t="s">
        <v>3700</v>
      </c>
      <c r="G122" s="7" t="s">
        <v>3890</v>
      </c>
      <c r="H122" s="7" t="n">
        <v>41.75702</v>
      </c>
      <c r="I122" s="7" t="n">
        <v>-74.06632</v>
      </c>
    </row>
    <row r="123" customFormat="false" ht="15" hidden="false" customHeight="true" outlineLevel="0" collapsed="false">
      <c r="A123" s="7" t="s">
        <v>3891</v>
      </c>
      <c r="B123" s="7" t="n">
        <v>52.9</v>
      </c>
      <c r="C123" s="7" t="s">
        <v>3838</v>
      </c>
      <c r="D123" s="7" t="s">
        <v>3690</v>
      </c>
      <c r="E123" s="7" t="s">
        <v>3691</v>
      </c>
      <c r="F123" s="7" t="s">
        <v>3692</v>
      </c>
      <c r="G123" s="7" t="s">
        <v>3892</v>
      </c>
      <c r="H123" s="7" t="n">
        <v>43.0285</v>
      </c>
      <c r="I123" s="7" t="n">
        <v>-74.82213</v>
      </c>
    </row>
    <row r="124" customFormat="false" ht="15" hidden="false" customHeight="true" outlineLevel="0" collapsed="false">
      <c r="A124" s="7" t="s">
        <v>3893</v>
      </c>
      <c r="B124" s="7" t="n">
        <v>54.4</v>
      </c>
      <c r="C124" s="7" t="s">
        <v>3784</v>
      </c>
      <c r="D124" s="7" t="s">
        <v>3690</v>
      </c>
      <c r="E124" s="7" t="s">
        <v>3691</v>
      </c>
      <c r="F124" s="7" t="s">
        <v>3692</v>
      </c>
      <c r="G124" s="7" t="s">
        <v>3688</v>
      </c>
      <c r="H124" s="7" t="n">
        <v>41.76275</v>
      </c>
      <c r="I124" s="7" t="n">
        <v>-73.74197</v>
      </c>
    </row>
    <row r="125" customFormat="false" ht="15" hidden="false" customHeight="true" outlineLevel="0" collapsed="false">
      <c r="A125" s="7" t="s">
        <v>3894</v>
      </c>
      <c r="B125" s="7" t="n">
        <v>54.7</v>
      </c>
      <c r="C125" s="7" t="s">
        <v>1668</v>
      </c>
      <c r="D125" s="7" t="s">
        <v>3690</v>
      </c>
      <c r="E125" s="7" t="s">
        <v>3691</v>
      </c>
      <c r="F125" s="7" t="s">
        <v>3700</v>
      </c>
      <c r="G125" s="7" t="s">
        <v>3895</v>
      </c>
      <c r="H125" s="7" t="n">
        <v>43.26896</v>
      </c>
      <c r="I125" s="7" t="n">
        <v>-73.70588</v>
      </c>
    </row>
    <row r="126" customFormat="false" ht="15" hidden="false" customHeight="true" outlineLevel="0" collapsed="false">
      <c r="A126" s="7" t="s">
        <v>3896</v>
      </c>
      <c r="B126" s="7" t="n">
        <v>54.8</v>
      </c>
      <c r="C126" s="7" t="s">
        <v>3767</v>
      </c>
      <c r="D126" s="7" t="s">
        <v>3690</v>
      </c>
      <c r="E126" s="7" t="s">
        <v>3691</v>
      </c>
      <c r="F126" s="7" t="s">
        <v>3692</v>
      </c>
      <c r="G126" s="7" t="s">
        <v>3688</v>
      </c>
      <c r="H126" s="7" t="n">
        <v>41.76</v>
      </c>
      <c r="I126" s="7" t="n">
        <v>-74.36394</v>
      </c>
    </row>
    <row r="127" customFormat="false" ht="15" hidden="false" customHeight="true" outlineLevel="0" collapsed="false">
      <c r="A127" s="7" t="s">
        <v>3897</v>
      </c>
      <c r="B127" s="7" t="n">
        <v>55.1</v>
      </c>
      <c r="C127" s="7" t="s">
        <v>3767</v>
      </c>
      <c r="D127" s="7" t="s">
        <v>3690</v>
      </c>
      <c r="E127" s="7" t="s">
        <v>3691</v>
      </c>
      <c r="F127" s="7" t="s">
        <v>3700</v>
      </c>
      <c r="G127" s="7" t="s">
        <v>3898</v>
      </c>
      <c r="H127" s="7" t="n">
        <v>41.75823</v>
      </c>
      <c r="I127" s="7" t="n">
        <v>-74.37298</v>
      </c>
    </row>
    <row r="128" customFormat="false" ht="15" hidden="false" customHeight="true" outlineLevel="0" collapsed="false">
      <c r="A128" s="7" t="s">
        <v>3899</v>
      </c>
      <c r="B128" s="7" t="n">
        <v>55.5</v>
      </c>
      <c r="C128" s="7" t="s">
        <v>1668</v>
      </c>
      <c r="D128" s="7" t="s">
        <v>3690</v>
      </c>
      <c r="E128" s="7" t="s">
        <v>3691</v>
      </c>
      <c r="F128" s="7" t="s">
        <v>3692</v>
      </c>
      <c r="G128" s="7" t="s">
        <v>3688</v>
      </c>
      <c r="H128" s="7" t="n">
        <v>43.26635</v>
      </c>
      <c r="I128" s="7" t="n">
        <v>-73.64972</v>
      </c>
    </row>
    <row r="129" customFormat="false" ht="23.25" hidden="false" customHeight="true" outlineLevel="0" collapsed="false">
      <c r="A129" s="7" t="s">
        <v>3900</v>
      </c>
      <c r="B129" s="7" t="n">
        <v>55.9</v>
      </c>
      <c r="C129" s="7" t="s">
        <v>3838</v>
      </c>
      <c r="D129" s="7" t="s">
        <v>3690</v>
      </c>
      <c r="E129" s="7" t="s">
        <v>3691</v>
      </c>
      <c r="F129" s="7" t="s">
        <v>3700</v>
      </c>
      <c r="G129" s="7" t="s">
        <v>3901</v>
      </c>
      <c r="H129" s="7" t="n">
        <v>43.01832</v>
      </c>
      <c r="I129" s="7" t="n">
        <v>-74.90879</v>
      </c>
    </row>
    <row r="130" customFormat="false" ht="23.25" hidden="false" customHeight="true" outlineLevel="0" collapsed="false">
      <c r="A130" s="7" t="s">
        <v>3902</v>
      </c>
      <c r="B130" s="7" t="n">
        <v>56.8</v>
      </c>
      <c r="C130" s="7" t="s">
        <v>3838</v>
      </c>
      <c r="D130" s="7" t="s">
        <v>3690</v>
      </c>
      <c r="E130" s="7" t="s">
        <v>3691</v>
      </c>
      <c r="F130" s="7" t="s">
        <v>3692</v>
      </c>
      <c r="G130" s="7" t="s">
        <v>3903</v>
      </c>
      <c r="H130" s="7" t="n">
        <v>43.02957</v>
      </c>
      <c r="I130" s="7" t="n">
        <v>-74.92161</v>
      </c>
    </row>
    <row r="131" customFormat="false" ht="15" hidden="false" customHeight="true" outlineLevel="0" collapsed="false">
      <c r="A131" s="7" t="s">
        <v>3904</v>
      </c>
      <c r="B131" s="7" t="n">
        <v>57.5</v>
      </c>
      <c r="C131" s="7" t="s">
        <v>3905</v>
      </c>
      <c r="D131" s="7" t="s">
        <v>3690</v>
      </c>
      <c r="E131" s="7" t="s">
        <v>3691</v>
      </c>
      <c r="F131" s="7" t="s">
        <v>3692</v>
      </c>
      <c r="G131" s="7" t="s">
        <v>3906</v>
      </c>
      <c r="H131" s="7" t="n">
        <v>43.30997</v>
      </c>
      <c r="I131" s="7" t="n">
        <v>-73.69984</v>
      </c>
    </row>
    <row r="132" customFormat="false" ht="15" hidden="false" customHeight="true" outlineLevel="0" collapsed="false">
      <c r="A132" s="7" t="s">
        <v>3907</v>
      </c>
      <c r="B132" s="7" t="n">
        <v>57.8</v>
      </c>
      <c r="C132" s="7" t="s">
        <v>3905</v>
      </c>
      <c r="D132" s="7" t="s">
        <v>3690</v>
      </c>
      <c r="E132" s="7" t="s">
        <v>3691</v>
      </c>
      <c r="F132" s="7" t="s">
        <v>3692</v>
      </c>
      <c r="G132" s="7" t="s">
        <v>3908</v>
      </c>
      <c r="H132" s="7" t="n">
        <v>43.31443</v>
      </c>
      <c r="I132" s="7" t="n">
        <v>-73.6973</v>
      </c>
    </row>
    <row r="133" customFormat="false" ht="23.25" hidden="false" customHeight="true" outlineLevel="0" collapsed="false">
      <c r="A133" s="7" t="s">
        <v>3909</v>
      </c>
      <c r="B133" s="7" t="n">
        <v>57.9</v>
      </c>
      <c r="C133" s="7" t="s">
        <v>3905</v>
      </c>
      <c r="D133" s="7" t="s">
        <v>3690</v>
      </c>
      <c r="E133" s="7" t="s">
        <v>3691</v>
      </c>
      <c r="F133" s="7" t="s">
        <v>3692</v>
      </c>
      <c r="G133" s="7" t="s">
        <v>3910</v>
      </c>
      <c r="H133" s="7" t="n">
        <v>43.31367</v>
      </c>
      <c r="I133" s="7" t="n">
        <v>-73.69267</v>
      </c>
    </row>
    <row r="134" customFormat="false" ht="15" hidden="false" customHeight="true" outlineLevel="0" collapsed="false">
      <c r="A134" s="7" t="s">
        <v>3911</v>
      </c>
      <c r="B134" s="7" t="n">
        <v>58.6</v>
      </c>
      <c r="C134" s="7" t="s">
        <v>3905</v>
      </c>
      <c r="D134" s="7" t="s">
        <v>3690</v>
      </c>
      <c r="E134" s="7" t="s">
        <v>3691</v>
      </c>
      <c r="F134" s="7" t="s">
        <v>3700</v>
      </c>
      <c r="G134" s="7" t="s">
        <v>3701</v>
      </c>
      <c r="H134" s="7" t="n">
        <v>43.32259</v>
      </c>
      <c r="I134" s="7" t="n">
        <v>-73.68371</v>
      </c>
    </row>
    <row r="135" customFormat="false" ht="23.25" hidden="false" customHeight="true" outlineLevel="0" collapsed="false">
      <c r="A135" s="7" t="s">
        <v>3912</v>
      </c>
      <c r="B135" s="7" t="n">
        <v>58.6</v>
      </c>
      <c r="C135" s="7" t="s">
        <v>3913</v>
      </c>
      <c r="D135" s="7" t="s">
        <v>3690</v>
      </c>
      <c r="E135" s="7" t="s">
        <v>3691</v>
      </c>
      <c r="F135" s="7" t="s">
        <v>3700</v>
      </c>
      <c r="G135" s="7" t="s">
        <v>3701</v>
      </c>
      <c r="H135" s="7" t="n">
        <v>43.25377</v>
      </c>
      <c r="I135" s="7" t="n">
        <v>-73.4733</v>
      </c>
    </row>
    <row r="136" customFormat="false" ht="15" hidden="false" customHeight="true" outlineLevel="0" collapsed="false">
      <c r="A136" s="7" t="s">
        <v>3914</v>
      </c>
      <c r="B136" s="7" t="n">
        <v>58.7</v>
      </c>
      <c r="C136" s="7" t="s">
        <v>3838</v>
      </c>
      <c r="D136" s="7" t="s">
        <v>3690</v>
      </c>
      <c r="E136" s="7" t="s">
        <v>3691</v>
      </c>
      <c r="F136" s="7" t="s">
        <v>3692</v>
      </c>
      <c r="G136" s="7" t="s">
        <v>3915</v>
      </c>
      <c r="H136" s="7" t="n">
        <v>43.02302</v>
      </c>
      <c r="I136" s="7" t="n">
        <v>-74.97407</v>
      </c>
    </row>
    <row r="137" customFormat="false" ht="23.25" hidden="false" customHeight="true" outlineLevel="0" collapsed="false">
      <c r="A137" s="7" t="s">
        <v>3916</v>
      </c>
      <c r="B137" s="7" t="n">
        <v>58.7</v>
      </c>
      <c r="C137" s="7" t="s">
        <v>3913</v>
      </c>
      <c r="D137" s="7" t="s">
        <v>3690</v>
      </c>
      <c r="E137" s="7" t="s">
        <v>3691</v>
      </c>
      <c r="F137" s="7" t="s">
        <v>3700</v>
      </c>
      <c r="G137" s="7" t="s">
        <v>3701</v>
      </c>
      <c r="H137" s="7" t="n">
        <v>43.25513</v>
      </c>
      <c r="I137" s="7" t="n">
        <v>-73.47267</v>
      </c>
    </row>
    <row r="138" customFormat="false" ht="15" hidden="false" customHeight="true" outlineLevel="0" collapsed="false">
      <c r="A138" s="7" t="s">
        <v>3917</v>
      </c>
      <c r="B138" s="7" t="n">
        <v>58.8</v>
      </c>
      <c r="C138" s="7" t="s">
        <v>3838</v>
      </c>
      <c r="D138" s="7" t="s">
        <v>3690</v>
      </c>
      <c r="E138" s="7" t="s">
        <v>3691</v>
      </c>
      <c r="F138" s="7" t="s">
        <v>3700</v>
      </c>
      <c r="G138" s="7" t="s">
        <v>3918</v>
      </c>
      <c r="H138" s="7" t="n">
        <v>43.03488</v>
      </c>
      <c r="I138" s="7" t="n">
        <v>-74.96385</v>
      </c>
    </row>
    <row r="139" customFormat="false" ht="23.25" hidden="false" customHeight="true" outlineLevel="0" collapsed="false">
      <c r="A139" s="7" t="s">
        <v>3919</v>
      </c>
      <c r="B139" s="7" t="n">
        <v>58.9</v>
      </c>
      <c r="C139" s="7" t="s">
        <v>3913</v>
      </c>
      <c r="D139" s="7" t="s">
        <v>3690</v>
      </c>
      <c r="E139" s="7" t="s">
        <v>3691</v>
      </c>
      <c r="F139" s="7" t="s">
        <v>3700</v>
      </c>
      <c r="G139" s="7" t="s">
        <v>3701</v>
      </c>
      <c r="H139" s="7" t="n">
        <v>43.25907</v>
      </c>
      <c r="I139" s="7" t="n">
        <v>-73.47169</v>
      </c>
    </row>
    <row r="140" customFormat="false" ht="23.25" hidden="false" customHeight="true" outlineLevel="0" collapsed="false">
      <c r="A140" s="7" t="s">
        <v>3920</v>
      </c>
      <c r="B140" s="7" t="n">
        <v>59</v>
      </c>
      <c r="C140" s="7" t="s">
        <v>3838</v>
      </c>
      <c r="D140" s="7" t="s">
        <v>3690</v>
      </c>
      <c r="E140" s="7" t="s">
        <v>3691</v>
      </c>
      <c r="F140" s="7" t="s">
        <v>3700</v>
      </c>
      <c r="G140" s="7" t="s">
        <v>3921</v>
      </c>
      <c r="H140" s="7" t="n">
        <v>43.02808</v>
      </c>
      <c r="I140" s="7" t="n">
        <v>-74.97635</v>
      </c>
    </row>
    <row r="141" customFormat="false" ht="23.25" hidden="false" customHeight="true" outlineLevel="0" collapsed="false">
      <c r="A141" s="7" t="s">
        <v>3922</v>
      </c>
      <c r="B141" s="7" t="n">
        <v>59</v>
      </c>
      <c r="C141" s="7" t="s">
        <v>3807</v>
      </c>
      <c r="D141" s="7" t="s">
        <v>3690</v>
      </c>
      <c r="E141" s="7" t="s">
        <v>3691</v>
      </c>
      <c r="F141" s="7" t="s">
        <v>3692</v>
      </c>
      <c r="G141" s="7" t="s">
        <v>3923</v>
      </c>
      <c r="H141" s="7" t="n">
        <v>42.78589</v>
      </c>
      <c r="I141" s="7" t="n">
        <v>-75.14659</v>
      </c>
    </row>
    <row r="142" customFormat="false" ht="23.25" hidden="false" customHeight="true" outlineLevel="0" collapsed="false">
      <c r="A142" s="7" t="s">
        <v>3924</v>
      </c>
      <c r="B142" s="7" t="n">
        <v>59.2</v>
      </c>
      <c r="C142" s="7" t="s">
        <v>3838</v>
      </c>
      <c r="D142" s="7" t="s">
        <v>3699</v>
      </c>
      <c r="E142" s="7" t="s">
        <v>3684</v>
      </c>
      <c r="F142" s="7" t="s">
        <v>3700</v>
      </c>
      <c r="G142" s="7" t="s">
        <v>3925</v>
      </c>
      <c r="H142" s="7" t="n">
        <v>42.93712</v>
      </c>
      <c r="I142" s="7" t="n">
        <v>-75.06237</v>
      </c>
    </row>
    <row r="143" customFormat="false" ht="15" hidden="false" customHeight="true" outlineLevel="0" collapsed="false">
      <c r="A143" s="7" t="s">
        <v>3926</v>
      </c>
      <c r="B143" s="7" t="n">
        <v>59.8</v>
      </c>
      <c r="C143" s="7" t="s">
        <v>3905</v>
      </c>
      <c r="D143" s="7" t="s">
        <v>3690</v>
      </c>
      <c r="E143" s="7" t="s">
        <v>3691</v>
      </c>
      <c r="F143" s="7" t="s">
        <v>3700</v>
      </c>
      <c r="G143" s="7" t="s">
        <v>3701</v>
      </c>
      <c r="H143" s="7" t="n">
        <v>43.34378</v>
      </c>
      <c r="I143" s="7" t="n">
        <v>-73.69426</v>
      </c>
    </row>
    <row r="144" customFormat="false" ht="15" hidden="false" customHeight="true" outlineLevel="0" collapsed="false">
      <c r="A144" s="7" t="s">
        <v>3927</v>
      </c>
      <c r="B144" s="7" t="n">
        <v>60.1</v>
      </c>
      <c r="C144" s="7" t="s">
        <v>3838</v>
      </c>
      <c r="D144" s="7" t="s">
        <v>3699</v>
      </c>
      <c r="E144" s="7" t="s">
        <v>3684</v>
      </c>
      <c r="F144" s="7" t="s">
        <v>3685</v>
      </c>
      <c r="G144" s="7" t="s">
        <v>3688</v>
      </c>
      <c r="H144" s="7" t="n">
        <v>42.91812</v>
      </c>
      <c r="I144" s="7" t="n">
        <v>-75.09466</v>
      </c>
    </row>
    <row r="145" customFormat="false" ht="15" hidden="false" customHeight="true" outlineLevel="0" collapsed="false">
      <c r="A145" s="7" t="s">
        <v>3928</v>
      </c>
      <c r="B145" s="7" t="n">
        <v>60.2</v>
      </c>
      <c r="C145" s="7" t="s">
        <v>3838</v>
      </c>
      <c r="D145" s="7" t="s">
        <v>3699</v>
      </c>
      <c r="E145" s="7" t="s">
        <v>3684</v>
      </c>
      <c r="F145" s="7" t="s">
        <v>3700</v>
      </c>
      <c r="G145" s="7" t="s">
        <v>3929</v>
      </c>
      <c r="H145" s="7" t="n">
        <v>42.91629</v>
      </c>
      <c r="I145" s="7" t="n">
        <v>-75.09865</v>
      </c>
    </row>
    <row r="146" customFormat="false" ht="15" hidden="false" customHeight="true" outlineLevel="0" collapsed="false">
      <c r="A146" s="7" t="s">
        <v>3930</v>
      </c>
      <c r="B146" s="7" t="n">
        <v>60.9</v>
      </c>
      <c r="C146" s="7" t="s">
        <v>3838</v>
      </c>
      <c r="D146" s="7" t="s">
        <v>3699</v>
      </c>
      <c r="E146" s="7" t="s">
        <v>3684</v>
      </c>
      <c r="F146" s="7" t="s">
        <v>3685</v>
      </c>
      <c r="G146" s="7" t="s">
        <v>3688</v>
      </c>
      <c r="H146" s="7" t="n">
        <v>42.91487</v>
      </c>
      <c r="I146" s="7" t="n">
        <v>-75.11494</v>
      </c>
    </row>
    <row r="147" customFormat="false" ht="23.25" hidden="false" customHeight="true" outlineLevel="0" collapsed="false">
      <c r="A147" s="7" t="s">
        <v>3931</v>
      </c>
      <c r="B147" s="7" t="n">
        <v>61</v>
      </c>
      <c r="C147" s="7" t="s">
        <v>3838</v>
      </c>
      <c r="D147" s="7" t="s">
        <v>3817</v>
      </c>
      <c r="E147" s="7" t="s">
        <v>3818</v>
      </c>
      <c r="F147" s="7" t="s">
        <v>3700</v>
      </c>
      <c r="G147" s="7" t="s">
        <v>3932</v>
      </c>
      <c r="H147" s="7" t="n">
        <v>42.89045</v>
      </c>
      <c r="I147" s="7" t="n">
        <v>-75.13289</v>
      </c>
    </row>
    <row r="148" customFormat="false" ht="15" hidden="false" customHeight="true" outlineLevel="0" collapsed="false">
      <c r="A148" s="7" t="s">
        <v>3933</v>
      </c>
      <c r="B148" s="7" t="n">
        <v>61</v>
      </c>
      <c r="C148" s="7" t="s">
        <v>3905</v>
      </c>
      <c r="D148" s="7" t="s">
        <v>3690</v>
      </c>
      <c r="E148" s="7" t="s">
        <v>3691</v>
      </c>
      <c r="F148" s="7" t="s">
        <v>3692</v>
      </c>
      <c r="G148" s="7" t="s">
        <v>3688</v>
      </c>
      <c r="H148" s="7" t="n">
        <v>43.35593</v>
      </c>
      <c r="I148" s="7" t="n">
        <v>-73.67202</v>
      </c>
    </row>
    <row r="149" customFormat="false" ht="15" hidden="false" customHeight="true" outlineLevel="0" collapsed="false">
      <c r="A149" s="7" t="s">
        <v>3934</v>
      </c>
      <c r="B149" s="7" t="n">
        <v>61</v>
      </c>
      <c r="C149" s="7" t="s">
        <v>3905</v>
      </c>
      <c r="D149" s="7" t="s">
        <v>3690</v>
      </c>
      <c r="E149" s="7" t="s">
        <v>3691</v>
      </c>
      <c r="F149" s="7" t="s">
        <v>3692</v>
      </c>
      <c r="G149" s="7" t="s">
        <v>3906</v>
      </c>
      <c r="H149" s="7" t="n">
        <v>43.35508</v>
      </c>
      <c r="I149" s="7" t="n">
        <v>-73.66654</v>
      </c>
    </row>
    <row r="150" customFormat="false" ht="15" hidden="false" customHeight="true" outlineLevel="0" collapsed="false">
      <c r="A150" s="7" t="s">
        <v>3935</v>
      </c>
      <c r="B150" s="7" t="n">
        <v>61.1</v>
      </c>
      <c r="C150" s="7" t="s">
        <v>3838</v>
      </c>
      <c r="D150" s="7" t="s">
        <v>3936</v>
      </c>
      <c r="E150" s="7" t="s">
        <v>3684</v>
      </c>
      <c r="F150" s="7" t="s">
        <v>3685</v>
      </c>
      <c r="G150" s="7" t="s">
        <v>3785</v>
      </c>
      <c r="H150" s="7" t="n">
        <v>42.9727</v>
      </c>
      <c r="I150" s="7" t="n">
        <v>-75.07693</v>
      </c>
    </row>
    <row r="151" customFormat="false" ht="34.5" hidden="false" customHeight="true" outlineLevel="0" collapsed="false">
      <c r="A151" s="7" t="s">
        <v>3937</v>
      </c>
      <c r="B151" s="7" t="n">
        <v>61.5</v>
      </c>
      <c r="C151" s="7" t="s">
        <v>3905</v>
      </c>
      <c r="D151" s="7" t="s">
        <v>3690</v>
      </c>
      <c r="E151" s="7" t="s">
        <v>3691</v>
      </c>
      <c r="F151" s="7" t="s">
        <v>3700</v>
      </c>
      <c r="G151" s="7" t="s">
        <v>3938</v>
      </c>
      <c r="H151" s="7" t="n">
        <v>43.36894</v>
      </c>
      <c r="I151" s="7" t="n">
        <v>-73.69473</v>
      </c>
    </row>
    <row r="152" customFormat="false" ht="15" hidden="false" customHeight="true" outlineLevel="0" collapsed="false">
      <c r="A152" s="7" t="s">
        <v>3939</v>
      </c>
      <c r="B152" s="7" t="n">
        <v>61.6</v>
      </c>
      <c r="C152" s="7" t="s">
        <v>3767</v>
      </c>
      <c r="D152" s="7" t="s">
        <v>3683</v>
      </c>
      <c r="E152" s="7" t="s">
        <v>3684</v>
      </c>
      <c r="F152" s="7" t="s">
        <v>3685</v>
      </c>
      <c r="G152" s="7" t="s">
        <v>3688</v>
      </c>
      <c r="H152" s="7" t="n">
        <v>41.6705</v>
      </c>
      <c r="I152" s="7" t="n">
        <v>-74.42475</v>
      </c>
    </row>
    <row r="153" customFormat="false" ht="15" hidden="false" customHeight="true" outlineLevel="0" collapsed="false">
      <c r="A153" s="7" t="s">
        <v>3940</v>
      </c>
      <c r="B153" s="7" t="n">
        <v>61.8</v>
      </c>
      <c r="C153" s="7" t="s">
        <v>3784</v>
      </c>
      <c r="D153" s="7" t="s">
        <v>3690</v>
      </c>
      <c r="E153" s="7" t="s">
        <v>3691</v>
      </c>
      <c r="F153" s="7" t="s">
        <v>3700</v>
      </c>
      <c r="G153" s="7" t="s">
        <v>3941</v>
      </c>
      <c r="H153" s="7" t="n">
        <v>41.65426</v>
      </c>
      <c r="I153" s="7" t="n">
        <v>-73.72602</v>
      </c>
    </row>
    <row r="154" customFormat="false" ht="23.25" hidden="false" customHeight="true" outlineLevel="0" collapsed="false">
      <c r="A154" s="7" t="s">
        <v>3942</v>
      </c>
      <c r="B154" s="7" t="n">
        <v>62</v>
      </c>
      <c r="C154" s="7" t="s">
        <v>3838</v>
      </c>
      <c r="D154" s="7" t="s">
        <v>3699</v>
      </c>
      <c r="E154" s="7" t="s">
        <v>3684</v>
      </c>
      <c r="F154" s="7" t="s">
        <v>3685</v>
      </c>
      <c r="G154" s="7" t="s">
        <v>3943</v>
      </c>
      <c r="H154" s="7" t="n">
        <v>42.90487</v>
      </c>
      <c r="I154" s="7" t="n">
        <v>-75.14705</v>
      </c>
    </row>
    <row r="155" customFormat="false" ht="23.25" hidden="false" customHeight="true" outlineLevel="0" collapsed="false">
      <c r="A155" s="7" t="s">
        <v>3944</v>
      </c>
      <c r="B155" s="7" t="n">
        <v>62.2</v>
      </c>
      <c r="C155" s="7" t="s">
        <v>3905</v>
      </c>
      <c r="D155" s="7" t="s">
        <v>3690</v>
      </c>
      <c r="E155" s="7" t="s">
        <v>3691</v>
      </c>
      <c r="F155" s="7" t="s">
        <v>3700</v>
      </c>
      <c r="G155" s="7" t="s">
        <v>3945</v>
      </c>
      <c r="H155" s="7" t="n">
        <v>43.37023</v>
      </c>
      <c r="I155" s="7" t="n">
        <v>-73.65178</v>
      </c>
    </row>
    <row r="156" customFormat="false" ht="23.25" hidden="false" customHeight="true" outlineLevel="0" collapsed="false">
      <c r="A156" s="7" t="s">
        <v>3946</v>
      </c>
      <c r="B156" s="7" t="n">
        <v>62.6</v>
      </c>
      <c r="C156" s="7" t="s">
        <v>3838</v>
      </c>
      <c r="D156" s="7" t="s">
        <v>3683</v>
      </c>
      <c r="E156" s="7" t="s">
        <v>3684</v>
      </c>
      <c r="F156" s="7" t="s">
        <v>3685</v>
      </c>
      <c r="G156" s="7" t="s">
        <v>3947</v>
      </c>
      <c r="H156" s="7" t="n">
        <v>42.88588</v>
      </c>
      <c r="I156" s="7" t="n">
        <v>-75.17158</v>
      </c>
    </row>
    <row r="157" customFormat="false" ht="23.25" hidden="false" customHeight="true" outlineLevel="0" collapsed="false">
      <c r="A157" s="7" t="s">
        <v>3948</v>
      </c>
      <c r="B157" s="7" t="n">
        <v>62.7</v>
      </c>
      <c r="C157" s="7" t="s">
        <v>3784</v>
      </c>
      <c r="D157" s="7" t="s">
        <v>3827</v>
      </c>
      <c r="E157" s="7" t="s">
        <v>3684</v>
      </c>
      <c r="F157" s="7" t="s">
        <v>3685</v>
      </c>
      <c r="G157" s="7" t="s">
        <v>3949</v>
      </c>
      <c r="H157" s="7" t="n">
        <v>41.61415</v>
      </c>
      <c r="I157" s="7" t="n">
        <v>-73.9197</v>
      </c>
    </row>
    <row r="158" customFormat="false" ht="23.25" hidden="false" customHeight="true" outlineLevel="0" collapsed="false">
      <c r="A158" s="7" t="s">
        <v>3950</v>
      </c>
      <c r="B158" s="7" t="n">
        <v>62.8</v>
      </c>
      <c r="C158" s="7" t="s">
        <v>3905</v>
      </c>
      <c r="D158" s="7" t="s">
        <v>3690</v>
      </c>
      <c r="E158" s="7" t="s">
        <v>3691</v>
      </c>
      <c r="F158" s="7" t="s">
        <v>3700</v>
      </c>
      <c r="G158" s="7" t="s">
        <v>3951</v>
      </c>
      <c r="H158" s="7" t="n">
        <v>43.37739</v>
      </c>
      <c r="I158" s="7" t="n">
        <v>-73.64601</v>
      </c>
    </row>
    <row r="159" customFormat="false" ht="15" hidden="false" customHeight="true" outlineLevel="0" collapsed="false">
      <c r="A159" s="7" t="s">
        <v>3952</v>
      </c>
      <c r="B159" s="7" t="n">
        <v>63.2</v>
      </c>
      <c r="C159" s="7" t="s">
        <v>3905</v>
      </c>
      <c r="D159" s="7" t="s">
        <v>3690</v>
      </c>
      <c r="E159" s="7" t="s">
        <v>3691</v>
      </c>
      <c r="F159" s="7" t="s">
        <v>3692</v>
      </c>
      <c r="G159" s="7" t="s">
        <v>3953</v>
      </c>
      <c r="H159" s="7" t="n">
        <v>43.37977</v>
      </c>
      <c r="I159" s="7" t="n">
        <v>-73.63271</v>
      </c>
    </row>
    <row r="160" customFormat="false" ht="15" hidden="false" customHeight="true" outlineLevel="0" collapsed="false">
      <c r="A160" s="7" t="s">
        <v>3954</v>
      </c>
      <c r="B160" s="7" t="n">
        <v>63.4</v>
      </c>
      <c r="C160" s="7" t="s">
        <v>3905</v>
      </c>
      <c r="D160" s="7" t="s">
        <v>3690</v>
      </c>
      <c r="E160" s="7" t="s">
        <v>3691</v>
      </c>
      <c r="F160" s="7" t="s">
        <v>3692</v>
      </c>
      <c r="G160" s="7" t="s">
        <v>3688</v>
      </c>
      <c r="H160" s="7" t="n">
        <v>43.39976</v>
      </c>
      <c r="I160" s="7" t="n">
        <v>-73.69994</v>
      </c>
    </row>
    <row r="161" customFormat="false" ht="23.25" hidden="false" customHeight="true" outlineLevel="0" collapsed="false">
      <c r="A161" s="7" t="s">
        <v>3955</v>
      </c>
      <c r="B161" s="7" t="n">
        <v>64.1</v>
      </c>
      <c r="C161" s="7" t="s">
        <v>3913</v>
      </c>
      <c r="D161" s="7" t="s">
        <v>3690</v>
      </c>
      <c r="E161" s="7" t="s">
        <v>3691</v>
      </c>
      <c r="F161" s="7" t="s">
        <v>3692</v>
      </c>
      <c r="G161" s="7" t="s">
        <v>3956</v>
      </c>
      <c r="H161" s="7" t="n">
        <v>43.38675</v>
      </c>
      <c r="I161" s="7" t="n">
        <v>-73.60436</v>
      </c>
    </row>
    <row r="162" customFormat="false" ht="23.25" hidden="false" customHeight="true" outlineLevel="0" collapsed="false">
      <c r="A162" s="7" t="s">
        <v>3957</v>
      </c>
      <c r="B162" s="7" t="n">
        <v>64.5</v>
      </c>
      <c r="C162" s="7" t="s">
        <v>3784</v>
      </c>
      <c r="D162" s="7" t="s">
        <v>3827</v>
      </c>
      <c r="E162" s="7" t="s">
        <v>3684</v>
      </c>
      <c r="F162" s="7" t="s">
        <v>3685</v>
      </c>
      <c r="G162" s="7" t="s">
        <v>3958</v>
      </c>
      <c r="H162" s="7" t="n">
        <v>41.60134</v>
      </c>
      <c r="I162" s="7" t="n">
        <v>-73.79638</v>
      </c>
    </row>
    <row r="163" customFormat="false" ht="23.25" hidden="false" customHeight="true" outlineLevel="0" collapsed="false">
      <c r="A163" s="7" t="s">
        <v>3959</v>
      </c>
      <c r="B163" s="7" t="n">
        <v>64.6</v>
      </c>
      <c r="C163" s="7" t="s">
        <v>3838</v>
      </c>
      <c r="D163" s="7" t="s">
        <v>3699</v>
      </c>
      <c r="E163" s="7" t="s">
        <v>3684</v>
      </c>
      <c r="F163" s="7" t="s">
        <v>3700</v>
      </c>
      <c r="G163" s="7" t="s">
        <v>3960</v>
      </c>
      <c r="H163" s="7" t="n">
        <v>42.92477</v>
      </c>
      <c r="I163" s="7" t="n">
        <v>-75.1908</v>
      </c>
    </row>
    <row r="164" customFormat="false" ht="23.25" hidden="false" customHeight="true" outlineLevel="0" collapsed="false">
      <c r="A164" s="7" t="s">
        <v>3961</v>
      </c>
      <c r="B164" s="7" t="n">
        <v>64.7</v>
      </c>
      <c r="C164" s="7" t="s">
        <v>3913</v>
      </c>
      <c r="D164" s="7" t="s">
        <v>3690</v>
      </c>
      <c r="E164" s="7" t="s">
        <v>3691</v>
      </c>
      <c r="F164" s="7" t="s">
        <v>3700</v>
      </c>
      <c r="G164" s="7" t="s">
        <v>3962</v>
      </c>
      <c r="H164" s="7" t="n">
        <v>43.36135</v>
      </c>
      <c r="I164" s="7" t="n">
        <v>-73.49063</v>
      </c>
    </row>
    <row r="165" customFormat="false" ht="15" hidden="false" customHeight="true" outlineLevel="0" collapsed="false">
      <c r="A165" s="7" t="s">
        <v>3963</v>
      </c>
      <c r="B165" s="7" t="n">
        <v>65</v>
      </c>
      <c r="C165" s="7" t="s">
        <v>3784</v>
      </c>
      <c r="D165" s="7" t="s">
        <v>3690</v>
      </c>
      <c r="E165" s="7" t="s">
        <v>3691</v>
      </c>
      <c r="F165" s="7" t="s">
        <v>3700</v>
      </c>
      <c r="G165" s="7" t="s">
        <v>3964</v>
      </c>
      <c r="H165" s="7" t="n">
        <v>41.63378</v>
      </c>
      <c r="I165" s="7" t="n">
        <v>-73.60709</v>
      </c>
    </row>
    <row r="166" customFormat="false" ht="15" hidden="false" customHeight="true" outlineLevel="0" collapsed="false">
      <c r="A166" s="7" t="s">
        <v>3965</v>
      </c>
      <c r="B166" s="7" t="n">
        <v>65.2</v>
      </c>
      <c r="C166" s="7" t="s">
        <v>3905</v>
      </c>
      <c r="D166" s="7" t="s">
        <v>3690</v>
      </c>
      <c r="E166" s="7" t="s">
        <v>3691</v>
      </c>
      <c r="F166" s="7" t="s">
        <v>3692</v>
      </c>
      <c r="G166" s="7" t="s">
        <v>3966</v>
      </c>
      <c r="H166" s="7" t="n">
        <v>43.44639</v>
      </c>
      <c r="I166" s="7" t="n">
        <v>-73.82597</v>
      </c>
    </row>
    <row r="167" customFormat="false" ht="23.25" hidden="false" customHeight="true" outlineLevel="0" collapsed="false">
      <c r="A167" s="7" t="s">
        <v>3967</v>
      </c>
      <c r="B167" s="7" t="n">
        <v>65.3</v>
      </c>
      <c r="C167" s="7" t="s">
        <v>3913</v>
      </c>
      <c r="D167" s="7" t="s">
        <v>3690</v>
      </c>
      <c r="E167" s="7" t="s">
        <v>3691</v>
      </c>
      <c r="F167" s="7" t="s">
        <v>3700</v>
      </c>
      <c r="G167" s="7" t="s">
        <v>3701</v>
      </c>
      <c r="H167" s="7" t="n">
        <v>43.40227</v>
      </c>
      <c r="I167" s="7" t="n">
        <v>-73.59446</v>
      </c>
    </row>
    <row r="168" customFormat="false" ht="15" hidden="false" customHeight="true" outlineLevel="0" collapsed="false">
      <c r="A168" s="7" t="s">
        <v>3968</v>
      </c>
      <c r="B168" s="7" t="n">
        <v>65.5</v>
      </c>
      <c r="C168" s="7" t="s">
        <v>3969</v>
      </c>
      <c r="D168" s="7" t="s">
        <v>3683</v>
      </c>
      <c r="E168" s="7" t="s">
        <v>3684</v>
      </c>
      <c r="F168" s="7" t="s">
        <v>3700</v>
      </c>
      <c r="G168" s="7" t="s">
        <v>3701</v>
      </c>
      <c r="H168" s="7" t="n">
        <v>41.61773</v>
      </c>
      <c r="I168" s="7" t="n">
        <v>-74.44781</v>
      </c>
    </row>
    <row r="169" customFormat="false" ht="23.25" hidden="false" customHeight="true" outlineLevel="0" collapsed="false">
      <c r="A169" s="7" t="s">
        <v>3970</v>
      </c>
      <c r="B169" s="7" t="n">
        <v>65.9</v>
      </c>
      <c r="C169" s="7" t="s">
        <v>3913</v>
      </c>
      <c r="D169" s="7" t="s">
        <v>3754</v>
      </c>
      <c r="E169" s="7" t="s">
        <v>3684</v>
      </c>
      <c r="F169" s="7" t="s">
        <v>3685</v>
      </c>
      <c r="G169" s="7" t="s">
        <v>3688</v>
      </c>
      <c r="H169" s="7" t="n">
        <v>43.40441</v>
      </c>
      <c r="I169" s="7" t="n">
        <v>-73.56588</v>
      </c>
    </row>
    <row r="170" customFormat="false" ht="15" hidden="false" customHeight="true" outlineLevel="0" collapsed="false">
      <c r="A170" s="7" t="s">
        <v>3971</v>
      </c>
      <c r="B170" s="7" t="n">
        <v>66.6</v>
      </c>
      <c r="C170" s="7" t="s">
        <v>3969</v>
      </c>
      <c r="D170" s="7" t="s">
        <v>3690</v>
      </c>
      <c r="E170" s="7" t="s">
        <v>3691</v>
      </c>
      <c r="F170" s="7" t="s">
        <v>3692</v>
      </c>
      <c r="G170" s="7" t="s">
        <v>3688</v>
      </c>
      <c r="H170" s="7" t="n">
        <v>41.60741</v>
      </c>
      <c r="I170" s="7" t="n">
        <v>-74.4762</v>
      </c>
    </row>
    <row r="171" customFormat="false" ht="23.25" hidden="false" customHeight="true" outlineLevel="0" collapsed="false">
      <c r="A171" s="7" t="s">
        <v>3972</v>
      </c>
      <c r="B171" s="7" t="n">
        <v>66.8</v>
      </c>
      <c r="C171" s="7" t="s">
        <v>3784</v>
      </c>
      <c r="D171" s="7" t="s">
        <v>3827</v>
      </c>
      <c r="E171" s="7" t="s">
        <v>3684</v>
      </c>
      <c r="F171" s="7" t="s">
        <v>3685</v>
      </c>
      <c r="G171" s="7" t="s">
        <v>3973</v>
      </c>
      <c r="H171" s="7" t="n">
        <v>41.5751</v>
      </c>
      <c r="I171" s="7" t="n">
        <v>-73.75447</v>
      </c>
    </row>
    <row r="172" customFormat="false" ht="15" hidden="false" customHeight="true" outlineLevel="0" collapsed="false">
      <c r="A172" s="7" t="s">
        <v>3974</v>
      </c>
      <c r="B172" s="7" t="n">
        <v>67.5</v>
      </c>
      <c r="C172" s="7" t="s">
        <v>3969</v>
      </c>
      <c r="D172" s="7" t="s">
        <v>3690</v>
      </c>
      <c r="E172" s="7" t="s">
        <v>3691</v>
      </c>
      <c r="F172" s="7" t="s">
        <v>3700</v>
      </c>
      <c r="G172" s="7" t="s">
        <v>3975</v>
      </c>
      <c r="H172" s="7" t="n">
        <v>41.57941</v>
      </c>
      <c r="I172" s="7" t="n">
        <v>-74.41309</v>
      </c>
    </row>
    <row r="173" customFormat="false" ht="23.25" hidden="false" customHeight="true" outlineLevel="0" collapsed="false">
      <c r="A173" s="7" t="s">
        <v>3976</v>
      </c>
      <c r="B173" s="7" t="n">
        <v>67.7</v>
      </c>
      <c r="C173" s="7" t="s">
        <v>3977</v>
      </c>
      <c r="D173" s="7" t="s">
        <v>3690</v>
      </c>
      <c r="E173" s="7" t="s">
        <v>3691</v>
      </c>
      <c r="F173" s="7" t="s">
        <v>3692</v>
      </c>
      <c r="G173" s="7" t="s">
        <v>3978</v>
      </c>
      <c r="H173" s="7" t="n">
        <v>42.7625</v>
      </c>
      <c r="I173" s="7" t="n">
        <v>-75.33439</v>
      </c>
    </row>
    <row r="174" customFormat="false" ht="23.25" hidden="false" customHeight="true" outlineLevel="0" collapsed="false">
      <c r="A174" s="7" t="s">
        <v>3979</v>
      </c>
      <c r="B174" s="7" t="n">
        <v>67.9</v>
      </c>
      <c r="C174" s="7" t="s">
        <v>3980</v>
      </c>
      <c r="D174" s="7" t="s">
        <v>3699</v>
      </c>
      <c r="E174" s="7" t="s">
        <v>3684</v>
      </c>
      <c r="F174" s="7" t="s">
        <v>3685</v>
      </c>
      <c r="G174" s="7" t="s">
        <v>3981</v>
      </c>
      <c r="H174" s="7" t="n">
        <v>42.96196</v>
      </c>
      <c r="I174" s="7" t="n">
        <v>-75.23841</v>
      </c>
    </row>
    <row r="175" customFormat="false" ht="15" hidden="false" customHeight="true" outlineLevel="0" collapsed="false">
      <c r="A175" s="7" t="s">
        <v>3982</v>
      </c>
      <c r="B175" s="7" t="n">
        <v>68.3</v>
      </c>
      <c r="C175" s="7" t="s">
        <v>3838</v>
      </c>
      <c r="D175" s="7" t="s">
        <v>3936</v>
      </c>
      <c r="E175" s="7" t="s">
        <v>3684</v>
      </c>
      <c r="F175" s="7" t="s">
        <v>3700</v>
      </c>
      <c r="G175" s="7" t="s">
        <v>3983</v>
      </c>
      <c r="H175" s="7" t="n">
        <v>43.03779</v>
      </c>
      <c r="I175" s="7" t="n">
        <v>-75.18974</v>
      </c>
    </row>
    <row r="176" customFormat="false" ht="34.5" hidden="false" customHeight="true" outlineLevel="0" collapsed="false">
      <c r="A176" s="7" t="s">
        <v>3984</v>
      </c>
      <c r="B176" s="7" t="n">
        <v>69.5</v>
      </c>
      <c r="C176" s="7" t="s">
        <v>3980</v>
      </c>
      <c r="D176" s="7" t="s">
        <v>3683</v>
      </c>
      <c r="E176" s="7" t="s">
        <v>3684</v>
      </c>
      <c r="F176" s="7" t="s">
        <v>3685</v>
      </c>
      <c r="G176" s="7" t="s">
        <v>3985</v>
      </c>
      <c r="H176" s="7" t="n">
        <v>42.95315</v>
      </c>
      <c r="I176" s="7" t="n">
        <v>-75.2782</v>
      </c>
    </row>
    <row r="177" customFormat="false" ht="15" hidden="false" customHeight="true" outlineLevel="0" collapsed="false">
      <c r="A177" s="7" t="s">
        <v>3986</v>
      </c>
      <c r="B177" s="7" t="n">
        <v>69.6</v>
      </c>
      <c r="C177" s="7" t="s">
        <v>3905</v>
      </c>
      <c r="D177" s="7" t="s">
        <v>3690</v>
      </c>
      <c r="E177" s="7" t="s">
        <v>3691</v>
      </c>
      <c r="F177" s="7" t="s">
        <v>3692</v>
      </c>
      <c r="G177" s="7" t="s">
        <v>3688</v>
      </c>
      <c r="H177" s="7" t="n">
        <v>43.51055</v>
      </c>
      <c r="I177" s="7" t="n">
        <v>-73.81671</v>
      </c>
    </row>
    <row r="178" customFormat="false" ht="23.25" hidden="false" customHeight="true" outlineLevel="0" collapsed="false">
      <c r="A178" s="7" t="s">
        <v>3987</v>
      </c>
      <c r="B178" s="7" t="n">
        <v>70.1</v>
      </c>
      <c r="C178" s="7" t="s">
        <v>3913</v>
      </c>
      <c r="D178" s="7" t="s">
        <v>3690</v>
      </c>
      <c r="E178" s="7" t="s">
        <v>3691</v>
      </c>
      <c r="F178" s="7" t="s">
        <v>3692</v>
      </c>
      <c r="G178" s="7" t="s">
        <v>3988</v>
      </c>
      <c r="H178" s="7" t="n">
        <v>43.39185</v>
      </c>
      <c r="I178" s="7" t="n">
        <v>-73.34463</v>
      </c>
    </row>
    <row r="179" customFormat="false" ht="15" hidden="false" customHeight="true" outlineLevel="0" collapsed="false">
      <c r="A179" s="7" t="s">
        <v>3989</v>
      </c>
      <c r="B179" s="7" t="n">
        <v>70.6</v>
      </c>
      <c r="C179" s="7" t="s">
        <v>3905</v>
      </c>
      <c r="D179" s="7" t="s">
        <v>3770</v>
      </c>
      <c r="E179" s="7" t="s">
        <v>3684</v>
      </c>
      <c r="F179" s="7" t="s">
        <v>3685</v>
      </c>
      <c r="G179" s="7" t="s">
        <v>3803</v>
      </c>
      <c r="H179" s="7" t="n">
        <v>43.52926</v>
      </c>
      <c r="I179" s="7" t="n">
        <v>-73.84865</v>
      </c>
    </row>
    <row r="180" customFormat="false" ht="15" hidden="false" customHeight="true" outlineLevel="0" collapsed="false">
      <c r="A180" s="7" t="s">
        <v>3990</v>
      </c>
      <c r="B180" s="7" t="n">
        <v>70.7</v>
      </c>
      <c r="C180" s="7" t="s">
        <v>3784</v>
      </c>
      <c r="D180" s="7" t="s">
        <v>3770</v>
      </c>
      <c r="E180" s="7" t="s">
        <v>3684</v>
      </c>
      <c r="F180" s="7" t="s">
        <v>3685</v>
      </c>
      <c r="G180" s="7" t="s">
        <v>3991</v>
      </c>
      <c r="H180" s="7" t="n">
        <v>41.5487</v>
      </c>
      <c r="I180" s="7" t="n">
        <v>-73.59993</v>
      </c>
    </row>
    <row r="181" customFormat="false" ht="15" hidden="false" customHeight="true" outlineLevel="0" collapsed="false">
      <c r="A181" s="7" t="s">
        <v>3992</v>
      </c>
      <c r="B181" s="7" t="n">
        <v>71.8</v>
      </c>
      <c r="C181" s="7" t="s">
        <v>3980</v>
      </c>
      <c r="D181" s="7" t="s">
        <v>3683</v>
      </c>
      <c r="E181" s="7" t="s">
        <v>3684</v>
      </c>
      <c r="F181" s="7" t="s">
        <v>3685</v>
      </c>
      <c r="G181" s="7" t="s">
        <v>3993</v>
      </c>
      <c r="H181" s="7" t="n">
        <v>42.98561</v>
      </c>
      <c r="I181" s="7" t="n">
        <v>-75.30802</v>
      </c>
    </row>
    <row r="182" customFormat="false" ht="15" hidden="false" customHeight="true" outlineLevel="0" collapsed="false">
      <c r="A182" s="7" t="s">
        <v>3994</v>
      </c>
      <c r="B182" s="7" t="n">
        <v>71.8</v>
      </c>
      <c r="C182" s="7" t="s">
        <v>3905</v>
      </c>
      <c r="D182" s="7" t="s">
        <v>3770</v>
      </c>
      <c r="E182" s="7" t="s">
        <v>3684</v>
      </c>
      <c r="F182" s="7" t="s">
        <v>3685</v>
      </c>
      <c r="G182" s="7" t="s">
        <v>3688</v>
      </c>
      <c r="H182" s="7" t="n">
        <v>43.54219</v>
      </c>
      <c r="I182" s="7" t="n">
        <v>-73.81553</v>
      </c>
    </row>
    <row r="183" customFormat="false" ht="23.25" hidden="false" customHeight="true" outlineLevel="0" collapsed="false">
      <c r="A183" s="7" t="s">
        <v>3995</v>
      </c>
      <c r="B183" s="7" t="n">
        <v>72.1</v>
      </c>
      <c r="C183" s="7" t="s">
        <v>3980</v>
      </c>
      <c r="D183" s="7" t="s">
        <v>3683</v>
      </c>
      <c r="E183" s="7" t="s">
        <v>3684</v>
      </c>
      <c r="F183" s="7" t="s">
        <v>3685</v>
      </c>
      <c r="G183" s="7" t="s">
        <v>3996</v>
      </c>
      <c r="H183" s="7" t="n">
        <v>42.98796</v>
      </c>
      <c r="I183" s="7" t="n">
        <v>-75.31298</v>
      </c>
    </row>
    <row r="184" customFormat="false" ht="15" hidden="false" customHeight="true" outlineLevel="0" collapsed="false">
      <c r="A184" s="7" t="s">
        <v>3997</v>
      </c>
      <c r="B184" s="7" t="n">
        <v>72.4</v>
      </c>
      <c r="C184" s="7" t="s">
        <v>1205</v>
      </c>
      <c r="D184" s="7" t="s">
        <v>3690</v>
      </c>
      <c r="E184" s="7" t="s">
        <v>3691</v>
      </c>
      <c r="F184" s="7" t="s">
        <v>3700</v>
      </c>
      <c r="G184" s="7" t="s">
        <v>3929</v>
      </c>
      <c r="H184" s="7" t="n">
        <v>41.49425</v>
      </c>
      <c r="I184" s="7" t="n">
        <v>-74.34695</v>
      </c>
    </row>
    <row r="185" customFormat="false" ht="15" hidden="false" customHeight="true" outlineLevel="0" collapsed="false">
      <c r="A185" s="7" t="s">
        <v>3998</v>
      </c>
      <c r="B185" s="7" t="n">
        <v>72.4</v>
      </c>
      <c r="C185" s="7" t="s">
        <v>3905</v>
      </c>
      <c r="D185" s="7" t="s">
        <v>3770</v>
      </c>
      <c r="E185" s="7" t="s">
        <v>3684</v>
      </c>
      <c r="F185" s="7" t="s">
        <v>3700</v>
      </c>
      <c r="G185" s="7" t="s">
        <v>3999</v>
      </c>
      <c r="H185" s="7" t="n">
        <v>43.55227</v>
      </c>
      <c r="I185" s="7" t="n">
        <v>-73.82971</v>
      </c>
    </row>
    <row r="186" customFormat="false" ht="15" hidden="false" customHeight="true" outlineLevel="0" collapsed="false">
      <c r="A186" s="7" t="s">
        <v>4000</v>
      </c>
      <c r="B186" s="7" t="n">
        <v>72.6</v>
      </c>
      <c r="C186" s="7" t="s">
        <v>3905</v>
      </c>
      <c r="D186" s="7" t="s">
        <v>3770</v>
      </c>
      <c r="E186" s="7" t="s">
        <v>3684</v>
      </c>
      <c r="F186" s="7" t="s">
        <v>3685</v>
      </c>
      <c r="G186" s="7" t="s">
        <v>3688</v>
      </c>
      <c r="H186" s="7" t="n">
        <v>43.56371</v>
      </c>
      <c r="I186" s="7" t="n">
        <v>-73.93001</v>
      </c>
    </row>
    <row r="187" customFormat="false" ht="23.25" hidden="false" customHeight="true" outlineLevel="0" collapsed="false">
      <c r="A187" s="7" t="s">
        <v>4001</v>
      </c>
      <c r="B187" s="7" t="n">
        <v>73.4</v>
      </c>
      <c r="C187" s="7" t="s">
        <v>3913</v>
      </c>
      <c r="D187" s="7" t="s">
        <v>3770</v>
      </c>
      <c r="E187" s="7" t="s">
        <v>3684</v>
      </c>
      <c r="F187" s="7" t="s">
        <v>3685</v>
      </c>
      <c r="G187" s="7" t="s">
        <v>3710</v>
      </c>
      <c r="H187" s="7" t="n">
        <v>43.50195</v>
      </c>
      <c r="I187" s="7" t="n">
        <v>-73.50049</v>
      </c>
    </row>
    <row r="188" customFormat="false" ht="15" hidden="false" customHeight="true" outlineLevel="0" collapsed="false">
      <c r="A188" s="7" t="s">
        <v>4002</v>
      </c>
      <c r="B188" s="7" t="n">
        <v>74.4</v>
      </c>
      <c r="C188" s="7" t="s">
        <v>3980</v>
      </c>
      <c r="D188" s="7" t="s">
        <v>3683</v>
      </c>
      <c r="E188" s="7" t="s">
        <v>3684</v>
      </c>
      <c r="F188" s="7" t="s">
        <v>3685</v>
      </c>
      <c r="G188" s="7" t="s">
        <v>3993</v>
      </c>
      <c r="H188" s="7" t="n">
        <v>42.9555</v>
      </c>
      <c r="I188" s="7" t="n">
        <v>-75.38498</v>
      </c>
    </row>
    <row r="189" customFormat="false" ht="23.25" hidden="false" customHeight="true" outlineLevel="0" collapsed="false">
      <c r="A189" s="7" t="s">
        <v>4003</v>
      </c>
      <c r="B189" s="7" t="n">
        <v>74.6</v>
      </c>
      <c r="C189" s="7" t="s">
        <v>3913</v>
      </c>
      <c r="D189" s="7" t="s">
        <v>3690</v>
      </c>
      <c r="E189" s="7" t="s">
        <v>3691</v>
      </c>
      <c r="F189" s="7" t="s">
        <v>3700</v>
      </c>
      <c r="G189" s="7" t="s">
        <v>3727</v>
      </c>
      <c r="H189" s="7" t="n">
        <v>43.45075</v>
      </c>
      <c r="I189" s="7" t="n">
        <v>-73.3058</v>
      </c>
    </row>
    <row r="190" customFormat="false" ht="15" hidden="false" customHeight="true" outlineLevel="0" collapsed="false">
      <c r="A190" s="7" t="s">
        <v>4004</v>
      </c>
      <c r="B190" s="7" t="n">
        <v>74.9</v>
      </c>
      <c r="C190" s="7" t="s">
        <v>1205</v>
      </c>
      <c r="D190" s="7" t="s">
        <v>3690</v>
      </c>
      <c r="E190" s="7" t="s">
        <v>3691</v>
      </c>
      <c r="F190" s="7" t="s">
        <v>3700</v>
      </c>
      <c r="G190" s="7" t="s">
        <v>3929</v>
      </c>
      <c r="H190" s="7" t="n">
        <v>41.4552</v>
      </c>
      <c r="I190" s="7" t="n">
        <v>-74.33483</v>
      </c>
    </row>
    <row r="191" customFormat="false" ht="23.25" hidden="false" customHeight="true" outlineLevel="0" collapsed="false">
      <c r="A191" s="7" t="s">
        <v>4005</v>
      </c>
      <c r="B191" s="7" t="n">
        <v>74.9</v>
      </c>
      <c r="C191" s="7" t="s">
        <v>1205</v>
      </c>
      <c r="D191" s="7" t="s">
        <v>3690</v>
      </c>
      <c r="E191" s="7" t="s">
        <v>3691</v>
      </c>
      <c r="F191" s="7" t="s">
        <v>3692</v>
      </c>
      <c r="G191" s="7" t="s">
        <v>4006</v>
      </c>
      <c r="H191" s="7" t="n">
        <v>41.44727</v>
      </c>
      <c r="I191" s="7" t="n">
        <v>-74.27834</v>
      </c>
    </row>
    <row r="192" customFormat="false" ht="15" hidden="false" customHeight="true" outlineLevel="0" collapsed="false">
      <c r="A192" s="7" t="s">
        <v>4007</v>
      </c>
      <c r="B192" s="7" t="n">
        <v>75</v>
      </c>
      <c r="C192" s="7" t="s">
        <v>1205</v>
      </c>
      <c r="D192" s="7" t="s">
        <v>3690</v>
      </c>
      <c r="E192" s="7" t="s">
        <v>3691</v>
      </c>
      <c r="F192" s="7" t="s">
        <v>3700</v>
      </c>
      <c r="G192" s="7" t="s">
        <v>3895</v>
      </c>
      <c r="H192" s="7" t="n">
        <v>41.4531</v>
      </c>
      <c r="I192" s="7" t="n">
        <v>-74.33789</v>
      </c>
    </row>
    <row r="194" customFormat="false" ht="15" hidden="false" customHeight="true" outlineLevel="0" collapsed="false">
      <c r="A194" s="8" t="s">
        <v>4008</v>
      </c>
    </row>
    <row r="195" customFormat="false" ht="15" hidden="false" customHeight="true" outlineLevel="0" collapsed="false">
      <c r="A195" s="11" t="s">
        <v>4009</v>
      </c>
    </row>
    <row r="196" customFormat="false" ht="15" hidden="false" customHeight="true" outlineLevel="0" collapsed="false">
      <c r="A196" s="8" t="s">
        <v>4010</v>
      </c>
    </row>
  </sheetData>
  <autoFilter ref="A1:I19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2026-09-21T01:00:06Z</dcterms:created>
  <dc:creator>openpyxl</dc:creator>
  <dc:description/>
  <dc:language>en-US</dc:language>
  <cp:lastModifiedBy/>
  <dcterms:modified xsi:type="dcterms:W3CDTF">2026-09-21T16:30:12Z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