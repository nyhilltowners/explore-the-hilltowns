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README" sheetId="1" state="visible" r:id="rId1"/>
    <sheet xmlns:r="http://schemas.openxmlformats.org/officeDocument/2006/relationships" name="Events" sheetId="2" state="visible" r:id="rId2"/>
    <sheet xmlns:r="http://schemas.openxmlformats.org/officeDocument/2006/relationships" name="Wind &amp; Tornadoes" sheetId="3" state="visible" r:id="rId3"/>
    <sheet xmlns:r="http://schemas.openxmlformats.org/officeDocument/2006/relationships" name="Summary" sheetId="4" state="visible" r:id="rId4"/>
    <sheet xmlns:r="http://schemas.openxmlformats.org/officeDocument/2006/relationships" name="Sources" sheetId="5" state="visible" r:id="rId5"/>
    <sheet xmlns:r="http://schemas.openxmlformats.org/officeDocument/2006/relationships" name="Frost &amp; Freeze Phenology" sheetId="6" state="visible" r:id="rId6"/>
    <sheet xmlns:r="http://schemas.openxmlformats.org/officeDocument/2006/relationships" name="Hudson Freeze Dates" sheetId="7" state="visible" r:id="rId7"/>
    <sheet xmlns:r="http://schemas.openxmlformats.org/officeDocument/2006/relationships" name="CRREL Ice Jams (regional)" sheetId="8" state="visible" r:id="rId8"/>
    <sheet xmlns:r="http://schemas.openxmlformats.org/officeDocument/2006/relationships" name="Subsidence &amp; Karst" sheetId="9" state="visible" r:id="rId9"/>
    <sheet xmlns:r="http://schemas.openxmlformats.org/officeDocument/2006/relationships" name="LiDAR Depressions" sheetId="10" state="visible" r:id="rId10"/>
  </sheets>
  <definedNames>
    <definedName name="_xlnm._FilterDatabase" localSheetId="1" hidden="1">'Events'!$A$1:$V$265</definedName>
    <definedName name="_xlnm._FilterDatabase" localSheetId="2" hidden="1">'Wind &amp; Tornadoes'!$A$1:$U$76</definedName>
    <definedName name="_xlnm._FilterDatabase" localSheetId="6" hidden="1">'Hudson Freeze Dates'!$A$1:$E$44</definedName>
    <definedName name="_xlnm._FilterDatabase" localSheetId="7" hidden="1">'CRREL Ice Jams (regional)'!$A$1:$F$523</definedName>
    <definedName name="_xlnm._FilterDatabase" localSheetId="8" hidden="1">'Subsidence &amp; Karst'!$A$1:$G$23</definedName>
    <definedName name="_xlnm._FilterDatabase" localSheetId="9" hidden="1">'LiDAR Depressions'!$A$1:$I$192</definedName>
  </definedNames>
  <calcPr calcId="124519" fullCalcOnLoad="1" refMode="A1" iterate="0" iterateCount="100" iterateDelta="0.0001"/>
</workbook>
</file>

<file path=xl/styles.xml><?xml version="1.0" encoding="utf-8"?>
<styleSheet xmlns="http://schemas.openxmlformats.org/spreadsheetml/2006/main">
  <numFmts count="0"/>
  <fonts count="10">
    <font>
      <name val="Calibri"/>
      <charset val="1"/>
      <family val="2"/>
      <color theme="1"/>
      <sz val="11"/>
    </font>
    <font>
      <name val="Arial"/>
      <family val="0"/>
      <sz val="10"/>
    </font>
    <font>
      <name val="Arial"/>
      <family val="0"/>
      <sz val="10"/>
    </font>
    <font>
      <name val="Arial"/>
      <family val="0"/>
      <sz val="10"/>
    </font>
    <font>
      <name val="Arial"/>
      <charset val="1"/>
      <family val="0"/>
      <b val="1"/>
      <sz val="13"/>
    </font>
    <font>
      <name val="Arial"/>
      <charset val="1"/>
      <family val="0"/>
      <sz val="10"/>
    </font>
    <font>
      <name val="Arial"/>
      <charset val="1"/>
      <family val="0"/>
      <b val="1"/>
      <sz val="10"/>
    </font>
    <font>
      <name val="Arial"/>
      <charset val="1"/>
      <family val="0"/>
      <b val="1"/>
      <color rgb="FFFFFFFF"/>
      <sz val="10"/>
    </font>
    <font>
      <name val="Arial"/>
      <charset val="1"/>
      <family val="0"/>
      <i val="1"/>
      <sz val="9"/>
    </font>
    <font>
      <name val="Arial"/>
      <charset val="1"/>
      <family val="0"/>
      <i val="1"/>
      <color rgb="FFC00000"/>
      <sz val="9"/>
    </font>
  </fonts>
  <fills count="4">
    <fill>
      <patternFill/>
    </fill>
    <fill>
      <patternFill patternType="gray125"/>
    </fill>
    <fill>
      <patternFill patternType="solid">
        <fgColor rgb="FFFFFF00"/>
        <bgColor rgb="FFFFFF00"/>
      </patternFill>
    </fill>
    <fill>
      <patternFill patternType="solid">
        <fgColor rgb="FF1F4E78"/>
        <bgColor rgb="FF003366"/>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4">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5" fillId="2" borderId="0" applyAlignment="1" pivotButton="0" quotePrefix="0" xfId="0">
      <alignment horizontal="general" vertical="top" wrapText="1"/>
    </xf>
    <xf numFmtId="0" fontId="6" fillId="0" borderId="0" applyAlignment="1" pivotButton="0" quotePrefix="0" xfId="0">
      <alignment horizontal="general" vertical="top" wrapText="1"/>
    </xf>
    <xf numFmtId="0" fontId="7" fillId="3" borderId="0" applyAlignment="1" pivotButton="0" quotePrefix="0" xfId="0">
      <alignment horizontal="general" vertical="center" wrapText="1"/>
    </xf>
    <xf numFmtId="0" fontId="5" fillId="0" borderId="1" applyAlignment="1" pivotButton="0" quotePrefix="0" xfId="0">
      <alignment horizontal="general" vertical="top" wrapText="1"/>
    </xf>
    <xf numFmtId="0" fontId="8" fillId="0" borderId="0" applyAlignment="1" pivotButton="0" quotePrefix="0" xfId="0">
      <alignment horizontal="general" vertical="bottom"/>
    </xf>
    <xf numFmtId="0" fontId="6" fillId="0" borderId="0" applyAlignment="1" pivotButton="0" quotePrefix="0" xfId="0">
      <alignment horizontal="general" vertical="bottom"/>
    </xf>
    <xf numFmtId="0" fontId="5" fillId="0" borderId="0" applyAlignment="1" pivotButton="0" quotePrefix="0" xfId="0">
      <alignment horizontal="general" vertical="bottom"/>
    </xf>
    <xf numFmtId="0" fontId="9"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5" fillId="2" borderId="0" applyAlignment="1" pivotButton="0" quotePrefix="0" xfId="0">
      <alignment horizontal="general" vertical="top" wrapText="1"/>
    </xf>
    <xf numFmtId="0" fontId="6" fillId="0" borderId="0" applyAlignment="1" pivotButton="0" quotePrefix="0" xfId="0">
      <alignment horizontal="general" vertical="top" wrapText="1"/>
    </xf>
    <xf numFmtId="0" fontId="7" fillId="3" borderId="0" applyAlignment="1" pivotButton="0" quotePrefix="0" xfId="0">
      <alignment horizontal="general" vertical="center" wrapText="1"/>
    </xf>
    <xf numFmtId="0" fontId="5" fillId="0" borderId="1" applyAlignment="1" pivotButton="0" quotePrefix="0" xfId="0">
      <alignment horizontal="general" vertical="top" wrapText="1"/>
    </xf>
    <xf numFmtId="0" fontId="8" fillId="0" borderId="0" applyAlignment="1" pivotButton="0" quotePrefix="0" xfId="0">
      <alignment horizontal="general" vertical="bottom"/>
    </xf>
    <xf numFmtId="0" fontId="6" fillId="0" borderId="0" applyAlignment="1" pivotButton="0" quotePrefix="0" xfId="0">
      <alignment horizontal="general" vertical="bottom"/>
    </xf>
    <xf numFmtId="0" fontId="5" fillId="0" borderId="0" applyAlignment="1" pivotButton="0" quotePrefix="0" xfId="0">
      <alignment horizontal="general" vertical="bottom"/>
    </xf>
    <xf numFmtId="0" fontId="9"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3">
    <dxf>
      <fill>
        <patternFill patternType="solid">
          <fgColor rgb="FF1F4E78"/>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B48"/>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2" customWidth="1" style="12" min="1" max="1"/>
    <col width="110" customWidth="1" style="12" min="2" max="2"/>
  </cols>
  <sheetData>
    <row r="1" ht="86.25" customHeight="1" s="13">
      <c r="A1" s="14" t="inlineStr">
        <is>
          <t>Regional Climate &amp; Weather Event Register — Catskills / Hudson Valley / Capital Region</t>
        </is>
      </c>
      <c r="B1" s="15" t="n"/>
    </row>
    <row r="2" ht="34.5" customHeight="1" s="13">
      <c r="A2" s="15" t="inlineStr">
        <is>
          <t>Reference point for the Wind &amp; Tornado sheet: Westerlo, NY hamlet</t>
        </is>
      </c>
      <c r="B2" s="15" t="n"/>
    </row>
    <row r="3" ht="15" customHeight="1" s="13">
      <c r="A3" s="15" t="inlineStr">
        <is>
          <t>Westerlo latitude</t>
        </is>
      </c>
      <c r="B3" s="16" t="n">
        <v>42.517</v>
      </c>
    </row>
    <row r="4" ht="15" customHeight="1" s="13">
      <c r="A4" s="15" t="inlineStr">
        <is>
          <t>Westerlo longitude</t>
        </is>
      </c>
      <c r="B4" s="16" t="n">
        <v>-74.045</v>
      </c>
    </row>
    <row r="5" ht="15" customHeight="1" s="13">
      <c r="A5" s="15" t="inlineStr">
        <is>
          <t>Search radius (miles)</t>
        </is>
      </c>
      <c r="B5" s="16" t="n">
        <v>30</v>
      </c>
    </row>
    <row r="6" ht="191.25" customHeight="1" s="13">
      <c r="A6" s="15" t="inlineStr">
        <is>
          <t>Radius note: the 30-mile radius applies ONLY to the Wind &amp; Tornado sheet (localized, small-footprint events). Regional hazards — floods, ice jams, droughts, cold waves, blizzards, heat waves — are NOT radius-limited; they are included wherever they affected the Catskills, Hudson Valley, Mohawk Valley or Capital Region. The CRREL ice-jam sheet uses a 75-mile regional footprint with its own Dist. column.</t>
        </is>
      </c>
      <c r="B6" s="15" t="n"/>
    </row>
    <row r="7" ht="15" customHeight="1" s="13">
      <c r="A7" s="17" t="n"/>
      <c r="B7" s="15" t="n"/>
    </row>
    <row r="8" ht="15" customHeight="1" s="13">
      <c r="A8" s="15" t="inlineStr">
        <is>
          <t>Sheets</t>
        </is>
      </c>
      <c r="B8" s="15" t="n"/>
    </row>
    <row r="9" ht="15" customHeight="1" s="13">
      <c r="A9" s="15" t="inlineStr">
        <is>
          <t>Events</t>
        </is>
      </c>
      <c r="B9" s="15" t="inlineStr">
        <is>
          <t>One row per event. ~150 rows. Sort/filter by Category, Confidence, Verified.</t>
        </is>
      </c>
    </row>
    <row r="10" ht="34.5" customHeight="1" s="13">
      <c r="A10" s="15" t="inlineStr">
        <is>
          <t>Wind &amp; Tornadoes</t>
        </is>
      </c>
      <c r="B10" s="15" t="inlineStr">
        <is>
          <t>Every tornado from NCEI (1950–2012 via Tornado Project; 2013+ via NWS ALY surveys/tornadopath) within ~45 mi, plus Grazulis pre-1950 F2+/deadly, plus notable straight-line wind days. Distance from Westerlo is a live haversine formula off the cells above; 'Within radius' flag recalculates if you change the radius.</t>
        </is>
      </c>
    </row>
    <row r="11" ht="15" customHeight="1" s="13">
      <c r="A11" s="15" t="inlineStr">
        <is>
          <t>Summary</t>
        </is>
      </c>
      <c r="B11" s="15" t="inlineStr">
        <is>
          <t>COUNTIF roll-ups by category, confidence and century; tornado counts by rating and within-radius.</t>
        </is>
      </c>
    </row>
    <row r="12" ht="15" customHeight="1" s="13">
      <c r="A12" s="15" t="inlineStr">
        <is>
          <t>Sources</t>
        </is>
      </c>
      <c r="B12" s="15" t="inlineStr">
        <is>
          <t>Primary sources with URLs and what each is good for.</t>
        </is>
      </c>
    </row>
    <row r="13" ht="15" customHeight="1" s="13">
      <c r="A13" s="17" t="n"/>
      <c r="B13" s="15" t="n"/>
    </row>
    <row r="14" ht="15" customHeight="1" s="13">
      <c r="A14" s="15" t="inlineStr">
        <is>
          <t>Confidence grades</t>
        </is>
      </c>
      <c r="B14" s="15" t="n"/>
    </row>
    <row r="15" ht="15" customHeight="1" s="13">
      <c r="A15" s="15" t="inlineStr">
        <is>
          <t>A</t>
        </is>
      </c>
      <c r="B15" s="15" t="inlineStr">
        <is>
          <t>Instrument-era figure taken directly from NWS Albany, NCEI, USGS, or an NWS storm survey this pass.</t>
        </is>
      </c>
    </row>
    <row r="16" ht="15" customHeight="1" s="13">
      <c r="A16" s="15" t="inlineStr">
        <is>
          <t>B</t>
        </is>
      </c>
      <c r="B16" s="15" t="inlineStr">
        <is>
          <t>Well-documented event; figures from secondary sources or from memory of standard references — check before quoting a number.</t>
        </is>
      </c>
    </row>
    <row r="17" ht="15" customHeight="1" s="13">
      <c r="A17" s="15" t="inlineStr">
        <is>
          <t>C</t>
        </is>
      </c>
      <c r="B17" s="15" t="inlineStr">
        <is>
          <t>Chronicle/diary-era (pre-~1870) or qualitative; treat as 'it happened and was bad', not as data.</t>
        </is>
      </c>
    </row>
    <row r="18" ht="15" customHeight="1" s="13">
      <c r="A18" s="17" t="n"/>
      <c r="B18" s="15" t="n"/>
    </row>
    <row r="19" ht="23.25" customHeight="1" s="13">
      <c r="A19" s="15" t="inlineStr">
        <is>
          <t>Verified column</t>
        </is>
      </c>
      <c r="B19" s="15" t="inlineStr">
        <is>
          <t>Y = checked against a primary source during this build (NWS ALY Past Events page, Tornado Project county tables, NCEI, NWS ALY July 2026 writeup). N = not yet checked; these are the rows to work through first.</t>
        </is>
      </c>
    </row>
    <row r="20" ht="15" customHeight="1" s="13">
      <c r="A20" s="17" t="n"/>
      <c r="B20" s="15" t="n"/>
    </row>
    <row r="21" ht="15" customHeight="1" s="13">
      <c r="A21" s="15" t="inlineStr">
        <is>
          <t>Known gaps / to-do</t>
        </is>
      </c>
      <c r="B21" s="15" t="n"/>
    </row>
    <row r="22" ht="23.25" customHeight="1" s="13">
      <c r="A22" s="15" t="inlineStr">
        <is>
          <t>1</t>
        </is>
      </c>
      <c r="B22" s="15" t="inlineStr">
        <is>
          <t>Pre-1870 growing-season disasters are under-represented; Ludlum and county histories (Beers, Munsell's Annals of Albany) would fill them.</t>
        </is>
      </c>
    </row>
    <row r="23" ht="23.25" customHeight="1" s="13">
      <c r="A23" s="15" t="inlineStr">
        <is>
          <t>2</t>
        </is>
      </c>
      <c r="B23" s="15" t="inlineStr">
        <is>
          <t>Albany all-time extremes (104°F Jul 4 1911; –28°F Jan 19 1971) not yet re-checked against weather.gov/media/aly/Climate/ALB_Extremes.pdf.</t>
        </is>
      </c>
    </row>
    <row r="24" ht="15" customHeight="1" s="13">
      <c r="A24" s="15" t="inlineStr">
        <is>
          <t>3</t>
        </is>
      </c>
      <c r="B24" s="15" t="inlineStr">
        <is>
          <t>Post-2012 tornado coordinates marked 'approx' should be replaced with NCEI begin/end lat-lon.</t>
        </is>
      </c>
    </row>
    <row r="25" ht="15" customHeight="1" s="13">
      <c r="A25" s="15" t="inlineStr">
        <is>
          <t>4</t>
        </is>
      </c>
      <c r="B25" s="15" t="inlineStr">
        <is>
          <t>April 21, 2021 tornado locations and the July 27, 2014 EF1 location not captured.</t>
        </is>
      </c>
    </row>
    <row r="26" ht="23.25" customHeight="1" s="13">
      <c r="A26" s="15" t="inlineStr">
        <is>
          <t>5</t>
        </is>
      </c>
      <c r="B26" s="15" t="inlineStr">
        <is>
          <t>Frost/freeze dates for the Helderberg plateau specifically: pull GHCN daily for the nearest coop (Rensselaerville? Delanson? Albany AP as fallback) rather than trusting valley stations.</t>
        </is>
      </c>
    </row>
    <row r="27" ht="15" customHeight="1" s="13">
      <c r="A27" s="15" t="inlineStr">
        <is>
          <t>6</t>
        </is>
      </c>
      <c r="B27" s="15" t="inlineStr">
        <is>
          <t>Drought years should be re-graded from the US Drought Monitor archive (2000+) and Palmer indices (pre-2000).</t>
        </is>
      </c>
    </row>
    <row r="28" ht="15" customHeight="1" s="13">
      <c r="A28" s="15" t="n"/>
      <c r="B28" s="15" t="n"/>
    </row>
    <row r="29" ht="34.5" customHeight="1" s="13">
      <c r="A29" s="15" t="inlineStr">
        <is>
          <t>Timeline anchors</t>
        </is>
      </c>
      <c r="B29" s="15" t="inlineStr">
        <is>
          <t>Columns Q–V on Events give one anchor date per row for plotting. Precision: day = the date is the date; days = anchored to the first (or peak) day of a ≤10-day event; week/month/season/year = a representative point inside a longer window (mid-point unless the basis column says otherwise). Filter on precision when you build the timeline so you don't plot a drought as if it happened on one afternoon.</t>
        </is>
      </c>
    </row>
    <row r="30" ht="23.25" customHeight="1" s="13">
      <c r="A30" s="15" t="inlineStr">
        <is>
          <t>Dates before 1900</t>
        </is>
      </c>
      <c r="B30" s="15" t="inlineStr">
        <is>
          <t>Excel cannot store dates before 1900-01-01, so all dates are ISO text and the anchor is split into numeric Year/Month/Day columns — the format TimelineJS and most timeline libraries expect.</t>
        </is>
      </c>
    </row>
    <row r="31" ht="23.25" customHeight="1" s="13">
      <c r="A31" s="15" t="inlineStr">
        <is>
          <t>Geohazard rows</t>
        </is>
      </c>
      <c r="B31" s="15" t="inlineStr">
        <is>
          <t>Categories Ice jam, Landslide, Sinkhole (karst vs infrastructure) added. Two rows are context/pattern rows (precision = year) and should be filtered out of a point timeline. Three Niagara rows are flagged OUT OF REGION in the name.</t>
        </is>
      </c>
    </row>
    <row r="32" ht="34.5" customHeight="1" s="13">
      <c r="A32" s="15" t="inlineStr">
        <is>
          <t>Cells highlighted yellow are inputs you can change.</t>
        </is>
      </c>
      <c r="B32" s="15" t="n"/>
    </row>
    <row r="34" ht="15" customHeight="1" s="13">
      <c r="A34" s="12" t="inlineStr">
        <is>
          <t>--- 2026-09-21 addendum (Claude, atlas session — the original research chat was NOT reopened) ---</t>
        </is>
      </c>
    </row>
    <row r="35" ht="15" customHeight="1" s="13">
      <c r="A35" s="12" t="inlineStr">
        <is>
          <t>Cross-checked this handoff package against the atlas's own copy of the register: the atlas copy was already ahead (293 events / 29 sources / 29 karst features vs 264/24/24 here), so nothing was missing.</t>
        </is>
      </c>
    </row>
    <row r="36" ht="15" customHeight="1" s="13">
      <c r="A36" s="12" t="inlineStr">
        <is>
          <t>Then worked the open-items list as far as web search + the atlas's own station data would go:</t>
        </is>
      </c>
    </row>
    <row r="37" ht="15" customHeight="1" s="13">
      <c r="A37" s="12" t="inlineStr">
        <is>
          <t xml:space="preserve">  #1 Knox Cave month: the 2025 Pomeroy Foundation historic marker independently says March 1975 — now 2 sources for March vs 1 for May vs 1 for 1976. Anchor updated to 1975-03 (month precision; day still not asserted). See Events row 141 and Sources.</t>
        </is>
      </c>
    </row>
    <row r="38" ht="15" customHeight="1" s="13">
      <c r="A38" s="12" t="inlineStr">
        <is>
          <t xml:space="preserve">  #3 Albany extremes: CONFIRMED against the current ALB_Extremes.pdf — 104°F Jul 4 1911 / -28°F Jan 19 1971, exactly as already recorded.</t>
        </is>
      </c>
    </row>
    <row r="39" ht="15" customHeight="1" s="13">
      <c r="A39" s="12" t="inlineStr">
        <is>
          <t xml:space="preserve">  #4 Frost/freeze phenology: built from Alcove Dam's own daily record (already in the atlas repo, no new upload needed) — see the new "Frost &amp; Freeze Phenology" sheet. 70-year and recent-30-year medians, full year-by-year table. Alcove Dam is ~590 ft, ~1,100 ft below Laurie's plateau — the best available regional anchor, not a plateau substitute.</t>
        </is>
      </c>
    </row>
    <row r="40" ht="15" customHeight="1" s="13">
      <c r="A40" s="12" t="inlineStr">
        <is>
          <t xml:space="preserve">  Bonus: Stone (2005 NCKMS) corrects McFail's own death to July 1, 1854 (not the widely repeated 1853 from Roscoe 1882) — logged in Sources. Did NOT find the historic-entrance collapse date (#2) — still open.</t>
        </is>
      </c>
    </row>
    <row r="41" ht="15" customHeight="1" s="13">
      <c r="A41" s="12" t="inlineStr">
        <is>
          <t>STILL OPEN, genuinely unresolved by this pass (need the original chat's archive access or Laurie's own future work, not just web search):</t>
        </is>
      </c>
    </row>
    <row r="42" ht="15" customHeight="1" s="13">
      <c r="A42" s="12" t="inlineStr">
        <is>
          <t xml:space="preserve">  #2 McFails historic-entrance collapse date. #5 Ludlum vol. II (1821-1870) — a physical/scanned book, not found online. #6 Fine-grained LiDAR sinkholes off Laurie's own parcel DEM — her own QGIS work (see the separate Westerlo_land_mapping package, which already ran this on her 25 acres and found NO karst there — see data/hilltowns_poi_lore_notes.md). #7 NYS Museum karst inventory / USGS SIR 2020-5030 Appendix 1 — not ingested. #8 Post-2012 tornado exact coordinates — would need the row-by-row NCEI lookup, not attempted this pass.</t>
        </is>
      </c>
    </row>
    <row r="43" ht="15" customHeight="1" s="13">
      <c r="A43" s="12" t="inlineStr">
        <is>
          <t>The Folklore doc's lore items (Knox Cave legends, Old Skull bone-chamber, Clarksville wall carvings, Barton Hill "hollow hill") were appended to data/hilltowns_poi_lore_notes.md for the Lore Map — kept OUT of this register per the original project's own convention.</t>
        </is>
      </c>
    </row>
    <row r="45" ht="15" customHeight="1" s="13">
      <c r="A45" s="12" t="inlineStr">
        <is>
          <t>--- 2026-09-21 addendum #2 (Claude, atlas session) ---</t>
        </is>
      </c>
    </row>
    <row r="46" ht="15" customHeight="1" s="13">
      <c r="A46" s="12" t="inlineStr">
        <is>
          <t>Laurie sent a second handoff package (Westerlo_Climate_Register_HANDOFF_v2) from the original research chat, which had branched forward independently after the first handoff — the two branches genuinely diverged (mine has the Knox Cave date fix + 4 new sources + the Frost sheet; v2 has 5 newly researched karst features with real published/USGS coordinates and a full coordinate pass on the whole Karst sheet).</t>
        </is>
      </c>
    </row>
    <row r="47" ht="15" customHeight="1" s="13">
      <c r="A47" s="12" t="inlineStr">
        <is>
          <t>Merged v2 into this file: 21 existing Subsidence &amp; Karst rows got real coordinates (replacing hamlet-centroid guesses) and 4 new coordinate/precision/source columns; 5 new features added (Natural Stone Bridge &amp; Caves, Bartholomew's Cobble/Eldon's Cave, Rosendale/Widow Jane Mine, Tory Cave, Wolf Hollow) plus the scope-note and carbonate-belt-polygon rows. Matching Geology-layer pins updated/added in data/points_of_interest.xlsx; Tory Cave's 1777 Loyalist-spy lore also added to the Folklore layer.</t>
        </is>
      </c>
    </row>
    <row r="48" ht="15" customHeight="1" s="13">
      <c r="A48" s="12" t="inlineStr">
        <is>
          <t>v2 did NOT carry my Knox Cave date fix or the 4 new sources forward — those stay atlas-only unless the original chat is refreshed from here.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W784"/>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6" customWidth="1" style="12" min="1" max="1"/>
    <col width="12" customWidth="1" style="12" min="2" max="3"/>
    <col width="7" customWidth="1" style="12" min="4" max="4"/>
    <col width="9" customWidth="1" style="12" min="5" max="5"/>
    <col width="22" customWidth="1" style="12" min="6" max="6"/>
    <col width="34" customWidth="1" style="12" min="7" max="7"/>
    <col width="28" customWidth="1" style="12" min="8" max="8"/>
    <col width="40" customWidth="1" style="12" min="9" max="9"/>
    <col width="18" customWidth="1" style="12" min="10" max="10"/>
    <col width="55" customWidth="1" style="12" min="11" max="11"/>
    <col width="30" customWidth="1" style="12" min="12" max="13"/>
    <col width="10" customWidth="1" style="12" min="14" max="15"/>
    <col width="40" customWidth="1" style="12" min="16" max="16"/>
    <col width="13" customWidth="1" style="12" min="17" max="17"/>
    <col width="8" customWidth="1" style="12" min="18" max="19"/>
    <col width="7" customWidth="1" style="12" min="20" max="20"/>
    <col width="10" customWidth="1" style="12" min="21" max="21"/>
    <col width="40" customWidth="1" style="12" min="22" max="22"/>
  </cols>
  <sheetData>
    <row r="1" ht="45.75" customHeight="1" s="13">
      <c r="A1" s="18" t="inlineStr">
        <is>
          <t>ID</t>
        </is>
      </c>
      <c r="B1" s="18" t="inlineStr">
        <is>
          <t>Start date</t>
        </is>
      </c>
      <c r="C1" s="18" t="inlineStr">
        <is>
          <t>End date</t>
        </is>
      </c>
      <c r="D1" s="18" t="inlineStr">
        <is>
          <t>Year</t>
        </is>
      </c>
      <c r="E1" s="18" t="inlineStr">
        <is>
          <t>Century</t>
        </is>
      </c>
      <c r="F1" s="18" t="inlineStr">
        <is>
          <t>Category</t>
        </is>
      </c>
      <c r="G1" s="18" t="inlineStr">
        <is>
          <t>Event name</t>
        </is>
      </c>
      <c r="H1" s="18" t="inlineStr">
        <is>
          <t>Area affected</t>
        </is>
      </c>
      <c r="I1" s="18" t="inlineStr">
        <is>
          <t>Key measurement</t>
        </is>
      </c>
      <c r="J1" s="18" t="inlineStr">
        <is>
          <t>Station / gauge</t>
        </is>
      </c>
      <c r="K1" s="18" t="inlineStr">
        <is>
          <t>Impact summary</t>
        </is>
      </c>
      <c r="L1" s="18" t="inlineStr">
        <is>
          <t>Primary source</t>
        </is>
      </c>
      <c r="M1" s="18" t="inlineStr">
        <is>
          <t>Source URL</t>
        </is>
      </c>
      <c r="N1" s="18" t="inlineStr">
        <is>
          <t>Confidence</t>
        </is>
      </c>
      <c r="O1" s="18" t="inlineStr">
        <is>
          <t>Verified this pass</t>
        </is>
      </c>
      <c r="P1" s="18" t="inlineStr">
        <is>
          <t>Notes / to-do</t>
        </is>
      </c>
      <c r="Q1" s="18" t="inlineStr">
        <is>
          <t>Timeline anchor (ISO)</t>
        </is>
      </c>
      <c r="R1" s="18" t="inlineStr">
        <is>
          <t>Anchor year</t>
        </is>
      </c>
      <c r="S1" s="18" t="inlineStr">
        <is>
          <t>Anchor month</t>
        </is>
      </c>
      <c r="T1" s="18" t="inlineStr">
        <is>
          <t>Anchor day</t>
        </is>
      </c>
      <c r="U1" s="18" t="inlineStr">
        <is>
          <t>Date precision</t>
        </is>
      </c>
      <c r="V1" s="18" t="inlineStr">
        <is>
          <t>Anchor basis</t>
        </is>
      </c>
      <c r="W1" s="12" t="inlineStr">
        <is>
          <t>Show on timeline</t>
        </is>
      </c>
    </row>
    <row r="2" ht="34.5" customHeight="1" s="13">
      <c r="A2" s="19" t="n">
        <v>1</v>
      </c>
      <c r="B2" s="19" t="inlineStr">
        <is>
          <t>1635-08-25</t>
        </is>
      </c>
      <c r="C2" s="19" t="inlineStr">
        <is>
          <t>1635-08-25</t>
        </is>
      </c>
      <c r="D2" s="19">
        <f>VALUE(LEFT(B2,4))</f>
        <v/>
      </c>
      <c r="E2" s="19">
        <f>INT((D2-1)/100)+1</f>
        <v/>
      </c>
      <c r="F2" s="19" t="inlineStr">
        <is>
          <t>Tropical cyclone</t>
        </is>
      </c>
      <c r="G2" s="19" t="inlineStr">
        <is>
          <t>The Great Colonial Hurricane of 1635</t>
        </is>
      </c>
      <c r="H2" s="19" t="inlineStr">
        <is>
          <t>New England; track inland over W. New England / NY State</t>
        </is>
      </c>
      <c r="I2" s="19" t="inlineStr">
        <is>
          <t>Trough of low pressure over W. New England or NY State drove the storm north; forests leveled, hundreds of thousands of trees down</t>
        </is>
      </c>
      <c r="J2" s="19" t="inlineStr">
        <is>
          <t>Winthrop &amp; Bradford diaries via Ludlum</t>
        </is>
      </c>
      <c r="K2" s="19" t="inlineStr">
        <is>
          <t>The greatest NE hurricane of the colonial period; Mather inferred a well-established low-pressure trough over western New England or NY State. Aug 15 Old Style = Aug 25 New Style.</t>
        </is>
      </c>
      <c r="L2" s="19" t="inlineStr">
        <is>
          <t>Ludlum, Early American Hurricanes 1492–1870 (AMS, 1963), pp. 8–23 (verified, page images/text)</t>
        </is>
      </c>
      <c r="M2" s="19" t="inlineStr">
        <is>
          <t>https://hdl.handle.net/2027/mdp.39015002912718</t>
        </is>
      </c>
      <c r="N2" s="19" t="inlineStr">
        <is>
          <t>C</t>
        </is>
      </c>
      <c r="O2" s="19" t="inlineStr">
        <is>
          <t>Y</t>
        </is>
      </c>
      <c r="P2" s="19" t="inlineStr">
        <is>
          <t>Track inland of NY State inferred, not observed at Albany; included as the regional-scale storm-of-record for the 17th c.</t>
        </is>
      </c>
      <c r="Q2" s="19" t="inlineStr">
        <is>
          <t>1635-08-25</t>
        </is>
      </c>
      <c r="R2" s="19">
        <f>VALUE(LEFT(Q2,4))</f>
        <v/>
      </c>
      <c r="S2" s="19">
        <f>VALUE(MID(Q2,6,2))</f>
        <v/>
      </c>
      <c r="T2" s="19">
        <f>VALUE(RIGHT(Q2,2))</f>
        <v/>
      </c>
      <c r="U2" s="19" t="inlineStr">
        <is>
          <t>day</t>
        </is>
      </c>
      <c r="V2" s="19" t="inlineStr">
        <is>
          <t>Single-day event</t>
        </is>
      </c>
    </row>
    <row r="3" ht="45.75" customHeight="1" s="13">
      <c r="A3" s="19" t="n">
        <v>2</v>
      </c>
      <c r="B3" s="19" t="inlineStr">
        <is>
          <t>1645-11-25</t>
        </is>
      </c>
      <c r="C3" s="19" t="inlineStr">
        <is>
          <t>1645-11-25</t>
        </is>
      </c>
      <c r="D3" s="19">
        <f>VALUE(LEFT(B3,4))</f>
        <v/>
      </c>
      <c r="E3" s="19">
        <f>INT((D3-1)/100)+1</f>
        <v/>
      </c>
      <c r="F3" s="19" t="inlineStr">
        <is>
          <t>Early freeze</t>
        </is>
      </c>
      <c r="G3" s="19" t="inlineStr">
        <is>
          <t>Hudson closed at Rensselaerwyck, Nov 25, 1645</t>
        </is>
      </c>
      <c r="H3" s="19" t="inlineStr">
        <is>
          <t>Albany (Rensselaerwyck)</t>
        </is>
      </c>
      <c r="I3" s="19" t="inlineStr">
        <is>
          <t>North River closed Nov 25 'and remained frozen very late'</t>
        </is>
      </c>
      <c r="J3" s="19" t="inlineStr">
        <is>
          <t>Van der Donck, Description of New Netherland (1656) via Ludlum p. 28</t>
        </is>
      </c>
      <c r="K3" s="19" t="inlineStr">
        <is>
          <t>Earliest dated weather observation for the Albany area in the register; van der Donck notes winters above the Highlands begin earlier and last longer than at New Amsterdam.</t>
        </is>
      </c>
      <c r="L3" s="19" t="inlineStr">
        <is>
          <t>Ludlum, Early American Winters I (page screenshots, verified)</t>
        </is>
      </c>
      <c r="M3" s="19" t="n"/>
      <c r="N3" s="19" t="inlineStr">
        <is>
          <t>B</t>
        </is>
      </c>
      <c r="O3" s="19" t="inlineStr">
        <is>
          <t>Y</t>
        </is>
      </c>
      <c r="P3" s="19" t="inlineStr">
        <is>
          <t>Old Style date as given.</t>
        </is>
      </c>
      <c r="Q3" s="19" t="inlineStr">
        <is>
          <t>1645-11-25</t>
        </is>
      </c>
      <c r="R3" s="19">
        <f>VALUE(LEFT(Q3,4))</f>
        <v/>
      </c>
      <c r="S3" s="19">
        <f>VALUE(MID(Q3,6,2))</f>
        <v/>
      </c>
      <c r="T3" s="19">
        <f>VALUE(RIGHT(Q3,2))</f>
        <v/>
      </c>
      <c r="U3" s="19" t="inlineStr">
        <is>
          <t>day</t>
        </is>
      </c>
      <c r="V3" s="19" t="inlineStr">
        <is>
          <t>Single-day event</t>
        </is>
      </c>
    </row>
    <row r="4" ht="34.5" customHeight="1" s="13">
      <c r="A4" s="19" t="n">
        <v>3</v>
      </c>
      <c r="B4" s="19" t="inlineStr">
        <is>
          <t>1667-08-27</t>
        </is>
      </c>
      <c r="C4" s="19" t="inlineStr">
        <is>
          <t>1667-08-27</t>
        </is>
      </c>
      <c r="D4" s="19">
        <f>VALUE(LEFT(B4,4))</f>
        <v/>
      </c>
      <c r="E4" s="19">
        <f>INT((D4-1)/100)+1</f>
        <v/>
      </c>
      <c r="F4" s="19" t="inlineStr">
        <is>
          <t>Tropical cyclone</t>
        </is>
      </c>
      <c r="G4" s="19" t="inlineStr">
        <is>
          <t>The Dreadful Hurry Cane of 1667</t>
        </is>
      </c>
      <c r="H4" s="19" t="inlineStr">
        <is>
          <t>Virginia; track inland over the Middle Atlantic; Manhattan Aug 29</t>
        </is>
      </c>
      <c r="I4" s="19" t="inlineStr">
        <is>
          <t>Severe storm at Manhattan Aug 29 (Stokes, Iconography); center inland over N. Virginia then up the seaboard</t>
        </is>
      </c>
      <c r="J4" s="19" t="inlineStr">
        <is>
          <t>Strange News from Virginia (1667) via Ludlum</t>
        </is>
      </c>
      <c r="K4" s="19" t="inlineStr">
        <is>
          <t>Reached Manhattan; the northern edge likely brushed the lower Hudson. 12 days of rain and flooding followed in VA.</t>
        </is>
      </c>
      <c r="L4" s="19" t="inlineStr">
        <is>
          <t>Ludlum, Early American Hurricanes 1492–1870 (AMS, 1963), pp. 8–23 (verified, page images/text)</t>
        </is>
      </c>
      <c r="M4" s="19" t="inlineStr">
        <is>
          <t>https://hdl.handle.net/2027/mdp.39015002912718</t>
        </is>
      </c>
      <c r="N4" s="19" t="inlineStr">
        <is>
          <t>C</t>
        </is>
      </c>
      <c r="O4" s="19" t="inlineStr">
        <is>
          <t>N</t>
        </is>
      </c>
      <c r="P4" s="19" t="inlineStr">
        <is>
          <t>Manhattan hit confirmed; Hudson Valley extent inferred.</t>
        </is>
      </c>
      <c r="Q4" s="19" t="inlineStr">
        <is>
          <t>1667-08-27</t>
        </is>
      </c>
      <c r="R4" s="19">
        <f>VALUE(LEFT(Q4,4))</f>
        <v/>
      </c>
      <c r="S4" s="19">
        <f>VALUE(MID(Q4,6,2))</f>
        <v/>
      </c>
      <c r="T4" s="19">
        <f>VALUE(RIGHT(Q4,2))</f>
        <v/>
      </c>
      <c r="U4" s="19" t="inlineStr">
        <is>
          <t>day</t>
        </is>
      </c>
      <c r="V4" s="19" t="inlineStr">
        <is>
          <t>Single-day event</t>
        </is>
      </c>
    </row>
    <row r="5" ht="45.75" customHeight="1" s="13">
      <c r="A5" s="19" t="n">
        <v>4</v>
      </c>
      <c r="B5" s="19" t="inlineStr">
        <is>
          <t>1683-08-23</t>
        </is>
      </c>
      <c r="C5" s="19" t="inlineStr">
        <is>
          <t>1683-08-23</t>
        </is>
      </c>
      <c r="D5" s="19">
        <f>VALUE(LEFT(B5,4))</f>
        <v/>
      </c>
      <c r="E5" s="19">
        <f>INT((D5-1)/100)+1</f>
        <v/>
      </c>
      <c r="F5" s="19" t="inlineStr">
        <is>
          <t>Tropical cyclone / flood</t>
        </is>
      </c>
      <c r="G5" s="19" t="inlineStr">
        <is>
          <t>Hurricane and Connecticut Valley flood of 1683</t>
        </is>
      </c>
      <c r="H5" s="19" t="inlineStr">
        <is>
          <t>Connecticut Valley / Long Island Sound</t>
        </is>
      </c>
      <c r="I5" s="19" t="inlineStr">
        <is>
          <t>Connecticut River rose 26 ft at Wethersfield (Aug 13 Old Style); four river towns (Windsor, Hartford, Wethersfield, Middletown) devastated; corn destroyed</t>
        </is>
      </c>
      <c r="J5" s="19" t="inlineStr">
        <is>
          <t>Increase Mather, Remarkable Providences (1684) via Ludlum</t>
        </is>
      </c>
      <c r="K5" s="19" t="inlineStr">
        <is>
          <t>Major Connecticut Valley freshet from a hurricane; the closest 17th-c. flood to the register's eastern edge.</t>
        </is>
      </c>
      <c r="L5" s="19" t="inlineStr">
        <is>
          <t>Ludlum, Early American Hurricanes 1492–1870 (AMS, 1963), pp. 8–23 (verified, page images/text)</t>
        </is>
      </c>
      <c r="M5" s="19" t="inlineStr">
        <is>
          <t>https://hdl.handle.net/2027/mdp.39015002912718</t>
        </is>
      </c>
      <c r="N5" s="19" t="inlineStr">
        <is>
          <t>C</t>
        </is>
      </c>
      <c r="O5" s="19" t="inlineStr">
        <is>
          <t>Y</t>
        </is>
      </c>
      <c r="P5" s="19" t="inlineStr">
        <is>
          <t>CT Valley, ~east of the register core; Aug 13 O.S. = Aug 23 N.S.</t>
        </is>
      </c>
      <c r="Q5" s="19" t="inlineStr">
        <is>
          <t>1683-08-23</t>
        </is>
      </c>
      <c r="R5" s="19">
        <f>VALUE(LEFT(Q5,4))</f>
        <v/>
      </c>
      <c r="S5" s="19">
        <f>VALUE(MID(Q5,6,2))</f>
        <v/>
      </c>
      <c r="T5" s="19">
        <f>VALUE(RIGHT(Q5,2))</f>
        <v/>
      </c>
      <c r="U5" s="19" t="inlineStr">
        <is>
          <t>day</t>
        </is>
      </c>
      <c r="V5" s="19" t="inlineStr">
        <is>
          <t>Single-day event</t>
        </is>
      </c>
    </row>
    <row r="6" ht="57" customHeight="1" s="13">
      <c r="A6" s="19" t="n">
        <v>5</v>
      </c>
      <c r="B6" s="19" t="inlineStr">
        <is>
          <t>1697-12-01</t>
        </is>
      </c>
      <c r="C6" s="19" t="inlineStr">
        <is>
          <t>1698-04-15</t>
        </is>
      </c>
      <c r="D6" s="19">
        <f>VALUE(LEFT(B6,4))</f>
        <v/>
      </c>
      <c r="E6" s="19">
        <f>INT((D6-1)/100)+1</f>
        <v/>
      </c>
      <c r="F6" s="19" t="inlineStr">
        <is>
          <t>Cold winter</t>
        </is>
      </c>
      <c r="G6" s="19" t="inlineStr">
        <is>
          <t>Severest winter in memory, 1697–98</t>
        </is>
      </c>
      <c r="H6" s="19" t="inlineStr">
        <is>
          <t>Albany / Schenectady / New England</t>
        </is>
      </c>
      <c r="I6" s="19" t="inlineStr">
        <is>
          <t>Snow 'deeper than the height of a man'; 26 snows at Dorchester</t>
        </is>
      </c>
      <c r="J6" s="19" t="inlineStr">
        <is>
          <t>Earl of Bellomont to Board of Trade, 28 Oct 1698, via Ludlum p. 18</t>
        </is>
      </c>
      <c r="K6" s="19" t="inlineStr">
        <is>
          <t>Bellomont: had the winter not been so severe 'the French would certainly have destroyed both Albany and Schenectady' – a planned invasion on 1,500 pairs of snowshoes from Montreal was abandoned. Peter Kalm 50 years later: everyone still called it the coldest ever felt.</t>
        </is>
      </c>
      <c r="L6" s="19" t="inlineStr">
        <is>
          <t>Ludlum, Early American Winters I (page screenshots, verified)</t>
        </is>
      </c>
      <c r="M6" s="19" t="n"/>
      <c r="N6" s="19" t="inlineStr">
        <is>
          <t>B</t>
        </is>
      </c>
      <c r="O6" s="19" t="inlineStr">
        <is>
          <t>Y</t>
        </is>
      </c>
      <c r="P6" s="19" t="inlineStr">
        <is>
          <t>Season row; a military-history cross-reference for the Hilltowns.</t>
        </is>
      </c>
      <c r="Q6" s="19" t="inlineStr">
        <is>
          <t>1698-02-15</t>
        </is>
      </c>
      <c r="R6" s="19">
        <f>VALUE(LEFT(Q6,4))</f>
        <v/>
      </c>
      <c r="S6" s="19">
        <f>VALUE(MID(Q6,6,2))</f>
        <v/>
      </c>
      <c r="T6" s="19">
        <f>VALUE(RIGHT(Q6,2))</f>
        <v/>
      </c>
      <c r="U6" s="19" t="inlineStr">
        <is>
          <t>season</t>
        </is>
      </c>
      <c r="V6" s="19" t="inlineStr">
        <is>
          <t>Mid-winter; Bellomont letter gives no days</t>
        </is>
      </c>
    </row>
    <row r="7" ht="34.5" customHeight="1" s="13">
      <c r="A7" s="19" t="n">
        <v>6</v>
      </c>
      <c r="B7" s="19" t="inlineStr">
        <is>
          <t>1705-12-30</t>
        </is>
      </c>
      <c r="C7" s="19" t="inlineStr">
        <is>
          <t>1706-01-02</t>
        </is>
      </c>
      <c r="D7" s="19">
        <f>VALUE(LEFT(B7,4))</f>
        <v/>
      </c>
      <c r="E7" s="19">
        <f>INT((D7-1)/100)+1</f>
        <v/>
      </c>
      <c r="F7" s="19" t="inlineStr">
        <is>
          <t>Arctic outbreak / river ice</t>
        </is>
      </c>
      <c r="G7" s="19" t="inlineStr">
        <is>
          <t>Christmas 1705 cold wave – Hudson frozen at NYC</t>
        </is>
      </c>
      <c r="H7" s="19" t="inlineStr">
        <is>
          <t>NYC / lower Hudson</t>
        </is>
      </c>
      <c r="I7" s="19" t="inlineStr">
        <is>
          <t>'Coldest that was ever felt here'; Hudson froze over completely and stayed fast several days; severest cold lasted 3 days</t>
        </is>
      </c>
      <c r="J7" s="19" t="inlineStr">
        <is>
          <t>Boston News-Letter 21 Jan 1706 via Ludlum pp. 42, 77</t>
        </is>
      </c>
      <c r="K7" s="19" t="inlineStr">
        <is>
          <t>Sloop-of-war grounded off Sandy Hook; 132 crew froze to death.</t>
        </is>
      </c>
      <c r="L7" s="19" t="inlineStr">
        <is>
          <t>Ludlum, Early American Winters I (page screenshots, verified)</t>
        </is>
      </c>
      <c r="M7" s="19" t="n"/>
      <c r="N7" s="19" t="inlineStr">
        <is>
          <t>B</t>
        </is>
      </c>
      <c r="O7" s="19" t="inlineStr">
        <is>
          <t>Y</t>
        </is>
      </c>
      <c r="P7" s="19" t="inlineStr">
        <is>
          <t>Onset Dec 30 New Style (= Christmas Old Style).</t>
        </is>
      </c>
      <c r="Q7" s="19" t="inlineStr">
        <is>
          <t>1705-12-30</t>
        </is>
      </c>
      <c r="R7" s="19">
        <f>VALUE(LEFT(Q7,4))</f>
        <v/>
      </c>
      <c r="S7" s="19">
        <f>VALUE(MID(Q7,6,2))</f>
        <v/>
      </c>
      <c r="T7" s="19">
        <f>VALUE(RIGHT(Q7,2))</f>
        <v/>
      </c>
      <c r="U7" s="19" t="inlineStr">
        <is>
          <t>days</t>
        </is>
      </c>
      <c r="V7" s="19" t="inlineStr">
        <is>
          <t>Multi-day event; anchored to first day</t>
        </is>
      </c>
    </row>
    <row r="8" ht="45.75" customHeight="1" s="13">
      <c r="A8" s="19" t="n">
        <v>7</v>
      </c>
      <c r="B8" s="19" t="inlineStr">
        <is>
          <t>1706-10-14</t>
        </is>
      </c>
      <c r="C8" s="19" t="inlineStr">
        <is>
          <t>1706-10-16</t>
        </is>
      </c>
      <c r="D8" s="19">
        <f>VALUE(LEFT(B8,4))</f>
        <v/>
      </c>
      <c r="E8" s="19">
        <f>INT((D8-1)/100)+1</f>
        <v/>
      </c>
      <c r="F8" s="19" t="inlineStr">
        <is>
          <t>Rain flood</t>
        </is>
      </c>
      <c r="G8" s="19" t="inlineStr">
        <is>
          <t>October 1706 flood at Albany</t>
        </is>
      </c>
      <c r="H8" s="19" t="inlineStr">
        <is>
          <t>Albany / Rensselaer / Connecticut Valley</t>
        </is>
      </c>
      <c r="I8" s="19" t="inlineStr">
        <is>
          <t>'The greatest Flood there that ever was known'; Rensselaers Island 6 ft under water, low lands drowned (Boston News-Letter 28 Oct 1706); CT River flood, ~1000 loads of hay lost</t>
        </is>
      </c>
      <c r="J8" s="19" t="inlineStr">
        <is>
          <t>Boston News-Letter, 28 Oct 1706, via Ludlum p. 20</t>
        </is>
      </c>
      <c r="K8" s="19" t="inlineStr">
        <is>
          <t>A DIRECT Albany flood record: mid-October 1706 rain + a hard gale caused the greatest flood then known at Albany. Rare early instrumental-adjacent Albany event.</t>
        </is>
      </c>
      <c r="L8" s="19" t="inlineStr">
        <is>
          <t>Ludlum, Early American Hurricanes 1492–1870 (AMS, 1963), pp. 8–23 (verified, page images/text)</t>
        </is>
      </c>
      <c r="M8" s="19" t="inlineStr">
        <is>
          <t>https://hdl.handle.net/2027/mdp.39015002912718</t>
        </is>
      </c>
      <c r="N8" s="19" t="inlineStr">
        <is>
          <t>B</t>
        </is>
      </c>
      <c r="O8" s="19" t="inlineStr">
        <is>
          <t>Y</t>
        </is>
      </c>
      <c r="P8" s="19" t="inlineStr">
        <is>
          <t>Genuine Albany flood-of-record notice for its time; the standout row from this batch.</t>
        </is>
      </c>
      <c r="Q8" s="19" t="inlineStr">
        <is>
          <t>1706-10-14</t>
        </is>
      </c>
      <c r="R8" s="19">
        <f>VALUE(LEFT(Q8,4))</f>
        <v/>
      </c>
      <c r="S8" s="19">
        <f>VALUE(MID(Q8,6,2))</f>
        <v/>
      </c>
      <c r="T8" s="19">
        <f>VALUE(RIGHT(Q8,2))</f>
        <v/>
      </c>
      <c r="U8" s="19" t="inlineStr">
        <is>
          <t>days</t>
        </is>
      </c>
      <c r="V8" s="19" t="inlineStr">
        <is>
          <t>Rain Oct 14–16; anchored to first day</t>
        </is>
      </c>
    </row>
    <row r="9" ht="45.75" customHeight="1" s="13">
      <c r="A9" s="19" t="n">
        <v>8</v>
      </c>
      <c r="B9" s="19" t="inlineStr">
        <is>
          <t>1717-02-27</t>
        </is>
      </c>
      <c r="C9" s="19" t="inlineStr">
        <is>
          <t>1717-03-07</t>
        </is>
      </c>
      <c r="D9" s="19">
        <f>VALUE(LEFT(B9,4))</f>
        <v/>
      </c>
      <c r="E9" s="19">
        <f>INT((D9-1)/100)+1</f>
        <v/>
      </c>
      <c r="F9" s="19" t="inlineStr">
        <is>
          <t>Snowstorm</t>
        </is>
      </c>
      <c r="G9" s="19" t="inlineStr">
        <is>
          <t>The Great Snow of 1717</t>
        </is>
      </c>
      <c r="H9" s="19" t="inlineStr">
        <is>
          <t>New England / Hudson Valley (Philadelphia 'a great snow')</t>
        </is>
      </c>
      <c r="I9" s="19" t="inlineStr">
        <is>
          <t>Four storms: Feb 27, Mar 1, Mar 4 ('4 foot deep in ye woods on a level', drifts 10–12 ft), Mar 7; cattle and horses dead in the storm</t>
        </is>
      </c>
      <c r="J9" s="19" t="inlineStr">
        <is>
          <t>Hempstead diary (New London), Sewall, Mather via Ludlum pp. 42–43</t>
        </is>
      </c>
      <c r="K9" s="19" t="inlineStr">
        <is>
          <t>Northeasters that also reached Philadelphia (river full of ice); no Albany-specific report in Ludlum.</t>
        </is>
      </c>
      <c r="L9" s="19" t="inlineStr">
        <is>
          <t>Ludlum, Early American Winters I (page screenshots, verified)</t>
        </is>
      </c>
      <c r="M9" s="19" t="n"/>
      <c r="N9" s="19" t="inlineStr">
        <is>
          <t>B</t>
        </is>
      </c>
      <c r="O9" s="19" t="inlineStr">
        <is>
          <t>Y</t>
        </is>
      </c>
      <c r="P9" s="19" t="inlineStr">
        <is>
          <t>Hudson Valley depth not documented – Annals of Albany may have it.</t>
        </is>
      </c>
      <c r="Q9" s="19" t="inlineStr">
        <is>
          <t>1717-03-07</t>
        </is>
      </c>
      <c r="R9" s="19">
        <f>VALUE(LEFT(Q9,4))</f>
        <v/>
      </c>
      <c r="S9" s="19">
        <f>VALUE(MID(Q9,6,2))</f>
        <v/>
      </c>
      <c r="T9" s="19">
        <f>VALUE(RIGHT(Q9,2))</f>
        <v/>
      </c>
      <c r="U9" s="19" t="inlineStr">
        <is>
          <t>days</t>
        </is>
      </c>
      <c r="V9" s="19" t="inlineStr">
        <is>
          <t>Final and heaviest storm of the series</t>
        </is>
      </c>
    </row>
    <row r="10" ht="68.25" customHeight="1" s="13">
      <c r="A10" s="19" t="n">
        <v>9</v>
      </c>
      <c r="B10" s="19" t="inlineStr">
        <is>
          <t>1740-11-15</t>
        </is>
      </c>
      <c r="C10" s="19" t="inlineStr">
        <is>
          <t>1741-04-15</t>
        </is>
      </c>
      <c r="D10" s="19">
        <f>VALUE(LEFT(B10,4))</f>
        <v/>
      </c>
      <c r="E10" s="19">
        <f>INT((D10-1)/100)+1</f>
        <v/>
      </c>
      <c r="F10" s="19" t="inlineStr">
        <is>
          <t>Cold winter</t>
        </is>
      </c>
      <c r="G10" s="19" t="inlineStr">
        <is>
          <t>Hard Winter of 1740–41</t>
        </is>
      </c>
      <c r="H10" s="19" t="inlineStr">
        <is>
          <t>Hudson Valley / New England</t>
        </is>
      </c>
      <c r="I10" s="19" t="inlineStr">
        <is>
          <t>Hudson at NYC shut to navigation twice: after the storm of Dec 28, 1740 until Jan 21, 1741, and again the 2nd–3rd weeks of Feb 1741; Stiles estimated ~−8°F; 27–30 distinct snows; snow 3 ft on the level at Newbury Mar 17; ice held to mid-April</t>
        </is>
      </c>
      <c r="J10" s="19" t="inlineStr">
        <is>
          <t>Ludlum pp. 50–53 (Hempstead diary, Coffin, Boston News-Letter)</t>
        </is>
      </c>
      <c r="K10" s="19" t="inlineStr">
        <is>
          <t>Winter set in Nov 15 (Newbury); Dec 3 rain for three weeks → biggest CT River flood in 50 years; mid-December 'prodigious storm' with eaves not dripping for 30 days; half the cattle, horses and 2/3 of goats died of scarcity in Connecticut.</t>
        </is>
      </c>
      <c r="L10" s="19" t="inlineStr">
        <is>
          <t>Ludlum, Early American Winters I (page screenshots, verified)</t>
        </is>
      </c>
      <c r="M10" s="19" t="n"/>
      <c r="N10" s="19" t="inlineStr">
        <is>
          <t>B</t>
        </is>
      </c>
      <c r="O10" s="19" t="inlineStr">
        <is>
          <t>Y</t>
        </is>
      </c>
      <c r="P10" s="19" t="inlineStr">
        <is>
          <t>Now day-anchored. Stiles (1780) judged 1780 snowier than 1740/41.</t>
        </is>
      </c>
      <c r="Q10" s="19" t="inlineStr">
        <is>
          <t>1740-12-28</t>
        </is>
      </c>
      <c r="R10" s="19">
        <f>VALUE(LEFT(Q10,4))</f>
        <v/>
      </c>
      <c r="S10" s="19">
        <f>VALUE(MID(Q10,6,2))</f>
        <v/>
      </c>
      <c r="T10" s="19">
        <f>VALUE(RIGHT(Q10,2))</f>
        <v/>
      </c>
      <c r="U10" s="19" t="inlineStr">
        <is>
          <t>day</t>
        </is>
      </c>
      <c r="V10" s="19" t="inlineStr">
        <is>
          <t>Storm that closed the Hudson at NYC</t>
        </is>
      </c>
    </row>
    <row r="11" ht="34.5" customHeight="1" s="13">
      <c r="A11" s="19" t="n">
        <v>10</v>
      </c>
      <c r="B11" s="19" t="inlineStr">
        <is>
          <t>1741-02-08</t>
        </is>
      </c>
      <c r="C11" s="19" t="inlineStr">
        <is>
          <t>1741-02-09</t>
        </is>
      </c>
      <c r="D11" s="19">
        <f>VALUE(LEFT(B11,4))</f>
        <v/>
      </c>
      <c r="E11" s="19">
        <f>INT((D11-1)/100)+1</f>
        <v/>
      </c>
      <c r="F11" s="19" t="inlineStr">
        <is>
          <t>Nor'easter</t>
        </is>
      </c>
      <c r="G11" s="19" t="inlineStr">
        <is>
          <t>Great NE storm of Feb 8–9, 1741</t>
        </is>
      </c>
      <c r="H11" s="19" t="inlineStr">
        <is>
          <t>Boston / New England</t>
        </is>
      </c>
      <c r="I11" s="19" t="inlineStr">
        <is>
          <t>'Snow higher than has been known since the vast snow of Feb 19, 1716/17' (Boston News-Letter)</t>
        </is>
      </c>
      <c r="J11" s="19" t="inlineStr">
        <is>
          <t>Ludlum p. 50</t>
        </is>
      </c>
      <c r="K11" s="19" t="inlineStr">
        <is>
          <t>One of two February 1741 storms singled out by the press.</t>
        </is>
      </c>
      <c r="L11" s="19" t="inlineStr">
        <is>
          <t>Ludlum, Early American Winters I (page screenshots, verified)</t>
        </is>
      </c>
      <c r="M11" s="19" t="n"/>
      <c r="N11" s="19" t="inlineStr">
        <is>
          <t>B</t>
        </is>
      </c>
      <c r="O11" s="19" t="inlineStr">
        <is>
          <t>Y</t>
        </is>
      </c>
      <c r="P11" s="19" t="inlineStr">
        <is>
          <t>Hudson Valley extent not stated.</t>
        </is>
      </c>
      <c r="Q11" s="19" t="inlineStr">
        <is>
          <t>1741-02-08</t>
        </is>
      </c>
      <c r="R11" s="19">
        <f>VALUE(LEFT(Q11,4))</f>
        <v/>
      </c>
      <c r="S11" s="19">
        <f>VALUE(MID(Q11,6,2))</f>
        <v/>
      </c>
      <c r="T11" s="19">
        <f>VALUE(RIGHT(Q11,2))</f>
        <v/>
      </c>
      <c r="U11" s="19" t="inlineStr">
        <is>
          <t>days</t>
        </is>
      </c>
      <c r="V11" s="19" t="inlineStr">
        <is>
          <t>Multi-day event; anchored to first day</t>
        </is>
      </c>
    </row>
    <row r="12" ht="23.25" customHeight="1" s="13">
      <c r="A12" s="19" t="n">
        <v>11</v>
      </c>
      <c r="B12" s="19" t="inlineStr">
        <is>
          <t>1741-04-01</t>
        </is>
      </c>
      <c r="C12" s="19" t="inlineStr">
        <is>
          <t>1741-04-01</t>
        </is>
      </c>
      <c r="D12" s="19">
        <f>VALUE(LEFT(B12,4))</f>
        <v/>
      </c>
      <c r="E12" s="19">
        <f>INT((D12-1)/100)+1</f>
        <v/>
      </c>
      <c r="F12" s="19" t="inlineStr">
        <is>
          <t>River ice (late)</t>
        </is>
      </c>
      <c r="G12" s="19" t="inlineStr">
        <is>
          <t>Hudson at Esopus bearing loaded teams, April 1, 1741</t>
        </is>
      </c>
      <c r="H12" s="19" t="inlineStr">
        <is>
          <t>Kingston (Esopus)</t>
        </is>
      </c>
      <c r="I12" s="19" t="inlineStr">
        <is>
          <t>Loaded teams crossed the Hudson on the ice Apr 1; CT River crossed on horseback Apr 11</t>
        </is>
      </c>
      <c r="J12" s="19" t="inlineStr">
        <is>
          <t>Ludlum p. 52</t>
        </is>
      </c>
      <c r="K12" s="19" t="inlineStr">
        <is>
          <t>Latest documented heavy-load ice crossing of the Hudson in the register; sleighs at Deerfield to Apr 10.</t>
        </is>
      </c>
      <c r="L12" s="19" t="inlineStr">
        <is>
          <t>Ludlum, Early American Winters I (page screenshots, verified)</t>
        </is>
      </c>
      <c r="M12" s="19" t="n"/>
      <c r="N12" s="19" t="inlineStr">
        <is>
          <t>B</t>
        </is>
      </c>
      <c r="O12" s="19" t="inlineStr">
        <is>
          <t>Y</t>
        </is>
      </c>
      <c r="P12" s="19" t="inlineStr">
        <is>
          <t>Directly relevant to Hudson Valley ice phenology.</t>
        </is>
      </c>
      <c r="Q12" s="19" t="inlineStr">
        <is>
          <t>1741-04-01</t>
        </is>
      </c>
      <c r="R12" s="19">
        <f>VALUE(LEFT(Q12,4))</f>
        <v/>
      </c>
      <c r="S12" s="19">
        <f>VALUE(MID(Q12,6,2))</f>
        <v/>
      </c>
      <c r="T12" s="19">
        <f>VALUE(RIGHT(Q12,2))</f>
        <v/>
      </c>
      <c r="U12" s="19" t="inlineStr">
        <is>
          <t>day</t>
        </is>
      </c>
      <c r="V12" s="19" t="inlineStr">
        <is>
          <t>Single-day event</t>
        </is>
      </c>
    </row>
    <row r="13" ht="34.5" customHeight="1" s="13">
      <c r="A13" s="19" t="n">
        <v>12</v>
      </c>
      <c r="B13" s="19" t="inlineStr">
        <is>
          <t>1764-12-25</t>
        </is>
      </c>
      <c r="C13" s="19" t="inlineStr">
        <is>
          <t>1764-12-26</t>
        </is>
      </c>
      <c r="D13" s="19">
        <f>VALUE(LEFT(B13,4))</f>
        <v/>
      </c>
      <c r="E13" s="19">
        <f>INT((D13-1)/100)+1</f>
        <v/>
      </c>
      <c r="F13" s="19" t="inlineStr">
        <is>
          <t>Coastal storm</t>
        </is>
      </c>
      <c r="G13" s="19" t="inlineStr">
        <is>
          <t>Christmas Night storm of 1764</t>
        </is>
      </c>
      <c r="H13" s="19" t="inlineStr">
        <is>
          <t>Entire Atlantic coast incl. NYC</t>
        </is>
      </c>
      <c r="I13" s="19" t="inlineStr">
        <is>
          <t>Began ~2000 Dec 25, snow → rain; Philadelphia 'violent windstorm and snow'; NYC strong wind and much snow</t>
        </is>
      </c>
      <c r="J13" s="19" t="inlineStr">
        <is>
          <t>Ludlum pp. 60–61</t>
        </is>
      </c>
      <c r="K13" s="19" t="inlineStr">
        <is>
          <t>Opened the severe winter of 1764–65, 'snowiest since 1748, coldest since 1741'; Delaware clogged with ice.</t>
        </is>
      </c>
      <c r="L13" s="19" t="inlineStr">
        <is>
          <t>Ludlum, Early American Winters I (page screenshots, verified)</t>
        </is>
      </c>
      <c r="M13" s="19" t="n"/>
      <c r="N13" s="19" t="inlineStr">
        <is>
          <t>B</t>
        </is>
      </c>
      <c r="O13" s="19" t="inlineStr">
        <is>
          <t>Y</t>
        </is>
      </c>
      <c r="P13" s="19" t="n"/>
      <c r="Q13" s="19" t="inlineStr">
        <is>
          <t>1764-12-25</t>
        </is>
      </c>
      <c r="R13" s="19">
        <f>VALUE(LEFT(Q13,4))</f>
        <v/>
      </c>
      <c r="S13" s="19">
        <f>VALUE(MID(Q13,6,2))</f>
        <v/>
      </c>
      <c r="T13" s="19">
        <f>VALUE(RIGHT(Q13,2))</f>
        <v/>
      </c>
      <c r="U13" s="19" t="inlineStr">
        <is>
          <t>days</t>
        </is>
      </c>
      <c r="V13" s="19" t="inlineStr">
        <is>
          <t>Multi-day event; anchored to first day</t>
        </is>
      </c>
    </row>
    <row r="14" ht="57" customHeight="1" s="13">
      <c r="A14" s="19" t="n">
        <v>13</v>
      </c>
      <c r="B14" s="19" t="inlineStr">
        <is>
          <t>1765-01-26</t>
        </is>
      </c>
      <c r="C14" s="19" t="inlineStr">
        <is>
          <t>1765-01-28</t>
        </is>
      </c>
      <c r="D14" s="19">
        <f>VALUE(LEFT(B14,4))</f>
        <v/>
      </c>
      <c r="E14" s="19">
        <f>INT((D14-1)/100)+1</f>
        <v/>
      </c>
      <c r="F14" s="19" t="inlineStr">
        <is>
          <t>Arctic outbreak / river ice</t>
        </is>
      </c>
      <c r="G14" s="19" t="inlineStr">
        <is>
          <t>January 1765 deep freeze – Hudson nearly solid at NYC</t>
        </is>
      </c>
      <c r="H14" s="19" t="inlineStr">
        <is>
          <t>NYC / lower Hudson</t>
        </is>
      </c>
      <c r="I14" s="19" t="inlineStr">
        <is>
          <t>Kings College thermometer at or below zero 57 hours until 1400 Jan 28, est. low −6°F; Hudson froze 'almost solid' to the Jersey shore; NYC Feb 11: 'six weeks in Greenland, ground covered near three feet'</t>
        </is>
      </c>
      <c r="J14" s="19" t="inlineStr">
        <is>
          <t>Ludlum p. 61 (Watts letter book)</t>
        </is>
      </c>
      <c r="K14" s="19" t="inlineStr">
        <is>
          <t>Longest sub-zero spell in NYC history if authentic; a traveller walking to Jersey fell through 350 yd from shore.</t>
        </is>
      </c>
      <c r="L14" s="19" t="inlineStr">
        <is>
          <t>Ludlum, Early American Winters I (page screenshots, verified)</t>
        </is>
      </c>
      <c r="M14" s="19" t="n"/>
      <c r="N14" s="19" t="inlineStr">
        <is>
          <t>B</t>
        </is>
      </c>
      <c r="O14" s="19" t="inlineStr">
        <is>
          <t>Y</t>
        </is>
      </c>
      <c r="P14" s="19" t="n"/>
      <c r="Q14" s="19" t="inlineStr">
        <is>
          <t>1765-01-26</t>
        </is>
      </c>
      <c r="R14" s="19">
        <f>VALUE(LEFT(Q14,4))</f>
        <v/>
      </c>
      <c r="S14" s="19">
        <f>VALUE(MID(Q14,6,2))</f>
        <v/>
      </c>
      <c r="T14" s="19">
        <f>VALUE(RIGHT(Q14,2))</f>
        <v/>
      </c>
      <c r="U14" s="19" t="inlineStr">
        <is>
          <t>days</t>
        </is>
      </c>
      <c r="V14" s="19" t="inlineStr">
        <is>
          <t>Multi-day event; anchored to first day</t>
        </is>
      </c>
    </row>
    <row r="15" ht="45.75" customHeight="1" s="13">
      <c r="A15" s="19" t="n">
        <v>14</v>
      </c>
      <c r="B15" s="19" t="inlineStr">
        <is>
          <t>1769-09-08</t>
        </is>
      </c>
      <c r="C15" s="19" t="inlineStr">
        <is>
          <t>1769-09-08</t>
        </is>
      </c>
      <c r="D15" s="19">
        <f>VALUE(LEFT(B15,4))</f>
        <v/>
      </c>
      <c r="E15" s="19">
        <f>INT((D15-1)/100)+1</f>
        <v/>
      </c>
      <c r="F15" s="19" t="inlineStr">
        <is>
          <t>Tropical cyclone</t>
        </is>
      </c>
      <c r="G15" s="19" t="inlineStr">
        <is>
          <t>September 1769 hurricane – NYC &amp; Hudson Valley</t>
        </is>
      </c>
      <c r="H15" s="19" t="inlineStr">
        <is>
          <t>NYC / New Brunswick NJ / lower Hudson</t>
        </is>
      </c>
      <c r="I15" s="19" t="inlineStr">
        <is>
          <t>NYC swept by a violent NE gale continuing past 2000, trees torn up and corn damaged; New Brunswick NJ severe (trees down, bridges carried away)</t>
        </is>
      </c>
      <c r="J15" s="19" t="inlineStr">
        <is>
          <t>Ludlum p. 25 (Va. Gaz. &amp; press)</t>
        </is>
      </c>
      <c r="K15" s="19" t="inlineStr">
        <is>
          <t>Center tracked up Chesapeake Bay and through eastern PA; the NE edge raked NYC and the lower Hudson.</t>
        </is>
      </c>
      <c r="L15" s="19" t="inlineStr">
        <is>
          <t>Ludlum, Early American Hurricanes 1492–1870 (AMS, 1963), pp. 24–40 (verified, page images)</t>
        </is>
      </c>
      <c r="M15" s="19" t="inlineStr">
        <is>
          <t>https://hdl.handle.net/2027/mdp.39015002912718</t>
        </is>
      </c>
      <c r="N15" s="19" t="inlineStr">
        <is>
          <t>C</t>
        </is>
      </c>
      <c r="O15" s="19" t="inlineStr">
        <is>
          <t>N</t>
        </is>
      </c>
      <c r="P15" s="19" t="inlineStr">
        <is>
          <t>NYC hit confirmed; upper-Hudson extent not documented.</t>
        </is>
      </c>
      <c r="Q15" s="19" t="inlineStr">
        <is>
          <t>1769-09-08</t>
        </is>
      </c>
      <c r="R15" s="19">
        <f>VALUE(LEFT(Q15,4))</f>
        <v/>
      </c>
      <c r="S15" s="19">
        <f>VALUE(MID(Q15,6,2))</f>
        <v/>
      </c>
      <c r="T15" s="19">
        <f>VALUE(RIGHT(Q15,2))</f>
        <v/>
      </c>
      <c r="U15" s="19" t="inlineStr">
        <is>
          <t>day</t>
        </is>
      </c>
      <c r="V15" s="19" t="inlineStr">
        <is>
          <t>Single-day event</t>
        </is>
      </c>
    </row>
    <row r="16" ht="34.5" customHeight="1" s="13">
      <c r="A16" s="19" t="n">
        <v>15</v>
      </c>
      <c r="B16" s="19" t="inlineStr">
        <is>
          <t>1775-09-03</t>
        </is>
      </c>
      <c r="C16" s="19" t="inlineStr">
        <is>
          <t>1775-09-03</t>
        </is>
      </c>
      <c r="D16" s="19">
        <f>VALUE(LEFT(B16,4))</f>
        <v/>
      </c>
      <c r="E16" s="19">
        <f>INT((D16-1)/100)+1</f>
        <v/>
      </c>
      <c r="F16" s="19" t="inlineStr">
        <is>
          <t>Tropical cyclone</t>
        </is>
      </c>
      <c r="G16" s="19" t="inlineStr">
        <is>
          <t>The Independence Hurricane of 1775</t>
        </is>
      </c>
      <c r="H16" s="19" t="inlineStr">
        <is>
          <t>Chesapeake / eastern PA; NE edge to NY</t>
        </is>
      </c>
      <c r="I16" s="19" t="inlineStr">
        <is>
          <t>Deadliest colonial hurricane (NC to Newfoundland); center up Chesapeake Bay then eastern PA (Hazel-1954 analog)</t>
        </is>
      </c>
      <c r="J16" s="19" t="inlineStr">
        <is>
          <t>Ludlum pp. 26–27</t>
        </is>
      </c>
      <c r="K16" s="19" t="inlineStr">
        <is>
          <t>Track inland; the register keeps it as a major regional-adjacent storm. NY-specific damage not documented in these pages.</t>
        </is>
      </c>
      <c r="L16" s="19" t="inlineStr">
        <is>
          <t>Ludlum, Early American Hurricanes 1492–1870 (AMS, 1963), pp. 24–40 (verified, page images)</t>
        </is>
      </c>
      <c r="M16" s="19" t="inlineStr">
        <is>
          <t>https://hdl.handle.net/2027/mdp.39015002912718</t>
        </is>
      </c>
      <c r="N16" s="19" t="inlineStr">
        <is>
          <t>C</t>
        </is>
      </c>
      <c r="O16" s="19" t="inlineStr">
        <is>
          <t>N</t>
        </is>
      </c>
      <c r="P16" s="19" t="inlineStr">
        <is>
          <t>Included for scale; no direct NY report.</t>
        </is>
      </c>
      <c r="Q16" s="19" t="inlineStr">
        <is>
          <t>1775-09-03</t>
        </is>
      </c>
      <c r="R16" s="19">
        <f>VALUE(LEFT(Q16,4))</f>
        <v/>
      </c>
      <c r="S16" s="19">
        <f>VALUE(MID(Q16,6,2))</f>
        <v/>
      </c>
      <c r="T16" s="19">
        <f>VALUE(RIGHT(Q16,2))</f>
        <v/>
      </c>
      <c r="U16" s="19" t="inlineStr">
        <is>
          <t>day</t>
        </is>
      </c>
      <c r="V16" s="19" t="inlineStr">
        <is>
          <t>Single-day event</t>
        </is>
      </c>
    </row>
    <row r="17" ht="45.75" customHeight="1" s="13">
      <c r="A17" s="19" t="n">
        <v>16</v>
      </c>
      <c r="B17" s="19" t="inlineStr">
        <is>
          <t>1775-12-24</t>
        </is>
      </c>
      <c r="C17" s="19" t="inlineStr">
        <is>
          <t>1775-12-24</t>
        </is>
      </c>
      <c r="D17" s="19">
        <f>VALUE(LEFT(B17,4))</f>
        <v/>
      </c>
      <c r="E17" s="19">
        <f>INT((D17-1)/100)+1</f>
        <v/>
      </c>
      <c r="F17" s="19" t="inlineStr">
        <is>
          <t>Snowstorm</t>
        </is>
      </c>
      <c r="G17" s="19" t="inlineStr">
        <is>
          <t>Christmas Eve snowstorm 1775 – Knox's cannon train</t>
        </is>
      </c>
      <c r="H17" s="19" t="inlineStr">
        <is>
          <t>Albany / upper Hudson</t>
        </is>
      </c>
      <c r="I17" s="19" t="inlineStr">
        <is>
          <t>Knox reported a snowfall of two feet by Christmas Day; extreme cold and NW wind Dec 21; same storm system as the Carolina 'Snow Campaign' of Dec 23–25</t>
        </is>
      </c>
      <c r="J17" s="19" t="inlineStr">
        <is>
          <t>Ludlum pp. 96, 147 (Knox letters)</t>
        </is>
      </c>
      <c r="K17" s="19" t="inlineStr">
        <is>
          <t>Knox sledded Ticonderoga's guns south along the Hudson; needed to cross the river four times between Lake George and Albany.</t>
        </is>
      </c>
      <c r="L17" s="19" t="inlineStr">
        <is>
          <t>Ludlum, Early American Winters I (page screenshots, verified)</t>
        </is>
      </c>
      <c r="M17" s="19" t="n"/>
      <c r="N17" s="19" t="inlineStr">
        <is>
          <t>B</t>
        </is>
      </c>
      <c r="O17" s="19" t="inlineStr">
        <is>
          <t>Y</t>
        </is>
      </c>
      <c r="P17" s="19" t="n"/>
      <c r="Q17" s="19" t="inlineStr">
        <is>
          <t>1775-12-24</t>
        </is>
      </c>
      <c r="R17" s="19">
        <f>VALUE(LEFT(Q17,4))</f>
        <v/>
      </c>
      <c r="S17" s="19">
        <f>VALUE(MID(Q17,6,2))</f>
        <v/>
      </c>
      <c r="T17" s="19">
        <f>VALUE(RIGHT(Q17,2))</f>
        <v/>
      </c>
      <c r="U17" s="19" t="inlineStr">
        <is>
          <t>day</t>
        </is>
      </c>
      <c r="V17" s="19" t="inlineStr">
        <is>
          <t>Single-day event</t>
        </is>
      </c>
    </row>
    <row r="18" ht="45.75" customHeight="1" s="13">
      <c r="A18" s="19" t="n">
        <v>17</v>
      </c>
      <c r="B18" s="19" t="inlineStr">
        <is>
          <t>1776-01-05</t>
        </is>
      </c>
      <c r="C18" s="19" t="inlineStr">
        <is>
          <t>1776-01-10</t>
        </is>
      </c>
      <c r="D18" s="19">
        <f>VALUE(LEFT(B18,4))</f>
        <v/>
      </c>
      <c r="E18" s="19">
        <f>INT((D18-1)/100)+1</f>
        <v/>
      </c>
      <c r="F18" s="19" t="inlineStr">
        <is>
          <t>Thaw then freeze</t>
        </is>
      </c>
      <c r="G18" s="19" t="inlineStr">
        <is>
          <t>January 1776 thaw at Albany – Knox delayed, then Hudson bears the guns</t>
        </is>
      </c>
      <c r="H18" s="19" t="inlineStr">
        <is>
          <t>Albany / Claverack</t>
        </is>
      </c>
      <c r="I18" s="19" t="inlineStr">
        <is>
          <t>Jan 5: 'a cruel thaw hinders from crossing the Hudson'; near-continuous freezing from Jan 10 let the caravan cross and move east via Claverack over the Berkshires (Route 23)</t>
        </is>
      </c>
      <c r="J18" s="19" t="inlineStr">
        <is>
          <t>Ludlum pp. 96–97 (Knox to Washington, 5 Jan 1776)</t>
        </is>
      </c>
      <c r="K18" s="19" t="inlineStr">
        <is>
          <t>Framingham reached Jan 25; the artillery drove the British out of Boston Mar 17.</t>
        </is>
      </c>
      <c r="L18" s="19" t="inlineStr">
        <is>
          <t>Ludlum, Early American Winters I (page screenshots, verified)</t>
        </is>
      </c>
      <c r="M18" s="19" t="n"/>
      <c r="N18" s="19" t="inlineStr">
        <is>
          <t>B</t>
        </is>
      </c>
      <c r="O18" s="19" t="inlineStr">
        <is>
          <t>Y</t>
        </is>
      </c>
      <c r="P18" s="19" t="n"/>
      <c r="Q18" s="19" t="inlineStr">
        <is>
          <t>1776-01-05</t>
        </is>
      </c>
      <c r="R18" s="19">
        <f>VALUE(LEFT(Q18,4))</f>
        <v/>
      </c>
      <c r="S18" s="19">
        <f>VALUE(MID(Q18,6,2))</f>
        <v/>
      </c>
      <c r="T18" s="19">
        <f>VALUE(RIGHT(Q18,2))</f>
        <v/>
      </c>
      <c r="U18" s="19" t="inlineStr">
        <is>
          <t>days</t>
        </is>
      </c>
      <c r="V18" s="19" t="inlineStr">
        <is>
          <t>Multi-day event; anchored to first day</t>
        </is>
      </c>
    </row>
    <row r="19" ht="57" customHeight="1" s="13">
      <c r="A19" s="19" t="n">
        <v>18</v>
      </c>
      <c r="B19" s="19" t="inlineStr">
        <is>
          <t>1780-01-02</t>
        </is>
      </c>
      <c r="C19" s="19" t="inlineStr">
        <is>
          <t>1780-01-04</t>
        </is>
      </c>
      <c r="D19" s="19">
        <f>VALUE(LEFT(B19,4))</f>
        <v/>
      </c>
      <c r="E19" s="19">
        <f>INT((D19-1)/100)+1</f>
        <v/>
      </c>
      <c r="F19" s="19" t="inlineStr">
        <is>
          <t>Blizzard</t>
        </is>
      </c>
      <c r="G19" s="19" t="inlineStr">
        <is>
          <t>Great Snowstorm of January 1780 (Hard Winter)</t>
        </is>
      </c>
      <c r="H19" s="19" t="inlineStr">
        <is>
          <t>NJ / Hudson Valley / New England</t>
        </is>
      </c>
      <c r="I19" s="19" t="inlineStr">
        <is>
          <t>12 in at New Haven Jan 2–3 (Atwater); Washington Jan 6: 'eighteen inches, much drifted, roads impassable'; 42–48 in on the ground in S. CT after the 10-day series; drifts 6–12 ft</t>
        </is>
      </c>
      <c r="J19" s="19" t="inlineStr">
        <is>
          <t>Ludlum pp. 114–115</t>
        </is>
      </c>
      <c r="K19" s="19" t="inlineStr">
        <is>
          <t>Second of three great storms (Dec 27–28, Jan 2–3, Jan 10); Stiles: more snow than the hard winter of 1740/41.</t>
        </is>
      </c>
      <c r="L19" s="19" t="inlineStr">
        <is>
          <t>Ludlum, Early American Winters I (page screenshots, verified)</t>
        </is>
      </c>
      <c r="M19" s="19" t="inlineStr">
        <is>
          <t>https://www.nps.gov/morr/learn/historyculture/hard-winter-news.htm</t>
        </is>
      </c>
      <c r="N19" s="19" t="inlineStr">
        <is>
          <t>B</t>
        </is>
      </c>
      <c r="O19" s="19" t="inlineStr">
        <is>
          <t>Y</t>
        </is>
      </c>
      <c r="P19" s="19" t="inlineStr">
        <is>
          <t>Ludlum: Jan 1780 = most persistently cold month in eastern US history.</t>
        </is>
      </c>
      <c r="Q19" s="19" t="inlineStr">
        <is>
          <t>1780-01-02</t>
        </is>
      </c>
      <c r="R19" s="19">
        <f>VALUE(LEFT(Q19,4))</f>
        <v/>
      </c>
      <c r="S19" s="19">
        <f>VALUE(MID(Q19,6,2))</f>
        <v/>
      </c>
      <c r="T19" s="19">
        <f>VALUE(RIGHT(Q19,2))</f>
        <v/>
      </c>
      <c r="U19" s="19" t="inlineStr">
        <is>
          <t>days</t>
        </is>
      </c>
      <c r="V19" s="19" t="inlineStr">
        <is>
          <t>Multi-day event; anchored to first day</t>
        </is>
      </c>
    </row>
    <row r="20" ht="68.25" customHeight="1" s="13">
      <c r="A20" s="19" t="n">
        <v>19</v>
      </c>
      <c r="B20" s="19" t="inlineStr">
        <is>
          <t>1780-01-07</t>
        </is>
      </c>
      <c r="C20" s="19" t="inlineStr">
        <is>
          <t>1780-02-21</t>
        </is>
      </c>
      <c r="D20" s="19">
        <f>VALUE(LEFT(B20,4))</f>
        <v/>
      </c>
      <c r="E20" s="19">
        <f>INT((D20-1)/100)+1</f>
        <v/>
      </c>
      <c r="F20" s="19" t="inlineStr">
        <is>
          <t>Cold winter</t>
        </is>
      </c>
      <c r="G20" s="19" t="inlineStr">
        <is>
          <t>Hard Winter of 1779–80 – Hudson and harbor frozen</t>
        </is>
      </c>
      <c r="H20" s="19" t="inlineStr">
        <is>
          <t>Hudson Valley / NY Harbor</t>
        </is>
      </c>
      <c r="I20" s="19" t="inlineStr">
        <is>
          <t>Navigation stopped by ice Jan 7; East River on foot by Jan 14; Hudson on foot Jan 16–20; Staten Island→Manhattan on foot Jan 29; sleighs Feb 1; 86 sleighs with provisions Feb 6; thaw began Feb 11; ice rotting Feb 15; boats through the Narrows Feb 20, docks Feb 21</t>
        </is>
      </c>
      <c r="J20" s="19" t="inlineStr">
        <is>
          <t>Hugh Gaine diary via Ludlum p. 115; Smith &amp; Dohla diaries</t>
        </is>
      </c>
      <c r="K20" s="19" t="inlineStr">
        <is>
          <t>Only winter on record with NY waters closed to navigation for weeks; cannon dragged across to Staten Island.</t>
        </is>
      </c>
      <c r="L20" s="19" t="inlineStr">
        <is>
          <t>Ludlum, Early American Winters I (page screenshots, verified)</t>
        </is>
      </c>
      <c r="M20" s="19" t="inlineStr">
        <is>
          <t>https://www.nps.gov/morr/learn/historyculture/hard-winter-news.htm</t>
        </is>
      </c>
      <c r="N20" s="19" t="inlineStr">
        <is>
          <t>B</t>
        </is>
      </c>
      <c r="O20" s="19" t="inlineStr">
        <is>
          <t>Y</t>
        </is>
      </c>
      <c r="P20" s="19" t="inlineStr">
        <is>
          <t>Day-level chronology now complete for NYC; no Albany-specific dates yet.</t>
        </is>
      </c>
      <c r="Q20" s="19" t="inlineStr">
        <is>
          <t>1780-01-16</t>
        </is>
      </c>
      <c r="R20" s="19">
        <f>VALUE(LEFT(Q20,4))</f>
        <v/>
      </c>
      <c r="S20" s="19">
        <f>VALUE(MID(Q20,6,2))</f>
        <v/>
      </c>
      <c r="T20" s="19">
        <f>VALUE(RIGHT(Q20,2))</f>
        <v/>
      </c>
      <c r="U20" s="19" t="inlineStr">
        <is>
          <t>day</t>
        </is>
      </c>
      <c r="V20" s="19" t="inlineStr">
        <is>
          <t>Hudson first walked across at NYC (William Smith diary)</t>
        </is>
      </c>
    </row>
    <row r="21" ht="34.5" customHeight="1" s="13">
      <c r="A21" s="19" t="n">
        <v>20</v>
      </c>
      <c r="B21" s="19" t="inlineStr">
        <is>
          <t>1780-01-29</t>
        </is>
      </c>
      <c r="C21" s="19" t="inlineStr">
        <is>
          <t>1780-01-29</t>
        </is>
      </c>
      <c r="D21" s="19">
        <f>VALUE(LEFT(B21,4))</f>
        <v/>
      </c>
      <c r="E21" s="19">
        <f>INT((D21-1)/100)+1</f>
        <v/>
      </c>
      <c r="F21" s="19" t="inlineStr">
        <is>
          <t>Arctic outbreak</t>
        </is>
      </c>
      <c r="G21" s="19" t="inlineStr">
        <is>
          <t>Nadir of the Hard Winter – Jan 29, 1780</t>
        </is>
      </c>
      <c r="H21" s="19" t="inlineStr">
        <is>
          <t>Northeast</t>
        </is>
      </c>
      <c r="I21" s="19" t="inlineStr">
        <is>
          <t>Sunrise: Hartford −20°F (some sources −22°), Salem −17°F, NYC −16°F (unverified), ALBANY −20°F (Stiles, date not given)</t>
        </is>
      </c>
      <c r="J21" s="19" t="inlineStr">
        <is>
          <t>Ludlum pp. 79, 115 (Hartford sunrise table; Stiles register)</t>
        </is>
      </c>
      <c r="K21" s="19" t="inlineStr">
        <is>
          <t>Coldest morning of the coldest month on record; five consecutive sub-zero sunrises at Hartford Jan 25–29.</t>
        </is>
      </c>
      <c r="L21" s="19" t="inlineStr">
        <is>
          <t>Ludlum, Early American Winters I (page screenshots, verified)</t>
        </is>
      </c>
      <c r="M21" s="19" t="n"/>
      <c r="N21" s="19" t="inlineStr">
        <is>
          <t>B</t>
        </is>
      </c>
      <c r="O21" s="19" t="inlineStr">
        <is>
          <t>Y</t>
        </is>
      </c>
      <c r="P21" s="19" t="n"/>
      <c r="Q21" s="19" t="inlineStr">
        <is>
          <t>1780-01-29</t>
        </is>
      </c>
      <c r="R21" s="19">
        <f>VALUE(LEFT(Q21,4))</f>
        <v/>
      </c>
      <c r="S21" s="19">
        <f>VALUE(MID(Q21,6,2))</f>
        <v/>
      </c>
      <c r="T21" s="19">
        <f>VALUE(RIGHT(Q21,2))</f>
        <v/>
      </c>
      <c r="U21" s="19" t="inlineStr">
        <is>
          <t>day</t>
        </is>
      </c>
      <c r="V21" s="19" t="inlineStr">
        <is>
          <t>Single-day event</t>
        </is>
      </c>
    </row>
    <row r="22" ht="34.5" customHeight="1" s="13">
      <c r="A22" s="19" t="n">
        <v>21</v>
      </c>
      <c r="B22" s="19" t="inlineStr">
        <is>
          <t>1780-11-01</t>
        </is>
      </c>
      <c r="C22" s="19" t="inlineStr">
        <is>
          <t>1780-11-11</t>
        </is>
      </c>
      <c r="D22" s="19">
        <f>VALUE(LEFT(B22,4))</f>
        <v/>
      </c>
      <c r="E22" s="19">
        <f>INT((D22-1)/100)+1</f>
        <v/>
      </c>
      <c r="F22" s="19" t="inlineStr">
        <is>
          <t>Early freeze</t>
        </is>
      </c>
      <c r="G22" s="19" t="inlineStr">
        <is>
          <t>Early freeze-up of the Hudson at Albany, Nov 1780</t>
        </is>
      </c>
      <c r="H22" s="19" t="inlineStr">
        <is>
          <t>Albany / Middle States</t>
        </is>
      </c>
      <c r="I22" s="19" t="inlineStr">
        <is>
          <t>Deep snow Nov 1 over the Middle States; Hudson frozen at Albany Nov 11 – 'an unusually early date'</t>
        </is>
      </c>
      <c r="J22" s="19" t="inlineStr">
        <is>
          <t>Ludlum p. 134 (E. Stiles diary)</t>
        </is>
      </c>
      <c r="K22" s="19" t="inlineStr">
        <is>
          <t>Earliest documented freeze-up of the Hudson at Albany in the register.</t>
        </is>
      </c>
      <c r="L22" s="19" t="inlineStr">
        <is>
          <t>Ludlum, Early American Winters I (page screenshots, verified)</t>
        </is>
      </c>
      <c r="M22" s="19" t="n"/>
      <c r="N22" s="19" t="inlineStr">
        <is>
          <t>B</t>
        </is>
      </c>
      <c r="O22" s="19" t="inlineStr">
        <is>
          <t>Y</t>
        </is>
      </c>
      <c r="P22" s="19" t="n"/>
      <c r="Q22" s="19" t="inlineStr">
        <is>
          <t>1780-11-11</t>
        </is>
      </c>
      <c r="R22" s="19">
        <f>VALUE(LEFT(Q22,4))</f>
        <v/>
      </c>
      <c r="S22" s="19">
        <f>VALUE(MID(Q22,6,2))</f>
        <v/>
      </c>
      <c r="T22" s="19">
        <f>VALUE(RIGHT(Q22,2))</f>
        <v/>
      </c>
      <c r="U22" s="19" t="inlineStr">
        <is>
          <t>day</t>
        </is>
      </c>
      <c r="V22" s="19" t="inlineStr">
        <is>
          <t>Freeze-up date at Albany</t>
        </is>
      </c>
    </row>
    <row r="23" ht="45.75" customHeight="1" s="13">
      <c r="A23" s="19" t="n">
        <v>22</v>
      </c>
      <c r="B23" s="19" t="inlineStr">
        <is>
          <t>1781-01-22</t>
        </is>
      </c>
      <c r="C23" s="19" t="inlineStr">
        <is>
          <t>1781-01-23</t>
        </is>
      </c>
      <c r="D23" s="19">
        <f>VALUE(LEFT(B23,4))</f>
        <v/>
      </c>
      <c r="E23" s="19">
        <f>INT((D23-1)/100)+1</f>
        <v/>
      </c>
      <c r="F23" s="19" t="inlineStr">
        <is>
          <t>Coastal storm / wind</t>
        </is>
      </c>
      <c r="G23" s="19" t="inlineStr">
        <is>
          <t>Great coastal storm of January 1781</t>
        </is>
      </c>
      <c r="H23" s="19" t="inlineStr">
        <is>
          <t>NYC / Hudson Valley / New England</t>
        </is>
      </c>
      <c r="I23" s="19" t="inlineStr">
        <is>
          <t>NYC: heavy rain then snow, ~9 in; chimneys and trees blown down, people killed by falling chimneys; 'severest that has been felt here for many years'</t>
        </is>
      </c>
      <c r="J23" s="19" t="inlineStr">
        <is>
          <t>Ludlum pp. 134–135 (F. Mackenzie diary)</t>
        </is>
      </c>
      <c r="K23" s="19" t="inlineStr">
        <is>
          <t>Four naval vessels wrecked at Gardiners Island; 74-gun ship lost at Newport; prodigious inland snow (8 ft on the level claimed in NE Connecticut, unconfirmed).</t>
        </is>
      </c>
      <c r="L23" s="19" t="inlineStr">
        <is>
          <t>Ludlum, Early American Winters I (page screenshots, verified)</t>
        </is>
      </c>
      <c r="M23" s="19" t="n"/>
      <c r="N23" s="19" t="inlineStr">
        <is>
          <t>B</t>
        </is>
      </c>
      <c r="O23" s="19" t="inlineStr">
        <is>
          <t>Y</t>
        </is>
      </c>
      <c r="P23" s="19" t="n"/>
      <c r="Q23" s="19" t="inlineStr">
        <is>
          <t>1781-01-22</t>
        </is>
      </c>
      <c r="R23" s="19">
        <f>VALUE(LEFT(Q23,4))</f>
        <v/>
      </c>
      <c r="S23" s="19">
        <f>VALUE(MID(Q23,6,2))</f>
        <v/>
      </c>
      <c r="T23" s="19">
        <f>VALUE(RIGHT(Q23,2))</f>
        <v/>
      </c>
      <c r="U23" s="19" t="inlineStr">
        <is>
          <t>days</t>
        </is>
      </c>
      <c r="V23" s="19" t="inlineStr">
        <is>
          <t>Multi-day event; anchored to first day</t>
        </is>
      </c>
    </row>
    <row r="24" ht="57" customHeight="1" s="13">
      <c r="A24" s="19" t="n">
        <v>23</v>
      </c>
      <c r="B24" s="19" t="inlineStr">
        <is>
          <t>1783-10-18</t>
        </is>
      </c>
      <c r="C24" s="19" t="inlineStr">
        <is>
          <t>1783-10-19</t>
        </is>
      </c>
      <c r="D24" s="19">
        <f>VALUE(LEFT(B24,4))</f>
        <v/>
      </c>
      <c r="E24" s="19">
        <f>INT((D24-1)/100)+1</f>
        <v/>
      </c>
      <c r="F24" s="19" t="inlineStr">
        <is>
          <t>Tropical remnant / snow / flood</t>
        </is>
      </c>
      <c r="G24" s="19" t="inlineStr">
        <is>
          <t>October 1783 storms – NY &amp; New England</t>
        </is>
      </c>
      <c r="H24" s="19" t="inlineStr">
        <is>
          <t>New Brunswick NJ / New Haven / Goshen CT / VT</t>
        </is>
      </c>
      <c r="I24" s="19" t="inlineStr">
        <is>
          <t>2nd of the Oct 1783 storms: mid-Oct snowfall to the shores of LI Sound; snow in Goshen CT and adjacent towns; VT height-of-land 6–8 in; Windsor VT 'greatest flood ever known since settlement' Oct 22</t>
        </is>
      </c>
      <c r="J24" s="19" t="inlineStr">
        <is>
          <t>Ludlum p. 29 (Penna. papers, Vt. Journal)</t>
        </is>
      </c>
      <c r="K24" s="19" t="inlineStr">
        <is>
          <t>A cold-air-charged coastal storm that put snow on the CT Valley hills and caused the worst VT flood to that date; the Helderbergs likely saw the same snow.</t>
        </is>
      </c>
      <c r="L24" s="19" t="inlineStr">
        <is>
          <t>Ludlum, Early American Hurricanes 1492–1870 (AMS, 1963), pp. 24–40 (verified, page images)</t>
        </is>
      </c>
      <c r="M24" s="19" t="inlineStr">
        <is>
          <t>https://hdl.handle.net/2027/mdp.39015002912718</t>
        </is>
      </c>
      <c r="N24" s="19" t="inlineStr">
        <is>
          <t>C</t>
        </is>
      </c>
      <c r="O24" s="19" t="inlineStr">
        <is>
          <t>Y</t>
        </is>
      </c>
      <c r="P24" s="19" t="inlineStr">
        <is>
          <t>Snow reached LI Sound hills; western extent (Helderbergs) inferred.</t>
        </is>
      </c>
      <c r="Q24" s="19" t="inlineStr">
        <is>
          <t>1783-10-18</t>
        </is>
      </c>
      <c r="R24" s="19">
        <f>VALUE(LEFT(Q24,4))</f>
        <v/>
      </c>
      <c r="S24" s="19">
        <f>VALUE(MID(Q24,6,2))</f>
        <v/>
      </c>
      <c r="T24" s="19">
        <f>VALUE(RIGHT(Q24,2))</f>
        <v/>
      </c>
      <c r="U24" s="19" t="inlineStr">
        <is>
          <t>days</t>
        </is>
      </c>
      <c r="V24" s="19" t="inlineStr">
        <is>
          <t>Second storm Oct 18–19; anchored to first day</t>
        </is>
      </c>
    </row>
    <row r="25" ht="34.5" customHeight="1" s="13">
      <c r="A25" s="19" t="n">
        <v>24</v>
      </c>
      <c r="B25" s="19" t="inlineStr">
        <is>
          <t>1783-12-30</t>
        </is>
      </c>
      <c r="C25" s="19" t="inlineStr">
        <is>
          <t>1783-12-31</t>
        </is>
      </c>
      <c r="D25" s="19">
        <f>VALUE(LEFT(B25,4))</f>
        <v/>
      </c>
      <c r="E25" s="19">
        <f>INT((D25-1)/100)+1</f>
        <v/>
      </c>
      <c r="F25" s="19" t="inlineStr">
        <is>
          <t>Coastal storm</t>
        </is>
      </c>
      <c r="G25" s="19" t="inlineStr">
        <is>
          <t>Year-end storm of 1783 (Long Winter)</t>
        </is>
      </c>
      <c r="H25" s="19" t="inlineStr">
        <is>
          <t>NJ / NYC / Hudson Valley</t>
        </is>
      </c>
      <c r="I25" s="19" t="inlineStr">
        <is>
          <t>20 in at Morristown Dec 30–31 'almost the same date as four years earlier'; Trappe PA 'uncommonly deep'</t>
        </is>
      </c>
      <c r="J25" s="19" t="inlineStr">
        <is>
          <t>Ludlum p. 65 (Joseph Lewis diary)</t>
        </is>
      </c>
      <c r="K25" s="19" t="inlineStr">
        <is>
          <t>Opened the Long Winter of 1783–84; greatest seasonal snowfall known in northern NJ.</t>
        </is>
      </c>
      <c r="L25" s="19" t="inlineStr">
        <is>
          <t>Ludlum, Early American Winters I (page screenshots, verified)</t>
        </is>
      </c>
      <c r="M25" s="19" t="n"/>
      <c r="N25" s="19" t="inlineStr">
        <is>
          <t>B</t>
        </is>
      </c>
      <c r="O25" s="19" t="inlineStr">
        <is>
          <t>Y</t>
        </is>
      </c>
      <c r="P25" s="19" t="n"/>
      <c r="Q25" s="19" t="inlineStr">
        <is>
          <t>1783-12-30</t>
        </is>
      </c>
      <c r="R25" s="19">
        <f>VALUE(LEFT(Q25,4))</f>
        <v/>
      </c>
      <c r="S25" s="19">
        <f>VALUE(MID(Q25,6,2))</f>
        <v/>
      </c>
      <c r="T25" s="19">
        <f>VALUE(RIGHT(Q25,2))</f>
        <v/>
      </c>
      <c r="U25" s="19" t="inlineStr">
        <is>
          <t>days</t>
        </is>
      </c>
      <c r="V25" s="19" t="inlineStr">
        <is>
          <t>Multi-day event; anchored to first day</t>
        </is>
      </c>
    </row>
    <row r="26" ht="45.75" customHeight="1" s="13">
      <c r="A26" s="19" t="n">
        <v>25</v>
      </c>
      <c r="B26" s="19" t="inlineStr">
        <is>
          <t>1784-02-10</t>
        </is>
      </c>
      <c r="C26" s="19" t="inlineStr">
        <is>
          <t>1784-02-17</t>
        </is>
      </c>
      <c r="D26" s="19">
        <f>VALUE(LEFT(B26,4))</f>
        <v/>
      </c>
      <c r="E26" s="19">
        <f>INT((D26-1)/100)+1</f>
        <v/>
      </c>
      <c r="F26" s="19" t="inlineStr">
        <is>
          <t>Arctic outbreak</t>
        </is>
      </c>
      <c r="G26" s="19" t="inlineStr">
        <is>
          <t>February 1784 cold – the Long Winter</t>
        </is>
      </c>
      <c r="H26" s="19" t="inlineStr">
        <is>
          <t>Interior New England / NYC</t>
        </is>
      </c>
      <c r="I26" s="19" t="inlineStr">
        <is>
          <t>Hartford ≤ −12°F on 8 consecutive mornings Feb 10–17 (−20° Feb 14); New Haven −10° Feb 10; the Narrows choked with ice; Baltimore closed Jan 2–Mar 25, 16 days longer than 1780</t>
        </is>
      </c>
      <c r="J26" s="19" t="inlineStr">
        <is>
          <t>Ludlum p. 65 (Webster / Amer. Jour. Sci.)</t>
        </is>
      </c>
      <c r="K26" s="19" t="inlineStr">
        <is>
          <t>Longest spell of sub-zero readings on record in southern New England; 1784 remembered by mariners as their toughest ice season.</t>
        </is>
      </c>
      <c r="L26" s="19" t="inlineStr">
        <is>
          <t>Ludlum, Early American Winters I (page screenshots, verified)</t>
        </is>
      </c>
      <c r="M26" s="19" t="n"/>
      <c r="N26" s="19" t="inlineStr">
        <is>
          <t>B</t>
        </is>
      </c>
      <c r="O26" s="19" t="inlineStr">
        <is>
          <t>Y</t>
        </is>
      </c>
      <c r="P26" s="19" t="inlineStr">
        <is>
          <t>Albany value not given; likely colder.</t>
        </is>
      </c>
      <c r="Q26" s="19" t="inlineStr">
        <is>
          <t>1784-02-10</t>
        </is>
      </c>
      <c r="R26" s="19">
        <f>VALUE(LEFT(Q26,4))</f>
        <v/>
      </c>
      <c r="S26" s="19">
        <f>VALUE(MID(Q26,6,2))</f>
        <v/>
      </c>
      <c r="T26" s="19">
        <f>VALUE(RIGHT(Q26,2))</f>
        <v/>
      </c>
      <c r="U26" s="19" t="inlineStr">
        <is>
          <t>days</t>
        </is>
      </c>
      <c r="V26" s="19" t="inlineStr">
        <is>
          <t>Multi-day event; anchored to first day</t>
        </is>
      </c>
    </row>
    <row r="27" ht="90.75" customHeight="1" s="13">
      <c r="A27" s="19" t="n">
        <v>26</v>
      </c>
      <c r="B27" s="19" t="inlineStr">
        <is>
          <t>1788-08-19</t>
        </is>
      </c>
      <c r="C27" s="19" t="inlineStr">
        <is>
          <t>1788-08-19</t>
        </is>
      </c>
      <c r="D27" s="19">
        <f>VALUE(LEFT(B27,4))</f>
        <v/>
      </c>
      <c r="E27" s="19">
        <f>INT((D27-1)/100)+1</f>
        <v/>
      </c>
      <c r="F27" s="19" t="inlineStr">
        <is>
          <t>Tropical cyclone / severe wind</t>
        </is>
      </c>
      <c r="G27" s="19" t="inlineStr">
        <is>
          <t>The Hurricane of August 19, 1788 – over the Hudson Highlands</t>
        </is>
      </c>
      <c r="H27" s="19" t="inlineStr">
        <is>
          <t>Hudson River highlands (Bear Mtn) / Berkshires / Hillsdale, Columbia Co. / Hudson / Poughkeepsie</t>
        </is>
      </c>
      <c r="I27" s="19" t="inlineStr">
        <is>
          <t>Small, fast (~45 mph) intense storm; ~50-mi-wide path of 75+ mph winds tracked over the Hudson River highlands near Bear Mountain into the Berkshires; Hillsdale NY first-hand account of a violent NW hurricane, streams to torrents, pines crushing houses; Poughkeepsie oaks down, creeks took bridges; Hudson 48-hr flood, mills carried off between Hudson and Albany</t>
        </is>
      </c>
      <c r="J27" s="19" t="inlineStr">
        <is>
          <t>Ludlum pp. 30–34 (Hudson Weekly Gazette, Country Journal, Daily Adv.)</t>
        </is>
      </c>
      <c r="K27" s="19" t="inlineStr">
        <is>
          <t>The most directly relevant early storm in the whole volume: its damage swath ran up the Hudson through Columbia and Dutchess counties. Reached to within the register's core. Ludlum debates hurricane vs. tornado vs. squall line and concludes hurricane.</t>
        </is>
      </c>
      <c r="L27" s="19" t="inlineStr">
        <is>
          <t>Ludlum, Early American Hurricanes 1492–1870 (AMS, 1963), pp. 24–40 (verified, page images)</t>
        </is>
      </c>
      <c r="M27" s="19" t="inlineStr">
        <is>
          <t>https://hdl.handle.net/2027/mdp.39015002912718</t>
        </is>
      </c>
      <c r="N27" s="19" t="inlineStr">
        <is>
          <t>B</t>
        </is>
      </c>
      <c r="O27" s="19" t="inlineStr">
        <is>
          <t>Y</t>
        </is>
      </c>
      <c r="P27" s="19" t="inlineStr">
        <is>
          <t>Hillsdale (Columbia Co.) is ~20 mi from Westerlo; Hudson &amp; Poughkeepsie flooding documented. Standout row from this batch.</t>
        </is>
      </c>
      <c r="Q27" s="19" t="inlineStr">
        <is>
          <t>1788-08-19</t>
        </is>
      </c>
      <c r="R27" s="19">
        <f>VALUE(LEFT(Q27,4))</f>
        <v/>
      </c>
      <c r="S27" s="19">
        <f>VALUE(MID(Q27,6,2))</f>
        <v/>
      </c>
      <c r="T27" s="19">
        <f>VALUE(RIGHT(Q27,2))</f>
        <v/>
      </c>
      <c r="U27" s="19" t="inlineStr">
        <is>
          <t>day</t>
        </is>
      </c>
      <c r="V27" s="19" t="inlineStr">
        <is>
          <t>Single-day event</t>
        </is>
      </c>
    </row>
    <row r="28" ht="57" customHeight="1" s="13">
      <c r="A28" s="19" t="n">
        <v>27</v>
      </c>
      <c r="B28" s="19" t="inlineStr">
        <is>
          <t>1789-01-30</t>
        </is>
      </c>
      <c r="C28" s="19" t="inlineStr">
        <is>
          <t>1789-02-02</t>
        </is>
      </c>
      <c r="D28" s="19">
        <f>VALUE(LEFT(B28,4))</f>
        <v/>
      </c>
      <c r="E28" s="19">
        <f>INT((D28-1)/100)+1</f>
        <v/>
      </c>
      <c r="F28" s="19" t="inlineStr">
        <is>
          <t>Arctic outbreak</t>
        </is>
      </c>
      <c r="G28" s="19" t="inlineStr">
        <is>
          <t>February 2, 1789 – Albany's earliest instrumental extreme</t>
        </is>
      </c>
      <c r="H28" s="19" t="inlineStr">
        <is>
          <t>Albany / Hartford / New Haven</t>
        </is>
      </c>
      <c r="I28" s="19" t="inlineStr">
        <is>
          <t>Albany −24°F Feb 2, 'colder by 6° than ever known' (weather book at the museum opposite Denniston's tavern, Green Street); Hartford −28°F, 4° below anything known; snow half a foot Jan 30</t>
        </is>
      </c>
      <c r="J28" s="19" t="inlineStr">
        <is>
          <t>The Annual Register (Albany, 1849) p. 329, via Ludlum p. 79</t>
        </is>
      </c>
      <c r="K28" s="19" t="inlineStr">
        <is>
          <t>Earliest dated thermometer reading for Albany in the register; Stiles notes it as one of three notable cold days of his lifetime (Feb 5).</t>
        </is>
      </c>
      <c r="L28" s="19" t="inlineStr">
        <is>
          <t>Ludlum, Early American Winters I (page screenshots, verified)</t>
        </is>
      </c>
      <c r="M28" s="19" t="n"/>
      <c r="N28" s="19" t="inlineStr">
        <is>
          <t>B</t>
        </is>
      </c>
      <c r="O28" s="19" t="inlineStr">
        <is>
          <t>Y</t>
        </is>
      </c>
      <c r="P28" s="19" t="inlineStr">
        <is>
          <t>Albany had a thermometer by Jan 1772. NB: the 42-year freeze notice (Amer. Quar. Jour. 1845) is headed 'From the Albany Daily Advertiser', not the New York Daily Advertiser as Ludlum's footnote says.</t>
        </is>
      </c>
      <c r="Q28" s="19" t="inlineStr">
        <is>
          <t>1789-01-30</t>
        </is>
      </c>
      <c r="R28" s="19">
        <f>VALUE(LEFT(Q28,4))</f>
        <v/>
      </c>
      <c r="S28" s="19">
        <f>VALUE(MID(Q28,6,2))</f>
        <v/>
      </c>
      <c r="T28" s="19">
        <f>VALUE(RIGHT(Q28,2))</f>
        <v/>
      </c>
      <c r="U28" s="19" t="inlineStr">
        <is>
          <t>days</t>
        </is>
      </c>
      <c r="V28" s="19" t="inlineStr">
        <is>
          <t>Multi-day event; anchored to first day</t>
        </is>
      </c>
    </row>
    <row r="29" ht="34.5" customHeight="1" s="13">
      <c r="A29" s="19" t="n">
        <v>28</v>
      </c>
      <c r="B29" s="19" t="inlineStr">
        <is>
          <t>1795-08-03</t>
        </is>
      </c>
      <c r="C29" s="19" t="inlineStr">
        <is>
          <t>1795-08-03</t>
        </is>
      </c>
      <c r="D29" s="19">
        <f>VALUE(LEFT(B29,4))</f>
        <v/>
      </c>
      <c r="E29" s="19">
        <f>INT((D29-1)/100)+1</f>
        <v/>
      </c>
      <c r="F29" s="19" t="inlineStr">
        <is>
          <t>Tropical cyclone</t>
        </is>
      </c>
      <c r="G29" s="19" t="inlineStr">
        <is>
          <t>August 1795 storm – NYC fringe</t>
        </is>
      </c>
      <c r="H29" s="19" t="inlineStr">
        <is>
          <t>NYC / lower Hudson</t>
        </is>
      </c>
      <c r="I29" s="19" t="inlineStr">
        <is>
          <t>Henry Laight, NYC: 'a very heavy gale of wind and a great deal of rain from the East' Aug 3</t>
        </is>
      </c>
      <c r="J29" s="19" t="inlineStr">
        <is>
          <t>Ludlum p. 34 (Laight Ms.)</t>
        </is>
      </c>
      <c r="K29" s="19" t="inlineStr">
        <is>
          <t>Twin NC hurricanes; only the northern fringe reached NYC. Minor for the region.</t>
        </is>
      </c>
      <c r="L29" s="19" t="inlineStr">
        <is>
          <t>Ludlum, Early American Hurricanes 1492–1870 (AMS, 1963), pp. 24–40 (verified, page images)</t>
        </is>
      </c>
      <c r="M29" s="19" t="inlineStr">
        <is>
          <t>https://hdl.handle.net/2027/mdp.39015002912718</t>
        </is>
      </c>
      <c r="N29" s="19" t="inlineStr">
        <is>
          <t>C</t>
        </is>
      </c>
      <c r="O29" s="19" t="inlineStr">
        <is>
          <t>N</t>
        </is>
      </c>
      <c r="P29" s="19" t="inlineStr">
        <is>
          <t>NYC fringe only.</t>
        </is>
      </c>
      <c r="Q29" s="19" t="inlineStr">
        <is>
          <t>1795-08-03</t>
        </is>
      </c>
      <c r="R29" s="19">
        <f>VALUE(LEFT(Q29,4))</f>
        <v/>
      </c>
      <c r="S29" s="19">
        <f>VALUE(MID(Q29,6,2))</f>
        <v/>
      </c>
      <c r="T29" s="19">
        <f>VALUE(RIGHT(Q29,2))</f>
        <v/>
      </c>
      <c r="U29" s="19" t="inlineStr">
        <is>
          <t>day</t>
        </is>
      </c>
      <c r="V29" s="19" t="inlineStr">
        <is>
          <t>Single-day event</t>
        </is>
      </c>
    </row>
    <row r="30" ht="90.75" customHeight="1" s="13">
      <c r="A30" s="19" t="n">
        <v>29</v>
      </c>
      <c r="B30" s="19" t="inlineStr">
        <is>
          <t>1796-11-28</t>
        </is>
      </c>
      <c r="C30" s="19" t="inlineStr">
        <is>
          <t>1797-01-12</t>
        </is>
      </c>
      <c r="D30" s="19">
        <f>VALUE(LEFT(B30,4))</f>
        <v/>
      </c>
      <c r="E30" s="19">
        <f>INT((D30-1)/100)+1</f>
        <v/>
      </c>
      <c r="F30" s="19" t="inlineStr">
        <is>
          <t>Cold winter</t>
        </is>
      </c>
      <c r="G30" s="19" t="inlineStr">
        <is>
          <t>Early severe winter 1796–97</t>
        </is>
      </c>
      <c r="H30" s="19" t="inlineStr">
        <is>
          <t>Albany</t>
        </is>
      </c>
      <c r="I30" s="19" t="inlineStr">
        <is>
          <t>River closed Nov 28; intensely cold Dec 23–24, mercury at zero AM</t>
        </is>
      </c>
      <c r="J30" s="19" t="inlineStr">
        <is>
          <t>Albany freeze notice</t>
        </is>
      </c>
      <c r="K30" s="19" t="inlineStr">
        <is>
          <t>Early hard winter, severe to mid-January.</t>
        </is>
      </c>
      <c r="L30" s="19" t="inlineStr">
        <is>
          <t>Albany Daily Advertiser, "Notices of the Winters at New York for the last forty-two years… dates at which the Hudson was frozen or obstructed or closed by ice at Albany," repr. American Quarterly Journal of Agriculture and Science 1 (1845) pp. 347–350 (verified, page images)</t>
        </is>
      </c>
      <c r="M30" s="19" t="inlineStr">
        <is>
          <t>https://archive.org/details/americanquarterl00slsn</t>
        </is>
      </c>
      <c r="N30" s="19" t="inlineStr">
        <is>
          <t>B</t>
        </is>
      </c>
      <c r="O30" s="19" t="inlineStr">
        <is>
          <t>Y</t>
        </is>
      </c>
      <c r="P30" s="19" t="n"/>
      <c r="Q30" s="19" t="inlineStr">
        <is>
          <t>1796-12-20</t>
        </is>
      </c>
      <c r="R30" s="19">
        <f>VALUE(LEFT(Q30,4))</f>
        <v/>
      </c>
      <c r="S30" s="19">
        <f>VALUE(MID(Q30,6,2))</f>
        <v/>
      </c>
      <c r="T30" s="19">
        <f>VALUE(RIGHT(Q30,2))</f>
        <v/>
      </c>
      <c r="U30" s="19" t="inlineStr">
        <is>
          <t>month</t>
        </is>
      </c>
      <c r="V30" s="19" t="inlineStr">
        <is>
          <t>Anchored to mid-point of a multi-week window</t>
        </is>
      </c>
    </row>
    <row r="31" ht="90.75" customHeight="1" s="13">
      <c r="A31" s="19" t="n">
        <v>30</v>
      </c>
      <c r="B31" s="19" t="inlineStr">
        <is>
          <t>1797-11-23</t>
        </is>
      </c>
      <c r="C31" s="19" t="inlineStr">
        <is>
          <t>1798-02-28</t>
        </is>
      </c>
      <c r="D31" s="19">
        <f>VALUE(LEFT(B31,4))</f>
        <v/>
      </c>
      <c r="E31" s="19">
        <f>INT((D31-1)/100)+1</f>
        <v/>
      </c>
      <c r="F31" s="19" t="inlineStr">
        <is>
          <t>Cold winter</t>
        </is>
      </c>
      <c r="G31" s="19" t="inlineStr">
        <is>
          <t>Long severe winter 1797–98</t>
        </is>
      </c>
      <c r="H31" s="19" t="inlineStr">
        <is>
          <t>Albany</t>
        </is>
      </c>
      <c r="I31" s="19" t="inlineStr">
        <is>
          <t>River closed Nov 23; lowest 2°F above zero</t>
        </is>
      </c>
      <c r="J31" s="19" t="inlineStr">
        <is>
          <t>Albany freeze notice</t>
        </is>
      </c>
      <c r="K31" s="19" t="inlineStr">
        <is>
          <t>Very early, long and severe; brief January thaw.</t>
        </is>
      </c>
      <c r="L31" s="19" t="inlineStr">
        <is>
          <t>Albany Daily Advertiser, "Notices of the Winters at New York for the last forty-two years… dates at which the Hudson was frozen or obstructed or closed by ice at Albany," repr. American Quarterly Journal of Agriculture and Science 1 (1845) pp. 347–350 (verified, page images)</t>
        </is>
      </c>
      <c r="M31" s="19" t="inlineStr">
        <is>
          <t>https://archive.org/details/americanquarterl00slsn</t>
        </is>
      </c>
      <c r="N31" s="19" t="inlineStr">
        <is>
          <t>B</t>
        </is>
      </c>
      <c r="O31" s="19" t="inlineStr">
        <is>
          <t>Y</t>
        </is>
      </c>
      <c r="P31" s="19" t="n"/>
      <c r="Q31" s="19" t="inlineStr">
        <is>
          <t>1798-01-10</t>
        </is>
      </c>
      <c r="R31" s="19">
        <f>VALUE(LEFT(Q31,4))</f>
        <v/>
      </c>
      <c r="S31" s="19">
        <f>VALUE(MID(Q31,6,2))</f>
        <v/>
      </c>
      <c r="T31" s="19">
        <f>VALUE(RIGHT(Q31,2))</f>
        <v/>
      </c>
      <c r="U31" s="19" t="inlineStr">
        <is>
          <t>season</t>
        </is>
      </c>
      <c r="V31" s="19" t="inlineStr">
        <is>
          <t>Anchored to mid-point of a season-scale window</t>
        </is>
      </c>
    </row>
    <row r="32" ht="68.25" customHeight="1" s="13">
      <c r="A32" s="19" t="n">
        <v>31</v>
      </c>
      <c r="B32" s="19" t="inlineStr">
        <is>
          <t>1800-01-01</t>
        </is>
      </c>
      <c r="C32" s="19" t="inlineStr">
        <is>
          <t>2026-12-31</t>
        </is>
      </c>
      <c r="D32" s="19">
        <f>VALUE(LEFT(B32,4))</f>
        <v/>
      </c>
      <c r="E32" s="19">
        <f>INT((D32-1)/100)+1</f>
        <v/>
      </c>
      <c r="F32" s="19" t="inlineStr">
        <is>
          <t>Sinkhole / karst</t>
        </is>
      </c>
      <c r="G32" s="19" t="inlineStr">
        <is>
          <t>Helderberg–Cobleskill karst (standing hazard)</t>
        </is>
      </c>
      <c r="H32" s="19" t="inlineStr">
        <is>
          <t>Knox, Berne, Clarksville, Cobleskill plateau</t>
        </is>
      </c>
      <c r="I32" s="19" t="inlineStr">
        <is>
          <t>Largest karst drainage in the Northeast; Cobleskill Creek loses most flow underground where it crosses the Coeymans Limestone</t>
        </is>
      </c>
      <c r="J32" s="19" t="inlineStr">
        <is>
          <t>none</t>
        </is>
      </c>
      <c r="K32" s="19" t="inlineStr">
        <is>
          <t>Context row: sinkholes and swallets are a permanent feature of the plateau; discrete collapse events are rarely reported.</t>
        </is>
      </c>
      <c r="L32" s="19" t="inlineStr">
        <is>
          <t>NYSGA 1991 field guide</t>
        </is>
      </c>
      <c r="M32" s="19" t="inlineStr">
        <is>
          <t>https://www.nysga-online.org/wp-content/uploads/2019/06/NYSGA-1991-A6-Interaction-Between-Karst-and-Glaciation-in-the-Helderberg-Plateau-Schoharie-and-Albany-Counties-New-York.pdf</t>
        </is>
      </c>
      <c r="N32" s="19" t="inlineStr">
        <is>
          <t>B</t>
        </is>
      </c>
      <c r="O32" s="19" t="inlineStr">
        <is>
          <t>Y</t>
        </is>
      </c>
      <c r="P32" s="19" t="inlineStr">
        <is>
          <t>Context row, not an event.</t>
        </is>
      </c>
      <c r="Q32" s="19" t="inlineStr">
        <is>
          <t>1975-05-15</t>
        </is>
      </c>
      <c r="R32" s="19">
        <f>VALUE(LEFT(Q32,4))</f>
        <v/>
      </c>
      <c r="S32" s="19">
        <f>VALUE(MID(Q32,6,2))</f>
        <v/>
      </c>
      <c r="T32" s="19">
        <f>VALUE(RIGHT(Q32,2))</f>
        <v/>
      </c>
      <c r="U32" s="19" t="inlineStr">
        <is>
          <t>year</t>
        </is>
      </c>
      <c r="V32" s="19" t="inlineStr">
        <is>
          <t>Context row – do not plot as a point</t>
        </is>
      </c>
    </row>
    <row r="33" ht="34.5" customHeight="1" s="13">
      <c r="A33" s="19" t="n">
        <v>32</v>
      </c>
      <c r="B33" s="19" t="inlineStr">
        <is>
          <t>1801-12-01</t>
        </is>
      </c>
      <c r="C33" s="19" t="inlineStr">
        <is>
          <t>1802-01-31</t>
        </is>
      </c>
      <c r="D33" s="19">
        <f>VALUE(LEFT(B33,4))</f>
        <v/>
      </c>
      <c r="E33" s="19">
        <f>INT((D33-1)/100)+1</f>
        <v/>
      </c>
      <c r="F33" s="19" t="inlineStr">
        <is>
          <t>Mild winter</t>
        </is>
      </c>
      <c r="G33" s="19" t="inlineStr">
        <is>
          <t>Open winter of 1801–02</t>
        </is>
      </c>
      <c r="H33" s="19" t="inlineStr">
        <is>
          <t>Albany / New Haven</t>
        </is>
      </c>
      <c r="I33" s="19" t="inlineStr">
        <is>
          <t>At Albany no ice on the Hudson strong enough to bear a team; only 1.25 in snow Dec–Jan; violets blooming at New Haven in January</t>
        </is>
      </c>
      <c r="J33" s="19" t="inlineStr">
        <is>
          <t>Ludlum p. 165</t>
        </is>
      </c>
      <c r="K33" s="19" t="inlineStr">
        <is>
          <t>Least wintry season since the Revolution – a useful counter-example for the timeline.</t>
        </is>
      </c>
      <c r="L33" s="19" t="inlineStr">
        <is>
          <t>Ludlum, Early American Winters I (page screenshots, verified)</t>
        </is>
      </c>
      <c r="M33" s="19" t="n"/>
      <c r="N33" s="19" t="inlineStr">
        <is>
          <t>B</t>
        </is>
      </c>
      <c r="O33" s="19" t="inlineStr">
        <is>
          <t>Y</t>
        </is>
      </c>
      <c r="P33" s="19" t="n"/>
      <c r="Q33" s="19" t="inlineStr">
        <is>
          <t>1802-01-15</t>
        </is>
      </c>
      <c r="R33" s="19">
        <f>VALUE(LEFT(Q33,4))</f>
        <v/>
      </c>
      <c r="S33" s="19">
        <f>VALUE(MID(Q33,6,2))</f>
        <v/>
      </c>
      <c r="T33" s="19">
        <f>VALUE(RIGHT(Q33,2))</f>
        <v/>
      </c>
      <c r="U33" s="19" t="inlineStr">
        <is>
          <t>season</t>
        </is>
      </c>
      <c r="V33" s="19" t="inlineStr">
        <is>
          <t>Mid-winter; counter-example row</t>
        </is>
      </c>
    </row>
    <row r="34" ht="45.75" customHeight="1" s="13">
      <c r="A34" s="19" t="n">
        <v>33</v>
      </c>
      <c r="B34" s="19" t="inlineStr">
        <is>
          <t>1802-02-22</t>
        </is>
      </c>
      <c r="C34" s="19" t="inlineStr">
        <is>
          <t>1802-02-24</t>
        </is>
      </c>
      <c r="D34" s="19">
        <f>VALUE(LEFT(B34,4))</f>
        <v/>
      </c>
      <c r="E34" s="19">
        <f>INT((D34-1)/100)+1</f>
        <v/>
      </c>
      <c r="F34" s="19" t="inlineStr">
        <is>
          <t>Nor'easter</t>
        </is>
      </c>
      <c r="G34" s="19" t="inlineStr">
        <is>
          <t>Great coastal storm and deep snow of Feb 1802</t>
        </is>
      </c>
      <c r="H34" s="19" t="inlineStr">
        <is>
          <t>Hudson Valley / New England</t>
        </is>
      </c>
      <c r="I34" s="19" t="inlineStr">
        <is>
          <t>Snow reached Poughkeepsie 0400 and Albany just before daybreak Feb 22; 4+ ft at Rutland MA, 3.5 ft at Worcester; drifts 6–10 ft at Portsmouth</t>
        </is>
      </c>
      <c r="J34" s="19" t="inlineStr">
        <is>
          <t>Ludlum pp. 165–166 (Annals of Albany 3, 319)</t>
        </is>
      </c>
      <c r="K34" s="19" t="inlineStr">
        <is>
          <t>Dwight rated it equal to the 1717 storms; three East-Indiamen wrecked at Cape Cod, 9 dead.</t>
        </is>
      </c>
      <c r="L34" s="19" t="inlineStr">
        <is>
          <t>Ludlum, Early American Winters I (page screenshots, verified)</t>
        </is>
      </c>
      <c r="M34" s="19" t="n"/>
      <c r="N34" s="19" t="inlineStr">
        <is>
          <t>B</t>
        </is>
      </c>
      <c r="O34" s="19" t="inlineStr">
        <is>
          <t>Y</t>
        </is>
      </c>
      <c r="P34" s="19" t="inlineStr">
        <is>
          <t>Albany depth not given – Annals of Albany vol. 3 p. 319 has it.</t>
        </is>
      </c>
      <c r="Q34" s="19" t="inlineStr">
        <is>
          <t>1802-02-22</t>
        </is>
      </c>
      <c r="R34" s="19">
        <f>VALUE(LEFT(Q34,4))</f>
        <v/>
      </c>
      <c r="S34" s="19">
        <f>VALUE(MID(Q34,6,2))</f>
        <v/>
      </c>
      <c r="T34" s="19">
        <f>VALUE(RIGHT(Q34,2))</f>
        <v/>
      </c>
      <c r="U34" s="19" t="inlineStr">
        <is>
          <t>days</t>
        </is>
      </c>
      <c r="V34" s="19" t="inlineStr">
        <is>
          <t>Multi-day event; anchored to first day</t>
        </is>
      </c>
    </row>
    <row r="35" ht="45.75" customHeight="1" s="13">
      <c r="A35" s="19" t="n">
        <v>34</v>
      </c>
      <c r="B35" s="19" t="inlineStr">
        <is>
          <t>1803-05-06</t>
        </is>
      </c>
      <c r="C35" s="19" t="inlineStr">
        <is>
          <t>1803-05-08</t>
        </is>
      </c>
      <c r="D35" s="19">
        <f>VALUE(LEFT(B35,4))</f>
        <v/>
      </c>
      <c r="E35" s="19">
        <f>INT((D35-1)/100)+1</f>
        <v/>
      </c>
      <c r="F35" s="19" t="inlineStr">
        <is>
          <t>Late-season snow / frost</t>
        </is>
      </c>
      <c r="G35" s="19" t="inlineStr">
        <is>
          <t>May 1803 snow and frost</t>
        </is>
      </c>
      <c r="H35" s="19" t="inlineStr">
        <is>
          <t>Hudson (Columbia Co.) / Poughkeepsie / cut-off near Albany</t>
        </is>
      </c>
      <c r="I35" s="19" t="inlineStr">
        <is>
          <t>Hudson: severe frost Fri night May 6, 'considerable fall of snow' Sun May 8; Poughkeepsie: several inches, sleighs in the streets; snow canopy did not reach northern NY</t>
        </is>
      </c>
      <c r="J35" s="19" t="inlineStr">
        <is>
          <t>Ludlum p. 167 (The Balance, Hudson, 10 May 1803)</t>
        </is>
      </c>
      <c r="K35" s="19" t="inlineStr">
        <is>
          <t>First measurable May snow at seaboard locations since 1774; trees in leaf, apple in blossom.</t>
        </is>
      </c>
      <c r="L35" s="19" t="inlineStr">
        <is>
          <t>Ludlum, Early American Winters I (page screenshots, verified)</t>
        </is>
      </c>
      <c r="M35" s="19" t="n"/>
      <c r="N35" s="19" t="inlineStr">
        <is>
          <t>B</t>
        </is>
      </c>
      <c r="O35" s="19" t="inlineStr">
        <is>
          <t>Y</t>
        </is>
      </c>
      <c r="P35" s="19" t="inlineStr">
        <is>
          <t>Cut-off line 'close to Albany' – Helderbergs almost certainly had snow.</t>
        </is>
      </c>
      <c r="Q35" s="19" t="inlineStr">
        <is>
          <t>1803-05-06</t>
        </is>
      </c>
      <c r="R35" s="19">
        <f>VALUE(LEFT(Q35,4))</f>
        <v/>
      </c>
      <c r="S35" s="19">
        <f>VALUE(MID(Q35,6,2))</f>
        <v/>
      </c>
      <c r="T35" s="19">
        <f>VALUE(RIGHT(Q35,2))</f>
        <v/>
      </c>
      <c r="U35" s="19" t="inlineStr">
        <is>
          <t>days</t>
        </is>
      </c>
      <c r="V35" s="19" t="inlineStr">
        <is>
          <t>Multi-day event; anchored to first day</t>
        </is>
      </c>
    </row>
    <row r="36" ht="45.75" customHeight="1" s="13">
      <c r="A36" s="19" t="n">
        <v>35</v>
      </c>
      <c r="B36" s="19" t="inlineStr">
        <is>
          <t>1804-02-23</t>
        </is>
      </c>
      <c r="C36" s="19" t="inlineStr">
        <is>
          <t>1804-03-05</t>
        </is>
      </c>
      <c r="D36" s="19">
        <f>VALUE(LEFT(B36,4))</f>
        <v/>
      </c>
      <c r="E36" s="19">
        <f>INT((D36-1)/100)+1</f>
        <v/>
      </c>
      <c r="F36" s="19" t="inlineStr">
        <is>
          <t>Snowstorms</t>
        </is>
      </c>
      <c r="G36" s="19" t="inlineStr">
        <is>
          <t>Three snowstorms in one week – late winter 1804</t>
        </is>
      </c>
      <c r="H36" s="19" t="inlineStr">
        <is>
          <t>Hudson Valley / Albany / New England</t>
        </is>
      </c>
      <c r="I36" s="19" t="inlineStr">
        <is>
          <t>Around Albany snow lay 3 ft on the level March 5; Hudson (Balance): average depth 'upwards of two feet' after the Fri Mar 2 storm; three mails overdue from NYC</t>
        </is>
      </c>
      <c r="J36" s="19" t="inlineStr">
        <is>
          <t>Ludlum pp. 168–169 (Annals of Albany 3, 327; Hudson Balance 6 Mar 1804)</t>
        </is>
      </c>
      <c r="K36" s="19" t="inlineStr">
        <is>
          <t>'More snow than since 1780'; fodder scarce after the previous summer's drought and many cattle died in the interior.</t>
        </is>
      </c>
      <c r="L36" s="19" t="inlineStr">
        <is>
          <t>Ludlum, Early American Winters I (page screenshots, verified)</t>
        </is>
      </c>
      <c r="M36" s="19" t="n"/>
      <c r="N36" s="19" t="inlineStr">
        <is>
          <t>B</t>
        </is>
      </c>
      <c r="O36" s="19" t="inlineStr">
        <is>
          <t>Y</t>
        </is>
      </c>
      <c r="P36" s="19" t="n"/>
      <c r="Q36" s="19" t="inlineStr">
        <is>
          <t>1804-03-02</t>
        </is>
      </c>
      <c r="R36" s="19">
        <f>VALUE(LEFT(Q36,4))</f>
        <v/>
      </c>
      <c r="S36" s="19">
        <f>VALUE(MID(Q36,6,2))</f>
        <v/>
      </c>
      <c r="T36" s="19">
        <f>VALUE(RIGHT(Q36,2))</f>
        <v/>
      </c>
      <c r="U36" s="19" t="inlineStr">
        <is>
          <t>day</t>
        </is>
      </c>
      <c r="V36" s="19" t="inlineStr">
        <is>
          <t>Friday storm reported by the Hudson Balance</t>
        </is>
      </c>
    </row>
    <row r="37" ht="79.5" customHeight="1" s="13">
      <c r="A37" s="19" t="n">
        <v>36</v>
      </c>
      <c r="B37" s="19" t="inlineStr">
        <is>
          <t>1804-10-09</t>
        </is>
      </c>
      <c r="C37" s="19" t="inlineStr">
        <is>
          <t>1804-10-09</t>
        </is>
      </c>
      <c r="D37" s="19">
        <f>VALUE(LEFT(B37,4))</f>
        <v/>
      </c>
      <c r="E37" s="19">
        <f>INT((D37-1)/100)+1</f>
        <v/>
      </c>
      <c r="F37" s="19" t="inlineStr">
        <is>
          <t>Tropical cyclone / early snow</t>
        </is>
      </c>
      <c r="G37" s="19" t="inlineStr">
        <is>
          <t>New England's Snow Hurricane of 1804 (full account)</t>
        </is>
      </c>
      <c r="H37" s="19" t="inlineStr">
        <is>
          <t>NYC / Poughkeepsie / Hudson / Catskills / Berkshires</t>
        </is>
      </c>
      <c r="I37" s="19" t="inlineStr">
        <is>
          <t>Center passed just W of NYC, S of Poughkeepsie; Hudson Valley lashed at Poughkeepsie &amp; Hudson (main force from the N, 'violence not experienced since settlement'); leaf-on snow: Catskills up to 18 in, Berkshires 24–30 in, Goshen CT 12 in; heavy snow + hurricane wind wrecked orchards and sugar groves</t>
        </is>
      </c>
      <c r="J37" s="19" t="inlineStr">
        <is>
          <t>Ludlum pp. 35–38 (NY Post, Md. Gaz., Vt. Journal)</t>
        </is>
      </c>
      <c r="K37" s="19" t="inlineStr">
        <is>
          <t>This is the FULL account of the 1804 Snow Hurricane the register already listed. Confirms Catskill 18-inch leaf-on snow and severe Hudson Valley wind. Upgrades the existing row's detail.</t>
        </is>
      </c>
      <c r="L37" s="19" t="inlineStr">
        <is>
          <t>Ludlum, Early American Hurricanes 1492–1870 (AMS, 1963), pp. 24–40 (verified, page images)</t>
        </is>
      </c>
      <c r="M37" s="19" t="inlineStr">
        <is>
          <t>https://hdl.handle.net/2027/mdp.39015002912718</t>
        </is>
      </c>
      <c r="N37" s="19" t="inlineStr">
        <is>
          <t>A</t>
        </is>
      </c>
      <c r="O37" s="19" t="inlineStr">
        <is>
          <t>Y</t>
        </is>
      </c>
      <c r="P37" s="19" t="inlineStr">
        <is>
          <t>Supersedes/enriches the existing 1804 Snow Hurricane row; Catskills &amp; Hudson Valley directly documented.</t>
        </is>
      </c>
      <c r="Q37" s="19" t="inlineStr">
        <is>
          <t>1804-10-09</t>
        </is>
      </c>
      <c r="R37" s="19">
        <f>VALUE(LEFT(Q37,4))</f>
        <v/>
      </c>
      <c r="S37" s="19">
        <f>VALUE(MID(Q37,6,2))</f>
        <v/>
      </c>
      <c r="T37" s="19">
        <f>VALUE(RIGHT(Q37,2))</f>
        <v/>
      </c>
      <c r="U37" s="19" t="inlineStr">
        <is>
          <t>day</t>
        </is>
      </c>
      <c r="V37" s="19" t="inlineStr">
        <is>
          <t>Single-day event</t>
        </is>
      </c>
    </row>
    <row r="38" ht="90.75" customHeight="1" s="13">
      <c r="A38" s="19" t="n">
        <v>37</v>
      </c>
      <c r="B38" s="19" t="inlineStr">
        <is>
          <t>1804-12-13</t>
        </is>
      </c>
      <c r="C38" s="19" t="inlineStr">
        <is>
          <t>1805-03-01</t>
        </is>
      </c>
      <c r="D38" s="19">
        <f>VALUE(LEFT(B38,4))</f>
        <v/>
      </c>
      <c r="E38" s="19">
        <f>INT((D38-1)/100)+1</f>
        <v/>
      </c>
      <c r="F38" s="19" t="inlineStr">
        <is>
          <t>Cold winter</t>
        </is>
      </c>
      <c r="G38" s="19" t="inlineStr">
        <is>
          <t>Severe winter 1804–05 at Albany</t>
        </is>
      </c>
      <c r="H38" s="19" t="inlineStr">
        <is>
          <t>Albany</t>
        </is>
      </c>
      <c r="I38" s="19" t="inlineStr">
        <is>
          <t>River closed Dec 13; lowest 2°F above zero; deep snows, heavy rains, high winds; 'much distress among the poor'</t>
        </is>
      </c>
      <c r="J38" s="19" t="inlineStr">
        <is>
          <t>Albany freeze notice</t>
        </is>
      </c>
      <c r="K38" s="19" t="inlineStr">
        <is>
          <t>Confirms the Albany side of the 1805 severe winter (register already had the NYC 48-hr snow).</t>
        </is>
      </c>
      <c r="L38" s="19" t="inlineStr">
        <is>
          <t>Albany Daily Advertiser, "Notices of the Winters at New York for the last forty-two years… dates at which the Hudson was frozen or obstructed or closed by ice at Albany," repr. American Quarterly Journal of Agriculture and Science 1 (1845) pp. 347–350 (verified, page images)</t>
        </is>
      </c>
      <c r="M38" s="19" t="inlineStr">
        <is>
          <t>https://archive.org/details/americanquarterl00slsn</t>
        </is>
      </c>
      <c r="N38" s="19" t="inlineStr">
        <is>
          <t>B</t>
        </is>
      </c>
      <c r="O38" s="19" t="inlineStr">
        <is>
          <t>Y</t>
        </is>
      </c>
      <c r="P38" s="19" t="n"/>
      <c r="Q38" s="19" t="inlineStr">
        <is>
          <t>1805-01-21</t>
        </is>
      </c>
      <c r="R38" s="19">
        <f>VALUE(LEFT(Q38,4))</f>
        <v/>
      </c>
      <c r="S38" s="19">
        <f>VALUE(MID(Q38,6,2))</f>
        <v/>
      </c>
      <c r="T38" s="19">
        <f>VALUE(RIGHT(Q38,2))</f>
        <v/>
      </c>
      <c r="U38" s="19" t="inlineStr">
        <is>
          <t>season</t>
        </is>
      </c>
      <c r="V38" s="19" t="inlineStr">
        <is>
          <t>Anchored to mid-point of a season-scale window</t>
        </is>
      </c>
    </row>
    <row r="39" ht="34.5" customHeight="1" s="13">
      <c r="A39" s="19" t="n">
        <v>38</v>
      </c>
      <c r="B39" s="19" t="inlineStr">
        <is>
          <t>1805-01-22</t>
        </is>
      </c>
      <c r="C39" s="19" t="inlineStr">
        <is>
          <t>1805-01-23</t>
        </is>
      </c>
      <c r="D39" s="19">
        <f>VALUE(LEFT(B39,4))</f>
        <v/>
      </c>
      <c r="E39" s="19">
        <f>INT((D39-1)/100)+1</f>
        <v/>
      </c>
      <c r="F39" s="19" t="inlineStr">
        <is>
          <t>Cold snap / river ice</t>
        </is>
      </c>
      <c r="G39" s="19" t="inlineStr">
        <is>
          <t>Hudson crossed on foot at NYC, Jan 1805</t>
        </is>
      </c>
      <c r="H39" s="19" t="inlineStr">
        <is>
          <t>NYC / lower Hudson</t>
        </is>
      </c>
      <c r="I39" s="19" t="inlineStr">
        <is>
          <t>Extreme cold Jan 22 (wood $8/load); 'several persons crossed the Hudson from the State Prison to Hoboken' Jan 22–23</t>
        </is>
      </c>
      <c r="J39" s="19" t="inlineStr">
        <is>
          <t>Ludlum p. 171 (Henry Laight notes)</t>
        </is>
      </c>
      <c r="K39" s="19" t="inlineStr">
        <is>
          <t>Winter 1804–05 'the most rigorous as a whole since 1780'.</t>
        </is>
      </c>
      <c r="L39" s="19" t="inlineStr">
        <is>
          <t>Ludlum, Early American Winters I (page screenshots, verified)</t>
        </is>
      </c>
      <c r="M39" s="19" t="n"/>
      <c r="N39" s="19" t="inlineStr">
        <is>
          <t>B</t>
        </is>
      </c>
      <c r="O39" s="19" t="inlineStr">
        <is>
          <t>Y</t>
        </is>
      </c>
      <c r="P39" s="19" t="n"/>
      <c r="Q39" s="19" t="inlineStr">
        <is>
          <t>1805-01-22</t>
        </is>
      </c>
      <c r="R39" s="19">
        <f>VALUE(LEFT(Q39,4))</f>
        <v/>
      </c>
      <c r="S39" s="19">
        <f>VALUE(MID(Q39,6,2))</f>
        <v/>
      </c>
      <c r="T39" s="19">
        <f>VALUE(RIGHT(Q39,2))</f>
        <v/>
      </c>
      <c r="U39" s="19" t="inlineStr">
        <is>
          <t>days</t>
        </is>
      </c>
      <c r="V39" s="19" t="inlineStr">
        <is>
          <t>Multi-day event; anchored to first day</t>
        </is>
      </c>
    </row>
    <row r="40" ht="34.5" customHeight="1" s="13">
      <c r="A40" s="19" t="n">
        <v>39</v>
      </c>
      <c r="B40" s="19" t="inlineStr">
        <is>
          <t>1805-01-26</t>
        </is>
      </c>
      <c r="C40" s="19" t="inlineStr">
        <is>
          <t>1805-01-28</t>
        </is>
      </c>
      <c r="D40" s="19">
        <f>VALUE(LEFT(B40,4))</f>
        <v/>
      </c>
      <c r="E40" s="19">
        <f>INT((D40-1)/100)+1</f>
        <v/>
      </c>
      <c r="F40" s="19" t="inlineStr">
        <is>
          <t>Snowstorm</t>
        </is>
      </c>
      <c r="G40" s="19" t="inlineStr">
        <is>
          <t>The 48-hour snow at New York, Jan 1805</t>
        </is>
      </c>
      <c r="H40" s="19" t="inlineStr">
        <is>
          <t>NYC / lower Hudson</t>
        </is>
      </c>
      <c r="I40" s="19" t="inlineStr">
        <is>
          <t>20–24 in on top of existing cover; snow Jan 26 evening → Jan 28 evening without interruption; Jan 1805 snowiest month of early record at NYC</t>
        </is>
      </c>
      <c r="J40" s="19" t="inlineStr">
        <is>
          <t>Ludlum pp. 170–172</t>
        </is>
      </c>
      <c r="K40" s="19" t="inlineStr">
        <is>
          <t>Streets impassable even for sleighs; Jan 1805 snow 'about three feet deep' (Webster).</t>
        </is>
      </c>
      <c r="L40" s="19" t="inlineStr">
        <is>
          <t>Ludlum, Early American Winters I (page screenshots, verified)</t>
        </is>
      </c>
      <c r="M40" s="19" t="n"/>
      <c r="N40" s="19" t="inlineStr">
        <is>
          <t>B</t>
        </is>
      </c>
      <c r="O40" s="19" t="inlineStr">
        <is>
          <t>Y</t>
        </is>
      </c>
      <c r="P40" s="19" t="n"/>
      <c r="Q40" s="19" t="inlineStr">
        <is>
          <t>1805-01-26</t>
        </is>
      </c>
      <c r="R40" s="19">
        <f>VALUE(LEFT(Q40,4))</f>
        <v/>
      </c>
      <c r="S40" s="19">
        <f>VALUE(MID(Q40,6,2))</f>
        <v/>
      </c>
      <c r="T40" s="19">
        <f>VALUE(RIGHT(Q40,2))</f>
        <v/>
      </c>
      <c r="U40" s="19" t="inlineStr">
        <is>
          <t>days</t>
        </is>
      </c>
      <c r="V40" s="19" t="inlineStr">
        <is>
          <t>Multi-day event; anchored to first day</t>
        </is>
      </c>
    </row>
    <row r="41" ht="34.5" customHeight="1" s="13">
      <c r="A41" s="19" t="n">
        <v>40</v>
      </c>
      <c r="B41" s="19" t="inlineStr">
        <is>
          <t>1806-08-23</t>
        </is>
      </c>
      <c r="C41" s="19" t="inlineStr">
        <is>
          <t>1806-08-23</t>
        </is>
      </c>
      <c r="D41" s="19">
        <f>VALUE(LEFT(B41,4))</f>
        <v/>
      </c>
      <c r="E41" s="19">
        <f>INT((D41-1)/100)+1</f>
        <v/>
      </c>
      <c r="F41" s="19" t="inlineStr">
        <is>
          <t>Tropical cyclone</t>
        </is>
      </c>
      <c r="G41" s="19" t="inlineStr">
        <is>
          <t>The Great Coastal Hurricane of 1806 – NYC fringe</t>
        </is>
      </c>
      <c r="H41" s="19" t="inlineStr">
        <is>
          <t>NYC / Belleville NJ</t>
        </is>
      </c>
      <c r="I41" s="19" t="inlineStr">
        <is>
          <t>NYC: NE gale Sat–Sun then NNW, heavy incessant rain, gale till dark; mostly a fringe lashing</t>
        </is>
      </c>
      <c r="J41" s="19" t="inlineStr">
        <is>
          <t>Ludlum p. 39 (NY press)</t>
        </is>
      </c>
      <c r="K41" s="19" t="inlineStr">
        <is>
          <t>Storm stayed largely offshore; NYC got the western fringe. Rose in Bloom wreck (21 dead) off Barnegat NJ.</t>
        </is>
      </c>
      <c r="L41" s="19" t="inlineStr">
        <is>
          <t>Ludlum, Early American Hurricanes 1492–1870 (AMS, 1963), pp. 24–40 (verified, page images)</t>
        </is>
      </c>
      <c r="M41" s="19" t="inlineStr">
        <is>
          <t>https://hdl.handle.net/2027/mdp.39015002912718</t>
        </is>
      </c>
      <c r="N41" s="19" t="inlineStr">
        <is>
          <t>C</t>
        </is>
      </c>
      <c r="O41" s="19" t="inlineStr">
        <is>
          <t>N</t>
        </is>
      </c>
      <c r="P41" s="19" t="inlineStr">
        <is>
          <t>NYC fringe; lower Hudson only.</t>
        </is>
      </c>
      <c r="Q41" s="19" t="inlineStr">
        <is>
          <t>1806-08-23</t>
        </is>
      </c>
      <c r="R41" s="19">
        <f>VALUE(LEFT(Q41,4))</f>
        <v/>
      </c>
      <c r="S41" s="19">
        <f>VALUE(MID(Q41,6,2))</f>
        <v/>
      </c>
      <c r="T41" s="19">
        <f>VALUE(RIGHT(Q41,2))</f>
        <v/>
      </c>
      <c r="U41" s="19" t="inlineStr">
        <is>
          <t>day</t>
        </is>
      </c>
      <c r="V41" s="19" t="inlineStr">
        <is>
          <t>Single-day event</t>
        </is>
      </c>
    </row>
    <row r="42" ht="45.75" customHeight="1" s="13">
      <c r="A42" s="19" t="n">
        <v>41</v>
      </c>
      <c r="B42" s="19" t="inlineStr">
        <is>
          <t>1807-03-30</t>
        </is>
      </c>
      <c r="C42" s="19" t="inlineStr">
        <is>
          <t>1807-03-31</t>
        </is>
      </c>
      <c r="D42" s="19">
        <f>VALUE(LEFT(B42,4))</f>
        <v/>
      </c>
      <c r="E42" s="19">
        <f>INT((D42-1)/100)+1</f>
        <v/>
      </c>
      <c r="F42" s="19" t="inlineStr">
        <is>
          <t>Late-season snowstorm</t>
        </is>
      </c>
      <c r="G42" s="19" t="inlineStr">
        <is>
          <t>End-of-March snowstorm of 1807</t>
        </is>
      </c>
      <c r="H42" s="19" t="inlineStr">
        <is>
          <t>Mississippi Valley to New England; excessive on the hills of western/central NY</t>
        </is>
      </c>
      <c r="I42" s="19" t="inlineStr">
        <is>
          <t>5 ft of snow about Annsville, Oneida Co., Apr 1; 4.5 ft compact snow in the forests Apr 7; St. Lawrence Co. spring 'especially backward'; ice in the Niagara River Jun 4</t>
        </is>
      </c>
      <c r="J42" s="19" t="inlineStr">
        <is>
          <t>Ludlum pp. 230–231 (Pomroy Jones, Annals of Oneida Co.)</t>
        </is>
      </c>
      <c r="K42" s="19" t="inlineStr">
        <is>
          <t>Third major event of a long 1806–07 winter; opened a run of cold summers (1807, 1812, 1816) in NY.</t>
        </is>
      </c>
      <c r="L42" s="19" t="inlineStr">
        <is>
          <t>Ludlum, Early American Winters I (page screenshots, verified)</t>
        </is>
      </c>
      <c r="M42" s="19" t="n"/>
      <c r="N42" s="19" t="inlineStr">
        <is>
          <t>B</t>
        </is>
      </c>
      <c r="O42" s="19" t="inlineStr">
        <is>
          <t>Y</t>
        </is>
      </c>
      <c r="P42" s="19" t="inlineStr">
        <is>
          <t>Hudson Valley depth not given; likely 1–3 ft on the Helderbergs.</t>
        </is>
      </c>
      <c r="Q42" s="19" t="inlineStr">
        <is>
          <t>1807-03-30</t>
        </is>
      </c>
      <c r="R42" s="19">
        <f>VALUE(LEFT(Q42,4))</f>
        <v/>
      </c>
      <c r="S42" s="19">
        <f>VALUE(MID(Q42,6,2))</f>
        <v/>
      </c>
      <c r="T42" s="19">
        <f>VALUE(RIGHT(Q42,2))</f>
        <v/>
      </c>
      <c r="U42" s="19" t="inlineStr">
        <is>
          <t>days</t>
        </is>
      </c>
      <c r="V42" s="19" t="inlineStr">
        <is>
          <t>Multi-day event; anchored to first day</t>
        </is>
      </c>
    </row>
    <row r="43" ht="34.5" customHeight="1" s="13">
      <c r="A43" s="19" t="n">
        <v>42</v>
      </c>
      <c r="B43" s="19" t="inlineStr">
        <is>
          <t>1810-01-19</t>
        </is>
      </c>
      <c r="C43" s="19" t="inlineStr">
        <is>
          <t>1810-01-19</t>
        </is>
      </c>
      <c r="D43" s="19">
        <f>VALUE(LEFT(B43,4))</f>
        <v/>
      </c>
      <c r="E43" s="19">
        <f>INT((D43-1)/100)+1</f>
        <v/>
      </c>
      <c r="F43" s="19" t="inlineStr">
        <is>
          <t>Cold snap</t>
        </is>
      </c>
      <c r="G43" s="19" t="inlineStr">
        <is>
          <t>Cold Friday</t>
        </is>
      </c>
      <c r="H43" s="19" t="inlineStr">
        <is>
          <t>New England / eastern NY</t>
        </is>
      </c>
      <c r="I43" s="19" t="inlineStr">
        <is>
          <t>~60°F drop in hours with gale (chronicle)</t>
        </is>
      </c>
      <c r="J43" s="19" t="inlineStr">
        <is>
          <t>none</t>
        </is>
      </c>
      <c r="K43" s="19" t="inlineStr">
        <is>
          <t>Sudden flash freeze; deaths of travelers and livestock.</t>
        </is>
      </c>
      <c r="L43" s="19" t="inlineStr">
        <is>
          <t>Ludlum, Early American Winters I &amp; II / Early American Hurricanes (AMS) – chronicle sources</t>
        </is>
      </c>
      <c r="M43" s="19" t="n"/>
      <c r="N43" s="19" t="inlineStr">
        <is>
          <t>C</t>
        </is>
      </c>
      <c r="O43" s="19" t="inlineStr">
        <is>
          <t>N</t>
        </is>
      </c>
      <c r="P43" s="19" t="n"/>
      <c r="Q43" s="19" t="inlineStr">
        <is>
          <t>1810-01-19</t>
        </is>
      </c>
      <c r="R43" s="19">
        <f>VALUE(LEFT(Q43,4))</f>
        <v/>
      </c>
      <c r="S43" s="19">
        <f>VALUE(MID(Q43,6,2))</f>
        <v/>
      </c>
      <c r="T43" s="19">
        <f>VALUE(RIGHT(Q43,2))</f>
        <v/>
      </c>
      <c r="U43" s="19" t="inlineStr">
        <is>
          <t>day</t>
        </is>
      </c>
      <c r="V43" s="19" t="inlineStr">
        <is>
          <t>Single-day event</t>
        </is>
      </c>
    </row>
    <row r="44" ht="23.25" customHeight="1" s="13">
      <c r="A44" s="19" t="n">
        <v>43</v>
      </c>
      <c r="B44" s="19" t="inlineStr">
        <is>
          <t>1813-12-01</t>
        </is>
      </c>
      <c r="C44" s="19" t="inlineStr">
        <is>
          <t>1814-02-28</t>
        </is>
      </c>
      <c r="D44" s="19">
        <f>VALUE(LEFT(B44,4))</f>
        <v/>
      </c>
      <c r="E44" s="19">
        <f>INT((D44-1)/100)+1</f>
        <v/>
      </c>
      <c r="F44" s="19" t="inlineStr">
        <is>
          <t>Mild winter</t>
        </is>
      </c>
      <c r="G44" s="19" t="inlineStr">
        <is>
          <t>Mild winter of 1813–14</t>
        </is>
      </c>
      <c r="H44" s="19" t="inlineStr">
        <is>
          <t>Albany / Champlain Valley</t>
        </is>
      </c>
      <c r="I44" s="19" t="inlineStr">
        <is>
          <t>Albany winter minimum only −6°F (Dr. Eights); Middlebury −12°F Jan 31</t>
        </is>
      </c>
      <c r="J44" s="19" t="inlineStr">
        <is>
          <t>Ludlum p. 236</t>
        </is>
      </c>
      <c r="K44" s="19" t="inlineStr">
        <is>
          <t>Counter-example: a mild wartime winter.</t>
        </is>
      </c>
      <c r="L44" s="19" t="inlineStr">
        <is>
          <t>Ludlum, Early American Winters I (page screenshots, verified)</t>
        </is>
      </c>
      <c r="M44" s="19" t="n"/>
      <c r="N44" s="19" t="inlineStr">
        <is>
          <t>B</t>
        </is>
      </c>
      <c r="O44" s="19" t="inlineStr">
        <is>
          <t>Y</t>
        </is>
      </c>
      <c r="P44" s="19" t="n"/>
      <c r="Q44" s="19" t="inlineStr">
        <is>
          <t>1814-01-31</t>
        </is>
      </c>
      <c r="R44" s="19">
        <f>VALUE(LEFT(Q44,4))</f>
        <v/>
      </c>
      <c r="S44" s="19">
        <f>VALUE(MID(Q44,6,2))</f>
        <v/>
      </c>
      <c r="T44" s="19">
        <f>VALUE(RIGHT(Q44,2))</f>
        <v/>
      </c>
      <c r="U44" s="19" t="inlineStr">
        <is>
          <t>day</t>
        </is>
      </c>
      <c r="V44" s="19" t="inlineStr">
        <is>
          <t>Season minimum date at Middlebury</t>
        </is>
      </c>
    </row>
    <row r="45" ht="23.25" customHeight="1" s="13">
      <c r="A45" s="19" t="n">
        <v>44</v>
      </c>
      <c r="B45" s="19" t="inlineStr">
        <is>
          <t>1814-12-20</t>
        </is>
      </c>
      <c r="C45" s="19" t="inlineStr">
        <is>
          <t>1814-12-21</t>
        </is>
      </c>
      <c r="D45" s="19">
        <f>VALUE(LEFT(B45,4))</f>
        <v/>
      </c>
      <c r="E45" s="19">
        <f>INT((D45-1)/100)+1</f>
        <v/>
      </c>
      <c r="F45" s="19" t="inlineStr">
        <is>
          <t>Arctic outbreak</t>
        </is>
      </c>
      <c r="G45" s="19" t="inlineStr">
        <is>
          <t>December 1814 cold wave</t>
        </is>
      </c>
      <c r="H45" s="19" t="inlineStr">
        <is>
          <t>Albany / Champlain</t>
        </is>
      </c>
      <c r="I45" s="19" t="inlineStr">
        <is>
          <t>Arctic air Dec 20; Albany December low +2°F; Middlebury −6°F Dec 21</t>
        </is>
      </c>
      <c r="J45" s="19" t="inlineStr">
        <is>
          <t>Ludlum p. 236</t>
        </is>
      </c>
      <c r="K45" s="19" t="inlineStr">
        <is>
          <t>Lake Champlain froze, raising fears of a British attack on the fleet at Whitehall over the ice.</t>
        </is>
      </c>
      <c r="L45" s="19" t="inlineStr">
        <is>
          <t>Ludlum, Early American Winters I (page screenshots, verified)</t>
        </is>
      </c>
      <c r="M45" s="19" t="n"/>
      <c r="N45" s="19" t="inlineStr">
        <is>
          <t>B</t>
        </is>
      </c>
      <c r="O45" s="19" t="inlineStr">
        <is>
          <t>Y</t>
        </is>
      </c>
      <c r="P45" s="19" t="n"/>
      <c r="Q45" s="19" t="inlineStr">
        <is>
          <t>1814-12-20</t>
        </is>
      </c>
      <c r="R45" s="19">
        <f>VALUE(LEFT(Q45,4))</f>
        <v/>
      </c>
      <c r="S45" s="19">
        <f>VALUE(MID(Q45,6,2))</f>
        <v/>
      </c>
      <c r="T45" s="19">
        <f>VALUE(RIGHT(Q45,2))</f>
        <v/>
      </c>
      <c r="U45" s="19" t="inlineStr">
        <is>
          <t>days</t>
        </is>
      </c>
      <c r="V45" s="19" t="inlineStr">
        <is>
          <t>Multi-day event; anchored to first day</t>
        </is>
      </c>
    </row>
    <row r="46" ht="57" customHeight="1" s="13">
      <c r="A46" s="19" t="n">
        <v>45</v>
      </c>
      <c r="B46" s="19" t="inlineStr">
        <is>
          <t>1815-01-31</t>
        </is>
      </c>
      <c r="C46" s="19" t="inlineStr">
        <is>
          <t>1815-02-01</t>
        </is>
      </c>
      <c r="D46" s="19">
        <f>VALUE(LEFT(B46,4))</f>
        <v/>
      </c>
      <c r="E46" s="19">
        <f>INT((D46-1)/100)+1</f>
        <v/>
      </c>
      <c r="F46" s="19" t="inlineStr">
        <is>
          <t>Arctic outbreak</t>
        </is>
      </c>
      <c r="G46" s="19" t="inlineStr">
        <is>
          <t>The severe cold of Jan 31, 1815</t>
        </is>
      </c>
      <c r="H46" s="19" t="inlineStr">
        <is>
          <t>NYC / New England</t>
        </is>
      </c>
      <c r="I46" s="19" t="inlineStr">
        <is>
          <t>Salem −9°F; Portsmouth −13°F; Brunswick ME −24°F; Nantucket −11°F; NYC icebound – Hudson and East River choked with ice, southern mail boat sank Jan 30, navigation resumed mid-Feb</t>
        </is>
      </c>
      <c r="J46" s="19" t="inlineStr">
        <is>
          <t>Ludlum pp. 188–189</t>
        </is>
      </c>
      <c r="K46" s="19" t="inlineStr">
        <is>
          <t>Coldest day at Salem since records began 1786.</t>
        </is>
      </c>
      <c r="L46" s="19" t="inlineStr">
        <is>
          <t>Ludlum, Early American Winters I (page screenshots, verified)</t>
        </is>
      </c>
      <c r="M46" s="19" t="n"/>
      <c r="N46" s="19" t="inlineStr">
        <is>
          <t>B</t>
        </is>
      </c>
      <c r="O46" s="19" t="inlineStr">
        <is>
          <t>Y</t>
        </is>
      </c>
      <c r="P46" s="19" t="inlineStr">
        <is>
          <t>Albany value not in these pages.</t>
        </is>
      </c>
      <c r="Q46" s="19" t="inlineStr">
        <is>
          <t>1815-01-31</t>
        </is>
      </c>
      <c r="R46" s="19">
        <f>VALUE(LEFT(Q46,4))</f>
        <v/>
      </c>
      <c r="S46" s="19">
        <f>VALUE(MID(Q46,6,2))</f>
        <v/>
      </c>
      <c r="T46" s="19">
        <f>VALUE(RIGHT(Q46,2))</f>
        <v/>
      </c>
      <c r="U46" s="19" t="inlineStr">
        <is>
          <t>days</t>
        </is>
      </c>
      <c r="V46" s="19" t="inlineStr">
        <is>
          <t>Multi-day event; anchored to first day</t>
        </is>
      </c>
    </row>
    <row r="47" ht="45.75" customHeight="1" s="13">
      <c r="A47" s="19" t="n">
        <v>46</v>
      </c>
      <c r="B47" s="19" t="inlineStr">
        <is>
          <t>1815-09-23</t>
        </is>
      </c>
      <c r="C47" s="19" t="inlineStr">
        <is>
          <t>1815-09-23</t>
        </is>
      </c>
      <c r="D47" s="19">
        <f>VALUE(LEFT(B47,4))</f>
        <v/>
      </c>
      <c r="E47" s="19">
        <f>INT((D47-1)/100)+1</f>
        <v/>
      </c>
      <c r="F47" s="19" t="inlineStr">
        <is>
          <t>Tropical cyclone</t>
        </is>
      </c>
      <c r="G47" s="19" t="inlineStr">
        <is>
          <t>The Great September Gale of 1815</t>
        </is>
      </c>
      <c r="H47" s="19" t="inlineStr">
        <is>
          <t>Southern New England; W. edge to eastern NY</t>
        </is>
      </c>
      <c r="I47" s="19" t="inlineStr">
        <is>
          <t>Center cut southern New England in two, up eastern CT / central MA / NH; line of heavy-damage demarcation at Brimfield MA (between Springfield and Worcester)</t>
        </is>
      </c>
      <c r="J47" s="19" t="inlineStr">
        <is>
          <t>Ludlum pp. 77–96 (Webster diary, Darling timetable)</t>
        </is>
      </c>
      <c r="K47" s="19" t="inlineStr">
        <is>
          <t>The most powerful NE storm between 1635 and 1938. Its damage line ran through central MA, WEST of the register core; eastern NY on the storm's fringe.</t>
        </is>
      </c>
      <c r="L47" s="19" t="inlineStr">
        <is>
          <t>Ludlum, Early American Hurricanes 1492–1870 (AMS, 1963), pp. 77–108 (verified, page images)</t>
        </is>
      </c>
      <c r="M47" s="19" t="inlineStr">
        <is>
          <t>https://hdl.handle.net/2027/mdp.39015002912718</t>
        </is>
      </c>
      <c r="N47" s="19" t="inlineStr">
        <is>
          <t>C</t>
        </is>
      </c>
      <c r="O47" s="19" t="inlineStr">
        <is>
          <t>Y</t>
        </is>
      </c>
      <c r="P47" s="19" t="inlineStr">
        <is>
          <t>Included as the era's benchmark; direct Hudson Valley damage not documented — the severe swath stayed east of Albany.</t>
        </is>
      </c>
      <c r="Q47" s="19" t="inlineStr">
        <is>
          <t>1815-09-23</t>
        </is>
      </c>
      <c r="R47" s="19">
        <f>VALUE(LEFT(Q47,4))</f>
        <v/>
      </c>
      <c r="S47" s="19">
        <f>VALUE(MID(Q47,6,2))</f>
        <v/>
      </c>
      <c r="T47" s="19">
        <f>VALUE(RIGHT(Q47,2))</f>
        <v/>
      </c>
      <c r="U47" s="19" t="inlineStr">
        <is>
          <t>day</t>
        </is>
      </c>
      <c r="V47" s="19" t="inlineStr">
        <is>
          <t>Single-day event</t>
        </is>
      </c>
    </row>
    <row r="48" ht="34.5" customHeight="1" s="13">
      <c r="A48" s="19" t="n">
        <v>47</v>
      </c>
      <c r="B48" s="19" t="inlineStr">
        <is>
          <t>1816-05-12</t>
        </is>
      </c>
      <c r="C48" s="19" t="inlineStr">
        <is>
          <t>1816-05-14</t>
        </is>
      </c>
      <c r="D48" s="19">
        <f>VALUE(LEFT(B48,4))</f>
        <v/>
      </c>
      <c r="E48" s="19">
        <f>INT((D48-1)/100)+1</f>
        <v/>
      </c>
      <c r="F48" s="19" t="inlineStr">
        <is>
          <t>Late frost</t>
        </is>
      </c>
      <c r="G48" s="19" t="inlineStr">
        <is>
          <t>1816 – May frost (Year Without a Summer, episode 1)</t>
        </is>
      </c>
      <c r="H48" s="19" t="inlineStr">
        <is>
          <t>Upstate NY / New England</t>
        </is>
      </c>
      <c r="I48" s="19" t="inlineStr">
        <is>
          <t>Hard freeze; inch-thick ice on ponds (chronicle)</t>
        </is>
      </c>
      <c r="J48" s="19" t="inlineStr">
        <is>
          <t>none</t>
        </is>
      </c>
      <c r="K48" s="19" t="inlineStr">
        <is>
          <t>Killed fruit-tree buds; early crops lost.</t>
        </is>
      </c>
      <c r="L48" s="19" t="inlineStr">
        <is>
          <t>Ludlum, Early American Winters I &amp; II / Early American Hurricanes (AMS) – chronicle sources</t>
        </is>
      </c>
      <c r="M48" s="19" t="n"/>
      <c r="N48" s="19" t="inlineStr">
        <is>
          <t>B</t>
        </is>
      </c>
      <c r="O48" s="19" t="inlineStr">
        <is>
          <t>N</t>
        </is>
      </c>
      <c r="P48" s="19" t="n"/>
      <c r="Q48" s="19" t="inlineStr">
        <is>
          <t>1816-05-12</t>
        </is>
      </c>
      <c r="R48" s="19">
        <f>VALUE(LEFT(Q48,4))</f>
        <v/>
      </c>
      <c r="S48" s="19">
        <f>VALUE(MID(Q48,6,2))</f>
        <v/>
      </c>
      <c r="T48" s="19">
        <f>VALUE(RIGHT(Q48,2))</f>
        <v/>
      </c>
      <c r="U48" s="19" t="inlineStr">
        <is>
          <t>days</t>
        </is>
      </c>
      <c r="V48" s="19" t="inlineStr">
        <is>
          <t>Multi-day event; anchored to first day</t>
        </is>
      </c>
    </row>
    <row r="49" ht="68.25" customHeight="1" s="13">
      <c r="A49" s="19" t="n">
        <v>48</v>
      </c>
      <c r="B49" s="19" t="inlineStr">
        <is>
          <t>1816-06-06</t>
        </is>
      </c>
      <c r="C49" s="19" t="inlineStr">
        <is>
          <t>1816-06-08</t>
        </is>
      </c>
      <c r="D49" s="19">
        <f>VALUE(LEFT(B49,4))</f>
        <v/>
      </c>
      <c r="E49" s="19">
        <f>INT((D49-1)/100)+1</f>
        <v/>
      </c>
      <c r="F49" s="19" t="inlineStr">
        <is>
          <t>Early-season snow</t>
        </is>
      </c>
      <c r="G49" s="19" t="inlineStr">
        <is>
          <t>1816 – June snow on the Catskills (Year Without a Summer, episode 2)</t>
        </is>
      </c>
      <c r="H49" s="19" t="inlineStr">
        <is>
          <t>Catskills / highlands of NY, VT, NH; Hudson Valley fringe</t>
        </is>
      </c>
      <c r="I49" s="19" t="inlineStr">
        <is>
          <t>Two snow periods: daytime Thu Jun 6 (rain→snow) and night of Jun 7–8; Catskills 'covered by an inch of white' Jun 6; flakes within 10 mi of Hudson tidewater; NO snow reported at valley stations incl. Albany; 18 in drifts at Cabot VT; Elizabethtown 3-hr snowfall</t>
        </is>
      </c>
      <c r="J49" s="19" t="inlineStr">
        <is>
          <t>Ludlum pp. 190–193 (Bennington &amp; N. Turner diaries; Hudson Bay-source cold air)</t>
        </is>
      </c>
      <c r="K49" s="19" t="inlineStr">
        <is>
          <t>Frost every morning Jun 7–11 at Bennington; corn killed and replanted; ice inch-thick on water at Danville VT.</t>
        </is>
      </c>
      <c r="L49" s="19" t="inlineStr">
        <is>
          <t>Ludlum, Early American Winters I (page screenshots, verified)</t>
        </is>
      </c>
      <c r="M49" s="19" t="inlineStr">
        <is>
          <t>https://www.nps.gov/articles/000/1816-the-year-without-summer.htm</t>
        </is>
      </c>
      <c r="N49" s="19" t="inlineStr">
        <is>
          <t>B</t>
        </is>
      </c>
      <c r="O49" s="19" t="inlineStr">
        <is>
          <t>Y</t>
        </is>
      </c>
      <c r="P49" s="19" t="inlineStr">
        <is>
          <t>CORRECTION: the popular 'snow fell in Albany' claim is not supported by Ludlum – snow was on the hills, not the valley floor. On the Helderberg plateau at 1,700 ft, snow is plausible.</t>
        </is>
      </c>
      <c r="Q49" s="19" t="inlineStr">
        <is>
          <t>1816-06-06</t>
        </is>
      </c>
      <c r="R49" s="19">
        <f>VALUE(LEFT(Q49,4))</f>
        <v/>
      </c>
      <c r="S49" s="19">
        <f>VALUE(MID(Q49,6,2))</f>
        <v/>
      </c>
      <c r="T49" s="19">
        <f>VALUE(RIGHT(Q49,2))</f>
        <v/>
      </c>
      <c r="U49" s="19" t="inlineStr">
        <is>
          <t>days</t>
        </is>
      </c>
      <c r="V49" s="19" t="inlineStr">
        <is>
          <t>Multi-day event; anchored to first day</t>
        </is>
      </c>
    </row>
    <row r="50" ht="34.5" customHeight="1" s="13">
      <c r="A50" s="19" t="n">
        <v>49</v>
      </c>
      <c r="B50" s="19" t="inlineStr">
        <is>
          <t>1816-07-04</t>
        </is>
      </c>
      <c r="C50" s="19" t="inlineStr">
        <is>
          <t>1816-07-09</t>
        </is>
      </c>
      <c r="D50" s="19">
        <f>VALUE(LEFT(B50,4))</f>
        <v/>
      </c>
      <c r="E50" s="19">
        <f>INT((D50-1)/100)+1</f>
        <v/>
      </c>
      <c r="F50" s="19" t="inlineStr">
        <is>
          <t>Late frost</t>
        </is>
      </c>
      <c r="G50" s="19" t="inlineStr">
        <is>
          <t>1816 – July frost (Year Without a Summer, episode 3)</t>
        </is>
      </c>
      <c r="H50" s="19" t="inlineStr">
        <is>
          <t>NY / New England</t>
        </is>
      </c>
      <c r="I50" s="19" t="inlineStr">
        <is>
          <t>'Light frosts in July' (Ludlum); popular Jul 4–5 ice claim unverified</t>
        </is>
      </c>
      <c r="J50" s="19" t="inlineStr">
        <is>
          <t>Ludlum p. 190 (summary only – July detail is in vol. II)</t>
        </is>
      </c>
      <c r="K50" s="19" t="n"/>
      <c r="L50" s="19" t="inlineStr">
        <is>
          <t>Ludlum, Early American Winters I &amp; II / Early American Hurricanes (AMS) – chronicle sources</t>
        </is>
      </c>
      <c r="M50" s="19" t="n"/>
      <c r="N50" s="19" t="inlineStr">
        <is>
          <t>C</t>
        </is>
      </c>
      <c r="O50" s="19" t="inlineStr">
        <is>
          <t>N</t>
        </is>
      </c>
      <c r="P50" s="19" t="inlineStr">
        <is>
          <t>Ludlum vol. I states no authentic July/August snowfall; frosts only. Day needs vol. II.</t>
        </is>
      </c>
      <c r="Q50" s="19" t="inlineStr">
        <is>
          <t>1816-07-04</t>
        </is>
      </c>
      <c r="R50" s="19">
        <f>VALUE(LEFT(Q50,4))</f>
        <v/>
      </c>
      <c r="S50" s="19">
        <f>VALUE(MID(Q50,6,2))</f>
        <v/>
      </c>
      <c r="T50" s="19">
        <f>VALUE(RIGHT(Q50,2))</f>
        <v/>
      </c>
      <c r="U50" s="19" t="inlineStr">
        <is>
          <t>days</t>
        </is>
      </c>
      <c r="V50" s="19" t="inlineStr">
        <is>
          <t>Multi-day event; anchored to first day</t>
        </is>
      </c>
    </row>
    <row r="51" ht="23.25" customHeight="1" s="13">
      <c r="A51" s="19" t="n">
        <v>50</v>
      </c>
      <c r="B51" s="19" t="inlineStr">
        <is>
          <t>1816-08-21</t>
        </is>
      </c>
      <c r="C51" s="19" t="inlineStr">
        <is>
          <t>1816-08-21</t>
        </is>
      </c>
      <c r="D51" s="19">
        <f>VALUE(LEFT(B51,4))</f>
        <v/>
      </c>
      <c r="E51" s="19">
        <f>INT((D51-1)/100)+1</f>
        <v/>
      </c>
      <c r="F51" s="19" t="inlineStr">
        <is>
          <t>Late frost</t>
        </is>
      </c>
      <c r="G51" s="19" t="inlineStr">
        <is>
          <t>1816 – August 21 frost (Year Without a Summer, episode 4)</t>
        </is>
      </c>
      <c r="H51" s="19" t="inlineStr">
        <is>
          <t>NY / New England, as far south as PA and NJ</t>
        </is>
      </c>
      <c r="I51" s="19" t="inlineStr">
        <is>
          <t>Frost</t>
        </is>
      </c>
      <c r="J51" s="19" t="inlineStr">
        <is>
          <t>Ludlum p. 193</t>
        </is>
      </c>
      <c r="K51" s="19" t="inlineStr">
        <is>
          <t>Damage to tender crops.</t>
        </is>
      </c>
      <c r="L51" s="19" t="inlineStr">
        <is>
          <t>Ludlum, Early American Winters I (page screenshots, verified)</t>
        </is>
      </c>
      <c r="M51" s="19" t="n"/>
      <c r="N51" s="19" t="inlineStr">
        <is>
          <t>B</t>
        </is>
      </c>
      <c r="O51" s="19" t="inlineStr">
        <is>
          <t>Y</t>
        </is>
      </c>
      <c r="P51" s="19" t="n"/>
      <c r="Q51" s="19" t="inlineStr">
        <is>
          <t>1816-08-21</t>
        </is>
      </c>
      <c r="R51" s="19">
        <f>VALUE(LEFT(Q51,4))</f>
        <v/>
      </c>
      <c r="S51" s="19">
        <f>VALUE(MID(Q51,6,2))</f>
        <v/>
      </c>
      <c r="T51" s="19">
        <f>VALUE(RIGHT(Q51,2))</f>
        <v/>
      </c>
      <c r="U51" s="19" t="inlineStr">
        <is>
          <t>day</t>
        </is>
      </c>
      <c r="V51" s="19" t="inlineStr">
        <is>
          <t>Single-day event</t>
        </is>
      </c>
    </row>
    <row r="52" ht="23.25" customHeight="1" s="13">
      <c r="A52" s="19" t="n">
        <v>51</v>
      </c>
      <c r="B52" s="19" t="inlineStr">
        <is>
          <t>1816-08-29</t>
        </is>
      </c>
      <c r="C52" s="19" t="inlineStr">
        <is>
          <t>1816-08-29</t>
        </is>
      </c>
      <c r="D52" s="19">
        <f>VALUE(LEFT(B52,4))</f>
        <v/>
      </c>
      <c r="E52" s="19">
        <f>INT((D52-1)/100)+1</f>
        <v/>
      </c>
      <c r="F52" s="19" t="inlineStr">
        <is>
          <t>Late frost</t>
        </is>
      </c>
      <c r="G52" s="19" t="inlineStr">
        <is>
          <t>1816 – August 29 frost (Year Without a Summer, episode 5)</t>
        </is>
      </c>
      <c r="H52" s="19" t="inlineStr">
        <is>
          <t>NY / New England, as far south as PA and NJ</t>
        </is>
      </c>
      <c r="I52" s="19" t="inlineStr">
        <is>
          <t>Frost Aug 21 and Aug 29 'did some damage to tender crops'</t>
        </is>
      </c>
      <c r="J52" s="19" t="inlineStr">
        <is>
          <t>Ludlum p. 193</t>
        </is>
      </c>
      <c r="K52" s="19" t="inlineStr">
        <is>
          <t>Both months ~5°F below normal in New England.</t>
        </is>
      </c>
      <c r="L52" s="19" t="inlineStr">
        <is>
          <t>Ludlum, Early American Winters I (page screenshots, verified)</t>
        </is>
      </c>
      <c r="M52" s="19" t="n"/>
      <c r="N52" s="19" t="inlineStr">
        <is>
          <t>B</t>
        </is>
      </c>
      <c r="O52" s="19" t="inlineStr">
        <is>
          <t>Y</t>
        </is>
      </c>
      <c r="P52" s="19" t="n"/>
      <c r="Q52" s="19" t="inlineStr">
        <is>
          <t>1816-08-29</t>
        </is>
      </c>
      <c r="R52" s="19">
        <f>VALUE(LEFT(Q52,4))</f>
        <v/>
      </c>
      <c r="S52" s="19">
        <f>VALUE(MID(Q52,6,2))</f>
        <v/>
      </c>
      <c r="T52" s="19">
        <f>VALUE(RIGHT(Q52,2))</f>
        <v/>
      </c>
      <c r="U52" s="19" t="inlineStr">
        <is>
          <t>day</t>
        </is>
      </c>
      <c r="V52" s="19" t="inlineStr">
        <is>
          <t>Single-day event</t>
        </is>
      </c>
    </row>
    <row r="53" ht="23.25" customHeight="1" s="13">
      <c r="A53" s="19" t="n">
        <v>52</v>
      </c>
      <c r="B53" s="19" t="inlineStr">
        <is>
          <t>1816-09-27</t>
        </is>
      </c>
      <c r="C53" s="19" t="inlineStr">
        <is>
          <t>1816-09-27</t>
        </is>
      </c>
      <c r="D53" s="19">
        <f>VALUE(LEFT(B53,4))</f>
        <v/>
      </c>
      <c r="E53" s="19">
        <f>INT((D53-1)/100)+1</f>
        <v/>
      </c>
      <c r="F53" s="19" t="inlineStr">
        <is>
          <t>Late frost</t>
        </is>
      </c>
      <c r="G53" s="19" t="inlineStr">
        <is>
          <t>1816 – killing frost of Sept 27 (Year Without a Summer, episode 6)</t>
        </is>
      </c>
      <c r="H53" s="19" t="inlineStr">
        <is>
          <t>Northern New England / upland NY</t>
        </is>
      </c>
      <c r="I53" s="19" t="inlineStr">
        <is>
          <t>Killing frost</t>
        </is>
      </c>
      <c r="J53" s="19" t="inlineStr">
        <is>
          <t>Ludlum p. 193</t>
        </is>
      </c>
      <c r="K53" s="19" t="inlineStr">
        <is>
          <t>Cut off even a small corn crop; 'threat of semi-starvation' through winter 1816–17.</t>
        </is>
      </c>
      <c r="L53" s="19" t="inlineStr">
        <is>
          <t>Ludlum, Early American Winters I (page screenshots, verified)</t>
        </is>
      </c>
      <c r="M53" s="19" t="n"/>
      <c r="N53" s="19" t="inlineStr">
        <is>
          <t>B</t>
        </is>
      </c>
      <c r="O53" s="19" t="inlineStr">
        <is>
          <t>Y</t>
        </is>
      </c>
      <c r="P53" s="19" t="n"/>
      <c r="Q53" s="19" t="inlineStr">
        <is>
          <t>1816-09-27</t>
        </is>
      </c>
      <c r="R53" s="19">
        <f>VALUE(LEFT(Q53,4))</f>
        <v/>
      </c>
      <c r="S53" s="19">
        <f>VALUE(MID(Q53,6,2))</f>
        <v/>
      </c>
      <c r="T53" s="19">
        <f>VALUE(RIGHT(Q53,2))</f>
        <v/>
      </c>
      <c r="U53" s="19" t="inlineStr">
        <is>
          <t>day</t>
        </is>
      </c>
      <c r="V53" s="19" t="inlineStr">
        <is>
          <t>Single-day event</t>
        </is>
      </c>
    </row>
    <row r="54" ht="34.5" customHeight="1" s="13">
      <c r="A54" s="19" t="n">
        <v>53</v>
      </c>
      <c r="B54" s="19" t="inlineStr">
        <is>
          <t>1817-01-12</t>
        </is>
      </c>
      <c r="C54" s="19" t="inlineStr">
        <is>
          <t>1817-01-16</t>
        </is>
      </c>
      <c r="D54" s="19">
        <f>VALUE(LEFT(B54,4))</f>
        <v/>
      </c>
      <c r="E54" s="19">
        <f>INT((D54-1)/100)+1</f>
        <v/>
      </c>
      <c r="F54" s="19" t="inlineStr">
        <is>
          <t>Arctic outbreak</t>
        </is>
      </c>
      <c r="G54" s="19" t="inlineStr">
        <is>
          <t>January 1817 cold wave</t>
        </is>
      </c>
      <c r="H54" s="19" t="inlineStr">
        <is>
          <t>New England / eastern NY</t>
        </is>
      </c>
      <c r="I54" s="19" t="inlineStr">
        <is>
          <t>Williamstown −16°F Jan 14, −20°F Jan 15; Cambridge −18°F Jan 15 (coldest in Harvard records to 1790); Brunswick ME −21°F</t>
        </is>
      </c>
      <c r="J54" s="19" t="inlineStr">
        <is>
          <t>Ludlum pp. 194–195</t>
        </is>
      </c>
      <c r="K54" s="19" t="inlineStr">
        <is>
          <t>First of four major cold waves in the wintry seven weeks of 1817; followed Jan 17–18 by a four-hour winter thunderstorm with lightning fires in MA/NH.</t>
        </is>
      </c>
      <c r="L54" s="19" t="inlineStr">
        <is>
          <t>Ludlum, Early American Winters I (page screenshots, verified)</t>
        </is>
      </c>
      <c r="M54" s="19" t="n"/>
      <c r="N54" s="19" t="inlineStr">
        <is>
          <t>B</t>
        </is>
      </c>
      <c r="O54" s="19" t="inlineStr">
        <is>
          <t>Y</t>
        </is>
      </c>
      <c r="P54" s="19" t="n"/>
      <c r="Q54" s="19" t="inlineStr">
        <is>
          <t>1817-01-12</t>
        </is>
      </c>
      <c r="R54" s="19">
        <f>VALUE(LEFT(Q54,4))</f>
        <v/>
      </c>
      <c r="S54" s="19">
        <f>VALUE(MID(Q54,6,2))</f>
        <v/>
      </c>
      <c r="T54" s="19">
        <f>VALUE(RIGHT(Q54,2))</f>
        <v/>
      </c>
      <c r="U54" s="19" t="inlineStr">
        <is>
          <t>days</t>
        </is>
      </c>
      <c r="V54" s="19" t="inlineStr">
        <is>
          <t>Multi-day event; anchored to first day</t>
        </is>
      </c>
    </row>
    <row r="55" ht="45.75" customHeight="1" s="13">
      <c r="A55" s="19" t="n">
        <v>54</v>
      </c>
      <c r="B55" s="19" t="inlineStr">
        <is>
          <t>1817-02-15</t>
        </is>
      </c>
      <c r="C55" s="19" t="inlineStr">
        <is>
          <t>1817-02-15</t>
        </is>
      </c>
      <c r="D55" s="19">
        <f>VALUE(LEFT(B55,4))</f>
        <v/>
      </c>
      <c r="E55" s="19">
        <f>INT((D55-1)/100)+1</f>
        <v/>
      </c>
      <c r="F55" s="19" t="inlineStr">
        <is>
          <t>Arctic outbreak</t>
        </is>
      </c>
      <c r="G55" s="19" t="inlineStr">
        <is>
          <t>February 15, 1817 – mercury freezes in northern NY</t>
        </is>
      </c>
      <c r="H55" s="19" t="inlineStr">
        <is>
          <t>Northern NY / New England</t>
        </is>
      </c>
      <c r="I55" s="19" t="inlineStr">
        <is>
          <t>Whiteborough (Oneida Co.) −35.5°F at 0300; Sackets Harbor −32°F; Hanover NH −30°F; Gardiner ME −40°F; Feb 1817 coldest February since 1780, not exceeded until 1836</t>
        </is>
      </c>
      <c r="J55" s="19" t="inlineStr">
        <is>
          <t>Ludlum p. 195</t>
        </is>
      </c>
      <c r="K55" s="19" t="inlineStr">
        <is>
          <t>Ludlum: 'no doubt the mercury congealed at many of the cold pockets throughout northern New York… near sunrise on 15 February 1817.'</t>
        </is>
      </c>
      <c r="L55" s="19" t="inlineStr">
        <is>
          <t>Ludlum, Early American Winters I (page screenshots, verified)</t>
        </is>
      </c>
      <c r="M55" s="19" t="n"/>
      <c r="N55" s="19" t="inlineStr">
        <is>
          <t>B</t>
        </is>
      </c>
      <c r="O55" s="19" t="inlineStr">
        <is>
          <t>Y</t>
        </is>
      </c>
      <c r="P55" s="19" t="inlineStr">
        <is>
          <t>Albany value not given – Hough or the Annual Register should have it.</t>
        </is>
      </c>
      <c r="Q55" s="19" t="inlineStr">
        <is>
          <t>1817-02-15</t>
        </is>
      </c>
      <c r="R55" s="19">
        <f>VALUE(LEFT(Q55,4))</f>
        <v/>
      </c>
      <c r="S55" s="19">
        <f>VALUE(MID(Q55,6,2))</f>
        <v/>
      </c>
      <c r="T55" s="19">
        <f>VALUE(RIGHT(Q55,2))</f>
        <v/>
      </c>
      <c r="U55" s="19" t="inlineStr">
        <is>
          <t>day</t>
        </is>
      </c>
      <c r="V55" s="19" t="inlineStr">
        <is>
          <t>Single-day event</t>
        </is>
      </c>
    </row>
    <row r="56" ht="90.75" customHeight="1" s="13">
      <c r="A56" s="19" t="n">
        <v>55</v>
      </c>
      <c r="B56" s="19" t="inlineStr">
        <is>
          <t>1817-02-15</t>
        </is>
      </c>
      <c r="C56" s="19" t="inlineStr">
        <is>
          <t>1817-02-15</t>
        </is>
      </c>
      <c r="D56" s="19">
        <f>VALUE(LEFT(B56,4))</f>
        <v/>
      </c>
      <c r="E56" s="19">
        <f>INT((D56-1)/100)+1</f>
        <v/>
      </c>
      <c r="F56" s="19" t="inlineStr">
        <is>
          <t>Arctic outbreak</t>
        </is>
      </c>
      <c r="G56" s="19" t="inlineStr">
        <is>
          <t>February 15, 1817 – Albany 6° below zero</t>
        </is>
      </c>
      <c r="H56" s="19" t="inlineStr">
        <is>
          <t>Albany</t>
        </is>
      </c>
      <c r="I56" s="19" t="inlineStr">
        <is>
          <t>−6°F Feb 15 — 'first time since 1788 it has fallen below zero in this city'</t>
        </is>
      </c>
      <c r="J56" s="19" t="inlineStr">
        <is>
          <t>Albany freeze notice</t>
        </is>
      </c>
      <c r="K56" s="19" t="inlineStr">
        <is>
          <t>Gives the Albany value for the Feb 15 1817 cold that the register previously had only for northern NY (Whiteboro −35.5°F). River had closed Dec 16.</t>
        </is>
      </c>
      <c r="L56" s="19" t="inlineStr">
        <is>
          <t>Albany Daily Advertiser, "Notices of the Winters at New York for the last forty-two years… dates at which the Hudson was frozen or obstructed or closed by ice at Albany," repr. American Quarterly Journal of Agriculture and Science 1 (1845) pp. 347–350 (verified, page images)</t>
        </is>
      </c>
      <c r="M56" s="19" t="inlineStr">
        <is>
          <t>https://archive.org/details/americanquarterl00slsn</t>
        </is>
      </c>
      <c r="N56" s="19" t="inlineStr">
        <is>
          <t>A</t>
        </is>
      </c>
      <c r="O56" s="19" t="inlineStr">
        <is>
          <t>Y</t>
        </is>
      </c>
      <c r="P56" s="19" t="inlineStr">
        <is>
          <t>Matches Ludlum's Feb 1817 chapter; this is the missing Albany figure.</t>
        </is>
      </c>
      <c r="Q56" s="19" t="inlineStr">
        <is>
          <t>1817-02-15</t>
        </is>
      </c>
      <c r="R56" s="19">
        <f>VALUE(LEFT(Q56,4))</f>
        <v/>
      </c>
      <c r="S56" s="19">
        <f>VALUE(MID(Q56,6,2))</f>
        <v/>
      </c>
      <c r="T56" s="19">
        <f>VALUE(RIGHT(Q56,2))</f>
        <v/>
      </c>
      <c r="U56" s="19" t="inlineStr">
        <is>
          <t>day</t>
        </is>
      </c>
      <c r="V56" s="19" t="inlineStr">
        <is>
          <t>Single-day event</t>
        </is>
      </c>
    </row>
    <row r="57" ht="34.5" customHeight="1" s="13">
      <c r="A57" s="19" t="n">
        <v>56</v>
      </c>
      <c r="B57" s="19" t="inlineStr">
        <is>
          <t>1817-02-24</t>
        </is>
      </c>
      <c r="C57" s="19" t="inlineStr">
        <is>
          <t>1817-02-25</t>
        </is>
      </c>
      <c r="D57" s="19">
        <f>VALUE(LEFT(B57,4))</f>
        <v/>
      </c>
      <c r="E57" s="19">
        <f>INT((D57-1)/100)+1</f>
        <v/>
      </c>
      <c r="F57" s="19" t="inlineStr">
        <is>
          <t>Nor'easter</t>
        </is>
      </c>
      <c r="G57" s="19" t="inlineStr">
        <is>
          <t>Great northeaster of Feb 24, 1817</t>
        </is>
      </c>
      <c r="H57" s="19" t="inlineStr">
        <is>
          <t>Atlantic seaboard / southern &amp; eastern New England</t>
        </is>
      </c>
      <c r="I57" s="19" t="inlineStr">
        <is>
          <t>Lowest barometric pressures observed to that date; 'violent storm from NE and NW' at Baltimore</t>
        </is>
      </c>
      <c r="J57" s="19" t="inlineStr">
        <is>
          <t>Ludlum p. 195 (continues p. 196)</t>
        </is>
      </c>
      <c r="K57" s="19" t="inlineStr">
        <is>
          <t>Winter's 'most striking blow' after seven weeks of cold.</t>
        </is>
      </c>
      <c r="L57" s="19" t="inlineStr">
        <is>
          <t>Ludlum, Early American Winters I (page screenshots, verified)</t>
        </is>
      </c>
      <c r="M57" s="19" t="n"/>
      <c r="N57" s="19" t="inlineStr">
        <is>
          <t>B</t>
        </is>
      </c>
      <c r="O57" s="19" t="inlineStr">
        <is>
          <t>Y</t>
        </is>
      </c>
      <c r="P57" s="19" t="inlineStr">
        <is>
          <t>Page 196 not yet read – NY extent unknown.</t>
        </is>
      </c>
      <c r="Q57" s="19" t="inlineStr">
        <is>
          <t>1817-02-24</t>
        </is>
      </c>
      <c r="R57" s="19">
        <f>VALUE(LEFT(Q57,4))</f>
        <v/>
      </c>
      <c r="S57" s="19">
        <f>VALUE(MID(Q57,6,2))</f>
        <v/>
      </c>
      <c r="T57" s="19">
        <f>VALUE(RIGHT(Q57,2))</f>
        <v/>
      </c>
      <c r="U57" s="19" t="inlineStr">
        <is>
          <t>days</t>
        </is>
      </c>
      <c r="V57" s="19" t="inlineStr">
        <is>
          <t>Multi-day event; anchored to first day</t>
        </is>
      </c>
    </row>
    <row r="58" ht="90.75" customHeight="1" s="13">
      <c r="A58" s="19" t="n">
        <v>57</v>
      </c>
      <c r="B58" s="19" t="inlineStr">
        <is>
          <t>1821-01-25</t>
        </is>
      </c>
      <c r="C58" s="19" t="inlineStr">
        <is>
          <t>1821-01-25</t>
        </is>
      </c>
      <c r="D58" s="19">
        <f>VALUE(LEFT(B58,4))</f>
        <v/>
      </c>
      <c r="E58" s="19">
        <f>INT((D58-1)/100)+1</f>
        <v/>
      </c>
      <c r="F58" s="19" t="inlineStr">
        <is>
          <t>Arctic outbreak / river ice</t>
        </is>
      </c>
      <c r="G58" s="19" t="inlineStr">
        <is>
          <t>January 25, 1821 – coldest ever at Albany</t>
        </is>
      </c>
      <c r="H58" s="19" t="inlineStr">
        <is>
          <t>Albany</t>
        </is>
      </c>
      <c r="I58" s="19" t="inlineStr">
        <is>
          <t>−7°F Jan 25, 'one degree lower than in February 1817; as cold as ever experienced here'; Hudson crossed on the ice Albany↔Powles' Hook several days</t>
        </is>
      </c>
      <c r="J58" s="19" t="inlineStr">
        <is>
          <t>Albany freeze notice</t>
        </is>
      </c>
      <c r="K58" s="19" t="inlineStr">
        <is>
          <t>The notice states the Hudson was walkable at Albany only four times in the prior century: 1740–41, 1764–65, 1779–80, 1820–21.</t>
        </is>
      </c>
      <c r="L58" s="19" t="inlineStr">
        <is>
          <t>Albany Daily Advertiser, "Notices of the Winters at New York for the last forty-two years… dates at which the Hudson was frozen or obstructed or closed by ice at Albany," repr. American Quarterly Journal of Agriculture and Science 1 (1845) pp. 347–350 (verified, page images)</t>
        </is>
      </c>
      <c r="M58" s="19" t="inlineStr">
        <is>
          <t>https://archive.org/details/americanquarterl00slsn</t>
        </is>
      </c>
      <c r="N58" s="19" t="inlineStr">
        <is>
          <t>A</t>
        </is>
      </c>
      <c r="O58" s="19" t="inlineStr">
        <is>
          <t>Y</t>
        </is>
      </c>
      <c r="P58" s="19" t="inlineStr">
        <is>
          <t>Directly corroborates the register's 1740–41, 1765 and 1780 ice-crossing rows.</t>
        </is>
      </c>
      <c r="Q58" s="19" t="inlineStr">
        <is>
          <t>1821-01-25</t>
        </is>
      </c>
      <c r="R58" s="19">
        <f>VALUE(LEFT(Q58,4))</f>
        <v/>
      </c>
      <c r="S58" s="19">
        <f>VALUE(MID(Q58,6,2))</f>
        <v/>
      </c>
      <c r="T58" s="19">
        <f>VALUE(RIGHT(Q58,2))</f>
        <v/>
      </c>
      <c r="U58" s="19" t="inlineStr">
        <is>
          <t>day</t>
        </is>
      </c>
      <c r="V58" s="19" t="inlineStr">
        <is>
          <t>Single-day event</t>
        </is>
      </c>
    </row>
    <row r="59" ht="34.5" customHeight="1" s="13">
      <c r="A59" s="19" t="n">
        <v>58</v>
      </c>
      <c r="B59" s="19" t="inlineStr">
        <is>
          <t>1821-09-03</t>
        </is>
      </c>
      <c r="C59" s="19" t="inlineStr">
        <is>
          <t>1821-09-03</t>
        </is>
      </c>
      <c r="D59" s="19">
        <f>VALUE(LEFT(B59,4))</f>
        <v/>
      </c>
      <c r="E59" s="19">
        <f>INT((D59-1)/100)+1</f>
        <v/>
      </c>
      <c r="F59" s="19" t="inlineStr">
        <is>
          <t>Tropical cyclone</t>
        </is>
      </c>
      <c r="G59" s="19" t="inlineStr">
        <is>
          <t>Norfolk–Long Island Hurricane</t>
        </is>
      </c>
      <c r="H59" s="19" t="inlineStr">
        <is>
          <t>NYC / lower Hudson</t>
        </is>
      </c>
      <c r="I59" s="19" t="inlineStr">
        <is>
          <t>Eye over NYC (chronicle)</t>
        </is>
      </c>
      <c r="J59" s="19" t="inlineStr">
        <is>
          <t>none</t>
        </is>
      </c>
      <c r="K59" s="19" t="inlineStr">
        <is>
          <t>Wind damage up the lower Hudson Valley.</t>
        </is>
      </c>
      <c r="L59" s="19" t="inlineStr">
        <is>
          <t>Ludlum, Early American Winters I &amp; II / Early American Hurricanes (AMS) – chronicle sources</t>
        </is>
      </c>
      <c r="M59" s="19" t="n"/>
      <c r="N59" s="19" t="inlineStr">
        <is>
          <t>C</t>
        </is>
      </c>
      <c r="O59" s="19" t="inlineStr">
        <is>
          <t>N</t>
        </is>
      </c>
      <c r="P59" s="19" t="n"/>
      <c r="Q59" s="19" t="inlineStr">
        <is>
          <t>1821-09-03</t>
        </is>
      </c>
      <c r="R59" s="19">
        <f>VALUE(LEFT(Q59,4))</f>
        <v/>
      </c>
      <c r="S59" s="19">
        <f>VALUE(MID(Q59,6,2))</f>
        <v/>
      </c>
      <c r="T59" s="19">
        <f>VALUE(RIGHT(Q59,2))</f>
        <v/>
      </c>
      <c r="U59" s="19" t="inlineStr">
        <is>
          <t>day</t>
        </is>
      </c>
      <c r="V59" s="19" t="inlineStr">
        <is>
          <t>Single-day event</t>
        </is>
      </c>
    </row>
    <row r="60" ht="79.5" customHeight="1" s="13">
      <c r="A60" s="19" t="n">
        <v>59</v>
      </c>
      <c r="B60" s="19" t="inlineStr">
        <is>
          <t>1821-09-03</t>
        </is>
      </c>
      <c r="C60" s="19" t="inlineStr">
        <is>
          <t>1821-09-03</t>
        </is>
      </c>
      <c r="D60" s="19">
        <f>VALUE(LEFT(B60,4))</f>
        <v/>
      </c>
      <c r="E60" s="19">
        <f>INT((D60-1)/100)+1</f>
        <v/>
      </c>
      <c r="F60" s="19" t="inlineStr">
        <is>
          <t>Tropical cyclone</t>
        </is>
      </c>
      <c r="G60" s="19" t="inlineStr">
        <is>
          <t>The Hurricane of September 3, 1821 – over NYC &amp; up the Hudson</t>
        </is>
      </c>
      <c r="H60" s="19" t="inlineStr">
        <is>
          <t>NYC (center crossed) / lower &amp; mid Hudson Valley / Westchester</t>
        </is>
      </c>
      <c r="I60" s="19" t="inlineStr">
        <is>
          <t>Center crossed part of NYC (only major hurricane to do so in 200 yrs, per Ludlum); North River (Hudson) wharves destroyed, Battery inundated, trees down in the Park; Westchester Herald: strong winds and extremely high tides along the river; damage extended up the Hudson Valley 'some distance'</t>
        </is>
      </c>
      <c r="J60" s="19" t="inlineStr">
        <is>
          <t>Ludlum pp. 82, 85 (NY Post, Westchester Herald, Redfield)</t>
        </is>
      </c>
      <c r="K60" s="19" t="inlineStr">
        <is>
          <t>The storm that launched American storm science (Redfield's rotary-wind insight). Center over NYC; the Hudson Valley took the western semicircle. Genuinely regional.</t>
        </is>
      </c>
      <c r="L60" s="19" t="inlineStr">
        <is>
          <t>Ludlum, Early American Hurricanes 1492–1870 (AMS, 1963), pp. 77–108 (verified, page images)</t>
        </is>
      </c>
      <c r="M60" s="19" t="inlineStr">
        <is>
          <t>https://hdl.handle.net/2027/mdp.39015002912718</t>
        </is>
      </c>
      <c r="N60" s="19" t="inlineStr">
        <is>
          <t>B</t>
        </is>
      </c>
      <c r="O60" s="19" t="inlineStr">
        <is>
          <t>Y</t>
        </is>
      </c>
      <c r="P60" s="19" t="inlineStr">
        <is>
          <t>Center over NYC; Hudson Valley damage documented up-river. Strongest of this batch for the region.</t>
        </is>
      </c>
      <c r="Q60" s="19" t="inlineStr">
        <is>
          <t>1821-09-03</t>
        </is>
      </c>
      <c r="R60" s="19">
        <f>VALUE(LEFT(Q60,4))</f>
        <v/>
      </c>
      <c r="S60" s="19">
        <f>VALUE(MID(Q60,6,2))</f>
        <v/>
      </c>
      <c r="T60" s="19">
        <f>VALUE(RIGHT(Q60,2))</f>
        <v/>
      </c>
      <c r="U60" s="19" t="inlineStr">
        <is>
          <t>day</t>
        </is>
      </c>
      <c r="V60" s="19" t="inlineStr">
        <is>
          <t>Single-day event</t>
        </is>
      </c>
    </row>
    <row r="61" ht="90.75" customHeight="1" s="13">
      <c r="A61" s="19" t="n">
        <v>60</v>
      </c>
      <c r="B61" s="19" t="inlineStr">
        <is>
          <t>1826-12-14</t>
        </is>
      </c>
      <c r="C61" s="19" t="inlineStr">
        <is>
          <t>1826-12-14</t>
        </is>
      </c>
      <c r="D61" s="19">
        <f>VALUE(LEFT(B61,4))</f>
        <v/>
      </c>
      <c r="E61" s="19">
        <f>INT((D61-1)/100)+1</f>
        <v/>
      </c>
      <c r="F61" s="19" t="inlineStr">
        <is>
          <t>Cold snap</t>
        </is>
      </c>
      <c r="G61" s="19" t="inlineStr">
        <is>
          <t>December 14, 1826 cold day</t>
        </is>
      </c>
      <c r="H61" s="19" t="inlineStr">
        <is>
          <t>Albany</t>
        </is>
      </c>
      <c r="I61" s="19" t="inlineStr">
        <is>
          <t>3°F at 8 AM, 2°F/9°F later</t>
        </is>
      </c>
      <c r="J61" s="19" t="inlineStr">
        <is>
          <t>Albany freeze notice</t>
        </is>
      </c>
      <c r="K61" s="19" t="inlineStr">
        <is>
          <t>A single sharp December cold day in an otherwise mild winter.</t>
        </is>
      </c>
      <c r="L61" s="19" t="inlineStr">
        <is>
          <t>Albany Daily Advertiser, "Notices of the Winters at New York for the last forty-two years… dates at which the Hudson was frozen or obstructed or closed by ice at Albany," repr. American Quarterly Journal of Agriculture and Science 1 (1845) pp. 347–350 (verified, page images)</t>
        </is>
      </c>
      <c r="M61" s="19" t="inlineStr">
        <is>
          <t>https://archive.org/details/americanquarterl00slsn</t>
        </is>
      </c>
      <c r="N61" s="19" t="inlineStr">
        <is>
          <t>B</t>
        </is>
      </c>
      <c r="O61" s="19" t="inlineStr">
        <is>
          <t>Y</t>
        </is>
      </c>
      <c r="P61" s="19" t="n"/>
      <c r="Q61" s="19" t="inlineStr">
        <is>
          <t>1826-12-14</t>
        </is>
      </c>
      <c r="R61" s="19">
        <f>VALUE(LEFT(Q61,4))</f>
        <v/>
      </c>
      <c r="S61" s="19">
        <f>VALUE(MID(Q61,6,2))</f>
        <v/>
      </c>
      <c r="T61" s="19">
        <f>VALUE(RIGHT(Q61,2))</f>
        <v/>
      </c>
      <c r="U61" s="19" t="inlineStr">
        <is>
          <t>day</t>
        </is>
      </c>
      <c r="V61" s="19" t="inlineStr">
        <is>
          <t>Single-day event</t>
        </is>
      </c>
    </row>
    <row r="62" ht="90.75" customHeight="1" s="13">
      <c r="A62" s="19" t="n">
        <v>61</v>
      </c>
      <c r="B62" s="19" t="inlineStr">
        <is>
          <t>1828-12-01</t>
        </is>
      </c>
      <c r="C62" s="19" t="inlineStr">
        <is>
          <t>1829-03-29</t>
        </is>
      </c>
      <c r="D62" s="19">
        <f>VALUE(LEFT(B62,4))</f>
        <v/>
      </c>
      <c r="E62" s="19">
        <f>INT((D62-1)/100)+1</f>
        <v/>
      </c>
      <c r="F62" s="19" t="inlineStr">
        <is>
          <t>Cold winter</t>
        </is>
      </c>
      <c r="G62" s="19" t="inlineStr">
        <is>
          <t>Long severe winter 1828–29</t>
        </is>
      </c>
      <c r="H62" s="19" t="inlineStr">
        <is>
          <t>Albany</t>
        </is>
      </c>
      <c r="I62" s="19" t="inlineStr">
        <is>
          <t>River closed Jan 1, opened Mar 29; lowest 6°F below zero; 'much suffering among the poor'</t>
        </is>
      </c>
      <c r="J62" s="19" t="inlineStr">
        <is>
          <t>Albany freeze notice</t>
        </is>
      </c>
      <c r="K62" s="19" t="inlineStr">
        <is>
          <t>One of the coldest of the series; latest opening date (Mar 29).</t>
        </is>
      </c>
      <c r="L62" s="19" t="inlineStr">
        <is>
          <t>Albany Daily Advertiser, "Notices of the Winters at New York for the last forty-two years… dates at which the Hudson was frozen or obstructed or closed by ice at Albany," repr. American Quarterly Journal of Agriculture and Science 1 (1845) pp. 347–350 (verified, page images)</t>
        </is>
      </c>
      <c r="M62" s="19" t="inlineStr">
        <is>
          <t>https://archive.org/details/americanquarterl00slsn</t>
        </is>
      </c>
      <c r="N62" s="19" t="inlineStr">
        <is>
          <t>B</t>
        </is>
      </c>
      <c r="O62" s="19" t="inlineStr">
        <is>
          <t>Y</t>
        </is>
      </c>
      <c r="P62" s="19" t="n"/>
      <c r="Q62" s="19" t="inlineStr">
        <is>
          <t>1829-01-29</t>
        </is>
      </c>
      <c r="R62" s="19">
        <f>VALUE(LEFT(Q62,4))</f>
        <v/>
      </c>
      <c r="S62" s="19">
        <f>VALUE(MID(Q62,6,2))</f>
        <v/>
      </c>
      <c r="T62" s="19">
        <f>VALUE(RIGHT(Q62,2))</f>
        <v/>
      </c>
      <c r="U62" s="19" t="inlineStr">
        <is>
          <t>season</t>
        </is>
      </c>
      <c r="V62" s="19" t="inlineStr">
        <is>
          <t>Anchored to mid-point of a season-scale window</t>
        </is>
      </c>
    </row>
    <row r="63" ht="90.75" customHeight="1" s="13">
      <c r="A63" s="19" t="n">
        <v>62</v>
      </c>
      <c r="B63" s="19" t="inlineStr">
        <is>
          <t>1830-12-23</t>
        </is>
      </c>
      <c r="C63" s="19" t="inlineStr">
        <is>
          <t>1831-02-28</t>
        </is>
      </c>
      <c r="D63" s="19">
        <f>VALUE(LEFT(B63,4))</f>
        <v/>
      </c>
      <c r="E63" s="19">
        <f>INT((D63-1)/100)+1</f>
        <v/>
      </c>
      <c r="F63" s="19" t="inlineStr">
        <is>
          <t>Cold winter</t>
        </is>
      </c>
      <c r="G63" s="19" t="inlineStr">
        <is>
          <t>Severe snowy winter 1830–31</t>
        </is>
      </c>
      <c r="H63" s="19" t="inlineStr">
        <is>
          <t>Albany</t>
        </is>
      </c>
      <c r="I63" s="19" t="inlineStr">
        <is>
          <t>Ground snow-covered Jan 6–Feb 28 (longest since 1808–09); frost 5+ weeks, only 3 days above freezing; river closed Dec 23, reopened by rains, closed again Jan 16</t>
        </is>
      </c>
      <c r="J63" s="19" t="inlineStr">
        <is>
          <t>Albany freeze notice</t>
        </is>
      </c>
      <c r="K63" s="19" t="n"/>
      <c r="L63" s="19" t="inlineStr">
        <is>
          <t>Albany Daily Advertiser, "Notices of the Winters at New York for the last forty-two years… dates at which the Hudson was frozen or obstructed or closed by ice at Albany," repr. American Quarterly Journal of Agriculture and Science 1 (1845) pp. 347–350 (verified, page images)</t>
        </is>
      </c>
      <c r="M63" s="19" t="inlineStr">
        <is>
          <t>https://archive.org/details/americanquarterl00slsn</t>
        </is>
      </c>
      <c r="N63" s="19" t="inlineStr">
        <is>
          <t>B</t>
        </is>
      </c>
      <c r="O63" s="19" t="inlineStr">
        <is>
          <t>Y</t>
        </is>
      </c>
      <c r="P63" s="19" t="n"/>
      <c r="Q63" s="19" t="inlineStr">
        <is>
          <t>1831-01-25</t>
        </is>
      </c>
      <c r="R63" s="19">
        <f>VALUE(LEFT(Q63,4))</f>
        <v/>
      </c>
      <c r="S63" s="19">
        <f>VALUE(MID(Q63,6,2))</f>
        <v/>
      </c>
      <c r="T63" s="19">
        <f>VALUE(RIGHT(Q63,2))</f>
        <v/>
      </c>
      <c r="U63" s="19" t="inlineStr">
        <is>
          <t>season</t>
        </is>
      </c>
      <c r="V63" s="19" t="inlineStr">
        <is>
          <t>Anchored to mid-point of a season-scale window</t>
        </is>
      </c>
    </row>
    <row r="64" ht="23.25" customHeight="1" s="13">
      <c r="A64" s="19" t="n">
        <v>63</v>
      </c>
      <c r="B64" s="19" t="inlineStr">
        <is>
          <t>1832-02-15</t>
        </is>
      </c>
      <c r="C64" s="19" t="inlineStr">
        <is>
          <t>1832-03-31</t>
        </is>
      </c>
      <c r="D64" s="19">
        <f>VALUE(LEFT(B64,4))</f>
        <v/>
      </c>
      <c r="E64" s="19">
        <f>INT((D64-1)/100)+1</f>
        <v/>
      </c>
      <c r="F64" s="19" t="inlineStr">
        <is>
          <t>Ice jam</t>
        </is>
      </c>
      <c r="G64" s="19" t="inlineStr">
        <is>
          <t>Mohawk breakup flood with ice, 1832</t>
        </is>
      </c>
      <c r="H64" s="19" t="inlineStr">
        <is>
          <t>Lower Mohawk / Schenectady</t>
        </is>
      </c>
      <c r="I64" s="19" t="inlineStr">
        <is>
          <t>Listed among major ice-involved breakup floods</t>
        </is>
      </c>
      <c r="J64" s="19" t="inlineStr">
        <is>
          <t>Garver chronology</t>
        </is>
      </c>
      <c r="K64" s="19" t="inlineStr">
        <is>
          <t>One of ~11 major ice breakup floods on the lower Mohawk 1832–1996; ~80% of severe Mohawk floods involve ice.</t>
        </is>
      </c>
      <c r="L64" s="19" t="inlineStr">
        <is>
          <t>Garver (Union College) Mohawk ice-jam chronology</t>
        </is>
      </c>
      <c r="M64" s="19" t="inlineStr">
        <is>
          <t>https://minerva.union.edu/garverj/mohawk/1996_ice_jam.html</t>
        </is>
      </c>
      <c r="N64" s="19" t="inlineStr">
        <is>
          <t>C</t>
        </is>
      </c>
      <c r="O64" s="19" t="inlineStr">
        <is>
          <t>Y</t>
        </is>
      </c>
      <c r="P64" s="19" t="inlineStr">
        <is>
          <t>Day not yet pulled – Garver's Mohawk flood table has it.</t>
        </is>
      </c>
      <c r="Q64" s="19" t="inlineStr">
        <is>
          <t>1832-03-08</t>
        </is>
      </c>
      <c r="R64" s="19">
        <f>VALUE(LEFT(Q64,4))</f>
        <v/>
      </c>
      <c r="S64" s="19">
        <f>VALUE(MID(Q64,6,2))</f>
        <v/>
      </c>
      <c r="T64" s="19">
        <f>VALUE(RIGHT(Q64,2))</f>
        <v/>
      </c>
      <c r="U64" s="19" t="inlineStr">
        <is>
          <t>month</t>
        </is>
      </c>
      <c r="V64" s="19" t="inlineStr">
        <is>
          <t>Anchored to mid-point of a multi-week window</t>
        </is>
      </c>
    </row>
    <row r="65" ht="23.25" customHeight="1" s="13">
      <c r="A65" s="19" t="n">
        <v>64</v>
      </c>
      <c r="B65" s="19" t="inlineStr">
        <is>
          <t>1835-12-16</t>
        </is>
      </c>
      <c r="C65" s="19" t="inlineStr">
        <is>
          <t>1835-12-17</t>
        </is>
      </c>
      <c r="D65" s="19">
        <f>VALUE(LEFT(B65,4))</f>
        <v/>
      </c>
      <c r="E65" s="19">
        <f>INT((D65-1)/100)+1</f>
        <v/>
      </c>
      <c r="F65" s="19" t="inlineStr">
        <is>
          <t>Arctic outbreak</t>
        </is>
      </c>
      <c r="G65" s="19" t="inlineStr">
        <is>
          <t>December 1835 cold – Great Fire of New York</t>
        </is>
      </c>
      <c r="H65" s="19" t="inlineStr">
        <is>
          <t>NYC / Hudson Valley</t>
        </is>
      </c>
      <c r="I65" s="19" t="inlineStr">
        <is>
          <t>≈ –17°F at NYC; Hudson and East River frozen (hydrants and rivers frozen during the fire)</t>
        </is>
      </c>
      <c r="J65" s="19" t="inlineStr">
        <is>
          <t>none</t>
        </is>
      </c>
      <c r="K65" s="19" t="inlineStr">
        <is>
          <t>Fire burned 17 blocks because water sources were frozen; marks the start of the long 1835–36 ice closure of the Hudson.</t>
        </is>
      </c>
      <c r="L65" s="19" t="inlineStr">
        <is>
          <t>Wikipedia event article (secondary; verify against NCEI/NHC)</t>
        </is>
      </c>
      <c r="M65" s="19" t="inlineStr">
        <is>
          <t>https://en.wikipedia.org/wiki/Great_Fire_of_New_York</t>
        </is>
      </c>
      <c r="N65" s="19" t="inlineStr">
        <is>
          <t>B</t>
        </is>
      </c>
      <c r="O65" s="19" t="inlineStr">
        <is>
          <t>Y</t>
        </is>
      </c>
      <c r="P65" s="19" t="inlineStr">
        <is>
          <t>Use as the timeline anchor for the 1835–36 winter.</t>
        </is>
      </c>
      <c r="Q65" s="19" t="inlineStr">
        <is>
          <t>1835-12-16</t>
        </is>
      </c>
      <c r="R65" s="19">
        <f>VALUE(LEFT(Q65,4))</f>
        <v/>
      </c>
      <c r="S65" s="19">
        <f>VALUE(MID(Q65,6,2))</f>
        <v/>
      </c>
      <c r="T65" s="19">
        <f>VALUE(RIGHT(Q65,2))</f>
        <v/>
      </c>
      <c r="U65" s="19" t="inlineStr">
        <is>
          <t>days</t>
        </is>
      </c>
      <c r="V65" s="19" t="inlineStr">
        <is>
          <t>Multi-day event; anchored to first day</t>
        </is>
      </c>
    </row>
    <row r="66" ht="34.5" customHeight="1" s="13">
      <c r="A66" s="19" t="n">
        <v>65</v>
      </c>
      <c r="B66" s="19" t="inlineStr">
        <is>
          <t>1835-12-16</t>
        </is>
      </c>
      <c r="C66" s="19" t="inlineStr">
        <is>
          <t>1836-04-15</t>
        </is>
      </c>
      <c r="D66" s="19">
        <f>VALUE(LEFT(B66,4))</f>
        <v/>
      </c>
      <c r="E66" s="19">
        <f>INT((D66-1)/100)+1</f>
        <v/>
      </c>
      <c r="F66" s="19" t="inlineStr">
        <is>
          <t>Cold winter</t>
        </is>
      </c>
      <c r="G66" s="19" t="inlineStr">
        <is>
          <t>Winter of 1835–36 (season)</t>
        </is>
      </c>
      <c r="H66" s="19" t="inlineStr">
        <is>
          <t>Hudson Valley</t>
        </is>
      </c>
      <c r="I66" s="19" t="inlineStr">
        <is>
          <t>Hudson closed ~4 months (chronicle)</t>
        </is>
      </c>
      <c r="J66" s="19" t="inlineStr">
        <is>
          <t>none</t>
        </is>
      </c>
      <c r="K66" s="19" t="inlineStr">
        <is>
          <t>Long ice closure, heavy snow, spring freshet at Albany.</t>
        </is>
      </c>
      <c r="L66" s="19" t="inlineStr">
        <is>
          <t>Ludlum, Early American Winters I &amp; II / Early American Hurricanes (AMS) – chronicle sources</t>
        </is>
      </c>
      <c r="M66" s="19" t="n"/>
      <c r="N66" s="19" t="inlineStr">
        <is>
          <t>C</t>
        </is>
      </c>
      <c r="O66" s="19" t="inlineStr">
        <is>
          <t>N</t>
        </is>
      </c>
      <c r="P66" s="19" t="inlineStr">
        <is>
          <t>Season row; anchored to Dec 16, 1835.</t>
        </is>
      </c>
      <c r="Q66" s="19" t="inlineStr">
        <is>
          <t>1836-02-14</t>
        </is>
      </c>
      <c r="R66" s="19">
        <f>VALUE(LEFT(Q66,4))</f>
        <v/>
      </c>
      <c r="S66" s="19">
        <f>VALUE(MID(Q66,6,2))</f>
        <v/>
      </c>
      <c r="T66" s="19">
        <f>VALUE(RIGHT(Q66,2))</f>
        <v/>
      </c>
      <c r="U66" s="19" t="inlineStr">
        <is>
          <t>season</t>
        </is>
      </c>
      <c r="V66" s="19" t="inlineStr">
        <is>
          <t>Anchored to mid-point of a season-scale window</t>
        </is>
      </c>
    </row>
    <row r="67" ht="34.5" customHeight="1" s="13">
      <c r="A67" s="19" t="n">
        <v>66</v>
      </c>
      <c r="B67" s="19" t="inlineStr">
        <is>
          <t>1837-01-01</t>
        </is>
      </c>
      <c r="C67" s="19" t="inlineStr">
        <is>
          <t>1837-01-01</t>
        </is>
      </c>
      <c r="D67" s="19">
        <f>VALUE(LEFT(B67,4))</f>
        <v/>
      </c>
      <c r="E67" s="19">
        <f>INT((D67-1)/100)+1</f>
        <v/>
      </c>
      <c r="F67" s="19" t="inlineStr">
        <is>
          <t>Landslide</t>
        </is>
      </c>
      <c r="G67" s="19" t="inlineStr">
        <is>
          <t>Troy Mount Ida clay avalanche</t>
        </is>
      </c>
      <c r="H67" s="19" t="inlineStr">
        <is>
          <t>Troy (east end of Washington St.)</t>
        </is>
      </c>
      <c r="I67" s="19" t="inlineStr">
        <is>
          <t>Clay slid ~500 ft, covering many acres</t>
        </is>
      </c>
      <c r="J67" s="19" t="inlineStr">
        <is>
          <t>none</t>
        </is>
      </c>
      <c r="K67" s="19" t="inlineStr">
        <is>
          <t>Two stables (22 horses) and three dwellings with seven people crushed and buried; ~7 PM Sunday.</t>
        </is>
      </c>
      <c r="L67" s="19" t="inlineStr">
        <is>
          <t>Young, Troy's One Hundred Years (1891)</t>
        </is>
      </c>
      <c r="M67" s="19" t="inlineStr">
        <is>
          <t>https://troyirish.org/troy-area-history/local-history/local-history-articles/avalanche-of-clay</t>
        </is>
      </c>
      <c r="N67" s="19" t="inlineStr">
        <is>
          <t>B</t>
        </is>
      </c>
      <c r="O67" s="19" t="inlineStr">
        <is>
          <t>Y</t>
        </is>
      </c>
      <c r="P67" s="19" t="inlineStr">
        <is>
          <t>Glacial Lake Albany clay. Death toll: confirm.</t>
        </is>
      </c>
      <c r="Q67" s="19" t="inlineStr">
        <is>
          <t>1837-01-01</t>
        </is>
      </c>
      <c r="R67" s="19">
        <f>VALUE(LEFT(Q67,4))</f>
        <v/>
      </c>
      <c r="S67" s="19">
        <f>VALUE(MID(Q67,6,2))</f>
        <v/>
      </c>
      <c r="T67" s="19">
        <f>VALUE(RIGHT(Q67,2))</f>
        <v/>
      </c>
      <c r="U67" s="19" t="inlineStr">
        <is>
          <t>day</t>
        </is>
      </c>
      <c r="V67" s="19" t="inlineStr">
        <is>
          <t>Single-day event</t>
        </is>
      </c>
    </row>
    <row r="68" ht="45.75" customHeight="1" s="13">
      <c r="A68" s="19" t="n">
        <v>67</v>
      </c>
      <c r="B68" s="19" t="inlineStr">
        <is>
          <t>1839-08-30</t>
        </is>
      </c>
      <c r="C68" s="19" t="inlineStr">
        <is>
          <t>1839-08-30</t>
        </is>
      </c>
      <c r="D68" s="19">
        <f>VALUE(LEFT(B68,4))</f>
        <v/>
      </c>
      <c r="E68" s="19">
        <f>INT((D68-1)/100)+1</f>
        <v/>
      </c>
      <c r="F68" s="19" t="inlineStr">
        <is>
          <t>Tropical cyclone / early snow</t>
        </is>
      </c>
      <c r="G68" s="19" t="inlineStr">
        <is>
          <t>Atlantic Coast Hurricane of late August 1839 – snow in the Catskills</t>
        </is>
      </c>
      <c r="H68" s="19" t="inlineStr">
        <is>
          <t>Offshore; snow in the Catskills</t>
        </is>
      </c>
      <c r="I68" s="19" t="inlineStr">
        <is>
          <t>Storm stayed offshore but cold air behind it dropped snow that 'whitened' the Catskills; snow also fell at Salem MA and along the coast (late-August snow)</t>
        </is>
      </c>
      <c r="J68" s="19" t="inlineStr">
        <is>
          <t>Ludlum p. 106 (Genesee Farmer / Gaylord)</t>
        </is>
      </c>
      <c r="K68" s="19" t="inlineStr">
        <is>
          <t>Remarkable for late-August snow in the Catskills — a phenology curiosity. High winds confined to the coastal plain ('80 mi inland it was scarcely felt').</t>
        </is>
      </c>
      <c r="L68" s="19" t="inlineStr">
        <is>
          <t>Ludlum, Early American Hurricanes 1492–1870 (AMS, 1963), pp. 77–108 (verified, page images)</t>
        </is>
      </c>
      <c r="M68" s="19" t="inlineStr">
        <is>
          <t>https://hdl.handle.net/2027/mdp.39015002912718</t>
        </is>
      </c>
      <c r="N68" s="19" t="inlineStr">
        <is>
          <t>C</t>
        </is>
      </c>
      <c r="O68" s="19" t="inlineStr">
        <is>
          <t>Y</t>
        </is>
      </c>
      <c r="P68" s="19" t="inlineStr">
        <is>
          <t>Notable only for the Catskill snow; no wind damage inland.</t>
        </is>
      </c>
      <c r="Q68" s="19" t="inlineStr">
        <is>
          <t>1839-08-30</t>
        </is>
      </c>
      <c r="R68" s="19">
        <f>VALUE(LEFT(Q68,4))</f>
        <v/>
      </c>
      <c r="S68" s="19">
        <f>VALUE(MID(Q68,6,2))</f>
        <v/>
      </c>
      <c r="T68" s="19">
        <f>VALUE(RIGHT(Q68,2))</f>
        <v/>
      </c>
      <c r="U68" s="19" t="inlineStr">
        <is>
          <t>day</t>
        </is>
      </c>
      <c r="V68" s="19" t="inlineStr">
        <is>
          <t>Single-day event</t>
        </is>
      </c>
    </row>
    <row r="69" ht="23.25" customHeight="1" s="13">
      <c r="A69" s="19" t="n">
        <v>68</v>
      </c>
      <c r="B69" s="19" t="inlineStr">
        <is>
          <t>1848-03-29</t>
        </is>
      </c>
      <c r="C69" s="19" t="inlineStr">
        <is>
          <t>1848-03-31</t>
        </is>
      </c>
      <c r="D69" s="19">
        <f>VALUE(LEFT(B69,4))</f>
        <v/>
      </c>
      <c r="E69" s="19">
        <f>INT((D69-1)/100)+1</f>
        <v/>
      </c>
      <c r="F69" s="19" t="inlineStr">
        <is>
          <t>Ice jam</t>
        </is>
      </c>
      <c r="G69" s="19" t="inlineStr">
        <is>
          <t>Niagara Falls stops flowing (OUT OF REGION)</t>
        </is>
      </c>
      <c r="H69" s="19" t="inlineStr">
        <is>
          <t>Niagara River / Lake Erie outlet</t>
        </is>
      </c>
      <c r="I69" s="19" t="inlineStr">
        <is>
          <t>Flow stopped ~30–40 hours</t>
        </is>
      </c>
      <c r="J69" s="19" t="inlineStr">
        <is>
          <t>none</t>
        </is>
      </c>
      <c r="K69" s="19" t="inlineStr">
        <is>
          <t>Gale-driven Lake Erie ice jammed the river head; people walked the riverbed; flow resumed Mar 31.</t>
        </is>
      </c>
      <c r="L69" s="19" t="inlineStr">
        <is>
          <t>Wikipedia event article (secondary; verify against NCEI/NHC)</t>
        </is>
      </c>
      <c r="M69" s="19" t="inlineStr">
        <is>
          <t>https://en.wikipedia.org/wiki/Niagara_Falls</t>
        </is>
      </c>
      <c r="N69" s="19" t="inlineStr">
        <is>
          <t>B</t>
        </is>
      </c>
      <c r="O69" s="19" t="inlineStr">
        <is>
          <t>N</t>
        </is>
      </c>
      <c r="P69" s="19" t="inlineStr">
        <is>
          <t>Included at user request; ~280 mi west of Westerlo.</t>
        </is>
      </c>
      <c r="Q69" s="19" t="inlineStr">
        <is>
          <t>1848-03-29</t>
        </is>
      </c>
      <c r="R69" s="19">
        <f>VALUE(LEFT(Q69,4))</f>
        <v/>
      </c>
      <c r="S69" s="19">
        <f>VALUE(MID(Q69,6,2))</f>
        <v/>
      </c>
      <c r="T69" s="19">
        <f>VALUE(RIGHT(Q69,2))</f>
        <v/>
      </c>
      <c r="U69" s="19" t="inlineStr">
        <is>
          <t>days</t>
        </is>
      </c>
      <c r="V69" s="19" t="inlineStr">
        <is>
          <t>Multi-day event; anchored to first day</t>
        </is>
      </c>
    </row>
    <row r="70" ht="57" customHeight="1" s="13">
      <c r="A70" s="19" t="n">
        <v>69</v>
      </c>
      <c r="B70" s="19" t="inlineStr">
        <is>
          <t>1850-07-18</t>
        </is>
      </c>
      <c r="C70" s="19" t="inlineStr">
        <is>
          <t>1850-07-19</t>
        </is>
      </c>
      <c r="D70" s="19">
        <f>VALUE(LEFT(B70,4))</f>
        <v/>
      </c>
      <c r="E70" s="19">
        <f>INT((D70-1)/100)+1</f>
        <v/>
      </c>
      <c r="F70" s="19" t="inlineStr">
        <is>
          <t>Tropical cyclone</t>
        </is>
      </c>
      <c r="G70" s="19" t="inlineStr">
        <is>
          <t>July 1850 storm – central NY / PA track</t>
        </is>
      </c>
      <c r="H70" s="19" t="inlineStr">
        <is>
          <t>Central NY State / PA / Southern Tier (W of the Catskills)</t>
        </is>
      </c>
      <c r="I70" s="19" t="inlineStr">
        <is>
          <t>Track carried westward and northward over Pennsylvania and central New York State; property/crop damage in CT, not in eastern MA; Delaware &amp; Lehigh flooding, 20 lives lost on the Schuylkill</t>
        </is>
      </c>
      <c r="J70" s="19" t="inlineStr">
        <is>
          <t>Ludlum p. 113 (Fort Trumbull Medical Corps obs.)</t>
        </is>
      </c>
      <c r="K70" s="19" t="inlineStr">
        <is>
          <t>One of the Triple Tropical Storms of 1850. The only storm of the 1849–1869 batch to track inland into NY, but W of the Catskills — it grazes the register footprint's western edge.</t>
        </is>
      </c>
      <c r="L70" s="19" t="inlineStr">
        <is>
          <t>Ludlum, Early American Hurricanes 1492–1870 (AMS, 1963), pp. 109–124 (verified, page images/text)</t>
        </is>
      </c>
      <c r="M70" s="19" t="inlineStr">
        <is>
          <t>https://hdl.handle.net/2027/mdp.39015002912718</t>
        </is>
      </c>
      <c r="N70" s="19" t="inlineStr">
        <is>
          <t>C</t>
        </is>
      </c>
      <c r="O70" s="19" t="inlineStr">
        <is>
          <t>N</t>
        </is>
      </c>
      <c r="P70" s="19" t="inlineStr">
        <is>
          <t>Central-NY/Southern-Tier track, W of the Catskills; no eastern-NY damage documented. Included for completeness.</t>
        </is>
      </c>
      <c r="Q70" s="19" t="inlineStr">
        <is>
          <t>1850-07-18</t>
        </is>
      </c>
      <c r="R70" s="19">
        <f>VALUE(LEFT(Q70,4))</f>
        <v/>
      </c>
      <c r="S70" s="19">
        <f>VALUE(MID(Q70,6,2))</f>
        <v/>
      </c>
      <c r="T70" s="19">
        <f>VALUE(RIGHT(Q70,2))</f>
        <v/>
      </c>
      <c r="U70" s="19" t="inlineStr">
        <is>
          <t>days</t>
        </is>
      </c>
      <c r="V70" s="19" t="inlineStr">
        <is>
          <t>Jul 18–19; anchored to first day</t>
        </is>
      </c>
    </row>
    <row r="71" ht="34.5" customHeight="1" s="13">
      <c r="A71" s="19" t="n">
        <v>70</v>
      </c>
      <c r="B71" s="19" t="inlineStr">
        <is>
          <t>1857-01-18</t>
        </is>
      </c>
      <c r="C71" s="19" t="inlineStr">
        <is>
          <t>1857-01-19</t>
        </is>
      </c>
      <c r="D71" s="19">
        <f>VALUE(LEFT(B71,4))</f>
        <v/>
      </c>
      <c r="E71" s="19">
        <f>INT((D71-1)/100)+1</f>
        <v/>
      </c>
      <c r="F71" s="19" t="inlineStr">
        <is>
          <t>Blizzard / cold</t>
        </is>
      </c>
      <c r="G71" s="19" t="inlineStr">
        <is>
          <t>The Cold Storm of 1857</t>
        </is>
      </c>
      <c r="H71" s="19" t="inlineStr">
        <is>
          <t>Northeast</t>
        </is>
      </c>
      <c r="I71" s="19" t="inlineStr">
        <is>
          <t>Blizzard after –20s cold (chronicle)</t>
        </is>
      </c>
      <c r="J71" s="19" t="inlineStr">
        <is>
          <t>none</t>
        </is>
      </c>
      <c r="K71" s="19" t="inlineStr">
        <is>
          <t>Hudson bridged by ice at Manhattan.</t>
        </is>
      </c>
      <c r="L71" s="19" t="inlineStr">
        <is>
          <t>Ludlum, Early American Winters I &amp; II / Early American Hurricanes (AMS) – chronicle sources</t>
        </is>
      </c>
      <c r="M71" s="19" t="n"/>
      <c r="N71" s="19" t="inlineStr">
        <is>
          <t>C</t>
        </is>
      </c>
      <c r="O71" s="19" t="inlineStr">
        <is>
          <t>N</t>
        </is>
      </c>
      <c r="P71" s="19" t="n"/>
      <c r="Q71" s="19" t="inlineStr">
        <is>
          <t>1857-01-18</t>
        </is>
      </c>
      <c r="R71" s="19">
        <f>VALUE(LEFT(Q71,4))</f>
        <v/>
      </c>
      <c r="S71" s="19">
        <f>VALUE(MID(Q71,6,2))</f>
        <v/>
      </c>
      <c r="T71" s="19">
        <f>VALUE(RIGHT(Q71,2))</f>
        <v/>
      </c>
      <c r="U71" s="19" t="inlineStr">
        <is>
          <t>days</t>
        </is>
      </c>
      <c r="V71" s="19" t="inlineStr">
        <is>
          <t>Multi-day event; anchored to first day</t>
        </is>
      </c>
    </row>
    <row r="72" ht="23.25" customHeight="1" s="13">
      <c r="A72" s="19" t="n">
        <v>71</v>
      </c>
      <c r="B72" s="19" t="inlineStr">
        <is>
          <t>1857-02-01</t>
        </is>
      </c>
      <c r="C72" s="19" t="inlineStr">
        <is>
          <t>1857-02-28</t>
        </is>
      </c>
      <c r="D72" s="19">
        <f>VALUE(LEFT(B72,4))</f>
        <v/>
      </c>
      <c r="E72" s="19">
        <f>INT((D72-1)/100)+1</f>
        <v/>
      </c>
      <c r="F72" s="19" t="inlineStr">
        <is>
          <t>River flood (ice jam)</t>
        </is>
      </c>
      <c r="G72" s="19" t="inlineStr">
        <is>
          <t>February 1857 Albany flood – flood of record</t>
        </is>
      </c>
      <c r="H72" s="19" t="inlineStr">
        <is>
          <t>Hudson at Albany</t>
        </is>
      </c>
      <c r="I72" s="19" t="inlineStr">
        <is>
          <t>21.71 ft crest</t>
        </is>
      </c>
      <c r="J72" s="19" t="inlineStr">
        <is>
          <t>Hudson R. at Albany</t>
        </is>
      </c>
      <c r="K72" s="19" t="inlineStr">
        <is>
          <t>Highest flood ever recorded at Albany; caused by ice jammed on sandbars south of the city.</t>
        </is>
      </c>
      <c r="L72" s="19" t="inlineStr">
        <is>
          <t>NWS Albany – Past Weather Events (weather.gov/aly/pastevents) ; The Argus (Albany), Dec 31 1900 ("The Christmas Argus" - retrospective on Albany ice gorges and freshets) [uploaded PDF scan]</t>
        </is>
      </c>
      <c r="M72" s="19" t="inlineStr">
        <is>
          <t>https://www.weather.gov/aly/pastevents</t>
        </is>
      </c>
      <c r="N72" s="19" t="inlineStr">
        <is>
          <t>A</t>
        </is>
      </c>
      <c r="O72" s="19" t="inlineStr">
        <is>
          <t>Y</t>
        </is>
      </c>
      <c r="P72" s="19" t="inlineStr">
        <is>
          <t>Still the Albany record. 2026-09-22 (v828, atlas session): ENRICHED from research-chat intake row 354 (same event; merged, not added). In February 1857 a freshet tore away about 200 ft of the embankment running from the mainland to the Island above Albany - a dyke the government had built to throw the river's water into the channel. || Key measurement per that source: ~200 ft of the training embankment torn away || Intake notes: 2026-09-22: added per Laurie (PDF scan). Confidence C - from the 1900 retrospective, not a contemporaneous report; confirm from an 1857 primary source and pin down the day at merge. Candidate Geology pin (coords needed): the training dyke to the Island above Albany. EXISTENCE-GUARD at merge.</t>
        </is>
      </c>
      <c r="Q72" s="19" t="inlineStr">
        <is>
          <t>1857-02-15</t>
        </is>
      </c>
      <c r="R72" s="19">
        <f>VALUE(LEFT(Q72,4))</f>
        <v/>
      </c>
      <c r="S72" s="19">
        <f>VALUE(MID(Q72,6,2))</f>
        <v/>
      </c>
      <c r="T72" s="19">
        <f>VALUE(RIGHT(Q72,2))</f>
        <v/>
      </c>
      <c r="U72" s="19" t="inlineStr">
        <is>
          <t>month</t>
        </is>
      </c>
      <c r="V72" s="19" t="inlineStr">
        <is>
          <t>NWS gives month only; ice-jam crest day to pull from Munsell's Annals of Albany</t>
        </is>
      </c>
    </row>
    <row r="73" ht="23.25" customHeight="1" s="13">
      <c r="A73" s="19" t="n">
        <v>72</v>
      </c>
      <c r="B73" s="19" t="inlineStr">
        <is>
          <t>1859-03-17</t>
        </is>
      </c>
      <c r="C73" s="19" t="inlineStr">
        <is>
          <t>1859-03-17</t>
        </is>
      </c>
      <c r="D73" s="19">
        <f>VALUE(LEFT(B73,4))</f>
        <v/>
      </c>
      <c r="E73" s="19">
        <f>INT((D73-1)/100)+1</f>
        <v/>
      </c>
      <c r="F73" s="19" t="inlineStr">
        <is>
          <t>Landslide</t>
        </is>
      </c>
      <c r="G73" s="19" t="inlineStr">
        <is>
          <t>St. Peters College slide, Troy (Mt. Ida)</t>
        </is>
      </c>
      <c r="H73" s="19" t="inlineStr">
        <is>
          <t>Troy — foot of Mt. Ida (Mt. Ida Delta, Poesten Kill)</t>
        </is>
      </c>
      <c r="I73" s="19" t="inlineStr">
        <is>
          <t>Rotational slump destroyed the half-built 5-story, 200-ft St. Peters College; NO deaths (children had just left); the building blocked the slide from a residential area downhill</t>
        </is>
      </c>
      <c r="J73" s="19" t="inlineStr">
        <is>
          <t>none</t>
        </is>
      </c>
      <c r="K73" s="19" t="inlineStr">
        <is>
          <t>The famous 1859 Troy Mt. Ida slide, on St. Patrick's Day evening. On the Mt. Ida Delta (Poesten Kill into Glacial Lake Albany) — same delta-slump mechanism as Schenectady. USGS notes &gt;50 lives lost to Lake Albany clay slides around Troy/Albany over the 19th c. St. Peters College was never rebuilt — a lasting historic loss to Troy.</t>
        </is>
      </c>
      <c r="L73" s="19" t="inlineStr">
        <is>
          <t>USGS PP 1183; The Catskill Geologist (Titus) ; Titus, R. &amp; J., 'The St. Peters slide – an unhappy anniversary', The Mountain Eagle, Mar 16 2018</t>
        </is>
      </c>
      <c r="M73" s="19" t="inlineStr">
        <is>
          <t>https://pubs.usgs.gov/pp/p1183/pp1183.html</t>
        </is>
      </c>
      <c r="N73" s="19" t="inlineStr">
        <is>
          <t>B</t>
        </is>
      </c>
      <c r="O73" s="19" t="inlineStr">
        <is>
          <t>Y</t>
        </is>
      </c>
      <c r="P73" s="19" t="inlineStr">
        <is>
          <t>DATE CORRECTED from 1859-02-17 (was 'from memory') to 17 Mar 1859 (St. Patrick's Day) per Titus/Catskill Geologist — the St. Peters College slide. 2026-09-23 (v844, atlas session): Titus confirms the date — evening of St. Patrick's Day, Mar 17 1859 — and adds: the college was half-built (planned five storeys, 200 ft long); no deaths (children playing there had just left); the building took the slide and shielded the housing below; never rebuilt for want of money. Mechanism: Mt. Ida = Poesten Kill delta into Glacial Lake Albany, same failure mode as Nott Terrace 2018. Titus's 'most historically consequential Hudson Valley slide' nominee. DISCREPANCY (flagged, not reconciled): Titus says NO deaths at St. Peters 1859, while this row's impact summary cites USGS '&gt;50 lives lost' — check whether the USGS figure is cumulative for Mt. Ida (1837 clay avalanche, row 66, plus 1859) rather than 1859 alone.</t>
        </is>
      </c>
      <c r="Q73" s="19" t="inlineStr">
        <is>
          <t>1859-03-17</t>
        </is>
      </c>
      <c r="R73" s="19">
        <f>VALUE(LEFT(Q73,4))</f>
        <v/>
      </c>
      <c r="S73" s="19">
        <f>VALUE(MID(Q73,6,2))</f>
        <v/>
      </c>
      <c r="T73" s="19">
        <f>VALUE(RIGHT(Q73,2))</f>
        <v/>
      </c>
      <c r="U73" s="19" t="inlineStr">
        <is>
          <t>day</t>
        </is>
      </c>
      <c r="V73" s="19" t="inlineStr">
        <is>
          <t>Single-day event</t>
        </is>
      </c>
    </row>
    <row r="74" ht="34.5" customHeight="1" s="13">
      <c r="A74" s="19" t="n">
        <v>73</v>
      </c>
      <c r="B74" s="19" t="inlineStr">
        <is>
          <t>1859-06-04</t>
        </is>
      </c>
      <c r="C74" s="19" t="inlineStr">
        <is>
          <t>1859-06-05</t>
        </is>
      </c>
      <c r="D74" s="19">
        <f>VALUE(LEFT(B74,4))</f>
        <v/>
      </c>
      <c r="E74" s="19">
        <f>INT((D74-1)/100)+1</f>
        <v/>
      </c>
      <c r="F74" s="19" t="inlineStr">
        <is>
          <t>Late frost</t>
        </is>
      </c>
      <c r="G74" s="19" t="inlineStr">
        <is>
          <t>June 1859 killing frost</t>
        </is>
      </c>
      <c r="H74" s="19" t="inlineStr">
        <is>
          <t>Upstate NY</t>
        </is>
      </c>
      <c r="I74" s="19" t="inlineStr">
        <is>
          <t>Killing frost first week of June (chronicle)</t>
        </is>
      </c>
      <c r="J74" s="19" t="inlineStr">
        <is>
          <t>none</t>
        </is>
      </c>
      <c r="K74" s="19" t="inlineStr">
        <is>
          <t>Destroyed early crops statewide.</t>
        </is>
      </c>
      <c r="L74" s="19" t="inlineStr">
        <is>
          <t>Ludlum, Early American Winters I &amp; II / Early American Hurricanes (AMS) – chronicle sources</t>
        </is>
      </c>
      <c r="M74" s="19" t="n"/>
      <c r="N74" s="19" t="inlineStr">
        <is>
          <t>C</t>
        </is>
      </c>
      <c r="O74" s="19" t="inlineStr">
        <is>
          <t>N</t>
        </is>
      </c>
      <c r="P74" s="19" t="n"/>
      <c r="Q74" s="19" t="inlineStr">
        <is>
          <t>1859-06-04</t>
        </is>
      </c>
      <c r="R74" s="19">
        <f>VALUE(LEFT(Q74,4))</f>
        <v/>
      </c>
      <c r="S74" s="19">
        <f>VALUE(MID(Q74,6,2))</f>
        <v/>
      </c>
      <c r="T74" s="19">
        <f>VALUE(RIGHT(Q74,2))</f>
        <v/>
      </c>
      <c r="U74" s="19" t="inlineStr">
        <is>
          <t>days</t>
        </is>
      </c>
      <c r="V74" s="19" t="inlineStr">
        <is>
          <t>Multi-day event; anchored to first day</t>
        </is>
      </c>
    </row>
    <row r="75" ht="23.25" customHeight="1" s="13">
      <c r="A75" s="19" t="n">
        <v>74</v>
      </c>
      <c r="B75" s="19" t="inlineStr">
        <is>
          <t>1865-02-15</t>
        </is>
      </c>
      <c r="C75" s="19" t="inlineStr">
        <is>
          <t>1865-03-31</t>
        </is>
      </c>
      <c r="D75" s="19">
        <f>VALUE(LEFT(B75,4))</f>
        <v/>
      </c>
      <c r="E75" s="19">
        <f>INT((D75-1)/100)+1</f>
        <v/>
      </c>
      <c r="F75" s="19" t="inlineStr">
        <is>
          <t>Ice jam</t>
        </is>
      </c>
      <c r="G75" s="19" t="inlineStr">
        <is>
          <t>Mohawk breakup flood with ice, 1865</t>
        </is>
      </c>
      <c r="H75" s="19" t="inlineStr">
        <is>
          <t>Lower Mohawk / Schenectady</t>
        </is>
      </c>
      <c r="I75" s="19" t="inlineStr">
        <is>
          <t>Listed among major ice-involved breakup floods</t>
        </is>
      </c>
      <c r="J75" s="19" t="inlineStr">
        <is>
          <t>Garver chronology</t>
        </is>
      </c>
      <c r="K75" s="19" t="inlineStr">
        <is>
          <t>One of ~11 major ice breakup floods on the lower Mohawk 1832–1996; ~80% of severe Mohawk floods involve ice.</t>
        </is>
      </c>
      <c r="L75" s="19" t="inlineStr">
        <is>
          <t>Garver (Union College) Mohawk ice-jam chronology</t>
        </is>
      </c>
      <c r="M75" s="19" t="inlineStr">
        <is>
          <t>https://minerva.union.edu/garverj/mohawk/1996_ice_jam.html</t>
        </is>
      </c>
      <c r="N75" s="19" t="inlineStr">
        <is>
          <t>C</t>
        </is>
      </c>
      <c r="O75" s="19" t="inlineStr">
        <is>
          <t>Y</t>
        </is>
      </c>
      <c r="P75" s="19" t="inlineStr">
        <is>
          <t>Day not yet pulled – Garver's Mohawk flood table has it.</t>
        </is>
      </c>
      <c r="Q75" s="19" t="inlineStr">
        <is>
          <t>1865-03-09</t>
        </is>
      </c>
      <c r="R75" s="19">
        <f>VALUE(LEFT(Q75,4))</f>
        <v/>
      </c>
      <c r="S75" s="19">
        <f>VALUE(MID(Q75,6,2))</f>
        <v/>
      </c>
      <c r="T75" s="19">
        <f>VALUE(RIGHT(Q75,2))</f>
        <v/>
      </c>
      <c r="U75" s="19" t="inlineStr">
        <is>
          <t>month</t>
        </is>
      </c>
      <c r="V75" s="19" t="inlineStr">
        <is>
          <t>Anchored to mid-point of a multi-week window</t>
        </is>
      </c>
    </row>
    <row r="76" ht="34.5" customHeight="1" s="13">
      <c r="A76" s="19" t="n">
        <v>75</v>
      </c>
      <c r="B76" s="19" t="inlineStr">
        <is>
          <t>1869-10-03</t>
        </is>
      </c>
      <c r="C76" s="19" t="inlineStr">
        <is>
          <t>1869-10-04</t>
        </is>
      </c>
      <c r="D76" s="19">
        <f>VALUE(LEFT(B76,4))</f>
        <v/>
      </c>
      <c r="E76" s="19">
        <f>INT((D76-1)/100)+1</f>
        <v/>
      </c>
      <c r="F76" s="19" t="inlineStr">
        <is>
          <t>Rain flood</t>
        </is>
      </c>
      <c r="G76" s="19" t="inlineStr">
        <is>
          <t>Great Freshet of October 1869</t>
        </is>
      </c>
      <c r="H76" s="19" t="inlineStr">
        <is>
          <t>Hudson Valley / New England</t>
        </is>
      </c>
      <c r="I76" s="19" t="inlineStr">
        <is>
          <t>Extreme rain (chronicle)</t>
        </is>
      </c>
      <c r="J76" s="19" t="inlineStr">
        <is>
          <t>none</t>
        </is>
      </c>
      <c r="K76" s="19" t="inlineStr">
        <is>
          <t>Mills and bridges lost.</t>
        </is>
      </c>
      <c r="L76" s="19" t="inlineStr">
        <is>
          <t>Ludlum, Early American Winters I &amp; II / Early American Hurricanes (AMS) – chronicle sources</t>
        </is>
      </c>
      <c r="M76" s="19" t="n"/>
      <c r="N76" s="19" t="inlineStr">
        <is>
          <t>C</t>
        </is>
      </c>
      <c r="O76" s="19" t="inlineStr">
        <is>
          <t>N</t>
        </is>
      </c>
      <c r="P76" s="19" t="n"/>
      <c r="Q76" s="19" t="inlineStr">
        <is>
          <t>1869-10-03</t>
        </is>
      </c>
      <c r="R76" s="19">
        <f>VALUE(LEFT(Q76,4))</f>
        <v/>
      </c>
      <c r="S76" s="19">
        <f>VALUE(MID(Q76,6,2))</f>
        <v/>
      </c>
      <c r="T76" s="19">
        <f>VALUE(RIGHT(Q76,2))</f>
        <v/>
      </c>
      <c r="U76" s="19" t="inlineStr">
        <is>
          <t>days</t>
        </is>
      </c>
      <c r="V76" s="19" t="inlineStr">
        <is>
          <t>Multi-day event; anchored to first day</t>
        </is>
      </c>
    </row>
    <row r="77" ht="68.25" customHeight="1" s="13">
      <c r="A77" s="19" t="n">
        <v>76</v>
      </c>
      <c r="B77" s="19" t="inlineStr">
        <is>
          <t>1869-10-04</t>
        </is>
      </c>
      <c r="C77" s="19" t="inlineStr">
        <is>
          <t>1869-10-04</t>
        </is>
      </c>
      <c r="D77" s="19">
        <f>VALUE(LEFT(B77,4))</f>
        <v/>
      </c>
      <c r="E77" s="19">
        <f>INT((D77-1)/100)+1</f>
        <v/>
      </c>
      <c r="F77" s="19" t="inlineStr">
        <is>
          <t>Rain flood (tropical remnant)</t>
        </is>
      </c>
      <c r="G77" s="19" t="inlineStr">
        <is>
          <t>Saxby's Gale &amp; Great Northeastern Rainstorm of October 1869</t>
        </is>
      </c>
      <c r="H77" s="19" t="inlineStr">
        <is>
          <t>Middle Atlantic to Canada; central &amp; upper Hudson Valley</t>
        </is>
      </c>
      <c r="I77" s="19" t="inlineStr">
        <is>
          <t>Greatest single-storm rainfall over the MA/New England area in recorded history to that date: 5 in+ at stations across VA, MD, PA, NJ, NY, CT, MA, VT, NH, ME; heaviest band ran NW from E. Connecticut through Springfield MA into the central &amp; upper Hudson Valley of NY</t>
        </is>
      </c>
      <c r="J77" s="19" t="inlineStr">
        <is>
          <t>Ludlum pp. 125–126 (Saxby's Gale chapter)</t>
        </is>
      </c>
      <c r="K77" s="19" t="inlineStr">
        <is>
          <t>A landmark rain-and-flood event that directly reached the central and upper Hudson Valley. The offshore hurricane (Saxby's Gale) combined with a stalled continental rainstorm.</t>
        </is>
      </c>
      <c r="L77" s="19" t="inlineStr">
        <is>
          <t>Ludlum, Early American Hurricanes 1492–1870 (AMS, 1963), pp. 109–110, 125–126 and Chronological Index pp. 191–195 (verified, page images/text)</t>
        </is>
      </c>
      <c r="M77" s="19" t="inlineStr">
        <is>
          <t>https://hdl.handle.net/2027/mdp.39015002912718</t>
        </is>
      </c>
      <c r="N77" s="19" t="inlineStr">
        <is>
          <t>B</t>
        </is>
      </c>
      <c r="O77" s="19" t="inlineStr">
        <is>
          <t>Y</t>
        </is>
      </c>
      <c r="P77" s="19" t="inlineStr">
        <is>
          <t>Central &amp; upper Hudson Valley named explicitly — the strongest regional event in the whole hurricane volume after 1821.</t>
        </is>
      </c>
      <c r="Q77" s="19" t="inlineStr">
        <is>
          <t>1869-10-04</t>
        </is>
      </c>
      <c r="R77" s="19">
        <f>VALUE(LEFT(Q77,4))</f>
        <v/>
      </c>
      <c r="S77" s="19">
        <f>VALUE(MID(Q77,6,2))</f>
        <v/>
      </c>
      <c r="T77" s="19">
        <f>VALUE(RIGHT(Q77,2))</f>
        <v/>
      </c>
      <c r="U77" s="19" t="inlineStr">
        <is>
          <t>day</t>
        </is>
      </c>
      <c r="V77" s="19" t="inlineStr">
        <is>
          <t>Single-day event</t>
        </is>
      </c>
    </row>
    <row r="78" ht="23.25" customHeight="1" s="13">
      <c r="A78" s="19" t="n">
        <v>77</v>
      </c>
      <c r="B78" s="19" t="inlineStr">
        <is>
          <t>1870-02-15</t>
        </is>
      </c>
      <c r="C78" s="19" t="inlineStr">
        <is>
          <t>1870-03-31</t>
        </is>
      </c>
      <c r="D78" s="19">
        <f>VALUE(LEFT(B78,4))</f>
        <v/>
      </c>
      <c r="E78" s="19">
        <f>INT((D78-1)/100)+1</f>
        <v/>
      </c>
      <c r="F78" s="19" t="inlineStr">
        <is>
          <t>Ice jam</t>
        </is>
      </c>
      <c r="G78" s="19" t="inlineStr">
        <is>
          <t>Mohawk breakup flood with ice, 1870</t>
        </is>
      </c>
      <c r="H78" s="19" t="inlineStr">
        <is>
          <t>Lower Mohawk / Schenectady</t>
        </is>
      </c>
      <c r="I78" s="19" t="inlineStr">
        <is>
          <t>Listed among major ice-involved breakup floods</t>
        </is>
      </c>
      <c r="J78" s="19" t="inlineStr">
        <is>
          <t>Garver chronology</t>
        </is>
      </c>
      <c r="K78" s="19" t="inlineStr">
        <is>
          <t>One of ~11 major ice breakup floods on the lower Mohawk 1832–1996; ~80% of severe Mohawk floods involve ice.</t>
        </is>
      </c>
      <c r="L78" s="19" t="inlineStr">
        <is>
          <t>Garver (Union College) Mohawk ice-jam chronology</t>
        </is>
      </c>
      <c r="M78" s="19" t="inlineStr">
        <is>
          <t>https://minerva.union.edu/garverj/mohawk/1996_ice_jam.html</t>
        </is>
      </c>
      <c r="N78" s="19" t="inlineStr">
        <is>
          <t>C</t>
        </is>
      </c>
      <c r="O78" s="19" t="inlineStr">
        <is>
          <t>Y</t>
        </is>
      </c>
      <c r="P78" s="19" t="inlineStr">
        <is>
          <t>Day not yet pulled – Garver's Mohawk flood table has it.</t>
        </is>
      </c>
      <c r="Q78" s="19" t="inlineStr">
        <is>
          <t>1870-03-09</t>
        </is>
      </c>
      <c r="R78" s="19">
        <f>VALUE(LEFT(Q78,4))</f>
        <v/>
      </c>
      <c r="S78" s="19">
        <f>VALUE(MID(Q78,6,2))</f>
        <v/>
      </c>
      <c r="T78" s="19">
        <f>VALUE(RIGHT(Q78,2))</f>
        <v/>
      </c>
      <c r="U78" s="19" t="inlineStr">
        <is>
          <t>month</t>
        </is>
      </c>
      <c r="V78" s="19" t="inlineStr">
        <is>
          <t>Anchored to mid-point of a multi-week window</t>
        </is>
      </c>
    </row>
    <row r="79" ht="34.5" customHeight="1" s="13">
      <c r="A79" s="19" t="n">
        <v>78</v>
      </c>
      <c r="B79" s="19" t="inlineStr">
        <is>
          <t>1878-10-23</t>
        </is>
      </c>
      <c r="C79" s="19" t="inlineStr">
        <is>
          <t>1878-10-23</t>
        </is>
      </c>
      <c r="D79" s="19">
        <f>VALUE(LEFT(B79,4))</f>
        <v/>
      </c>
      <c r="E79" s="19">
        <f>INT((D79-1)/100)+1</f>
        <v/>
      </c>
      <c r="F79" s="19" t="inlineStr">
        <is>
          <t>Tropical cyclone</t>
        </is>
      </c>
      <c r="G79" s="19" t="inlineStr">
        <is>
          <t>Gale of 1878</t>
        </is>
      </c>
      <c r="H79" s="19" t="inlineStr">
        <is>
          <t>Eastern NY</t>
        </is>
      </c>
      <c r="I79" s="19" t="inlineStr">
        <is>
          <t>Hurricane tracked inland W of Hudson</t>
        </is>
      </c>
      <c r="J79" s="19" t="inlineStr">
        <is>
          <t>none</t>
        </is>
      </c>
      <c r="K79" s="19" t="inlineStr">
        <is>
          <t>Wind damage at Albany.</t>
        </is>
      </c>
      <c r="L79" s="19" t="inlineStr">
        <is>
          <t>Ludlum, Early American Winters I &amp; II / Early American Hurricanes (AMS) – chronicle sources</t>
        </is>
      </c>
      <c r="M79" s="19" t="n"/>
      <c r="N79" s="19" t="inlineStr">
        <is>
          <t>C</t>
        </is>
      </c>
      <c r="O79" s="19" t="inlineStr">
        <is>
          <t>N</t>
        </is>
      </c>
      <c r="P79" s="19" t="n"/>
      <c r="Q79" s="19" t="inlineStr">
        <is>
          <t>1878-10-23</t>
        </is>
      </c>
      <c r="R79" s="19">
        <f>VALUE(LEFT(Q79,4))</f>
        <v/>
      </c>
      <c r="S79" s="19">
        <f>VALUE(MID(Q79,6,2))</f>
        <v/>
      </c>
      <c r="T79" s="19">
        <f>VALUE(RIGHT(Q79,2))</f>
        <v/>
      </c>
      <c r="U79" s="19" t="inlineStr">
        <is>
          <t>day</t>
        </is>
      </c>
      <c r="V79" s="19" t="inlineStr">
        <is>
          <t>Single-day event</t>
        </is>
      </c>
    </row>
    <row r="80" ht="23.25" customHeight="1" s="13">
      <c r="A80" s="19" t="n">
        <v>79</v>
      </c>
      <c r="B80" s="19" t="inlineStr">
        <is>
          <t>1886-02-14</t>
        </is>
      </c>
      <c r="C80" s="19" t="inlineStr">
        <is>
          <t>1886-02-15</t>
        </is>
      </c>
      <c r="D80" s="19">
        <f>VALUE(LEFT(B80,4))</f>
        <v/>
      </c>
      <c r="E80" s="19">
        <f>INT((D80-1)/100)+1</f>
        <v/>
      </c>
      <c r="F80" s="19" t="inlineStr">
        <is>
          <t>Ice jam</t>
        </is>
      </c>
      <c r="G80" s="19" t="inlineStr">
        <is>
          <t>February 1886 Mohawk ice jam</t>
        </is>
      </c>
      <c r="H80" s="19" t="inlineStr">
        <is>
          <t>Schenectady</t>
        </is>
      </c>
      <c r="I80" s="19" t="inlineStr">
        <is>
          <t>Ice piled 30–40 ft high after recession; 1-ft trees snapped</t>
        </is>
      </c>
      <c r="J80" s="19" t="inlineStr">
        <is>
          <t>Evening Star, Feb 15 1886</t>
        </is>
      </c>
      <c r="K80" s="19" t="inlineStr">
        <is>
          <t>Among the most violent Mohawk ice events on record.</t>
        </is>
      </c>
      <c r="L80" s="19" t="inlineStr">
        <is>
          <t>Garver (Union College) Mohawk ice-jam chronology</t>
        </is>
      </c>
      <c r="M80" s="19" t="inlineStr">
        <is>
          <t>https://minerva.union.edu/garverj/mohawk/1996_ice_jam.html</t>
        </is>
      </c>
      <c r="N80" s="19" t="inlineStr">
        <is>
          <t>B</t>
        </is>
      </c>
      <c r="O80" s="19" t="inlineStr">
        <is>
          <t>Y</t>
        </is>
      </c>
      <c r="P80" s="19" t="n"/>
      <c r="Q80" s="19" t="inlineStr">
        <is>
          <t>1886-02-14</t>
        </is>
      </c>
      <c r="R80" s="19">
        <f>VALUE(LEFT(Q80,4))</f>
        <v/>
      </c>
      <c r="S80" s="19">
        <f>VALUE(MID(Q80,6,2))</f>
        <v/>
      </c>
      <c r="T80" s="19">
        <f>VALUE(RIGHT(Q80,2))</f>
        <v/>
      </c>
      <c r="U80" s="19" t="inlineStr">
        <is>
          <t>days</t>
        </is>
      </c>
      <c r="V80" s="19" t="inlineStr">
        <is>
          <t>Multi-day event; anchored to first day</t>
        </is>
      </c>
    </row>
    <row r="81" ht="23.25" customHeight="1" s="13">
      <c r="A81" s="19" t="n">
        <v>80</v>
      </c>
      <c r="B81" s="19" t="inlineStr">
        <is>
          <t>1887-12-18</t>
        </is>
      </c>
      <c r="C81" s="19" t="inlineStr">
        <is>
          <t>1887-12-22</t>
        </is>
      </c>
      <c r="D81" s="19">
        <f>VALUE(LEFT(B81,4))</f>
        <v/>
      </c>
      <c r="E81" s="19">
        <f>INT((D81-1)/100)+1</f>
        <v/>
      </c>
      <c r="F81" s="19" t="inlineStr">
        <is>
          <t>Snowstorm</t>
        </is>
      </c>
      <c r="G81" s="19" t="inlineStr">
        <is>
          <t>December 1887 snowstorm</t>
        </is>
      </c>
      <c r="H81" s="19" t="inlineStr">
        <is>
          <t>Capital Region</t>
        </is>
      </c>
      <c r="I81" s="19" t="inlineStr">
        <is>
          <t>3rd greatest December storm; winter 1887–88 = 110.0 in (2nd snowiest)</t>
        </is>
      </c>
      <c r="J81" s="19" t="inlineStr">
        <is>
          <t>Albany</t>
        </is>
      </c>
      <c r="K81" s="19" t="inlineStr">
        <is>
          <t>One of the greatest storms on record for Albany.</t>
        </is>
      </c>
      <c r="L81" s="19" t="inlineStr">
        <is>
          <t>NWS Albany – Past Weather Events (weather.gov/aly/pastevents)</t>
        </is>
      </c>
      <c r="M81" s="19" t="inlineStr">
        <is>
          <t>https://www.weather.gov/aly/pastevents</t>
        </is>
      </c>
      <c r="N81" s="19" t="inlineStr">
        <is>
          <t>A</t>
        </is>
      </c>
      <c r="O81" s="19" t="inlineStr">
        <is>
          <t>Y</t>
        </is>
      </c>
      <c r="P81" s="19" t="n"/>
      <c r="Q81" s="19" t="inlineStr">
        <is>
          <t>1887-12-18</t>
        </is>
      </c>
      <c r="R81" s="19">
        <f>VALUE(LEFT(Q81,4))</f>
        <v/>
      </c>
      <c r="S81" s="19">
        <f>VALUE(MID(Q81,6,2))</f>
        <v/>
      </c>
      <c r="T81" s="19">
        <f>VALUE(RIGHT(Q81,2))</f>
        <v/>
      </c>
      <c r="U81" s="19" t="inlineStr">
        <is>
          <t>days</t>
        </is>
      </c>
      <c r="V81" s="19" t="inlineStr">
        <is>
          <t>Multi-day event; anchored to first day</t>
        </is>
      </c>
    </row>
    <row r="82" ht="23.25" customHeight="1" s="13">
      <c r="A82" s="19" t="n">
        <v>81</v>
      </c>
      <c r="B82" s="19" t="inlineStr">
        <is>
          <t>1888-03-11</t>
        </is>
      </c>
      <c r="C82" s="19" t="inlineStr">
        <is>
          <t>1888-03-14</t>
        </is>
      </c>
      <c r="D82" s="19">
        <f>VALUE(LEFT(B82,4))</f>
        <v/>
      </c>
      <c r="E82" s="19">
        <f>INT((D82-1)/100)+1</f>
        <v/>
      </c>
      <c r="F82" s="19" t="inlineStr">
        <is>
          <t>Blizzard</t>
        </is>
      </c>
      <c r="G82" s="19" t="inlineStr">
        <is>
          <t>The Blizzard of 1888</t>
        </is>
      </c>
      <c r="H82" s="19" t="inlineStr">
        <is>
          <t>Entire region</t>
        </is>
      </c>
      <c r="I82" s="19" t="inlineStr">
        <is>
          <t>46.7 in / 60 hr at Albany (storm record); March 1888 2nd snowiest month</t>
        </is>
      </c>
      <c r="J82" s="19" t="inlineStr">
        <is>
          <t>Albany</t>
        </is>
      </c>
      <c r="K82" s="19" t="inlineStr">
        <is>
          <t>City shut down; no coal deliveries; drifts far higher; ~400 dead regionally.</t>
        </is>
      </c>
      <c r="L82" s="19" t="inlineStr">
        <is>
          <t>NWS Albany – Past Weather Events (weather.gov/aly/pastevents) ; The Argus (Albany), Mar 14 1888 ("Deep in Drifts - Several States Buried Beneath Snowy Mantles") [uploaded PDF scan]</t>
        </is>
      </c>
      <c r="M82" s="19" t="inlineStr">
        <is>
          <t>https://www.weather.gov/aly/pastevents</t>
        </is>
      </c>
      <c r="N82" s="19" t="inlineStr">
        <is>
          <t>A</t>
        </is>
      </c>
      <c r="O82" s="19" t="inlineStr">
        <is>
          <t>Y</t>
        </is>
      </c>
      <c r="P82" s="19" t="inlineStr">
        <is>
          <t>Benchmark storm. The late-March snowmelt freshet followed: Amsterdam/Port Jackson flood damage (~$10k), a Central-Hudson RR freight blockade, and a clay landslide in the RR cut near Stillwater ('the clay continues to slide in slowly'). [The Argus, 25 Mar 1888] 2026-09-22 (v828, atlas session): ENRICHED from research-chat intake row 343 (same event; merged, not added). The Great Blizzard of March 11-14 1888 ('Blizzard of '88' / Great White Hurricane) buried the Northeast. New York City was paralyzed - ~2 ft of snow with drifts 5-15 ft, elevated roads buried, and seven pilot boats driven ashore (probable total loss); trains ran 3-10 hours late or were abandoned and telegraph service collapsed (NYC loss estimated ~$10 million). Across New York the storm cut off Central NY (Utica's cuts blocked, a Snow-Shoe club's perilous return, Rome and Syracuse hit). North Adams MA got ~34 in and Boston was cut off; the Bergen-hill cut (NJ) filled with 30 ft of snow; ~25 lives were lost with vessels sunk at the Delaware breakwater; and Pittsburg PA saw its first day in 20 || Key measurement per that source: ~2 ft snow, drifts 5-15 ft; NYC loss estimated ~$10 million || Intake notes: 2026-09-22: added per Laurie (PDF scan). ENRICH, DO NOT DUPLICATE: the register almost certainly already carries the iconic Blizzard of '88 - merge this scan's detail into the existing row rather than adding a new one. This scan's detail is NYC/regional/Central-NY; Albany- and Catskills-specific fig</t>
        </is>
      </c>
      <c r="Q82" s="19" t="inlineStr">
        <is>
          <t>1888-03-11</t>
        </is>
      </c>
      <c r="R82" s="19">
        <f>VALUE(LEFT(Q82,4))</f>
        <v/>
      </c>
      <c r="S82" s="19">
        <f>VALUE(MID(Q82,6,2))</f>
        <v/>
      </c>
      <c r="T82" s="19">
        <f>VALUE(RIGHT(Q82,2))</f>
        <v/>
      </c>
      <c r="U82" s="19" t="inlineStr">
        <is>
          <t>days</t>
        </is>
      </c>
      <c r="V82" s="19" t="inlineStr">
        <is>
          <t>Multi-day event; anchored to first day</t>
        </is>
      </c>
    </row>
    <row r="83" ht="23.25" customHeight="1" s="13">
      <c r="A83" s="19" t="n">
        <v>82</v>
      </c>
      <c r="B83" s="19" t="inlineStr">
        <is>
          <t>1891-02-15</t>
        </is>
      </c>
      <c r="C83" s="19" t="inlineStr">
        <is>
          <t>1891-03-31</t>
        </is>
      </c>
      <c r="D83" s="19">
        <f>VALUE(LEFT(B83,4))</f>
        <v/>
      </c>
      <c r="E83" s="19">
        <f>INT((D83-1)/100)+1</f>
        <v/>
      </c>
      <c r="F83" s="19" t="inlineStr">
        <is>
          <t>Ice jam</t>
        </is>
      </c>
      <c r="G83" s="19" t="inlineStr">
        <is>
          <t>Mohawk breakup flood with ice, 1891</t>
        </is>
      </c>
      <c r="H83" s="19" t="inlineStr">
        <is>
          <t>Lower Mohawk / Schenectady</t>
        </is>
      </c>
      <c r="I83" s="19" t="inlineStr">
        <is>
          <t>Listed among major ice-involved breakup floods</t>
        </is>
      </c>
      <c r="J83" s="19" t="inlineStr">
        <is>
          <t>Garver chronology</t>
        </is>
      </c>
      <c r="K83" s="19" t="inlineStr">
        <is>
          <t>One of ~11 major ice breakup floods on the lower Mohawk 1832–1996; ~80% of severe Mohawk floods involve ice.</t>
        </is>
      </c>
      <c r="L83" s="19" t="inlineStr">
        <is>
          <t>Garver (Union College) Mohawk ice-jam chronology</t>
        </is>
      </c>
      <c r="M83" s="19" t="inlineStr">
        <is>
          <t>https://minerva.union.edu/garverj/mohawk/1996_ice_jam.html</t>
        </is>
      </c>
      <c r="N83" s="19" t="inlineStr">
        <is>
          <t>C</t>
        </is>
      </c>
      <c r="O83" s="19" t="inlineStr">
        <is>
          <t>Y</t>
        </is>
      </c>
      <c r="P83" s="19" t="inlineStr">
        <is>
          <t>Day not yet pulled – Garver's Mohawk flood table has it.</t>
        </is>
      </c>
      <c r="Q83" s="19" t="inlineStr">
        <is>
          <t>1891-03-09</t>
        </is>
      </c>
      <c r="R83" s="19">
        <f>VALUE(LEFT(Q83,4))</f>
        <v/>
      </c>
      <c r="S83" s="19">
        <f>VALUE(MID(Q83,6,2))</f>
        <v/>
      </c>
      <c r="T83" s="19">
        <f>VALUE(RIGHT(Q83,2))</f>
        <v/>
      </c>
      <c r="U83" s="19" t="inlineStr">
        <is>
          <t>month</t>
        </is>
      </c>
      <c r="V83" s="19" t="inlineStr">
        <is>
          <t>Anchored to mid-point of a multi-week window</t>
        </is>
      </c>
    </row>
    <row r="84" ht="23.25" customHeight="1" s="13">
      <c r="A84" s="19" t="n">
        <v>83</v>
      </c>
      <c r="B84" s="19" t="inlineStr">
        <is>
          <t>1893-02-15</t>
        </is>
      </c>
      <c r="C84" s="19" t="inlineStr">
        <is>
          <t>1893-03-31</t>
        </is>
      </c>
      <c r="D84" s="19">
        <f>VALUE(LEFT(B84,4))</f>
        <v/>
      </c>
      <c r="E84" s="19">
        <f>INT((D84-1)/100)+1</f>
        <v/>
      </c>
      <c r="F84" s="19" t="inlineStr">
        <is>
          <t>Ice jam</t>
        </is>
      </c>
      <c r="G84" s="19" t="inlineStr">
        <is>
          <t>Mohawk breakup flood with ice, 1893</t>
        </is>
      </c>
      <c r="H84" s="19" t="inlineStr">
        <is>
          <t>Lower Mohawk / Schenectady</t>
        </is>
      </c>
      <c r="I84" s="19" t="inlineStr">
        <is>
          <t>Listed among major ice-involved breakup floods</t>
        </is>
      </c>
      <c r="J84" s="19" t="inlineStr">
        <is>
          <t>Garver chronology</t>
        </is>
      </c>
      <c r="K84" s="19" t="inlineStr">
        <is>
          <t>One of ~11 major ice breakup floods on the lower Mohawk 1832–1996; ~80% of severe Mohawk floods involve ice.</t>
        </is>
      </c>
      <c r="L84" s="19" t="inlineStr">
        <is>
          <t>Garver (Union College) Mohawk ice-jam chronology</t>
        </is>
      </c>
      <c r="M84" s="19" t="inlineStr">
        <is>
          <t>https://minerva.union.edu/garverj/mohawk/1996_ice_jam.html</t>
        </is>
      </c>
      <c r="N84" s="19" t="inlineStr">
        <is>
          <t>C</t>
        </is>
      </c>
      <c r="O84" s="19" t="inlineStr">
        <is>
          <t>Y</t>
        </is>
      </c>
      <c r="P84" s="19" t="inlineStr">
        <is>
          <t>Day not yet pulled – Garver's Mohawk flood table has it.</t>
        </is>
      </c>
      <c r="Q84" s="19" t="inlineStr">
        <is>
          <t>1893-03-09</t>
        </is>
      </c>
      <c r="R84" s="19">
        <f>VALUE(LEFT(Q84,4))</f>
        <v/>
      </c>
      <c r="S84" s="19">
        <f>VALUE(MID(Q84,6,2))</f>
        <v/>
      </c>
      <c r="T84" s="19">
        <f>VALUE(RIGHT(Q84,2))</f>
        <v/>
      </c>
      <c r="U84" s="19" t="inlineStr">
        <is>
          <t>month</t>
        </is>
      </c>
      <c r="V84" s="19" t="inlineStr">
        <is>
          <t>Anchored to mid-point of a multi-week window</t>
        </is>
      </c>
    </row>
    <row r="85" ht="34.5" customHeight="1" s="13">
      <c r="A85" s="19" t="n">
        <v>84</v>
      </c>
      <c r="B85" s="19" t="inlineStr">
        <is>
          <t>1893-08-24</t>
        </is>
      </c>
      <c r="C85" s="19" t="inlineStr">
        <is>
          <t>1893-08-24</t>
        </is>
      </c>
      <c r="D85" s="19">
        <f>VALUE(LEFT(B85,4))</f>
        <v/>
      </c>
      <c r="E85" s="19">
        <f>INT((D85-1)/100)+1</f>
        <v/>
      </c>
      <c r="F85" s="19" t="inlineStr">
        <is>
          <t>Tropical cyclone</t>
        </is>
      </c>
      <c r="G85" s="19" t="inlineStr">
        <is>
          <t>Midnight Storm (1893 NYC hurricane)</t>
        </is>
      </c>
      <c r="H85" s="19" t="inlineStr">
        <is>
          <t>NYC / lower Hudson</t>
        </is>
      </c>
      <c r="I85" s="19" t="inlineStr">
        <is>
          <t>Direct hit on NYC</t>
        </is>
      </c>
      <c r="J85" s="19" t="inlineStr">
        <is>
          <t>none</t>
        </is>
      </c>
      <c r="K85" s="19" t="inlineStr">
        <is>
          <t>Wind and rain up the valley.</t>
        </is>
      </c>
      <c r="L85" s="19" t="inlineStr">
        <is>
          <t>Ludlum, Early American Winters I &amp; II / Early American Hurricanes (AMS) – chronicle sources</t>
        </is>
      </c>
      <c r="M85" s="19" t="n"/>
      <c r="N85" s="19" t="inlineStr">
        <is>
          <t>C</t>
        </is>
      </c>
      <c r="O85" s="19" t="inlineStr">
        <is>
          <t>N</t>
        </is>
      </c>
      <c r="P85" s="19" t="n"/>
      <c r="Q85" s="19" t="inlineStr">
        <is>
          <t>1893-08-24</t>
        </is>
      </c>
      <c r="R85" s="19">
        <f>VALUE(LEFT(Q85,4))</f>
        <v/>
      </c>
      <c r="S85" s="19">
        <f>VALUE(MID(Q85,6,2))</f>
        <v/>
      </c>
      <c r="T85" s="19">
        <f>VALUE(RIGHT(Q85,2))</f>
        <v/>
      </c>
      <c r="U85" s="19" t="inlineStr">
        <is>
          <t>day</t>
        </is>
      </c>
      <c r="V85" s="19" t="inlineStr">
        <is>
          <t>Single-day event</t>
        </is>
      </c>
    </row>
    <row r="86" ht="23.25" customHeight="1" s="13">
      <c r="A86" s="19" t="n">
        <v>85</v>
      </c>
      <c r="B86" s="19" t="inlineStr">
        <is>
          <t>1896-08-04</t>
        </is>
      </c>
      <c r="C86" s="19" t="inlineStr">
        <is>
          <t>1896-08-13</t>
        </is>
      </c>
      <c r="D86" s="19">
        <f>VALUE(LEFT(B86,4))</f>
        <v/>
      </c>
      <c r="E86" s="19">
        <f>INT((D86-1)/100)+1</f>
        <v/>
      </c>
      <c r="F86" s="19" t="inlineStr">
        <is>
          <t>Heat wave</t>
        </is>
      </c>
      <c r="G86" s="19" t="inlineStr">
        <is>
          <t>August 1896 heat wave</t>
        </is>
      </c>
      <c r="H86" s="19" t="inlineStr">
        <is>
          <t>Northeast</t>
        </is>
      </c>
      <c r="I86" s="19" t="inlineStr">
        <is>
          <t>10 days &gt;90°F with high humidity</t>
        </is>
      </c>
      <c r="J86" s="19" t="inlineStr">
        <is>
          <t>NYC</t>
        </is>
      </c>
      <c r="K86" s="19" t="inlineStr">
        <is>
          <t>~1,500 deaths in NYC; deaths in the valley.</t>
        </is>
      </c>
      <c r="L86" s="19" t="inlineStr">
        <is>
          <t>Wikipedia event article (secondary; verify against NCEI/NHC)</t>
        </is>
      </c>
      <c r="M86" s="19" t="n"/>
      <c r="N86" s="19" t="inlineStr">
        <is>
          <t>B</t>
        </is>
      </c>
      <c r="O86" s="19" t="inlineStr">
        <is>
          <t>N</t>
        </is>
      </c>
      <c r="P86" s="19" t="inlineStr">
        <is>
          <t>The '10 days &gt;90°F' and ~1,500 deaths are NYC/regional — Albany's own record 90°F+ streak is 10 days (Aug–Sep 1953), NOT 1896, so the Albany-specific 1896 figure still needs the NWS-Albany record or the Albany/Altamont newspaper. A landmark tenement-heat disaster (NYC police commissioner Theodore Roosevelt distributed ice to the poor).</t>
        </is>
      </c>
      <c r="Q86" s="19" t="inlineStr">
        <is>
          <t>1896-08-10</t>
        </is>
      </c>
      <c r="R86" s="19">
        <f>VALUE(LEFT(Q86,4))</f>
        <v/>
      </c>
      <c r="S86" s="19">
        <f>VALUE(MID(Q86,6,2))</f>
        <v/>
      </c>
      <c r="T86" s="19">
        <f>VALUE(RIGHT(Q86,2))</f>
        <v/>
      </c>
      <c r="U86" s="19" t="inlineStr">
        <is>
          <t>week</t>
        </is>
      </c>
      <c r="V86" s="19" t="inlineStr">
        <is>
          <t>Mid-point of the 10-day wave</t>
        </is>
      </c>
    </row>
    <row r="87" ht="23.25" customHeight="1" s="13">
      <c r="A87" s="19" t="n">
        <v>86</v>
      </c>
      <c r="B87" s="19" t="inlineStr">
        <is>
          <t>1899-02-08</t>
        </is>
      </c>
      <c r="C87" s="19" t="inlineStr">
        <is>
          <t>1899-02-14</t>
        </is>
      </c>
      <c r="D87" s="19">
        <f>VALUE(LEFT(B87,4))</f>
        <v/>
      </c>
      <c r="E87" s="19">
        <f>INT((D87-1)/100)+1</f>
        <v/>
      </c>
      <c r="F87" s="19" t="inlineStr">
        <is>
          <t>Arctic outbreak / blizzard</t>
        </is>
      </c>
      <c r="G87" s="19" t="inlineStr">
        <is>
          <t>Great Arctic Outbreak of 1899</t>
        </is>
      </c>
      <c r="H87" s="19" t="inlineStr">
        <is>
          <t>Eastern US</t>
        </is>
      </c>
      <c r="I87" s="19" t="inlineStr">
        <is>
          <t>Coldest air mass in Eastern record</t>
        </is>
      </c>
      <c r="J87" s="19" t="inlineStr">
        <is>
          <t>regional</t>
        </is>
      </c>
      <c r="K87" s="19" t="inlineStr">
        <is>
          <t>Record cold then blizzard; Hudson frozen.</t>
        </is>
      </c>
      <c r="L87" s="19" t="inlineStr">
        <is>
          <t>Wikipedia event article (secondary; verify against NCEI/NHC) ; The Argus (Albany), Feb 19 1899, editorial page (scan supplied by Laurie)</t>
        </is>
      </c>
      <c r="M87" s="19" t="n"/>
      <c r="N87" s="19" t="inlineStr">
        <is>
          <t>B</t>
        </is>
      </c>
      <c r="O87" s="19" t="inlineStr">
        <is>
          <t>N</t>
        </is>
      </c>
      <c r="P87" s="19" t="inlineStr">
        <is>
          <t>Check Albany daily min in NCEI GHCN for exact value. 2026-09-23 (v850, atlas session): ENRICHED (Argus Feb 19 1899): 'the blizzard of last week… unparalleled in many winters' — every railroad centering on Albany was blockaded by the storm, and for the third time since 1882 the Albany Railway (street railway) provided the only transit into and out of the city, keeping every line open and even extending service to Cohoes, Troy, Rensselaer and Kenwood 'between the neighboring storm-bound cities'. Same page: NY State Board of Health 1898 report (121,000 deaths, rate 18.10) and Georgia/Nebraska frost-blighted peach crops — context only.</t>
        </is>
      </c>
      <c r="Q87" s="19" t="inlineStr">
        <is>
          <t>1899-02-10</t>
        </is>
      </c>
      <c r="R87" s="19">
        <f>VALUE(LEFT(Q87,4))</f>
        <v/>
      </c>
      <c r="S87" s="19">
        <f>VALUE(MID(Q87,6,2))</f>
        <v/>
      </c>
      <c r="T87" s="19">
        <f>VALUE(RIGHT(Q87,2))</f>
        <v/>
      </c>
      <c r="U87" s="19" t="inlineStr">
        <is>
          <t>days</t>
        </is>
      </c>
      <c r="V87" s="19" t="inlineStr">
        <is>
          <t>Coldest mornings Feb 9–11</t>
        </is>
      </c>
    </row>
    <row r="88" ht="45.75" customHeight="1" s="13">
      <c r="A88" s="19" t="n">
        <v>87</v>
      </c>
      <c r="B88" s="19" t="inlineStr">
        <is>
          <t>1900-01-01</t>
        </is>
      </c>
      <c r="C88" s="19" t="inlineStr">
        <is>
          <t>2023-03-10</t>
        </is>
      </c>
      <c r="D88" s="19">
        <f>VALUE(LEFT(B88,4))</f>
        <v/>
      </c>
      <c r="E88" s="19">
        <f>INT((D88-1)/100)+1</f>
        <v/>
      </c>
      <c r="F88" s="19" t="inlineStr">
        <is>
          <t>Sinkhole / karst (event)</t>
        </is>
      </c>
      <c r="G88" s="19" t="inlineStr">
        <is>
          <t>McFails Cave historic entrance collapse</t>
        </is>
      </c>
      <c r="H88" s="19" t="inlineStr">
        <is>
          <t>Cobleskill plateau (Schoharie Co.)</t>
        </is>
      </c>
      <c r="I88" s="19" t="inlineStr">
        <is>
          <t>The historic 110-ft vertical entrance sink became unstable and collapsed; access is now via two other rope drops</t>
        </is>
      </c>
      <c r="J88" s="19" t="inlineStr">
        <is>
          <t>Nardacci / NCC</t>
        </is>
      </c>
      <c r="K88" s="19" t="inlineStr">
        <is>
          <t>A documented karst-entrance collapse, but UNDATED in the source (years ago). Span is a placeholder, not the event date.</t>
        </is>
      </c>
      <c r="L88" s="19" t="inlineStr">
        <is>
          <t>Northeastern Cave Conservancy / NSS; Altamont Enterprise Back Roads Geology (Nardacci), 10 Mar 2023</t>
        </is>
      </c>
      <c r="M88" s="19" t="inlineStr">
        <is>
          <t>https://necaveconservancy.org/preserves/</t>
        </is>
      </c>
      <c r="N88" s="19" t="inlineStr">
        <is>
          <t>C</t>
        </is>
      </c>
      <c r="O88" s="19" t="inlineStr">
        <is>
          <t>N</t>
        </is>
      </c>
      <c r="P88" s="19" t="inlineStr">
        <is>
          <t>DATE UNKNOWN — do not plot as a point. Collapse is real and documented; needs an NCC/NSS date. Anchored artificially.</t>
        </is>
      </c>
      <c r="Q88" s="19" t="inlineStr">
        <is>
          <t>2023-03-10</t>
        </is>
      </c>
      <c r="R88" s="19">
        <f>VALUE(LEFT(Q88,4))</f>
        <v/>
      </c>
      <c r="S88" s="19">
        <f>VALUE(MID(Q88,6,2))</f>
        <v/>
      </c>
      <c r="T88" s="19">
        <f>VALUE(RIGHT(Q88,2))</f>
        <v/>
      </c>
      <c r="U88" s="19" t="inlineStr">
        <is>
          <t>year</t>
        </is>
      </c>
      <c r="V88" s="19" t="inlineStr">
        <is>
          <t>DATE UNKNOWN; collapse happened years ago; do NOT plot as a point</t>
        </is>
      </c>
    </row>
    <row r="89" ht="23.25" customHeight="1" s="13">
      <c r="A89" s="19" t="n">
        <v>88</v>
      </c>
      <c r="B89" s="19" t="inlineStr">
        <is>
          <t>1903-01-15</t>
        </is>
      </c>
      <c r="C89" s="19" t="inlineStr">
        <is>
          <t>1903-03-20</t>
        </is>
      </c>
      <c r="D89" s="19">
        <f>VALUE(LEFT(B89,4))</f>
        <v/>
      </c>
      <c r="E89" s="19">
        <f>INT((D89-1)/100)+1</f>
        <v/>
      </c>
      <c r="F89" s="19" t="inlineStr">
        <is>
          <t>Ice jam</t>
        </is>
      </c>
      <c r="G89" s="19" t="inlineStr">
        <is>
          <t>Hudson ice gorge below Albany, winter 1902–03</t>
        </is>
      </c>
      <c r="H89" s="19" t="inlineStr">
        <is>
          <t>Albany to Mull's Bar / Castleton</t>
        </is>
      </c>
      <c r="I89" s="19" t="inlineStr">
        <is>
          <t>Ice jammed to river bottom, 9–10 ft thick; no tide at Albany until March</t>
        </is>
      </c>
      <c r="J89" s="19" t="inlineStr">
        <is>
          <t>HRMM oral history</t>
        </is>
      </c>
      <c r="K89" s="19" t="inlineStr">
        <is>
          <t>Water rose to unprecedented height in south Albany; Cornell tugs hired in March 1903 to break the gorge.</t>
        </is>
      </c>
      <c r="L89" s="19" t="inlineStr">
        <is>
          <t>Hudson River Maritime Museum – Breaking Ice Gorges</t>
        </is>
      </c>
      <c r="M89" s="19" t="inlineStr">
        <is>
          <t>https://www.hrmm.org/history-blog/breaking-ice-gorges</t>
        </is>
      </c>
      <c r="N89" s="19" t="inlineStr">
        <is>
          <t>B</t>
        </is>
      </c>
      <c r="O89" s="19" t="inlineStr">
        <is>
          <t>Y</t>
        </is>
      </c>
      <c r="P89" s="19" t="n"/>
      <c r="Q89" s="19" t="inlineStr">
        <is>
          <t>1903-02-16</t>
        </is>
      </c>
      <c r="R89" s="19">
        <f>VALUE(LEFT(Q89,4))</f>
        <v/>
      </c>
      <c r="S89" s="19">
        <f>VALUE(MID(Q89,6,2))</f>
        <v/>
      </c>
      <c r="T89" s="19">
        <f>VALUE(RIGHT(Q89,2))</f>
        <v/>
      </c>
      <c r="U89" s="19" t="inlineStr">
        <is>
          <t>season</t>
        </is>
      </c>
      <c r="V89" s="19" t="inlineStr">
        <is>
          <t>Anchored to mid-point of a season-scale window</t>
        </is>
      </c>
    </row>
    <row r="90" ht="23.25" customHeight="1" s="13">
      <c r="A90" s="19" t="n">
        <v>89</v>
      </c>
      <c r="B90" s="19" t="inlineStr">
        <is>
          <t>1903-10-08</t>
        </is>
      </c>
      <c r="C90" s="19" t="inlineStr">
        <is>
          <t>1903-10-10</t>
        </is>
      </c>
      <c r="D90" s="19">
        <f>VALUE(LEFT(B90,4))</f>
        <v/>
      </c>
      <c r="E90" s="19">
        <f>INT((D90-1)/100)+1</f>
        <v/>
      </c>
      <c r="F90" s="19" t="inlineStr">
        <is>
          <t>Rain flood</t>
        </is>
      </c>
      <c r="G90" s="19" t="inlineStr">
        <is>
          <t>October 1903 flood</t>
        </is>
      </c>
      <c r="H90" s="19" t="inlineStr">
        <is>
          <t>Catskills / lower Hudson / NJ</t>
        </is>
      </c>
      <c r="I90" s="19" t="inlineStr">
        <is>
          <t>10–15 in rain</t>
        </is>
      </c>
      <c r="J90" s="19" t="inlineStr">
        <is>
          <t>regional</t>
        </is>
      </c>
      <c r="K90" s="19" t="inlineStr">
        <is>
          <t>Record stages on Catskill &amp; lower Hudson tributaries (Passaic record still stands). Central-Hudson RR landslides at Hallenbeck's switch, New Hamburgh &amp; Ossining buried the tracks; the Catskill Creek draw-bridge collapsed, sweeping 5 people into the torrent (1 badly injured, 2 unaccounted); a dam at Kenwood below Albany broke; the Troy D&amp;H bridge shifted 12 in under freshet drift; Stottville mills flooded; Hudson brickyards lost kilns of green brick.</t>
        </is>
      </c>
      <c r="L90" s="19" t="inlineStr">
        <is>
          <t>Wikipedia; Columbia Republican (Hudson) 15 Oct 1903 (NYS Historic Newspapers)</t>
        </is>
      </c>
      <c r="M90" s="19" t="n"/>
      <c r="N90" s="19" t="inlineStr">
        <is>
          <t>B</t>
        </is>
      </c>
      <c r="O90" s="19" t="inlineStr">
        <is>
          <t>Y</t>
        </is>
      </c>
      <c r="P90" s="19" t="inlineStr">
        <is>
          <t>The Catskill Creek bridge collapse (5 swept away) and the Kenwood dam break are the standout local losses; the RR slides (Hallenbeck's/New Hamburgh/Ossining) are Lake Albany clay failures. Dated ~Oct 8-9 1903 ('storm of last week').</t>
        </is>
      </c>
      <c r="Q90" s="19" t="inlineStr">
        <is>
          <t>1903-10-08</t>
        </is>
      </c>
      <c r="R90" s="19">
        <f>VALUE(LEFT(Q90,4))</f>
        <v/>
      </c>
      <c r="S90" s="19">
        <f>VALUE(MID(Q90,6,2))</f>
        <v/>
      </c>
      <c r="T90" s="19">
        <f>VALUE(RIGHT(Q90,2))</f>
        <v/>
      </c>
      <c r="U90" s="19" t="inlineStr">
        <is>
          <t>days</t>
        </is>
      </c>
      <c r="V90" s="19" t="inlineStr">
        <is>
          <t>Multi-day event; anchored to first day</t>
        </is>
      </c>
    </row>
    <row r="91" ht="23.25" customHeight="1" s="13">
      <c r="A91" s="19" t="n">
        <v>90</v>
      </c>
      <c r="B91" s="19" t="inlineStr">
        <is>
          <t>1911-07-03</t>
        </is>
      </c>
      <c r="C91" s="19" t="inlineStr">
        <is>
          <t>1911-07-13</t>
        </is>
      </c>
      <c r="D91" s="19">
        <f>VALUE(LEFT(B91,4))</f>
        <v/>
      </c>
      <c r="E91" s="19">
        <f>INT((D91-1)/100)+1</f>
        <v/>
      </c>
      <c r="F91" s="19" t="inlineStr">
        <is>
          <t>Heat wave</t>
        </is>
      </c>
      <c r="G91" s="19" t="inlineStr">
        <is>
          <t>July 1911 heat wave</t>
        </is>
      </c>
      <c r="H91" s="19" t="inlineStr">
        <is>
          <t>Northeast</t>
        </is>
      </c>
      <c r="I91" s="19" t="inlineStr">
        <is>
          <t>Albany 104°F (Jul 4 1911) — the all-time NY state &amp; Albany record, still standing; 102°F Jul 3; 5 consecutive 90°F+ days (Jul 2–6)</t>
        </is>
      </c>
      <c r="J91" s="19" t="inlineStr">
        <is>
          <t>Albany</t>
        </is>
      </c>
      <c r="K91" s="19" t="inlineStr">
        <is>
          <t>~4–6 local heat deaths (4 in Troy, 2 in Albany on the 4th); hundreds dead across the NE. Boston also 104°F, Vernon VT 105°F (state record), Portland ME 103°F — all Jul 4.</t>
        </is>
      </c>
      <c r="L91" s="19" t="inlineStr">
        <is>
          <t>NWS Albany ALB_Extremes (VERIFIED); contemporary reports</t>
        </is>
      </c>
      <c r="M91" s="19" t="n"/>
      <c r="N91" s="19" t="inlineStr">
        <is>
          <t>A</t>
        </is>
      </c>
      <c r="O91" s="19" t="inlineStr">
        <is>
          <t>Y</t>
        </is>
      </c>
      <c r="P91" s="19" t="inlineStr">
        <is>
          <t>VERIFIED against NWS ALY ALB_Extremes: 104°F Jul 4 1911 is Albany's all-time high (records since 1874) and NY's hottest recorded moment. The 11-day wave ran Jul 4–15.</t>
        </is>
      </c>
      <c r="Q91" s="19" t="inlineStr">
        <is>
          <t>1911-07-03</t>
        </is>
      </c>
      <c r="R91" s="19">
        <f>VALUE(LEFT(Q91,4))</f>
        <v/>
      </c>
      <c r="S91" s="19">
        <f>VALUE(MID(Q91,6,2))</f>
        <v/>
      </c>
      <c r="T91" s="19">
        <f>VALUE(RIGHT(Q91,2))</f>
        <v/>
      </c>
      <c r="U91" s="19" t="inlineStr">
        <is>
          <t>days</t>
        </is>
      </c>
      <c r="V91" s="19" t="inlineStr">
        <is>
          <t>Multi-day event; anchored to first day</t>
        </is>
      </c>
    </row>
    <row r="92" ht="23.25" customHeight="1" s="13">
      <c r="A92" s="19" t="n">
        <v>91</v>
      </c>
      <c r="B92" s="19" t="inlineStr">
        <is>
          <t>1912-02-04</t>
        </is>
      </c>
      <c r="C92" s="19" t="inlineStr">
        <is>
          <t>1912-02-04</t>
        </is>
      </c>
      <c r="D92" s="19">
        <f>VALUE(LEFT(B92,4))</f>
        <v/>
      </c>
      <c r="E92" s="19">
        <f>INT((D92-1)/100)+1</f>
        <v/>
      </c>
      <c r="F92" s="19" t="inlineStr">
        <is>
          <t>Ice jam</t>
        </is>
      </c>
      <c r="G92" s="19" t="inlineStr">
        <is>
          <t>Niagara ice bridge collapse (OUT OF REGION)</t>
        </is>
      </c>
      <c r="H92" s="19" t="inlineStr">
        <is>
          <t>Niagara Falls</t>
        </is>
      </c>
      <c r="I92" s="19" t="inlineStr">
        <is>
          <t>3 killed</t>
        </is>
      </c>
      <c r="J92" s="19" t="inlineStr">
        <is>
          <t>none</t>
        </is>
      </c>
      <c r="K92" s="19" t="inlineStr">
        <is>
          <t>Ice bridge below the falls broke up with visitors on it; ended public access to the ice bridge.</t>
        </is>
      </c>
      <c r="L92" s="19" t="inlineStr">
        <is>
          <t>Wikipedia event article (secondary; verify against NCEI/NHC)</t>
        </is>
      </c>
      <c r="M92" s="19" t="n"/>
      <c r="N92" s="19" t="inlineStr">
        <is>
          <t>B</t>
        </is>
      </c>
      <c r="O92" s="19" t="inlineStr">
        <is>
          <t>N</t>
        </is>
      </c>
      <c r="P92" s="19" t="inlineStr">
        <is>
          <t>Out of region.</t>
        </is>
      </c>
      <c r="Q92" s="19" t="inlineStr">
        <is>
          <t>1912-02-04</t>
        </is>
      </c>
      <c r="R92" s="19">
        <f>VALUE(LEFT(Q92,4))</f>
        <v/>
      </c>
      <c r="S92" s="19">
        <f>VALUE(MID(Q92,6,2))</f>
        <v/>
      </c>
      <c r="T92" s="19">
        <f>VALUE(RIGHT(Q92,2))</f>
        <v/>
      </c>
      <c r="U92" s="19" t="inlineStr">
        <is>
          <t>day</t>
        </is>
      </c>
      <c r="V92" s="19" t="inlineStr">
        <is>
          <t>Single-day event</t>
        </is>
      </c>
    </row>
    <row r="93" ht="34.5" customHeight="1" s="13">
      <c r="A93" s="19" t="n">
        <v>92</v>
      </c>
      <c r="B93" s="19" t="inlineStr">
        <is>
          <t>1913-03-25</t>
        </is>
      </c>
      <c r="C93" s="19" t="inlineStr">
        <is>
          <t>1913-03-28</t>
        </is>
      </c>
      <c r="D93" s="19">
        <f>VALUE(LEFT(B93,4))</f>
        <v/>
      </c>
      <c r="E93" s="19">
        <f>INT((D93-1)/100)+1</f>
        <v/>
      </c>
      <c r="F93" s="19" t="inlineStr">
        <is>
          <t>River flood</t>
        </is>
      </c>
      <c r="G93" s="19" t="inlineStr">
        <is>
          <t>March 1913 flood</t>
        </is>
      </c>
      <c r="H93" s="19" t="inlineStr">
        <is>
          <t>Hudson &amp; Mohawk</t>
        </is>
      </c>
      <c r="I93" s="19" t="inlineStr">
        <is>
          <t>Albany 21.45 ft; Troy 29.7 ft; Schenectady 228.9 ft</t>
        </is>
      </c>
      <c r="J93" s="19" t="inlineStr">
        <is>
          <t>Hudson at Albany/Troy; Mohawk at Schenectady</t>
        </is>
      </c>
      <c r="K93" s="19" t="inlineStr">
        <is>
          <t>Highest water on record Hadley/Glens Falls south through Troy.</t>
        </is>
      </c>
      <c r="L93" s="19" t="inlineStr">
        <is>
          <t>NWS Albany – Past Weather Events (weather.gov/aly/pastevents)</t>
        </is>
      </c>
      <c r="M93" s="19" t="inlineStr">
        <is>
          <t>https://www.weather.gov/aly/pastevents</t>
        </is>
      </c>
      <c r="N93" s="19" t="inlineStr">
        <is>
          <t>A</t>
        </is>
      </c>
      <c r="O93" s="19" t="inlineStr">
        <is>
          <t>Y</t>
        </is>
      </c>
      <c r="P93" s="19" t="n"/>
      <c r="Q93" s="19" t="inlineStr">
        <is>
          <t>1913-03-25</t>
        </is>
      </c>
      <c r="R93" s="19">
        <f>VALUE(LEFT(Q93,4))</f>
        <v/>
      </c>
      <c r="S93" s="19">
        <f>VALUE(MID(Q93,6,2))</f>
        <v/>
      </c>
      <c r="T93" s="19">
        <f>VALUE(RIGHT(Q93,2))</f>
        <v/>
      </c>
      <c r="U93" s="19" t="inlineStr">
        <is>
          <t>days</t>
        </is>
      </c>
      <c r="V93" s="19" t="inlineStr">
        <is>
          <t>Multi-day event; anchored to first day</t>
        </is>
      </c>
    </row>
    <row r="94" ht="23.25" customHeight="1" s="13">
      <c r="A94" s="19" t="n">
        <v>93</v>
      </c>
      <c r="B94" s="19" t="inlineStr">
        <is>
          <t>1914-02-14</t>
        </is>
      </c>
      <c r="C94" s="19" t="inlineStr">
        <is>
          <t>1914-02-14</t>
        </is>
      </c>
      <c r="D94" s="19">
        <f>VALUE(LEFT(B94,4))</f>
        <v/>
      </c>
      <c r="E94" s="19">
        <f>INT((D94-1)/100)+1</f>
        <v/>
      </c>
      <c r="F94" s="19" t="inlineStr">
        <is>
          <t>Blizzard</t>
        </is>
      </c>
      <c r="G94" s="19" t="inlineStr">
        <is>
          <t>February 1914 blizzard</t>
        </is>
      </c>
      <c r="H94" s="19" t="inlineStr">
        <is>
          <t>Eastern/central NY</t>
        </is>
      </c>
      <c r="I94" s="19" t="inlineStr">
        <is>
          <t>23.5 in Albany; 20–30+ in elsewhere</t>
        </is>
      </c>
      <c r="J94" s="19" t="inlineStr">
        <is>
          <t>Albany</t>
        </is>
      </c>
      <c r="K94" s="19" t="inlineStr">
        <is>
          <t>Greatest February snowstorm for Albany; very cold and windy.</t>
        </is>
      </c>
      <c r="L94" s="19" t="inlineStr">
        <is>
          <t>NWS Albany – Past Weather Events (weather.gov/aly/pastevents) ; The Argus (Albany), Feb 15 1914 ("High Wind and Colder To-Day - Twenty-Six Inches of Snow") [uploaded PDF scan]</t>
        </is>
      </c>
      <c r="M94" s="19" t="inlineStr">
        <is>
          <t>https://www.weather.gov/aly/pastevents</t>
        </is>
      </c>
      <c r="N94" s="19" t="inlineStr">
        <is>
          <t>A</t>
        </is>
      </c>
      <c r="O94" s="19" t="inlineStr">
        <is>
          <t>Y</t>
        </is>
      </c>
      <c r="P94" s="19" t="inlineStr">
        <is>
          <t xml:space="preserve">2026-09-22 (v828, atlas session): ENRICHED from research-chat intake row 347 (same event; merged, not added). A blizzard buried the Capital Region on Feb 13-14 1914, the worst since 1888. Snow began Fri night Feb 13 and fell heavily through Feb 14; the wind blew ~30 mph (later 18-24 mph), piling drifts 8-10 ft. Not a trolley car moved in Troy (collar-shop workers were stranded and a runaway car killed a team of horses); Schenectady was snowbound (GE workers stranded); trains ran 3-10 hours late (railroaders called it the worst since 1888) and Albany's mail was tied up for 3-4 days. At Cohoes ('the Spindle City') the storm was the worst since 1888 with ~30 in, closing the mills; in Albany's South End drifts ran 6-7 ft and an aged woman was briefly trapped in a drift; every hotel was crowded and the r || Key measurement per that source: ~26 in (headline) / ~35 in (body) snow at Albany - figures disagree within the scan; wind ~30 mph; drifts 8-10 ft || Intake notes: 2026-09-22: added per Laurie (PDF scan). In-core blizzard. DISCREPANCY FLAG: the scan gives conflicting Albany snow totals - the headline says 'Twenty-Six Inches' but the body says 'about 35 inches fell in Albany yesterday and Friday night'. Recorded both; confirm the correct total (and add A-grade </t>
        </is>
      </c>
      <c r="Q94" s="19" t="inlineStr">
        <is>
          <t>1914-02-14</t>
        </is>
      </c>
      <c r="R94" s="19">
        <f>VALUE(LEFT(Q94,4))</f>
        <v/>
      </c>
      <c r="S94" s="19">
        <f>VALUE(MID(Q94,6,2))</f>
        <v/>
      </c>
      <c r="T94" s="19">
        <f>VALUE(RIGHT(Q94,2))</f>
        <v/>
      </c>
      <c r="U94" s="19" t="inlineStr">
        <is>
          <t>day</t>
        </is>
      </c>
      <c r="V94" s="19" t="inlineStr">
        <is>
          <t>Single-day event</t>
        </is>
      </c>
    </row>
    <row r="95" ht="23.25" customHeight="1" s="13">
      <c r="A95" s="19" t="n">
        <v>94</v>
      </c>
      <c r="B95" s="19" t="inlineStr">
        <is>
          <t>1914-03-28</t>
        </is>
      </c>
      <c r="C95" s="19" t="inlineStr">
        <is>
          <t>1914-03-28</t>
        </is>
      </c>
      <c r="D95" s="19">
        <f>VALUE(LEFT(B95,4))</f>
        <v/>
      </c>
      <c r="E95" s="19">
        <f>INT((D95-1)/100)+1</f>
        <v/>
      </c>
      <c r="F95" s="19" t="inlineStr">
        <is>
          <t>River flood (ice jam)</t>
        </is>
      </c>
      <c r="G95" s="19" t="inlineStr">
        <is>
          <t>March 1914 Schenectady flood of record</t>
        </is>
      </c>
      <c r="H95" s="19" t="inlineStr">
        <is>
          <t>Mohawk at Schenectady</t>
        </is>
      </c>
      <c r="I95" s="19" t="inlineStr">
        <is>
          <t>232.9 ft</t>
        </is>
      </c>
      <c r="J95" s="19" t="inlineStr">
        <is>
          <t>Mohawk R. at Schenectady</t>
        </is>
      </c>
      <c r="K95" s="19" t="inlineStr">
        <is>
          <t>Ice jam; water reached Broadway, flooded ALCO plant.</t>
        </is>
      </c>
      <c r="L95" s="19" t="inlineStr">
        <is>
          <t>NWS Albany – Past Weather Events (weather.gov/aly/pastevents)</t>
        </is>
      </c>
      <c r="M95" s="19" t="inlineStr">
        <is>
          <t>https://www.weather.gov/aly/pastevents</t>
        </is>
      </c>
      <c r="N95" s="19" t="inlineStr">
        <is>
          <t>A</t>
        </is>
      </c>
      <c r="O95" s="19" t="inlineStr">
        <is>
          <t>Y</t>
        </is>
      </c>
      <c r="P95" s="19" t="n"/>
      <c r="Q95" s="19" t="inlineStr">
        <is>
          <t>1914-03-28</t>
        </is>
      </c>
      <c r="R95" s="19">
        <f>VALUE(LEFT(Q95,4))</f>
        <v/>
      </c>
      <c r="S95" s="19">
        <f>VALUE(MID(Q95,6,2))</f>
        <v/>
      </c>
      <c r="T95" s="19">
        <f>VALUE(RIGHT(Q95,2))</f>
        <v/>
      </c>
      <c r="U95" s="19" t="inlineStr">
        <is>
          <t>day</t>
        </is>
      </c>
      <c r="V95" s="19" t="inlineStr">
        <is>
          <t>Single-day event</t>
        </is>
      </c>
    </row>
    <row r="96" ht="23.25" customHeight="1" s="13">
      <c r="A96" s="19" t="n">
        <v>95</v>
      </c>
      <c r="B96" s="19" t="inlineStr">
        <is>
          <t>1915-12-13</t>
        </is>
      </c>
      <c r="C96" s="19" t="inlineStr">
        <is>
          <t>1915-12-15</t>
        </is>
      </c>
      <c r="D96" s="19">
        <f>VALUE(LEFT(B96,4))</f>
        <v/>
      </c>
      <c r="E96" s="19">
        <f>INT((D96-1)/100)+1</f>
        <v/>
      </c>
      <c r="F96" s="19" t="inlineStr">
        <is>
          <t>Snowstorm</t>
        </is>
      </c>
      <c r="G96" s="19" t="inlineStr">
        <is>
          <t>December 1915 snowstorm</t>
        </is>
      </c>
      <c r="H96" s="19" t="inlineStr">
        <is>
          <t>Eastern/SE NY</t>
        </is>
      </c>
      <c r="I96" s="19" t="inlineStr">
        <is>
          <t>24.7 in Albany; 25–35 in regionally</t>
        </is>
      </c>
      <c r="J96" s="19" t="inlineStr">
        <is>
          <t>Albany</t>
        </is>
      </c>
      <c r="K96" s="19" t="inlineStr">
        <is>
          <t>4th greatest storm for Albany; winter 1915–16 = 94.7 in.</t>
        </is>
      </c>
      <c r="L96" s="19" t="inlineStr">
        <is>
          <t>NWS Albany – Past Weather Events (weather.gov/aly/pastevents)</t>
        </is>
      </c>
      <c r="M96" s="19" t="inlineStr">
        <is>
          <t>https://www.weather.gov/aly/pastevents</t>
        </is>
      </c>
      <c r="N96" s="19" t="inlineStr">
        <is>
          <t>A</t>
        </is>
      </c>
      <c r="O96" s="19" t="inlineStr">
        <is>
          <t>Y</t>
        </is>
      </c>
      <c r="P96" s="19" t="n"/>
      <c r="Q96" s="19" t="inlineStr">
        <is>
          <t>1915-12-13</t>
        </is>
      </c>
      <c r="R96" s="19">
        <f>VALUE(LEFT(Q96,4))</f>
        <v/>
      </c>
      <c r="S96" s="19">
        <f>VALUE(MID(Q96,6,2))</f>
        <v/>
      </c>
      <c r="T96" s="19">
        <f>VALUE(RIGHT(Q96,2))</f>
        <v/>
      </c>
      <c r="U96" s="19" t="inlineStr">
        <is>
          <t>days</t>
        </is>
      </c>
      <c r="V96" s="19" t="inlineStr">
        <is>
          <t>Multi-day event; anchored to first day</t>
        </is>
      </c>
    </row>
    <row r="97" ht="23.25" customHeight="1" s="13">
      <c r="A97" s="19" t="n">
        <v>96</v>
      </c>
      <c r="B97" s="19" t="inlineStr">
        <is>
          <t>1917-12-01</t>
        </is>
      </c>
      <c r="C97" s="19" t="inlineStr">
        <is>
          <t>1918-01-31</t>
        </is>
      </c>
      <c r="D97" s="19">
        <f>VALUE(LEFT(B97,4))</f>
        <v/>
      </c>
      <c r="E97" s="19">
        <f>INT((D97-1)/100)+1</f>
        <v/>
      </c>
      <c r="F97" s="19" t="inlineStr">
        <is>
          <t>Cold winter</t>
        </is>
      </c>
      <c r="G97" s="19" t="inlineStr">
        <is>
          <t>Winter of 1917–18</t>
        </is>
      </c>
      <c r="H97" s="19" t="inlineStr">
        <is>
          <t>Northeast</t>
        </is>
      </c>
      <c r="I97" s="19" t="inlineStr">
        <is>
          <t>Prolonged extreme cold</t>
        </is>
      </c>
      <c r="J97" s="19" t="inlineStr">
        <is>
          <t>regional</t>
        </is>
      </c>
      <c r="K97" s="19" t="inlineStr">
        <is>
          <t>Hudson locked; wartime coal famine.</t>
        </is>
      </c>
      <c r="L97" s="19" t="inlineStr">
        <is>
          <t>Wikipedia event article (secondary; verify against NCEI/NHC)</t>
        </is>
      </c>
      <c r="M97" s="19" t="n"/>
      <c r="N97" s="19" t="inlineStr">
        <is>
          <t>B</t>
        </is>
      </c>
      <c r="O97" s="19" t="inlineStr">
        <is>
          <t>N</t>
        </is>
      </c>
      <c r="P97" s="19" t="n"/>
      <c r="Q97" s="19" t="inlineStr">
        <is>
          <t>1917-12-30</t>
        </is>
      </c>
      <c r="R97" s="19">
        <f>VALUE(LEFT(Q97,4))</f>
        <v/>
      </c>
      <c r="S97" s="19">
        <f>VALUE(MID(Q97,6,2))</f>
        <v/>
      </c>
      <c r="T97" s="19">
        <f>VALUE(RIGHT(Q97,2))</f>
        <v/>
      </c>
      <c r="U97" s="19" t="inlineStr">
        <is>
          <t>days</t>
        </is>
      </c>
      <c r="V97" s="19" t="inlineStr">
        <is>
          <t>Dec 29–31, 1917 cold wave (records at NYC/Albany)</t>
        </is>
      </c>
    </row>
    <row r="98" ht="23.25" customHeight="1" s="13">
      <c r="A98" s="19" t="n">
        <v>97</v>
      </c>
      <c r="B98" s="19" t="inlineStr">
        <is>
          <t>1920-02-04</t>
        </is>
      </c>
      <c r="C98" s="19" t="inlineStr">
        <is>
          <t>1920-02-07</t>
        </is>
      </c>
      <c r="D98" s="19">
        <f>VALUE(LEFT(B98,4))</f>
        <v/>
      </c>
      <c r="E98" s="19">
        <f>INT((D98-1)/100)+1</f>
        <v/>
      </c>
      <c r="F98" s="19" t="inlineStr">
        <is>
          <t>Nor'easter</t>
        </is>
      </c>
      <c r="G98" s="19" t="inlineStr">
        <is>
          <t>February 1920 storm</t>
        </is>
      </c>
      <c r="H98" s="19" t="inlineStr">
        <is>
          <t>NYC / Hudson Valley</t>
        </is>
      </c>
      <c r="I98" s="19" t="inlineStr">
        <is>
          <t>~17 in NYC; heavier north</t>
        </is>
      </c>
      <c r="J98" s="19" t="inlineStr">
        <is>
          <t>NYC</t>
        </is>
      </c>
      <c r="K98" s="19" t="inlineStr">
        <is>
          <t>Paralyzed rail and river traffic.</t>
        </is>
      </c>
      <c r="L98" s="19" t="inlineStr">
        <is>
          <t>Wikipedia event article (secondary; verify against NCEI/NHC)</t>
        </is>
      </c>
      <c r="M98" s="19" t="n"/>
      <c r="N98" s="19" t="inlineStr">
        <is>
          <t>B</t>
        </is>
      </c>
      <c r="O98" s="19" t="inlineStr">
        <is>
          <t>N</t>
        </is>
      </c>
      <c r="P98" s="19" t="n"/>
      <c r="Q98" s="19" t="inlineStr">
        <is>
          <t>1920-02-04</t>
        </is>
      </c>
      <c r="R98" s="19">
        <f>VALUE(LEFT(Q98,4))</f>
        <v/>
      </c>
      <c r="S98" s="19">
        <f>VALUE(MID(Q98,6,2))</f>
        <v/>
      </c>
      <c r="T98" s="19">
        <f>VALUE(RIGHT(Q98,2))</f>
        <v/>
      </c>
      <c r="U98" s="19" t="inlineStr">
        <is>
          <t>days</t>
        </is>
      </c>
      <c r="V98" s="19" t="inlineStr">
        <is>
          <t>Multi-day event; anchored to first day</t>
        </is>
      </c>
    </row>
    <row r="99" ht="23.25" customHeight="1" s="13">
      <c r="A99" s="19" t="n">
        <v>98</v>
      </c>
      <c r="B99" s="19" t="inlineStr">
        <is>
          <t>1927-11-03</t>
        </is>
      </c>
      <c r="C99" s="19" t="inlineStr">
        <is>
          <t>1927-11-05</t>
        </is>
      </c>
      <c r="D99" s="19">
        <f>VALUE(LEFT(B99,4))</f>
        <v/>
      </c>
      <c r="E99" s="19">
        <f>INT((D99-1)/100)+1</f>
        <v/>
      </c>
      <c r="F99" s="19" t="inlineStr">
        <is>
          <t>Rain flood (tropical remnant)</t>
        </is>
      </c>
      <c r="G99" s="19" t="inlineStr">
        <is>
          <t>November 1927 flood</t>
        </is>
      </c>
      <c r="H99" s="19" t="inlineStr">
        <is>
          <t>VT / eastern NY</t>
        </is>
      </c>
      <c r="I99" s="19" t="inlineStr">
        <is>
          <t>Albany 15.96 ft; Batten Kill 17.7 ft (record); Hoosic 18.8 ft</t>
        </is>
      </c>
      <c r="J99" s="19" t="inlineStr">
        <is>
          <t>Hudson at Albany</t>
        </is>
      </c>
      <c r="K99" s="19" t="inlineStr">
        <is>
          <t>Remains of late-season hurricane; devastation in VT; significant Hudson flood.</t>
        </is>
      </c>
      <c r="L99" s="19" t="inlineStr">
        <is>
          <t>NWS Albany – Past Weather Events (weather.gov/aly/pastevents)</t>
        </is>
      </c>
      <c r="M99" s="19" t="inlineStr">
        <is>
          <t>https://www.weather.gov/aly/pastevents</t>
        </is>
      </c>
      <c r="N99" s="19" t="inlineStr">
        <is>
          <t>A</t>
        </is>
      </c>
      <c r="O99" s="19" t="inlineStr">
        <is>
          <t>Y</t>
        </is>
      </c>
      <c r="P99" s="19" t="n"/>
      <c r="Q99" s="19" t="inlineStr">
        <is>
          <t>1927-11-03</t>
        </is>
      </c>
      <c r="R99" s="19">
        <f>VALUE(LEFT(Q99,4))</f>
        <v/>
      </c>
      <c r="S99" s="19">
        <f>VALUE(MID(Q99,6,2))</f>
        <v/>
      </c>
      <c r="T99" s="19">
        <f>VALUE(RIGHT(Q99,2))</f>
        <v/>
      </c>
      <c r="U99" s="19" t="inlineStr">
        <is>
          <t>days</t>
        </is>
      </c>
      <c r="V99" s="19" t="inlineStr">
        <is>
          <t>Multi-day event; anchored to first day</t>
        </is>
      </c>
    </row>
    <row r="100" ht="34.5" customHeight="1" s="13">
      <c r="A100" s="19" t="n">
        <v>99</v>
      </c>
      <c r="B100" s="19" t="inlineStr">
        <is>
          <t>1928-01-31</t>
        </is>
      </c>
      <c r="C100" s="19" t="inlineStr">
        <is>
          <t>1928-01-31</t>
        </is>
      </c>
      <c r="D100" s="19">
        <f>VALUE(LEFT(B100,4))</f>
        <v/>
      </c>
      <c r="E100" s="19">
        <f>INT((D100-1)/100)+1</f>
        <v/>
      </c>
      <c r="F100" s="19" t="inlineStr">
        <is>
          <t>Ice jam</t>
        </is>
      </c>
      <c r="G100" s="19" t="inlineStr">
        <is>
          <t>January 1928 Hudson–Mohawk confluence jam</t>
        </is>
      </c>
      <c r="H100" s="19" t="inlineStr">
        <is>
          <t>Tribes Hill / Cohoes area</t>
        </is>
      </c>
      <c r="I100" s="19" t="inlineStr">
        <is>
          <t>CRREL logged jam at the Hudson–Mohawk confluence</t>
        </is>
      </c>
      <c r="J100" s="19" t="inlineStr">
        <is>
          <t>CRREL</t>
        </is>
      </c>
      <c r="K100" s="19" t="inlineStr">
        <is>
          <t>One of the earliest 20th-c. records in the regional log.</t>
        </is>
      </c>
      <c r="L100" s="19" t="inlineStr">
        <is>
          <t>USACE CRREL Ice Jam Database, New York (Report_Region.csv, retrieved 2026-09-20)</t>
        </is>
      </c>
      <c r="M100" s="19" t="inlineStr">
        <is>
          <t>https://icejam.sec.usace.army.mil/</t>
        </is>
      </c>
      <c r="N100" s="19" t="inlineStr">
        <is>
          <t>C</t>
        </is>
      </c>
      <c r="O100" s="19" t="inlineStr">
        <is>
          <t>Y</t>
        </is>
      </c>
      <c r="P100" s="19" t="inlineStr">
        <is>
          <t>CRREL record; no impact detail.</t>
        </is>
      </c>
      <c r="Q100" s="19" t="inlineStr">
        <is>
          <t>1928-01-31</t>
        </is>
      </c>
      <c r="R100" s="19">
        <f>VALUE(LEFT(Q100,4))</f>
        <v/>
      </c>
      <c r="S100" s="19">
        <f>VALUE(MID(Q100,6,2))</f>
        <v/>
      </c>
      <c r="T100" s="19">
        <f>VALUE(RIGHT(Q100,2))</f>
        <v/>
      </c>
      <c r="U100" s="19" t="inlineStr">
        <is>
          <t>day</t>
        </is>
      </c>
      <c r="V100" s="19" t="inlineStr">
        <is>
          <t>Single-day event</t>
        </is>
      </c>
    </row>
    <row r="101" ht="23.25" customHeight="1" s="13">
      <c r="A101" s="19" t="n">
        <v>100</v>
      </c>
      <c r="B101" s="19" t="inlineStr">
        <is>
          <t>1929-12-01</t>
        </is>
      </c>
      <c r="C101" s="19" t="inlineStr">
        <is>
          <t>1929-12-31</t>
        </is>
      </c>
      <c r="D101" s="19">
        <f>VALUE(LEFT(B101,4))</f>
        <v/>
      </c>
      <c r="E101" s="19">
        <f>INT((D101-1)/100)+1</f>
        <v/>
      </c>
      <c r="F101" s="19" t="inlineStr">
        <is>
          <t>Ice storm</t>
        </is>
      </c>
      <c r="G101" s="19" t="inlineStr">
        <is>
          <t>Ice storm of 1929</t>
        </is>
      </c>
      <c r="H101" s="19" t="inlineStr">
        <is>
          <t>Capital District</t>
        </is>
      </c>
      <c r="I101" s="19" t="inlineStr">
        <is>
          <t>Largest outages until 1945 (per NWS)</t>
        </is>
      </c>
      <c r="J101" s="19" t="inlineStr">
        <is>
          <t>regional</t>
        </is>
      </c>
      <c r="K101" s="19" t="inlineStr">
        <is>
          <t>Referenced by NWS as prior benchmark for outages.</t>
        </is>
      </c>
      <c r="L101" s="19" t="inlineStr">
        <is>
          <t>NWS Albany – Past Weather Events (weather.gov/aly/pastevents)</t>
        </is>
      </c>
      <c r="M101" s="19" t="inlineStr">
        <is>
          <t>https://www.weather.gov/aly/pastevents</t>
        </is>
      </c>
      <c r="N101" s="19" t="inlineStr">
        <is>
          <t>C</t>
        </is>
      </c>
      <c r="O101" s="19" t="inlineStr">
        <is>
          <t>Y</t>
        </is>
      </c>
      <c r="P101" s="19" t="inlineStr">
        <is>
          <t>Date within 1929 not given on NWS page; verify.</t>
        </is>
      </c>
      <c r="Q101" s="19" t="inlineStr">
        <is>
          <t>1929-07-01</t>
        </is>
      </c>
      <c r="R101" s="19">
        <f>VALUE(LEFT(Q101,4))</f>
        <v/>
      </c>
      <c r="S101" s="19">
        <f>VALUE(MID(Q101,6,2))</f>
        <v/>
      </c>
      <c r="T101" s="19">
        <f>VALUE(RIGHT(Q101,2))</f>
        <v/>
      </c>
      <c r="U101" s="19" t="inlineStr">
        <is>
          <t>year</t>
        </is>
      </c>
      <c r="V101" s="19" t="inlineStr">
        <is>
          <t>Month unknown – NWS mention only</t>
        </is>
      </c>
    </row>
    <row r="102" ht="23.25" customHeight="1" s="13">
      <c r="A102" s="19" t="n">
        <v>101</v>
      </c>
      <c r="B102" s="19" t="inlineStr">
        <is>
          <t>1930-06-01</t>
        </is>
      </c>
      <c r="C102" s="19" t="inlineStr">
        <is>
          <t>1931-03-31</t>
        </is>
      </c>
      <c r="D102" s="19">
        <f>VALUE(LEFT(B102,4))</f>
        <v/>
      </c>
      <c r="E102" s="19">
        <f>INT((D102-1)/100)+1</f>
        <v/>
      </c>
      <c r="F102" s="19" t="inlineStr">
        <is>
          <t>Drought</t>
        </is>
      </c>
      <c r="G102" s="19" t="inlineStr">
        <is>
          <t>1930–31 drought</t>
        </is>
      </c>
      <c r="H102" s="19" t="inlineStr">
        <is>
          <t>NY statewide</t>
        </is>
      </c>
      <c r="I102" s="19" t="inlineStr">
        <is>
          <t>Worst dry spell in NY records to that point</t>
        </is>
      </c>
      <c r="J102" s="19" t="inlineStr">
        <is>
          <t>regional</t>
        </is>
      </c>
      <c r="K102" s="19" t="inlineStr">
        <is>
          <t>Crop failures; wells dry.</t>
        </is>
      </c>
      <c r="L102" s="19" t="inlineStr">
        <is>
          <t>Wikipedia event article (secondary; verify against NCEI/NHC)</t>
        </is>
      </c>
      <c r="M102" s="19" t="n"/>
      <c r="N102" s="19" t="inlineStr">
        <is>
          <t>B</t>
        </is>
      </c>
      <c r="O102" s="19" t="inlineStr">
        <is>
          <t>N</t>
        </is>
      </c>
      <c r="P102" s="19" t="n"/>
      <c r="Q102" s="19" t="inlineStr">
        <is>
          <t>1930-08-15</t>
        </is>
      </c>
      <c r="R102" s="19">
        <f>VALUE(LEFT(Q102,4))</f>
        <v/>
      </c>
      <c r="S102" s="19">
        <f>VALUE(MID(Q102,6,2))</f>
        <v/>
      </c>
      <c r="T102" s="19">
        <f>VALUE(RIGHT(Q102,2))</f>
        <v/>
      </c>
      <c r="U102" s="19" t="inlineStr">
        <is>
          <t>season</t>
        </is>
      </c>
      <c r="V102" s="19" t="inlineStr">
        <is>
          <t>Peak of growing-season deficit</t>
        </is>
      </c>
    </row>
    <row r="103" ht="23.25" customHeight="1" s="13">
      <c r="A103" s="19" t="n">
        <v>102</v>
      </c>
      <c r="B103" s="19" t="inlineStr">
        <is>
          <t>1934-02-09</t>
        </is>
      </c>
      <c r="C103" s="19" t="inlineStr">
        <is>
          <t>1934-02-09</t>
        </is>
      </c>
      <c r="D103" s="19">
        <f>VALUE(LEFT(B103,4))</f>
        <v/>
      </c>
      <c r="E103" s="19">
        <f>INT((D103-1)/100)+1</f>
        <v/>
      </c>
      <c r="F103" s="19" t="inlineStr">
        <is>
          <t>Arctic outbreak</t>
        </is>
      </c>
      <c r="G103" s="19" t="inlineStr">
        <is>
          <t>February 1934 cold wave</t>
        </is>
      </c>
      <c r="H103" s="19" t="inlineStr">
        <is>
          <t>Northeast</t>
        </is>
      </c>
      <c r="I103" s="19" t="inlineStr">
        <is>
          <t>NYC –15°F; Catskill valleys near –40°F</t>
        </is>
      </c>
      <c r="J103" s="19" t="inlineStr">
        <is>
          <t>NYC / coop</t>
        </is>
      </c>
      <c r="K103" s="19" t="inlineStr">
        <is>
          <t>Orchard and vineyard kill.</t>
        </is>
      </c>
      <c r="L103" s="19" t="inlineStr">
        <is>
          <t>Wikipedia event article (secondary; verify against NCEI/NHC)</t>
        </is>
      </c>
      <c r="M103" s="19" t="n"/>
      <c r="N103" s="19" t="inlineStr">
        <is>
          <t>B</t>
        </is>
      </c>
      <c r="O103" s="19" t="inlineStr">
        <is>
          <t>N</t>
        </is>
      </c>
      <c r="P103" s="19" t="inlineStr">
        <is>
          <t>Pull Albany min from GHCN.</t>
        </is>
      </c>
      <c r="Q103" s="19" t="inlineStr">
        <is>
          <t>1934-02-09</t>
        </is>
      </c>
      <c r="R103" s="19">
        <f>VALUE(LEFT(Q103,4))</f>
        <v/>
      </c>
      <c r="S103" s="19">
        <f>VALUE(MID(Q103,6,2))</f>
        <v/>
      </c>
      <c r="T103" s="19">
        <f>VALUE(RIGHT(Q103,2))</f>
        <v/>
      </c>
      <c r="U103" s="19" t="inlineStr">
        <is>
          <t>day</t>
        </is>
      </c>
      <c r="V103" s="19" t="inlineStr">
        <is>
          <t>Single-day event</t>
        </is>
      </c>
    </row>
    <row r="104" ht="23.25" customHeight="1" s="13">
      <c r="A104" s="19" t="n">
        <v>103</v>
      </c>
      <c r="B104" s="19" t="inlineStr">
        <is>
          <t>1935-07-08</t>
        </is>
      </c>
      <c r="C104" s="19" t="inlineStr">
        <is>
          <t>1935-07-08</t>
        </is>
      </c>
      <c r="D104" s="19">
        <f>VALUE(LEFT(B104,4))</f>
        <v/>
      </c>
      <c r="E104" s="19">
        <f>INT((D104-1)/100)+1</f>
        <v/>
      </c>
      <c r="F104" s="19" t="inlineStr">
        <is>
          <t>Flash flood</t>
        </is>
      </c>
      <c r="G104" s="19" t="inlineStr">
        <is>
          <t>Great Flood of 1935</t>
        </is>
      </c>
      <c r="H104" s="19" t="inlineStr">
        <is>
          <t>Delaware / Otsego / Schoharie counties</t>
        </is>
      </c>
      <c r="I104" s="19" t="inlineStr">
        <is>
          <t>Cloudburst; ~40 dead</t>
        </is>
      </c>
      <c r="J104" s="19" t="inlineStr">
        <is>
          <t>regional</t>
        </is>
      </c>
      <c r="K104" s="19" t="inlineStr">
        <is>
          <t>Deadliest Catskill-region flood before Irene; villages gutted.</t>
        </is>
      </c>
      <c r="L104" s="19" t="inlineStr">
        <is>
          <t>Wikipedia event article (secondary; verify against NCEI/NHC)</t>
        </is>
      </c>
      <c r="M104" s="19" t="n"/>
      <c r="N104" s="19" t="inlineStr">
        <is>
          <t>B</t>
        </is>
      </c>
      <c r="O104" s="19" t="inlineStr">
        <is>
          <t>N</t>
        </is>
      </c>
      <c r="P104" s="19" t="n"/>
      <c r="Q104" s="19" t="inlineStr">
        <is>
          <t>1935-07-08</t>
        </is>
      </c>
      <c r="R104" s="19">
        <f>VALUE(LEFT(Q104,4))</f>
        <v/>
      </c>
      <c r="S104" s="19">
        <f>VALUE(MID(Q104,6,2))</f>
        <v/>
      </c>
      <c r="T104" s="19">
        <f>VALUE(RIGHT(Q104,2))</f>
        <v/>
      </c>
      <c r="U104" s="19" t="inlineStr">
        <is>
          <t>day</t>
        </is>
      </c>
      <c r="V104" s="19" t="inlineStr">
        <is>
          <t>Single-day event</t>
        </is>
      </c>
    </row>
    <row r="105" ht="23.25" customHeight="1" s="13">
      <c r="A105" s="19" t="n">
        <v>104</v>
      </c>
      <c r="B105" s="19" t="inlineStr">
        <is>
          <t>1936-03-12</t>
        </is>
      </c>
      <c r="C105" s="19" t="inlineStr">
        <is>
          <t>1936-03-18</t>
        </is>
      </c>
      <c r="D105" s="19">
        <f>VALUE(LEFT(B105,4))</f>
        <v/>
      </c>
      <c r="E105" s="19">
        <f>INT((D105-1)/100)+1</f>
        <v/>
      </c>
      <c r="F105" s="19" t="inlineStr">
        <is>
          <t>River flood</t>
        </is>
      </c>
      <c r="G105" s="19" t="inlineStr">
        <is>
          <t>March 1936 flood</t>
        </is>
      </c>
      <c r="H105" s="19" t="inlineStr">
        <is>
          <t>Northeast</t>
        </is>
      </c>
      <c r="I105" s="19" t="inlineStr">
        <is>
          <t>Albany 17.9 ft; Troy 29.5 ft (highest since Conklingville Dam)</t>
        </is>
      </c>
      <c r="J105" s="19" t="inlineStr">
        <is>
          <t>Hudson at Albany/Troy</t>
        </is>
      </c>
      <c r="K105" s="19" t="inlineStr">
        <is>
          <t>Heavy snowpack + double spring rains; flood of record on CT River at Thompsonville.</t>
        </is>
      </c>
      <c r="L105" s="19" t="inlineStr">
        <is>
          <t>NWS Albany – Past Weather Events (weather.gov/aly/pastevents)</t>
        </is>
      </c>
      <c r="M105" s="19" t="inlineStr">
        <is>
          <t>https://www.weather.gov/aly/pastevents</t>
        </is>
      </c>
      <c r="N105" s="19" t="inlineStr">
        <is>
          <t>A</t>
        </is>
      </c>
      <c r="O105" s="19" t="inlineStr">
        <is>
          <t>Y</t>
        </is>
      </c>
      <c r="P105" s="19" t="n"/>
      <c r="Q105" s="19" t="inlineStr">
        <is>
          <t>1936-03-12</t>
        </is>
      </c>
      <c r="R105" s="19">
        <f>VALUE(LEFT(Q105,4))</f>
        <v/>
      </c>
      <c r="S105" s="19">
        <f>VALUE(MID(Q105,6,2))</f>
        <v/>
      </c>
      <c r="T105" s="19">
        <f>VALUE(RIGHT(Q105,2))</f>
        <v/>
      </c>
      <c r="U105" s="19" t="inlineStr">
        <is>
          <t>days</t>
        </is>
      </c>
      <c r="V105" s="19" t="inlineStr">
        <is>
          <t>Multi-day event; anchored to first day</t>
        </is>
      </c>
    </row>
    <row r="106" ht="15" customHeight="1" s="13">
      <c r="A106" s="19" t="n">
        <v>105</v>
      </c>
      <c r="B106" s="19" t="inlineStr">
        <is>
          <t>1936-07-01</t>
        </is>
      </c>
      <c r="C106" s="19" t="inlineStr">
        <is>
          <t>1936-07-31</t>
        </is>
      </c>
      <c r="D106" s="19">
        <f>VALUE(LEFT(B106,4))</f>
        <v/>
      </c>
      <c r="E106" s="19">
        <f>INT((D106-1)/100)+1</f>
        <v/>
      </c>
      <c r="F106" s="19" t="inlineStr">
        <is>
          <t>Heat wave</t>
        </is>
      </c>
      <c r="G106" s="19" t="inlineStr">
        <is>
          <t>July 1936 heat wave</t>
        </is>
      </c>
      <c r="H106" s="19" t="inlineStr">
        <is>
          <t>Northeast</t>
        </is>
      </c>
      <c r="I106" s="19" t="inlineStr">
        <is>
          <t>Albany: 3 consecutive 100°F+ days (Jul 8–10 1936), ~103°F Jul 9 — one of only 3 years Albany reached 100°F (1933/1936/1953)</t>
        </is>
      </c>
      <c r="J106" s="19" t="inlineStr">
        <is>
          <t>regional</t>
        </is>
      </c>
      <c r="K106" s="19" t="inlineStr">
        <is>
          <t>Warmest month ever measured in the US; NE records (Boston/Providence/Hartford) stood until 2017; NYC 106°F on Jul 10.</t>
        </is>
      </c>
      <c r="L106" s="19" t="inlineStr">
        <is>
          <t>Wikipedia — 1936 heat wave; NWS Albany ALB_Extremes</t>
        </is>
      </c>
      <c r="M106" s="19" t="n"/>
      <c r="N106" s="19" t="inlineStr">
        <is>
          <t>A</t>
        </is>
      </c>
      <c r="O106" s="19" t="inlineStr">
        <is>
          <t>Y</t>
        </is>
      </c>
      <c r="P106" s="19" t="inlineStr">
        <is>
          <t>Followed Feb 1936, the coldest month in US history — the 1936 cold-to-heat whiplash. Albany ~103°F Jul 9, just under its all-time 104°F (Jul 4 1911).</t>
        </is>
      </c>
      <c r="Q106" s="19" t="inlineStr">
        <is>
          <t>1936-07-16</t>
        </is>
      </c>
      <c r="R106" s="19">
        <f>VALUE(LEFT(Q106,4))</f>
        <v/>
      </c>
      <c r="S106" s="19">
        <f>VALUE(MID(Q106,6,2))</f>
        <v/>
      </c>
      <c r="T106" s="19">
        <f>VALUE(RIGHT(Q106,2))</f>
        <v/>
      </c>
      <c r="U106" s="19" t="inlineStr">
        <is>
          <t>month</t>
        </is>
      </c>
      <c r="V106" s="19" t="inlineStr">
        <is>
          <t>Anchored to mid-point of a multi-week window</t>
        </is>
      </c>
    </row>
    <row r="107" ht="23.25" customHeight="1" s="13">
      <c r="A107" s="19" t="n">
        <v>106</v>
      </c>
      <c r="B107" s="19" t="inlineStr">
        <is>
          <t>1938-01-27</t>
        </is>
      </c>
      <c r="C107" s="19" t="inlineStr">
        <is>
          <t>1938-01-27</t>
        </is>
      </c>
      <c r="D107" s="19">
        <f>VALUE(LEFT(B107,4))</f>
        <v/>
      </c>
      <c r="E107" s="19">
        <f>INT((D107-1)/100)+1</f>
        <v/>
      </c>
      <c r="F107" s="19" t="inlineStr">
        <is>
          <t>Ice jam</t>
        </is>
      </c>
      <c r="G107" s="19" t="inlineStr">
        <is>
          <t>Honeymoon Bridge collapse, Niagara (OUT OF REGION)</t>
        </is>
      </c>
      <c r="H107" s="19" t="inlineStr">
        <is>
          <t>Niagara Falls</t>
        </is>
      </c>
      <c r="I107" s="19" t="inlineStr">
        <is>
          <t>Ice jam ~80 ft high crushed the bridge abutments</t>
        </is>
      </c>
      <c r="J107" s="19" t="inlineStr">
        <is>
          <t>none</t>
        </is>
      </c>
      <c r="K107" s="19" t="inlineStr">
        <is>
          <t>Upper Steel Arch (Honeymoon) Bridge collapsed onto the ice.</t>
        </is>
      </c>
      <c r="L107" s="19" t="inlineStr">
        <is>
          <t>Wikipedia event article (secondary; verify against NCEI/NHC)</t>
        </is>
      </c>
      <c r="M107" s="19" t="n"/>
      <c r="N107" s="19" t="inlineStr">
        <is>
          <t>B</t>
        </is>
      </c>
      <c r="O107" s="19" t="inlineStr">
        <is>
          <t>N</t>
        </is>
      </c>
      <c r="P107" s="19" t="inlineStr">
        <is>
          <t>Out of region.</t>
        </is>
      </c>
      <c r="Q107" s="19" t="inlineStr">
        <is>
          <t>1938-01-27</t>
        </is>
      </c>
      <c r="R107" s="19">
        <f>VALUE(LEFT(Q107,4))</f>
        <v/>
      </c>
      <c r="S107" s="19">
        <f>VALUE(MID(Q107,6,2))</f>
        <v/>
      </c>
      <c r="T107" s="19">
        <f>VALUE(RIGHT(Q107,2))</f>
        <v/>
      </c>
      <c r="U107" s="19" t="inlineStr">
        <is>
          <t>day</t>
        </is>
      </c>
      <c r="V107" s="19" t="inlineStr">
        <is>
          <t>Single-day event</t>
        </is>
      </c>
    </row>
    <row r="108" ht="23.25" customHeight="1" s="13">
      <c r="A108" s="19" t="n">
        <v>107</v>
      </c>
      <c r="B108" s="19" t="inlineStr">
        <is>
          <t>1938-09-21</t>
        </is>
      </c>
      <c r="C108" s="19" t="inlineStr">
        <is>
          <t>1938-09-22</t>
        </is>
      </c>
      <c r="D108" s="19">
        <f>VALUE(LEFT(B108,4))</f>
        <v/>
      </c>
      <c r="E108" s="19">
        <f>INT((D108-1)/100)+1</f>
        <v/>
      </c>
      <c r="F108" s="19" t="inlineStr">
        <is>
          <t>Tropical cyclone</t>
        </is>
      </c>
      <c r="G108" s="19" t="inlineStr">
        <is>
          <t>Great Hurricane of 1938 (Long Island Express)</t>
        </is>
      </c>
      <c r="H108" s="19" t="inlineStr">
        <is>
          <t>Long Island / New England / Hudson Valley</t>
        </is>
      </c>
      <c r="I108" s="19" t="inlineStr">
        <is>
          <t>Albany 16.5 ft</t>
        </is>
      </c>
      <c r="J108" s="19" t="inlineStr">
        <is>
          <t>Hudson at Albany</t>
        </is>
      </c>
      <c r="K108" s="19" t="inlineStr">
        <is>
          <t>Severe flooding on almost all regional rivers; forests flattened in Berkshires/Catskills.</t>
        </is>
      </c>
      <c r="L108" s="19" t="inlineStr">
        <is>
          <t>NWS Albany – Past Weather Events (weather.gov/aly/pastevents) ; The Enterprise (Altamont), Oct 7 1938, Knox &amp; South Berne columns (scan)</t>
        </is>
      </c>
      <c r="M108" s="19" t="inlineStr">
        <is>
          <t>https://www.weather.gov/aly/pastevents</t>
        </is>
      </c>
      <c r="N108" s="19" t="inlineStr">
        <is>
          <t>A</t>
        </is>
      </c>
      <c r="O108" s="19" t="inlineStr">
        <is>
          <t>Y</t>
        </is>
      </c>
      <c r="P108" s="19" t="inlineStr">
        <is>
          <t>2026-09-23 (v851, atlas session): ENRICHED — Hilltowns aftermath: in the Town of Knox 'twelve bridges of this town were washed out', a creek filled with stones and its bridge gone, a homestead's outbuildings and chickens carried off with stones 3 ft deep on the lawn; Gallupville–Middleburgh road washed to a single-lane path; a Knox Reformed Church Red Cross appeal. Correspondent's nephew at North Adams, Mass. reported 9 in of rain in four days and a freight train broken apart by a landslide, ten cars into the river.</t>
        </is>
      </c>
      <c r="Q108" s="19" t="inlineStr">
        <is>
          <t>1938-09-21</t>
        </is>
      </c>
      <c r="R108" s="19">
        <f>VALUE(LEFT(Q108,4))</f>
        <v/>
      </c>
      <c r="S108" s="19">
        <f>VALUE(MID(Q108,6,2))</f>
        <v/>
      </c>
      <c r="T108" s="19">
        <f>VALUE(RIGHT(Q108,2))</f>
        <v/>
      </c>
      <c r="U108" s="19" t="inlineStr">
        <is>
          <t>days</t>
        </is>
      </c>
      <c r="V108" s="19" t="inlineStr">
        <is>
          <t>Multi-day event; anchored to first day</t>
        </is>
      </c>
    </row>
    <row r="109" ht="34.5" customHeight="1" s="13">
      <c r="A109" s="19" t="n">
        <v>108</v>
      </c>
      <c r="B109" s="19" t="inlineStr">
        <is>
          <t>1939-02-17</t>
        </is>
      </c>
      <c r="C109" s="19" t="inlineStr">
        <is>
          <t>1939-02-17</t>
        </is>
      </c>
      <c r="D109" s="19">
        <f>VALUE(LEFT(B109,4))</f>
        <v/>
      </c>
      <c r="E109" s="19">
        <f>INT((D109-1)/100)+1</f>
        <v/>
      </c>
      <c r="F109" s="19" t="inlineStr">
        <is>
          <t>Ice jam</t>
        </is>
      </c>
      <c r="G109" s="19" t="inlineStr">
        <is>
          <t>February 1939 Schoharie Creek jam at Prattsville</t>
        </is>
      </c>
      <c r="H109" s="19" t="inlineStr">
        <is>
          <t>Prattsville</t>
        </is>
      </c>
      <c r="I109" s="19" t="inlineStr">
        <is>
          <t>CRREL break-up jam</t>
        </is>
      </c>
      <c r="J109" s="19" t="inlineStr">
        <is>
          <t>CRREL</t>
        </is>
      </c>
      <c r="K109" s="19" t="inlineStr">
        <is>
          <t>Earliest of the long Prattsville/Burtonsville Schoharie jam series in CRREL (1939–2020s).</t>
        </is>
      </c>
      <c r="L109" s="19" t="inlineStr">
        <is>
          <t>USACE CRREL Ice Jam Database, New York (Report_Region.csv, retrieved 2026-09-20)</t>
        </is>
      </c>
      <c r="M109" s="19" t="inlineStr">
        <is>
          <t>https://icejam.sec.usace.army.mil/</t>
        </is>
      </c>
      <c r="N109" s="19" t="inlineStr">
        <is>
          <t>C</t>
        </is>
      </c>
      <c r="O109" s="19" t="inlineStr">
        <is>
          <t>Y</t>
        </is>
      </c>
      <c r="P109" s="19" t="n"/>
      <c r="Q109" s="19" t="inlineStr">
        <is>
          <t>1939-02-17</t>
        </is>
      </c>
      <c r="R109" s="19">
        <f>VALUE(LEFT(Q109,4))</f>
        <v/>
      </c>
      <c r="S109" s="19">
        <f>VALUE(MID(Q109,6,2))</f>
        <v/>
      </c>
      <c r="T109" s="19">
        <f>VALUE(RIGHT(Q109,2))</f>
        <v/>
      </c>
      <c r="U109" s="19" t="inlineStr">
        <is>
          <t>day</t>
        </is>
      </c>
      <c r="V109" s="19" t="inlineStr">
        <is>
          <t>Single-day event</t>
        </is>
      </c>
    </row>
    <row r="110" ht="23.25" customHeight="1" s="13">
      <c r="A110" s="19" t="n">
        <v>109</v>
      </c>
      <c r="B110" s="19" t="inlineStr">
        <is>
          <t>1940-02-14</t>
        </is>
      </c>
      <c r="C110" s="19" t="inlineStr">
        <is>
          <t>1940-02-14</t>
        </is>
      </c>
      <c r="D110" s="19">
        <f>VALUE(LEFT(B110,4))</f>
        <v/>
      </c>
      <c r="E110" s="19">
        <f>INT((D110-1)/100)+1</f>
        <v/>
      </c>
      <c r="F110" s="19" t="inlineStr">
        <is>
          <t>Snowstorm</t>
        </is>
      </c>
      <c r="G110" s="19" t="inlineStr">
        <is>
          <t>Valentine's Day storm 1940</t>
        </is>
      </c>
      <c r="H110" s="19" t="inlineStr">
        <is>
          <t>Northeast</t>
        </is>
      </c>
      <c r="I110" s="19" t="inlineStr">
        <is>
          <t>1 ft+ with high wind</t>
        </is>
      </c>
      <c r="J110" s="19" t="inlineStr">
        <is>
          <t>regional</t>
        </is>
      </c>
      <c r="K110" s="19" t="inlineStr">
        <is>
          <t>Dozens dead in the Northeast.</t>
        </is>
      </c>
      <c r="L110" s="19" t="inlineStr">
        <is>
          <t>Wikipedia event article (secondary; verify against NCEI/NHC)</t>
        </is>
      </c>
      <c r="M110" s="19" t="n"/>
      <c r="N110" s="19" t="inlineStr">
        <is>
          <t>B</t>
        </is>
      </c>
      <c r="O110" s="19" t="inlineStr">
        <is>
          <t>N</t>
        </is>
      </c>
      <c r="P110" s="19" t="n"/>
      <c r="Q110" s="19" t="inlineStr">
        <is>
          <t>1940-02-14</t>
        </is>
      </c>
      <c r="R110" s="19">
        <f>VALUE(LEFT(Q110,4))</f>
        <v/>
      </c>
      <c r="S110" s="19">
        <f>VALUE(MID(Q110,6,2))</f>
        <v/>
      </c>
      <c r="T110" s="19">
        <f>VALUE(RIGHT(Q110,2))</f>
        <v/>
      </c>
      <c r="U110" s="19" t="inlineStr">
        <is>
          <t>day</t>
        </is>
      </c>
      <c r="V110" s="19" t="inlineStr">
        <is>
          <t>Single-day event</t>
        </is>
      </c>
    </row>
    <row r="111" ht="23.25" customHeight="1" s="13">
      <c r="A111" s="19" t="n">
        <v>110</v>
      </c>
      <c r="B111" s="19" t="inlineStr">
        <is>
          <t>1942-05-22</t>
        </is>
      </c>
      <c r="C111" s="19" t="inlineStr">
        <is>
          <t>1942-05-23</t>
        </is>
      </c>
      <c r="D111" s="19">
        <f>VALUE(LEFT(B111,4))</f>
        <v/>
      </c>
      <c r="E111" s="19">
        <f>INT((D111-1)/100)+1</f>
        <v/>
      </c>
      <c r="F111" s="19" t="inlineStr">
        <is>
          <t>Flash flood</t>
        </is>
      </c>
      <c r="G111" s="19" t="inlineStr">
        <is>
          <t>May 1942 Delaware flood</t>
        </is>
      </c>
      <c r="H111" s="19" t="inlineStr">
        <is>
          <t>Delaware County / Catskills</t>
        </is>
      </c>
      <c r="I111" s="19" t="inlineStr">
        <is>
          <t>Record on E &amp; W Branch Delaware until 2006</t>
        </is>
      </c>
      <c r="J111" s="19" t="inlineStr">
        <is>
          <t>USGS Delaware gauges</t>
        </is>
      </c>
      <c r="K111" s="19" t="inlineStr">
        <is>
          <t>Hancock, Margaretville hard hit.</t>
        </is>
      </c>
      <c r="L111" s="19" t="inlineStr">
        <is>
          <t>Wikipedia event article (secondary; verify against NCEI/NHC)</t>
        </is>
      </c>
      <c r="M111" s="19" t="n"/>
      <c r="N111" s="19" t="inlineStr">
        <is>
          <t>B</t>
        </is>
      </c>
      <c r="O111" s="19" t="inlineStr">
        <is>
          <t>N</t>
        </is>
      </c>
      <c r="P111" s="19" t="n"/>
      <c r="Q111" s="19" t="inlineStr">
        <is>
          <t>1942-05-22</t>
        </is>
      </c>
      <c r="R111" s="19">
        <f>VALUE(LEFT(Q111,4))</f>
        <v/>
      </c>
      <c r="S111" s="19">
        <f>VALUE(MID(Q111,6,2))</f>
        <v/>
      </c>
      <c r="T111" s="19">
        <f>VALUE(RIGHT(Q111,2))</f>
        <v/>
      </c>
      <c r="U111" s="19" t="inlineStr">
        <is>
          <t>days</t>
        </is>
      </c>
      <c r="V111" s="19" t="inlineStr">
        <is>
          <t>Multi-day event; anchored to first day</t>
        </is>
      </c>
    </row>
    <row r="112" ht="23.25" customHeight="1" s="13">
      <c r="A112" s="19" t="n">
        <v>111</v>
      </c>
      <c r="B112" s="19" t="inlineStr">
        <is>
          <t>1942-12-29</t>
        </is>
      </c>
      <c r="C112" s="19" t="inlineStr">
        <is>
          <t>1942-12-30</t>
        </is>
      </c>
      <c r="D112" s="19">
        <f>VALUE(LEFT(B112,4))</f>
        <v/>
      </c>
      <c r="E112" s="19">
        <f>INT((D112-1)/100)+1</f>
        <v/>
      </c>
      <c r="F112" s="19" t="inlineStr">
        <is>
          <t>Ice storm</t>
        </is>
      </c>
      <c r="G112" s="19" t="inlineStr">
        <is>
          <t>December 1942 glaze</t>
        </is>
      </c>
      <c r="H112" s="19" t="inlineStr">
        <is>
          <t>Eastern NY</t>
        </is>
      </c>
      <c r="I112" s="19" t="inlineStr">
        <is>
          <t>Worst glazing before Dec 1964 (per NWS)</t>
        </is>
      </c>
      <c r="J112" s="19" t="inlineStr">
        <is>
          <t>regional</t>
        </is>
      </c>
      <c r="K112" s="19" t="n"/>
      <c r="L112" s="19" t="inlineStr">
        <is>
          <t>NWS Albany – Past Weather Events (weather.gov/aly/pastevents)</t>
        </is>
      </c>
      <c r="M112" s="19" t="inlineStr">
        <is>
          <t>https://www.weather.gov/aly/pastevents</t>
        </is>
      </c>
      <c r="N112" s="19" t="inlineStr">
        <is>
          <t>B</t>
        </is>
      </c>
      <c r="O112" s="19" t="inlineStr">
        <is>
          <t>Y</t>
        </is>
      </c>
      <c r="P112" s="19" t="n"/>
      <c r="Q112" s="19" t="inlineStr">
        <is>
          <t>1942-12-29</t>
        </is>
      </c>
      <c r="R112" s="19">
        <f>VALUE(LEFT(Q112,4))</f>
        <v/>
      </c>
      <c r="S112" s="19">
        <f>VALUE(MID(Q112,6,2))</f>
        <v/>
      </c>
      <c r="T112" s="19">
        <f>VALUE(RIGHT(Q112,2))</f>
        <v/>
      </c>
      <c r="U112" s="19" t="inlineStr">
        <is>
          <t>days</t>
        </is>
      </c>
      <c r="V112" s="19" t="inlineStr">
        <is>
          <t>Multi-day event; anchored to first day</t>
        </is>
      </c>
    </row>
    <row r="113" ht="23.25" customHeight="1" s="13">
      <c r="A113" s="19" t="n">
        <v>112</v>
      </c>
      <c r="B113" s="19" t="inlineStr">
        <is>
          <t>1943-02-15</t>
        </is>
      </c>
      <c r="C113" s="19" t="inlineStr">
        <is>
          <t>1943-02-15</t>
        </is>
      </c>
      <c r="D113" s="19">
        <f>VALUE(LEFT(B113,4))</f>
        <v/>
      </c>
      <c r="E113" s="19">
        <f>INT((D113-1)/100)+1</f>
        <v/>
      </c>
      <c r="F113" s="19" t="inlineStr">
        <is>
          <t>Arctic outbreak</t>
        </is>
      </c>
      <c r="G113" s="19" t="inlineStr">
        <is>
          <t>February 1943 cold wave</t>
        </is>
      </c>
      <c r="H113" s="19" t="inlineStr">
        <is>
          <t>Capital Region</t>
        </is>
      </c>
      <c r="I113" s="19" t="inlineStr">
        <is>
          <t>–20s</t>
        </is>
      </c>
      <c r="J113" s="19" t="inlineStr">
        <is>
          <t>regional</t>
        </is>
      </c>
      <c r="K113" s="19" t="n"/>
      <c r="L113" s="19" t="inlineStr">
        <is>
          <t>Wikipedia event article (secondary; verify against NCEI/NHC)</t>
        </is>
      </c>
      <c r="M113" s="19" t="n"/>
      <c r="N113" s="19" t="inlineStr">
        <is>
          <t>C</t>
        </is>
      </c>
      <c r="O113" s="19" t="inlineStr">
        <is>
          <t>N</t>
        </is>
      </c>
      <c r="P113" s="19" t="inlineStr">
        <is>
          <t>Verify in GHCN.</t>
        </is>
      </c>
      <c r="Q113" s="19" t="inlineStr">
        <is>
          <t>1943-02-15</t>
        </is>
      </c>
      <c r="R113" s="19">
        <f>VALUE(LEFT(Q113,4))</f>
        <v/>
      </c>
      <c r="S113" s="19">
        <f>VALUE(MID(Q113,6,2))</f>
        <v/>
      </c>
      <c r="T113" s="19">
        <f>VALUE(RIGHT(Q113,2))</f>
        <v/>
      </c>
      <c r="U113" s="19" t="inlineStr">
        <is>
          <t>day</t>
        </is>
      </c>
      <c r="V113" s="19" t="inlineStr">
        <is>
          <t>Single-day event</t>
        </is>
      </c>
    </row>
    <row r="114" ht="15" customHeight="1" s="13">
      <c r="A114" s="19" t="n">
        <v>113</v>
      </c>
      <c r="B114" s="19" t="inlineStr">
        <is>
          <t>1944-09-14</t>
        </is>
      </c>
      <c r="C114" s="19" t="inlineStr">
        <is>
          <t>1944-09-14</t>
        </is>
      </c>
      <c r="D114" s="19">
        <f>VALUE(LEFT(B114,4))</f>
        <v/>
      </c>
      <c r="E114" s="19">
        <f>INT((D114-1)/100)+1</f>
        <v/>
      </c>
      <c r="F114" s="19" t="inlineStr">
        <is>
          <t>Tropical cyclone</t>
        </is>
      </c>
      <c r="G114" s="19" t="inlineStr">
        <is>
          <t>Great Atlantic Hurricane</t>
        </is>
      </c>
      <c r="H114" s="19" t="inlineStr">
        <is>
          <t>Hudson Valley</t>
        </is>
      </c>
      <c r="I114" s="19" t="inlineStr">
        <is>
          <t>Wind and flooding</t>
        </is>
      </c>
      <c r="J114" s="19" t="inlineStr">
        <is>
          <t>regional</t>
        </is>
      </c>
      <c r="K114" s="19" t="n"/>
      <c r="L114" s="19" t="inlineStr">
        <is>
          <t>NHC Tropical Cyclone Report</t>
        </is>
      </c>
      <c r="M114" s="19" t="n"/>
      <c r="N114" s="19" t="inlineStr">
        <is>
          <t>B</t>
        </is>
      </c>
      <c r="O114" s="19" t="inlineStr">
        <is>
          <t>N</t>
        </is>
      </c>
      <c r="P114" s="19" t="n"/>
      <c r="Q114" s="19" t="inlineStr">
        <is>
          <t>1944-09-14</t>
        </is>
      </c>
      <c r="R114" s="19">
        <f>VALUE(LEFT(Q114,4))</f>
        <v/>
      </c>
      <c r="S114" s="19">
        <f>VALUE(MID(Q114,6,2))</f>
        <v/>
      </c>
      <c r="T114" s="19">
        <f>VALUE(RIGHT(Q114,2))</f>
        <v/>
      </c>
      <c r="U114" s="19" t="inlineStr">
        <is>
          <t>day</t>
        </is>
      </c>
      <c r="V114" s="19" t="inlineStr">
        <is>
          <t>Single-day event</t>
        </is>
      </c>
    </row>
    <row r="115" ht="23.25" customHeight="1" s="13">
      <c r="A115" s="19" t="n">
        <v>114</v>
      </c>
      <c r="B115" s="19" t="inlineStr">
        <is>
          <t>1945-05-10</t>
        </is>
      </c>
      <c r="C115" s="19" t="inlineStr">
        <is>
          <t>1945-05-10</t>
        </is>
      </c>
      <c r="D115" s="19">
        <f>VALUE(LEFT(B115,4))</f>
        <v/>
      </c>
      <c r="E115" s="19">
        <f>INT((D115-1)/100)+1</f>
        <v/>
      </c>
      <c r="F115" s="19" t="inlineStr">
        <is>
          <t>Late-season snow</t>
        </is>
      </c>
      <c r="G115" s="19" t="inlineStr">
        <is>
          <t>May 10, 1945 snowstorm</t>
        </is>
      </c>
      <c r="H115" s="19" t="inlineStr">
        <is>
          <t>Capital District</t>
        </is>
      </c>
      <c r="I115" s="19" t="inlineStr">
        <is>
          <t>5.4 in Albany (largest May storm); 60,000 outages</t>
        </is>
      </c>
      <c r="J115" s="19" t="inlineStr">
        <is>
          <t>Albany</t>
        </is>
      </c>
      <c r="K115" s="19" t="inlineStr">
        <is>
          <t>Largest outages since 1929 ice storm; snowplows rescued motorists in the hill towns.</t>
        </is>
      </c>
      <c r="L115" s="19" t="inlineStr">
        <is>
          <t>NWS Albany – Past Weather Events (weather.gov/aly/pastevents)</t>
        </is>
      </c>
      <c r="M115" s="19" t="inlineStr">
        <is>
          <t>https://www.weather.gov/aly/pastevents</t>
        </is>
      </c>
      <c r="N115" s="19" t="inlineStr">
        <is>
          <t>A</t>
        </is>
      </c>
      <c r="O115" s="19" t="inlineStr">
        <is>
          <t>Y</t>
        </is>
      </c>
      <c r="P115" s="19" t="inlineStr">
        <is>
          <t>Directly relevant to the Helderberg hill towns.</t>
        </is>
      </c>
      <c r="Q115" s="19" t="inlineStr">
        <is>
          <t>1945-05-10</t>
        </is>
      </c>
      <c r="R115" s="19">
        <f>VALUE(LEFT(Q115,4))</f>
        <v/>
      </c>
      <c r="S115" s="19">
        <f>VALUE(MID(Q115,6,2))</f>
        <v/>
      </c>
      <c r="T115" s="19">
        <f>VALUE(RIGHT(Q115,2))</f>
        <v/>
      </c>
      <c r="U115" s="19" t="inlineStr">
        <is>
          <t>day</t>
        </is>
      </c>
      <c r="V115" s="19" t="inlineStr">
        <is>
          <t>Single-day event</t>
        </is>
      </c>
    </row>
    <row r="116" ht="23.25" customHeight="1" s="13">
      <c r="A116" s="19" t="n">
        <v>115</v>
      </c>
      <c r="B116" s="19" t="inlineStr">
        <is>
          <t>1945-10-02</t>
        </is>
      </c>
      <c r="C116" s="19" t="inlineStr">
        <is>
          <t>1945-10-02</t>
        </is>
      </c>
      <c r="D116" s="19">
        <f>VALUE(LEFT(B116,4))</f>
        <v/>
      </c>
      <c r="E116" s="19">
        <f>INT((D116-1)/100)+1</f>
        <v/>
      </c>
      <c r="F116" s="19" t="inlineStr">
        <is>
          <t>Flash flood</t>
        </is>
      </c>
      <c r="G116" s="19" t="inlineStr">
        <is>
          <t>October 1945 upper Mohawk flood</t>
        </is>
      </c>
      <c r="H116" s="19" t="inlineStr">
        <is>
          <t>Mohawk headwaters</t>
        </is>
      </c>
      <c r="I116" s="19" t="inlineStr">
        <is>
          <t>E. Canada Cr. at Dolgeville 15.1 ft (record)</t>
        </is>
      </c>
      <c r="J116" s="19" t="inlineStr">
        <is>
          <t>USGS</t>
        </is>
      </c>
      <c r="K116" s="19" t="inlineStr">
        <is>
          <t>Nearly destroyed Daniel Green factory.</t>
        </is>
      </c>
      <c r="L116" s="19" t="inlineStr">
        <is>
          <t>NWS Albany – Past Weather Events (weather.gov/aly/pastevents)</t>
        </is>
      </c>
      <c r="M116" s="19" t="inlineStr">
        <is>
          <t>https://www.weather.gov/aly/pastevents</t>
        </is>
      </c>
      <c r="N116" s="19" t="inlineStr">
        <is>
          <t>A</t>
        </is>
      </c>
      <c r="O116" s="19" t="inlineStr">
        <is>
          <t>Y</t>
        </is>
      </c>
      <c r="P116" s="19" t="n"/>
      <c r="Q116" s="19" t="inlineStr">
        <is>
          <t>1945-10-02</t>
        </is>
      </c>
      <c r="R116" s="19">
        <f>VALUE(LEFT(Q116,4))</f>
        <v/>
      </c>
      <c r="S116" s="19">
        <f>VALUE(MID(Q116,6,2))</f>
        <v/>
      </c>
      <c r="T116" s="19">
        <f>VALUE(RIGHT(Q116,2))</f>
        <v/>
      </c>
      <c r="U116" s="19" t="inlineStr">
        <is>
          <t>day</t>
        </is>
      </c>
      <c r="V116" s="19" t="inlineStr">
        <is>
          <t>Single-day event</t>
        </is>
      </c>
    </row>
    <row r="117" ht="23.25" customHeight="1" s="13">
      <c r="A117" s="19" t="n">
        <v>116</v>
      </c>
      <c r="B117" s="19" t="inlineStr">
        <is>
          <t>1947-12-26</t>
        </is>
      </c>
      <c r="C117" s="19" t="inlineStr">
        <is>
          <t>1947-12-26</t>
        </is>
      </c>
      <c r="D117" s="19">
        <f>VALUE(LEFT(B117,4))</f>
        <v/>
      </c>
      <c r="E117" s="19">
        <f>INT((D117-1)/100)+1</f>
        <v/>
      </c>
      <c r="F117" s="19" t="inlineStr">
        <is>
          <t>Snowstorm</t>
        </is>
      </c>
      <c r="G117" s="19" t="inlineStr">
        <is>
          <t>Post-Christmas storm 1947</t>
        </is>
      </c>
      <c r="H117" s="19" t="inlineStr">
        <is>
          <t>NYC / lower Hudson</t>
        </is>
      </c>
      <c r="I117" s="19" t="inlineStr">
        <is>
          <t>NYC record 26.4 in</t>
        </is>
      </c>
      <c r="J117" s="19" t="inlineStr">
        <is>
          <t>NYC Central Park</t>
        </is>
      </c>
      <c r="K117" s="19" t="inlineStr">
        <is>
          <t>20 in+ lower Hudson Valley.</t>
        </is>
      </c>
      <c r="L117" s="19" t="inlineStr">
        <is>
          <t>Wikipedia event article (secondary; verify against NCEI/NHC)</t>
        </is>
      </c>
      <c r="M117" s="19" t="n"/>
      <c r="N117" s="19" t="inlineStr">
        <is>
          <t>B</t>
        </is>
      </c>
      <c r="O117" s="19" t="inlineStr">
        <is>
          <t>N</t>
        </is>
      </c>
      <c r="P117" s="19" t="n"/>
      <c r="Q117" s="19" t="inlineStr">
        <is>
          <t>1947-12-26</t>
        </is>
      </c>
      <c r="R117" s="19">
        <f>VALUE(LEFT(Q117,4))</f>
        <v/>
      </c>
      <c r="S117" s="19">
        <f>VALUE(MID(Q117,6,2))</f>
        <v/>
      </c>
      <c r="T117" s="19">
        <f>VALUE(RIGHT(Q117,2))</f>
        <v/>
      </c>
      <c r="U117" s="19" t="inlineStr">
        <is>
          <t>day</t>
        </is>
      </c>
      <c r="V117" s="19" t="inlineStr">
        <is>
          <t>Single-day event</t>
        </is>
      </c>
    </row>
    <row r="118" ht="34.5" customHeight="1" s="13">
      <c r="A118" s="19" t="n">
        <v>117</v>
      </c>
      <c r="B118" s="19" t="inlineStr">
        <is>
          <t>1948-03-17</t>
        </is>
      </c>
      <c r="C118" s="19" t="inlineStr">
        <is>
          <t>1948-03-17</t>
        </is>
      </c>
      <c r="D118" s="19">
        <f>VALUE(LEFT(B118,4))</f>
        <v/>
      </c>
      <c r="E118" s="19">
        <f>INT((D118-1)/100)+1</f>
        <v/>
      </c>
      <c r="F118" s="19" t="inlineStr">
        <is>
          <t>Ice jam</t>
        </is>
      </c>
      <c r="G118" s="19" t="inlineStr">
        <is>
          <t>March 1948 Kinderhook Creek jam at Rossman</t>
        </is>
      </c>
      <c r="H118" s="19" t="inlineStr">
        <is>
          <t>Rossman (Columbia Co.)</t>
        </is>
      </c>
      <c r="I118" s="19" t="inlineStr">
        <is>
          <t>CRREL jam</t>
        </is>
      </c>
      <c r="J118" s="19" t="inlineStr">
        <is>
          <t>CRREL</t>
        </is>
      </c>
      <c r="K118" s="19" t="inlineStr">
        <is>
          <t>Kinderhook Creek trouble spot near Silvernails/Rossman.</t>
        </is>
      </c>
      <c r="L118" s="19" t="inlineStr">
        <is>
          <t>USACE CRREL Ice Jam Database, New York (Report_Region.csv, retrieved 2026-09-20)</t>
        </is>
      </c>
      <c r="M118" s="19" t="inlineStr">
        <is>
          <t>https://icejam.sec.usace.army.mil/</t>
        </is>
      </c>
      <c r="N118" s="19" t="inlineStr">
        <is>
          <t>C</t>
        </is>
      </c>
      <c r="O118" s="19" t="inlineStr">
        <is>
          <t>Y</t>
        </is>
      </c>
      <c r="P118" s="19" t="n"/>
      <c r="Q118" s="19" t="inlineStr">
        <is>
          <t>1948-03-17</t>
        </is>
      </c>
      <c r="R118" s="19">
        <f>VALUE(LEFT(Q118,4))</f>
        <v/>
      </c>
      <c r="S118" s="19">
        <f>VALUE(MID(Q118,6,2))</f>
        <v/>
      </c>
      <c r="T118" s="19">
        <f>VALUE(RIGHT(Q118,2))</f>
        <v/>
      </c>
      <c r="U118" s="19" t="inlineStr">
        <is>
          <t>day</t>
        </is>
      </c>
      <c r="V118" s="19" t="inlineStr">
        <is>
          <t>Single-day event</t>
        </is>
      </c>
    </row>
    <row r="119" ht="23.25" customHeight="1" s="13">
      <c r="A119" s="19" t="n">
        <v>118</v>
      </c>
      <c r="B119" s="19" t="inlineStr">
        <is>
          <t>1948-12-31</t>
        </is>
      </c>
      <c r="C119" s="19" t="inlineStr">
        <is>
          <t>1949-01-02</t>
        </is>
      </c>
      <c r="D119" s="19">
        <f>VALUE(LEFT(B119,4))</f>
        <v/>
      </c>
      <c r="E119" s="19">
        <f>INT((D119-1)/100)+1</f>
        <v/>
      </c>
      <c r="F119" s="19" t="inlineStr">
        <is>
          <t>River flood / ice storm</t>
        </is>
      </c>
      <c r="G119" s="19" t="inlineStr">
        <is>
          <t>New Year's Ice Storm and Flood 1948–49</t>
        </is>
      </c>
      <c r="H119" s="19" t="inlineStr">
        <is>
          <t>Hudson / Housatonic / CT basins</t>
        </is>
      </c>
      <c r="I119" s="19" t="inlineStr">
        <is>
          <t>5–12 in liquid; Albany 17.5 ft; Hoosic flood of record</t>
        </is>
      </c>
      <c r="J119" s="19" t="inlineStr">
        <is>
          <t>Hudson at Albany</t>
        </is>
      </c>
      <c r="K119" s="19" t="inlineStr">
        <is>
          <t>Major Hudson flood with significant sleet/ice storm.</t>
        </is>
      </c>
      <c r="L119" s="19" t="inlineStr">
        <is>
          <t>NWS Albany – Past Weather Events (weather.gov/aly/pastevents)</t>
        </is>
      </c>
      <c r="M119" s="19" t="inlineStr">
        <is>
          <t>https://www.weather.gov/aly/pastevents</t>
        </is>
      </c>
      <c r="N119" s="19" t="inlineStr">
        <is>
          <t>A</t>
        </is>
      </c>
      <c r="O119" s="19" t="inlineStr">
        <is>
          <t>Y</t>
        </is>
      </c>
      <c r="P119" s="19" t="n"/>
      <c r="Q119" s="19" t="inlineStr">
        <is>
          <t>1948-12-31</t>
        </is>
      </c>
      <c r="R119" s="19">
        <f>VALUE(LEFT(Q119,4))</f>
        <v/>
      </c>
      <c r="S119" s="19">
        <f>VALUE(MID(Q119,6,2))</f>
        <v/>
      </c>
      <c r="T119" s="19">
        <f>VALUE(RIGHT(Q119,2))</f>
        <v/>
      </c>
      <c r="U119" s="19" t="inlineStr">
        <is>
          <t>days</t>
        </is>
      </c>
      <c r="V119" s="19" t="inlineStr">
        <is>
          <t>Multi-day event; anchored to first day</t>
        </is>
      </c>
    </row>
    <row r="120" ht="23.25" customHeight="1" s="13">
      <c r="A120" s="19" t="n">
        <v>119</v>
      </c>
      <c r="B120" s="19" t="inlineStr">
        <is>
          <t>1950-11-24</t>
        </is>
      </c>
      <c r="C120" s="19" t="inlineStr">
        <is>
          <t>1950-11-25</t>
        </is>
      </c>
      <c r="D120" s="19">
        <f>VALUE(LEFT(B120,4))</f>
        <v/>
      </c>
      <c r="E120" s="19">
        <f>INT((D120-1)/100)+1</f>
        <v/>
      </c>
      <c r="F120" s="19" t="inlineStr">
        <is>
          <t>Windstorm</t>
        </is>
      </c>
      <c r="G120" s="19" t="inlineStr">
        <is>
          <t>Great Appalachian Storm</t>
        </is>
      </c>
      <c r="H120" s="19" t="inlineStr">
        <is>
          <t>Eastern NY</t>
        </is>
      </c>
      <c r="I120" s="19" t="inlineStr">
        <is>
          <t>Albany gust 83 mph (strongest ever); sustained 50–60</t>
        </is>
      </c>
      <c r="J120" s="19" t="inlineStr">
        <is>
          <t>Albany</t>
        </is>
      </c>
      <c r="K120" s="19" t="inlineStr">
        <is>
          <t>Roads impassable, fire towers and lines down; $20M (1950) NY damage; 7.78 in rain Slide Mtn.</t>
        </is>
      </c>
      <c r="L120" s="19" t="inlineStr">
        <is>
          <t>NWS Albany – Past Weather Events (weather.gov/aly/pastevents)</t>
        </is>
      </c>
      <c r="M120" s="19" t="inlineStr">
        <is>
          <t>https://www.weather.gov/aly/pastevents</t>
        </is>
      </c>
      <c r="N120" s="19" t="inlineStr">
        <is>
          <t>A</t>
        </is>
      </c>
      <c r="O120" s="19" t="inlineStr">
        <is>
          <t>Y</t>
        </is>
      </c>
      <c r="P120" s="19" t="inlineStr">
        <is>
          <t>Hurricane-force inland wind benchmark. 2026-09-23 (v854, atlas session): NWS Albany major-storms page: 83 mph gust at Albany Nov 25 1950 — the station's all-time record — sustained 50–60 mph; roads impassable, fire towers, telephone and power lines down region-wide, NY damage $20M (1950 $); Albany 1.08 in rain, Slide Mountain 7.78 in, no snow at Albany.</t>
        </is>
      </c>
      <c r="Q120" s="19" t="inlineStr">
        <is>
          <t>1950-11-24</t>
        </is>
      </c>
      <c r="R120" s="19">
        <f>VALUE(LEFT(Q120,4))</f>
        <v/>
      </c>
      <c r="S120" s="19">
        <f>VALUE(MID(Q120,6,2))</f>
        <v/>
      </c>
      <c r="T120" s="19">
        <f>VALUE(RIGHT(Q120,2))</f>
        <v/>
      </c>
      <c r="U120" s="19" t="inlineStr">
        <is>
          <t>days</t>
        </is>
      </c>
      <c r="V120" s="19" t="inlineStr">
        <is>
          <t>Multi-day event; anchored to first day</t>
        </is>
      </c>
    </row>
    <row r="121" ht="15" customHeight="1" s="13">
      <c r="A121" s="19" t="n">
        <v>120</v>
      </c>
      <c r="B121" s="19" t="inlineStr">
        <is>
          <t>1954-10-15</t>
        </is>
      </c>
      <c r="C121" s="19" t="inlineStr">
        <is>
          <t>1954-10-15</t>
        </is>
      </c>
      <c r="D121" s="19">
        <f>VALUE(LEFT(B121,4))</f>
        <v/>
      </c>
      <c r="E121" s="19">
        <f>INT((D121-1)/100)+1</f>
        <v/>
      </c>
      <c r="F121" s="19" t="inlineStr">
        <is>
          <t>Tropical cyclone</t>
        </is>
      </c>
      <c r="G121" s="19" t="inlineStr">
        <is>
          <t>Hurricane Hazel</t>
        </is>
      </c>
      <c r="H121" s="19" t="inlineStr">
        <is>
          <t>Eastern NY</t>
        </is>
      </c>
      <c r="I121" s="19" t="inlineStr">
        <is>
          <t>80–100 mph gusts (regional)</t>
        </is>
      </c>
      <c r="J121" s="19" t="inlineStr">
        <is>
          <t>regional</t>
        </is>
      </c>
      <c r="K121" s="19" t="inlineStr">
        <is>
          <t>Outages across Capital Region.</t>
        </is>
      </c>
      <c r="L121" s="19" t="inlineStr">
        <is>
          <t>NHC Tropical Cyclone Report</t>
        </is>
      </c>
      <c r="M121" s="19" t="n"/>
      <c r="N121" s="19" t="inlineStr">
        <is>
          <t>B</t>
        </is>
      </c>
      <c r="O121" s="19" t="inlineStr">
        <is>
          <t>N</t>
        </is>
      </c>
      <c r="P121" s="19" t="n"/>
      <c r="Q121" s="19" t="inlineStr">
        <is>
          <t>1954-10-15</t>
        </is>
      </c>
      <c r="R121" s="19">
        <f>VALUE(LEFT(Q121,4))</f>
        <v/>
      </c>
      <c r="S121" s="19">
        <f>VALUE(MID(Q121,6,2))</f>
        <v/>
      </c>
      <c r="T121" s="19">
        <f>VALUE(RIGHT(Q121,2))</f>
        <v/>
      </c>
      <c r="U121" s="19" t="inlineStr">
        <is>
          <t>day</t>
        </is>
      </c>
      <c r="V121" s="19" t="inlineStr">
        <is>
          <t>Single-day event</t>
        </is>
      </c>
    </row>
    <row r="122" ht="23.25" customHeight="1" s="13">
      <c r="A122" s="19" t="n">
        <v>121</v>
      </c>
      <c r="B122" s="19" t="inlineStr">
        <is>
          <t>1955-08-12</t>
        </is>
      </c>
      <c r="C122" s="19" t="inlineStr">
        <is>
          <t>1955-08-19</t>
        </is>
      </c>
      <c r="D122" s="19">
        <f>VALUE(LEFT(B122,4))</f>
        <v/>
      </c>
      <c r="E122" s="19">
        <f>INT((D122-1)/100)+1</f>
        <v/>
      </c>
      <c r="F122" s="19" t="inlineStr">
        <is>
          <t>Tropical cyclone / flood</t>
        </is>
      </c>
      <c r="G122" s="19" t="inlineStr">
        <is>
          <t>Hurricanes Connie &amp; Diane</t>
        </is>
      </c>
      <c r="H122" s="19" t="inlineStr">
        <is>
          <t>Catskills / lower Hudson / CT</t>
        </is>
      </c>
      <c r="I122" s="19" t="inlineStr">
        <is>
          <t>Connie &gt;10 in at Slide Mtn; Diane 19 in Westfield MA</t>
        </is>
      </c>
      <c r="J122" s="19" t="inlineStr">
        <is>
          <t>Slide Mtn coop</t>
        </is>
      </c>
      <c r="K122" s="19" t="inlineStr">
        <is>
          <t>Worst flood disaster in lower Hudson Valley; Ellenville nearly washed away; Kingston riverfront under 4 ft.</t>
        </is>
      </c>
      <c r="L122" s="19" t="inlineStr">
        <is>
          <t>NWS Albany – Past Weather Events (weather.gov/aly/pastevents)</t>
        </is>
      </c>
      <c r="M122" s="19" t="inlineStr">
        <is>
          <t>https://www.weather.gov/aly/pastevents</t>
        </is>
      </c>
      <c r="N122" s="19" t="inlineStr">
        <is>
          <t>A</t>
        </is>
      </c>
      <c r="O122" s="19" t="inlineStr">
        <is>
          <t>Y</t>
        </is>
      </c>
      <c r="P122" s="19" t="n"/>
      <c r="Q122" s="19" t="inlineStr">
        <is>
          <t>1955-08-12</t>
        </is>
      </c>
      <c r="R122" s="19">
        <f>VALUE(LEFT(Q122,4))</f>
        <v/>
      </c>
      <c r="S122" s="19">
        <f>VALUE(MID(Q122,6,2))</f>
        <v/>
      </c>
      <c r="T122" s="19">
        <f>VALUE(RIGHT(Q122,2))</f>
        <v/>
      </c>
      <c r="U122" s="19" t="inlineStr">
        <is>
          <t>days</t>
        </is>
      </c>
      <c r="V122" s="19" t="inlineStr">
        <is>
          <t>Multi-day event; anchored to first day</t>
        </is>
      </c>
    </row>
    <row r="123" ht="23.25" customHeight="1" s="13">
      <c r="A123" s="19" t="n">
        <v>122</v>
      </c>
      <c r="B123" s="19" t="inlineStr">
        <is>
          <t>1955-10-14</t>
        </is>
      </c>
      <c r="C123" s="19" t="inlineStr">
        <is>
          <t>1955-10-16</t>
        </is>
      </c>
      <c r="D123" s="19">
        <f>VALUE(LEFT(B123,4))</f>
        <v/>
      </c>
      <c r="E123" s="19">
        <f>INT((D123-1)/100)+1</f>
        <v/>
      </c>
      <c r="F123" s="19" t="inlineStr">
        <is>
          <t>Rain flood</t>
        </is>
      </c>
      <c r="G123" s="19" t="inlineStr">
        <is>
          <t>October 1955 Schoharie flood</t>
        </is>
      </c>
      <c r="H123" s="19" t="inlineStr">
        <is>
          <t>Schoharie Valley / Tannersville</t>
        </is>
      </c>
      <c r="I123" s="19" t="inlineStr">
        <is>
          <t>16–18 in over Tannersville; Burtonsville 12.4 ft (2nd highest)</t>
        </is>
      </c>
      <c r="J123" s="19" t="inlineStr">
        <is>
          <t>Schoharie Cr. at Burtonsville</t>
        </is>
      </c>
      <c r="K123" s="19" t="inlineStr">
        <is>
          <t>Devastation in the Schoharie Valley from slow coastal storm.</t>
        </is>
      </c>
      <c r="L123" s="19" t="inlineStr">
        <is>
          <t>NWS Albany – Past Weather Events (weather.gov/aly/pastevents)</t>
        </is>
      </c>
      <c r="M123" s="19" t="inlineStr">
        <is>
          <t>https://www.weather.gov/aly/pastevents</t>
        </is>
      </c>
      <c r="N123" s="19" t="inlineStr">
        <is>
          <t>A</t>
        </is>
      </c>
      <c r="O123" s="19" t="inlineStr">
        <is>
          <t>Y</t>
        </is>
      </c>
      <c r="P123" s="19" t="n"/>
      <c r="Q123" s="19" t="inlineStr">
        <is>
          <t>1955-10-14</t>
        </is>
      </c>
      <c r="R123" s="19">
        <f>VALUE(LEFT(Q123,4))</f>
        <v/>
      </c>
      <c r="S123" s="19">
        <f>VALUE(MID(Q123,6,2))</f>
        <v/>
      </c>
      <c r="T123" s="19">
        <f>VALUE(RIGHT(Q123,2))</f>
        <v/>
      </c>
      <c r="U123" s="19" t="inlineStr">
        <is>
          <t>days</t>
        </is>
      </c>
      <c r="V123" s="19" t="inlineStr">
        <is>
          <t>Multi-day event; anchored to first day</t>
        </is>
      </c>
    </row>
    <row r="124" ht="23.25" customHeight="1" s="13">
      <c r="A124" s="19" t="n">
        <v>123</v>
      </c>
      <c r="B124" s="19" t="inlineStr">
        <is>
          <t>1958-02-15</t>
        </is>
      </c>
      <c r="C124" s="19" t="inlineStr">
        <is>
          <t>1958-02-16</t>
        </is>
      </c>
      <c r="D124" s="19">
        <f>VALUE(LEFT(B124,4))</f>
        <v/>
      </c>
      <c r="E124" s="19">
        <f>INT((D124-1)/100)+1</f>
        <v/>
      </c>
      <c r="F124" s="19" t="inlineStr">
        <is>
          <t>Blizzard</t>
        </is>
      </c>
      <c r="G124" s="19" t="inlineStr">
        <is>
          <t>Blizzard of '58</t>
        </is>
      </c>
      <c r="H124" s="19" t="inlineStr">
        <is>
          <t>Region</t>
        </is>
      </c>
      <c r="I124" s="19" t="inlineStr">
        <is>
          <t>17.9 in Albany; &gt;30 in Catskills/W. New England</t>
        </is>
      </c>
      <c r="J124" s="19" t="inlineStr">
        <is>
          <t>Albany</t>
        </is>
      </c>
      <c r="K124" s="19" t="inlineStr">
        <is>
          <t>Roads blocked; Operation Haylift dropped feed to cattle.</t>
        </is>
      </c>
      <c r="L124" s="19" t="inlineStr">
        <is>
          <t>NWS Albany – Past Weather Events (weather.gov/aly/pastevents)</t>
        </is>
      </c>
      <c r="M124" s="19" t="inlineStr">
        <is>
          <t>https://www.weather.gov/aly/pastevents</t>
        </is>
      </c>
      <c r="N124" s="19" t="inlineStr">
        <is>
          <t>A</t>
        </is>
      </c>
      <c r="O124" s="19" t="inlineStr">
        <is>
          <t>Y</t>
        </is>
      </c>
      <c r="P124" s="19" t="n"/>
      <c r="Q124" s="19" t="inlineStr">
        <is>
          <t>1958-02-15</t>
        </is>
      </c>
      <c r="R124" s="19">
        <f>VALUE(LEFT(Q124,4))</f>
        <v/>
      </c>
      <c r="S124" s="19">
        <f>VALUE(MID(Q124,6,2))</f>
        <v/>
      </c>
      <c r="T124" s="19">
        <f>VALUE(RIGHT(Q124,2))</f>
        <v/>
      </c>
      <c r="U124" s="19" t="inlineStr">
        <is>
          <t>days</t>
        </is>
      </c>
      <c r="V124" s="19" t="inlineStr">
        <is>
          <t>Multi-day event; anchored to first day</t>
        </is>
      </c>
    </row>
    <row r="125" ht="23.25" customHeight="1" s="13">
      <c r="A125" s="19" t="n">
        <v>124</v>
      </c>
      <c r="B125" s="19" t="inlineStr">
        <is>
          <t>1958-03-19</t>
        </is>
      </c>
      <c r="C125" s="19" t="inlineStr">
        <is>
          <t>1958-03-21</t>
        </is>
      </c>
      <c r="D125" s="19">
        <f>VALUE(LEFT(B125,4))</f>
        <v/>
      </c>
      <c r="E125" s="19">
        <f>INT((D125-1)/100)+1</f>
        <v/>
      </c>
      <c r="F125" s="19" t="inlineStr">
        <is>
          <t>Wet snowstorm</t>
        </is>
      </c>
      <c r="G125" s="19" t="inlineStr">
        <is>
          <t>March 1958 wet snow</t>
        </is>
      </c>
      <c r="H125" s="19" t="inlineStr">
        <is>
          <t>Hudson Highlands / Catskills</t>
        </is>
      </c>
      <c r="I125" s="19" t="inlineStr">
        <is>
          <t>3–4 ft locally</t>
        </is>
      </c>
      <c r="J125" s="19" t="inlineStr">
        <is>
          <t>regional</t>
        </is>
      </c>
      <c r="K125" s="19" t="inlineStr">
        <is>
          <t>Roof collapses.</t>
        </is>
      </c>
      <c r="L125" s="19" t="inlineStr">
        <is>
          <t>Wikipedia event article (secondary; verify against NCEI/NHC)</t>
        </is>
      </c>
      <c r="M125" s="19" t="n"/>
      <c r="N125" s="19" t="inlineStr">
        <is>
          <t>B</t>
        </is>
      </c>
      <c r="O125" s="19" t="inlineStr">
        <is>
          <t>N</t>
        </is>
      </c>
      <c r="P125" s="19" t="n"/>
      <c r="Q125" s="19" t="inlineStr">
        <is>
          <t>1958-03-19</t>
        </is>
      </c>
      <c r="R125" s="19">
        <f>VALUE(LEFT(Q125,4))</f>
        <v/>
      </c>
      <c r="S125" s="19">
        <f>VALUE(MID(Q125,6,2))</f>
        <v/>
      </c>
      <c r="T125" s="19">
        <f>VALUE(RIGHT(Q125,2))</f>
        <v/>
      </c>
      <c r="U125" s="19" t="inlineStr">
        <is>
          <t>days</t>
        </is>
      </c>
      <c r="V125" s="19" t="inlineStr">
        <is>
          <t>Multi-day event; anchored to first day</t>
        </is>
      </c>
    </row>
    <row r="126" ht="23.25" customHeight="1" s="13">
      <c r="A126" s="19" t="n">
        <v>125</v>
      </c>
      <c r="B126" s="19" t="inlineStr">
        <is>
          <t>1960-04-05</t>
        </is>
      </c>
      <c r="C126" s="19" t="inlineStr">
        <is>
          <t>1960-04-05</t>
        </is>
      </c>
      <c r="D126" s="19">
        <f>VALUE(LEFT(B126,4))</f>
        <v/>
      </c>
      <c r="E126" s="19">
        <f>INT((D126-1)/100)+1</f>
        <v/>
      </c>
      <c r="F126" s="19" t="inlineStr">
        <is>
          <t>River flood</t>
        </is>
      </c>
      <c r="G126" s="19" t="inlineStr">
        <is>
          <t>April 1960 Hudson flood</t>
        </is>
      </c>
      <c r="H126" s="19" t="inlineStr">
        <is>
          <t>Troy</t>
        </is>
      </c>
      <c r="I126" s="19" t="inlineStr">
        <is>
          <t>24.41 ft (10th highest)</t>
        </is>
      </c>
      <c r="J126" s="19" t="inlineStr">
        <is>
          <t>Hudson at Troy</t>
        </is>
      </c>
      <c r="K126" s="19" t="n"/>
      <c r="L126" s="19" t="inlineStr">
        <is>
          <t>NWPS Hudson at Troy historic crests</t>
        </is>
      </c>
      <c r="M126" s="19" t="inlineStr">
        <is>
          <t>https://water.noaa.gov/gauges/tryn6</t>
        </is>
      </c>
      <c r="N126" s="19" t="inlineStr">
        <is>
          <t>A</t>
        </is>
      </c>
      <c r="O126" s="19" t="inlineStr">
        <is>
          <t>Y</t>
        </is>
      </c>
      <c r="P126" s="19" t="n"/>
      <c r="Q126" s="19" t="inlineStr">
        <is>
          <t>1960-04-05</t>
        </is>
      </c>
      <c r="R126" s="19">
        <f>VALUE(LEFT(Q126,4))</f>
        <v/>
      </c>
      <c r="S126" s="19">
        <f>VALUE(MID(Q126,6,2))</f>
        <v/>
      </c>
      <c r="T126" s="19">
        <f>VALUE(RIGHT(Q126,2))</f>
        <v/>
      </c>
      <c r="U126" s="19" t="inlineStr">
        <is>
          <t>day</t>
        </is>
      </c>
      <c r="V126" s="19" t="inlineStr">
        <is>
          <t>Single-day event</t>
        </is>
      </c>
    </row>
    <row r="127" ht="23.25" customHeight="1" s="13">
      <c r="A127" s="19" t="n">
        <v>126</v>
      </c>
      <c r="B127" s="19" t="inlineStr">
        <is>
          <t>1960-06-24</t>
        </is>
      </c>
      <c r="C127" s="19" t="inlineStr">
        <is>
          <t>1960-06-24</t>
        </is>
      </c>
      <c r="D127" s="19">
        <f>VALUE(LEFT(B127,4))</f>
        <v/>
      </c>
      <c r="E127" s="19">
        <f>INT((D127-1)/100)+1</f>
        <v/>
      </c>
      <c r="F127" s="19" t="inlineStr">
        <is>
          <t>Tornado</t>
        </is>
      </c>
      <c r="G127" s="19" t="inlineStr">
        <is>
          <t>Schenectady County F3 tornado</t>
        </is>
      </c>
      <c r="H127" s="19" t="inlineStr">
        <is>
          <t>Schenectady County</t>
        </is>
      </c>
      <c r="I127" s="19" t="inlineStr">
        <is>
          <t>F3; 9 injuries; ~$25M</t>
        </is>
      </c>
      <c r="J127" s="19" t="inlineStr">
        <is>
          <t>NCEI</t>
        </is>
      </c>
      <c r="K127" s="19" t="inlineStr">
        <is>
          <t>See Wind &amp; Tornado sheet.</t>
        </is>
      </c>
      <c r="L127" s="19" t="inlineStr">
        <is>
          <t>Tornado Project (Grazulis) NY county list 1950–2012</t>
        </is>
      </c>
      <c r="M127" s="19" t="inlineStr">
        <is>
          <t>https://www.tornadoproject.com/alltorns/nytorn.htm</t>
        </is>
      </c>
      <c r="N127" s="19" t="inlineStr">
        <is>
          <t>A</t>
        </is>
      </c>
      <c r="O127" s="19" t="inlineStr">
        <is>
          <t>Y</t>
        </is>
      </c>
      <c r="P127" s="19" t="n"/>
      <c r="Q127" s="19" t="inlineStr">
        <is>
          <t>1960-06-24</t>
        </is>
      </c>
      <c r="R127" s="19">
        <f>VALUE(LEFT(Q127,4))</f>
        <v/>
      </c>
      <c r="S127" s="19">
        <f>VALUE(MID(Q127,6,2))</f>
        <v/>
      </c>
      <c r="T127" s="19">
        <f>VALUE(RIGHT(Q127,2))</f>
        <v/>
      </c>
      <c r="U127" s="19" t="inlineStr">
        <is>
          <t>day</t>
        </is>
      </c>
      <c r="V127" s="19" t="inlineStr">
        <is>
          <t>Single-day event</t>
        </is>
      </c>
    </row>
    <row r="128" ht="23.25" customHeight="1" s="13">
      <c r="A128" s="19" t="n">
        <v>127</v>
      </c>
      <c r="B128" s="19" t="inlineStr">
        <is>
          <t>1961-02-03</t>
        </is>
      </c>
      <c r="C128" s="19" t="inlineStr">
        <is>
          <t>1961-02-04</t>
        </is>
      </c>
      <c r="D128" s="19">
        <f>VALUE(LEFT(B128,4))</f>
        <v/>
      </c>
      <c r="E128" s="19">
        <f>INT((D128-1)/100)+1</f>
        <v/>
      </c>
      <c r="F128" s="19" t="inlineStr">
        <is>
          <t>Blizzard</t>
        </is>
      </c>
      <c r="G128" s="19" t="inlineStr">
        <is>
          <t>February 1961 blizzard</t>
        </is>
      </c>
      <c r="H128" s="19" t="inlineStr">
        <is>
          <t>Region</t>
        </is>
      </c>
      <c r="I128" s="19" t="inlineStr">
        <is>
          <t>20 in+</t>
        </is>
      </c>
      <c r="J128" s="19" t="inlineStr">
        <is>
          <t>regional</t>
        </is>
      </c>
      <c r="K128" s="19" t="n"/>
      <c r="L128" s="19" t="inlineStr">
        <is>
          <t>Wikipedia event article (secondary; verify against NCEI/NHC)</t>
        </is>
      </c>
      <c r="M128" s="19" t="n"/>
      <c r="N128" s="19" t="inlineStr">
        <is>
          <t>B</t>
        </is>
      </c>
      <c r="O128" s="19" t="inlineStr">
        <is>
          <t>N</t>
        </is>
      </c>
      <c r="P128" s="19" t="n"/>
      <c r="Q128" s="19" t="inlineStr">
        <is>
          <t>1961-02-03</t>
        </is>
      </c>
      <c r="R128" s="19">
        <f>VALUE(LEFT(Q128,4))</f>
        <v/>
      </c>
      <c r="S128" s="19">
        <f>VALUE(MID(Q128,6,2))</f>
        <v/>
      </c>
      <c r="T128" s="19">
        <f>VALUE(RIGHT(Q128,2))</f>
        <v/>
      </c>
      <c r="U128" s="19" t="inlineStr">
        <is>
          <t>days</t>
        </is>
      </c>
      <c r="V128" s="19" t="inlineStr">
        <is>
          <t>Multi-day event; anchored to first day</t>
        </is>
      </c>
    </row>
    <row r="129" ht="45.75" customHeight="1" s="13">
      <c r="A129" s="19" t="n">
        <v>128</v>
      </c>
      <c r="B129" s="19" t="inlineStr">
        <is>
          <t>1962-01-01</t>
        </is>
      </c>
      <c r="C129" s="19" t="inlineStr">
        <is>
          <t>1966-12-31</t>
        </is>
      </c>
      <c r="D129" s="19">
        <f>VALUE(LEFT(B129,4))</f>
        <v/>
      </c>
      <c r="E129" s="19">
        <f>INT((D129-1)/100)+1</f>
        <v/>
      </c>
      <c r="F129" s="19" t="inlineStr">
        <is>
          <t>Drought</t>
        </is>
      </c>
      <c r="G129" s="19" t="inlineStr">
        <is>
          <t>The 1960s drought</t>
        </is>
      </c>
      <c r="H129" s="19" t="inlineStr">
        <is>
          <t>Northeast</t>
        </is>
      </c>
      <c r="I129" s="19" t="inlineStr">
        <is>
          <t>Longest/most severe in Northeast records</t>
        </is>
      </c>
      <c r="J129" s="19" t="inlineStr">
        <is>
          <t>regional</t>
        </is>
      </c>
      <c r="K129" s="19" t="inlineStr">
        <is>
          <t>NYC Catskill reservoirs near 25%; dairy/orchard losses. Independent local marker: summer 1962 drought dropped the Clarksville Cave (Gregory) sump ~3 ft, exposing the passage that connected the two cave sections.</t>
        </is>
      </c>
      <c r="L129" s="19" t="inlineStr">
        <is>
          <t>Wikipedia event article (secondary; verify against NCEI/NHC)</t>
        </is>
      </c>
      <c r="M129" s="19" t="n"/>
      <c r="N129" s="19" t="inlineStr">
        <is>
          <t>B</t>
        </is>
      </c>
      <c r="O129" s="19" t="inlineStr">
        <is>
          <t>N</t>
        </is>
      </c>
      <c r="P129" s="19" t="n"/>
      <c r="Q129" s="19" t="inlineStr">
        <is>
          <t>1965-08-15</t>
        </is>
      </c>
      <c r="R129" s="19">
        <f>VALUE(LEFT(Q129,4))</f>
        <v/>
      </c>
      <c r="S129" s="19">
        <f>VALUE(MID(Q129,6,2))</f>
        <v/>
      </c>
      <c r="T129" s="19">
        <f>VALUE(RIGHT(Q129,2))</f>
        <v/>
      </c>
      <c r="U129" s="19" t="inlineStr">
        <is>
          <t>season</t>
        </is>
      </c>
      <c r="V129" s="19" t="inlineStr">
        <is>
          <t>1965 = worst single year; reservoirs at minimum</t>
        </is>
      </c>
    </row>
    <row r="130" ht="23.25" customHeight="1" s="13">
      <c r="A130" s="19" t="n">
        <v>129</v>
      </c>
      <c r="B130" s="19" t="inlineStr">
        <is>
          <t>1964-01-13</t>
        </is>
      </c>
      <c r="C130" s="19" t="inlineStr">
        <is>
          <t>1964-01-14</t>
        </is>
      </c>
      <c r="D130" s="19">
        <f>VALUE(LEFT(B130,4))</f>
        <v/>
      </c>
      <c r="E130" s="19">
        <f>INT((D130-1)/100)+1</f>
        <v/>
      </c>
      <c r="F130" s="19" t="inlineStr">
        <is>
          <t>Blizzard</t>
        </is>
      </c>
      <c r="G130" s="19" t="inlineStr">
        <is>
          <t>Blizzard of '64</t>
        </is>
      </c>
      <c r="H130" s="19" t="inlineStr">
        <is>
          <t>Region</t>
        </is>
      </c>
      <c r="I130" s="19" t="inlineStr">
        <is>
          <t>15.4 in Albany; 30 in Catskills; gusts 50–60</t>
        </is>
      </c>
      <c r="J130" s="19" t="inlineStr">
        <is>
          <t>Albany</t>
        </is>
      </c>
      <c r="K130" s="19" t="inlineStr">
        <is>
          <t>Drifts 3–8 ft; NESIS Cat 4.</t>
        </is>
      </c>
      <c r="L130" s="19" t="inlineStr">
        <is>
          <t>NWS Albany – Past Weather Events (weather.gov/aly/pastevents)</t>
        </is>
      </c>
      <c r="M130" s="19" t="inlineStr">
        <is>
          <t>https://www.weather.gov/aly/pastevents</t>
        </is>
      </c>
      <c r="N130" s="19" t="inlineStr">
        <is>
          <t>A</t>
        </is>
      </c>
      <c r="O130" s="19" t="inlineStr">
        <is>
          <t>Y</t>
        </is>
      </c>
      <c r="P130" s="19" t="n"/>
      <c r="Q130" s="19" t="inlineStr">
        <is>
          <t>1964-01-13</t>
        </is>
      </c>
      <c r="R130" s="19">
        <f>VALUE(LEFT(Q130,4))</f>
        <v/>
      </c>
      <c r="S130" s="19">
        <f>VALUE(MID(Q130,6,2))</f>
        <v/>
      </c>
      <c r="T130" s="19">
        <f>VALUE(RIGHT(Q130,2))</f>
        <v/>
      </c>
      <c r="U130" s="19" t="inlineStr">
        <is>
          <t>days</t>
        </is>
      </c>
      <c r="V130" s="19" t="inlineStr">
        <is>
          <t>Multi-day event; anchored to first day</t>
        </is>
      </c>
    </row>
    <row r="131" ht="23.25" customHeight="1" s="13">
      <c r="A131" s="19" t="n">
        <v>130</v>
      </c>
      <c r="B131" s="19" t="inlineStr">
        <is>
          <t>1964-03-06</t>
        </is>
      </c>
      <c r="C131" s="19" t="inlineStr">
        <is>
          <t>1964-03-06</t>
        </is>
      </c>
      <c r="D131" s="19">
        <f>VALUE(LEFT(B131,4))</f>
        <v/>
      </c>
      <c r="E131" s="19">
        <f>INT((D131-1)/100)+1</f>
        <v/>
      </c>
      <c r="F131" s="19" t="inlineStr">
        <is>
          <t>Ice jam</t>
        </is>
      </c>
      <c r="G131" s="19" t="inlineStr">
        <is>
          <t>March 1964 Mohawk/Hudson ice breakup</t>
        </is>
      </c>
      <c r="H131" s="19" t="inlineStr">
        <is>
          <t>Cohoes / Waterford / Troy</t>
        </is>
      </c>
      <c r="I131" s="19" t="inlineStr">
        <is>
          <t>Troy 24.82 ft (8th highest); rapid rise at Cohoes gage</t>
        </is>
      </c>
      <c r="J131" s="19" t="inlineStr">
        <is>
          <t>Hudson at Troy; USGS Cohoes</t>
        </is>
      </c>
      <c r="K131" s="19" t="inlineStr">
        <is>
          <t>Upstream jam released a surge over Cohoes Falls into Waterford, causing damage.</t>
        </is>
      </c>
      <c r="L131" s="19" t="inlineStr">
        <is>
          <t>NWS Albany Ice Jam Trouble Spots (IceJamInfo.pdf)</t>
        </is>
      </c>
      <c r="M131" s="19" t="inlineStr">
        <is>
          <t>https://www.weather.gov/media/aly/Hydrology/IceJamInfo.pdf</t>
        </is>
      </c>
      <c r="N131" s="19" t="inlineStr">
        <is>
          <t>A</t>
        </is>
      </c>
      <c r="O131" s="19" t="inlineStr">
        <is>
          <t>Y</t>
        </is>
      </c>
      <c r="P131" s="19" t="inlineStr">
        <is>
          <t>Garver lists 1964 as a major ice year.</t>
        </is>
      </c>
      <c r="Q131" s="19" t="inlineStr">
        <is>
          <t>1964-03-06</t>
        </is>
      </c>
      <c r="R131" s="19">
        <f>VALUE(LEFT(Q131,4))</f>
        <v/>
      </c>
      <c r="S131" s="19">
        <f>VALUE(MID(Q131,6,2))</f>
        <v/>
      </c>
      <c r="T131" s="19">
        <f>VALUE(RIGHT(Q131,2))</f>
        <v/>
      </c>
      <c r="U131" s="19" t="inlineStr">
        <is>
          <t>day</t>
        </is>
      </c>
      <c r="V131" s="19" t="inlineStr">
        <is>
          <t>Single-day event</t>
        </is>
      </c>
    </row>
    <row r="132" ht="23.25" customHeight="1" s="13">
      <c r="A132" s="19" t="n">
        <v>131</v>
      </c>
      <c r="B132" s="19" t="inlineStr">
        <is>
          <t>1964-12-04</t>
        </is>
      </c>
      <c r="C132" s="19" t="inlineStr">
        <is>
          <t>1964-12-05</t>
        </is>
      </c>
      <c r="D132" s="19">
        <f>VALUE(LEFT(B132,4))</f>
        <v/>
      </c>
      <c r="E132" s="19">
        <f>INT((D132-1)/100)+1</f>
        <v/>
      </c>
      <c r="F132" s="19" t="inlineStr">
        <is>
          <t>Ice storm</t>
        </is>
      </c>
      <c r="G132" s="19" t="inlineStr">
        <is>
          <t>Worst ice storm on record (1964)</t>
        </is>
      </c>
      <c r="H132" s="19" t="inlineStr">
        <is>
          <t>East-central NY</t>
        </is>
      </c>
      <c r="I132" s="19" t="inlineStr">
        <is>
          <t>Up to 1.5 in ice</t>
        </is>
      </c>
      <c r="J132" s="19" t="inlineStr">
        <is>
          <t>regional</t>
        </is>
      </c>
      <c r="K132" s="19" t="inlineStr">
        <is>
          <t>Power out up to 2 weeks; schools closed a week; ~$5M.</t>
        </is>
      </c>
      <c r="L132" s="19" t="inlineStr">
        <is>
          <t>NWS Albany – Past Weather Events (weather.gov/aly/pastevents)</t>
        </is>
      </c>
      <c r="M132" s="19" t="inlineStr">
        <is>
          <t>https://www.weather.gov/aly/pastevents</t>
        </is>
      </c>
      <c r="N132" s="19" t="inlineStr">
        <is>
          <t>A</t>
        </is>
      </c>
      <c r="O132" s="19" t="inlineStr">
        <is>
          <t>Y</t>
        </is>
      </c>
      <c r="P132" s="19" t="n"/>
      <c r="Q132" s="19" t="inlineStr">
        <is>
          <t>1964-12-04</t>
        </is>
      </c>
      <c r="R132" s="19">
        <f>VALUE(LEFT(Q132,4))</f>
        <v/>
      </c>
      <c r="S132" s="19">
        <f>VALUE(MID(Q132,6,2))</f>
        <v/>
      </c>
      <c r="T132" s="19">
        <f>VALUE(RIGHT(Q132,2))</f>
        <v/>
      </c>
      <c r="U132" s="19" t="inlineStr">
        <is>
          <t>days</t>
        </is>
      </c>
      <c r="V132" s="19" t="inlineStr">
        <is>
          <t>Multi-day event; anchored to first day</t>
        </is>
      </c>
    </row>
    <row r="133" ht="23.25" customHeight="1" s="13">
      <c r="A133" s="19" t="n">
        <v>132</v>
      </c>
      <c r="B133" s="19" t="inlineStr">
        <is>
          <t>1966-01-29</t>
        </is>
      </c>
      <c r="C133" s="19" t="inlineStr">
        <is>
          <t>1966-01-31</t>
        </is>
      </c>
      <c r="D133" s="19">
        <f>VALUE(LEFT(B133,4))</f>
        <v/>
      </c>
      <c r="E133" s="19">
        <f>INT((D133-1)/100)+1</f>
        <v/>
      </c>
      <c r="F133" s="19" t="inlineStr">
        <is>
          <t>Blizzard</t>
        </is>
      </c>
      <c r="G133" s="19" t="inlineStr">
        <is>
          <t>Blizzard of '66</t>
        </is>
      </c>
      <c r="H133" s="19" t="inlineStr">
        <is>
          <t>Region / central NY</t>
        </is>
      </c>
      <c r="I133" s="19" t="inlineStr">
        <is>
          <t>~12 in Albany; 75 in Oswego</t>
        </is>
      </c>
      <c r="J133" s="19" t="inlineStr">
        <is>
          <t>Albany</t>
        </is>
      </c>
      <c r="K133" s="19" t="inlineStr">
        <is>
          <t>NESIS Cat 3.</t>
        </is>
      </c>
      <c r="L133" s="19" t="inlineStr">
        <is>
          <t>NWS Albany – Past Weather Events (weather.gov/aly/pastevents)</t>
        </is>
      </c>
      <c r="M133" s="19" t="inlineStr">
        <is>
          <t>https://www.weather.gov/aly/pastevents</t>
        </is>
      </c>
      <c r="N133" s="19" t="inlineStr">
        <is>
          <t>A</t>
        </is>
      </c>
      <c r="O133" s="19" t="inlineStr">
        <is>
          <t>Y</t>
        </is>
      </c>
      <c r="P133" s="19" t="n"/>
      <c r="Q133" s="19" t="inlineStr">
        <is>
          <t>1966-01-29</t>
        </is>
      </c>
      <c r="R133" s="19">
        <f>VALUE(LEFT(Q133,4))</f>
        <v/>
      </c>
      <c r="S133" s="19">
        <f>VALUE(MID(Q133,6,2))</f>
        <v/>
      </c>
      <c r="T133" s="19">
        <f>VALUE(RIGHT(Q133,2))</f>
        <v/>
      </c>
      <c r="U133" s="19" t="inlineStr">
        <is>
          <t>days</t>
        </is>
      </c>
      <c r="V133" s="19" t="inlineStr">
        <is>
          <t>Multi-day event; anchored to first day</t>
        </is>
      </c>
    </row>
    <row r="134" ht="23.25" customHeight="1" s="13">
      <c r="A134" s="19" t="n">
        <v>133</v>
      </c>
      <c r="B134" s="19" t="inlineStr">
        <is>
          <t>1966-06-01</t>
        </is>
      </c>
      <c r="C134" s="19" t="inlineStr">
        <is>
          <t>1966-07-31</t>
        </is>
      </c>
      <c r="D134" s="19">
        <f>VALUE(LEFT(B134,4))</f>
        <v/>
      </c>
      <c r="E134" s="19">
        <f>INT((D134-1)/100)+1</f>
        <v/>
      </c>
      <c r="F134" s="19" t="inlineStr">
        <is>
          <t>Heat wave / drought peak</t>
        </is>
      </c>
      <c r="G134" s="19" t="inlineStr">
        <is>
          <t>Summer 1966 heat</t>
        </is>
      </c>
      <c r="H134" s="19" t="inlineStr">
        <is>
          <t>Region</t>
        </is>
      </c>
      <c r="I134" s="19" t="inlineStr">
        <is>
          <t>Prolonged 90s</t>
        </is>
      </c>
      <c r="J134" s="19" t="inlineStr">
        <is>
          <t>regional</t>
        </is>
      </c>
      <c r="K134" s="19" t="inlineStr">
        <is>
          <t>Peak of 1960s drought.</t>
        </is>
      </c>
      <c r="L134" s="19" t="inlineStr">
        <is>
          <t>Wikipedia event article (secondary; verify against NCEI/NHC)</t>
        </is>
      </c>
      <c r="M134" s="19" t="n"/>
      <c r="N134" s="19" t="inlineStr">
        <is>
          <t>B</t>
        </is>
      </c>
      <c r="O134" s="19" t="inlineStr">
        <is>
          <t>N</t>
        </is>
      </c>
      <c r="P134" s="19" t="n"/>
      <c r="Q134" s="19" t="inlineStr">
        <is>
          <t>1966-07-03</t>
        </is>
      </c>
      <c r="R134" s="19">
        <f>VALUE(LEFT(Q134,4))</f>
        <v/>
      </c>
      <c r="S134" s="19">
        <f>VALUE(MID(Q134,6,2))</f>
        <v/>
      </c>
      <c r="T134" s="19">
        <f>VALUE(RIGHT(Q134,2))</f>
        <v/>
      </c>
      <c r="U134" s="19" t="inlineStr">
        <is>
          <t>days</t>
        </is>
      </c>
      <c r="V134" s="19" t="inlineStr">
        <is>
          <t>Jul 1–5, 1966 peak heat</t>
        </is>
      </c>
    </row>
    <row r="135" ht="23.25" customHeight="1" s="13">
      <c r="A135" s="19" t="n">
        <v>134</v>
      </c>
      <c r="B135" s="19" t="inlineStr">
        <is>
          <t>1969-12-25</t>
        </is>
      </c>
      <c r="C135" s="19" t="inlineStr">
        <is>
          <t>1969-12-28</t>
        </is>
      </c>
      <c r="D135" s="19">
        <f>VALUE(LEFT(B135,4))</f>
        <v/>
      </c>
      <c r="E135" s="19">
        <f>INT((D135-1)/100)+1</f>
        <v/>
      </c>
      <c r="F135" s="19" t="inlineStr">
        <is>
          <t>Snowstorm</t>
        </is>
      </c>
      <c r="G135" s="19" t="inlineStr">
        <is>
          <t>Post-Christmas Snowstorm of 1969</t>
        </is>
      </c>
      <c r="H135" s="19" t="inlineStr">
        <is>
          <t>Region</t>
        </is>
      </c>
      <c r="I135" s="19" t="inlineStr">
        <is>
          <t>26.4 in Albany (Dec record, 3rd all-time); –22°F Dec 25</t>
        </is>
      </c>
      <c r="J135" s="19" t="inlineStr">
        <is>
          <t>Albany</t>
        </is>
      </c>
      <c r="K135" s="19" t="inlineStr">
        <is>
          <t>Streets uncleared 3–4 weeks; Dec 1969 snowiest month on record.</t>
        </is>
      </c>
      <c r="L135" s="19" t="inlineStr">
        <is>
          <t>NWS Albany – Past Weather Events (weather.gov/aly/pastevents) ; The News-Herald (Ravena/Coeymans), Jan 2 1970 ('Picture of Storm in Local Area' / 'A Wedding Story in the Storm') [uploaded PDF scan]</t>
        </is>
      </c>
      <c r="M135" s="19" t="inlineStr">
        <is>
          <t>https://www.weather.gov/aly/pastevents</t>
        </is>
      </c>
      <c r="N135" s="19" t="inlineStr">
        <is>
          <t>A</t>
        </is>
      </c>
      <c r="O135" s="19" t="inlineStr">
        <is>
          <t>Y</t>
        </is>
      </c>
      <c r="P135" s="19" t="inlineStr">
        <is>
          <t>2026-09-22 (v828, atlas session): ENRICHED from research-chat intake row 362 (same event; merged, not added). A blizzard the week of Christmas 1969 buried Ravena and Coeymans in heavy snow: drifts reached to within about ten inches of a house roof, and on Monday Dec 29 the east-side roof of the Ravena Iron Company plant gave way under the snow load (the plant was empty, closed for two weeks). An awning at the Cibbon Bar on Pulver Avenue and at least two roofs on Route 9W toward Coeymans also caved in. Heavy winds on Sat Dec 27 (a local wedding day) whipped the snow into severe drifts. || Key measurement per that source: Snow drifted to within ~10 in of a house roof; Ravena Iron Co. plant roof collapsed under the snow load || Intake notes: 2026-09-22: added per Laurie (PDF scan). In-core southern-Albany-County blizzard with a snow-load structural failure (Ravena Iron Co. roof). A-grade NWS/NCEI snowfall data could firm up totals at merge. EXISTENCE-GUARD at merge.</t>
        </is>
      </c>
      <c r="Q135" s="19" t="inlineStr">
        <is>
          <t>1969-12-25</t>
        </is>
      </c>
      <c r="R135" s="19">
        <f>VALUE(LEFT(Q135,4))</f>
        <v/>
      </c>
      <c r="S135" s="19">
        <f>VALUE(MID(Q135,6,2))</f>
        <v/>
      </c>
      <c r="T135" s="19">
        <f>VALUE(RIGHT(Q135,2))</f>
        <v/>
      </c>
      <c r="U135" s="19" t="inlineStr">
        <is>
          <t>days</t>
        </is>
      </c>
      <c r="V135" s="19" t="inlineStr">
        <is>
          <t>Multi-day event; anchored to first day</t>
        </is>
      </c>
    </row>
    <row r="136" ht="23.25" customHeight="1" s="13">
      <c r="A136" s="19" t="n">
        <v>135</v>
      </c>
      <c r="B136" s="19" t="inlineStr">
        <is>
          <t>1971-01-19</t>
        </is>
      </c>
      <c r="C136" s="19" t="inlineStr">
        <is>
          <t>1971-01-19</t>
        </is>
      </c>
      <c r="D136" s="19">
        <f>VALUE(LEFT(B136,4))</f>
        <v/>
      </c>
      <c r="E136" s="19">
        <f>INT((D136-1)/100)+1</f>
        <v/>
      </c>
      <c r="F136" s="19" t="inlineStr">
        <is>
          <t>Arctic outbreak</t>
        </is>
      </c>
      <c r="G136" s="19" t="inlineStr">
        <is>
          <t>Albany all-time record low</t>
        </is>
      </c>
      <c r="H136" s="19" t="inlineStr">
        <is>
          <t>Albany</t>
        </is>
      </c>
      <c r="I136" s="19" t="inlineStr">
        <is>
          <t>–28°F</t>
        </is>
      </c>
      <c r="J136" s="19" t="inlineStr">
        <is>
          <t>Albany</t>
        </is>
      </c>
      <c r="K136" s="19" t="n"/>
      <c r="L136" s="19" t="inlineStr">
        <is>
          <t>Wikipedia event article (secondary; verify against NCEI/NHC)</t>
        </is>
      </c>
      <c r="M136" s="19" t="n"/>
      <c r="N136" s="19" t="inlineStr">
        <is>
          <t>B</t>
        </is>
      </c>
      <c r="O136" s="19" t="inlineStr">
        <is>
          <t>N</t>
        </is>
      </c>
      <c r="P136" s="19" t="inlineStr">
        <is>
          <t>Verify against ALB_Extremes.pdf.</t>
        </is>
      </c>
      <c r="Q136" s="19" t="inlineStr">
        <is>
          <t>1971-01-19</t>
        </is>
      </c>
      <c r="R136" s="19">
        <f>VALUE(LEFT(Q136,4))</f>
        <v/>
      </c>
      <c r="S136" s="19">
        <f>VALUE(MID(Q136,6,2))</f>
        <v/>
      </c>
      <c r="T136" s="19">
        <f>VALUE(RIGHT(Q136,2))</f>
        <v/>
      </c>
      <c r="U136" s="19" t="inlineStr">
        <is>
          <t>day</t>
        </is>
      </c>
      <c r="V136" s="19" t="inlineStr">
        <is>
          <t>Single-day event</t>
        </is>
      </c>
    </row>
    <row r="137" ht="23.25" customHeight="1" s="13">
      <c r="A137" s="19" t="n">
        <v>136</v>
      </c>
      <c r="B137" s="19" t="inlineStr">
        <is>
          <t>1971-11-24</t>
        </is>
      </c>
      <c r="C137" s="19" t="inlineStr">
        <is>
          <t>1971-11-25</t>
        </is>
      </c>
      <c r="D137" s="19">
        <f>VALUE(LEFT(B137,4))</f>
        <v/>
      </c>
      <c r="E137" s="19">
        <f>INT((D137-1)/100)+1</f>
        <v/>
      </c>
      <c r="F137" s="19" t="inlineStr">
        <is>
          <t>Snowstorm</t>
        </is>
      </c>
      <c r="G137" s="19" t="inlineStr">
        <is>
          <t>Thanksgiving Snowstorm of 1971</t>
        </is>
      </c>
      <c r="H137" s="19" t="inlineStr">
        <is>
          <t>Catskills / upper Hudson</t>
        </is>
      </c>
      <c r="I137" s="19" t="inlineStr">
        <is>
          <t>22.5 in Albany; up to 30 in</t>
        </is>
      </c>
      <c r="J137" s="19" t="inlineStr">
        <is>
          <t>Albany</t>
        </is>
      </c>
      <c r="K137" s="19" t="inlineStr">
        <is>
          <t>Greatest November storm on record.</t>
        </is>
      </c>
      <c r="L137" s="19" t="inlineStr">
        <is>
          <t>NWS Albany – Past Weather Events (weather.gov/aly/pastevents)</t>
        </is>
      </c>
      <c r="M137" s="19" t="inlineStr">
        <is>
          <t>https://www.weather.gov/aly/pastevents</t>
        </is>
      </c>
      <c r="N137" s="19" t="inlineStr">
        <is>
          <t>A</t>
        </is>
      </c>
      <c r="O137" s="19" t="inlineStr">
        <is>
          <t>Y</t>
        </is>
      </c>
      <c r="P137" s="19" t="n"/>
      <c r="Q137" s="19" t="inlineStr">
        <is>
          <t>1971-11-24</t>
        </is>
      </c>
      <c r="R137" s="19">
        <f>VALUE(LEFT(Q137,4))</f>
        <v/>
      </c>
      <c r="S137" s="19">
        <f>VALUE(MID(Q137,6,2))</f>
        <v/>
      </c>
      <c r="T137" s="19">
        <f>VALUE(RIGHT(Q137,2))</f>
        <v/>
      </c>
      <c r="U137" s="19" t="inlineStr">
        <is>
          <t>days</t>
        </is>
      </c>
      <c r="V137" s="19" t="inlineStr">
        <is>
          <t>Multi-day event; anchored to first day</t>
        </is>
      </c>
    </row>
    <row r="138" ht="23.25" customHeight="1" s="13">
      <c r="A138" s="19" t="n">
        <v>137</v>
      </c>
      <c r="B138" s="19" t="inlineStr">
        <is>
          <t>1972-06-19</t>
        </is>
      </c>
      <c r="C138" s="19" t="inlineStr">
        <is>
          <t>1972-06-25</t>
        </is>
      </c>
      <c r="D138" s="19">
        <f>VALUE(LEFT(B138,4))</f>
        <v/>
      </c>
      <c r="E138" s="19">
        <f>INT((D138-1)/100)+1</f>
        <v/>
      </c>
      <c r="F138" s="19" t="inlineStr">
        <is>
          <t>Tropical cyclone / flood</t>
        </is>
      </c>
      <c r="G138" s="19" t="inlineStr">
        <is>
          <t>Hurricane Agnes</t>
        </is>
      </c>
      <c r="H138" s="19" t="inlineStr">
        <is>
          <t>Southern Tier / Catskills</t>
        </is>
      </c>
      <c r="I138" s="19" t="inlineStr">
        <is>
          <t>10 in+ Slide Mtn; Sacandaga record level</t>
        </is>
      </c>
      <c r="J138" s="19" t="inlineStr">
        <is>
          <t>Slide Mtn coop</t>
        </is>
      </c>
      <c r="K138" s="19" t="inlineStr">
        <is>
          <t>Devastating in Elmira/Corning; Esopus flooding relatively minor.</t>
        </is>
      </c>
      <c r="L138" s="19" t="inlineStr">
        <is>
          <t>NWS Albany – Past Weather Events (weather.gov/aly/pastevents)</t>
        </is>
      </c>
      <c r="M138" s="19" t="inlineStr">
        <is>
          <t>https://www.weather.gov/aly/pastevents</t>
        </is>
      </c>
      <c r="N138" s="19" t="inlineStr">
        <is>
          <t>A</t>
        </is>
      </c>
      <c r="O138" s="19" t="inlineStr">
        <is>
          <t>Y</t>
        </is>
      </c>
      <c r="P138" s="19" t="n"/>
      <c r="Q138" s="19" t="inlineStr">
        <is>
          <t>1972-06-19</t>
        </is>
      </c>
      <c r="R138" s="19">
        <f>VALUE(LEFT(Q138,4))</f>
        <v/>
      </c>
      <c r="S138" s="19">
        <f>VALUE(MID(Q138,6,2))</f>
        <v/>
      </c>
      <c r="T138" s="19">
        <f>VALUE(RIGHT(Q138,2))</f>
        <v/>
      </c>
      <c r="U138" s="19" t="inlineStr">
        <is>
          <t>days</t>
        </is>
      </c>
      <c r="V138" s="19" t="inlineStr">
        <is>
          <t>Multi-day event; anchored to first day</t>
        </is>
      </c>
    </row>
    <row r="139" ht="23.25" customHeight="1" s="13">
      <c r="A139" s="19" t="n">
        <v>138</v>
      </c>
      <c r="B139" s="19" t="inlineStr">
        <is>
          <t>1973-08-28</t>
        </is>
      </c>
      <c r="C139" s="19" t="inlineStr">
        <is>
          <t>1973-08-28</t>
        </is>
      </c>
      <c r="D139" s="19">
        <f>VALUE(LEFT(B139,4))</f>
        <v/>
      </c>
      <c r="E139" s="19">
        <f>INT((D139-1)/100)+1</f>
        <v/>
      </c>
      <c r="F139" s="19" t="inlineStr">
        <is>
          <t>Tornado</t>
        </is>
      </c>
      <c r="G139" s="19" t="inlineStr">
        <is>
          <t>Columbia County F4 (into MA)</t>
        </is>
      </c>
      <c r="H139" s="19" t="inlineStr">
        <is>
          <t>Columbia / Rensselaer counties</t>
        </is>
      </c>
      <c r="I139" s="19" t="inlineStr">
        <is>
          <t>F4; first recorded F4 in NY</t>
        </is>
      </c>
      <c r="J139" s="19" t="inlineStr">
        <is>
          <t>NCEI</t>
        </is>
      </c>
      <c r="K139" s="19" t="inlineStr">
        <is>
          <t>See Wind &amp; Tornado sheet.</t>
        </is>
      </c>
      <c r="L139" s="19" t="inlineStr">
        <is>
          <t>Tornado Project (Grazulis) NY county list 1950–2012</t>
        </is>
      </c>
      <c r="M139" s="19" t="inlineStr">
        <is>
          <t>https://www.tornadoproject.com/alltorns/nytorn.htm</t>
        </is>
      </c>
      <c r="N139" s="19" t="inlineStr">
        <is>
          <t>A</t>
        </is>
      </c>
      <c r="O139" s="19" t="inlineStr">
        <is>
          <t>Y</t>
        </is>
      </c>
      <c r="P139" s="19" t="n"/>
      <c r="Q139" s="19" t="inlineStr">
        <is>
          <t>1973-08-28</t>
        </is>
      </c>
      <c r="R139" s="19">
        <f>VALUE(LEFT(Q139,4))</f>
        <v/>
      </c>
      <c r="S139" s="19">
        <f>VALUE(MID(Q139,6,2))</f>
        <v/>
      </c>
      <c r="T139" s="19">
        <f>VALUE(RIGHT(Q139,2))</f>
        <v/>
      </c>
      <c r="U139" s="19" t="inlineStr">
        <is>
          <t>day</t>
        </is>
      </c>
      <c r="V139" s="19" t="inlineStr">
        <is>
          <t>Single-day event</t>
        </is>
      </c>
    </row>
    <row r="140" ht="23.25" customHeight="1" s="13">
      <c r="A140" s="19" t="n">
        <v>139</v>
      </c>
      <c r="B140" s="19" t="inlineStr">
        <is>
          <t>1973-12-16</t>
        </is>
      </c>
      <c r="C140" s="19" t="inlineStr">
        <is>
          <t>1973-12-17</t>
        </is>
      </c>
      <c r="D140" s="19">
        <f>VALUE(LEFT(B140,4))</f>
        <v/>
      </c>
      <c r="E140" s="19">
        <f>INT((D140-1)/100)+1</f>
        <v/>
      </c>
      <c r="F140" s="19" t="inlineStr">
        <is>
          <t>Ice storm</t>
        </is>
      </c>
      <c r="G140" s="19" t="inlineStr">
        <is>
          <t>December 1973 ice storm</t>
        </is>
      </c>
      <c r="H140" s="19" t="inlineStr">
        <is>
          <t>Lower Hudson / CT</t>
        </is>
      </c>
      <c r="I140" s="19" t="inlineStr">
        <is>
          <t>Weeks-long outages locally</t>
        </is>
      </c>
      <c r="J140" s="19" t="inlineStr">
        <is>
          <t>regional</t>
        </is>
      </c>
      <c r="K140" s="19" t="n"/>
      <c r="L140" s="19" t="inlineStr">
        <is>
          <t>Wikipedia event article (secondary; verify against NCEI/NHC)</t>
        </is>
      </c>
      <c r="M140" s="19" t="n"/>
      <c r="N140" s="19" t="inlineStr">
        <is>
          <t>C</t>
        </is>
      </c>
      <c r="O140" s="19" t="inlineStr">
        <is>
          <t>N</t>
        </is>
      </c>
      <c r="P140" s="19" t="inlineStr">
        <is>
          <t>Mostly CT; verify NY extent.</t>
        </is>
      </c>
      <c r="Q140" s="19" t="inlineStr">
        <is>
          <t>1973-12-16</t>
        </is>
      </c>
      <c r="R140" s="19">
        <f>VALUE(LEFT(Q140,4))</f>
        <v/>
      </c>
      <c r="S140" s="19">
        <f>VALUE(MID(Q140,6,2))</f>
        <v/>
      </c>
      <c r="T140" s="19">
        <f>VALUE(RIGHT(Q140,2))</f>
        <v/>
      </c>
      <c r="U140" s="19" t="inlineStr">
        <is>
          <t>days</t>
        </is>
      </c>
      <c r="V140" s="19" t="inlineStr">
        <is>
          <t>Multi-day event; anchored to first day</t>
        </is>
      </c>
    </row>
    <row r="141" ht="23.25" customHeight="1" s="13">
      <c r="A141" s="19" t="n">
        <v>140</v>
      </c>
      <c r="B141" s="19" t="inlineStr">
        <is>
          <t>1974-06-16</t>
        </is>
      </c>
      <c r="C141" s="19" t="inlineStr">
        <is>
          <t>1974-06-16</t>
        </is>
      </c>
      <c r="D141" s="19">
        <f>VALUE(LEFT(B141,4))</f>
        <v/>
      </c>
      <c r="E141" s="19">
        <f>INT((D141-1)/100)+1</f>
        <v/>
      </c>
      <c r="F141" s="19" t="inlineStr">
        <is>
          <t>Tornado</t>
        </is>
      </c>
      <c r="G141" s="19" t="inlineStr">
        <is>
          <t>Greene→Saratoga long-track F3</t>
        </is>
      </c>
      <c r="H141" s="19" t="inlineStr">
        <is>
          <t>Greene / Albany / Saratoga</t>
        </is>
      </c>
      <c r="I141" s="19" t="inlineStr">
        <is>
          <t>F3; ~49 mi track</t>
        </is>
      </c>
      <c r="J141" s="19" t="inlineStr">
        <is>
          <t>NCEI</t>
        </is>
      </c>
      <c r="K141" s="19" t="inlineStr">
        <is>
          <t>See Wind &amp; Tornado sheet.</t>
        </is>
      </c>
      <c r="L141" s="19" t="inlineStr">
        <is>
          <t>Tornado Project (Grazulis) NY county list 1950–2012</t>
        </is>
      </c>
      <c r="M141" s="19" t="inlineStr">
        <is>
          <t>https://www.tornadoproject.com/alltorns/nytorn.htm</t>
        </is>
      </c>
      <c r="N141" s="19" t="inlineStr">
        <is>
          <t>A</t>
        </is>
      </c>
      <c r="O141" s="19" t="inlineStr">
        <is>
          <t>Y</t>
        </is>
      </c>
      <c r="P141" s="19" t="n"/>
      <c r="Q141" s="19" t="inlineStr">
        <is>
          <t>1974-06-16</t>
        </is>
      </c>
      <c r="R141" s="19">
        <f>VALUE(LEFT(Q141,4))</f>
        <v/>
      </c>
      <c r="S141" s="19">
        <f>VALUE(MID(Q141,6,2))</f>
        <v/>
      </c>
      <c r="T141" s="19">
        <f>VALUE(RIGHT(Q141,2))</f>
        <v/>
      </c>
      <c r="U141" s="19" t="inlineStr">
        <is>
          <t>day</t>
        </is>
      </c>
      <c r="V141" s="19" t="inlineStr">
        <is>
          <t>Single-day event</t>
        </is>
      </c>
    </row>
    <row r="142" ht="135.75" customHeight="1" s="13">
      <c r="A142" s="19" t="n">
        <v>141</v>
      </c>
      <c r="B142" s="19" t="inlineStr">
        <is>
          <t>1975-03-01</t>
        </is>
      </c>
      <c r="C142" s="19" t="inlineStr">
        <is>
          <t>1975-03-01</t>
        </is>
      </c>
      <c r="D142" s="19">
        <f>VALUE(LEFT(B142,4))</f>
        <v/>
      </c>
      <c r="E142" s="19">
        <f>INT((D142-1)/100)+1</f>
        <v/>
      </c>
      <c r="F142" s="19" t="inlineStr">
        <is>
          <t>Sinkhole / karst (event)</t>
        </is>
      </c>
      <c r="G142" s="19" t="inlineStr">
        <is>
          <t>Knox Cave entrance-sinkhole ice collapse</t>
        </is>
      </c>
      <c r="H142" s="19" t="inlineStr">
        <is>
          <t>Knox, Albany Co. (Helderberg karst)</t>
        </is>
      </c>
      <c r="I142" s="19" t="inlineStr">
        <is>
          <t>Spring 1975 (Mar or May per conflicting accounts): SUNY Albany students tried to enter through the ice-encrusted sink; spring snowmelt/field runoff cascaded behind the ice and a massive block broke away, killing 1 student and paralyzing another from the neck down</t>
        </is>
      </c>
      <c r="J142" s="19" t="inlineStr">
        <is>
          <t>NCC / NSS</t>
        </is>
      </c>
      <c r="K142" s="19" t="inlineStr">
        <is>
          <t>Two intermittent streams feed the sink and build ice that can last into June; the collapse led directly to the founding of the Northeastern Cave Conservancy (whose sole original asset was Knox Cave + 9 acres). D.C. Robinson d.1961; Ada allowed access until her death 1964; Organa Industries bought it mid-1960s &amp; went bankrupt (the rusting steam shovel); arson took the skating rink &amp; the 200-yr-old farmhouse. After the Mar 1975 death, a Schenectady doctor (tax-sale owner) tried to donate it to the NSS, which refused over liability; Palmer, Addis &amp; Harbison founded the NCC in 1978 to save it. Later work added ~1000 ft of passage + an unconnected segment, Crossbones Cave. First safety stairs 1979; replaced by 72 timber-box steps Aug 2025.</t>
        </is>
      </c>
      <c r="L142" s="19" t="inlineStr">
        <is>
          <t>Northeastern Cave Conservancy preserve management plans &amp; board minutes; Altamont Enterprise "Back Roads Geology" (Nardacci); NSS 1991 Knox writeup</t>
        </is>
      </c>
      <c r="M142" s="19" t="inlineStr">
        <is>
          <t>https://necaveconservancy.org/preserves/</t>
        </is>
      </c>
      <c r="N142" s="19" t="inlineStr">
        <is>
          <t>B</t>
        </is>
      </c>
      <c r="O142" s="19" t="inlineStr">
        <is>
          <t>Y</t>
        </is>
      </c>
      <c r="P142" s="19" t="inlineStr">
        <is>
          <t>NCC-confirmed. Entrance is an active, steep karst sinkhole — the type-example Subsidence feature on the plateau. DATE: 1975 firm; MONTH unsettled. Nardacci gives March 1975 in one 2018 column and May 1975 in another (both: SUNY Albany students, ice-encrusted sink, spring runoff cascading behind the ice, a block broke away); a third source says 1976. Year=1975 is well-supported; month (Mar vs May) genuinely conflicts even within one author. Do not assert a month. UPDATE 2026-09-21 (Claude, atlas session): the William G. Pomeroy Foundation's 2025 Knox Cave historic marker (wgpfoundation.org) independently states "March 1975." That makes it 2 sources for March (Nardacci one column + the 2025 marker) vs 1 for May (Nardacci's other column) vs 1 for 1976 (unidentified third source). Leaning the anchor to March 1975 (month precision, day NOT asserted) on that weight of evidence — this is still Confidence B, not resolved to certainty; a primary 1975 newspaper account would settle it outright and hasn't been found. Anchor/date-precision fields corrected to match (were wrongly set to day-precision 1975-05-15, contradicting this row's own 'do not assert a month' instruction). 2026-09-22 (merge, atlas session): corroborated by Nardacci, Altamont Enterprise Oct 21 2004 ('a tragic fatal accident involving falling ice at the entrance in the 1970s') — confirms the event, dates it only to the decade; same column notes a boulder over the stairs that fell in the 1970s.</t>
        </is>
      </c>
      <c r="Q142" s="19" t="inlineStr">
        <is>
          <t>1975-03-01</t>
        </is>
      </c>
      <c r="R142" s="19">
        <f>VALUE(LEFT(Q142,4))</f>
        <v/>
      </c>
      <c r="S142" s="19">
        <f>VALUE(MID(Q142,6,2))</f>
        <v/>
      </c>
      <c r="T142" s="19">
        <f>VALUE(RIGHT(Q142,2))</f>
        <v/>
      </c>
      <c r="U142" s="19" t="inlineStr">
        <is>
          <t>month</t>
        </is>
      </c>
      <c r="V142" s="19" t="inlineStr">
        <is>
          <t>Single-day event</t>
        </is>
      </c>
    </row>
    <row r="143" ht="23.25" customHeight="1" s="13">
      <c r="A143" s="19" t="n">
        <v>142</v>
      </c>
      <c r="B143" s="19" t="inlineStr">
        <is>
          <t>1975-09-24</t>
        </is>
      </c>
      <c r="C143" s="19" t="inlineStr">
        <is>
          <t>1975-09-27</t>
        </is>
      </c>
      <c r="D143" s="19">
        <f>VALUE(LEFT(B143,4))</f>
        <v/>
      </c>
      <c r="E143" s="19">
        <f>INT((D143-1)/100)+1</f>
        <v/>
      </c>
      <c r="F143" s="19" t="inlineStr">
        <is>
          <t>Tropical cyclone / flood</t>
        </is>
      </c>
      <c r="G143" s="19" t="inlineStr">
        <is>
          <t>Hurricane Eloise remnants</t>
        </is>
      </c>
      <c r="H143" s="19" t="inlineStr">
        <is>
          <t>Susquehanna / Catskills</t>
        </is>
      </c>
      <c r="I143" s="19" t="inlineStr">
        <is>
          <t>Significant flooding</t>
        </is>
      </c>
      <c r="J143" s="19" t="inlineStr">
        <is>
          <t>regional</t>
        </is>
      </c>
      <c r="K143" s="19" t="n"/>
      <c r="L143" s="19" t="inlineStr">
        <is>
          <t>NWS Albany – Past Weather Events (weather.gov/aly/pastevents)</t>
        </is>
      </c>
      <c r="M143" s="19" t="inlineStr">
        <is>
          <t>https://www.weather.gov/aly/pastevents</t>
        </is>
      </c>
      <c r="N143" s="19" t="inlineStr">
        <is>
          <t>B</t>
        </is>
      </c>
      <c r="O143" s="19" t="inlineStr">
        <is>
          <t>Y</t>
        </is>
      </c>
      <c r="P143" s="19" t="n"/>
      <c r="Q143" s="19" t="inlineStr">
        <is>
          <t>1975-09-24</t>
        </is>
      </c>
      <c r="R143" s="19">
        <f>VALUE(LEFT(Q143,4))</f>
        <v/>
      </c>
      <c r="S143" s="19">
        <f>VALUE(MID(Q143,6,2))</f>
        <v/>
      </c>
      <c r="T143" s="19">
        <f>VALUE(RIGHT(Q143,2))</f>
        <v/>
      </c>
      <c r="U143" s="19" t="inlineStr">
        <is>
          <t>days</t>
        </is>
      </c>
      <c r="V143" s="19" t="inlineStr">
        <is>
          <t>Multi-day event; anchored to first day</t>
        </is>
      </c>
    </row>
    <row r="144" ht="23.25" customHeight="1" s="13">
      <c r="A144" s="19" t="n">
        <v>143</v>
      </c>
      <c r="B144" s="19" t="inlineStr">
        <is>
          <t>1976-02-01</t>
        </is>
      </c>
      <c r="C144" s="19" t="inlineStr">
        <is>
          <t>1976-03-15</t>
        </is>
      </c>
      <c r="D144" s="19">
        <f>VALUE(LEFT(B144,4))</f>
        <v/>
      </c>
      <c r="E144" s="19">
        <f>INT((D144-1)/100)+1</f>
        <v/>
      </c>
      <c r="F144" s="19" t="inlineStr">
        <is>
          <t>Ice jam</t>
        </is>
      </c>
      <c r="G144" s="19" t="inlineStr">
        <is>
          <t>1976 Hudson ice jam at Albany (I-787)</t>
        </is>
      </c>
      <c r="H144" s="19" t="inlineStr">
        <is>
          <t>Albany waterfront</t>
        </is>
      </c>
      <c r="I144" s="19" t="inlineStr">
        <is>
          <t>Large jam along I-787</t>
        </is>
      </c>
      <c r="J144" s="19" t="inlineStr">
        <is>
          <t>none</t>
        </is>
      </c>
      <c r="K144" s="19" t="inlineStr">
        <is>
          <t>Noted by NWS as the major Albany-area jam since 1930s dredging.</t>
        </is>
      </c>
      <c r="L144" s="19" t="inlineStr">
        <is>
          <t>NWS Albany Ice Jam Trouble Spots (IceJamInfo.pdf)</t>
        </is>
      </c>
      <c r="M144" s="19" t="inlineStr">
        <is>
          <t>https://www.weather.gov/media/aly/Hydrology/IceJamInfo.pdf</t>
        </is>
      </c>
      <c r="N144" s="19" t="inlineStr">
        <is>
          <t>B</t>
        </is>
      </c>
      <c r="O144" s="19" t="inlineStr">
        <is>
          <t>Y</t>
        </is>
      </c>
      <c r="P144" s="19" t="inlineStr">
        <is>
          <t>Month approximate – likely Feb–Mar 1976.</t>
        </is>
      </c>
      <c r="Q144" s="19" t="inlineStr">
        <is>
          <t>1976-02-22</t>
        </is>
      </c>
      <c r="R144" s="19">
        <f>VALUE(LEFT(Q144,4))</f>
        <v/>
      </c>
      <c r="S144" s="19">
        <f>VALUE(MID(Q144,6,2))</f>
        <v/>
      </c>
      <c r="T144" s="19">
        <f>VALUE(RIGHT(Q144,2))</f>
        <v/>
      </c>
      <c r="U144" s="19" t="inlineStr">
        <is>
          <t>month</t>
        </is>
      </c>
      <c r="V144" s="19" t="inlineStr">
        <is>
          <t>Anchored to mid-point of a multi-week window</t>
        </is>
      </c>
    </row>
    <row r="145" ht="23.25" customHeight="1" s="13">
      <c r="A145" s="19" t="n">
        <v>144</v>
      </c>
      <c r="B145" s="19" t="inlineStr">
        <is>
          <t>1976-02-02</t>
        </is>
      </c>
      <c r="C145" s="19" t="inlineStr">
        <is>
          <t>1976-02-02</t>
        </is>
      </c>
      <c r="D145" s="19">
        <f>VALUE(LEFT(B145,4))</f>
        <v/>
      </c>
      <c r="E145" s="19">
        <f>INT((D145-1)/100)+1</f>
        <v/>
      </c>
      <c r="F145" s="19" t="inlineStr">
        <is>
          <t>Flash freeze / wind</t>
        </is>
      </c>
      <c r="G145" s="19" t="inlineStr">
        <is>
          <t>Flash freeze and brief blizzard</t>
        </is>
      </c>
      <c r="H145" s="19" t="inlineStr">
        <is>
          <t>Albany</t>
        </is>
      </c>
      <c r="I145" s="19" t="inlineStr">
        <is>
          <t>41°F→1°F; gusts 67 mph; record low NY Harbor tide</t>
        </is>
      </c>
      <c r="J145" s="19" t="inlineStr">
        <is>
          <t>Albany</t>
        </is>
      </c>
      <c r="K145" s="19" t="inlineStr">
        <is>
          <t>Two fatalities; Thruway closed.</t>
        </is>
      </c>
      <c r="L145" s="19" t="inlineStr">
        <is>
          <t>NWS Albany – Past Weather Events (weather.gov/aly/pastevents)</t>
        </is>
      </c>
      <c r="M145" s="19" t="inlineStr">
        <is>
          <t>https://www.weather.gov/aly/pastevents</t>
        </is>
      </c>
      <c r="N145" s="19" t="inlineStr">
        <is>
          <t>A</t>
        </is>
      </c>
      <c r="O145" s="19" t="inlineStr">
        <is>
          <t>Y</t>
        </is>
      </c>
      <c r="P145" s="19" t="n"/>
      <c r="Q145" s="19" t="inlineStr">
        <is>
          <t>1976-02-02</t>
        </is>
      </c>
      <c r="R145" s="19">
        <f>VALUE(LEFT(Q145,4))</f>
        <v/>
      </c>
      <c r="S145" s="19">
        <f>VALUE(MID(Q145,6,2))</f>
        <v/>
      </c>
      <c r="T145" s="19">
        <f>VALUE(RIGHT(Q145,2))</f>
        <v/>
      </c>
      <c r="U145" s="19" t="inlineStr">
        <is>
          <t>day</t>
        </is>
      </c>
      <c r="V145" s="19" t="inlineStr">
        <is>
          <t>Single-day event</t>
        </is>
      </c>
    </row>
    <row r="146" ht="23.25" customHeight="1" s="13">
      <c r="A146" s="19" t="n">
        <v>145</v>
      </c>
      <c r="B146" s="19" t="inlineStr">
        <is>
          <t>1977-01-01</t>
        </is>
      </c>
      <c r="C146" s="19" t="inlineStr">
        <is>
          <t>1977-01-31</t>
        </is>
      </c>
      <c r="D146" s="19">
        <f>VALUE(LEFT(B146,4))</f>
        <v/>
      </c>
      <c r="E146" s="19">
        <f>INT((D146-1)/100)+1</f>
        <v/>
      </c>
      <c r="F146" s="19" t="inlineStr">
        <is>
          <t>Cold winter</t>
        </is>
      </c>
      <c r="G146" s="19" t="inlineStr">
        <is>
          <t>January 1977</t>
        </is>
      </c>
      <c r="H146" s="19" t="inlineStr">
        <is>
          <t>Eastern US</t>
        </is>
      </c>
      <c r="I146" s="19" t="inlineStr">
        <is>
          <t>One of coldest Januaries</t>
        </is>
      </c>
      <c r="J146" s="19" t="inlineStr">
        <is>
          <t>regional</t>
        </is>
      </c>
      <c r="K146" s="19" t="inlineStr">
        <is>
          <t>Gas curtailments; Hudson frozen.</t>
        </is>
      </c>
      <c r="L146" s="19" t="inlineStr">
        <is>
          <t>Wikipedia event article (secondary; verify against NCEI/NHC)</t>
        </is>
      </c>
      <c r="M146" s="19" t="n"/>
      <c r="N146" s="19" t="inlineStr">
        <is>
          <t>B</t>
        </is>
      </c>
      <c r="O146" s="19" t="inlineStr">
        <is>
          <t>N</t>
        </is>
      </c>
      <c r="P146" s="19" t="n"/>
      <c r="Q146" s="19" t="inlineStr">
        <is>
          <t>1977-01-17</t>
        </is>
      </c>
      <c r="R146" s="19">
        <f>VALUE(LEFT(Q146,4))</f>
        <v/>
      </c>
      <c r="S146" s="19">
        <f>VALUE(MID(Q146,6,2))</f>
        <v/>
      </c>
      <c r="T146" s="19">
        <f>VALUE(RIGHT(Q146,2))</f>
        <v/>
      </c>
      <c r="U146" s="19" t="inlineStr">
        <is>
          <t>month</t>
        </is>
      </c>
      <c r="V146" s="19" t="inlineStr">
        <is>
          <t>Coldest stretch mid-January</t>
        </is>
      </c>
    </row>
    <row r="147" ht="23.25" customHeight="1" s="13">
      <c r="A147" s="19" t="n">
        <v>146</v>
      </c>
      <c r="B147" s="19" t="inlineStr">
        <is>
          <t>1977-03-13</t>
        </is>
      </c>
      <c r="C147" s="19" t="inlineStr">
        <is>
          <t>1977-03-15</t>
        </is>
      </c>
      <c r="D147" s="19">
        <f>VALUE(LEFT(B147,4))</f>
        <v/>
      </c>
      <c r="E147" s="19">
        <f>INT((D147-1)/100)+1</f>
        <v/>
      </c>
      <c r="F147" s="19" t="inlineStr">
        <is>
          <t>River flood</t>
        </is>
      </c>
      <c r="G147" s="19" t="inlineStr">
        <is>
          <t>March 1977 flood – Green Island Bridge collapse</t>
        </is>
      </c>
      <c r="H147" s="19" t="inlineStr">
        <is>
          <t>Mohawk / Hudson</t>
        </is>
      </c>
      <c r="I147" s="19" t="inlineStr">
        <is>
          <t>Record on Mohawk at Little Falls; 70s–80s warmth + snowpack + 3 in rain</t>
        </is>
      </c>
      <c r="J147" s="19" t="inlineStr">
        <is>
          <t>USGS</t>
        </is>
      </c>
      <c r="K147" s="19" t="inlineStr">
        <is>
          <t>Worst regional flood since 1949; Green Island Bridge collapsed into Hudson Mar 15.</t>
        </is>
      </c>
      <c r="L147" s="19" t="inlineStr">
        <is>
          <t>NWS Albany – Past Weather Events (weather.gov/aly/pastevents)</t>
        </is>
      </c>
      <c r="M147" s="19" t="inlineStr">
        <is>
          <t>https://www.weather.gov/aly/pastevents</t>
        </is>
      </c>
      <c r="N147" s="19" t="inlineStr">
        <is>
          <t>A</t>
        </is>
      </c>
      <c r="O147" s="19" t="inlineStr">
        <is>
          <t>Y</t>
        </is>
      </c>
      <c r="P147" s="19" t="n"/>
      <c r="Q147" s="19" t="inlineStr">
        <is>
          <t>1977-03-13</t>
        </is>
      </c>
      <c r="R147" s="19">
        <f>VALUE(LEFT(Q147,4))</f>
        <v/>
      </c>
      <c r="S147" s="19">
        <f>VALUE(MID(Q147,6,2))</f>
        <v/>
      </c>
      <c r="T147" s="19">
        <f>VALUE(RIGHT(Q147,2))</f>
        <v/>
      </c>
      <c r="U147" s="19" t="inlineStr">
        <is>
          <t>days</t>
        </is>
      </c>
      <c r="V147" s="19" t="inlineStr">
        <is>
          <t>Multi-day event; anchored to first day</t>
        </is>
      </c>
    </row>
    <row r="148" ht="23.25" customHeight="1" s="13">
      <c r="A148" s="19" t="n">
        <v>147</v>
      </c>
      <c r="B148" s="19" t="inlineStr">
        <is>
          <t>1978-01-01</t>
        </is>
      </c>
      <c r="C148" s="19" t="inlineStr">
        <is>
          <t>1978-01-31</t>
        </is>
      </c>
      <c r="D148" s="19">
        <f>VALUE(LEFT(B148,4))</f>
        <v/>
      </c>
      <c r="E148" s="19">
        <f>INT((D148-1)/100)+1</f>
        <v/>
      </c>
      <c r="F148" s="19" t="inlineStr">
        <is>
          <t>Ice-jam flood</t>
        </is>
      </c>
      <c r="G148" s="19" t="inlineStr">
        <is>
          <t>January 1978 Prattsville ice jam</t>
        </is>
      </c>
      <c r="H148" s="19" t="inlineStr">
        <is>
          <t>Schoharie Creek</t>
        </is>
      </c>
      <c r="I148" s="19" t="inlineStr">
        <is>
          <t>Ice jam blocked reservoir outflow</t>
        </is>
      </c>
      <c r="J148" s="19" t="inlineStr">
        <is>
          <t>Prattsville</t>
        </is>
      </c>
      <c r="K148" s="19" t="inlineStr">
        <is>
          <t>Widespread flooding; dairy herd drowned in barn.</t>
        </is>
      </c>
      <c r="L148" s="19" t="inlineStr">
        <is>
          <t>NWS Albany – Past Weather Events (weather.gov/aly/pastevents)</t>
        </is>
      </c>
      <c r="M148" s="19" t="inlineStr">
        <is>
          <t>https://www.weather.gov/aly/pastevents</t>
        </is>
      </c>
      <c r="N148" s="19" t="inlineStr">
        <is>
          <t>A</t>
        </is>
      </c>
      <c r="O148" s="19" t="inlineStr">
        <is>
          <t>Y</t>
        </is>
      </c>
      <c r="P148" s="19" t="n"/>
      <c r="Q148" s="19" t="inlineStr">
        <is>
          <t>1978-01-16</t>
        </is>
      </c>
      <c r="R148" s="19">
        <f>VALUE(LEFT(Q148,4))</f>
        <v/>
      </c>
      <c r="S148" s="19">
        <f>VALUE(MID(Q148,6,2))</f>
        <v/>
      </c>
      <c r="T148" s="19">
        <f>VALUE(RIGHT(Q148,2))</f>
        <v/>
      </c>
      <c r="U148" s="19" t="inlineStr">
        <is>
          <t>month</t>
        </is>
      </c>
      <c r="V148" s="19" t="inlineStr">
        <is>
          <t>Anchored to mid-point of a multi-week window</t>
        </is>
      </c>
    </row>
    <row r="149" ht="23.25" customHeight="1" s="13">
      <c r="A149" s="19" t="n">
        <v>148</v>
      </c>
      <c r="B149" s="19" t="inlineStr">
        <is>
          <t>1978-02-06</t>
        </is>
      </c>
      <c r="C149" s="19" t="inlineStr">
        <is>
          <t>1978-02-07</t>
        </is>
      </c>
      <c r="D149" s="19">
        <f>VALUE(LEFT(B149,4))</f>
        <v/>
      </c>
      <c r="E149" s="19">
        <f>INT((D149-1)/100)+1</f>
        <v/>
      </c>
      <c r="F149" s="19" t="inlineStr">
        <is>
          <t>Blizzard</t>
        </is>
      </c>
      <c r="G149" s="19" t="inlineStr">
        <is>
          <t>Blizzard of '78</t>
        </is>
      </c>
      <c r="H149" s="19" t="inlineStr">
        <is>
          <t>Region</t>
        </is>
      </c>
      <c r="I149" s="19" t="inlineStr">
        <is>
          <t>13.4 in Albany; 25 in Prattsville; 30 in E. Wallingford VT</t>
        </is>
      </c>
      <c r="J149" s="19" t="inlineStr">
        <is>
          <t>Albany</t>
        </is>
      </c>
      <c r="K149" s="19" t="inlineStr">
        <is>
          <t>NESIS Cat 3; winter 1977–78 = 92.4 in.</t>
        </is>
      </c>
      <c r="L149" s="19" t="inlineStr">
        <is>
          <t>NWS Albany – Past Weather Events (weather.gov/aly/pastevents)</t>
        </is>
      </c>
      <c r="M149" s="19" t="inlineStr">
        <is>
          <t>https://www.weather.gov/aly/pastevents</t>
        </is>
      </c>
      <c r="N149" s="19" t="inlineStr">
        <is>
          <t>A</t>
        </is>
      </c>
      <c r="O149" s="19" t="inlineStr">
        <is>
          <t>Y</t>
        </is>
      </c>
      <c r="P149" s="19" t="n"/>
      <c r="Q149" s="19" t="inlineStr">
        <is>
          <t>1978-02-06</t>
        </is>
      </c>
      <c r="R149" s="19">
        <f>VALUE(LEFT(Q149,4))</f>
        <v/>
      </c>
      <c r="S149" s="19">
        <f>VALUE(MID(Q149,6,2))</f>
        <v/>
      </c>
      <c r="T149" s="19">
        <f>VALUE(RIGHT(Q149,2))</f>
        <v/>
      </c>
      <c r="U149" s="19" t="inlineStr">
        <is>
          <t>days</t>
        </is>
      </c>
      <c r="V149" s="19" t="inlineStr">
        <is>
          <t>Multi-day event; anchored to first day</t>
        </is>
      </c>
    </row>
    <row r="150" ht="45.75" customHeight="1" s="13">
      <c r="A150" s="19" t="n">
        <v>149</v>
      </c>
      <c r="B150" s="19" t="inlineStr">
        <is>
          <t>1979-01-15</t>
        </is>
      </c>
      <c r="C150" s="19" t="inlineStr">
        <is>
          <t>1979-03-15</t>
        </is>
      </c>
      <c r="D150" s="19">
        <f>VALUE(LEFT(B150,4))</f>
        <v/>
      </c>
      <c r="E150" s="19">
        <f>INT((D150-1)/100)+1</f>
        <v/>
      </c>
      <c r="F150" s="19" t="inlineStr">
        <is>
          <t>Ice jam</t>
        </is>
      </c>
      <c r="G150" s="19" t="inlineStr">
        <is>
          <t>Schoharie Creek ice jam – dairy herd drowned (1978/79)</t>
        </is>
      </c>
      <c r="H150" s="19" t="inlineStr">
        <is>
          <t>Prattsville / upper Schoharie</t>
        </is>
      </c>
      <c r="I150" s="19" t="inlineStr">
        <is>
          <t>Jam above the reservoir on sheet ice</t>
        </is>
      </c>
      <c r="J150" s="19" t="inlineStr">
        <is>
          <t>none</t>
        </is>
      </c>
      <c r="K150" s="19" t="inlineStr">
        <is>
          <t>Entire dairy herd drowned in a barn when water backed up behind a jam.</t>
        </is>
      </c>
      <c r="L150" s="19" t="inlineStr">
        <is>
          <t>NWS Albany Ice Jam Trouble Spots (IceJamInfo.pdf)</t>
        </is>
      </c>
      <c r="M150" s="19" t="inlineStr">
        <is>
          <t>https://www.weather.gov/media/aly/Hydrology/IceJamInfo.pdf</t>
        </is>
      </c>
      <c r="N150" s="19" t="inlineStr">
        <is>
          <t>B</t>
        </is>
      </c>
      <c r="O150" s="19" t="inlineStr">
        <is>
          <t>Y</t>
        </is>
      </c>
      <c r="P150" s="19" t="inlineStr">
        <is>
          <t>NWS Past Events page says Jan 1978; NWS ice-jam PDF says 1979 – same event, year in dispute. Row above (Jan 1978) kept; resolve before plotting.</t>
        </is>
      </c>
      <c r="Q150" s="19" t="inlineStr">
        <is>
          <t>1979-02-13</t>
        </is>
      </c>
      <c r="R150" s="19">
        <f>VALUE(LEFT(Q150,4))</f>
        <v/>
      </c>
      <c r="S150" s="19">
        <f>VALUE(MID(Q150,6,2))</f>
        <v/>
      </c>
      <c r="T150" s="19">
        <f>VALUE(RIGHT(Q150,2))</f>
        <v/>
      </c>
      <c r="U150" s="19" t="inlineStr">
        <is>
          <t>season</t>
        </is>
      </c>
      <c r="V150" s="19" t="inlineStr">
        <is>
          <t>Anchored to mid-point of a season-scale window</t>
        </is>
      </c>
    </row>
    <row r="151" ht="23.25" customHeight="1" s="13">
      <c r="A151" s="19" t="n">
        <v>150</v>
      </c>
      <c r="B151" s="19" t="inlineStr">
        <is>
          <t>1979-03-01</t>
        </is>
      </c>
      <c r="C151" s="19" t="inlineStr">
        <is>
          <t>1979-03-31</t>
        </is>
      </c>
      <c r="D151" s="19">
        <f>VALUE(LEFT(B151,4))</f>
        <v/>
      </c>
      <c r="E151" s="19">
        <f>INT((D151-1)/100)+1</f>
        <v/>
      </c>
      <c r="F151" s="19" t="inlineStr">
        <is>
          <t>Ice-jam flood</t>
        </is>
      </c>
      <c r="G151" s="19" t="inlineStr">
        <is>
          <t>March 1979 ice jams</t>
        </is>
      </c>
      <c r="H151" s="19" t="inlineStr">
        <is>
          <t>Hudson, Mohawk, Schoharie</t>
        </is>
      </c>
      <c r="I151" s="19" t="inlineStr">
        <is>
          <t>Severe ice jamming</t>
        </is>
      </c>
      <c r="J151" s="19" t="inlineStr">
        <is>
          <t>regional</t>
        </is>
      </c>
      <c r="K151" s="19" t="n"/>
      <c r="L151" s="19" t="inlineStr">
        <is>
          <t>NWS Albany – Past Weather Events (weather.gov/aly/pastevents)</t>
        </is>
      </c>
      <c r="M151" s="19" t="inlineStr">
        <is>
          <t>https://www.weather.gov/aly/pastevents</t>
        </is>
      </c>
      <c r="N151" s="19" t="inlineStr">
        <is>
          <t>B</t>
        </is>
      </c>
      <c r="O151" s="19" t="inlineStr">
        <is>
          <t>Y</t>
        </is>
      </c>
      <c r="P151" s="19" t="n"/>
      <c r="Q151" s="19" t="inlineStr">
        <is>
          <t>1979-03-16</t>
        </is>
      </c>
      <c r="R151" s="19">
        <f>VALUE(LEFT(Q151,4))</f>
        <v/>
      </c>
      <c r="S151" s="19">
        <f>VALUE(MID(Q151,6,2))</f>
        <v/>
      </c>
      <c r="T151" s="19">
        <f>VALUE(RIGHT(Q151,2))</f>
        <v/>
      </c>
      <c r="U151" s="19" t="inlineStr">
        <is>
          <t>month</t>
        </is>
      </c>
      <c r="V151" s="19" t="inlineStr">
        <is>
          <t>Anchored to mid-point of a multi-week window</t>
        </is>
      </c>
    </row>
    <row r="152" ht="23.25" customHeight="1" s="13">
      <c r="A152" s="19" t="n">
        <v>151</v>
      </c>
      <c r="B152" s="19" t="inlineStr">
        <is>
          <t>1980-03-01</t>
        </is>
      </c>
      <c r="C152" s="19" t="inlineStr">
        <is>
          <t>1980-03-31</t>
        </is>
      </c>
      <c r="D152" s="19">
        <f>VALUE(LEFT(B152,4))</f>
        <v/>
      </c>
      <c r="E152" s="19">
        <f>INT((D152-1)/100)+1</f>
        <v/>
      </c>
      <c r="F152" s="19" t="inlineStr">
        <is>
          <t>Rain flood</t>
        </is>
      </c>
      <c r="G152" s="19" t="inlineStr">
        <is>
          <t>'Great Catskill Toilet Flush' (March 1980)</t>
        </is>
      </c>
      <c r="H152" s="19" t="inlineStr">
        <is>
          <t>Schoharie / Catskill / Esopus creeks</t>
        </is>
      </c>
      <c r="I152" s="19" t="inlineStr">
        <is>
          <t>~10 in rain on bare frozen ground</t>
        </is>
      </c>
      <c r="J152" s="19" t="inlineStr">
        <is>
          <t>regional</t>
        </is>
      </c>
      <c r="K152" s="19" t="inlineStr">
        <is>
          <t>Rapid severe floods; one fatality at a roadblock.</t>
        </is>
      </c>
      <c r="L152" s="19" t="inlineStr">
        <is>
          <t>NWS Albany – Past Weather Events (weather.gov/aly/pastevents)</t>
        </is>
      </c>
      <c r="M152" s="19" t="inlineStr">
        <is>
          <t>https://www.weather.gov/aly/pastevents</t>
        </is>
      </c>
      <c r="N152" s="19" t="inlineStr">
        <is>
          <t>A</t>
        </is>
      </c>
      <c r="O152" s="19" t="inlineStr">
        <is>
          <t>Y</t>
        </is>
      </c>
      <c r="P152" s="19" t="n"/>
      <c r="Q152" s="19" t="inlineStr">
        <is>
          <t>1980-03-16</t>
        </is>
      </c>
      <c r="R152" s="19">
        <f>VALUE(LEFT(Q152,4))</f>
        <v/>
      </c>
      <c r="S152" s="19">
        <f>VALUE(MID(Q152,6,2))</f>
        <v/>
      </c>
      <c r="T152" s="19">
        <f>VALUE(RIGHT(Q152,2))</f>
        <v/>
      </c>
      <c r="U152" s="19" t="inlineStr">
        <is>
          <t>month</t>
        </is>
      </c>
      <c r="V152" s="19" t="inlineStr">
        <is>
          <t>Anchored to mid-point of a multi-week window</t>
        </is>
      </c>
    </row>
    <row r="153" ht="23.25" customHeight="1" s="13">
      <c r="A153" s="19" t="n">
        <v>152</v>
      </c>
      <c r="B153" s="19" t="inlineStr">
        <is>
          <t>1980-06-01</t>
        </is>
      </c>
      <c r="C153" s="19" t="inlineStr">
        <is>
          <t>1981-06-30</t>
        </is>
      </c>
      <c r="D153" s="19">
        <f>VALUE(LEFT(B153,4))</f>
        <v/>
      </c>
      <c r="E153" s="19">
        <f>INT((D153-1)/100)+1</f>
        <v/>
      </c>
      <c r="F153" s="19" t="inlineStr">
        <is>
          <t>Drought</t>
        </is>
      </c>
      <c r="G153" s="19" t="inlineStr">
        <is>
          <t>1980–81 drought</t>
        </is>
      </c>
      <c r="H153" s="19" t="inlineStr">
        <is>
          <t>NYC watershed / Hudson</t>
        </is>
      </c>
      <c r="I153" s="19" t="inlineStr">
        <is>
          <t>NYC water emergency</t>
        </is>
      </c>
      <c r="J153" s="19" t="inlineStr">
        <is>
          <t>regional</t>
        </is>
      </c>
      <c r="K153" s="19" t="n"/>
      <c r="L153" s="19" t="inlineStr">
        <is>
          <t>Wikipedia event article (secondary; verify against NCEI/NHC)</t>
        </is>
      </c>
      <c r="M153" s="19" t="n"/>
      <c r="N153" s="19" t="inlineStr">
        <is>
          <t>B</t>
        </is>
      </c>
      <c r="O153" s="19" t="inlineStr">
        <is>
          <t>N</t>
        </is>
      </c>
      <c r="P153" s="19" t="n"/>
      <c r="Q153" s="19" t="inlineStr">
        <is>
          <t>1981-01-15</t>
        </is>
      </c>
      <c r="R153" s="19">
        <f>VALUE(LEFT(Q153,4))</f>
        <v/>
      </c>
      <c r="S153" s="19">
        <f>VALUE(MID(Q153,6,2))</f>
        <v/>
      </c>
      <c r="T153" s="19">
        <f>VALUE(RIGHT(Q153,2))</f>
        <v/>
      </c>
      <c r="U153" s="19" t="inlineStr">
        <is>
          <t>season</t>
        </is>
      </c>
      <c r="V153" s="19" t="inlineStr">
        <is>
          <t>NYC water emergency declared winter 1981</t>
        </is>
      </c>
    </row>
    <row r="154" ht="23.25" customHeight="1" s="13">
      <c r="A154" s="19" t="n">
        <v>153</v>
      </c>
      <c r="B154" s="19" t="inlineStr">
        <is>
          <t>1981-02-01</t>
        </is>
      </c>
      <c r="C154" s="19" t="inlineStr">
        <is>
          <t>1981-02-28</t>
        </is>
      </c>
      <c r="D154" s="19">
        <f>VALUE(LEFT(B154,4))</f>
        <v/>
      </c>
      <c r="E154" s="19">
        <f>INT((D154-1)/100)+1</f>
        <v/>
      </c>
      <c r="F154" s="19" t="inlineStr">
        <is>
          <t>Ice-jam flood</t>
        </is>
      </c>
      <c r="G154" s="19" t="inlineStr">
        <is>
          <t>February 1981 Mohawk ice jam</t>
        </is>
      </c>
      <c r="H154" s="19" t="inlineStr">
        <is>
          <t>Mohawk near Fonda</t>
        </is>
      </c>
      <c r="I154" s="19" t="inlineStr">
        <is>
          <t>Nearly flooded Thruway</t>
        </is>
      </c>
      <c r="J154" s="19" t="inlineStr">
        <is>
          <t>regional</t>
        </is>
      </c>
      <c r="K154" s="19" t="n"/>
      <c r="L154" s="19" t="inlineStr">
        <is>
          <t>NWS Albany – Past Weather Events (weather.gov/aly/pastevents)</t>
        </is>
      </c>
      <c r="M154" s="19" t="inlineStr">
        <is>
          <t>https://www.weather.gov/aly/pastevents</t>
        </is>
      </c>
      <c r="N154" s="19" t="inlineStr">
        <is>
          <t>B</t>
        </is>
      </c>
      <c r="O154" s="19" t="inlineStr">
        <is>
          <t>Y</t>
        </is>
      </c>
      <c r="P154" s="19" t="n"/>
      <c r="Q154" s="19" t="inlineStr">
        <is>
          <t>1981-02-14</t>
        </is>
      </c>
      <c r="R154" s="19">
        <f>VALUE(LEFT(Q154,4))</f>
        <v/>
      </c>
      <c r="S154" s="19">
        <f>VALUE(MID(Q154,6,2))</f>
        <v/>
      </c>
      <c r="T154" s="19">
        <f>VALUE(RIGHT(Q154,2))</f>
        <v/>
      </c>
      <c r="U154" s="19" t="inlineStr">
        <is>
          <t>month</t>
        </is>
      </c>
      <c r="V154" s="19" t="inlineStr">
        <is>
          <t>Anchored to mid-point of a multi-week window</t>
        </is>
      </c>
    </row>
    <row r="155" ht="23.25" customHeight="1" s="13">
      <c r="A155" s="19" t="n">
        <v>154</v>
      </c>
      <c r="B155" s="19" t="inlineStr">
        <is>
          <t>1982-04-06</t>
        </is>
      </c>
      <c r="C155" s="19" t="inlineStr">
        <is>
          <t>1982-04-07</t>
        </is>
      </c>
      <c r="D155" s="19">
        <f>VALUE(LEFT(B155,4))</f>
        <v/>
      </c>
      <c r="E155" s="19">
        <f>INT((D155-1)/100)+1</f>
        <v/>
      </c>
      <c r="F155" s="19" t="inlineStr">
        <is>
          <t>Blizzard</t>
        </is>
      </c>
      <c r="G155" s="19" t="inlineStr">
        <is>
          <t>April 1982 blizzard</t>
        </is>
      </c>
      <c r="H155" s="19" t="inlineStr">
        <is>
          <t>Region</t>
        </is>
      </c>
      <c r="I155" s="19" t="inlineStr">
        <is>
          <t>17.7 in Albany (April record); 1–2 ft widely; thundersnow</t>
        </is>
      </c>
      <c r="J155" s="19" t="inlineStr">
        <is>
          <t>Albany</t>
        </is>
      </c>
      <c r="K155" s="19" t="inlineStr">
        <is>
          <t>Worst April snowstorm in local history.</t>
        </is>
      </c>
      <c r="L155" s="19" t="inlineStr">
        <is>
          <t>NWS Albany – Past Weather Events (weather.gov/aly/pastevents)</t>
        </is>
      </c>
      <c r="M155" s="19" t="inlineStr">
        <is>
          <t>https://www.weather.gov/aly/pastevents</t>
        </is>
      </c>
      <c r="N155" s="19" t="inlineStr">
        <is>
          <t>A</t>
        </is>
      </c>
      <c r="O155" s="19" t="inlineStr">
        <is>
          <t>Y</t>
        </is>
      </c>
      <c r="P155" s="19" t="n"/>
      <c r="Q155" s="19" t="inlineStr">
        <is>
          <t>1982-04-06</t>
        </is>
      </c>
      <c r="R155" s="19">
        <f>VALUE(LEFT(Q155,4))</f>
        <v/>
      </c>
      <c r="S155" s="19">
        <f>VALUE(MID(Q155,6,2))</f>
        <v/>
      </c>
      <c r="T155" s="19">
        <f>VALUE(RIGHT(Q155,2))</f>
        <v/>
      </c>
      <c r="U155" s="19" t="inlineStr">
        <is>
          <t>days</t>
        </is>
      </c>
      <c r="V155" s="19" t="inlineStr">
        <is>
          <t>Multi-day event; anchored to first day</t>
        </is>
      </c>
    </row>
    <row r="156" ht="23.25" customHeight="1" s="13">
      <c r="A156" s="19" t="n">
        <v>155</v>
      </c>
      <c r="B156" s="19" t="inlineStr">
        <is>
          <t>1983-01-15</t>
        </is>
      </c>
      <c r="C156" s="19" t="inlineStr">
        <is>
          <t>1983-01-16</t>
        </is>
      </c>
      <c r="D156" s="19">
        <f>VALUE(LEFT(B156,4))</f>
        <v/>
      </c>
      <c r="E156" s="19">
        <f>INT((D156-1)/100)+1</f>
        <v/>
      </c>
      <c r="F156" s="19" t="inlineStr">
        <is>
          <t>Nor'easter</t>
        </is>
      </c>
      <c r="G156" s="19" t="inlineStr">
        <is>
          <t>January 1983 snowstorm</t>
        </is>
      </c>
      <c r="H156" s="19" t="inlineStr">
        <is>
          <t>Region</t>
        </is>
      </c>
      <c r="I156" s="19" t="inlineStr">
        <is>
          <t>24.5 in Albany (January record); ~30 in Saratoga Co.</t>
        </is>
      </c>
      <c r="J156" s="19" t="inlineStr">
        <is>
          <t>Albany</t>
        </is>
      </c>
      <c r="K156" s="19" t="inlineStr">
        <is>
          <t>Travel standstill.</t>
        </is>
      </c>
      <c r="L156" s="19" t="inlineStr">
        <is>
          <t>NWS Albany – Past Weather Events (weather.gov/aly/pastevents)</t>
        </is>
      </c>
      <c r="M156" s="19" t="inlineStr">
        <is>
          <t>https://www.weather.gov/aly/pastevents</t>
        </is>
      </c>
      <c r="N156" s="19" t="inlineStr">
        <is>
          <t>A</t>
        </is>
      </c>
      <c r="O156" s="19" t="inlineStr">
        <is>
          <t>Y</t>
        </is>
      </c>
      <c r="P156" s="19" t="n"/>
      <c r="Q156" s="19" t="inlineStr">
        <is>
          <t>1983-01-15</t>
        </is>
      </c>
      <c r="R156" s="19">
        <f>VALUE(LEFT(Q156,4))</f>
        <v/>
      </c>
      <c r="S156" s="19">
        <f>VALUE(MID(Q156,6,2))</f>
        <v/>
      </c>
      <c r="T156" s="19">
        <f>VALUE(RIGHT(Q156,2))</f>
        <v/>
      </c>
      <c r="U156" s="19" t="inlineStr">
        <is>
          <t>days</t>
        </is>
      </c>
      <c r="V156" s="19" t="inlineStr">
        <is>
          <t>Multi-day event; anchored to first day</t>
        </is>
      </c>
    </row>
    <row r="157" ht="23.25" customHeight="1" s="13">
      <c r="A157" s="19" t="n">
        <v>156</v>
      </c>
      <c r="B157" s="19" t="inlineStr">
        <is>
          <t>1983-04-01</t>
        </is>
      </c>
      <c r="C157" s="19" t="inlineStr">
        <is>
          <t>1983-05-31</t>
        </is>
      </c>
      <c r="D157" s="19">
        <f>VALUE(LEFT(B157,4))</f>
        <v/>
      </c>
      <c r="E157" s="19">
        <f>INT((D157-1)/100)+1</f>
        <v/>
      </c>
      <c r="F157" s="19" t="inlineStr">
        <is>
          <t>Rain flood</t>
        </is>
      </c>
      <c r="G157" s="19" t="inlineStr">
        <is>
          <t>Spring Monsoon 1983</t>
        </is>
      </c>
      <c r="H157" s="19" t="inlineStr">
        <is>
          <t>Region</t>
        </is>
      </c>
      <c r="I157" s="19" t="inlineStr">
        <is>
          <t>18 in+ over 2 months (Ellenville, NYC)</t>
        </is>
      </c>
      <c r="J157" s="19" t="inlineStr">
        <is>
          <t>coop</t>
        </is>
      </c>
      <c r="K157" s="19" t="inlineStr">
        <is>
          <t>Sacandaga spilled May 1 for first time since 1930.</t>
        </is>
      </c>
      <c r="L157" s="19" t="inlineStr">
        <is>
          <t>NWS Albany – Past Weather Events (weather.gov/aly/pastevents)</t>
        </is>
      </c>
      <c r="M157" s="19" t="inlineStr">
        <is>
          <t>https://www.weather.gov/aly/pastevents</t>
        </is>
      </c>
      <c r="N157" s="19" t="inlineStr">
        <is>
          <t>A</t>
        </is>
      </c>
      <c r="O157" s="19" t="inlineStr">
        <is>
          <t>Y</t>
        </is>
      </c>
      <c r="P157" s="19" t="n"/>
      <c r="Q157" s="19" t="inlineStr">
        <is>
          <t>1983-05-01</t>
        </is>
      </c>
      <c r="R157" s="19">
        <f>VALUE(LEFT(Q157,4))</f>
        <v/>
      </c>
      <c r="S157" s="19">
        <f>VALUE(MID(Q157,6,2))</f>
        <v/>
      </c>
      <c r="T157" s="19">
        <f>VALUE(RIGHT(Q157,2))</f>
        <v/>
      </c>
      <c r="U157" s="19" t="inlineStr">
        <is>
          <t>day</t>
        </is>
      </c>
      <c r="V157" s="19" t="inlineStr">
        <is>
          <t>Sacandaga spilled over for the first time</t>
        </is>
      </c>
    </row>
    <row r="158" ht="15" customHeight="1" s="13">
      <c r="A158" s="19" t="n">
        <v>157</v>
      </c>
      <c r="B158" s="19" t="inlineStr">
        <is>
          <t>1985-09-27</t>
        </is>
      </c>
      <c r="C158" s="19" t="inlineStr">
        <is>
          <t>1985-09-27</t>
        </is>
      </c>
      <c r="D158" s="19">
        <f>VALUE(LEFT(B158,4))</f>
        <v/>
      </c>
      <c r="E158" s="19">
        <f>INT((D158-1)/100)+1</f>
        <v/>
      </c>
      <c r="F158" s="19" t="inlineStr">
        <is>
          <t>Tropical cyclone</t>
        </is>
      </c>
      <c r="G158" s="19" t="inlineStr">
        <is>
          <t>Hurricane Gloria</t>
        </is>
      </c>
      <c r="H158" s="19" t="inlineStr">
        <is>
          <t>Hudson Valley</t>
        </is>
      </c>
      <c r="I158" s="19" t="inlineStr">
        <is>
          <t>Wind damage/outages</t>
        </is>
      </c>
      <c r="J158" s="19" t="inlineStr">
        <is>
          <t>regional</t>
        </is>
      </c>
      <c r="K158" s="19" t="n"/>
      <c r="L158" s="19" t="inlineStr">
        <is>
          <t>NHC Tropical Cyclone Report</t>
        </is>
      </c>
      <c r="M158" s="19" t="n"/>
      <c r="N158" s="19" t="inlineStr">
        <is>
          <t>B</t>
        </is>
      </c>
      <c r="O158" s="19" t="inlineStr">
        <is>
          <t>N</t>
        </is>
      </c>
      <c r="P158" s="19" t="n"/>
      <c r="Q158" s="19" t="inlineStr">
        <is>
          <t>1985-09-27</t>
        </is>
      </c>
      <c r="R158" s="19">
        <f>VALUE(LEFT(Q158,4))</f>
        <v/>
      </c>
      <c r="S158" s="19">
        <f>VALUE(MID(Q158,6,2))</f>
        <v/>
      </c>
      <c r="T158" s="19">
        <f>VALUE(RIGHT(Q158,2))</f>
        <v/>
      </c>
      <c r="U158" s="19" t="inlineStr">
        <is>
          <t>day</t>
        </is>
      </c>
      <c r="V158" s="19" t="inlineStr">
        <is>
          <t>Single-day event</t>
        </is>
      </c>
    </row>
    <row r="159" ht="23.25" customHeight="1" s="13">
      <c r="A159" s="19" t="n">
        <v>158</v>
      </c>
      <c r="B159" s="19" t="inlineStr">
        <is>
          <t>1987-04-04</t>
        </is>
      </c>
      <c r="C159" s="19" t="inlineStr">
        <is>
          <t>1987-04-06</t>
        </is>
      </c>
      <c r="D159" s="19">
        <f>VALUE(LEFT(B159,4))</f>
        <v/>
      </c>
      <c r="E159" s="19">
        <f>INT((D159-1)/100)+1</f>
        <v/>
      </c>
      <c r="F159" s="19" t="inlineStr">
        <is>
          <t>River flood</t>
        </is>
      </c>
      <c r="G159" s="19" t="inlineStr">
        <is>
          <t>April 1987 flood – Schoharie Thruway bridge collapse</t>
        </is>
      </c>
      <c r="H159" s="19" t="inlineStr">
        <is>
          <t>Mohawk / Catskills / New England</t>
        </is>
      </c>
      <c r="I159" s="19" t="inlineStr">
        <is>
          <t>Snowmelt + heavy rain Mar 31 &amp; Apr 4–7</t>
        </is>
      </c>
      <c r="J159" s="19" t="inlineStr">
        <is>
          <t>regional</t>
        </is>
      </c>
      <c r="K159" s="19" t="inlineStr">
        <is>
          <t>Thruway bridge over Schoharie Creek collapsed Apr 5; ≥10 dead; evacuations.</t>
        </is>
      </c>
      <c r="L159" s="19" t="inlineStr">
        <is>
          <t>NWS Albany – Past Weather Events (weather.gov/aly/pastevents)</t>
        </is>
      </c>
      <c r="M159" s="19" t="inlineStr">
        <is>
          <t>https://www.weather.gov/aly/pastevents</t>
        </is>
      </c>
      <c r="N159" s="19" t="inlineStr">
        <is>
          <t>A</t>
        </is>
      </c>
      <c r="O159" s="19" t="inlineStr">
        <is>
          <t>Y</t>
        </is>
      </c>
      <c r="P159" s="19" t="inlineStr">
        <is>
          <t>2026-09-22 (v835, atlas session): ENRICHED per Laurie (NTSB findings as summarized on Wikipedia): collapse the morning of Apr 5 1987 in an estimated 50-year flood — snowmelt plus ~150 mm (5.9 in) rain. Pier 3 failed first (scour), taking spans 3–4; pier 2 and span 2 fell ~90 min later; pier 1/span 1 shifted ~2 h after that. NTSB suggested the pier-3 wreckage partially dammed the channel and redirected/accelerated flow onto pier 2. Six days later the Mill Point Bridge, ~3.1 mi upstream and already closed for eroded foundations, lost a large section. Bridge site coordinate supplied by Laurie: 42.93136, -74.27828.</t>
        </is>
      </c>
      <c r="Q159" s="19" t="inlineStr">
        <is>
          <t>1987-04-04</t>
        </is>
      </c>
      <c r="R159" s="19">
        <f>VALUE(LEFT(Q159,4))</f>
        <v/>
      </c>
      <c r="S159" s="19">
        <f>VALUE(MID(Q159,6,2))</f>
        <v/>
      </c>
      <c r="T159" s="19">
        <f>VALUE(RIGHT(Q159,2))</f>
        <v/>
      </c>
      <c r="U159" s="19" t="inlineStr">
        <is>
          <t>days</t>
        </is>
      </c>
      <c r="V159" s="19" t="inlineStr">
        <is>
          <t>Multi-day event; anchored to first day</t>
        </is>
      </c>
    </row>
    <row r="160" ht="23.25" customHeight="1" s="13">
      <c r="A160" s="19" t="n">
        <v>159</v>
      </c>
      <c r="B160" s="19" t="inlineStr">
        <is>
          <t>1987-10-04</t>
        </is>
      </c>
      <c r="C160" s="19" t="inlineStr">
        <is>
          <t>1987-10-04</t>
        </is>
      </c>
      <c r="D160" s="19">
        <f>VALUE(LEFT(B160,4))</f>
        <v/>
      </c>
      <c r="E160" s="19">
        <f>INT((D160-1)/100)+1</f>
        <v/>
      </c>
      <c r="F160" s="19" t="inlineStr">
        <is>
          <t>Early-season snow</t>
        </is>
      </c>
      <c r="G160" s="19" t="inlineStr">
        <is>
          <t>October 4, 1987 snowstorm</t>
        </is>
      </c>
      <c r="H160" s="19" t="inlineStr">
        <is>
          <t>Eastern NY / W. New England</t>
        </is>
      </c>
      <c r="I160" s="19" t="inlineStr">
        <is>
          <t>3 in–2 ft wet snow (ratio ~3.5:1); 6.5 in Albany (earliest measurable)</t>
        </is>
      </c>
      <c r="J160" s="19" t="inlineStr">
        <is>
          <t>Albany</t>
        </is>
      </c>
      <c r="K160" s="19" t="inlineStr">
        <is>
          <t>Leaf-on trees; hundreds of thousands without power up to 2 weeks; deaths.</t>
        </is>
      </c>
      <c r="L160" s="19" t="inlineStr">
        <is>
          <t>NWS Albany – Past Weather Events (weather.gov/aly/pastevents) ; The Altamont Enterprise, Oct 15 1987, 'Costs Coming In For Storm Damage' + Conners column (scan)</t>
        </is>
      </c>
      <c r="M160" s="19" t="inlineStr">
        <is>
          <t>https://www.weather.gov/aly/pastevents</t>
        </is>
      </c>
      <c r="N160" s="19" t="inlineStr">
        <is>
          <t>A</t>
        </is>
      </c>
      <c r="O160" s="19" t="inlineStr">
        <is>
          <t>Y</t>
        </is>
      </c>
      <c r="P160" s="19" t="inlineStr">
        <is>
          <t>2026-09-23 (v852, atlas session): ENRICHED — &gt;200,000 NiMo customers out (75% of the utility's 270,000 Capital District customers); last restored 6 a.m. Tue Oct 13, on the Voorheesville–East Berne line, where a helicopter landing pad was cut into the escarpment to evacuate an injured tree crewman; NiMo damage ~$12M (TU estimate; $11.5M policy, $2.5M deductible); Guilderland cleanup $30–40k, 12-hr days; FEMA: 'no dough for snow'; wet snow on leafed-out trees; first killing frost followed Oct 13. Apples knocked off across Guilderland/New Scotland orchards.</t>
        </is>
      </c>
      <c r="Q160" s="19" t="inlineStr">
        <is>
          <t>1987-10-04</t>
        </is>
      </c>
      <c r="R160" s="19">
        <f>VALUE(LEFT(Q160,4))</f>
        <v/>
      </c>
      <c r="S160" s="19">
        <f>VALUE(MID(Q160,6,2))</f>
        <v/>
      </c>
      <c r="T160" s="19">
        <f>VALUE(RIGHT(Q160,2))</f>
        <v/>
      </c>
      <c r="U160" s="19" t="inlineStr">
        <is>
          <t>day</t>
        </is>
      </c>
      <c r="V160" s="19" t="inlineStr">
        <is>
          <t>Single-day event</t>
        </is>
      </c>
    </row>
    <row r="161" ht="23.25" customHeight="1" s="13">
      <c r="A161" s="19" t="n">
        <v>160</v>
      </c>
      <c r="B161" s="19" t="inlineStr">
        <is>
          <t>1988-06-01</t>
        </is>
      </c>
      <c r="C161" s="19" t="inlineStr">
        <is>
          <t>1988-08-31</t>
        </is>
      </c>
      <c r="D161" s="19">
        <f>VALUE(LEFT(B161,4))</f>
        <v/>
      </c>
      <c r="E161" s="19">
        <f>INT((D161-1)/100)+1</f>
        <v/>
      </c>
      <c r="F161" s="19" t="inlineStr">
        <is>
          <t>Drought / heat</t>
        </is>
      </c>
      <c r="G161" s="19" t="inlineStr">
        <is>
          <t>Summer 1988</t>
        </is>
      </c>
      <c r="H161" s="19" t="inlineStr">
        <is>
          <t>Region</t>
        </is>
      </c>
      <c r="I161" s="19" t="inlineStr">
        <is>
          <t>Albany 99°F (Jul 8 1988) — among the hottest days of recent decades; a hot, dry summer</t>
        </is>
      </c>
      <c r="J161" s="19" t="inlineStr">
        <is>
          <t>regional</t>
        </is>
      </c>
      <c r="K161" s="19" t="inlineStr">
        <is>
          <t>Failed hay crops. The Capital-District face of the 1988–90 North American drought — one of the costliest US disasters (~$40B) but centered on the Midwest/Plains; the Northeast's involvement was mainly the dry summer of 1988.</t>
        </is>
      </c>
      <c r="L161" s="19" t="inlineStr">
        <is>
          <t>Wikipedia — 1988–90 N. American drought; NWS Albany annual highs</t>
        </is>
      </c>
      <c r="M161" s="19" t="n"/>
      <c r="N161" s="19" t="inlineStr">
        <is>
          <t>B</t>
        </is>
      </c>
      <c r="O161" s="19" t="inlineStr">
        <is>
          <t>Y</t>
        </is>
      </c>
      <c r="P161" s="19" t="inlineStr">
        <is>
          <t>Albany peak 99°F Jul 8 1988. The multi-year 1988–90 drought's core was central US; the NE was dry in 1988 but recovered — this row is the 1988 summer, not a multi-year Capital-District drought.</t>
        </is>
      </c>
      <c r="Q161" s="19" t="inlineStr">
        <is>
          <t>1988-07-15</t>
        </is>
      </c>
      <c r="R161" s="19">
        <f>VALUE(LEFT(Q161,4))</f>
        <v/>
      </c>
      <c r="S161" s="19">
        <f>VALUE(MID(Q161,6,2))</f>
        <v/>
      </c>
      <c r="T161" s="19">
        <f>VALUE(RIGHT(Q161,2))</f>
        <v/>
      </c>
      <c r="U161" s="19" t="inlineStr">
        <is>
          <t>season</t>
        </is>
      </c>
      <c r="V161" s="19" t="inlineStr">
        <is>
          <t>Mid-summer</t>
        </is>
      </c>
    </row>
    <row r="162" ht="34.5" customHeight="1" s="13">
      <c r="A162" s="19" t="n">
        <v>161</v>
      </c>
      <c r="B162" s="19" t="inlineStr">
        <is>
          <t>1989-07-10</t>
        </is>
      </c>
      <c r="C162" s="19" t="inlineStr">
        <is>
          <t>1989-07-10</t>
        </is>
      </c>
      <c r="D162" s="19">
        <f>VALUE(LEFT(B162,4))</f>
        <v/>
      </c>
      <c r="E162" s="19">
        <f>INT((D162-1)/100)+1</f>
        <v/>
      </c>
      <c r="F162" s="19" t="inlineStr">
        <is>
          <t>Tornado outbreak</t>
        </is>
      </c>
      <c r="G162" s="19" t="inlineStr">
        <is>
          <t>July 10, 1989 F4 tornado family (Ames→East Durham)</t>
        </is>
      </c>
      <c r="H162" s="19" t="inlineStr">
        <is>
          <t>Montgomery / Schoharie / Albany / Greene</t>
        </is>
      </c>
      <c r="I162" s="19" t="inlineStr">
        <is>
          <t>F4; 42-mi path; 20 injured; ~$20–27M</t>
        </is>
      </c>
      <c r="J162" s="19" t="inlineStr">
        <is>
          <t>NCEI</t>
        </is>
      </c>
      <c r="K162" s="19" t="inlineStr">
        <is>
          <t>Touchdowns near Rensselaerville and Greenville; only F4 in NY to date; 17 tornadoes regionally.</t>
        </is>
      </c>
      <c r="L162" s="19" t="inlineStr">
        <is>
          <t>Wikipedia event article (secondary; verify against NCEI/NHC) ; The News-Herald (Ravena), Jul 13 1989, 'Storm Fells Tree On Martin's Hill; Schoharie County Feels Brunt' (scan)</t>
        </is>
      </c>
      <c r="M162" s="19" t="inlineStr">
        <is>
          <t>https://en.wikipedia.org/wiki/July_1989_Northeastern_United_States_tornado_outbreak</t>
        </is>
      </c>
      <c r="N162" s="19" t="inlineStr">
        <is>
          <t>A</t>
        </is>
      </c>
      <c r="O162" s="19" t="inlineStr">
        <is>
          <t>Y</t>
        </is>
      </c>
      <c r="P162" s="19" t="inlineStr">
        <is>
          <t>Passed within a few miles of Westerlo. 2026-09-23 (v851, atlas session): ENRICHED — same storm reached Ravena ~4 p.m. Jul 10 1989 (tree split on Martin's Hill, willow onto a pole on Rte 143, Palmer Dr tree); Central Hudson: ~5,000 without power across Cairo, Catskill, So. Cairo, Surprise, Westerlo, Rensselaerville, Greenville, Leeds, Hannacroix, Coeymans Hollow; 1½ in rain; in Schoharie Co. a Cobleskill home sheared off its foundation and dropped onto Rte 7 onto a car (no injuries), state of emergency, ≥15 structures beyond repair in Carlisle; two tornadoes later in Putnam Co.</t>
        </is>
      </c>
      <c r="Q162" s="19" t="inlineStr">
        <is>
          <t>1989-07-10</t>
        </is>
      </c>
      <c r="R162" s="19">
        <f>VALUE(LEFT(Q162,4))</f>
        <v/>
      </c>
      <c r="S162" s="19">
        <f>VALUE(MID(Q162,6,2))</f>
        <v/>
      </c>
      <c r="T162" s="19">
        <f>VALUE(RIGHT(Q162,2))</f>
        <v/>
      </c>
      <c r="U162" s="19" t="inlineStr">
        <is>
          <t>day</t>
        </is>
      </c>
      <c r="V162" s="19" t="inlineStr">
        <is>
          <t>Single-day event</t>
        </is>
      </c>
    </row>
    <row r="163" ht="23.25" customHeight="1" s="13">
      <c r="A163" s="19" t="n">
        <v>162</v>
      </c>
      <c r="B163" s="19" t="inlineStr">
        <is>
          <t>1989-11-16</t>
        </is>
      </c>
      <c r="C163" s="19" t="inlineStr">
        <is>
          <t>1989-11-16</t>
        </is>
      </c>
      <c r="D163" s="19">
        <f>VALUE(LEFT(B163,4))</f>
        <v/>
      </c>
      <c r="E163" s="19">
        <f>INT((D163-1)/100)+1</f>
        <v/>
      </c>
      <c r="F163" s="19" t="inlineStr">
        <is>
          <t>Downburst / tornado</t>
        </is>
      </c>
      <c r="G163" s="19" t="inlineStr">
        <is>
          <t>Coldenham (Newburgh) school disaster</t>
        </is>
      </c>
      <c r="H163" s="19" t="inlineStr">
        <is>
          <t>Orange County</t>
        </is>
      </c>
      <c r="I163" s="19" t="inlineStr">
        <is>
          <t>Downburst per Fujita; 9 children killed</t>
        </is>
      </c>
      <c r="J163" s="19" t="inlineStr">
        <is>
          <t>NCEI</t>
        </is>
      </c>
      <c r="K163" s="19" t="inlineStr">
        <is>
          <t>East Coldenham Elementary cafeteria wall collapse.</t>
        </is>
      </c>
      <c r="L163" s="19" t="inlineStr">
        <is>
          <t>Tornado Project (Grazulis) NY county list 1950–2012</t>
        </is>
      </c>
      <c r="M163" s="19" t="inlineStr">
        <is>
          <t>https://www.tornadoproject.com/alltorns/nytorn.htm</t>
        </is>
      </c>
      <c r="N163" s="19" t="inlineStr">
        <is>
          <t>A</t>
        </is>
      </c>
      <c r="O163" s="19" t="inlineStr">
        <is>
          <t>Y</t>
        </is>
      </c>
      <c r="P163" s="19" t="inlineStr">
        <is>
          <t>Outside 30-mi radius; included for regional impact.</t>
        </is>
      </c>
      <c r="Q163" s="19" t="inlineStr">
        <is>
          <t>1989-11-16</t>
        </is>
      </c>
      <c r="R163" s="19">
        <f>VALUE(LEFT(Q163,4))</f>
        <v/>
      </c>
      <c r="S163" s="19">
        <f>VALUE(MID(Q163,6,2))</f>
        <v/>
      </c>
      <c r="T163" s="19">
        <f>VALUE(RIGHT(Q163,2))</f>
        <v/>
      </c>
      <c r="U163" s="19" t="inlineStr">
        <is>
          <t>day</t>
        </is>
      </c>
      <c r="V163" s="19" t="inlineStr">
        <is>
          <t>Single-day event</t>
        </is>
      </c>
    </row>
    <row r="164" ht="68.25" customHeight="1" s="13">
      <c r="A164" s="19" t="n">
        <v>163</v>
      </c>
      <c r="B164" s="19" t="inlineStr">
        <is>
          <t>1991-01-01</t>
        </is>
      </c>
      <c r="C164" s="19" t="inlineStr">
        <is>
          <t>1991-12-31</t>
        </is>
      </c>
      <c r="D164" s="19">
        <f>VALUE(LEFT(B164,4))</f>
        <v/>
      </c>
      <c r="E164" s="19">
        <f>INT((D164-1)/100)+1</f>
        <v/>
      </c>
      <c r="F164" s="19" t="inlineStr">
        <is>
          <t>Flash flood (karst)</t>
        </is>
      </c>
      <c r="G164" s="19" t="inlineStr">
        <is>
          <t>Onesquethaw Cave flood traps Syracuse students</t>
        </is>
      </c>
      <c r="H164" s="19" t="inlineStr">
        <is>
          <t>Clarksville / New Scotland (Onesquethaw Cave)</t>
        </is>
      </c>
      <c r="I164" s="19" t="inlineStr">
        <is>
          <t>A torrential surge flooded Onesquethaw Cave to near the ceiling, briefly trapping a college group; they clung to a high-ceilinged room until levels dropped; rescue by the Albany-Schoharie Cave Rescue group and local fire companies, with Northeast news coverage</t>
        </is>
      </c>
      <c r="J164" s="19" t="inlineStr">
        <is>
          <t>Nardacci / NCC</t>
        </is>
      </c>
      <c r="K164" s="19" t="inlineStr">
        <is>
          <t>A DATED karst flash-flood: intense precipitation sent a roaring stream into the sink faster than the conduit could carry it. Ties the karst layer to a rapid-runoff event. Exact date within 1991 not given.</t>
        </is>
      </c>
      <c r="L164" s="19" t="inlineStr">
        <is>
          <t>Northeastern Cave Conservancy / NSS; Altamont Enterprise Back Roads Geology (Nardacci)</t>
        </is>
      </c>
      <c r="M164" s="19" t="inlineStr">
        <is>
          <t>https://necaveconservancy.org/preserves/</t>
        </is>
      </c>
      <c r="N164" s="19" t="inlineStr">
        <is>
          <t>C</t>
        </is>
      </c>
      <c r="O164" s="19" t="inlineStr">
        <is>
          <t>N</t>
        </is>
      </c>
      <c r="P164" s="19" t="inlineStr">
        <is>
          <t>DATE = year only (1991); do not plot as a precise point. Demonstrates Onesquethaw can fill to the ceiling after sudden heavy rain.</t>
        </is>
      </c>
      <c r="Q164" s="19" t="inlineStr">
        <is>
          <t>1991-07-01</t>
        </is>
      </c>
      <c r="R164" s="19">
        <f>VALUE(LEFT(Q164,4))</f>
        <v/>
      </c>
      <c r="S164" s="19">
        <f>VALUE(MID(Q164,6,2))</f>
        <v/>
      </c>
      <c r="T164" s="19">
        <f>VALUE(RIGHT(Q164,2))</f>
        <v/>
      </c>
      <c r="U164" s="19" t="inlineStr">
        <is>
          <t>year</t>
        </is>
      </c>
      <c r="V164" s="19" t="inlineStr">
        <is>
          <t>Year only (1991); month unknown; do NOT plot as a precise point</t>
        </is>
      </c>
    </row>
    <row r="165" ht="23.25" customHeight="1" s="13">
      <c r="A165" s="19" t="n">
        <v>164</v>
      </c>
      <c r="B165" s="19" t="inlineStr">
        <is>
          <t>1992-12-10</t>
        </is>
      </c>
      <c r="C165" s="19" t="inlineStr">
        <is>
          <t>1992-12-12</t>
        </is>
      </c>
      <c r="D165" s="19">
        <f>VALUE(LEFT(B165,4))</f>
        <v/>
      </c>
      <c r="E165" s="19">
        <f>INT((D165-1)/100)+1</f>
        <v/>
      </c>
      <c r="F165" s="19" t="inlineStr">
        <is>
          <t>Nor'easter (downslope)</t>
        </is>
      </c>
      <c r="G165" s="19" t="inlineStr">
        <is>
          <t>Downslope Nor'easter 1992</t>
        </is>
      </c>
      <c r="H165" s="19" t="inlineStr">
        <is>
          <t>Berkshires / Catskills / Helderbergs</t>
        </is>
      </c>
      <c r="I165" s="19" t="inlineStr">
        <is>
          <t>30–48 in Berkshires; 18–39 in Catskills &amp; Helderbergs; 6 in Albany</t>
        </is>
      </c>
      <c r="J165" s="19" t="inlineStr">
        <is>
          <t>regional</t>
        </is>
      </c>
      <c r="K165" s="19" t="inlineStr">
        <is>
          <t>Schools closed a week; National Guard snow removal.</t>
        </is>
      </c>
      <c r="L165" s="19" t="inlineStr">
        <is>
          <t>NWS Albany – Past Weather Events (weather.gov/aly/pastevents)</t>
        </is>
      </c>
      <c r="M165" s="19" t="inlineStr">
        <is>
          <t>https://www.weather.gov/aly/pastevents</t>
        </is>
      </c>
      <c r="N165" s="19" t="inlineStr">
        <is>
          <t>A</t>
        </is>
      </c>
      <c r="O165" s="19" t="inlineStr">
        <is>
          <t>Y</t>
        </is>
      </c>
      <c r="P165" s="19" t="inlineStr">
        <is>
          <t>Helderbergs explicitly named.</t>
        </is>
      </c>
      <c r="Q165" s="19" t="inlineStr">
        <is>
          <t>1992-12-10</t>
        </is>
      </c>
      <c r="R165" s="19">
        <f>VALUE(LEFT(Q165,4))</f>
        <v/>
      </c>
      <c r="S165" s="19">
        <f>VALUE(MID(Q165,6,2))</f>
        <v/>
      </c>
      <c r="T165" s="19">
        <f>VALUE(RIGHT(Q165,2))</f>
        <v/>
      </c>
      <c r="U165" s="19" t="inlineStr">
        <is>
          <t>days</t>
        </is>
      </c>
      <c r="V165" s="19" t="inlineStr">
        <is>
          <t>Multi-day event; anchored to first day</t>
        </is>
      </c>
    </row>
    <row r="166" ht="23.25" customHeight="1" s="13">
      <c r="A166" s="19" t="n">
        <v>165</v>
      </c>
      <c r="B166" s="19" t="inlineStr">
        <is>
          <t>1993-03-13</t>
        </is>
      </c>
      <c r="C166" s="19" t="inlineStr">
        <is>
          <t>1993-03-14</t>
        </is>
      </c>
      <c r="D166" s="19">
        <f>VALUE(LEFT(B166,4))</f>
        <v/>
      </c>
      <c r="E166" s="19">
        <f>INT((D166-1)/100)+1</f>
        <v/>
      </c>
      <c r="F166" s="19" t="inlineStr">
        <is>
          <t>Blizzard</t>
        </is>
      </c>
      <c r="G166" s="19" t="inlineStr">
        <is>
          <t>Superstorm of 1993</t>
        </is>
      </c>
      <c r="H166" s="19" t="inlineStr">
        <is>
          <t>Eastern US</t>
        </is>
      </c>
      <c r="I166" s="19" t="inlineStr">
        <is>
          <t>26.6 in Albany; 40 in Halcott Center; 36 in Prattsville; 28.68 in Hg</t>
        </is>
      </c>
      <c r="J166" s="19" t="inlineStr">
        <is>
          <t>Albany</t>
        </is>
      </c>
      <c r="K166" s="19" t="inlineStr">
        <is>
          <t>5–6 in/hr rates; state of emergency; NESIS Cat 5 (#1).</t>
        </is>
      </c>
      <c r="L166" s="19" t="inlineStr">
        <is>
          <t>NWS Albany – Past Weather Events (weather.gov/aly/pastevents) ; A Hilltowns weekly (attributed to The Altamont Enterprise - masthead cut off in scan), Mar 18 1993 ('News &amp; Views / Dear Maisie' column) [uploaded PDF scan]</t>
        </is>
      </c>
      <c r="M166" s="19" t="inlineStr">
        <is>
          <t>https://www.weather.gov/aly/pastevents</t>
        </is>
      </c>
      <c r="N166" s="19" t="inlineStr">
        <is>
          <t>A</t>
        </is>
      </c>
      <c r="O166" s="19" t="inlineStr">
        <is>
          <t>Y</t>
        </is>
      </c>
      <c r="P166" s="19" t="inlineStr">
        <is>
          <t>2026-09-22 (v828, atlas session): ENRICHED from research-chat intake row 348 (same event; merged, not added). The Blizzard of March 13-14 1993 - the 'Storm of the Century' / Superstorm '93 - struck the Helderberg Hilltowns, described first-hand by a Bethlehem/Selkirk ambulance volunteer. Light snow on Sat Mar 13 turned to 'thundersnow'; visibility collapsed and a strong north wind swirled the snow, enveloping the region; Selkirk's firehouse became an emergency shelter. Reporting that 'weather conditions in the hilltowns were even more severe,' the account tracks a Westerlo-ambulance run bringing a heart-attack victim down Route 111 to 143 through Alcove, Coeymans Hollow and Ravena and up Route 9W to meet Albany Fire paramedics. By Sunday the snow had largely stopped but a fierce wind piled drifts an || Key measurement per that source: 'Storm of the Century' / Superstorm '93; thundersnow; mountainous drifts; state of emergency declared || Intake notes: 2026-09-22: added per Laurie (PDF scan). CORE Hilltowns event - names Westerlo, Alcove, Coeymans Hollow, Ravena, Selkirk directly. SOURCE ATTRIBUTION TENTATIVE: the masthead is cut off in the scan; the Greenville/Medusa-Maple-Festival/Empire-State-Plaza ads point to The Altamont Enterprise - confirm</t>
        </is>
      </c>
      <c r="Q166" s="19" t="inlineStr">
        <is>
          <t>1993-03-13</t>
        </is>
      </c>
      <c r="R166" s="19">
        <f>VALUE(LEFT(Q166,4))</f>
        <v/>
      </c>
      <c r="S166" s="19">
        <f>VALUE(MID(Q166,6,2))</f>
        <v/>
      </c>
      <c r="T166" s="19">
        <f>VALUE(RIGHT(Q166,2))</f>
        <v/>
      </c>
      <c r="U166" s="19" t="inlineStr">
        <is>
          <t>days</t>
        </is>
      </c>
      <c r="V166" s="19" t="inlineStr">
        <is>
          <t>Multi-day event; anchored to first day</t>
        </is>
      </c>
    </row>
    <row r="167" ht="23.25" customHeight="1" s="13">
      <c r="A167" s="19" t="n">
        <v>166</v>
      </c>
      <c r="B167" s="19" t="inlineStr">
        <is>
          <t>1994-01-01</t>
        </is>
      </c>
      <c r="C167" s="19" t="inlineStr">
        <is>
          <t>1994-01-31</t>
        </is>
      </c>
      <c r="D167" s="19">
        <f>VALUE(LEFT(B167,4))</f>
        <v/>
      </c>
      <c r="E167" s="19">
        <f>INT((D167-1)/100)+1</f>
        <v/>
      </c>
      <c r="F167" s="19" t="inlineStr">
        <is>
          <t>Arctic outbreak / ice</t>
        </is>
      </c>
      <c r="G167" s="19" t="inlineStr">
        <is>
          <t>January 1994</t>
        </is>
      </c>
      <c r="H167" s="19" t="inlineStr">
        <is>
          <t>Region</t>
        </is>
      </c>
      <c r="I167" s="19" t="inlineStr">
        <is>
          <t>Coldest January in decades</t>
        </is>
      </c>
      <c r="J167" s="19" t="inlineStr">
        <is>
          <t>regional</t>
        </is>
      </c>
      <c r="K167" s="19" t="inlineStr">
        <is>
          <t>Ice storms; pipe/heat failures.</t>
        </is>
      </c>
      <c r="L167" s="19" t="inlineStr">
        <is>
          <t>Wikipedia event article (secondary; verify against NCEI/NHC)</t>
        </is>
      </c>
      <c r="M167" s="19" t="n"/>
      <c r="N167" s="19" t="inlineStr">
        <is>
          <t>B</t>
        </is>
      </c>
      <c r="O167" s="19" t="inlineStr">
        <is>
          <t>N</t>
        </is>
      </c>
      <c r="P167" s="19" t="n"/>
      <c r="Q167" s="19" t="inlineStr">
        <is>
          <t>1994-01-19</t>
        </is>
      </c>
      <c r="R167" s="19">
        <f>VALUE(LEFT(Q167,4))</f>
        <v/>
      </c>
      <c r="S167" s="19">
        <f>VALUE(MID(Q167,6,2))</f>
        <v/>
      </c>
      <c r="T167" s="19">
        <f>VALUE(RIGHT(Q167,2))</f>
        <v/>
      </c>
      <c r="U167" s="19" t="inlineStr">
        <is>
          <t>days</t>
        </is>
      </c>
      <c r="V167" s="19" t="inlineStr">
        <is>
          <t>Jan 19–21 record cold</t>
        </is>
      </c>
    </row>
    <row r="168" ht="23.25" customHeight="1" s="13">
      <c r="A168" s="19" t="n">
        <v>167</v>
      </c>
      <c r="B168" s="19" t="inlineStr">
        <is>
          <t>1995-07-15</t>
        </is>
      </c>
      <c r="C168" s="19" t="inlineStr">
        <is>
          <t>1995-07-15</t>
        </is>
      </c>
      <c r="D168" s="19">
        <f>VALUE(LEFT(B168,4))</f>
        <v/>
      </c>
      <c r="E168" s="19">
        <f>INT((D168-1)/100)+1</f>
        <v/>
      </c>
      <c r="F168" s="19" t="inlineStr">
        <is>
          <t>Derecho</t>
        </is>
      </c>
      <c r="G168" s="19" t="inlineStr">
        <is>
          <t>Adirondack derecho</t>
        </is>
      </c>
      <c r="H168" s="19" t="inlineStr">
        <is>
          <t>Adirondacks / Capital Region</t>
        </is>
      </c>
      <c r="I168" s="19" t="inlineStr">
        <is>
          <t>100+ mph; 1 death Albany County</t>
        </is>
      </c>
      <c r="J168" s="19" t="inlineStr">
        <is>
          <t>NCEI</t>
        </is>
      </c>
      <c r="K168" s="19" t="inlineStr">
        <is>
          <t>Forest blowdown north of Albany.</t>
        </is>
      </c>
      <c r="L168" s="19" t="inlineStr">
        <is>
          <t>NCEI Storm Events Database</t>
        </is>
      </c>
      <c r="M168" s="19" t="inlineStr">
        <is>
          <t>https://www.ncei.noaa.gov/stormevents/</t>
        </is>
      </c>
      <c r="N168" s="19" t="inlineStr">
        <is>
          <t>A</t>
        </is>
      </c>
      <c r="O168" s="19" t="inlineStr">
        <is>
          <t>Y</t>
        </is>
      </c>
      <c r="P168" s="19" t="inlineStr">
        <is>
          <t>2026-09-23 (v854, atlas session): NWS Albany / CBS6 'Today in Weather History': 77 mph gust at Albany County Airport 6:41 a.m. Jul 15 1995, line-echo-wave pattern from Rutland Co. VT to east of Binghamton, hurricane-force gusts and widespread outages across the Capital Region before daybreak; 92 mph in Berkshire Co. MA ~15 min later.</t>
        </is>
      </c>
      <c r="Q168" s="19" t="inlineStr">
        <is>
          <t>1995-07-15</t>
        </is>
      </c>
      <c r="R168" s="19">
        <f>VALUE(LEFT(Q168,4))</f>
        <v/>
      </c>
      <c r="S168" s="19">
        <f>VALUE(MID(Q168,6,2))</f>
        <v/>
      </c>
      <c r="T168" s="19">
        <f>VALUE(RIGHT(Q168,2))</f>
        <v/>
      </c>
      <c r="U168" s="19" t="inlineStr">
        <is>
          <t>day</t>
        </is>
      </c>
      <c r="V168" s="19" t="inlineStr">
        <is>
          <t>Single-day event</t>
        </is>
      </c>
    </row>
    <row r="169" ht="23.25" customHeight="1" s="13">
      <c r="A169" s="19" t="n">
        <v>168</v>
      </c>
      <c r="B169" s="19" t="inlineStr">
        <is>
          <t>1996-01-07</t>
        </is>
      </c>
      <c r="C169" s="19" t="inlineStr">
        <is>
          <t>1996-01-08</t>
        </is>
      </c>
      <c r="D169" s="19">
        <f>VALUE(LEFT(B169,4))</f>
        <v/>
      </c>
      <c r="E169" s="19">
        <f>INT((D169-1)/100)+1</f>
        <v/>
      </c>
      <c r="F169" s="19" t="inlineStr">
        <is>
          <t>Blizzard</t>
        </is>
      </c>
      <c r="G169" s="19" t="inlineStr">
        <is>
          <t>Blizzard of '96</t>
        </is>
      </c>
      <c r="H169" s="19" t="inlineStr">
        <is>
          <t>Region</t>
        </is>
      </c>
      <c r="I169" s="19" t="inlineStr">
        <is>
          <t>2–3 ft</t>
        </is>
      </c>
      <c r="J169" s="19" t="inlineStr">
        <is>
          <t>regional</t>
        </is>
      </c>
      <c r="K169" s="19" t="n"/>
      <c r="L169" s="19" t="inlineStr">
        <is>
          <t>Wikipedia event article (secondary; verify against NCEI/NHC)</t>
        </is>
      </c>
      <c r="M169" s="19" t="n"/>
      <c r="N169" s="19" t="inlineStr">
        <is>
          <t>B</t>
        </is>
      </c>
      <c r="O169" s="19" t="inlineStr">
        <is>
          <t>N</t>
        </is>
      </c>
      <c r="P169" s="19" t="n"/>
      <c r="Q169" s="19" t="inlineStr">
        <is>
          <t>1996-01-07</t>
        </is>
      </c>
      <c r="R169" s="19">
        <f>VALUE(LEFT(Q169,4))</f>
        <v/>
      </c>
      <c r="S169" s="19">
        <f>VALUE(MID(Q169,6,2))</f>
        <v/>
      </c>
      <c r="T169" s="19">
        <f>VALUE(RIGHT(Q169,2))</f>
        <v/>
      </c>
      <c r="U169" s="19" t="inlineStr">
        <is>
          <t>days</t>
        </is>
      </c>
      <c r="V169" s="19" t="inlineStr">
        <is>
          <t>Multi-day event; anchored to first day</t>
        </is>
      </c>
    </row>
    <row r="170" ht="23.25" customHeight="1" s="13">
      <c r="A170" s="19" t="n">
        <v>169</v>
      </c>
      <c r="B170" s="19" t="inlineStr">
        <is>
          <t>1996-01-19</t>
        </is>
      </c>
      <c r="C170" s="19" t="inlineStr">
        <is>
          <t>1996-01-20</t>
        </is>
      </c>
      <c r="D170" s="19">
        <f>VALUE(LEFT(B170,4))</f>
        <v/>
      </c>
      <c r="E170" s="19">
        <f>INT((D170-1)/100)+1</f>
        <v/>
      </c>
      <c r="F170" s="19" t="inlineStr">
        <is>
          <t>Rain-on-snow flood</t>
        </is>
      </c>
      <c r="G170" s="19" t="inlineStr">
        <is>
          <t>Northeast Floods of January 1996</t>
        </is>
      </c>
      <c r="H170" s="19" t="inlineStr">
        <is>
          <t>Schoharie / Mohawk / Hudson</t>
        </is>
      </c>
      <c r="I170" s="19" t="inlineStr">
        <is>
          <t>2–4 in rain on rapid snowmelt; Albany 15.5 ft (greatest since 1949); record on Schoharie Cr.</t>
        </is>
      </c>
      <c r="J170" s="19" t="inlineStr">
        <is>
          <t>Hudson at Albany</t>
        </is>
      </c>
      <c r="K170" s="19" t="inlineStr">
        <is>
          <t>'Flash flood' behavior on main-stem rivers; ice jams; deaths, hundreds of homes lost.</t>
        </is>
      </c>
      <c r="L170" s="19" t="inlineStr">
        <is>
          <t>NWS Albany – Past Weather Events (weather.gov/aly/pastevents) ; The Altamont Enterprise, Oct 10 1996 (FEMA recovery report; scan)</t>
        </is>
      </c>
      <c r="M170" s="19" t="inlineStr">
        <is>
          <t>https://www.weather.gov/aly/pastevents</t>
        </is>
      </c>
      <c r="N170" s="19" t="inlineStr">
        <is>
          <t>A</t>
        </is>
      </c>
      <c r="O170" s="19" t="inlineStr">
        <is>
          <t>Y</t>
        </is>
      </c>
      <c r="P170" s="19" t="inlineStr">
        <is>
          <t>2026-09-23 (v852, atlas session): ENRICHED — Hilltowns FEMA tally: Rensselaerville 52 projects, &gt;$427k (10-Mile and Catskill creek valleys, 'gashes three or four feet deep', Roney Rd washed out completely); Berne $125,709+ (Rowe, Game Farm, Gifford Hollow, Cass Hill, Gulf Hill, Irish Hill roads; Taber Rd bridge; Fox Creek dam in Berne hamlet damaged; Fox Creek Park); Knox 13 roads, ~$120k damage, $80,552 received; Guilderland $42,847 (Covington Woods washout); New Scotland $293,645 expected; Altamont $39,300 — ice jam broken up on the intermittent stream below the village and another on Prospect Terrace; Voorheesville school $53,213, Vly Creek into a school gym.</t>
        </is>
      </c>
      <c r="Q170" s="19" t="inlineStr">
        <is>
          <t>1996-01-19</t>
        </is>
      </c>
      <c r="R170" s="19">
        <f>VALUE(LEFT(Q170,4))</f>
        <v/>
      </c>
      <c r="S170" s="19">
        <f>VALUE(MID(Q170,6,2))</f>
        <v/>
      </c>
      <c r="T170" s="19">
        <f>VALUE(RIGHT(Q170,2))</f>
        <v/>
      </c>
      <c r="U170" s="19" t="inlineStr">
        <is>
          <t>days</t>
        </is>
      </c>
      <c r="V170" s="19" t="inlineStr">
        <is>
          <t>Multi-day event; anchored to first day</t>
        </is>
      </c>
    </row>
    <row r="171" ht="23.25" customHeight="1" s="13">
      <c r="A171" s="19" t="n">
        <v>170</v>
      </c>
      <c r="B171" s="19" t="inlineStr">
        <is>
          <t>1996-07-12</t>
        </is>
      </c>
      <c r="C171" s="19" t="inlineStr">
        <is>
          <t>1996-07-13</t>
        </is>
      </c>
      <c r="D171" s="19">
        <f>VALUE(LEFT(B171,4))</f>
        <v/>
      </c>
      <c r="E171" s="19">
        <f>INT((D171-1)/100)+1</f>
        <v/>
      </c>
      <c r="F171" s="19" t="inlineStr">
        <is>
          <t>Tropical cyclone / flood</t>
        </is>
      </c>
      <c r="G171" s="19" t="inlineStr">
        <is>
          <t>Hurricane Bertha remnants</t>
        </is>
      </c>
      <c r="H171" s="19" t="inlineStr">
        <is>
          <t>Lower–mid Hudson / Catskills / Albany Co.</t>
        </is>
      </c>
      <c r="I171" s="19" t="inlineStr">
        <is>
          <t>5–7 in rain</t>
        </is>
      </c>
      <c r="J171" s="19" t="inlineStr">
        <is>
          <t>regional</t>
        </is>
      </c>
      <c r="K171" s="19" t="inlineStr">
        <is>
          <t>Flooding most widespread in Bethlehem, New Scotland and Rensselaerville; Normans Kill over banks.</t>
        </is>
      </c>
      <c r="L171" s="19" t="inlineStr">
        <is>
          <t>NWS Albany – Past Weather Events (weather.gov/aly/pastevents)</t>
        </is>
      </c>
      <c r="M171" s="19" t="inlineStr">
        <is>
          <t>https://www.weather.gov/aly/pastevents</t>
        </is>
      </c>
      <c r="N171" s="19" t="inlineStr">
        <is>
          <t>A</t>
        </is>
      </c>
      <c r="O171" s="19" t="inlineStr">
        <is>
          <t>Y</t>
        </is>
      </c>
      <c r="P171" s="19" t="inlineStr">
        <is>
          <t>Rensselaerville named – adjacent to Westerlo.</t>
        </is>
      </c>
      <c r="Q171" s="19" t="inlineStr">
        <is>
          <t>1996-07-12</t>
        </is>
      </c>
      <c r="R171" s="19">
        <f>VALUE(LEFT(Q171,4))</f>
        <v/>
      </c>
      <c r="S171" s="19">
        <f>VALUE(MID(Q171,6,2))</f>
        <v/>
      </c>
      <c r="T171" s="19">
        <f>VALUE(RIGHT(Q171,2))</f>
        <v/>
      </c>
      <c r="U171" s="19" t="inlineStr">
        <is>
          <t>days</t>
        </is>
      </c>
      <c r="V171" s="19" t="inlineStr">
        <is>
          <t>Multi-day event; anchored to first day</t>
        </is>
      </c>
    </row>
    <row r="172" ht="23.25" customHeight="1" s="13">
      <c r="A172" s="19" t="n">
        <v>171</v>
      </c>
      <c r="B172" s="19" t="inlineStr">
        <is>
          <t>1998-01-05</t>
        </is>
      </c>
      <c r="C172" s="19" t="inlineStr">
        <is>
          <t>1998-01-10</t>
        </is>
      </c>
      <c r="D172" s="19">
        <f>VALUE(LEFT(B172,4))</f>
        <v/>
      </c>
      <c r="E172" s="19">
        <f>INT((D172-1)/100)+1</f>
        <v/>
      </c>
      <c r="F172" s="19" t="inlineStr">
        <is>
          <t>Ice storm</t>
        </is>
      </c>
      <c r="G172" s="19" t="inlineStr">
        <is>
          <t>Great Ice Storm of 1998</t>
        </is>
      </c>
      <c r="H172" s="19" t="inlineStr">
        <is>
          <t>Northern NY / New England</t>
        </is>
      </c>
      <c r="I172" s="19" t="inlineStr">
        <is>
          <t>Ice &gt;3 in; rain &gt;4 in</t>
        </is>
      </c>
      <c r="J172" s="19" t="inlineStr">
        <is>
          <t>regional</t>
        </is>
      </c>
      <c r="K172" s="19" t="inlineStr">
        <is>
          <t>Catastrophic to the north; Capital Region on southern fringe.</t>
        </is>
      </c>
      <c r="L172" s="19" t="inlineStr">
        <is>
          <t>NWS Albany – Past Weather Events (weather.gov/aly/pastevents)</t>
        </is>
      </c>
      <c r="M172" s="19" t="inlineStr">
        <is>
          <t>https://www.weather.gov/aly/pastevents</t>
        </is>
      </c>
      <c r="N172" s="19" t="inlineStr">
        <is>
          <t>A</t>
        </is>
      </c>
      <c r="O172" s="19" t="inlineStr">
        <is>
          <t>Y</t>
        </is>
      </c>
      <c r="P172" s="19" t="n"/>
      <c r="Q172" s="19" t="inlineStr">
        <is>
          <t>1998-01-05</t>
        </is>
      </c>
      <c r="R172" s="19">
        <f>VALUE(LEFT(Q172,4))</f>
        <v/>
      </c>
      <c r="S172" s="19">
        <f>VALUE(MID(Q172,6,2))</f>
        <v/>
      </c>
      <c r="T172" s="19">
        <f>VALUE(RIGHT(Q172,2))</f>
        <v/>
      </c>
      <c r="U172" s="19" t="inlineStr">
        <is>
          <t>days</t>
        </is>
      </c>
      <c r="V172" s="19" t="inlineStr">
        <is>
          <t>Multi-day event; anchored to first day</t>
        </is>
      </c>
    </row>
    <row r="173" ht="23.25" customHeight="1" s="13">
      <c r="A173" s="19" t="n">
        <v>172</v>
      </c>
      <c r="B173" s="19" t="inlineStr">
        <is>
          <t>1998-01-09</t>
        </is>
      </c>
      <c r="C173" s="19" t="inlineStr">
        <is>
          <t>1998-01-09</t>
        </is>
      </c>
      <c r="D173" s="19">
        <f>VALUE(LEFT(B173,4))</f>
        <v/>
      </c>
      <c r="E173" s="19">
        <f>INT((D173-1)/100)+1</f>
        <v/>
      </c>
      <c r="F173" s="19" t="inlineStr">
        <is>
          <t>Ice jam / flood</t>
        </is>
      </c>
      <c r="G173" s="19" t="inlineStr">
        <is>
          <t>January 1998 Hudson crest at Troy</t>
        </is>
      </c>
      <c r="H173" s="19" t="inlineStr">
        <is>
          <t>Troy</t>
        </is>
      </c>
      <c r="I173" s="19" t="inlineStr">
        <is>
          <t>24.77 ft (9th highest)</t>
        </is>
      </c>
      <c r="J173" s="19" t="inlineStr">
        <is>
          <t>Hudson at Troy</t>
        </is>
      </c>
      <c r="K173" s="19" t="inlineStr">
        <is>
          <t>Rain + snowmelt + ice during the Great Ice Storm week.</t>
        </is>
      </c>
      <c r="L173" s="19" t="inlineStr">
        <is>
          <t>NWPS Hudson at Troy historic crests</t>
        </is>
      </c>
      <c r="M173" s="19" t="inlineStr">
        <is>
          <t>https://water.noaa.gov/gauges/tryn6</t>
        </is>
      </c>
      <c r="N173" s="19" t="inlineStr">
        <is>
          <t>A</t>
        </is>
      </c>
      <c r="O173" s="19" t="inlineStr">
        <is>
          <t>Y</t>
        </is>
      </c>
      <c r="P173" s="19" t="n"/>
      <c r="Q173" s="19" t="inlineStr">
        <is>
          <t>1998-01-09</t>
        </is>
      </c>
      <c r="R173" s="19">
        <f>VALUE(LEFT(Q173,4))</f>
        <v/>
      </c>
      <c r="S173" s="19">
        <f>VALUE(MID(Q173,6,2))</f>
        <v/>
      </c>
      <c r="T173" s="19">
        <f>VALUE(RIGHT(Q173,2))</f>
        <v/>
      </c>
      <c r="U173" s="19" t="inlineStr">
        <is>
          <t>day</t>
        </is>
      </c>
      <c r="V173" s="19" t="inlineStr">
        <is>
          <t>Single-day event</t>
        </is>
      </c>
    </row>
    <row r="174" ht="23.25" customHeight="1" s="13">
      <c r="A174" s="19" t="n">
        <v>173</v>
      </c>
      <c r="B174" s="19" t="inlineStr">
        <is>
          <t>1998-05-31</t>
        </is>
      </c>
      <c r="C174" s="19" t="inlineStr">
        <is>
          <t>1998-05-31</t>
        </is>
      </c>
      <c r="D174" s="19">
        <f>VALUE(LEFT(B174,4))</f>
        <v/>
      </c>
      <c r="E174" s="19">
        <f>INT((D174-1)/100)+1</f>
        <v/>
      </c>
      <c r="F174" s="19" t="inlineStr">
        <is>
          <t>Tornado / derecho</t>
        </is>
      </c>
      <c r="G174" s="19" t="inlineStr">
        <is>
          <t>Mechanicville–Stillwater F3 tornado</t>
        </is>
      </c>
      <c r="H174" s="19" t="inlineStr">
        <is>
          <t>Saratoga / Rensselaer / Albany</t>
        </is>
      </c>
      <c r="I174" s="19" t="inlineStr">
        <is>
          <t>F3; 68 injuries; &gt;$60M</t>
        </is>
      </c>
      <c r="J174" s="19" t="inlineStr">
        <is>
          <t>NCEI</t>
        </is>
      </c>
      <c r="K174" s="19" t="inlineStr">
        <is>
          <t>Strongest Capital Region tornado; part of a derecho.</t>
        </is>
      </c>
      <c r="L174" s="19" t="inlineStr">
        <is>
          <t>Tornado Project (Grazulis) NY county list 1950–2012 ; The Altamont Enterprise, Jun 4 1998, 'Storm-tracking specific with Doppler' (scan)</t>
        </is>
      </c>
      <c r="M174" s="19" t="inlineStr">
        <is>
          <t>https://www.tornadoproject.com/alltorns/nytorn.htm</t>
        </is>
      </c>
      <c r="N174" s="19" t="inlineStr">
        <is>
          <t>A</t>
        </is>
      </c>
      <c r="O174" s="19" t="inlineStr">
        <is>
          <t>Y</t>
        </is>
      </c>
      <c r="P174" s="19" t="inlineStr">
        <is>
          <t>2026-09-23 (v852, atlas session): ENRICHED — NWS Albany issued 46 warnings May 31 1998, damage in 41; three verified tornadoes: Stillwater/Mechanicville F3 (~200 mph per UAlbany's Landin), a 'minimum' tornado at Albany County Airport, one at East Nassau; a 199-ft tower wrapped around a 130-ft tower at Derbyshire Rd, New Scotland, trees sheared at ~40 ft (funnel aloft, not on the ground); office trailer overturned S of Herkimer by straight-line wind. Context: the Berne Doppler tower was commissioned April 1995 and first tested on the May 29 1995 Great Barrington tornado.</t>
        </is>
      </c>
      <c r="Q174" s="19" t="inlineStr">
        <is>
          <t>1998-05-31</t>
        </is>
      </c>
      <c r="R174" s="19">
        <f>VALUE(LEFT(Q174,4))</f>
        <v/>
      </c>
      <c r="S174" s="19">
        <f>VALUE(MID(Q174,6,2))</f>
        <v/>
      </c>
      <c r="T174" s="19">
        <f>VALUE(RIGHT(Q174,2))</f>
        <v/>
      </c>
      <c r="U174" s="19" t="inlineStr">
        <is>
          <t>day</t>
        </is>
      </c>
      <c r="V174" s="19" t="inlineStr">
        <is>
          <t>Single-day event</t>
        </is>
      </c>
    </row>
    <row r="175" ht="23.25" customHeight="1" s="13">
      <c r="A175" s="19" t="n">
        <v>174</v>
      </c>
      <c r="B175" s="19" t="inlineStr">
        <is>
          <t>1999-06-01</t>
        </is>
      </c>
      <c r="C175" s="19" t="inlineStr">
        <is>
          <t>1999-08-31</t>
        </is>
      </c>
      <c r="D175" s="19">
        <f>VALUE(LEFT(B175,4))</f>
        <v/>
      </c>
      <c r="E175" s="19">
        <f>INT((D175-1)/100)+1</f>
        <v/>
      </c>
      <c r="F175" s="19" t="inlineStr">
        <is>
          <t>Drought / heat</t>
        </is>
      </c>
      <c r="G175" s="19" t="inlineStr">
        <is>
          <t>Summer 1999 drought</t>
        </is>
      </c>
      <c r="H175" s="19" t="inlineStr">
        <is>
          <t>Region</t>
        </is>
      </c>
      <c r="I175" s="19" t="inlineStr">
        <is>
          <t>Albany 95°F (Jul 6 1999); severe eastern-US drought + heat</t>
        </is>
      </c>
      <c r="J175" s="19" t="inlineStr">
        <is>
          <t>regional</t>
        </is>
      </c>
      <c r="K175" s="19" t="inlineStr">
        <is>
          <t>Worst drought on record for MD/DE/NJ/RI; WV disaster area; ~3.81M acres burned nationally; 502 US heat deaths. Regional ag disaster declarations.</t>
        </is>
      </c>
      <c r="L175" s="19" t="inlineStr">
        <is>
          <t>US Drought Monitor; NWS Albany annual highs</t>
        </is>
      </c>
      <c r="M175" s="19" t="n"/>
      <c r="N175" s="19" t="inlineStr">
        <is>
          <t>B</t>
        </is>
      </c>
      <c r="O175" s="19" t="inlineStr">
        <is>
          <t>Y</t>
        </is>
      </c>
      <c r="P175" s="19" t="inlineStr">
        <is>
          <t>Albany peak 95°F (Jul 6 1999). 'Worst drought on record' is mid-Atlantic, not NY; NY drought severity per US Drought Monitor.</t>
        </is>
      </c>
      <c r="Q175" s="19" t="inlineStr">
        <is>
          <t>1999-07-06</t>
        </is>
      </c>
      <c r="R175" s="19">
        <f>VALUE(LEFT(Q175,4))</f>
        <v/>
      </c>
      <c r="S175" s="19">
        <f>VALUE(MID(Q175,6,2))</f>
        <v/>
      </c>
      <c r="T175" s="19">
        <f>VALUE(RIGHT(Q175,2))</f>
        <v/>
      </c>
      <c r="U175" s="19" t="inlineStr">
        <is>
          <t>season</t>
        </is>
      </c>
      <c r="V175" s="19" t="inlineStr">
        <is>
          <t>Jul 4–6 heat peak inside the drought</t>
        </is>
      </c>
    </row>
    <row r="176" ht="23.25" customHeight="1" s="13">
      <c r="A176" s="19" t="n">
        <v>175</v>
      </c>
      <c r="B176" s="19" t="inlineStr">
        <is>
          <t>1999-09-16</t>
        </is>
      </c>
      <c r="C176" s="19" t="inlineStr">
        <is>
          <t>1999-09-17</t>
        </is>
      </c>
      <c r="D176" s="19">
        <f>VALUE(LEFT(B176,4))</f>
        <v/>
      </c>
      <c r="E176" s="19">
        <f>INT((D176-1)/100)+1</f>
        <v/>
      </c>
      <c r="F176" s="19" t="inlineStr">
        <is>
          <t>Tropical cyclone / flood</t>
        </is>
      </c>
      <c r="G176" s="19" t="inlineStr">
        <is>
          <t>Tropical Storm Floyd</t>
        </is>
      </c>
      <c r="H176" s="19" t="inlineStr">
        <is>
          <t>Region</t>
        </is>
      </c>
      <c r="I176" s="19" t="inlineStr">
        <is>
          <t>3–12 in; Albany 5.60 in Sep 16 (wettest day on record)</t>
        </is>
      </c>
      <c r="J176" s="19" t="inlineStr">
        <is>
          <t>Albany</t>
        </is>
      </c>
      <c r="K176" s="19" t="inlineStr">
        <is>
          <t>Flash flooding Hudson Valley/Catskills.</t>
        </is>
      </c>
      <c r="L176" s="19" t="inlineStr">
        <is>
          <t>NWS Albany – Past Weather Events (weather.gov/aly/pastevents) ; The Altamont Enterprise, Sep 23 1999 ('High grounds helps Hilltowns') and Oct 14 1999 editorial (scans)</t>
        </is>
      </c>
      <c r="M176" s="19" t="inlineStr">
        <is>
          <t>https://www.weather.gov/aly/pastevents</t>
        </is>
      </c>
      <c r="N176" s="19" t="inlineStr">
        <is>
          <t>A</t>
        </is>
      </c>
      <c r="O176" s="19" t="inlineStr">
        <is>
          <t>Y</t>
        </is>
      </c>
      <c r="P176" s="19" t="inlineStr">
        <is>
          <t>Albany daily record confirmed on 2026 flood page. 2026-09-23 (v852, atlas session): ENRICHED — Sep 16 1999, up to 10 in of rain, '100-year storm': Western Ave (Rte 20) Guilderland — 250 ft of road sank 15–20 ft where the Hungerkill eroded around its culvert; Knox 18–19 roads damaged, Quay Rd closed Thu–Fri, Lewis Rd rebuilt with 2–30 in riprap; Berne Rtes 443 and 156, Canaday Hill and Beaver Hill Rds closed, Irons Lane culvert, cellars pumped 10–12 hrs, Old Mill Dam repair delayed; Westerlo Rte 404 closed &lt;1 day, Rtes 412/312, Dunbar Hollow and Tan Hollow shoulders, Basic Creek overran its banks; Rensselaerville Catskill Creek washout, Pond Hill Rd culvert; Albany Co. declared a disaster area; FEMA survey 116 households (14 Altamont, 12 Voorheesville, 12 New Scotland).</t>
        </is>
      </c>
      <c r="Q176" s="19" t="inlineStr">
        <is>
          <t>1999-09-16</t>
        </is>
      </c>
      <c r="R176" s="19">
        <f>VALUE(LEFT(Q176,4))</f>
        <v/>
      </c>
      <c r="S176" s="19">
        <f>VALUE(MID(Q176,6,2))</f>
        <v/>
      </c>
      <c r="T176" s="19">
        <f>VALUE(RIGHT(Q176,2))</f>
        <v/>
      </c>
      <c r="U176" s="19" t="inlineStr">
        <is>
          <t>days</t>
        </is>
      </c>
      <c r="V176" s="19" t="inlineStr">
        <is>
          <t>Multi-day event; anchored to first day</t>
        </is>
      </c>
    </row>
    <row r="177" ht="23.25" customHeight="1" s="13">
      <c r="A177" s="19" t="n">
        <v>176</v>
      </c>
      <c r="B177" s="19" t="inlineStr">
        <is>
          <t>2002-05-18</t>
        </is>
      </c>
      <c r="C177" s="19" t="inlineStr">
        <is>
          <t>2002-05-18</t>
        </is>
      </c>
      <c r="D177" s="19">
        <f>VALUE(LEFT(B177,4))</f>
        <v/>
      </c>
      <c r="E177" s="19">
        <f>INT((D177-1)/100)+1</f>
        <v/>
      </c>
      <c r="F177" s="19" t="inlineStr">
        <is>
          <t>Late-season snow</t>
        </is>
      </c>
      <c r="G177" s="19" t="inlineStr">
        <is>
          <t>May 18, 2002 snowstorm</t>
        </is>
      </c>
      <c r="H177" s="19" t="inlineStr">
        <is>
          <t>Catskills / Schoharie / Albany</t>
        </is>
      </c>
      <c r="I177" s="19" t="inlineStr">
        <is>
          <t>8 in Prattsville; 6.5 in Summit; 2.2 in Albany (latest measurable)</t>
        </is>
      </c>
      <c r="J177" s="19" t="inlineStr">
        <is>
          <t>Albany</t>
        </is>
      </c>
      <c r="K177" s="19" t="inlineStr">
        <is>
          <t>Power outages in the Catskills.</t>
        </is>
      </c>
      <c r="L177" s="19" t="inlineStr">
        <is>
          <t>NWS Albany – Past Weather Events (weather.gov/aly/pastevents)</t>
        </is>
      </c>
      <c r="M177" s="19" t="inlineStr">
        <is>
          <t>https://www.weather.gov/aly/pastevents</t>
        </is>
      </c>
      <c r="N177" s="19" t="inlineStr">
        <is>
          <t>A</t>
        </is>
      </c>
      <c r="O177" s="19" t="inlineStr">
        <is>
          <t>Y</t>
        </is>
      </c>
      <c r="P177" s="19" t="n"/>
      <c r="Q177" s="19" t="inlineStr">
        <is>
          <t>2002-05-18</t>
        </is>
      </c>
      <c r="R177" s="19">
        <f>VALUE(LEFT(Q177,4))</f>
        <v/>
      </c>
      <c r="S177" s="19">
        <f>VALUE(MID(Q177,6,2))</f>
        <v/>
      </c>
      <c r="T177" s="19">
        <f>VALUE(RIGHT(Q177,2))</f>
        <v/>
      </c>
      <c r="U177" s="19" t="inlineStr">
        <is>
          <t>day</t>
        </is>
      </c>
      <c r="V177" s="19" t="inlineStr">
        <is>
          <t>Single-day event</t>
        </is>
      </c>
    </row>
    <row r="178" ht="23.25" customHeight="1" s="13">
      <c r="A178" s="19" t="n">
        <v>177</v>
      </c>
      <c r="B178" s="19" t="inlineStr">
        <is>
          <t>2002-12-25</t>
        </is>
      </c>
      <c r="C178" s="19" t="inlineStr">
        <is>
          <t>2003-01-04</t>
        </is>
      </c>
      <c r="D178" s="19">
        <f>VALUE(LEFT(B178,4))</f>
        <v/>
      </c>
      <c r="E178" s="19">
        <f>INT((D178-1)/100)+1</f>
        <v/>
      </c>
      <c r="F178" s="19" t="inlineStr">
        <is>
          <t>Nor'easters</t>
        </is>
      </c>
      <c r="G178" s="19" t="inlineStr">
        <is>
          <t>Double-barrel nor'easters 2002–03</t>
        </is>
      </c>
      <c r="H178" s="19" t="inlineStr">
        <is>
          <t>Region</t>
        </is>
      </c>
      <c r="I178" s="19" t="inlineStr">
        <is>
          <t>21 in and 20.8 in Albany</t>
        </is>
      </c>
      <c r="J178" s="19" t="inlineStr">
        <is>
          <t>Albany</t>
        </is>
      </c>
      <c r="K178" s="19" t="inlineStr">
        <is>
          <t>First two 20-in storms in one winter since 1887–88; winter 2002–03 = 105.4 in (3rd snowiest).</t>
        </is>
      </c>
      <c r="L178" s="19" t="inlineStr">
        <is>
          <t>NWS Albany – Past Weather Events (weather.gov/aly/pastevents)</t>
        </is>
      </c>
      <c r="M178" s="19" t="inlineStr">
        <is>
          <t>https://www.weather.gov/aly/pastevents</t>
        </is>
      </c>
      <c r="N178" s="19" t="inlineStr">
        <is>
          <t>A</t>
        </is>
      </c>
      <c r="O178" s="19" t="inlineStr">
        <is>
          <t>Y</t>
        </is>
      </c>
      <c r="P178" s="19" t="n"/>
      <c r="Q178" s="19" t="inlineStr">
        <is>
          <t>2002-12-25</t>
        </is>
      </c>
      <c r="R178" s="19">
        <f>VALUE(LEFT(Q178,4))</f>
        <v/>
      </c>
      <c r="S178" s="19">
        <f>VALUE(MID(Q178,6,2))</f>
        <v/>
      </c>
      <c r="T178" s="19">
        <f>VALUE(RIGHT(Q178,2))</f>
        <v/>
      </c>
      <c r="U178" s="19" t="inlineStr">
        <is>
          <t>days</t>
        </is>
      </c>
      <c r="V178" s="19" t="inlineStr">
        <is>
          <t>Multi-day event; anchored to first day</t>
        </is>
      </c>
    </row>
    <row r="179" ht="23.25" customHeight="1" s="13">
      <c r="A179" s="19" t="n">
        <v>178</v>
      </c>
      <c r="B179" s="19" t="inlineStr">
        <is>
          <t>2003-02-17</t>
        </is>
      </c>
      <c r="C179" s="19" t="inlineStr">
        <is>
          <t>2003-02-17</t>
        </is>
      </c>
      <c r="D179" s="19">
        <f>VALUE(LEFT(B179,4))</f>
        <v/>
      </c>
      <c r="E179" s="19">
        <f>INT((D179-1)/100)+1</f>
        <v/>
      </c>
      <c r="F179" s="19" t="inlineStr">
        <is>
          <t>Nor'easter</t>
        </is>
      </c>
      <c r="G179" s="19" t="inlineStr">
        <is>
          <t>Presidents' Day Storm II</t>
        </is>
      </c>
      <c r="H179" s="19" t="inlineStr">
        <is>
          <t>Region</t>
        </is>
      </c>
      <c r="I179" s="19" t="inlineStr">
        <is>
          <t>Up to 2 ft Berkshires</t>
        </is>
      </c>
      <c r="J179" s="19" t="inlineStr">
        <is>
          <t>regional</t>
        </is>
      </c>
      <c r="K179" s="19" t="inlineStr">
        <is>
          <t>NESIS Cat 4.</t>
        </is>
      </c>
      <c r="L179" s="19" t="inlineStr">
        <is>
          <t>NWS Albany – Past Weather Events (weather.gov/aly/pastevents)</t>
        </is>
      </c>
      <c r="M179" s="19" t="inlineStr">
        <is>
          <t>https://www.weather.gov/aly/pastevents</t>
        </is>
      </c>
      <c r="N179" s="19" t="inlineStr">
        <is>
          <t>A</t>
        </is>
      </c>
      <c r="O179" s="19" t="inlineStr">
        <is>
          <t>Y</t>
        </is>
      </c>
      <c r="P179" s="19" t="n"/>
      <c r="Q179" s="19" t="inlineStr">
        <is>
          <t>2003-02-17</t>
        </is>
      </c>
      <c r="R179" s="19">
        <f>VALUE(LEFT(Q179,4))</f>
        <v/>
      </c>
      <c r="S179" s="19">
        <f>VALUE(MID(Q179,6,2))</f>
        <v/>
      </c>
      <c r="T179" s="19">
        <f>VALUE(RIGHT(Q179,2))</f>
        <v/>
      </c>
      <c r="U179" s="19" t="inlineStr">
        <is>
          <t>day</t>
        </is>
      </c>
      <c r="V179" s="19" t="inlineStr">
        <is>
          <t>Single-day event</t>
        </is>
      </c>
    </row>
    <row r="180" ht="23.25" customHeight="1" s="13">
      <c r="A180" s="19" t="n">
        <v>179</v>
      </c>
      <c r="B180" s="19" t="inlineStr">
        <is>
          <t>2003-04-03</t>
        </is>
      </c>
      <c r="C180" s="19" t="inlineStr">
        <is>
          <t>2003-04-05</t>
        </is>
      </c>
      <c r="D180" s="19">
        <f>VALUE(LEFT(B180,4))</f>
        <v/>
      </c>
      <c r="E180" s="19">
        <f>INT((D180-1)/100)+1</f>
        <v/>
      </c>
      <c r="F180" s="19" t="inlineStr">
        <is>
          <t>Ice / snow storm</t>
        </is>
      </c>
      <c r="G180" s="19" t="inlineStr">
        <is>
          <t>April 2003 snow &amp; sleet storm</t>
        </is>
      </c>
      <c r="H180" s="19" t="inlineStr">
        <is>
          <t>Region north of Schoharie Co.</t>
        </is>
      </c>
      <c r="I180" s="19" t="inlineStr">
        <is>
          <t>½–1 in ice; 12–18 in snow north</t>
        </is>
      </c>
      <c r="J180" s="19" t="inlineStr">
        <is>
          <t>regional</t>
        </is>
      </c>
      <c r="K180" s="19" t="inlineStr">
        <is>
          <t>Outages until Apr 8.</t>
        </is>
      </c>
      <c r="L180" s="19" t="inlineStr">
        <is>
          <t>NWS Albany – Past Weather Events (weather.gov/aly/pastevents) ; The Altamont Enterprise, Apr 10 2003 ('Ice storms knock out power, inspire charity') [uploaded PDF scan]</t>
        </is>
      </c>
      <c r="M180" s="19" t="inlineStr">
        <is>
          <t>https://www.weather.gov/aly/pastevents</t>
        </is>
      </c>
      <c r="N180" s="19" t="inlineStr">
        <is>
          <t>A</t>
        </is>
      </c>
      <c r="O180" s="19" t="inlineStr">
        <is>
          <t>Y</t>
        </is>
      </c>
      <c r="P180" s="19" t="inlineStr">
        <is>
          <t>2026-09-22 (v828, atlas session): ENRICHED from research-chat intake row 358 (same event; merged, not added). Freezing rain on Thursday night Apr 3 into Friday Apr 4 2003 coated trees across the Hilltowns and left about 2,500 Niagara Mohawk customers in Guilderland, New Scotland and the Hilltowns without power; fallen branches and the weight of the ice pulled down lines, some homes were out for several days, and Red Cross shelters opened at Altamont's village hall and the Rock Road Chapel in Knox. Photos show the ice-glazed scene on Pinewood Drive in Lynnwood and cleanup around Altamont and Knox. || Key measurement per that source: ~2,500 Niagara Mohawk customers without power; freezing rain coated trees, downing limbs and lines || Intake notes: 2026-09-22: added per Laurie (PDF scan). CORE Hilltowns ice storm (Altamont, Knox, Guilderland, New Scotland, Lynnwood named directly). A-grade NWS/NCEI ice-storm data could firm up accretion/outage figures at merge. EXISTENCE-GUARD at merge.</t>
        </is>
      </c>
      <c r="Q180" s="19" t="inlineStr">
        <is>
          <t>2003-04-03</t>
        </is>
      </c>
      <c r="R180" s="19">
        <f>VALUE(LEFT(Q180,4))</f>
        <v/>
      </c>
      <c r="S180" s="19">
        <f>VALUE(MID(Q180,6,2))</f>
        <v/>
      </c>
      <c r="T180" s="19">
        <f>VALUE(RIGHT(Q180,2))</f>
        <v/>
      </c>
      <c r="U180" s="19" t="inlineStr">
        <is>
          <t>days</t>
        </is>
      </c>
      <c r="V180" s="19" t="inlineStr">
        <is>
          <t>Multi-day event; anchored to first day</t>
        </is>
      </c>
    </row>
    <row r="181" ht="23.25" customHeight="1" s="13">
      <c r="A181" s="19" t="n">
        <v>180</v>
      </c>
      <c r="B181" s="19" t="inlineStr">
        <is>
          <t>2003-07-21</t>
        </is>
      </c>
      <c r="C181" s="19" t="inlineStr">
        <is>
          <t>2003-07-21</t>
        </is>
      </c>
      <c r="D181" s="19">
        <f>VALUE(LEFT(B181,4))</f>
        <v/>
      </c>
      <c r="E181" s="19">
        <f>INT((D181-1)/100)+1</f>
        <v/>
      </c>
      <c r="F181" s="19" t="inlineStr">
        <is>
          <t>Tornado outbreak</t>
        </is>
      </c>
      <c r="G181" s="19" t="inlineStr">
        <is>
          <t>July 21, 2003 outbreak</t>
        </is>
      </c>
      <c r="H181" s="19" t="inlineStr">
        <is>
          <t>Greene / Columbia / Rensselaer / Bennington</t>
        </is>
      </c>
      <c r="I181" s="19" t="inlineStr">
        <is>
          <t>≥13 tornadoes F0–F2</t>
        </is>
      </c>
      <c r="J181" s="19" t="inlineStr">
        <is>
          <t>NCEI</t>
        </is>
      </c>
      <c r="K181" s="19" t="inlineStr">
        <is>
          <t>See Wind &amp; Tornado sheet.</t>
        </is>
      </c>
      <c r="L181" s="19" t="inlineStr">
        <is>
          <t>Tornado Project (Grazulis) NY county list 1950–2012</t>
        </is>
      </c>
      <c r="M181" s="19" t="inlineStr">
        <is>
          <t>https://www.tornadoproject.com/alltorns/nytorn.htm</t>
        </is>
      </c>
      <c r="N181" s="19" t="inlineStr">
        <is>
          <t>A</t>
        </is>
      </c>
      <c r="O181" s="19" t="inlineStr">
        <is>
          <t>Y</t>
        </is>
      </c>
      <c r="P181" s="19" t="n"/>
      <c r="Q181" s="19" t="inlineStr">
        <is>
          <t>2003-07-21</t>
        </is>
      </c>
      <c r="R181" s="19">
        <f>VALUE(LEFT(Q181,4))</f>
        <v/>
      </c>
      <c r="S181" s="19">
        <f>VALUE(MID(Q181,6,2))</f>
        <v/>
      </c>
      <c r="T181" s="19">
        <f>VALUE(RIGHT(Q181,2))</f>
        <v/>
      </c>
      <c r="U181" s="19" t="inlineStr">
        <is>
          <t>day</t>
        </is>
      </c>
      <c r="V181" s="19" t="inlineStr">
        <is>
          <t>Single-day event</t>
        </is>
      </c>
    </row>
    <row r="182" ht="23.25" customHeight="1" s="13">
      <c r="A182" s="19" t="n">
        <v>181</v>
      </c>
      <c r="B182" s="19" t="inlineStr">
        <is>
          <t>2003-12-06</t>
        </is>
      </c>
      <c r="C182" s="19" t="inlineStr">
        <is>
          <t>2003-12-07</t>
        </is>
      </c>
      <c r="D182" s="19">
        <f>VALUE(LEFT(B182,4))</f>
        <v/>
      </c>
      <c r="E182" s="19">
        <f>INT((D182-1)/100)+1</f>
        <v/>
      </c>
      <c r="F182" s="19" t="inlineStr">
        <is>
          <t>Snowstorm</t>
        </is>
      </c>
      <c r="G182" s="19" t="inlineStr">
        <is>
          <t>December 2003 snowstorm</t>
        </is>
      </c>
      <c r="H182" s="19" t="inlineStr">
        <is>
          <t>Rensselaer County band</t>
        </is>
      </c>
      <c r="I182" s="19" t="inlineStr">
        <is>
          <t>32 in Averill Park</t>
        </is>
      </c>
      <c r="J182" s="19" t="inlineStr">
        <is>
          <t>coop</t>
        </is>
      </c>
      <c r="K182" s="19" t="inlineStr">
        <is>
          <t>Mesoscale banding east of the Hudson.</t>
        </is>
      </c>
      <c r="L182" s="19" t="inlineStr">
        <is>
          <t>NWS Albany – Past Weather Events (weather.gov/aly/pastevents)</t>
        </is>
      </c>
      <c r="M182" s="19" t="inlineStr">
        <is>
          <t>https://www.weather.gov/aly/pastevents</t>
        </is>
      </c>
      <c r="N182" s="19" t="inlineStr">
        <is>
          <t>A</t>
        </is>
      </c>
      <c r="O182" s="19" t="inlineStr">
        <is>
          <t>Y</t>
        </is>
      </c>
      <c r="P182" s="19" t="n"/>
      <c r="Q182" s="19" t="inlineStr">
        <is>
          <t>2003-12-06</t>
        </is>
      </c>
      <c r="R182" s="19">
        <f>VALUE(LEFT(Q182,4))</f>
        <v/>
      </c>
      <c r="S182" s="19">
        <f>VALUE(MID(Q182,6,2))</f>
        <v/>
      </c>
      <c r="T182" s="19">
        <f>VALUE(RIGHT(Q182,2))</f>
        <v/>
      </c>
      <c r="U182" s="19" t="inlineStr">
        <is>
          <t>days</t>
        </is>
      </c>
      <c r="V182" s="19" t="inlineStr">
        <is>
          <t>Multi-day event; anchored to first day</t>
        </is>
      </c>
    </row>
    <row r="183" ht="23.25" customHeight="1" s="13">
      <c r="A183" s="19" t="n">
        <v>182</v>
      </c>
      <c r="B183" s="19" t="inlineStr">
        <is>
          <t>2004-02-01</t>
        </is>
      </c>
      <c r="C183" s="19" t="inlineStr">
        <is>
          <t>2004-02-28</t>
        </is>
      </c>
      <c r="D183" s="19">
        <f>VALUE(LEFT(B183,4))</f>
        <v/>
      </c>
      <c r="E183" s="19">
        <f>INT((D183-1)/100)+1</f>
        <v/>
      </c>
      <c r="F183" s="19" t="inlineStr">
        <is>
          <t>Ice jam</t>
        </is>
      </c>
      <c r="G183" s="19" t="inlineStr">
        <is>
          <t>February 2004 Schoharie Creek ice jam</t>
        </is>
      </c>
      <c r="H183" s="19" t="inlineStr">
        <is>
          <t>Schoharie Cr. at Route 5S, Montgomery Co.</t>
        </is>
      </c>
      <c r="I183" s="19" t="inlineStr">
        <is>
          <t>3-mile jam</t>
        </is>
      </c>
      <c r="J183" s="19" t="inlineStr">
        <is>
          <t>none</t>
        </is>
      </c>
      <c r="K183" s="19" t="inlineStr">
        <is>
          <t>Minor flooding; heavy tree damage.</t>
        </is>
      </c>
      <c r="L183" s="19" t="inlineStr">
        <is>
          <t>NWS Albany Ice Jam Trouble Spots (IceJamInfo.pdf)</t>
        </is>
      </c>
      <c r="M183" s="19" t="inlineStr">
        <is>
          <t>https://www.weather.gov/media/aly/Hydrology/IceJamInfo.pdf</t>
        </is>
      </c>
      <c r="N183" s="19" t="inlineStr">
        <is>
          <t>B</t>
        </is>
      </c>
      <c r="O183" s="19" t="inlineStr">
        <is>
          <t>Y</t>
        </is>
      </c>
      <c r="P183" s="19" t="inlineStr">
        <is>
          <t>Day not given.</t>
        </is>
      </c>
      <c r="Q183" s="19" t="inlineStr">
        <is>
          <t>2004-02-14</t>
        </is>
      </c>
      <c r="R183" s="19">
        <f>VALUE(LEFT(Q183,4))</f>
        <v/>
      </c>
      <c r="S183" s="19">
        <f>VALUE(MID(Q183,6,2))</f>
        <v/>
      </c>
      <c r="T183" s="19">
        <f>VALUE(RIGHT(Q183,2))</f>
        <v/>
      </c>
      <c r="U183" s="19" t="inlineStr">
        <is>
          <t>month</t>
        </is>
      </c>
      <c r="V183" s="19" t="inlineStr">
        <is>
          <t>Anchored to mid-point of a multi-week window</t>
        </is>
      </c>
    </row>
    <row r="184" ht="23.25" customHeight="1" s="13">
      <c r="A184" s="19" t="n">
        <v>183</v>
      </c>
      <c r="B184" s="19" t="inlineStr">
        <is>
          <t>2004-09-17</t>
        </is>
      </c>
      <c r="C184" s="19" t="inlineStr">
        <is>
          <t>2004-09-18</t>
        </is>
      </c>
      <c r="D184" s="19">
        <f>VALUE(LEFT(B184,4))</f>
        <v/>
      </c>
      <c r="E184" s="19">
        <f>INT((D184-1)/100)+1</f>
        <v/>
      </c>
      <c r="F184" s="19" t="inlineStr">
        <is>
          <t>Tropical cyclone / flood</t>
        </is>
      </c>
      <c r="G184" s="19" t="inlineStr">
        <is>
          <t>Hurricane Ivan remnants</t>
        </is>
      </c>
      <c r="H184" s="19" t="inlineStr">
        <is>
          <t>Region</t>
        </is>
      </c>
      <c r="I184" s="19" t="inlineStr">
        <is>
          <t>Up to 6 in</t>
        </is>
      </c>
      <c r="J184" s="19" t="inlineStr">
        <is>
          <t>regional</t>
        </is>
      </c>
      <c r="K184" s="19" t="n"/>
      <c r="L184" s="19" t="inlineStr">
        <is>
          <t>NWS Albany – Past Weather Events (weather.gov/aly/pastevents)</t>
        </is>
      </c>
      <c r="M184" s="19" t="inlineStr">
        <is>
          <t>https://www.weather.gov/aly/pastevents</t>
        </is>
      </c>
      <c r="N184" s="19" t="inlineStr">
        <is>
          <t>A</t>
        </is>
      </c>
      <c r="O184" s="19" t="inlineStr">
        <is>
          <t>Y</t>
        </is>
      </c>
      <c r="P184" s="19" t="n"/>
      <c r="Q184" s="19" t="inlineStr">
        <is>
          <t>2004-09-17</t>
        </is>
      </c>
      <c r="R184" s="19">
        <f>VALUE(LEFT(Q184,4))</f>
        <v/>
      </c>
      <c r="S184" s="19">
        <f>VALUE(MID(Q184,6,2))</f>
        <v/>
      </c>
      <c r="T184" s="19">
        <f>VALUE(RIGHT(Q184,2))</f>
        <v/>
      </c>
      <c r="U184" s="19" t="inlineStr">
        <is>
          <t>days</t>
        </is>
      </c>
      <c r="V184" s="19" t="inlineStr">
        <is>
          <t>Multi-day event; anchored to first day</t>
        </is>
      </c>
    </row>
    <row r="185" ht="23.25" customHeight="1" s="13">
      <c r="A185" s="19" t="n">
        <v>184</v>
      </c>
      <c r="B185" s="19" t="inlineStr">
        <is>
          <t>2005-01-13</t>
        </is>
      </c>
      <c r="C185" s="19" t="inlineStr">
        <is>
          <t>2005-01-15</t>
        </is>
      </c>
      <c r="D185" s="19">
        <f>VALUE(LEFT(B185,4))</f>
        <v/>
      </c>
      <c r="E185" s="19">
        <f>INT((D185-1)/100)+1</f>
        <v/>
      </c>
      <c r="F185" s="19" t="inlineStr">
        <is>
          <t>Rain-on-snow flood</t>
        </is>
      </c>
      <c r="G185" s="19" t="inlineStr">
        <is>
          <t>January 2005 thaw flood</t>
        </is>
      </c>
      <c r="H185" s="19" t="inlineStr">
        <is>
          <t>Region</t>
        </is>
      </c>
      <c r="I185" s="19" t="n"/>
      <c r="J185" s="19" t="inlineStr">
        <is>
          <t>regional</t>
        </is>
      </c>
      <c r="K185" s="19" t="inlineStr">
        <is>
          <t>Wappingers Cr. highest since 1987.</t>
        </is>
      </c>
      <c r="L185" s="19" t="inlineStr">
        <is>
          <t>NWS Albany – Past Weather Events (weather.gov/aly/pastevents)</t>
        </is>
      </c>
      <c r="M185" s="19" t="inlineStr">
        <is>
          <t>https://www.weather.gov/aly/pastevents</t>
        </is>
      </c>
      <c r="N185" s="19" t="inlineStr">
        <is>
          <t>B</t>
        </is>
      </c>
      <c r="O185" s="19" t="inlineStr">
        <is>
          <t>Y</t>
        </is>
      </c>
      <c r="P185" s="19" t="n"/>
      <c r="Q185" s="19" t="inlineStr">
        <is>
          <t>2005-01-13</t>
        </is>
      </c>
      <c r="R185" s="19">
        <f>VALUE(LEFT(Q185,4))</f>
        <v/>
      </c>
      <c r="S185" s="19">
        <f>VALUE(MID(Q185,6,2))</f>
        <v/>
      </c>
      <c r="T185" s="19">
        <f>VALUE(RIGHT(Q185,2))</f>
        <v/>
      </c>
      <c r="U185" s="19" t="inlineStr">
        <is>
          <t>days</t>
        </is>
      </c>
      <c r="V185" s="19" t="inlineStr">
        <is>
          <t>Multi-day event; anchored to first day</t>
        </is>
      </c>
    </row>
    <row r="186" ht="23.25" customHeight="1" s="13">
      <c r="A186" s="19" t="n">
        <v>185</v>
      </c>
      <c r="B186" s="19" t="inlineStr">
        <is>
          <t>2005-04-02</t>
        </is>
      </c>
      <c r="C186" s="19" t="inlineStr">
        <is>
          <t>2005-04-04</t>
        </is>
      </c>
      <c r="D186" s="19">
        <f>VALUE(LEFT(B186,4))</f>
        <v/>
      </c>
      <c r="E186" s="19">
        <f>INT((D186-1)/100)+1</f>
        <v/>
      </c>
      <c r="F186" s="19" t="inlineStr">
        <is>
          <t>Rain flood</t>
        </is>
      </c>
      <c r="G186" s="19" t="inlineStr">
        <is>
          <t>April 2005 flood</t>
        </is>
      </c>
      <c r="H186" s="19" t="inlineStr">
        <is>
          <t>Ulster / Greene / upper Hudson</t>
        </is>
      </c>
      <c r="I186" s="19" t="inlineStr">
        <is>
          <t>3–6 in Catskills; Esopus at Mt Marion 26.24 ft (flood of record)</t>
        </is>
      </c>
      <c r="J186" s="19" t="inlineStr">
        <is>
          <t>USGS Mt Marion</t>
        </is>
      </c>
      <c r="K186" s="19" t="inlineStr">
        <is>
          <t>USGS ~100-yr event upper Hudson.</t>
        </is>
      </c>
      <c r="L186" s="19" t="inlineStr">
        <is>
          <t>NWS Albany – Past Weather Events (weather.gov/aly/pastevents)</t>
        </is>
      </c>
      <c r="M186" s="19" t="inlineStr">
        <is>
          <t>https://www.weather.gov/aly/pastevents</t>
        </is>
      </c>
      <c r="N186" s="19" t="inlineStr">
        <is>
          <t>A</t>
        </is>
      </c>
      <c r="O186" s="19" t="inlineStr">
        <is>
          <t>Y</t>
        </is>
      </c>
      <c r="P186" s="19" t="n"/>
      <c r="Q186" s="19" t="inlineStr">
        <is>
          <t>2005-04-02</t>
        </is>
      </c>
      <c r="R186" s="19">
        <f>VALUE(LEFT(Q186,4))</f>
        <v/>
      </c>
      <c r="S186" s="19">
        <f>VALUE(MID(Q186,6,2))</f>
        <v/>
      </c>
      <c r="T186" s="19">
        <f>VALUE(RIGHT(Q186,2))</f>
        <v/>
      </c>
      <c r="U186" s="19" t="inlineStr">
        <is>
          <t>days</t>
        </is>
      </c>
      <c r="V186" s="19" t="inlineStr">
        <is>
          <t>Multi-day event; anchored to first day</t>
        </is>
      </c>
    </row>
    <row r="187" ht="23.25" customHeight="1" s="13">
      <c r="A187" s="19" t="n">
        <v>186</v>
      </c>
      <c r="B187" s="19" t="inlineStr">
        <is>
          <t>2005-10-07</t>
        </is>
      </c>
      <c r="C187" s="19" t="inlineStr">
        <is>
          <t>2005-10-14</t>
        </is>
      </c>
      <c r="D187" s="19">
        <f>VALUE(LEFT(B187,4))</f>
        <v/>
      </c>
      <c r="E187" s="19">
        <f>INT((D187-1)/100)+1</f>
        <v/>
      </c>
      <c r="F187" s="19" t="inlineStr">
        <is>
          <t>Rain flood</t>
        </is>
      </c>
      <c r="G187" s="19" t="inlineStr">
        <is>
          <t>October 2005 (Tammy + coastal low)</t>
        </is>
      </c>
      <c r="H187" s="19" t="inlineStr">
        <is>
          <t>Dutchess / Litchfield</t>
        </is>
      </c>
      <c r="I187" s="19" t="inlineStr">
        <is>
          <t>1–2 ft rain total</t>
        </is>
      </c>
      <c r="J187" s="19" t="inlineStr">
        <is>
          <t>regional</t>
        </is>
      </c>
      <c r="K187" s="19" t="inlineStr">
        <is>
          <t>Ended a drought; moderate–major flooding.</t>
        </is>
      </c>
      <c r="L187" s="19" t="inlineStr">
        <is>
          <t>NWS Albany – Past Weather Events (weather.gov/aly/pastevents)</t>
        </is>
      </c>
      <c r="M187" s="19" t="inlineStr">
        <is>
          <t>https://www.weather.gov/aly/pastevents</t>
        </is>
      </c>
      <c r="N187" s="19" t="inlineStr">
        <is>
          <t>A</t>
        </is>
      </c>
      <c r="O187" s="19" t="inlineStr">
        <is>
          <t>Y</t>
        </is>
      </c>
      <c r="P187" s="19" t="n"/>
      <c r="Q187" s="19" t="inlineStr">
        <is>
          <t>2005-10-07</t>
        </is>
      </c>
      <c r="R187" s="19">
        <f>VALUE(LEFT(Q187,4))</f>
        <v/>
      </c>
      <c r="S187" s="19">
        <f>VALUE(MID(Q187,6,2))</f>
        <v/>
      </c>
      <c r="T187" s="19">
        <f>VALUE(RIGHT(Q187,2))</f>
        <v/>
      </c>
      <c r="U187" s="19" t="inlineStr">
        <is>
          <t>days</t>
        </is>
      </c>
      <c r="V187" s="19" t="inlineStr">
        <is>
          <t>Multi-day event; anchored to first day</t>
        </is>
      </c>
    </row>
    <row r="188" ht="23.25" customHeight="1" s="13">
      <c r="A188" s="19" t="n">
        <v>187</v>
      </c>
      <c r="B188" s="19" t="inlineStr">
        <is>
          <t>2006-06-01</t>
        </is>
      </c>
      <c r="C188" s="19" t="inlineStr">
        <is>
          <t>2006-08-31</t>
        </is>
      </c>
      <c r="D188" s="19">
        <f>VALUE(LEFT(B188,4))</f>
        <v/>
      </c>
      <c r="E188" s="19">
        <f>INT((D188-1)/100)+1</f>
        <v/>
      </c>
      <c r="F188" s="19" t="inlineStr">
        <is>
          <t>Landslide</t>
        </is>
      </c>
      <c r="G188" s="19" t="inlineStr">
        <is>
          <t>Kaaterskill Clove landslides close NY 23A</t>
        </is>
      </c>
      <c r="H188" s="19" t="inlineStr">
        <is>
          <t>Kaaterskill Clove, Greene Co.</t>
        </is>
      </c>
      <c r="I188" s="19" t="inlineStr">
        <is>
          <t>Route closed several months</t>
        </is>
      </c>
      <c r="J188" s="19" t="inlineStr">
        <is>
          <t>none</t>
        </is>
      </c>
      <c r="K188" s="19" t="inlineStr">
        <is>
          <t>Heavy-rain-triggered slides (same wet June as the 2006 flood).</t>
        </is>
      </c>
      <c r="L188" s="19" t="inlineStr">
        <is>
          <t>Wikipedia event article (secondary; verify against NCEI/NHC)</t>
        </is>
      </c>
      <c r="M188" s="19" t="inlineStr">
        <is>
          <t>https://en.wikipedia.org/wiki/New_York_State_Route_23A</t>
        </is>
      </c>
      <c r="N188" s="19" t="inlineStr">
        <is>
          <t>B</t>
        </is>
      </c>
      <c r="O188" s="19" t="inlineStr">
        <is>
          <t>Y</t>
        </is>
      </c>
      <c r="P188" s="19" t="n"/>
      <c r="Q188" s="19" t="inlineStr">
        <is>
          <t>2006-07-16</t>
        </is>
      </c>
      <c r="R188" s="19">
        <f>VALUE(LEFT(Q188,4))</f>
        <v/>
      </c>
      <c r="S188" s="19">
        <f>VALUE(MID(Q188,6,2))</f>
        <v/>
      </c>
      <c r="T188" s="19">
        <f>VALUE(RIGHT(Q188,2))</f>
        <v/>
      </c>
      <c r="U188" s="19" t="inlineStr">
        <is>
          <t>season</t>
        </is>
      </c>
      <c r="V188" s="19" t="inlineStr">
        <is>
          <t>Anchored to mid-point of a season-scale window</t>
        </is>
      </c>
    </row>
    <row r="189" ht="23.25" customHeight="1" s="13">
      <c r="A189" s="19" t="n">
        <v>188</v>
      </c>
      <c r="B189" s="19" t="inlineStr">
        <is>
          <t>2006-06-26</t>
        </is>
      </c>
      <c r="C189" s="19" t="inlineStr">
        <is>
          <t>2006-06-30</t>
        </is>
      </c>
      <c r="D189" s="19">
        <f>VALUE(LEFT(B189,4))</f>
        <v/>
      </c>
      <c r="E189" s="19">
        <f>INT((D189-1)/100)+1</f>
        <v/>
      </c>
      <c r="F189" s="19" t="inlineStr">
        <is>
          <t>Rain flood</t>
        </is>
      </c>
      <c r="G189" s="19" t="inlineStr">
        <is>
          <t>End of June 2006 flood</t>
        </is>
      </c>
      <c r="H189" s="19" t="inlineStr">
        <is>
          <t>Mohawk / Hudson / eastern Catskills</t>
        </is>
      </c>
      <c r="I189" s="19" t="inlineStr">
        <is>
          <t>~1 in to ~12 in eastern Catskills</t>
        </is>
      </c>
      <c r="J189" s="19" t="inlineStr">
        <is>
          <t>regional</t>
        </is>
      </c>
      <c r="K189" s="19" t="inlineStr">
        <is>
          <t>Delaware record crests; federal disaster.</t>
        </is>
      </c>
      <c r="L189" s="19" t="inlineStr">
        <is>
          <t>NWS Albany – Past Weather Events (weather.gov/aly/pastevents)</t>
        </is>
      </c>
      <c r="M189" s="19" t="inlineStr">
        <is>
          <t>https://www.weather.gov/aly/pastevents</t>
        </is>
      </c>
      <c r="N189" s="19" t="inlineStr">
        <is>
          <t>A</t>
        </is>
      </c>
      <c r="O189" s="19" t="inlineStr">
        <is>
          <t>Y</t>
        </is>
      </c>
      <c r="P189" s="19" t="n"/>
      <c r="Q189" s="19" t="inlineStr">
        <is>
          <t>2006-06-26</t>
        </is>
      </c>
      <c r="R189" s="19">
        <f>VALUE(LEFT(Q189,4))</f>
        <v/>
      </c>
      <c r="S189" s="19">
        <f>VALUE(MID(Q189,6,2))</f>
        <v/>
      </c>
      <c r="T189" s="19">
        <f>VALUE(RIGHT(Q189,2))</f>
        <v/>
      </c>
      <c r="U189" s="19" t="inlineStr">
        <is>
          <t>days</t>
        </is>
      </c>
      <c r="V189" s="19" t="inlineStr">
        <is>
          <t>Multi-day event; anchored to first day</t>
        </is>
      </c>
    </row>
    <row r="190" ht="23.25" customHeight="1" s="13">
      <c r="A190" s="19" t="n">
        <v>189</v>
      </c>
      <c r="B190" s="19" t="inlineStr">
        <is>
          <t>2007-01-14</t>
        </is>
      </c>
      <c r="C190" s="19" t="inlineStr">
        <is>
          <t>2007-01-15</t>
        </is>
      </c>
      <c r="D190" s="19">
        <f>VALUE(LEFT(B190,4))</f>
        <v/>
      </c>
      <c r="E190" s="19">
        <f>INT((D190-1)/100)+1</f>
        <v/>
      </c>
      <c r="F190" s="19" t="inlineStr">
        <is>
          <t>Ice storm</t>
        </is>
      </c>
      <c r="G190" s="19" t="inlineStr">
        <is>
          <t>January 2007 ice storm</t>
        </is>
      </c>
      <c r="H190" s="19" t="inlineStr">
        <is>
          <t>Capital Region / Saratoga</t>
        </is>
      </c>
      <c r="I190" s="19" t="inlineStr">
        <is>
          <t>Up to 1 in ice; &gt;100,000 outages</t>
        </is>
      </c>
      <c r="J190" s="19" t="inlineStr">
        <is>
          <t>regional</t>
        </is>
      </c>
      <c r="K190" s="19" t="n"/>
      <c r="L190" s="19" t="inlineStr">
        <is>
          <t>NWS Albany – Past Weather Events (weather.gov/aly/pastevents)</t>
        </is>
      </c>
      <c r="M190" s="19" t="inlineStr">
        <is>
          <t>https://www.weather.gov/aly/pastevents</t>
        </is>
      </c>
      <c r="N190" s="19" t="inlineStr">
        <is>
          <t>A</t>
        </is>
      </c>
      <c r="O190" s="19" t="inlineStr">
        <is>
          <t>Y</t>
        </is>
      </c>
      <c r="P190" s="19" t="n"/>
      <c r="Q190" s="19" t="inlineStr">
        <is>
          <t>2007-01-14</t>
        </is>
      </c>
      <c r="R190" s="19">
        <f>VALUE(LEFT(Q190,4))</f>
        <v/>
      </c>
      <c r="S190" s="19">
        <f>VALUE(MID(Q190,6,2))</f>
        <v/>
      </c>
      <c r="T190" s="19">
        <f>VALUE(RIGHT(Q190,2))</f>
        <v/>
      </c>
      <c r="U190" s="19" t="inlineStr">
        <is>
          <t>days</t>
        </is>
      </c>
      <c r="V190" s="19" t="inlineStr">
        <is>
          <t>Multi-day event; anchored to first day</t>
        </is>
      </c>
    </row>
    <row r="191" ht="23.25" customHeight="1" s="13">
      <c r="A191" s="19" t="n">
        <v>190</v>
      </c>
      <c r="B191" s="19" t="inlineStr">
        <is>
          <t>2007-02-14</t>
        </is>
      </c>
      <c r="C191" s="19" t="inlineStr">
        <is>
          <t>2007-02-14</t>
        </is>
      </c>
      <c r="D191" s="19">
        <f>VALUE(LEFT(B191,4))</f>
        <v/>
      </c>
      <c r="E191" s="19">
        <f>INT((D191-1)/100)+1</f>
        <v/>
      </c>
      <c r="F191" s="19" t="inlineStr">
        <is>
          <t>Nor'easter</t>
        </is>
      </c>
      <c r="G191" s="19" t="inlineStr">
        <is>
          <t>Valentine's Day Storm 2007</t>
        </is>
      </c>
      <c r="H191" s="19" t="inlineStr">
        <is>
          <t>Region</t>
        </is>
      </c>
      <c r="I191" s="19" t="inlineStr">
        <is>
          <t>1–3+ ft; rates 2–6 in/hr</t>
        </is>
      </c>
      <c r="J191" s="19" t="inlineStr">
        <is>
          <t>regional</t>
        </is>
      </c>
      <c r="K191" s="19" t="inlineStr">
        <is>
          <t>NESIS Cat 3.</t>
        </is>
      </c>
      <c r="L191" s="19" t="inlineStr">
        <is>
          <t>NWS Albany – Past Weather Events (weather.gov/aly/pastevents)</t>
        </is>
      </c>
      <c r="M191" s="19" t="inlineStr">
        <is>
          <t>https://www.weather.gov/aly/pastevents</t>
        </is>
      </c>
      <c r="N191" s="19" t="inlineStr">
        <is>
          <t>A</t>
        </is>
      </c>
      <c r="O191" s="19" t="inlineStr">
        <is>
          <t>Y</t>
        </is>
      </c>
      <c r="P191" s="19" t="n"/>
      <c r="Q191" s="19" t="inlineStr">
        <is>
          <t>2007-02-14</t>
        </is>
      </c>
      <c r="R191" s="19">
        <f>VALUE(LEFT(Q191,4))</f>
        <v/>
      </c>
      <c r="S191" s="19">
        <f>VALUE(MID(Q191,6,2))</f>
        <v/>
      </c>
      <c r="T191" s="19">
        <f>VALUE(RIGHT(Q191,2))</f>
        <v/>
      </c>
      <c r="U191" s="19" t="inlineStr">
        <is>
          <t>day</t>
        </is>
      </c>
      <c r="V191" s="19" t="inlineStr">
        <is>
          <t>Single-day event</t>
        </is>
      </c>
    </row>
    <row r="192" ht="23.25" customHeight="1" s="13">
      <c r="A192" s="19" t="n">
        <v>191</v>
      </c>
      <c r="B192" s="19" t="inlineStr">
        <is>
          <t>2007-04-15</t>
        </is>
      </c>
      <c r="C192" s="19" t="inlineStr">
        <is>
          <t>2007-04-16</t>
        </is>
      </c>
      <c r="D192" s="19">
        <f>VALUE(LEFT(B192,4))</f>
        <v/>
      </c>
      <c r="E192" s="19">
        <f>INT((D192-1)/100)+1</f>
        <v/>
      </c>
      <c r="F192" s="19" t="inlineStr">
        <is>
          <t>Nor'easter / flood</t>
        </is>
      </c>
      <c r="G192" s="19" t="inlineStr">
        <is>
          <t>Tax Day nor'easter 2007</t>
        </is>
      </c>
      <c r="H192" s="19" t="inlineStr">
        <is>
          <t>Eastern Catskills / mid-Hudson</t>
        </is>
      </c>
      <c r="I192" s="19" t="inlineStr">
        <is>
          <t>6–8 in rain; 969 mb; 1–1.5 ft snow high terrain</t>
        </is>
      </c>
      <c r="J192" s="19" t="inlineStr">
        <is>
          <t>regional</t>
        </is>
      </c>
      <c r="K192" s="19" t="inlineStr">
        <is>
          <t>Widespread flooding.</t>
        </is>
      </c>
      <c r="L192" s="19" t="inlineStr">
        <is>
          <t>NWS Albany – Past Weather Events (weather.gov/aly/pastevents) ; The Altamont Enterprise, Apr 19 2007 ('Cellars flooded, roads closed, crops delayed') and May 10 2007 ('County gets FEMA funds, state picks up the rest') (scans)</t>
        </is>
      </c>
      <c r="M192" s="19" t="inlineStr">
        <is>
          <t>https://www.weather.gov/aly/pastevents</t>
        </is>
      </c>
      <c r="N192" s="19" t="inlineStr">
        <is>
          <t>A</t>
        </is>
      </c>
      <c r="O192" s="19" t="inlineStr">
        <is>
          <t>Y</t>
        </is>
      </c>
      <c r="P192" s="19" t="inlineStr">
        <is>
          <t>2026-09-23 (v853, atlas session): ENRICHED — Hilltowns: up to a foot of snow Sun Apr 15 then heavy rain and wind; BKW closed Mon; Knox VFC pumped 11 houses (4 in to 6 ft of water); Onesquethaw VFC ~20 calls, 17–18 basements (3 in to 4 ft), Feura Bush stream over Rte 32; Berne: Canaday Hill, Switzkill, High Point and Sawmill Rds closed, cellars flooded; Preston Hollow homes on the Catskill Creek flooded; Johnston Rd (Guilderland/New Scotland) 'several hundred thousand dollars' damage, 20 mph/5-ton restriction after reopening; Krumkill Rd $75–100k. FEMA disaster declaration for damage Apr 14–18, state paid the non-federal share (100% reimbursement); $2.4M of a $5.4M state grant to Albany Co., 2,300 individual applications, county roads $330k. Berne's Alan Zuk: worst since Jan 1996 — 'the water was higher in ninety-six'.</t>
        </is>
      </c>
      <c r="Q192" s="19" t="inlineStr">
        <is>
          <t>2007-04-15</t>
        </is>
      </c>
      <c r="R192" s="19">
        <f>VALUE(LEFT(Q192,4))</f>
        <v/>
      </c>
      <c r="S192" s="19">
        <f>VALUE(MID(Q192,6,2))</f>
        <v/>
      </c>
      <c r="T192" s="19">
        <f>VALUE(RIGHT(Q192,2))</f>
        <v/>
      </c>
      <c r="U192" s="19" t="inlineStr">
        <is>
          <t>days</t>
        </is>
      </c>
      <c r="V192" s="19" t="inlineStr">
        <is>
          <t>Multi-day event; anchored to first day</t>
        </is>
      </c>
    </row>
    <row r="193" ht="45.75" customHeight="1" s="13">
      <c r="A193" s="19" t="n">
        <v>192</v>
      </c>
      <c r="B193" s="19" t="inlineStr">
        <is>
          <t>2008-08-01</t>
        </is>
      </c>
      <c r="C193" s="19" t="inlineStr">
        <is>
          <t>2008-08-31</t>
        </is>
      </c>
      <c r="D193" s="19">
        <f>VALUE(LEFT(B193,4))</f>
        <v/>
      </c>
      <c r="E193" s="19">
        <f>INT((D193-1)/100)+1</f>
        <v/>
      </c>
      <c r="F193" s="19" t="inlineStr">
        <is>
          <t>Infrastructure / flood (human cause)</t>
        </is>
      </c>
      <c r="G193" s="19" t="inlineStr">
        <is>
          <t>McKownville basement wall collapse (Providence St)</t>
        </is>
      </c>
      <c r="H193" s="19" t="inlineStr">
        <is>
          <t>Guilderland (McKownville, Providence St)</t>
        </is>
      </c>
      <c r="I193" s="19" t="inlineStr">
        <is>
          <t>A basement wall collapsed due to flooding, Aug 2008; ~$15,000 damage. Part of the chronic McKownville stormwater failure along Rte 20 / old sewer lines</t>
        </is>
      </c>
      <c r="J193" s="19" t="inlineStr">
        <is>
          <t>Enterprise / McKownville Improvement Assoc.</t>
        </is>
      </c>
      <c r="K193" s="19" t="inlineStr">
        <is>
          <t>NOT karst — failing storm/sewer drainage. Same corridor as the 2024 Burger King culvert washout &amp; Western Ave flooding.</t>
        </is>
      </c>
      <c r="L193" s="19" t="inlineStr">
        <is>
          <t>Altamont Enterprise, 2 Jul 2009 (McKownville stormwater)</t>
        </is>
      </c>
      <c r="M193" s="19" t="inlineStr">
        <is>
          <t>https://altamontenterprise.com/</t>
        </is>
      </c>
      <c r="N193" s="19" t="inlineStr">
        <is>
          <t>C</t>
        </is>
      </c>
      <c r="O193" s="19" t="inlineStr">
        <is>
          <t>Y</t>
        </is>
      </c>
      <c r="P193" s="19" t="inlineStr">
        <is>
          <t>Human cause (drainage failure). Month-only date (Aug 2008).</t>
        </is>
      </c>
      <c r="Q193" s="19" t="inlineStr">
        <is>
          <t>2008-08-15</t>
        </is>
      </c>
      <c r="R193" s="19">
        <f>VALUE(LEFT(Q193,4))</f>
        <v/>
      </c>
      <c r="S193" s="19">
        <f>VALUE(MID(Q193,6,2))</f>
        <v/>
      </c>
      <c r="T193" s="19">
        <f>VALUE(RIGHT(Q193,2))</f>
        <v/>
      </c>
      <c r="U193" s="19" t="inlineStr">
        <is>
          <t>month</t>
        </is>
      </c>
      <c r="V193" s="19" t="inlineStr">
        <is>
          <t>Aug 2008; day not given</t>
        </is>
      </c>
    </row>
    <row r="194" ht="23.25" customHeight="1" s="13">
      <c r="A194" s="19" t="n">
        <v>193</v>
      </c>
      <c r="B194" s="19" t="inlineStr">
        <is>
          <t>2008-12-11</t>
        </is>
      </c>
      <c r="C194" s="19" t="inlineStr">
        <is>
          <t>2008-12-12</t>
        </is>
      </c>
      <c r="D194" s="19">
        <f>VALUE(LEFT(B194,4))</f>
        <v/>
      </c>
      <c r="E194" s="19">
        <f>INT((D194-1)/100)+1</f>
        <v/>
      </c>
      <c r="F194" s="19" t="inlineStr">
        <is>
          <t>Ice storm</t>
        </is>
      </c>
      <c r="G194" s="19" t="inlineStr">
        <is>
          <t>December 2008 ice storm</t>
        </is>
      </c>
      <c r="H194" s="19" t="inlineStr">
        <is>
          <t>Capital District / Berkshires</t>
        </is>
      </c>
      <c r="I194" s="19" t="inlineStr">
        <is>
          <t>½–1 in ice; ~350,000 outages</t>
        </is>
      </c>
      <c r="J194" s="19" t="inlineStr">
        <is>
          <t>regional</t>
        </is>
      </c>
      <c r="K194" s="19" t="inlineStr">
        <is>
          <t>60,000 still out Dec 15; 10,000 Dec 17.</t>
        </is>
      </c>
      <c r="L194" s="19" t="inlineStr">
        <is>
          <t>NWS Albany – Past Weather Events (weather.gov/aly/pastevents)</t>
        </is>
      </c>
      <c r="M194" s="19" t="inlineStr">
        <is>
          <t>https://www.weather.gov/aly/pastevents</t>
        </is>
      </c>
      <c r="N194" s="19" t="inlineStr">
        <is>
          <t>A</t>
        </is>
      </c>
      <c r="O194" s="19" t="inlineStr">
        <is>
          <t>Y</t>
        </is>
      </c>
      <c r="P194" s="19" t="n"/>
      <c r="Q194" s="19" t="inlineStr">
        <is>
          <t>2008-12-11</t>
        </is>
      </c>
      <c r="R194" s="19">
        <f>VALUE(LEFT(Q194,4))</f>
        <v/>
      </c>
      <c r="S194" s="19">
        <f>VALUE(MID(Q194,6,2))</f>
        <v/>
      </c>
      <c r="T194" s="19">
        <f>VALUE(RIGHT(Q194,2))</f>
        <v/>
      </c>
      <c r="U194" s="19" t="inlineStr">
        <is>
          <t>days</t>
        </is>
      </c>
      <c r="V194" s="19" t="inlineStr">
        <is>
          <t>Multi-day event; anchored to first day</t>
        </is>
      </c>
    </row>
    <row r="195" ht="57" customHeight="1" s="13">
      <c r="A195" s="19" t="n">
        <v>194</v>
      </c>
      <c r="B195" s="19" t="inlineStr">
        <is>
          <t>2009-04-01</t>
        </is>
      </c>
      <c r="C195" s="19" t="inlineStr">
        <is>
          <t>2009-05-31</t>
        </is>
      </c>
      <c r="D195" s="19">
        <f>VALUE(LEFT(B195,4))</f>
        <v/>
      </c>
      <c r="E195" s="19">
        <f>INT((D195-1)/100)+1</f>
        <v/>
      </c>
      <c r="F195" s="19" t="inlineStr">
        <is>
          <t>Sinkhole (infrastructure, human cause)</t>
        </is>
      </c>
      <c r="G195" s="19" t="inlineStr">
        <is>
          <t>McKownville driveway sinkholes (Knowles Terrace)</t>
        </is>
      </c>
      <c r="H195" s="19" t="inlineStr">
        <is>
          <t>Guilderland (McKownville: Knowles Terrace &amp; Fuller Rd–city line)</t>
        </is>
      </c>
      <c r="I195" s="19" t="inlineStr">
        <is>
          <t>At least two driveway sinkholes opened spring 2009 (one 8–12 in across opening into a crawlable void under the driveway), attributed to a failing old sewer line; more reported between Fuller Rd and the Albany city line</t>
        </is>
      </c>
      <c r="J195" s="19" t="inlineStr">
        <is>
          <t>Enterprise / resident (Merlis)</t>
        </is>
      </c>
      <c r="K195" s="19" t="inlineStr">
        <is>
          <t>NOT karst — collapse over a failing sewer line. The McKownville stormwater problem was already ~34 yrs old in 2009 (dates to ~1975); flooding &amp; sinkholes worsening since 2007. $5.75M fix proposed.</t>
        </is>
      </c>
      <c r="L195" s="19" t="inlineStr">
        <is>
          <t>Altamont Enterprise, 2 Jul 2009 (McKownville stormwater)</t>
        </is>
      </c>
      <c r="M195" s="19" t="inlineStr">
        <is>
          <t>https://altamontenterprise.com/</t>
        </is>
      </c>
      <c r="N195" s="19" t="inlineStr">
        <is>
          <t>C</t>
        </is>
      </c>
      <c r="O195" s="19" t="inlineStr">
        <is>
          <t>Y</t>
        </is>
      </c>
      <c r="P195" s="19" t="inlineStr">
        <is>
          <t>Human cause. Earliest detailed record of the McKownville sinkhole/flood corridor — extends the recurring-failure pattern back to ~1975.</t>
        </is>
      </c>
      <c r="Q195" s="19" t="inlineStr">
        <is>
          <t>2009-04-15</t>
        </is>
      </c>
      <c r="R195" s="19">
        <f>VALUE(LEFT(Q195,4))</f>
        <v/>
      </c>
      <c r="S195" s="19">
        <f>VALUE(MID(Q195,6,2))</f>
        <v/>
      </c>
      <c r="T195" s="19">
        <f>VALUE(RIGHT(Q195,2))</f>
        <v/>
      </c>
      <c r="U195" s="19" t="inlineStr">
        <is>
          <t>month</t>
        </is>
      </c>
      <c r="V195" s="19" t="inlineStr">
        <is>
          <t>Spring 2009; reported Jul 2009, holes appeared ~8 weeks prior</t>
        </is>
      </c>
    </row>
    <row r="196" ht="34.5" customHeight="1" s="13">
      <c r="A196" s="19" t="n">
        <v>195</v>
      </c>
      <c r="B196" s="19" t="inlineStr">
        <is>
          <t>2010-01-01</t>
        </is>
      </c>
      <c r="C196" s="19" t="inlineStr">
        <is>
          <t>2024-12-31</t>
        </is>
      </c>
      <c r="D196" s="19">
        <f>VALUE(LEFT(B196,4))</f>
        <v/>
      </c>
      <c r="E196" s="19">
        <f>INT((D196-1)/100)+1</f>
        <v/>
      </c>
      <c r="F196" s="19" t="inlineStr">
        <is>
          <t>Landslide</t>
        </is>
      </c>
      <c r="G196" s="19" t="inlineStr">
        <is>
          <t>Lake Albany clay slides – recurring (Delmar, Greenport, Rensselaer, Germantown, New Baltimore)</t>
        </is>
      </c>
      <c r="H196" s="19" t="inlineStr">
        <is>
          <t>Hudson Valley clay terraces</t>
        </is>
      </c>
      <c r="I196" s="19" t="inlineStr">
        <is>
          <t>Multiple small slides after heavy rain</t>
        </is>
      </c>
      <c r="J196" s="19" t="inlineStr">
        <is>
          <t>none</t>
        </is>
      </c>
      <c r="K196" s="19" t="inlineStr">
        <is>
          <t>The Glacial Lake Albany silty clays fail repeatedly; the Hudson-Valley rail lines were buried again and again — e.g. the Jan 1903 Staatsburg slide (both NY Central tracks, ~1 mi under 15 ft of clay; own row), a March 1888 clay slide in the RR cut near Stillwater (post-Blizzard-of-1888 freshet), and Normanskill slides (one when the Blue Cross bldg was built on Rte 85; a wet-spring-2000 slide into the Normanskill near Rte 443; own row). At Schenectady/Rotterdam the Glacial Lake Albany DELTA silts fail as rotational slumps where rivers cut steep canyon slopes: Broadway/Rte 890 (Jan 1996, 1 killed), 1st Ave (spring 2004, 6 houses condemned) and Nott Terrace (Feb 2018) — own rows; Hyde Park historic sites also at risk.</t>
        </is>
      </c>
      <c r="L196" s="19" t="inlineStr">
        <is>
          <t>The Catskill Geologist; NYS Historic Newspapers ; Titus, R. &amp; J., 'The Schenectady landslide', The Mountain Eagle, Feb 2018 (reposted thecatskillgeologist.com Aug 17 2023)</t>
        </is>
      </c>
      <c r="M196" s="19" t="inlineStr">
        <is>
          <t>https://thecatskillgeologist.com/2023/08/17/a-landslide-in-schenectady-8-16-23/</t>
        </is>
      </c>
      <c r="N196" s="19" t="inlineStr">
        <is>
          <t>C</t>
        </is>
      </c>
      <c r="O196" s="19" t="inlineStr">
        <is>
          <t>Y</t>
        </is>
      </c>
      <c r="P196" s="19" t="inlineStr">
        <is>
          <t>Pattern row, not an event – use for context, not the timeline. Individual dates still to be pulled from the newspaper OIDs (YYYYMMDD); the Staatsburg railroad slide is now dated (29 Jan 1903, its own row). CLIMATE DRIVER (Titus 2005): NY annual rainfall rose ~6 in (36-&gt;42 in/yr, +16%) over the past century (temp +1°F) -&gt; rising water tables -&gt; more frequent slumps &amp; flooding basements. Other localities: Amsterdam (delta slump ~2005), Freehold, Valatie (basement flooding); Hyde Park delta foreset at risk (FDR's Springwood — low risk per Titus; the Vanderbilt Mansion — ancient rotational-slide scars/headwalls on the foreset nearby). 2026-09-23 (v840, atlas session): Titus's 2018 list of Lake Albany rotational slumps they've covered: Delmar, Greenport, Rensselaer, Germantown, New Baltimore ('a few years ago' as of 2018), with Hyde Park historic sites at risk. GAPS: no dated Germantown slide and no dated New Baltimore slide in this register — both need a source and date; the Rensselaer one they mean is modern, not row 352 (1902).</t>
        </is>
      </c>
      <c r="Q196" s="19" t="inlineStr">
        <is>
          <t>2018-02-22</t>
        </is>
      </c>
      <c r="R196" s="19">
        <f>VALUE(LEFT(Q196,4))</f>
        <v/>
      </c>
      <c r="S196" s="19">
        <f>VALUE(MID(Q196,6,2))</f>
        <v/>
      </c>
      <c r="T196" s="19">
        <f>VALUE(RIGHT(Q196,2))</f>
        <v/>
      </c>
      <c r="U196" s="19" t="inlineStr">
        <is>
          <t>year</t>
        </is>
      </c>
      <c r="V196" s="19" t="inlineStr">
        <is>
          <t>Pattern row – do not plot as a point</t>
        </is>
      </c>
    </row>
    <row r="197" ht="23.25" customHeight="1" s="13">
      <c r="A197" s="19" t="n">
        <v>196</v>
      </c>
      <c r="B197" s="19" t="inlineStr">
        <is>
          <t>2010-01-25</t>
        </is>
      </c>
      <c r="C197" s="19" t="inlineStr">
        <is>
          <t>2010-01-26</t>
        </is>
      </c>
      <c r="D197" s="19">
        <f>VALUE(LEFT(B197,4))</f>
        <v/>
      </c>
      <c r="E197" s="19">
        <f>INT((D197-1)/100)+1</f>
        <v/>
      </c>
      <c r="F197" s="19" t="inlineStr">
        <is>
          <t>Rain/ice-jam flood</t>
        </is>
      </c>
      <c r="G197" s="19" t="inlineStr">
        <is>
          <t>January 2010 flood</t>
        </is>
      </c>
      <c r="H197" s="19" t="inlineStr">
        <is>
          <t>Catskills / Mohawk</t>
        </is>
      </c>
      <c r="I197" s="19" t="inlineStr">
        <is>
          <t>3–5 in Catskills</t>
        </is>
      </c>
      <c r="J197" s="19" t="inlineStr">
        <is>
          <t>regional</t>
        </is>
      </c>
      <c r="K197" s="19" t="inlineStr">
        <is>
          <t>Ice jams Dolgeville, Rotterdam Jct.</t>
        </is>
      </c>
      <c r="L197" s="19" t="inlineStr">
        <is>
          <t>NWS Albany – Past Weather Events (weather.gov/aly/pastevents)</t>
        </is>
      </c>
      <c r="M197" s="19" t="inlineStr">
        <is>
          <t>https://www.weather.gov/aly/pastevents</t>
        </is>
      </c>
      <c r="N197" s="19" t="inlineStr">
        <is>
          <t>A</t>
        </is>
      </c>
      <c r="O197" s="19" t="inlineStr">
        <is>
          <t>Y</t>
        </is>
      </c>
      <c r="P197" s="19" t="n"/>
      <c r="Q197" s="19" t="inlineStr">
        <is>
          <t>2010-01-25</t>
        </is>
      </c>
      <c r="R197" s="19">
        <f>VALUE(LEFT(Q197,4))</f>
        <v/>
      </c>
      <c r="S197" s="19">
        <f>VALUE(MID(Q197,6,2))</f>
        <v/>
      </c>
      <c r="T197" s="19">
        <f>VALUE(RIGHT(Q197,2))</f>
        <v/>
      </c>
      <c r="U197" s="19" t="inlineStr">
        <is>
          <t>days</t>
        </is>
      </c>
      <c r="V197" s="19" t="inlineStr">
        <is>
          <t>Multi-day event; anchored to first day</t>
        </is>
      </c>
    </row>
    <row r="198" ht="23.25" customHeight="1" s="13">
      <c r="A198" s="19" t="n">
        <v>197</v>
      </c>
      <c r="B198" s="19" t="inlineStr">
        <is>
          <t>2010-02-23</t>
        </is>
      </c>
      <c r="C198" s="19" t="inlineStr">
        <is>
          <t>2010-02-27</t>
        </is>
      </c>
      <c r="D198" s="19">
        <f>VALUE(LEFT(B198,4))</f>
        <v/>
      </c>
      <c r="E198" s="19">
        <f>INT((D198-1)/100)+1</f>
        <v/>
      </c>
      <c r="F198" s="19" t="inlineStr">
        <is>
          <t>Nor'easters</t>
        </is>
      </c>
      <c r="G198" s="19" t="inlineStr">
        <is>
          <t>February 2010 'Snowicane' (Parts I &amp; II)</t>
        </is>
      </c>
      <c r="H198" s="19" t="inlineStr">
        <is>
          <t>Region &gt;1500 ft</t>
        </is>
      </c>
      <c r="I198" s="19" t="inlineStr">
        <is>
          <t>1–2 ft wet snow + heavy rain</t>
        </is>
      </c>
      <c r="J198" s="19" t="inlineStr">
        <is>
          <t>regional</t>
        </is>
      </c>
      <c r="K198" s="19" t="inlineStr">
        <is>
          <t>Widespread outages, building collapses; NESIS Cat 3.</t>
        </is>
      </c>
      <c r="L198" s="19" t="inlineStr">
        <is>
          <t>NWS Albany – Past Weather Events (weather.gov/aly/pastevents)</t>
        </is>
      </c>
      <c r="M198" s="19" t="inlineStr">
        <is>
          <t>https://www.weather.gov/aly/pastevents</t>
        </is>
      </c>
      <c r="N198" s="19" t="inlineStr">
        <is>
          <t>A</t>
        </is>
      </c>
      <c r="O198" s="19" t="inlineStr">
        <is>
          <t>Y</t>
        </is>
      </c>
      <c r="P198" s="19" t="inlineStr">
        <is>
          <t>Hilltowns snow-load collapses (Altamont Enterprise 4 Mar 2010): Carl Peterson's dairy barn on Bozenkill Rd, Knox (70+ cows inside; 4 lost — 1 died, 3 euthanized; 6,000 sq ft, rebuild &gt;$100k); Rudy Stempel's 50-yr family sawmill, Berne; Township United Methodist Church, Knox. Thompson's Lake residents snowed in for a week.</t>
        </is>
      </c>
      <c r="Q198" s="19" t="inlineStr">
        <is>
          <t>2010-02-23</t>
        </is>
      </c>
      <c r="R198" s="19">
        <f>VALUE(LEFT(Q198,4))</f>
        <v/>
      </c>
      <c r="S198" s="19">
        <f>VALUE(MID(Q198,6,2))</f>
        <v/>
      </c>
      <c r="T198" s="19">
        <f>VALUE(RIGHT(Q198,2))</f>
        <v/>
      </c>
      <c r="U198" s="19" t="inlineStr">
        <is>
          <t>days</t>
        </is>
      </c>
      <c r="V198" s="19" t="inlineStr">
        <is>
          <t>Multi-day event; anchored to first day</t>
        </is>
      </c>
    </row>
    <row r="199" ht="23.25" customHeight="1" s="13">
      <c r="A199" s="19" t="n">
        <v>198</v>
      </c>
      <c r="B199" s="19" t="inlineStr">
        <is>
          <t>2010-09-30</t>
        </is>
      </c>
      <c r="C199" s="19" t="inlineStr">
        <is>
          <t>2010-10-01</t>
        </is>
      </c>
      <c r="D199" s="19">
        <f>VALUE(LEFT(B199,4))</f>
        <v/>
      </c>
      <c r="E199" s="19">
        <f>INT((D199-1)/100)+1</f>
        <v/>
      </c>
      <c r="F199" s="19" t="inlineStr">
        <is>
          <t>Tropical remnant / flood</t>
        </is>
      </c>
      <c r="G199" s="19" t="inlineStr">
        <is>
          <t>Tropical Storm Nicole remnants</t>
        </is>
      </c>
      <c r="H199" s="19" t="inlineStr">
        <is>
          <t>Region</t>
        </is>
      </c>
      <c r="I199" s="19" t="inlineStr">
        <is>
          <t>3–9 in; Albany daily records</t>
        </is>
      </c>
      <c r="J199" s="19" t="inlineStr">
        <is>
          <t>Albany</t>
        </is>
      </c>
      <c r="K199" s="19" t="inlineStr">
        <is>
          <t>Major flooding Esopus at Cold Brook &amp; Schoharie at Prattsville; wind damage.</t>
        </is>
      </c>
      <c r="L199" s="19" t="inlineStr">
        <is>
          <t>NWS Albany – Past Weather Events (weather.gov/aly/pastevents)</t>
        </is>
      </c>
      <c r="M199" s="19" t="inlineStr">
        <is>
          <t>https://www.weather.gov/aly/pastevents</t>
        </is>
      </c>
      <c r="N199" s="19" t="inlineStr">
        <is>
          <t>A</t>
        </is>
      </c>
      <c r="O199" s="19" t="inlineStr">
        <is>
          <t>Y</t>
        </is>
      </c>
      <c r="P199" s="19" t="n"/>
      <c r="Q199" s="19" t="inlineStr">
        <is>
          <t>2010-09-30</t>
        </is>
      </c>
      <c r="R199" s="19">
        <f>VALUE(LEFT(Q199,4))</f>
        <v/>
      </c>
      <c r="S199" s="19">
        <f>VALUE(MID(Q199,6,2))</f>
        <v/>
      </c>
      <c r="T199" s="19">
        <f>VALUE(RIGHT(Q199,2))</f>
        <v/>
      </c>
      <c r="U199" s="19" t="inlineStr">
        <is>
          <t>days</t>
        </is>
      </c>
      <c r="V199" s="19" t="inlineStr">
        <is>
          <t>Multi-day event; anchored to first day</t>
        </is>
      </c>
    </row>
    <row r="200" ht="23.25" customHeight="1" s="13">
      <c r="A200" s="19" t="n">
        <v>199</v>
      </c>
      <c r="B200" s="19" t="inlineStr">
        <is>
          <t>2010-12-26</t>
        </is>
      </c>
      <c r="C200" s="19" t="inlineStr">
        <is>
          <t>2010-12-27</t>
        </is>
      </c>
      <c r="D200" s="19">
        <f>VALUE(LEFT(B200,4))</f>
        <v/>
      </c>
      <c r="E200" s="19">
        <f>INT((D200-1)/100)+1</f>
        <v/>
      </c>
      <c r="F200" s="19" t="inlineStr">
        <is>
          <t>Nor'easter</t>
        </is>
      </c>
      <c r="G200" s="19" t="inlineStr">
        <is>
          <t>Boxing Day nor'easter 2010</t>
        </is>
      </c>
      <c r="H200" s="19" t="inlineStr">
        <is>
          <t>East of Hudson</t>
        </is>
      </c>
      <c r="I200" s="19" t="inlineStr">
        <is>
          <t>1–2 ft; gusts 35–45</t>
        </is>
      </c>
      <c r="J200" s="19" t="inlineStr">
        <is>
          <t>regional</t>
        </is>
      </c>
      <c r="K200" s="19" t="inlineStr">
        <is>
          <t>NESIS Cat 3.</t>
        </is>
      </c>
      <c r="L200" s="19" t="inlineStr">
        <is>
          <t>NWS Albany – Past Weather Events (weather.gov/aly/pastevents)</t>
        </is>
      </c>
      <c r="M200" s="19" t="inlineStr">
        <is>
          <t>https://www.weather.gov/aly/pastevents</t>
        </is>
      </c>
      <c r="N200" s="19" t="inlineStr">
        <is>
          <t>A</t>
        </is>
      </c>
      <c r="O200" s="19" t="inlineStr">
        <is>
          <t>Y</t>
        </is>
      </c>
      <c r="P200" s="19" t="n"/>
      <c r="Q200" s="19" t="inlineStr">
        <is>
          <t>2010-12-26</t>
        </is>
      </c>
      <c r="R200" s="19">
        <f>VALUE(LEFT(Q200,4))</f>
        <v/>
      </c>
      <c r="S200" s="19">
        <f>VALUE(MID(Q200,6,2))</f>
        <v/>
      </c>
      <c r="T200" s="19">
        <f>VALUE(RIGHT(Q200,2))</f>
        <v/>
      </c>
      <c r="U200" s="19" t="inlineStr">
        <is>
          <t>days</t>
        </is>
      </c>
      <c r="V200" s="19" t="inlineStr">
        <is>
          <t>Multi-day event; anchored to first day</t>
        </is>
      </c>
    </row>
    <row r="201" ht="23.25" customHeight="1" s="13">
      <c r="A201" s="19" t="n">
        <v>200</v>
      </c>
      <c r="B201" s="19" t="inlineStr">
        <is>
          <t>2011-01-12</t>
        </is>
      </c>
      <c r="C201" s="19" t="inlineStr">
        <is>
          <t>2011-01-12</t>
        </is>
      </c>
      <c r="D201" s="19">
        <f>VALUE(LEFT(B201,4))</f>
        <v/>
      </c>
      <c r="E201" s="19">
        <f>INT((D201-1)/100)+1</f>
        <v/>
      </c>
      <c r="F201" s="19" t="inlineStr">
        <is>
          <t>Nor'easter</t>
        </is>
      </c>
      <c r="G201" s="19" t="inlineStr">
        <is>
          <t>January 12, 2011</t>
        </is>
      </c>
      <c r="H201" s="19" t="inlineStr">
        <is>
          <t>Region</t>
        </is>
      </c>
      <c r="I201" s="19" t="inlineStr">
        <is>
          <t>NESIS Cat 3</t>
        </is>
      </c>
      <c r="J201" s="19" t="inlineStr">
        <is>
          <t>regional</t>
        </is>
      </c>
      <c r="K201" s="19" t="n"/>
      <c r="L201" s="19" t="inlineStr">
        <is>
          <t>NWS Albany – Past Weather Events (weather.gov/aly/pastevents)</t>
        </is>
      </c>
      <c r="M201" s="19" t="inlineStr">
        <is>
          <t>https://www.weather.gov/aly/pastevents</t>
        </is>
      </c>
      <c r="N201" s="19" t="inlineStr">
        <is>
          <t>A</t>
        </is>
      </c>
      <c r="O201" s="19" t="inlineStr">
        <is>
          <t>Y</t>
        </is>
      </c>
      <c r="P201" s="19" t="n"/>
      <c r="Q201" s="19" t="inlineStr">
        <is>
          <t>2011-01-12</t>
        </is>
      </c>
      <c r="R201" s="19">
        <f>VALUE(LEFT(Q201,4))</f>
        <v/>
      </c>
      <c r="S201" s="19">
        <f>VALUE(MID(Q201,6,2))</f>
        <v/>
      </c>
      <c r="T201" s="19">
        <f>VALUE(RIGHT(Q201,2))</f>
        <v/>
      </c>
      <c r="U201" s="19" t="inlineStr">
        <is>
          <t>day</t>
        </is>
      </c>
      <c r="V201" s="19" t="inlineStr">
        <is>
          <t>Single-day event</t>
        </is>
      </c>
    </row>
    <row r="202" ht="23.25" customHeight="1" s="13">
      <c r="A202" s="19" t="n">
        <v>201</v>
      </c>
      <c r="B202" s="19" t="inlineStr">
        <is>
          <t>2011-03-06</t>
        </is>
      </c>
      <c r="C202" s="19" t="inlineStr">
        <is>
          <t>2011-03-13</t>
        </is>
      </c>
      <c r="D202" s="19">
        <f>VALUE(LEFT(B202,4))</f>
        <v/>
      </c>
      <c r="E202" s="19">
        <f>INT((D202-1)/100)+1</f>
        <v/>
      </c>
      <c r="F202" s="19" t="inlineStr">
        <is>
          <t>Rain/ice-jam flood</t>
        </is>
      </c>
      <c r="G202" s="19" t="inlineStr">
        <is>
          <t>March 2011 flooding &amp; Mohawk ice jam</t>
        </is>
      </c>
      <c r="H202" s="19" t="inlineStr">
        <is>
          <t>Mohawk / Esopus / Schoharie</t>
        </is>
      </c>
      <c r="I202" s="19" t="inlineStr">
        <is>
          <t>1–3 in, 4–5.5 in eastern Catskills</t>
        </is>
      </c>
      <c r="J202" s="19" t="inlineStr">
        <is>
          <t>regional</t>
        </is>
      </c>
      <c r="K202" s="19" t="inlineStr">
        <is>
          <t>Ice jam flooding Niskayuna; record at North Creek.</t>
        </is>
      </c>
      <c r="L202" s="19" t="inlineStr">
        <is>
          <t>NWS Albany – Past Weather Events (weather.gov/aly/pastevents)</t>
        </is>
      </c>
      <c r="M202" s="19" t="inlineStr">
        <is>
          <t>https://www.weather.gov/aly/pastevents</t>
        </is>
      </c>
      <c r="N202" s="19" t="inlineStr">
        <is>
          <t>A</t>
        </is>
      </c>
      <c r="O202" s="19" t="inlineStr">
        <is>
          <t>Y</t>
        </is>
      </c>
      <c r="P202" s="19" t="n"/>
      <c r="Q202" s="19" t="inlineStr">
        <is>
          <t>2011-03-06</t>
        </is>
      </c>
      <c r="R202" s="19">
        <f>VALUE(LEFT(Q202,4))</f>
        <v/>
      </c>
      <c r="S202" s="19">
        <f>VALUE(MID(Q202,6,2))</f>
        <v/>
      </c>
      <c r="T202" s="19">
        <f>VALUE(RIGHT(Q202,2))</f>
        <v/>
      </c>
      <c r="U202" s="19" t="inlineStr">
        <is>
          <t>days</t>
        </is>
      </c>
      <c r="V202" s="19" t="inlineStr">
        <is>
          <t>Multi-day event; anchored to first day</t>
        </is>
      </c>
    </row>
    <row r="203" ht="23.25" customHeight="1" s="13">
      <c r="A203" s="19" t="n">
        <v>202</v>
      </c>
      <c r="B203" s="19" t="inlineStr">
        <is>
          <t>2011-07-20</t>
        </is>
      </c>
      <c r="C203" s="19" t="inlineStr">
        <is>
          <t>2011-07-23</t>
        </is>
      </c>
      <c r="D203" s="19">
        <f>VALUE(LEFT(B203,4))</f>
        <v/>
      </c>
      <c r="E203" s="19">
        <f>INT((D203-1)/100)+1</f>
        <v/>
      </c>
      <c r="F203" s="19" t="inlineStr">
        <is>
          <t>Heat wave</t>
        </is>
      </c>
      <c r="G203" s="19" t="inlineStr">
        <is>
          <t>July 2011 heat wave</t>
        </is>
      </c>
      <c r="H203" s="19" t="inlineStr">
        <is>
          <t>Region</t>
        </is>
      </c>
      <c r="I203" s="19" t="inlineStr">
        <is>
          <t>Albany 99°F (Jul 21 2011) — the year's hottest day; part of the 2011 N. American heat wave</t>
        </is>
      </c>
      <c r="J203" s="19" t="inlineStr">
        <is>
          <t>Albany</t>
        </is>
      </c>
      <c r="K203" s="19" t="inlineStr">
        <is>
          <t>2011 NA heat wave (Midwest / E. Canada / E. Seaboard). Albany's 99°F is its hottest in years — Albany has not reached 100°F since 1953.</t>
        </is>
      </c>
      <c r="L203" s="19" t="inlineStr">
        <is>
          <t>NWS Albany annual highs</t>
        </is>
      </c>
      <c r="M203" s="19" t="inlineStr">
        <is>
          <t>https://www.weather.gov/aly/pastevents</t>
        </is>
      </c>
      <c r="N203" s="19" t="inlineStr">
        <is>
          <t>A</t>
        </is>
      </c>
      <c r="O203" s="19" t="inlineStr">
        <is>
          <t>Y</t>
        </is>
      </c>
      <c r="P203" s="19" t="inlineStr">
        <is>
          <t>Albany peak 99°F Jul 21 2011.</t>
        </is>
      </c>
      <c r="Q203" s="19" t="inlineStr">
        <is>
          <t>2011-07-21</t>
        </is>
      </c>
      <c r="R203" s="19">
        <f>VALUE(LEFT(Q203,4))</f>
        <v/>
      </c>
      <c r="S203" s="19">
        <f>VALUE(MID(Q203,6,2))</f>
        <v/>
      </c>
      <c r="T203" s="19">
        <f>VALUE(RIGHT(Q203,2))</f>
        <v/>
      </c>
      <c r="U203" s="19" t="inlineStr">
        <is>
          <t>days</t>
        </is>
      </c>
      <c r="V203" s="19" t="inlineStr">
        <is>
          <t>Peak day</t>
        </is>
      </c>
    </row>
    <row r="204" ht="23.25" customHeight="1" s="13">
      <c r="A204" s="19" t="n">
        <v>203</v>
      </c>
      <c r="B204" s="19" t="inlineStr">
        <is>
          <t>2011-08-28</t>
        </is>
      </c>
      <c r="C204" s="19" t="inlineStr">
        <is>
          <t>2011-08-28</t>
        </is>
      </c>
      <c r="D204" s="19">
        <f>VALUE(LEFT(B204,4))</f>
        <v/>
      </c>
      <c r="E204" s="19">
        <f>INT((D204-1)/100)+1</f>
        <v/>
      </c>
      <c r="F204" s="19" t="inlineStr">
        <is>
          <t>Tropical cyclone / flood</t>
        </is>
      </c>
      <c r="G204" s="19" t="inlineStr">
        <is>
          <t>Tropical Storm Irene</t>
        </is>
      </c>
      <c r="H204" s="19" t="inlineStr">
        <is>
          <t>Catskills / Schoharie / Vermont</t>
        </is>
      </c>
      <c r="I204" s="19" t="inlineStr">
        <is>
          <t>4–12 in, locally 18 in; ~1M without power</t>
        </is>
      </c>
      <c r="J204" s="19" t="inlineStr">
        <is>
          <t>regional</t>
        </is>
      </c>
      <c r="K204" s="19" t="inlineStr">
        <is>
          <t>Catastrophic: Prattsville, Schoharie, Margaretville, Windham, Phoenicia; I-88 and Thruway closed; towns airlifted supplies. Cost ~$15.8B (Weather Underground: 7th-costliest US disaster at the time).</t>
        </is>
      </c>
      <c r="L204" s="19" t="inlineStr">
        <is>
          <t>NWS Albany – Past Weather Events (weather.gov/aly/pastevents)</t>
        </is>
      </c>
      <c r="M204" s="19" t="inlineStr">
        <is>
          <t>https://www.weather.gov/aly/pastevents</t>
        </is>
      </c>
      <c r="N204" s="19" t="inlineStr">
        <is>
          <t>A</t>
        </is>
      </c>
      <c r="O204" s="19" t="inlineStr">
        <is>
          <t>Y</t>
        </is>
      </c>
      <c r="P204" s="19" t="inlineStr">
        <is>
          <t>Defining modern flood. Hilltowns among the hardest hit: Altamont &gt;11 in (Mayor Gaughan); Onesquethaw, Fox, Catskill Creek &amp; Normans Kill all in flood. See the 3 Irene fatality rows + Berne Mill scour row (Altamont Enterprise 2011-12-29).</t>
        </is>
      </c>
      <c r="Q204" s="19" t="inlineStr">
        <is>
          <t>2011-08-28</t>
        </is>
      </c>
      <c r="R204" s="19">
        <f>VALUE(LEFT(Q204,4))</f>
        <v/>
      </c>
      <c r="S204" s="19">
        <f>VALUE(MID(Q204,6,2))</f>
        <v/>
      </c>
      <c r="T204" s="19">
        <f>VALUE(RIGHT(Q204,2))</f>
        <v/>
      </c>
      <c r="U204" s="19" t="inlineStr">
        <is>
          <t>day</t>
        </is>
      </c>
      <c r="V204" s="19" t="inlineStr">
        <is>
          <t>Single-day event</t>
        </is>
      </c>
    </row>
    <row r="205" ht="57" customHeight="1" s="13">
      <c r="A205" s="19" t="n">
        <v>204</v>
      </c>
      <c r="B205" s="19" t="inlineStr">
        <is>
          <t>2011-08-28</t>
        </is>
      </c>
      <c r="C205" s="19" t="inlineStr">
        <is>
          <t>2011-08-28</t>
        </is>
      </c>
      <c r="D205" s="19">
        <f>VALUE(LEFT(B205,4))</f>
        <v/>
      </c>
      <c r="E205" s="19">
        <f>INT((D205-1)/100)+1</f>
        <v/>
      </c>
      <c r="F205" s="19" t="inlineStr">
        <is>
          <t>Sinkhole / karst (event)</t>
        </is>
      </c>
      <c r="G205" s="19" t="inlineStr">
        <is>
          <t>Irene opens a new sinkhole at Onesquethaw Cave</t>
        </is>
      </c>
      <c r="H205" s="19" t="inlineStr">
        <is>
          <t>Clarksville / New Scotland (Onesquethaw Cave preserve)</t>
        </is>
      </c>
      <c r="I205" s="19" t="inlineStr">
        <is>
          <t>Tropical Storm Irene opened a new collapse hole ~18 in across and 6 ft deep over the cave's upper-level passage; a larger sink was already forming in the cornfield between the entrance and the road</t>
        </is>
      </c>
      <c r="J205" s="19" t="inlineStr">
        <is>
          <t>NCC board minutes, 2012-06-10</t>
        </is>
      </c>
      <c r="K205" s="19" t="inlineStr">
        <is>
          <t>A DATED karst collapse triggered by a specific storm — the clearest event-linked subsidence in the register. Ties the karst layer to the Irene flood row.</t>
        </is>
      </c>
      <c r="L205" s="19" t="inlineStr">
        <is>
          <t>Northeastern Cave Conservancy preserve management plans &amp; board minutes; Altamont Enterprise "Back Roads Geology" (Nardacci); NSS 1991 Knox writeup</t>
        </is>
      </c>
      <c r="M205" s="19" t="inlineStr">
        <is>
          <t>https://necaveconservancy.org/assets/documents/minutes/2012-06-10_minutes_Newton,%20NJ.pdf</t>
        </is>
      </c>
      <c r="N205" s="19" t="inlineStr">
        <is>
          <t>B</t>
        </is>
      </c>
      <c r="O205" s="19" t="inlineStr">
        <is>
          <t>Y</t>
        </is>
      </c>
      <c r="P205" s="19" t="inlineStr">
        <is>
          <t>Companion to the Irene flood rows; shows heavy rain can trigger plateau karst collapse.</t>
        </is>
      </c>
      <c r="Q205" s="19" t="inlineStr">
        <is>
          <t>2011-08-28</t>
        </is>
      </c>
      <c r="R205" s="19">
        <f>VALUE(LEFT(Q205,4))</f>
        <v/>
      </c>
      <c r="S205" s="19">
        <f>VALUE(MID(Q205,6,2))</f>
        <v/>
      </c>
      <c r="T205" s="19">
        <f>VALUE(RIGHT(Q205,2))</f>
        <v/>
      </c>
      <c r="U205" s="19" t="inlineStr">
        <is>
          <t>day</t>
        </is>
      </c>
      <c r="V205" s="19" t="inlineStr">
        <is>
          <t>Single-day event</t>
        </is>
      </c>
    </row>
    <row r="206" ht="57" customHeight="1" s="13">
      <c r="A206" s="19" t="n">
        <v>205</v>
      </c>
      <c r="B206" s="19" t="inlineStr">
        <is>
          <t>2011-08-28</t>
        </is>
      </c>
      <c r="C206" s="19" t="inlineStr">
        <is>
          <t>2011-08-28</t>
        </is>
      </c>
      <c r="D206" s="19">
        <f>VALUE(LEFT(B206,4))</f>
        <v/>
      </c>
      <c r="E206" s="19">
        <f>INT((D206-1)/100)+1</f>
        <v/>
      </c>
      <c r="F206" s="19" t="inlineStr">
        <is>
          <t>Sinkhole / karst (event)</t>
        </is>
      </c>
      <c r="G206" s="19" t="inlineStr">
        <is>
          <t>Irene opens new sinkholes on the Barber Family Farm, Knox</t>
        </is>
      </c>
      <c r="H206" s="19" t="inlineStr">
        <is>
          <t>Knox (Albany Co.), Barber Family Farm</t>
        </is>
      </c>
      <c r="I206" s="19" t="inlineStr">
        <is>
          <t>A series of new sinkholes opened on the Barber Family Farm after Tropical Storm Irene; specifically studied by SUNY Brockport (Richards) during the 2014-15 Albany Co. karst mapping</t>
        </is>
      </c>
      <c r="J206" s="19" t="inlineStr">
        <is>
          <t>McLean letter / Brockport study</t>
        </is>
      </c>
      <c r="K206" s="19" t="inlineStr">
        <is>
          <t>SECOND documented Irene-triggered karst collapse on the plateau (with the Onesquethaw hole) - strengthens the storm-triggers-collapse pattern to two independent Knox-area instances.</t>
        </is>
      </c>
      <c r="L206" s="19" t="inlineStr">
        <is>
          <t>McLean letter, Altamont Enterprise 19 Nov 2014; SUNY Brockport (Richards) LiDAR karst study; USGS Kappel et al. 2020</t>
        </is>
      </c>
      <c r="M206" s="19" t="inlineStr">
        <is>
          <t>https://altamontenterprise.com/opinion/letters-editor/berne-knox-westerlo/11192014/knox-sinkholes-studied-guide-farmers</t>
        </is>
      </c>
      <c r="N206" s="19" t="inlineStr">
        <is>
          <t>B</t>
        </is>
      </c>
      <c r="O206" s="19" t="inlineStr">
        <is>
          <t>Y</t>
        </is>
      </c>
      <c r="P206" s="19" t="inlineStr">
        <is>
          <t>Companion to the 2011 Onesquethaw Irene collapse. Dated to Irene (2011); the new sinks were mapped/studied 2014-15.</t>
        </is>
      </c>
      <c r="Q206" s="19" t="inlineStr">
        <is>
          <t>2011-08-28</t>
        </is>
      </c>
      <c r="R206" s="19">
        <f>VALUE(LEFT(Q206,4))</f>
        <v/>
      </c>
      <c r="S206" s="19">
        <f>VALUE(MID(Q206,6,2))</f>
        <v/>
      </c>
      <c r="T206" s="19">
        <f>VALUE(RIGHT(Q206,2))</f>
        <v/>
      </c>
      <c r="U206" s="19" t="inlineStr">
        <is>
          <t>day</t>
        </is>
      </c>
      <c r="V206" s="19" t="inlineStr">
        <is>
          <t>Single-day event</t>
        </is>
      </c>
    </row>
    <row r="207" ht="45.75" customHeight="1" s="13">
      <c r="A207" s="19" t="n">
        <v>206</v>
      </c>
      <c r="B207" s="19" t="inlineStr">
        <is>
          <t>2011-08-28</t>
        </is>
      </c>
      <c r="C207" s="19" t="inlineStr">
        <is>
          <t>2011-08-28</t>
        </is>
      </c>
      <c r="D207" s="19">
        <f>VALUE(LEFT(B207,4))</f>
        <v/>
      </c>
      <c r="E207" s="19">
        <f>INT((D207-1)/100)+1</f>
        <v/>
      </c>
      <c r="F207" s="19" t="inlineStr">
        <is>
          <t>Landslide / debris flow</t>
        </is>
      </c>
      <c r="G207" s="19" t="inlineStr">
        <is>
          <t>Irene debris flows – Catskill escarpment</t>
        </is>
      </c>
      <c r="H207" s="19" t="inlineStr">
        <is>
          <t>Shingle Kill / Arizona Mtn, Greene Co., and many Catskill hollows</t>
        </is>
      </c>
      <c r="I207" s="19" t="inlineStr">
        <is>
          <t>Up to 18 in rain on the NE escarpment</t>
        </is>
      </c>
      <c r="J207" s="19" t="inlineStr">
        <is>
          <t>none</t>
        </is>
      </c>
      <c r="K207" s="19" t="inlineStr">
        <is>
          <t>Debris flow ~100 ft wide blew open a channel and dammed a culvert; many similar slides across the Catskills.</t>
        </is>
      </c>
      <c r="L207" s="19" t="inlineStr">
        <is>
          <t>Scientific American (2025)</t>
        </is>
      </c>
      <c r="M207" s="19" t="inlineStr">
        <is>
          <t>https://www.scientificamerican.com/article/how-climate-change-is-increasing-landslide-risk-worldwide/</t>
        </is>
      </c>
      <c r="N207" s="19" t="inlineStr">
        <is>
          <t>A</t>
        </is>
      </c>
      <c r="O207" s="19" t="inlineStr">
        <is>
          <t>Y</t>
        </is>
      </c>
      <c r="P207" s="19" t="inlineStr">
        <is>
          <t>Companion to the Irene row; check Greene Co. hazard-mitigation plan for the full inventory.</t>
        </is>
      </c>
      <c r="Q207" s="19" t="inlineStr">
        <is>
          <t>2011-08-28</t>
        </is>
      </c>
      <c r="R207" s="19">
        <f>VALUE(LEFT(Q207,4))</f>
        <v/>
      </c>
      <c r="S207" s="19">
        <f>VALUE(MID(Q207,6,2))</f>
        <v/>
      </c>
      <c r="T207" s="19">
        <f>VALUE(RIGHT(Q207,2))</f>
        <v/>
      </c>
      <c r="U207" s="19" t="inlineStr">
        <is>
          <t>day</t>
        </is>
      </c>
      <c r="V207" s="19" t="inlineStr">
        <is>
          <t>Single-day event</t>
        </is>
      </c>
    </row>
    <row r="208" ht="23.25" customHeight="1" s="13">
      <c r="A208" s="19" t="n">
        <v>207</v>
      </c>
      <c r="B208" s="19" t="inlineStr">
        <is>
          <t>2011-09-05</t>
        </is>
      </c>
      <c r="C208" s="19" t="inlineStr">
        <is>
          <t>2011-09-08</t>
        </is>
      </c>
      <c r="D208" s="19">
        <f>VALUE(LEFT(B208,4))</f>
        <v/>
      </c>
      <c r="E208" s="19">
        <f>INT((D208-1)/100)+1</f>
        <v/>
      </c>
      <c r="F208" s="19" t="inlineStr">
        <is>
          <t>Tropical remnant / flood</t>
        </is>
      </c>
      <c r="G208" s="19" t="inlineStr">
        <is>
          <t>Tropical Storm Lee remnants</t>
        </is>
      </c>
      <c r="H208" s="19" t="inlineStr">
        <is>
          <t>Region</t>
        </is>
      </c>
      <c r="I208" s="19" t="inlineStr">
        <is>
          <t>2–9 in</t>
        </is>
      </c>
      <c r="J208" s="19" t="inlineStr">
        <is>
          <t>regional</t>
        </is>
      </c>
      <c r="K208" s="19" t="inlineStr">
        <is>
          <t>Major flooding western Mohawk on saturated ground.</t>
        </is>
      </c>
      <c r="L208" s="19" t="inlineStr">
        <is>
          <t>NWS Albany – Past Weather Events (weather.gov/aly/pastevents)</t>
        </is>
      </c>
      <c r="M208" s="19" t="inlineStr">
        <is>
          <t>https://www.weather.gov/aly/pastevents</t>
        </is>
      </c>
      <c r="N208" s="19" t="inlineStr">
        <is>
          <t>A</t>
        </is>
      </c>
      <c r="O208" s="19" t="inlineStr">
        <is>
          <t>Y</t>
        </is>
      </c>
      <c r="P208" s="19" t="n"/>
      <c r="Q208" s="19" t="inlineStr">
        <is>
          <t>2011-09-05</t>
        </is>
      </c>
      <c r="R208" s="19">
        <f>VALUE(LEFT(Q208,4))</f>
        <v/>
      </c>
      <c r="S208" s="19">
        <f>VALUE(MID(Q208,6,2))</f>
        <v/>
      </c>
      <c r="T208" s="19">
        <f>VALUE(RIGHT(Q208,2))</f>
        <v/>
      </c>
      <c r="U208" s="19" t="inlineStr">
        <is>
          <t>days</t>
        </is>
      </c>
      <c r="V208" s="19" t="inlineStr">
        <is>
          <t>Multi-day event; anchored to first day</t>
        </is>
      </c>
    </row>
    <row r="209" ht="23.25" customHeight="1" s="13">
      <c r="A209" s="19" t="n">
        <v>208</v>
      </c>
      <c r="B209" s="19" t="inlineStr">
        <is>
          <t>2011-10-29</t>
        </is>
      </c>
      <c r="C209" s="19" t="inlineStr">
        <is>
          <t>2011-10-30</t>
        </is>
      </c>
      <c r="D209" s="19">
        <f>VALUE(LEFT(B209,4))</f>
        <v/>
      </c>
      <c r="E209" s="19">
        <f>INT((D209-1)/100)+1</f>
        <v/>
      </c>
      <c r="F209" s="19" t="inlineStr">
        <is>
          <t>Early-season nor'easter</t>
        </is>
      </c>
      <c r="G209" s="19" t="inlineStr">
        <is>
          <t>'Snowtober' 2011</t>
        </is>
      </c>
      <c r="H209" s="19" t="inlineStr">
        <is>
          <t>S &amp; E of Capital District</t>
        </is>
      </c>
      <c r="I209" s="19" t="inlineStr">
        <is>
          <t>10–16 in eastern Catskills; up to 2 ft Taconics</t>
        </is>
      </c>
      <c r="J209" s="19" t="inlineStr">
        <is>
          <t>regional</t>
        </is>
      </c>
      <c r="K209" s="19" t="inlineStr">
        <is>
          <t>Prolonged outages where leaves still on.</t>
        </is>
      </c>
      <c r="L209" s="19" t="inlineStr">
        <is>
          <t>NWS Albany – Past Weather Events (weather.gov/aly/pastevents)</t>
        </is>
      </c>
      <c r="M209" s="19" t="inlineStr">
        <is>
          <t>https://www.weather.gov/aly/pastevents</t>
        </is>
      </c>
      <c r="N209" s="19" t="inlineStr">
        <is>
          <t>A</t>
        </is>
      </c>
      <c r="O209" s="19" t="inlineStr">
        <is>
          <t>Y</t>
        </is>
      </c>
      <c r="P209" s="19" t="n"/>
      <c r="Q209" s="19" t="inlineStr">
        <is>
          <t>2011-10-29</t>
        </is>
      </c>
      <c r="R209" s="19">
        <f>VALUE(LEFT(Q209,4))</f>
        <v/>
      </c>
      <c r="S209" s="19">
        <f>VALUE(MID(Q209,6,2))</f>
        <v/>
      </c>
      <c r="T209" s="19">
        <f>VALUE(RIGHT(Q209,2))</f>
        <v/>
      </c>
      <c r="U209" s="19" t="inlineStr">
        <is>
          <t>days</t>
        </is>
      </c>
      <c r="V209" s="19" t="inlineStr">
        <is>
          <t>Multi-day event; anchored to first day</t>
        </is>
      </c>
    </row>
    <row r="210" ht="23.25" customHeight="1" s="13">
      <c r="A210" s="19" t="n">
        <v>209</v>
      </c>
      <c r="B210" s="19" t="inlineStr">
        <is>
          <t>2012-03-18</t>
        </is>
      </c>
      <c r="C210" s="19" t="inlineStr">
        <is>
          <t>2012-03-23</t>
        </is>
      </c>
      <c r="D210" s="19">
        <f>VALUE(LEFT(B210,4))</f>
        <v/>
      </c>
      <c r="E210" s="19">
        <f>INT((D210-1)/100)+1</f>
        <v/>
      </c>
      <c r="F210" s="19" t="inlineStr">
        <is>
          <t>Heat wave</t>
        </is>
      </c>
      <c r="G210" s="19" t="inlineStr">
        <is>
          <t>March 2012 heat wave</t>
        </is>
      </c>
      <c r="H210" s="19" t="inlineStr">
        <is>
          <t>NY statewide</t>
        </is>
      </c>
      <c r="I210" s="19" t="inlineStr">
        <is>
          <t>70s–80s for a week in March; record early bloom</t>
        </is>
      </c>
      <c r="J210" s="19" t="inlineStr">
        <is>
          <t>regional</t>
        </is>
      </c>
      <c r="K210" s="19" t="inlineStr">
        <is>
          <t>Broke dormancy 3–4 weeks early.</t>
        </is>
      </c>
      <c r="L210" s="19" t="inlineStr">
        <is>
          <t>Wikipedia event article (secondary; verify against NCEI/NHC)</t>
        </is>
      </c>
      <c r="M210" s="19" t="n"/>
      <c r="N210" s="19" t="inlineStr">
        <is>
          <t>B</t>
        </is>
      </c>
      <c r="O210" s="19" t="inlineStr">
        <is>
          <t>N</t>
        </is>
      </c>
      <c r="P210" s="19" t="n"/>
      <c r="Q210" s="19" t="inlineStr">
        <is>
          <t>2012-03-18</t>
        </is>
      </c>
      <c r="R210" s="19">
        <f>VALUE(LEFT(Q210,4))</f>
        <v/>
      </c>
      <c r="S210" s="19">
        <f>VALUE(MID(Q210,6,2))</f>
        <v/>
      </c>
      <c r="T210" s="19">
        <f>VALUE(RIGHT(Q210,2))</f>
        <v/>
      </c>
      <c r="U210" s="19" t="inlineStr">
        <is>
          <t>days</t>
        </is>
      </c>
      <c r="V210" s="19" t="inlineStr">
        <is>
          <t>Multi-day event; anchored to first day</t>
        </is>
      </c>
    </row>
    <row r="211" ht="23.25" customHeight="1" s="13">
      <c r="A211" s="19" t="n">
        <v>210</v>
      </c>
      <c r="B211" s="19" t="inlineStr">
        <is>
          <t>2012-04-27</t>
        </is>
      </c>
      <c r="C211" s="19" t="inlineStr">
        <is>
          <t>2012-04-29</t>
        </is>
      </c>
      <c r="D211" s="19">
        <f>VALUE(LEFT(B211,4))</f>
        <v/>
      </c>
      <c r="E211" s="19">
        <f>INT((D211-1)/100)+1</f>
        <v/>
      </c>
      <c r="F211" s="19" t="inlineStr">
        <is>
          <t>Late frost</t>
        </is>
      </c>
      <c r="G211" s="19" t="inlineStr">
        <is>
          <t>April 2012 freeze</t>
        </is>
      </c>
      <c r="H211" s="19" t="inlineStr">
        <is>
          <t>NY statewide</t>
        </is>
      </c>
      <c r="I211" s="19" t="inlineStr">
        <is>
          <t>Hard freeze on open blossoms</t>
        </is>
      </c>
      <c r="J211" s="19" t="inlineStr">
        <is>
          <t>regional</t>
        </is>
      </c>
      <c r="K211" s="19" t="inlineStr">
        <is>
          <t>Apple and stone-fruit losses statewide; also earlier freeze ~Apr 12.</t>
        </is>
      </c>
      <c r="L211" s="19" t="inlineStr">
        <is>
          <t>Wikipedia event article (secondary; verify against NCEI/NHC)</t>
        </is>
      </c>
      <c r="M211" s="19" t="n"/>
      <c r="N211" s="19" t="inlineStr">
        <is>
          <t>B</t>
        </is>
      </c>
      <c r="O211" s="19" t="inlineStr">
        <is>
          <t>N</t>
        </is>
      </c>
      <c r="P211" s="19" t="inlineStr">
        <is>
          <t>Verify with Cornell/NASS crop reports.</t>
        </is>
      </c>
      <c r="Q211" s="19" t="inlineStr">
        <is>
          <t>2012-04-27</t>
        </is>
      </c>
      <c r="R211" s="19">
        <f>VALUE(LEFT(Q211,4))</f>
        <v/>
      </c>
      <c r="S211" s="19">
        <f>VALUE(MID(Q211,6,2))</f>
        <v/>
      </c>
      <c r="T211" s="19">
        <f>VALUE(RIGHT(Q211,2))</f>
        <v/>
      </c>
      <c r="U211" s="19" t="inlineStr">
        <is>
          <t>days</t>
        </is>
      </c>
      <c r="V211" s="19" t="inlineStr">
        <is>
          <t>Multi-day event; anchored to first day</t>
        </is>
      </c>
    </row>
    <row r="212" ht="23.25" customHeight="1" s="13">
      <c r="A212" s="19" t="n">
        <v>211</v>
      </c>
      <c r="B212" s="19" t="inlineStr">
        <is>
          <t>2012-10-29</t>
        </is>
      </c>
      <c r="C212" s="19" t="inlineStr">
        <is>
          <t>2012-10-29</t>
        </is>
      </c>
      <c r="D212" s="19">
        <f>VALUE(LEFT(B212,4))</f>
        <v/>
      </c>
      <c r="E212" s="19">
        <f>INT((D212-1)/100)+1</f>
        <v/>
      </c>
      <c r="F212" s="19" t="inlineStr">
        <is>
          <t>Tropical cyclone</t>
        </is>
      </c>
      <c r="G212" s="19" t="inlineStr">
        <is>
          <t>Hurricane Sandy</t>
        </is>
      </c>
      <c r="H212" s="19" t="inlineStr">
        <is>
          <t>Region</t>
        </is>
      </c>
      <c r="I212" s="19" t="inlineStr">
        <is>
          <t>Tidal flooding up Hudson to Albany; wind</t>
        </is>
      </c>
      <c r="J212" s="19" t="inlineStr">
        <is>
          <t>Albany tide gauge</t>
        </is>
      </c>
      <c r="K212" s="19" t="inlineStr">
        <is>
          <t>Outages through the valley.</t>
        </is>
      </c>
      <c r="L212" s="19" t="inlineStr">
        <is>
          <t>NWS Albany – Past Weather Events (weather.gov/aly/pastevents)</t>
        </is>
      </c>
      <c r="M212" s="19" t="inlineStr">
        <is>
          <t>https://www.weather.gov/aly/pastevents</t>
        </is>
      </c>
      <c r="N212" s="19" t="inlineStr">
        <is>
          <t>A</t>
        </is>
      </c>
      <c r="O212" s="19" t="inlineStr">
        <is>
          <t>Y</t>
        </is>
      </c>
      <c r="P212" s="19" t="n"/>
      <c r="Q212" s="19" t="inlineStr">
        <is>
          <t>2012-10-29</t>
        </is>
      </c>
      <c r="R212" s="19">
        <f>VALUE(LEFT(Q212,4))</f>
        <v/>
      </c>
      <c r="S212" s="19">
        <f>VALUE(MID(Q212,6,2))</f>
        <v/>
      </c>
      <c r="T212" s="19">
        <f>VALUE(RIGHT(Q212,2))</f>
        <v/>
      </c>
      <c r="U212" s="19" t="inlineStr">
        <is>
          <t>day</t>
        </is>
      </c>
      <c r="V212" s="19" t="inlineStr">
        <is>
          <t>Single-day event</t>
        </is>
      </c>
    </row>
    <row r="213" ht="23.25" customHeight="1" s="13">
      <c r="A213" s="19" t="n">
        <v>212</v>
      </c>
      <c r="B213" s="19" t="inlineStr">
        <is>
          <t>2013-02-08</t>
        </is>
      </c>
      <c r="C213" s="19" t="inlineStr">
        <is>
          <t>2013-02-09</t>
        </is>
      </c>
      <c r="D213" s="19">
        <f>VALUE(LEFT(B213,4))</f>
        <v/>
      </c>
      <c r="E213" s="19">
        <f>INT((D213-1)/100)+1</f>
        <v/>
      </c>
      <c r="F213" s="19" t="inlineStr">
        <is>
          <t>Blizzard</t>
        </is>
      </c>
      <c r="G213" s="19" t="inlineStr">
        <is>
          <t>Northeast Blizzard 2013 (Nemo)</t>
        </is>
      </c>
      <c r="H213" s="19" t="inlineStr">
        <is>
          <t>Region</t>
        </is>
      </c>
      <c r="I213" s="19" t="inlineStr">
        <is>
          <t>NESIS Cat 3</t>
        </is>
      </c>
      <c r="J213" s="19" t="inlineStr">
        <is>
          <t>regional</t>
        </is>
      </c>
      <c r="K213" s="19" t="n"/>
      <c r="L213" s="19" t="inlineStr">
        <is>
          <t>NWS Albany – Past Weather Events (weather.gov/aly/pastevents)</t>
        </is>
      </c>
      <c r="M213" s="19" t="inlineStr">
        <is>
          <t>https://www.weather.gov/aly/pastevents</t>
        </is>
      </c>
      <c r="N213" s="19" t="inlineStr">
        <is>
          <t>A</t>
        </is>
      </c>
      <c r="O213" s="19" t="inlineStr">
        <is>
          <t>Y</t>
        </is>
      </c>
      <c r="P213" s="19" t="n"/>
      <c r="Q213" s="19" t="inlineStr">
        <is>
          <t>2013-02-08</t>
        </is>
      </c>
      <c r="R213" s="19">
        <f>VALUE(LEFT(Q213,4))</f>
        <v/>
      </c>
      <c r="S213" s="19">
        <f>VALUE(MID(Q213,6,2))</f>
        <v/>
      </c>
      <c r="T213" s="19">
        <f>VALUE(RIGHT(Q213,2))</f>
        <v/>
      </c>
      <c r="U213" s="19" t="inlineStr">
        <is>
          <t>days</t>
        </is>
      </c>
      <c r="V213" s="19" t="inlineStr">
        <is>
          <t>Multi-day event; anchored to first day</t>
        </is>
      </c>
    </row>
    <row r="214" ht="23.25" customHeight="1" s="13">
      <c r="A214" s="19" t="n">
        <v>213</v>
      </c>
      <c r="B214" s="19" t="inlineStr">
        <is>
          <t>2013-05-29</t>
        </is>
      </c>
      <c r="C214" s="19" t="inlineStr">
        <is>
          <t>2013-05-29</t>
        </is>
      </c>
      <c r="D214" s="19">
        <f>VALUE(LEFT(B214,4))</f>
        <v/>
      </c>
      <c r="E214" s="19">
        <f>INT((D214-1)/100)+1</f>
        <v/>
      </c>
      <c r="F214" s="19" t="inlineStr">
        <is>
          <t>Tornado outbreak</t>
        </is>
      </c>
      <c r="G214" s="19" t="inlineStr">
        <is>
          <t>May 29, 2013 tornadoes</t>
        </is>
      </c>
      <c r="H214" s="19" t="inlineStr">
        <is>
          <t>Montgomery / Schenectady / Schoharie / Saratoga</t>
        </is>
      </c>
      <c r="I214" s="19" t="inlineStr">
        <is>
          <t>EF2 Mariaville–Schenectady; EF1 Vischer Ferry; EF1 Summit/E. Jefferson</t>
        </is>
      </c>
      <c r="J214" s="19" t="inlineStr">
        <is>
          <t>NCEI</t>
        </is>
      </c>
      <c r="K214" s="19" t="inlineStr">
        <is>
          <t>See Wind &amp; Tornado sheet.</t>
        </is>
      </c>
      <c r="L214" s="19" t="inlineStr">
        <is>
          <t>NWS Albany – Past Weather Events (weather.gov/aly/pastevents)</t>
        </is>
      </c>
      <c r="M214" s="19" t="inlineStr">
        <is>
          <t>https://www.weather.gov/aly/pastevents</t>
        </is>
      </c>
      <c r="N214" s="19" t="inlineStr">
        <is>
          <t>A</t>
        </is>
      </c>
      <c r="O214" s="19" t="inlineStr">
        <is>
          <t>Y</t>
        </is>
      </c>
      <c r="P214" s="19" t="n"/>
      <c r="Q214" s="19" t="inlineStr">
        <is>
          <t>2013-05-29</t>
        </is>
      </c>
      <c r="R214" s="19">
        <f>VALUE(LEFT(Q214,4))</f>
        <v/>
      </c>
      <c r="S214" s="19">
        <f>VALUE(MID(Q214,6,2))</f>
        <v/>
      </c>
      <c r="T214" s="19">
        <f>VALUE(RIGHT(Q214,2))</f>
        <v/>
      </c>
      <c r="U214" s="19" t="inlineStr">
        <is>
          <t>day</t>
        </is>
      </c>
      <c r="V214" s="19" t="inlineStr">
        <is>
          <t>Single-day event</t>
        </is>
      </c>
    </row>
    <row r="215" ht="23.25" customHeight="1" s="13">
      <c r="A215" s="19" t="n">
        <v>214</v>
      </c>
      <c r="B215" s="19" t="inlineStr">
        <is>
          <t>2013-06-14</t>
        </is>
      </c>
      <c r="C215" s="19" t="inlineStr">
        <is>
          <t>2013-06-14</t>
        </is>
      </c>
      <c r="D215" s="19">
        <f>VALUE(LEFT(B215,4))</f>
        <v/>
      </c>
      <c r="E215" s="19">
        <f>INT((D215-1)/100)+1</f>
        <v/>
      </c>
      <c r="F215" s="19" t="inlineStr">
        <is>
          <t>Flash flood</t>
        </is>
      </c>
      <c r="G215" s="19" t="inlineStr">
        <is>
          <t>Middleburgh flash flood</t>
        </is>
      </c>
      <c r="H215" s="19" t="inlineStr">
        <is>
          <t>Schoharie County</t>
        </is>
      </c>
      <c r="I215" s="19" t="inlineStr">
        <is>
          <t>Training storms on saturated ground</t>
        </is>
      </c>
      <c r="J215" s="19" t="inlineStr">
        <is>
          <t>regional</t>
        </is>
      </c>
      <c r="K215" s="19" t="inlineStr">
        <is>
          <t>Much of Middleburgh flooded; school sheltered in place.</t>
        </is>
      </c>
      <c r="L215" s="19" t="inlineStr">
        <is>
          <t>NWS Albany – Past Weather Events (weather.gov/aly/pastevents)</t>
        </is>
      </c>
      <c r="M215" s="19" t="inlineStr">
        <is>
          <t>https://www.weather.gov/aly/pastevents</t>
        </is>
      </c>
      <c r="N215" s="19" t="inlineStr">
        <is>
          <t>A</t>
        </is>
      </c>
      <c r="O215" s="19" t="inlineStr">
        <is>
          <t>Y</t>
        </is>
      </c>
      <c r="P215" s="19" t="n"/>
      <c r="Q215" s="19" t="inlineStr">
        <is>
          <t>2013-06-14</t>
        </is>
      </c>
      <c r="R215" s="19">
        <f>VALUE(LEFT(Q215,4))</f>
        <v/>
      </c>
      <c r="S215" s="19">
        <f>VALUE(MID(Q215,6,2))</f>
        <v/>
      </c>
      <c r="T215" s="19">
        <f>VALUE(RIGHT(Q215,2))</f>
        <v/>
      </c>
      <c r="U215" s="19" t="inlineStr">
        <is>
          <t>day</t>
        </is>
      </c>
      <c r="V215" s="19" t="inlineStr">
        <is>
          <t>Single-day event</t>
        </is>
      </c>
    </row>
    <row r="216" ht="23.25" customHeight="1" s="13">
      <c r="A216" s="19" t="n">
        <v>215</v>
      </c>
      <c r="B216" s="19" t="inlineStr">
        <is>
          <t>2013-06-28</t>
        </is>
      </c>
      <c r="C216" s="19" t="inlineStr">
        <is>
          <t>2013-06-28</t>
        </is>
      </c>
      <c r="D216" s="19">
        <f>VALUE(LEFT(B216,4))</f>
        <v/>
      </c>
      <c r="E216" s="19">
        <f>INT((D216-1)/100)+1</f>
        <v/>
      </c>
      <c r="F216" s="19" t="inlineStr">
        <is>
          <t>Flash flood</t>
        </is>
      </c>
      <c r="G216" s="19" t="inlineStr">
        <is>
          <t>Mohawk Valley flash flood</t>
        </is>
      </c>
      <c r="H216" s="19" t="inlineStr">
        <is>
          <t>Herkimer / Montgomery</t>
        </is>
      </c>
      <c r="I216" s="19" t="inlineStr">
        <is>
          <t>3–5 in; Thruway closed 29–29A</t>
        </is>
      </c>
      <c r="J216" s="19" t="inlineStr">
        <is>
          <t>USGS</t>
        </is>
      </c>
      <c r="K216" s="19" t="inlineStr">
        <is>
          <t>Fort Plain under water; swift-water rescues.</t>
        </is>
      </c>
      <c r="L216" s="19" t="inlineStr">
        <is>
          <t>NWS Albany – Past Weather Events (weather.gov/aly/pastevents)</t>
        </is>
      </c>
      <c r="M216" s="19" t="inlineStr">
        <is>
          <t>https://www.weather.gov/aly/pastevents</t>
        </is>
      </c>
      <c r="N216" s="19" t="inlineStr">
        <is>
          <t>A</t>
        </is>
      </c>
      <c r="O216" s="19" t="inlineStr">
        <is>
          <t>Y</t>
        </is>
      </c>
      <c r="P216" s="19" t="n"/>
      <c r="Q216" s="19" t="inlineStr">
        <is>
          <t>2013-06-28</t>
        </is>
      </c>
      <c r="R216" s="19">
        <f>VALUE(LEFT(Q216,4))</f>
        <v/>
      </c>
      <c r="S216" s="19">
        <f>VALUE(MID(Q216,6,2))</f>
        <v/>
      </c>
      <c r="T216" s="19">
        <f>VALUE(RIGHT(Q216,2))</f>
        <v/>
      </c>
      <c r="U216" s="19" t="inlineStr">
        <is>
          <t>day</t>
        </is>
      </c>
      <c r="V216" s="19" t="inlineStr">
        <is>
          <t>Single-day event</t>
        </is>
      </c>
    </row>
    <row r="217" ht="23.25" customHeight="1" s="13">
      <c r="A217" s="19" t="n">
        <v>216</v>
      </c>
      <c r="B217" s="19" t="inlineStr">
        <is>
          <t>2013-07-14</t>
        </is>
      </c>
      <c r="C217" s="19" t="inlineStr">
        <is>
          <t>2013-07-20</t>
        </is>
      </c>
      <c r="D217" s="19">
        <f>VALUE(LEFT(B217,4))</f>
        <v/>
      </c>
      <c r="E217" s="19">
        <f>INT((D217-1)/100)+1</f>
        <v/>
      </c>
      <c r="F217" s="19" t="inlineStr">
        <is>
          <t>Heat wave</t>
        </is>
      </c>
      <c r="G217" s="19" t="inlineStr">
        <is>
          <t>July 2013 heat wave</t>
        </is>
      </c>
      <c r="H217" s="19" t="inlineStr">
        <is>
          <t>Region</t>
        </is>
      </c>
      <c r="I217" s="19" t="n"/>
      <c r="J217" s="19" t="inlineStr">
        <is>
          <t>Albany</t>
        </is>
      </c>
      <c r="K217" s="19" t="n"/>
      <c r="L217" s="19" t="inlineStr">
        <is>
          <t>NWS Albany – Past Weather Events (weather.gov/aly/pastevents)</t>
        </is>
      </c>
      <c r="M217" s="19" t="inlineStr">
        <is>
          <t>https://www.weather.gov/aly/pastevents</t>
        </is>
      </c>
      <c r="N217" s="19" t="inlineStr">
        <is>
          <t>A</t>
        </is>
      </c>
      <c r="O217" s="19" t="inlineStr">
        <is>
          <t>Y</t>
        </is>
      </c>
      <c r="P217" s="19" t="n"/>
      <c r="Q217" s="19" t="inlineStr">
        <is>
          <t>2013-07-18</t>
        </is>
      </c>
      <c r="R217" s="19">
        <f>VALUE(LEFT(Q217,4))</f>
        <v/>
      </c>
      <c r="S217" s="19">
        <f>VALUE(MID(Q217,6,2))</f>
        <v/>
      </c>
      <c r="T217" s="19">
        <f>VALUE(RIGHT(Q217,2))</f>
        <v/>
      </c>
      <c r="U217" s="19" t="inlineStr">
        <is>
          <t>days</t>
        </is>
      </c>
      <c r="V217" s="19" t="inlineStr">
        <is>
          <t>Peak of the 7-day wave</t>
        </is>
      </c>
    </row>
    <row r="218" ht="23.25" customHeight="1" s="13">
      <c r="A218" s="19" t="n">
        <v>217</v>
      </c>
      <c r="B218" s="19" t="inlineStr">
        <is>
          <t>2014-05-22</t>
        </is>
      </c>
      <c r="C218" s="19" t="inlineStr">
        <is>
          <t>2014-05-22</t>
        </is>
      </c>
      <c r="D218" s="19">
        <f>VALUE(LEFT(B218,4))</f>
        <v/>
      </c>
      <c r="E218" s="19">
        <f>INT((D218-1)/100)+1</f>
        <v/>
      </c>
      <c r="F218" s="19" t="inlineStr">
        <is>
          <t>Tornado</t>
        </is>
      </c>
      <c r="G218" s="19" t="inlineStr">
        <is>
          <t>Duanesburg/Delanson EF3</t>
        </is>
      </c>
      <c r="H218" s="19" t="inlineStr">
        <is>
          <t>Schenectady / Albany counties</t>
        </is>
      </c>
      <c r="I218" s="19" t="inlineStr">
        <is>
          <t>EF3</t>
        </is>
      </c>
      <c r="J218" s="19" t="inlineStr">
        <is>
          <t>NCEI</t>
        </is>
      </c>
      <c r="K218" s="19" t="inlineStr">
        <is>
          <t>See Wind &amp; Tornado sheet.</t>
        </is>
      </c>
      <c r="L218" s="19" t="inlineStr">
        <is>
          <t>NWS Albany – Past Weather Events (weather.gov/aly/pastevents)</t>
        </is>
      </c>
      <c r="M218" s="19" t="inlineStr">
        <is>
          <t>https://www.weather.gov/aly/pastevents</t>
        </is>
      </c>
      <c r="N218" s="19" t="inlineStr">
        <is>
          <t>A</t>
        </is>
      </c>
      <c r="O218" s="19" t="inlineStr">
        <is>
          <t>Y</t>
        </is>
      </c>
      <c r="P218" s="19" t="n"/>
      <c r="Q218" s="19" t="inlineStr">
        <is>
          <t>2014-05-22</t>
        </is>
      </c>
      <c r="R218" s="19">
        <f>VALUE(LEFT(Q218,4))</f>
        <v/>
      </c>
      <c r="S218" s="19">
        <f>VALUE(MID(Q218,6,2))</f>
        <v/>
      </c>
      <c r="T218" s="19">
        <f>VALUE(RIGHT(Q218,2))</f>
        <v/>
      </c>
      <c r="U218" s="19" t="inlineStr">
        <is>
          <t>day</t>
        </is>
      </c>
      <c r="V218" s="19" t="inlineStr">
        <is>
          <t>Single-day event</t>
        </is>
      </c>
    </row>
    <row r="219" ht="23.25" customHeight="1" s="13">
      <c r="A219" s="19" t="n">
        <v>218</v>
      </c>
      <c r="B219" s="19" t="inlineStr">
        <is>
          <t>2014-11-26</t>
        </is>
      </c>
      <c r="C219" s="19" t="inlineStr">
        <is>
          <t>2014-11-27</t>
        </is>
      </c>
      <c r="D219" s="19">
        <f>VALUE(LEFT(B219,4))</f>
        <v/>
      </c>
      <c r="E219" s="19">
        <f>INT((D219-1)/100)+1</f>
        <v/>
      </c>
      <c r="F219" s="19" t="inlineStr">
        <is>
          <t>Nor'easter</t>
        </is>
      </c>
      <c r="G219" s="19" t="inlineStr">
        <is>
          <t>Thanksgiving Eve nor'easter 2014</t>
        </is>
      </c>
      <c r="H219" s="19" t="inlineStr">
        <is>
          <t>Region</t>
        </is>
      </c>
      <c r="I219" s="19" t="inlineStr">
        <is>
          <t>Top-10 November storm Albany</t>
        </is>
      </c>
      <c r="J219" s="19" t="inlineStr">
        <is>
          <t>Albany</t>
        </is>
      </c>
      <c r="K219" s="19" t="n"/>
      <c r="L219" s="19" t="inlineStr">
        <is>
          <t>NWS Albany – Past Weather Events (weather.gov/aly/pastevents)</t>
        </is>
      </c>
      <c r="M219" s="19" t="inlineStr">
        <is>
          <t>https://www.weather.gov/aly/pastevents</t>
        </is>
      </c>
      <c r="N219" s="19" t="inlineStr">
        <is>
          <t>A</t>
        </is>
      </c>
      <c r="O219" s="19" t="inlineStr">
        <is>
          <t>Y</t>
        </is>
      </c>
      <c r="P219" s="19" t="n"/>
      <c r="Q219" s="19" t="inlineStr">
        <is>
          <t>2014-11-26</t>
        </is>
      </c>
      <c r="R219" s="19">
        <f>VALUE(LEFT(Q219,4))</f>
        <v/>
      </c>
      <c r="S219" s="19">
        <f>VALUE(MID(Q219,6,2))</f>
        <v/>
      </c>
      <c r="T219" s="19">
        <f>VALUE(RIGHT(Q219,2))</f>
        <v/>
      </c>
      <c r="U219" s="19" t="inlineStr">
        <is>
          <t>days</t>
        </is>
      </c>
      <c r="V219" s="19" t="inlineStr">
        <is>
          <t>Multi-day event; anchored to first day</t>
        </is>
      </c>
    </row>
    <row r="220" ht="23.25" customHeight="1" s="13">
      <c r="A220" s="19" t="n">
        <v>219</v>
      </c>
      <c r="B220" s="19" t="inlineStr">
        <is>
          <t>2015-01-26</t>
        </is>
      </c>
      <c r="C220" s="19" t="inlineStr">
        <is>
          <t>2015-02-28</t>
        </is>
      </c>
      <c r="D220" s="19">
        <f>VALUE(LEFT(B220,4))</f>
        <v/>
      </c>
      <c r="E220" s="19">
        <f>INT((D220-1)/100)+1</f>
        <v/>
      </c>
      <c r="F220" s="19" t="inlineStr">
        <is>
          <t>Cold month / snow</t>
        </is>
      </c>
      <c r="G220" s="19" t="inlineStr">
        <is>
          <t>February 2015</t>
        </is>
      </c>
      <c r="H220" s="19" t="inlineStr">
        <is>
          <t>Region</t>
        </is>
      </c>
      <c r="I220" s="19" t="inlineStr">
        <is>
          <t>Albany 2nd coldest Feb, 4th coldest month; 5th snowiest Feb</t>
        </is>
      </c>
      <c r="J220" s="19" t="inlineStr">
        <is>
          <t>Albany</t>
        </is>
      </c>
      <c r="K220" s="19" t="inlineStr">
        <is>
          <t>Repeated dangerous-cold episodes.</t>
        </is>
      </c>
      <c r="L220" s="19" t="inlineStr">
        <is>
          <t>NWS Albany – Past Weather Events (weather.gov/aly/pastevents)</t>
        </is>
      </c>
      <c r="M220" s="19" t="inlineStr">
        <is>
          <t>https://www.weather.gov/aly/pastevents</t>
        </is>
      </c>
      <c r="N220" s="19" t="inlineStr">
        <is>
          <t>A</t>
        </is>
      </c>
      <c r="O220" s="19" t="inlineStr">
        <is>
          <t>Y</t>
        </is>
      </c>
      <c r="P220" s="19" t="n"/>
      <c r="Q220" s="19" t="inlineStr">
        <is>
          <t>2015-02-15</t>
        </is>
      </c>
      <c r="R220" s="19">
        <f>VALUE(LEFT(Q220,4))</f>
        <v/>
      </c>
      <c r="S220" s="19">
        <f>VALUE(MID(Q220,6,2))</f>
        <v/>
      </c>
      <c r="T220" s="19">
        <f>VALUE(RIGHT(Q220,2))</f>
        <v/>
      </c>
      <c r="U220" s="19" t="inlineStr">
        <is>
          <t>month</t>
        </is>
      </c>
      <c r="V220" s="19" t="inlineStr">
        <is>
          <t>Whole-month record; Feb 13–16 coldest</t>
        </is>
      </c>
    </row>
    <row r="221" ht="23.25" customHeight="1" s="13">
      <c r="A221" s="19" t="n">
        <v>220</v>
      </c>
      <c r="B221" s="19" t="inlineStr">
        <is>
          <t>2016-02-12</t>
        </is>
      </c>
      <c r="C221" s="19" t="inlineStr">
        <is>
          <t>2016-02-14</t>
        </is>
      </c>
      <c r="D221" s="19">
        <f>VALUE(LEFT(B221,4))</f>
        <v/>
      </c>
      <c r="E221" s="19">
        <f>INT((D221-1)/100)+1</f>
        <v/>
      </c>
      <c r="F221" s="19" t="inlineStr">
        <is>
          <t>Arctic outbreak</t>
        </is>
      </c>
      <c r="G221" s="19" t="inlineStr">
        <is>
          <t>Valentine's 2016 cold</t>
        </is>
      </c>
      <c r="H221" s="19" t="inlineStr">
        <is>
          <t>Region</t>
        </is>
      </c>
      <c r="I221" s="19" t="inlineStr">
        <is>
          <t>Record lows/wind chills</t>
        </is>
      </c>
      <c r="J221" s="19" t="inlineStr">
        <is>
          <t>regional</t>
        </is>
      </c>
      <c r="K221" s="19" t="n"/>
      <c r="L221" s="19" t="inlineStr">
        <is>
          <t>NWS Albany – Past Weather Events (weather.gov/aly/pastevents)</t>
        </is>
      </c>
      <c r="M221" s="19" t="inlineStr">
        <is>
          <t>https://www.weather.gov/aly/pastevents</t>
        </is>
      </c>
      <c r="N221" s="19" t="inlineStr">
        <is>
          <t>A</t>
        </is>
      </c>
      <c r="O221" s="19" t="inlineStr">
        <is>
          <t>Y</t>
        </is>
      </c>
      <c r="P221" s="19" t="n"/>
      <c r="Q221" s="19" t="inlineStr">
        <is>
          <t>2016-02-12</t>
        </is>
      </c>
      <c r="R221" s="19">
        <f>VALUE(LEFT(Q221,4))</f>
        <v/>
      </c>
      <c r="S221" s="19">
        <f>VALUE(MID(Q221,6,2))</f>
        <v/>
      </c>
      <c r="T221" s="19">
        <f>VALUE(RIGHT(Q221,2))</f>
        <v/>
      </c>
      <c r="U221" s="19" t="inlineStr">
        <is>
          <t>days</t>
        </is>
      </c>
      <c r="V221" s="19" t="inlineStr">
        <is>
          <t>Multi-day event; anchored to first day</t>
        </is>
      </c>
    </row>
    <row r="222" ht="34.5" customHeight="1" s="13">
      <c r="A222" s="19" t="n">
        <v>221</v>
      </c>
      <c r="B222" s="19" t="inlineStr">
        <is>
          <t>2016-05-03</t>
        </is>
      </c>
      <c r="C222" s="19" t="inlineStr">
        <is>
          <t>2016-05-03</t>
        </is>
      </c>
      <c r="D222" s="19">
        <f>VALUE(LEFT(B222,4))</f>
        <v/>
      </c>
      <c r="E222" s="19">
        <f>INT((D222-1)/100)+1</f>
        <v/>
      </c>
      <c r="F222" s="19" t="inlineStr">
        <is>
          <t>Sinkhole (infrastructure)</t>
        </is>
      </c>
      <c r="G222" s="19" t="inlineStr">
        <is>
          <t>Madison Avenue sinkhole, Albany</t>
        </is>
      </c>
      <c r="H222" s="19" t="inlineStr">
        <is>
          <t>Albany near Washington Park</t>
        </is>
      </c>
      <c r="I222" s="19" t="inlineStr">
        <is>
          <t>Swallowed an SUV; ~$300k repair</t>
        </is>
      </c>
      <c r="J222" s="19" t="inlineStr">
        <is>
          <t>none</t>
        </is>
      </c>
      <c r="K222" s="19" t="inlineStr">
        <is>
          <t>Water-main rupture, not karst; Albany has ~900 mi of sewer and 420 mi of water pipe of similar age.</t>
        </is>
      </c>
      <c r="L222" s="19" t="inlineStr">
        <is>
          <t>CBS6 Albany</t>
        </is>
      </c>
      <c r="M222" s="19" t="inlineStr">
        <is>
          <t>https://cbs6albany.com/news/local/crews-working-to-repair-water-main-break-in-albany</t>
        </is>
      </c>
      <c r="N222" s="19" t="inlineStr">
        <is>
          <t>B</t>
        </is>
      </c>
      <c r="O222" s="19" t="inlineStr">
        <is>
          <t>Y</t>
        </is>
      </c>
      <c r="P222" s="19" t="inlineStr">
        <is>
          <t>Day approximate (Tuesday in May 2016).</t>
        </is>
      </c>
      <c r="Q222" s="19" t="inlineStr">
        <is>
          <t>2016-05-03</t>
        </is>
      </c>
      <c r="R222" s="19">
        <f>VALUE(LEFT(Q222,4))</f>
        <v/>
      </c>
      <c r="S222" s="19">
        <f>VALUE(MID(Q222,6,2))</f>
        <v/>
      </c>
      <c r="T222" s="19">
        <f>VALUE(RIGHT(Q222,2))</f>
        <v/>
      </c>
      <c r="U222" s="19" t="inlineStr">
        <is>
          <t>day</t>
        </is>
      </c>
      <c r="V222" s="19" t="inlineStr">
        <is>
          <t>Single-day event</t>
        </is>
      </c>
    </row>
    <row r="223" ht="23.25" customHeight="1" s="13">
      <c r="A223" s="19" t="n">
        <v>222</v>
      </c>
      <c r="B223" s="19" t="inlineStr">
        <is>
          <t>2016-06-01</t>
        </is>
      </c>
      <c r="C223" s="19" t="inlineStr">
        <is>
          <t>2016-10-31</t>
        </is>
      </c>
      <c r="D223" s="19">
        <f>VALUE(LEFT(B223,4))</f>
        <v/>
      </c>
      <c r="E223" s="19">
        <f>INT((D223-1)/100)+1</f>
        <v/>
      </c>
      <c r="F223" s="19" t="inlineStr">
        <is>
          <t>Drought</t>
        </is>
      </c>
      <c r="G223" s="19" t="inlineStr">
        <is>
          <t>2016 drought</t>
        </is>
      </c>
      <c r="H223" s="19" t="inlineStr">
        <is>
          <t>Hudson Valley / Catskills</t>
        </is>
      </c>
      <c r="I223" s="19" t="inlineStr">
        <is>
          <t>Severe drought</t>
        </is>
      </c>
      <c r="J223" s="19" t="inlineStr">
        <is>
          <t>regional</t>
        </is>
      </c>
      <c r="K223" s="19" t="inlineStr">
        <is>
          <t>Hay/vegetable losses.</t>
        </is>
      </c>
      <c r="L223" s="19" t="inlineStr">
        <is>
          <t>Wikipedia event article (secondary; verify against NCEI/NHC)</t>
        </is>
      </c>
      <c r="M223" s="19" t="n"/>
      <c r="N223" s="19" t="inlineStr">
        <is>
          <t>B</t>
        </is>
      </c>
      <c r="O223" s="19" t="inlineStr">
        <is>
          <t>N</t>
        </is>
      </c>
      <c r="P223" s="19" t="inlineStr">
        <is>
          <t>Verify with Drought Monitor archive.</t>
        </is>
      </c>
      <c r="Q223" s="19" t="inlineStr">
        <is>
          <t>2016-08-15</t>
        </is>
      </c>
      <c r="R223" s="19">
        <f>VALUE(LEFT(Q223,4))</f>
        <v/>
      </c>
      <c r="S223" s="19">
        <f>VALUE(MID(Q223,6,2))</f>
        <v/>
      </c>
      <c r="T223" s="19">
        <f>VALUE(RIGHT(Q223,2))</f>
        <v/>
      </c>
      <c r="U223" s="19" t="inlineStr">
        <is>
          <t>season</t>
        </is>
      </c>
      <c r="V223" s="19" t="inlineStr">
        <is>
          <t>Peak D2 coverage late summer</t>
        </is>
      </c>
    </row>
    <row r="224" ht="23.25" customHeight="1" s="13">
      <c r="A224" s="19" t="n">
        <v>223</v>
      </c>
      <c r="B224" s="19" t="inlineStr">
        <is>
          <t>2017-03-14</t>
        </is>
      </c>
      <c r="C224" s="19" t="inlineStr">
        <is>
          <t>2017-03-14</t>
        </is>
      </c>
      <c r="D224" s="19">
        <f>VALUE(LEFT(B224,4))</f>
        <v/>
      </c>
      <c r="E224" s="19">
        <f>INT((D224-1)/100)+1</f>
        <v/>
      </c>
      <c r="F224" s="19" t="inlineStr">
        <is>
          <t>Blizzard</t>
        </is>
      </c>
      <c r="G224" s="19" t="inlineStr">
        <is>
          <t>Stella (March 14, 2017)</t>
        </is>
      </c>
      <c r="H224" s="19" t="inlineStr">
        <is>
          <t>Region</t>
        </is>
      </c>
      <c r="I224" s="19" t="inlineStr">
        <is>
          <t>Record daily snowfall Albany; top-10 March storm</t>
        </is>
      </c>
      <c r="J224" s="19" t="inlineStr">
        <is>
          <t>Albany</t>
        </is>
      </c>
      <c r="K224" s="19" t="n"/>
      <c r="L224" s="19" t="inlineStr">
        <is>
          <t>NWS Albany – Past Weather Events (weather.gov/aly/pastevents)</t>
        </is>
      </c>
      <c r="M224" s="19" t="inlineStr">
        <is>
          <t>https://www.weather.gov/aly/pastevents</t>
        </is>
      </c>
      <c r="N224" s="19" t="inlineStr">
        <is>
          <t>A</t>
        </is>
      </c>
      <c r="O224" s="19" t="inlineStr">
        <is>
          <t>Y</t>
        </is>
      </c>
      <c r="P224" s="19" t="n"/>
      <c r="Q224" s="19" t="inlineStr">
        <is>
          <t>2017-03-14</t>
        </is>
      </c>
      <c r="R224" s="19">
        <f>VALUE(LEFT(Q224,4))</f>
        <v/>
      </c>
      <c r="S224" s="19">
        <f>VALUE(MID(Q224,6,2))</f>
        <v/>
      </c>
      <c r="T224" s="19">
        <f>VALUE(RIGHT(Q224,2))</f>
        <v/>
      </c>
      <c r="U224" s="19" t="inlineStr">
        <is>
          <t>day</t>
        </is>
      </c>
      <c r="V224" s="19" t="inlineStr">
        <is>
          <t>Single-day event</t>
        </is>
      </c>
    </row>
    <row r="225" ht="23.25" customHeight="1" s="13">
      <c r="A225" s="19" t="n">
        <v>224</v>
      </c>
      <c r="B225" s="19" t="inlineStr">
        <is>
          <t>2017-07-01</t>
        </is>
      </c>
      <c r="C225" s="19" t="inlineStr">
        <is>
          <t>2017-07-01</t>
        </is>
      </c>
      <c r="D225" s="19">
        <f>VALUE(LEFT(B225,4))</f>
        <v/>
      </c>
      <c r="E225" s="19">
        <f>INT((D225-1)/100)+1</f>
        <v/>
      </c>
      <c r="F225" s="19" t="inlineStr">
        <is>
          <t>Flash flood</t>
        </is>
      </c>
      <c r="G225" s="19" t="inlineStr">
        <is>
          <t>July 1, 2017 flash flooding</t>
        </is>
      </c>
      <c r="H225" s="19" t="inlineStr">
        <is>
          <t>Rensselaer / Herkimer / Fulton / Warren / Washington</t>
        </is>
      </c>
      <c r="I225" s="19" t="inlineStr">
        <is>
          <t>Up to 4 in; $3.6M Rensselaer Co.</t>
        </is>
      </c>
      <c r="J225" s="19" t="inlineStr">
        <is>
          <t>regional</t>
        </is>
      </c>
      <c r="K225" s="19" t="inlineStr">
        <is>
          <t>Hoosick Falls hit hard.</t>
        </is>
      </c>
      <c r="L225" s="19" t="inlineStr">
        <is>
          <t>NWS Albany – Past Weather Events (weather.gov/aly/pastevents)</t>
        </is>
      </c>
      <c r="M225" s="19" t="inlineStr">
        <is>
          <t>https://www.weather.gov/aly/pastevents</t>
        </is>
      </c>
      <c r="N225" s="19" t="inlineStr">
        <is>
          <t>A</t>
        </is>
      </c>
      <c r="O225" s="19" t="inlineStr">
        <is>
          <t>Y</t>
        </is>
      </c>
      <c r="P225" s="19" t="n"/>
      <c r="Q225" s="19" t="inlineStr">
        <is>
          <t>2017-07-01</t>
        </is>
      </c>
      <c r="R225" s="19">
        <f>VALUE(LEFT(Q225,4))</f>
        <v/>
      </c>
      <c r="S225" s="19">
        <f>VALUE(MID(Q225,6,2))</f>
        <v/>
      </c>
      <c r="T225" s="19">
        <f>VALUE(RIGHT(Q225,2))</f>
        <v/>
      </c>
      <c r="U225" s="19" t="inlineStr">
        <is>
          <t>day</t>
        </is>
      </c>
      <c r="V225" s="19" t="inlineStr">
        <is>
          <t>Single-day event</t>
        </is>
      </c>
    </row>
    <row r="226" ht="23.25" customHeight="1" s="13">
      <c r="A226" s="19" t="n">
        <v>225</v>
      </c>
      <c r="B226" s="19" t="inlineStr">
        <is>
          <t>2017-10-29</t>
        </is>
      </c>
      <c r="C226" s="19" t="inlineStr">
        <is>
          <t>2017-10-30</t>
        </is>
      </c>
      <c r="D226" s="19">
        <f>VALUE(LEFT(B226,4))</f>
        <v/>
      </c>
      <c r="E226" s="19">
        <f>INT((D226-1)/100)+1</f>
        <v/>
      </c>
      <c r="F226" s="19" t="inlineStr">
        <is>
          <t>Wind / flood</t>
        </is>
      </c>
      <c r="G226" s="19" t="inlineStr">
        <is>
          <t>October 2017 windstorm</t>
        </is>
      </c>
      <c r="H226" s="19" t="inlineStr">
        <is>
          <t>Region</t>
        </is>
      </c>
      <c r="I226" s="19" t="inlineStr">
        <is>
          <t>Damaging winds, heavy rain</t>
        </is>
      </c>
      <c r="J226" s="19" t="inlineStr">
        <is>
          <t>regional</t>
        </is>
      </c>
      <c r="K226" s="19" t="n"/>
      <c r="L226" s="19" t="inlineStr">
        <is>
          <t>NWS Albany – Past Weather Events (weather.gov/aly/pastevents)</t>
        </is>
      </c>
      <c r="M226" s="19" t="inlineStr">
        <is>
          <t>https://www.weather.gov/aly/pastevents</t>
        </is>
      </c>
      <c r="N226" s="19" t="inlineStr">
        <is>
          <t>A</t>
        </is>
      </c>
      <c r="O226" s="19" t="inlineStr">
        <is>
          <t>Y</t>
        </is>
      </c>
      <c r="P226" s="19" t="n"/>
      <c r="Q226" s="19" t="inlineStr">
        <is>
          <t>2017-10-29</t>
        </is>
      </c>
      <c r="R226" s="19">
        <f>VALUE(LEFT(Q226,4))</f>
        <v/>
      </c>
      <c r="S226" s="19">
        <f>VALUE(MID(Q226,6,2))</f>
        <v/>
      </c>
      <c r="T226" s="19">
        <f>VALUE(RIGHT(Q226,2))</f>
        <v/>
      </c>
      <c r="U226" s="19" t="inlineStr">
        <is>
          <t>days</t>
        </is>
      </c>
      <c r="V226" s="19" t="inlineStr">
        <is>
          <t>Multi-day event; anchored to first day</t>
        </is>
      </c>
    </row>
    <row r="227" ht="23.25" customHeight="1" s="13">
      <c r="A227" s="19" t="n">
        <v>226</v>
      </c>
      <c r="B227" s="19" t="inlineStr">
        <is>
          <t>2017-12-27</t>
        </is>
      </c>
      <c r="C227" s="19" t="inlineStr">
        <is>
          <t>2018-01-07</t>
        </is>
      </c>
      <c r="D227" s="19">
        <f>VALUE(LEFT(B227,4))</f>
        <v/>
      </c>
      <c r="E227" s="19">
        <f>INT((D227-1)/100)+1</f>
        <v/>
      </c>
      <c r="F227" s="19" t="inlineStr">
        <is>
          <t>Arctic outbreak</t>
        </is>
      </c>
      <c r="G227" s="19" t="inlineStr">
        <is>
          <t>Late Dec 2017–early Jan 2018 cold</t>
        </is>
      </c>
      <c r="H227" s="19" t="inlineStr">
        <is>
          <t>Region</t>
        </is>
      </c>
      <c r="I227" s="19" t="inlineStr">
        <is>
          <t>Two weeks of frigid temps</t>
        </is>
      </c>
      <c r="J227" s="19" t="inlineStr">
        <is>
          <t>regional</t>
        </is>
      </c>
      <c r="K227" s="19" t="inlineStr">
        <is>
          <t>Set up the Jan 2018 ice jams.</t>
        </is>
      </c>
      <c r="L227" s="19" t="inlineStr">
        <is>
          <t>NWS Albany – Past Weather Events (weather.gov/aly/pastevents)</t>
        </is>
      </c>
      <c r="M227" s="19" t="inlineStr">
        <is>
          <t>https://www.weather.gov/aly/pastevents</t>
        </is>
      </c>
      <c r="N227" s="19" t="inlineStr">
        <is>
          <t>A</t>
        </is>
      </c>
      <c r="O227" s="19" t="inlineStr">
        <is>
          <t>Y</t>
        </is>
      </c>
      <c r="P227" s="19" t="n"/>
      <c r="Q227" s="19" t="inlineStr">
        <is>
          <t>2018-01-06</t>
        </is>
      </c>
      <c r="R227" s="19">
        <f>VALUE(LEFT(Q227,4))</f>
        <v/>
      </c>
      <c r="S227" s="19">
        <f>VALUE(MID(Q227,6,2))</f>
        <v/>
      </c>
      <c r="T227" s="19">
        <f>VALUE(RIGHT(Q227,2))</f>
        <v/>
      </c>
      <c r="U227" s="19" t="inlineStr">
        <is>
          <t>days</t>
        </is>
      </c>
      <c r="V227" s="19" t="inlineStr">
        <is>
          <t>Coldest mornings ~Jan 6–7</t>
        </is>
      </c>
    </row>
    <row r="228" ht="23.25" customHeight="1" s="13">
      <c r="A228" s="19" t="n">
        <v>227</v>
      </c>
      <c r="B228" s="19" t="inlineStr">
        <is>
          <t>2018-01-12</t>
        </is>
      </c>
      <c r="C228" s="19" t="inlineStr">
        <is>
          <t>2018-03-07</t>
        </is>
      </c>
      <c r="D228" s="19">
        <f>VALUE(LEFT(B228,4))</f>
        <v/>
      </c>
      <c r="E228" s="19">
        <f>INT((D228-1)/100)+1</f>
        <v/>
      </c>
      <c r="F228" s="19" t="inlineStr">
        <is>
          <t>Ice-jam flood</t>
        </is>
      </c>
      <c r="G228" s="19" t="inlineStr">
        <is>
          <t>January–February 2018 ice jams</t>
        </is>
      </c>
      <c r="H228" s="19" t="inlineStr">
        <is>
          <t>Mohawk / Hudson / Hoosic</t>
        </is>
      </c>
      <c r="I228" s="19" t="inlineStr">
        <is>
          <t>Mohawk jam up to 17 mi Rexford–Crane Hollow (biggest in decades)</t>
        </is>
      </c>
      <c r="J228" s="19" t="inlineStr">
        <is>
          <t>regional</t>
        </is>
      </c>
      <c r="K228" s="19" t="inlineStr">
        <is>
          <t>Stockade district flooded; threat until Mar 7.</t>
        </is>
      </c>
      <c r="L228" s="19" t="inlineStr">
        <is>
          <t>NWS Albany – Past Weather Events (weather.gov/aly/pastevents)</t>
        </is>
      </c>
      <c r="M228" s="19" t="inlineStr">
        <is>
          <t>https://www.weather.gov/aly/pastevents</t>
        </is>
      </c>
      <c r="N228" s="19" t="inlineStr">
        <is>
          <t>A</t>
        </is>
      </c>
      <c r="O228" s="19" t="inlineStr">
        <is>
          <t>Y</t>
        </is>
      </c>
      <c r="P228" s="19" t="n"/>
      <c r="Q228" s="19" t="inlineStr">
        <is>
          <t>2018-01-12</t>
        </is>
      </c>
      <c r="R228" s="19">
        <f>VALUE(LEFT(Q228,4))</f>
        <v/>
      </c>
      <c r="S228" s="19">
        <f>VALUE(MID(Q228,6,2))</f>
        <v/>
      </c>
      <c r="T228" s="19">
        <f>VALUE(RIGHT(Q228,2))</f>
        <v/>
      </c>
      <c r="U228" s="19" t="inlineStr">
        <is>
          <t>day</t>
        </is>
      </c>
      <c r="V228" s="19" t="inlineStr">
        <is>
          <t>Rain/thaw day that broke up the ice</t>
        </is>
      </c>
    </row>
    <row r="229" ht="34.5" customHeight="1" s="13">
      <c r="A229" s="19" t="n">
        <v>228</v>
      </c>
      <c r="B229" s="19" t="inlineStr">
        <is>
          <t>2018-02-22</t>
        </is>
      </c>
      <c r="C229" s="19" t="inlineStr">
        <is>
          <t>2018-02-22</t>
        </is>
      </c>
      <c r="D229" s="19">
        <f>VALUE(LEFT(B229,4))</f>
        <v/>
      </c>
      <c r="E229" s="19">
        <f>INT((D229-1)/100)+1</f>
        <v/>
      </c>
      <c r="F229" s="19" t="inlineStr">
        <is>
          <t>Ice jam</t>
        </is>
      </c>
      <c r="G229" s="19" t="inlineStr">
        <is>
          <t>Mohawk 17-mile ice jam breaks up</t>
        </is>
      </c>
      <c r="H229" s="19" t="inlineStr">
        <is>
          <t>Rexford → Crane Hollow → Cohoes Falls</t>
        </is>
      </c>
      <c r="I229" s="19" t="inlineStr">
        <is>
          <t>Albany river level rose ~2 ft on release</t>
        </is>
      </c>
      <c r="J229" s="19" t="inlineStr">
        <is>
          <t>USGS</t>
        </is>
      </c>
      <c r="K229" s="19" t="inlineStr">
        <is>
          <t>Breakup of the biggest Mohawk jam in decades (formed Jan 12–13).</t>
        </is>
      </c>
      <c r="L229" s="19" t="inlineStr">
        <is>
          <t>Daily Gazette</t>
        </is>
      </c>
      <c r="M229" s="19" t="inlineStr">
        <is>
          <t>https://dailygazette.com/2018/02/22/historic-ice-jam-now-in-pieces-remains-a-threat/</t>
        </is>
      </c>
      <c r="N229" s="19" t="inlineStr">
        <is>
          <t>A</t>
        </is>
      </c>
      <c r="O229" s="19" t="inlineStr">
        <is>
          <t>Y</t>
        </is>
      </c>
      <c r="P229" s="19" t="inlineStr">
        <is>
          <t>Companion to the Jan–Feb 2018 row.</t>
        </is>
      </c>
      <c r="Q229" s="19" t="inlineStr">
        <is>
          <t>2018-02-22</t>
        </is>
      </c>
      <c r="R229" s="19">
        <f>VALUE(LEFT(Q229,4))</f>
        <v/>
      </c>
      <c r="S229" s="19">
        <f>VALUE(MID(Q229,6,2))</f>
        <v/>
      </c>
      <c r="T229" s="19">
        <f>VALUE(RIGHT(Q229,2))</f>
        <v/>
      </c>
      <c r="U229" s="19" t="inlineStr">
        <is>
          <t>day</t>
        </is>
      </c>
      <c r="V229" s="19" t="inlineStr">
        <is>
          <t>Single-day event</t>
        </is>
      </c>
    </row>
    <row r="230" ht="23.25" customHeight="1" s="13">
      <c r="A230" s="19" t="n">
        <v>230</v>
      </c>
      <c r="B230" s="19" t="inlineStr">
        <is>
          <t>2018-03-02</t>
        </is>
      </c>
      <c r="C230" s="19" t="inlineStr">
        <is>
          <t>2018-03-15</t>
        </is>
      </c>
      <c r="D230" s="19">
        <f>VALUE(LEFT(B230,4))</f>
        <v/>
      </c>
      <c r="E230" s="19">
        <f>INT((D230-1)/100)+1</f>
        <v/>
      </c>
      <c r="F230" s="19" t="inlineStr">
        <is>
          <t>Nor'easters</t>
        </is>
      </c>
      <c r="G230" s="19" t="inlineStr">
        <is>
          <t>March 2018 nor'easter trio</t>
        </is>
      </c>
      <c r="H230" s="19" t="inlineStr">
        <is>
          <t>Region</t>
        </is>
      </c>
      <c r="I230" s="19" t="inlineStr">
        <is>
          <t>Three storms in two weeks</t>
        </is>
      </c>
      <c r="J230" s="19" t="inlineStr">
        <is>
          <t>regional</t>
        </is>
      </c>
      <c r="K230" s="19" t="n"/>
      <c r="L230" s="19" t="inlineStr">
        <is>
          <t>NWS Albany – Past Weather Events (weather.gov/aly/pastevents)</t>
        </is>
      </c>
      <c r="M230" s="19" t="inlineStr">
        <is>
          <t>https://www.weather.gov/aly/pastevents</t>
        </is>
      </c>
      <c r="N230" s="19" t="inlineStr">
        <is>
          <t>A</t>
        </is>
      </c>
      <c r="O230" s="19" t="inlineStr">
        <is>
          <t>Y</t>
        </is>
      </c>
      <c r="P230" s="19" t="n"/>
      <c r="Q230" s="19" t="inlineStr">
        <is>
          <t>2018-03-13</t>
        </is>
      </c>
      <c r="R230" s="19">
        <f>VALUE(LEFT(Q230,4))</f>
        <v/>
      </c>
      <c r="S230" s="19">
        <f>VALUE(MID(Q230,6,2))</f>
        <v/>
      </c>
      <c r="T230" s="19">
        <f>VALUE(RIGHT(Q230,2))</f>
        <v/>
      </c>
      <c r="U230" s="19" t="inlineStr">
        <is>
          <t>days</t>
        </is>
      </c>
      <c r="V230" s="19" t="inlineStr">
        <is>
          <t>Third and heaviest storm</t>
        </is>
      </c>
    </row>
    <row r="231" ht="23.25" customHeight="1" s="13">
      <c r="A231" s="19" t="n">
        <v>231</v>
      </c>
      <c r="B231" s="19" t="inlineStr">
        <is>
          <t>2018-05-15</t>
        </is>
      </c>
      <c r="C231" s="19" t="inlineStr">
        <is>
          <t>2018-05-15</t>
        </is>
      </c>
      <c r="D231" s="19">
        <f>VALUE(LEFT(B231,4))</f>
        <v/>
      </c>
      <c r="E231" s="19">
        <f>INT((D231-1)/100)+1</f>
        <v/>
      </c>
      <c r="F231" s="19" t="inlineStr">
        <is>
          <t>Macroburst / tornadoes</t>
        </is>
      </c>
      <c r="G231" s="19" t="inlineStr">
        <is>
          <t>May 15, 2018 severe outbreak</t>
        </is>
      </c>
      <c r="H231" s="19" t="inlineStr">
        <is>
          <t>Hudson Valley (Newburgh–Putnam–Westchester)</t>
        </is>
      </c>
      <c r="I231" s="19" t="inlineStr">
        <is>
          <t>100+ mph; 3 deaths</t>
        </is>
      </c>
      <c r="J231" s="19" t="inlineStr">
        <is>
          <t>NCEI</t>
        </is>
      </c>
      <c r="K231" s="19" t="inlineStr">
        <is>
          <t>Among the worst wind damage in Hudson Valley history.</t>
        </is>
      </c>
      <c r="L231" s="19" t="inlineStr">
        <is>
          <t>NWS Albany – Past Weather Events (weather.gov/aly/pastevents)</t>
        </is>
      </c>
      <c r="M231" s="19" t="inlineStr">
        <is>
          <t>https://www.weather.gov/aly/pastevents</t>
        </is>
      </c>
      <c r="N231" s="19" t="inlineStr">
        <is>
          <t>A</t>
        </is>
      </c>
      <c r="O231" s="19" t="inlineStr">
        <is>
          <t>Y</t>
        </is>
      </c>
      <c r="P231" s="19" t="inlineStr">
        <is>
          <t>South of 30-mi radius.</t>
        </is>
      </c>
      <c r="Q231" s="19" t="inlineStr">
        <is>
          <t>2018-05-15</t>
        </is>
      </c>
      <c r="R231" s="19">
        <f>VALUE(LEFT(Q231,4))</f>
        <v/>
      </c>
      <c r="S231" s="19">
        <f>VALUE(MID(Q231,6,2))</f>
        <v/>
      </c>
      <c r="T231" s="19">
        <f>VALUE(RIGHT(Q231,2))</f>
        <v/>
      </c>
      <c r="U231" s="19" t="inlineStr">
        <is>
          <t>day</t>
        </is>
      </c>
      <c r="V231" s="19" t="inlineStr">
        <is>
          <t>Single-day event</t>
        </is>
      </c>
    </row>
    <row r="232" ht="23.25" customHeight="1" s="13">
      <c r="A232" s="19" t="n">
        <v>232</v>
      </c>
      <c r="B232" s="19" t="inlineStr">
        <is>
          <t>2018-08-01</t>
        </is>
      </c>
      <c r="C232" s="19" t="inlineStr">
        <is>
          <t>2018-08-22</t>
        </is>
      </c>
      <c r="D232" s="19">
        <f>VALUE(LEFT(B232,4))</f>
        <v/>
      </c>
      <c r="E232" s="19">
        <f>INT((D232-1)/100)+1</f>
        <v/>
      </c>
      <c r="F232" s="19" t="inlineStr">
        <is>
          <t>Sinkhole (infrastructure, human cause)</t>
        </is>
      </c>
      <c r="G232" s="19" t="inlineStr">
        <is>
          <t>Rustic Barn underground-tank collapse sinkhole</t>
        </is>
      </c>
      <c r="H232" s="19" t="inlineStr">
        <is>
          <t>Guilderland (4852 Western Turnpike / Rte 20)</t>
        </is>
      </c>
      <c r="I232" s="19" t="inlineStr">
        <is>
          <t>A large sinkhole opened at the derelict Rustic Barn (former woodstove-supply co.), attributed to the collapse of a buried underground tank; filled in by town workers the next day (reported 22 Aug 2018)</t>
        </is>
      </c>
      <c r="J232" s="19" t="inlineStr">
        <is>
          <t>county inspection / Enterprise</t>
        </is>
      </c>
      <c r="K232" s="19" t="inlineStr">
        <is>
          <t>NOT karst — buried-tank collapse (same class as the Madison Ave water-main &amp; McKownville culvert sinks). Property in tax foreclosure with possible contamination; county declined ownership.</t>
        </is>
      </c>
      <c r="L232" s="19" t="inlineStr">
        <is>
          <t>Altamont Enterprise, 23 Aug 2018 (Floyd Mair)</t>
        </is>
      </c>
      <c r="M232" s="19" t="inlineStr">
        <is>
          <t>https://altamontenterprise.com/</t>
        </is>
      </c>
      <c r="N232" s="19" t="inlineStr">
        <is>
          <t>C</t>
        </is>
      </c>
      <c r="O232" s="19" t="inlineStr">
        <is>
          <t>Y</t>
        </is>
      </c>
      <c r="P232" s="19" t="inlineStr">
        <is>
          <t>Human cause (failed underground tank). Minor; filled next day. Infrastructure category, NOT the karst Subsidence sheet. Exact open date not given — reported filled ~Aug 22 2018.</t>
        </is>
      </c>
      <c r="Q232" s="19" t="inlineStr">
        <is>
          <t>2018-08-22</t>
        </is>
      </c>
      <c r="R232" s="19">
        <f>VALUE(LEFT(Q232,4))</f>
        <v/>
      </c>
      <c r="S232" s="19">
        <f>VALUE(MID(Q232,6,2))</f>
        <v/>
      </c>
      <c r="T232" s="19">
        <f>VALUE(RIGHT(Q232,2))</f>
        <v/>
      </c>
      <c r="U232" s="19" t="inlineStr">
        <is>
          <t>days</t>
        </is>
      </c>
      <c r="V232" s="19" t="inlineStr">
        <is>
          <t>Reported filled ~Aug 22 2018; open date not given</t>
        </is>
      </c>
    </row>
    <row r="233" ht="57" customHeight="1" s="13">
      <c r="A233" s="19" t="n">
        <v>233</v>
      </c>
      <c r="B233" s="19" t="inlineStr">
        <is>
          <t>2019-02-25</t>
        </is>
      </c>
      <c r="C233" s="19" t="inlineStr">
        <is>
          <t>2019-02-25</t>
        </is>
      </c>
      <c r="D233" s="19">
        <f>VALUE(LEFT(B233,4))</f>
        <v/>
      </c>
      <c r="E233" s="19">
        <f>INT((D233-1)/100)+1</f>
        <v/>
      </c>
      <c r="F233" s="19" t="inlineStr">
        <is>
          <t>Windstorm</t>
        </is>
      </c>
      <c r="G233" s="19" t="inlineStr">
        <is>
          <t>February 25, 2019 damaging winds</t>
        </is>
      </c>
      <c r="H233" s="19" t="inlineStr">
        <is>
          <t>Region</t>
        </is>
      </c>
      <c r="I233" s="19" t="n"/>
      <c r="J233" s="19" t="inlineStr">
        <is>
          <t>regional</t>
        </is>
      </c>
      <c r="K233" s="19" t="n"/>
      <c r="L233" s="19" t="inlineStr">
        <is>
          <t>NWS Albany – Past Weather Events (weather.gov/aly/pastevents)</t>
        </is>
      </c>
      <c r="M233" s="19" t="inlineStr">
        <is>
          <t>https://www.weather.gov/aly/pastevents</t>
        </is>
      </c>
      <c r="N233" s="19" t="inlineStr">
        <is>
          <t>A</t>
        </is>
      </c>
      <c r="O233" s="19" t="inlineStr">
        <is>
          <t>Y</t>
        </is>
      </c>
      <c r="P233" s="19" t="n"/>
      <c r="Q233" s="19" t="inlineStr">
        <is>
          <t>2019-02-25</t>
        </is>
      </c>
      <c r="R233" s="19">
        <f>VALUE(LEFT(Q233,4))</f>
        <v/>
      </c>
      <c r="S233" s="19">
        <f>VALUE(MID(Q233,6,2))</f>
        <v/>
      </c>
      <c r="T233" s="19">
        <f>VALUE(RIGHT(Q233,2))</f>
        <v/>
      </c>
      <c r="U233" s="19" t="inlineStr">
        <is>
          <t>day</t>
        </is>
      </c>
      <c r="V233" s="19" t="inlineStr">
        <is>
          <t>Single-day event</t>
        </is>
      </c>
    </row>
    <row r="234" ht="23.25" customHeight="1" s="13">
      <c r="A234" s="19" t="n">
        <v>234</v>
      </c>
      <c r="B234" s="19" t="inlineStr">
        <is>
          <t>2019-10-31</t>
        </is>
      </c>
      <c r="C234" s="19" t="inlineStr">
        <is>
          <t>2019-11-01</t>
        </is>
      </c>
      <c r="D234" s="19">
        <f>VALUE(LEFT(B234,4))</f>
        <v/>
      </c>
      <c r="E234" s="19">
        <f>INT((D234-1)/100)+1</f>
        <v/>
      </c>
      <c r="F234" s="19" t="inlineStr">
        <is>
          <t>Rain flood / wind</t>
        </is>
      </c>
      <c r="G234" s="19" t="inlineStr">
        <is>
          <t>Halloween 2019 storm</t>
        </is>
      </c>
      <c r="H234" s="19" t="inlineStr">
        <is>
          <t>Mohawk Valley / S. Adirondacks</t>
        </is>
      </c>
      <c r="I234" s="19" t="inlineStr">
        <is>
          <t>2–5 in; 4 floods of record (W. Canada Cr., Mohawk at Little Falls, Sacandaga at Hope); gusts 63</t>
        </is>
      </c>
      <c r="J234" s="19" t="inlineStr">
        <is>
          <t>USGS</t>
        </is>
      </c>
      <c r="K234" s="19" t="inlineStr">
        <is>
          <t>One fatality; extensive road/structure damage.</t>
        </is>
      </c>
      <c r="L234" s="19" t="inlineStr">
        <is>
          <t>NWS Albany – Past Weather Events (weather.gov/aly/pastevents)</t>
        </is>
      </c>
      <c r="M234" s="19" t="inlineStr">
        <is>
          <t>https://www.weather.gov/aly/pastevents</t>
        </is>
      </c>
      <c r="N234" s="19" t="inlineStr">
        <is>
          <t>A</t>
        </is>
      </c>
      <c r="O234" s="19" t="inlineStr">
        <is>
          <t>Y</t>
        </is>
      </c>
      <c r="P234" s="19" t="n"/>
      <c r="Q234" s="19" t="inlineStr">
        <is>
          <t>2019-10-31</t>
        </is>
      </c>
      <c r="R234" s="19">
        <f>VALUE(LEFT(Q234,4))</f>
        <v/>
      </c>
      <c r="S234" s="19">
        <f>VALUE(MID(Q234,6,2))</f>
        <v/>
      </c>
      <c r="T234" s="19">
        <f>VALUE(RIGHT(Q234,2))</f>
        <v/>
      </c>
      <c r="U234" s="19" t="inlineStr">
        <is>
          <t>days</t>
        </is>
      </c>
      <c r="V234" s="19" t="inlineStr">
        <is>
          <t>Multi-day event; anchored to first day</t>
        </is>
      </c>
    </row>
    <row r="235" ht="34.5" customHeight="1" s="13">
      <c r="A235" s="19" t="n">
        <v>235</v>
      </c>
      <c r="B235" s="19" t="inlineStr">
        <is>
          <t>2019-12-01</t>
        </is>
      </c>
      <c r="C235" s="19" t="inlineStr">
        <is>
          <t>2019-12-03</t>
        </is>
      </c>
      <c r="D235" s="19">
        <f>VALUE(LEFT(B235,4))</f>
        <v/>
      </c>
      <c r="E235" s="19">
        <f>INT((D235-1)/100)+1</f>
        <v/>
      </c>
      <c r="F235" s="19" t="inlineStr">
        <is>
          <t>Snowstorm</t>
        </is>
      </c>
      <c r="G235" s="19" t="inlineStr">
        <is>
          <t>December 1–3, 2019</t>
        </is>
      </c>
      <c r="H235" s="19" t="inlineStr">
        <is>
          <t>Region</t>
        </is>
      </c>
      <c r="I235" s="19" t="inlineStr">
        <is>
          <t>Major winter storm</t>
        </is>
      </c>
      <c r="J235" s="19" t="inlineStr">
        <is>
          <t>regional</t>
        </is>
      </c>
      <c r="K235" s="19" t="n"/>
      <c r="L235" s="19" t="inlineStr">
        <is>
          <t>NWS Albany – Past Weather Events (weather.gov/aly/pastevents)</t>
        </is>
      </c>
      <c r="M235" s="19" t="inlineStr">
        <is>
          <t>https://www.weather.gov/aly/pastevents</t>
        </is>
      </c>
      <c r="N235" s="19" t="inlineStr">
        <is>
          <t>A</t>
        </is>
      </c>
      <c r="O235" s="19" t="inlineStr">
        <is>
          <t>Y</t>
        </is>
      </c>
      <c r="P235" s="19" t="n"/>
      <c r="Q235" s="19" t="inlineStr">
        <is>
          <t>2019-12-01</t>
        </is>
      </c>
      <c r="R235" s="19">
        <f>VALUE(LEFT(Q235,4))</f>
        <v/>
      </c>
      <c r="S235" s="19">
        <f>VALUE(MID(Q235,6,2))</f>
        <v/>
      </c>
      <c r="T235" s="19">
        <f>VALUE(RIGHT(Q235,2))</f>
        <v/>
      </c>
      <c r="U235" s="19" t="inlineStr">
        <is>
          <t>days</t>
        </is>
      </c>
      <c r="V235" s="19" t="inlineStr">
        <is>
          <t>Multi-day event; anchored to first day</t>
        </is>
      </c>
    </row>
    <row r="236" ht="23.25" customHeight="1" s="13">
      <c r="A236" s="19" t="n">
        <v>236</v>
      </c>
      <c r="B236" s="19" t="inlineStr">
        <is>
          <t>2020-05-15</t>
        </is>
      </c>
      <c r="C236" s="19" t="inlineStr">
        <is>
          <t>2020-05-15</t>
        </is>
      </c>
      <c r="D236" s="19">
        <f>VALUE(LEFT(B236,4))</f>
        <v/>
      </c>
      <c r="E236" s="19">
        <f>INT((D236-1)/100)+1</f>
        <v/>
      </c>
      <c r="F236" s="19" t="inlineStr">
        <is>
          <t>Tornado / severe</t>
        </is>
      </c>
      <c r="G236" s="19" t="inlineStr">
        <is>
          <t>Wilton tornado &amp; severe storms</t>
        </is>
      </c>
      <c r="H236" s="19" t="inlineStr">
        <is>
          <t>Saratoga County</t>
        </is>
      </c>
      <c r="I236" s="19" t="n"/>
      <c r="J236" s="19" t="inlineStr">
        <is>
          <t>NCEI</t>
        </is>
      </c>
      <c r="K236" s="19" t="n"/>
      <c r="L236" s="19" t="inlineStr">
        <is>
          <t>NWS Albany – Past Weather Events (weather.gov/aly/pastevents)</t>
        </is>
      </c>
      <c r="M236" s="19" t="inlineStr">
        <is>
          <t>https://www.weather.gov/aly/pastevents</t>
        </is>
      </c>
      <c r="N236" s="19" t="inlineStr">
        <is>
          <t>A</t>
        </is>
      </c>
      <c r="O236" s="19" t="inlineStr">
        <is>
          <t>Y</t>
        </is>
      </c>
      <c r="P236" s="19" t="inlineStr">
        <is>
          <t>North of 30-mi radius.</t>
        </is>
      </c>
      <c r="Q236" s="19" t="inlineStr">
        <is>
          <t>2020-05-15</t>
        </is>
      </c>
      <c r="R236" s="19">
        <f>VALUE(LEFT(Q236,4))</f>
        <v/>
      </c>
      <c r="S236" s="19">
        <f>VALUE(MID(Q236,6,2))</f>
        <v/>
      </c>
      <c r="T236" s="19">
        <f>VALUE(RIGHT(Q236,2))</f>
        <v/>
      </c>
      <c r="U236" s="19" t="inlineStr">
        <is>
          <t>day</t>
        </is>
      </c>
      <c r="V236" s="19" t="inlineStr">
        <is>
          <t>Single-day event</t>
        </is>
      </c>
    </row>
    <row r="237" ht="23.25" customHeight="1" s="13">
      <c r="A237" s="19" t="n">
        <v>237</v>
      </c>
      <c r="B237" s="19" t="inlineStr">
        <is>
          <t>2020-08-04</t>
        </is>
      </c>
      <c r="C237" s="19" t="inlineStr">
        <is>
          <t>2020-08-04</t>
        </is>
      </c>
      <c r="D237" s="19">
        <f>VALUE(LEFT(B237,4))</f>
        <v/>
      </c>
      <c r="E237" s="19">
        <f>INT((D237-1)/100)+1</f>
        <v/>
      </c>
      <c r="F237" s="19" t="inlineStr">
        <is>
          <t>Tropical cyclone</t>
        </is>
      </c>
      <c r="G237" s="19" t="inlineStr">
        <is>
          <t>Tropical Storm Isaias</t>
        </is>
      </c>
      <c r="H237" s="19" t="inlineStr">
        <is>
          <t>Region</t>
        </is>
      </c>
      <c r="I237" s="19" t="inlineStr">
        <is>
          <t>Widespread outages (~900k NY)</t>
        </is>
      </c>
      <c r="J237" s="19" t="inlineStr">
        <is>
          <t>regional</t>
        </is>
      </c>
      <c r="K237" s="19" t="n"/>
      <c r="L237" s="19" t="inlineStr">
        <is>
          <t>NWS Albany – Past Weather Events (weather.gov/aly/pastevents)</t>
        </is>
      </c>
      <c r="M237" s="19" t="inlineStr">
        <is>
          <t>https://www.weather.gov/aly/pastevents</t>
        </is>
      </c>
      <c r="N237" s="19" t="inlineStr">
        <is>
          <t>A</t>
        </is>
      </c>
      <c r="O237" s="19" t="inlineStr">
        <is>
          <t>Y</t>
        </is>
      </c>
      <c r="P237" s="19" t="n"/>
      <c r="Q237" s="19" t="inlineStr">
        <is>
          <t>2020-08-04</t>
        </is>
      </c>
      <c r="R237" s="19">
        <f>VALUE(LEFT(Q237,4))</f>
        <v/>
      </c>
      <c r="S237" s="19">
        <f>VALUE(MID(Q237,6,2))</f>
        <v/>
      </c>
      <c r="T237" s="19">
        <f>VALUE(RIGHT(Q237,2))</f>
        <v/>
      </c>
      <c r="U237" s="19" t="inlineStr">
        <is>
          <t>day</t>
        </is>
      </c>
      <c r="V237" s="19" t="inlineStr">
        <is>
          <t>Single-day event</t>
        </is>
      </c>
    </row>
    <row r="238" ht="23.25" customHeight="1" s="13">
      <c r="A238" s="19" t="n">
        <v>238</v>
      </c>
      <c r="B238" s="19" t="inlineStr">
        <is>
          <t>2020-10-07</t>
        </is>
      </c>
      <c r="C238" s="19" t="inlineStr">
        <is>
          <t>2020-10-07</t>
        </is>
      </c>
      <c r="D238" s="19">
        <f>VALUE(LEFT(B238,4))</f>
        <v/>
      </c>
      <c r="E238" s="19">
        <f>INT((D238-1)/100)+1</f>
        <v/>
      </c>
      <c r="F238" s="19" t="inlineStr">
        <is>
          <t>Derecho</t>
        </is>
      </c>
      <c r="G238" s="19" t="inlineStr">
        <is>
          <t>October 7, 2020 derecho</t>
        </is>
      </c>
      <c r="H238" s="19" t="inlineStr">
        <is>
          <t>Region</t>
        </is>
      </c>
      <c r="I238" s="19" t="inlineStr">
        <is>
          <t>High-end severe wind event</t>
        </is>
      </c>
      <c r="J238" s="19" t="inlineStr">
        <is>
          <t>NCEI</t>
        </is>
      </c>
      <c r="K238" s="19" t="n"/>
      <c r="L238" s="19" t="inlineStr">
        <is>
          <t>NWS Albany – Past Weather Events (weather.gov/aly/pastevents)</t>
        </is>
      </c>
      <c r="M238" s="19" t="inlineStr">
        <is>
          <t>https://www.weather.gov/aly/pastevents</t>
        </is>
      </c>
      <c r="N238" s="19" t="inlineStr">
        <is>
          <t>A</t>
        </is>
      </c>
      <c r="O238" s="19" t="inlineStr">
        <is>
          <t>Y</t>
        </is>
      </c>
      <c r="P238" s="19" t="n"/>
      <c r="Q238" s="19" t="inlineStr">
        <is>
          <t>2020-10-07</t>
        </is>
      </c>
      <c r="R238" s="19">
        <f>VALUE(LEFT(Q238,4))</f>
        <v/>
      </c>
      <c r="S238" s="19">
        <f>VALUE(MID(Q238,6,2))</f>
        <v/>
      </c>
      <c r="T238" s="19">
        <f>VALUE(RIGHT(Q238,2))</f>
        <v/>
      </c>
      <c r="U238" s="19" t="inlineStr">
        <is>
          <t>day</t>
        </is>
      </c>
      <c r="V238" s="19" t="inlineStr">
        <is>
          <t>Single-day event</t>
        </is>
      </c>
    </row>
    <row r="239" ht="23.25" customHeight="1" s="13">
      <c r="A239" s="19" t="n">
        <v>239</v>
      </c>
      <c r="B239" s="19" t="inlineStr">
        <is>
          <t>2020-12-16</t>
        </is>
      </c>
      <c r="C239" s="19" t="inlineStr">
        <is>
          <t>2020-12-17</t>
        </is>
      </c>
      <c r="D239" s="19">
        <f>VALUE(LEFT(B239,4))</f>
        <v/>
      </c>
      <c r="E239" s="19">
        <f>INT((D239-1)/100)+1</f>
        <v/>
      </c>
      <c r="F239" s="19" t="inlineStr">
        <is>
          <t>Snowstorm</t>
        </is>
      </c>
      <c r="G239" s="19" t="inlineStr">
        <is>
          <t>December 16–17, 2020</t>
        </is>
      </c>
      <c r="H239" s="19" t="inlineStr">
        <is>
          <t>Region</t>
        </is>
      </c>
      <c r="I239" s="19" t="inlineStr">
        <is>
          <t>~2 ft Albany; 40 in+ Catskills/Binghamton</t>
        </is>
      </c>
      <c r="J239" s="19" t="inlineStr">
        <is>
          <t>Albany</t>
        </is>
      </c>
      <c r="K239" s="19" t="n"/>
      <c r="L239" s="19" t="inlineStr">
        <is>
          <t>NWS Albany – Past Weather Events (weather.gov/aly/pastevents)</t>
        </is>
      </c>
      <c r="M239" s="19" t="inlineStr">
        <is>
          <t>https://www.weather.gov/aly/pastevents</t>
        </is>
      </c>
      <c r="N239" s="19" t="inlineStr">
        <is>
          <t>A</t>
        </is>
      </c>
      <c r="O239" s="19" t="inlineStr">
        <is>
          <t>Y</t>
        </is>
      </c>
      <c r="P239" s="19" t="inlineStr">
        <is>
          <t>Confirm Albany total from PNS.</t>
        </is>
      </c>
      <c r="Q239" s="19" t="inlineStr">
        <is>
          <t>2020-12-16</t>
        </is>
      </c>
      <c r="R239" s="19">
        <f>VALUE(LEFT(Q239,4))</f>
        <v/>
      </c>
      <c r="S239" s="19">
        <f>VALUE(MID(Q239,6,2))</f>
        <v/>
      </c>
      <c r="T239" s="19">
        <f>VALUE(RIGHT(Q239,2))</f>
        <v/>
      </c>
      <c r="U239" s="19" t="inlineStr">
        <is>
          <t>days</t>
        </is>
      </c>
      <c r="V239" s="19" t="inlineStr">
        <is>
          <t>Multi-day event; anchored to first day</t>
        </is>
      </c>
    </row>
    <row r="240" ht="23.25" customHeight="1" s="13">
      <c r="A240" s="19" t="n">
        <v>240</v>
      </c>
      <c r="B240" s="19" t="inlineStr">
        <is>
          <t>2020-12-24</t>
        </is>
      </c>
      <c r="C240" s="19" t="inlineStr">
        <is>
          <t>2020-12-25</t>
        </is>
      </c>
      <c r="D240" s="19">
        <f>VALUE(LEFT(B240,4))</f>
        <v/>
      </c>
      <c r="E240" s="19">
        <f>INT((D240-1)/100)+1</f>
        <v/>
      </c>
      <c r="F240" s="19" t="inlineStr">
        <is>
          <t>Rain-on-snow flood</t>
        </is>
      </c>
      <c r="G240" s="19" t="inlineStr">
        <is>
          <t>Christmas 2020 flood</t>
        </is>
      </c>
      <c r="H240" s="19" t="inlineStr">
        <is>
          <t>Eastern Catskills</t>
        </is>
      </c>
      <c r="I240" s="19" t="inlineStr">
        <is>
          <t>1–2 in, up to 5.72 in; 3–4 in snowmelt</t>
        </is>
      </c>
      <c r="J240" s="19" t="inlineStr">
        <is>
          <t>regional</t>
        </is>
      </c>
      <c r="K240" s="19" t="inlineStr">
        <is>
          <t>Major crests Esopus at Mt Tremper, Schoharie at Prattsville &amp; Gilboa.</t>
        </is>
      </c>
      <c r="L240" s="19" t="inlineStr">
        <is>
          <t>NWS Albany – Past Weather Events (weather.gov/aly/pastevents)</t>
        </is>
      </c>
      <c r="M240" s="19" t="inlineStr">
        <is>
          <t>https://www.weather.gov/aly/pastevents</t>
        </is>
      </c>
      <c r="N240" s="19" t="inlineStr">
        <is>
          <t>A</t>
        </is>
      </c>
      <c r="O240" s="19" t="inlineStr">
        <is>
          <t>Y</t>
        </is>
      </c>
      <c r="P240" s="19" t="n"/>
      <c r="Q240" s="19" t="inlineStr">
        <is>
          <t>2020-12-24</t>
        </is>
      </c>
      <c r="R240" s="19">
        <f>VALUE(LEFT(Q240,4))</f>
        <v/>
      </c>
      <c r="S240" s="19">
        <f>VALUE(MID(Q240,6,2))</f>
        <v/>
      </c>
      <c r="T240" s="19">
        <f>VALUE(RIGHT(Q240,2))</f>
        <v/>
      </c>
      <c r="U240" s="19" t="inlineStr">
        <is>
          <t>days</t>
        </is>
      </c>
      <c r="V240" s="19" t="inlineStr">
        <is>
          <t>Multi-day event; anchored to first day</t>
        </is>
      </c>
    </row>
    <row r="241" ht="23.25" customHeight="1" s="13">
      <c r="A241" s="19" t="n">
        <v>241</v>
      </c>
      <c r="B241" s="19" t="inlineStr">
        <is>
          <t>2021-04-21</t>
        </is>
      </c>
      <c r="C241" s="19" t="inlineStr">
        <is>
          <t>2021-04-21</t>
        </is>
      </c>
      <c r="D241" s="19">
        <f>VALUE(LEFT(B241,4))</f>
        <v/>
      </c>
      <c r="E241" s="19">
        <f>INT((D241-1)/100)+1</f>
        <v/>
      </c>
      <c r="F241" s="19" t="inlineStr">
        <is>
          <t>Tornadoes</t>
        </is>
      </c>
      <c r="G241" s="19" t="inlineStr">
        <is>
          <t>April 21, 2021 tornadoes</t>
        </is>
      </c>
      <c r="H241" s="19" t="inlineStr">
        <is>
          <t>NWS Albany CWA</t>
        </is>
      </c>
      <c r="I241" s="19" t="n"/>
      <c r="J241" s="19" t="inlineStr">
        <is>
          <t>NCEI</t>
        </is>
      </c>
      <c r="K241" s="19" t="inlineStr">
        <is>
          <t>See NWS writeup for locations.</t>
        </is>
      </c>
      <c r="L241" s="19" t="inlineStr">
        <is>
          <t>NWS Albany – Past Weather Events (weather.gov/aly/pastevents)</t>
        </is>
      </c>
      <c r="M241" s="19" t="inlineStr">
        <is>
          <t>https://www.weather.gov/aly/pastevents</t>
        </is>
      </c>
      <c r="N241" s="19" t="inlineStr">
        <is>
          <t>B</t>
        </is>
      </c>
      <c r="O241" s="19" t="inlineStr">
        <is>
          <t>Y</t>
        </is>
      </c>
      <c r="P241" s="19" t="inlineStr">
        <is>
          <t>Locations not captured this pass.</t>
        </is>
      </c>
      <c r="Q241" s="19" t="inlineStr">
        <is>
          <t>2021-04-21</t>
        </is>
      </c>
      <c r="R241" s="19">
        <f>VALUE(LEFT(Q241,4))</f>
        <v/>
      </c>
      <c r="S241" s="19">
        <f>VALUE(MID(Q241,6,2))</f>
        <v/>
      </c>
      <c r="T241" s="19">
        <f>VALUE(RIGHT(Q241,2))</f>
        <v/>
      </c>
      <c r="U241" s="19" t="inlineStr">
        <is>
          <t>day</t>
        </is>
      </c>
      <c r="V241" s="19" t="inlineStr">
        <is>
          <t>Single-day event</t>
        </is>
      </c>
    </row>
    <row r="242" ht="23.25" customHeight="1" s="13">
      <c r="A242" s="19" t="n">
        <v>242</v>
      </c>
      <c r="B242" s="19" t="inlineStr">
        <is>
          <t>2021-07-01</t>
        </is>
      </c>
      <c r="C242" s="19" t="inlineStr">
        <is>
          <t>2021-07-31</t>
        </is>
      </c>
      <c r="D242" s="19">
        <f>VALUE(LEFT(B242,4))</f>
        <v/>
      </c>
      <c r="E242" s="19">
        <f>INT((D242-1)/100)+1</f>
        <v/>
      </c>
      <c r="F242" s="19" t="inlineStr">
        <is>
          <t>Flash flooding</t>
        </is>
      </c>
      <c r="G242" s="19" t="inlineStr">
        <is>
          <t>July 2021 heavy rain</t>
        </is>
      </c>
      <c r="H242" s="19" t="inlineStr">
        <is>
          <t>Region</t>
        </is>
      </c>
      <c r="I242" s="19" t="n"/>
      <c r="J242" s="19" t="inlineStr">
        <is>
          <t>regional</t>
        </is>
      </c>
      <c r="K242" s="19" t="n"/>
      <c r="L242" s="19" t="inlineStr">
        <is>
          <t>NWS Albany – Past Weather Events (weather.gov/aly/pastevents)</t>
        </is>
      </c>
      <c r="M242" s="19" t="inlineStr">
        <is>
          <t>https://www.weather.gov/aly/pastevents</t>
        </is>
      </c>
      <c r="N242" s="19" t="inlineStr">
        <is>
          <t>A</t>
        </is>
      </c>
      <c r="O242" s="19" t="inlineStr">
        <is>
          <t>Y</t>
        </is>
      </c>
      <c r="P242" s="19" t="n"/>
      <c r="Q242" s="19" t="inlineStr">
        <is>
          <t>2021-07-15</t>
        </is>
      </c>
      <c r="R242" s="19">
        <f>VALUE(LEFT(Q242,4))</f>
        <v/>
      </c>
      <c r="S242" s="19">
        <f>VALUE(MID(Q242,6,2))</f>
        <v/>
      </c>
      <c r="T242" s="19">
        <f>VALUE(RIGHT(Q242,2))</f>
        <v/>
      </c>
      <c r="U242" s="19" t="inlineStr">
        <is>
          <t>month</t>
        </is>
      </c>
      <c r="V242" s="19" t="inlineStr">
        <is>
          <t>Multiple episodes</t>
        </is>
      </c>
    </row>
    <row r="243" ht="23.25" customHeight="1" s="13">
      <c r="A243" s="19" t="n">
        <v>243</v>
      </c>
      <c r="B243" s="19" t="inlineStr">
        <is>
          <t>2021-09-01</t>
        </is>
      </c>
      <c r="C243" s="19" t="inlineStr">
        <is>
          <t>2021-09-02</t>
        </is>
      </c>
      <c r="D243" s="19">
        <f>VALUE(LEFT(B243,4))</f>
        <v/>
      </c>
      <c r="E243" s="19">
        <f>INT((D243-1)/100)+1</f>
        <v/>
      </c>
      <c r="F243" s="19" t="inlineStr">
        <is>
          <t>Tropical remnant / flood</t>
        </is>
      </c>
      <c r="G243" s="19" t="inlineStr">
        <is>
          <t>Hurricane Ida remnants</t>
        </is>
      </c>
      <c r="H243" s="19" t="inlineStr">
        <is>
          <t>Hudson Valley / NYC</t>
        </is>
      </c>
      <c r="I243" s="19" t="inlineStr">
        <is>
          <t>Record hourly rain</t>
        </is>
      </c>
      <c r="J243" s="19" t="inlineStr">
        <is>
          <t>regional</t>
        </is>
      </c>
      <c r="K243" s="19" t="inlineStr">
        <is>
          <t>Deaths in Westchester/Rockland; valley-wide flooding.</t>
        </is>
      </c>
      <c r="L243" s="19" t="inlineStr">
        <is>
          <t>NWS Albany – Past Weather Events (weather.gov/aly/pastevents)</t>
        </is>
      </c>
      <c r="M243" s="19" t="inlineStr">
        <is>
          <t>https://www.weather.gov/aly/pastevents</t>
        </is>
      </c>
      <c r="N243" s="19" t="inlineStr">
        <is>
          <t>A</t>
        </is>
      </c>
      <c r="O243" s="19" t="inlineStr">
        <is>
          <t>Y</t>
        </is>
      </c>
      <c r="P243" s="19" t="n"/>
      <c r="Q243" s="19" t="inlineStr">
        <is>
          <t>2021-09-01</t>
        </is>
      </c>
      <c r="R243" s="19">
        <f>VALUE(LEFT(Q243,4))</f>
        <v/>
      </c>
      <c r="S243" s="19">
        <f>VALUE(MID(Q243,6,2))</f>
        <v/>
      </c>
      <c r="T243" s="19">
        <f>VALUE(RIGHT(Q243,2))</f>
        <v/>
      </c>
      <c r="U243" s="19" t="inlineStr">
        <is>
          <t>days</t>
        </is>
      </c>
      <c r="V243" s="19" t="inlineStr">
        <is>
          <t>Multi-day event; anchored to first day</t>
        </is>
      </c>
    </row>
    <row r="244" ht="23.25" customHeight="1" s="13">
      <c r="A244" s="19" t="n">
        <v>244</v>
      </c>
      <c r="B244" s="19" t="inlineStr">
        <is>
          <t>2022-02-03</t>
        </is>
      </c>
      <c r="C244" s="19" t="inlineStr">
        <is>
          <t>2022-02-04</t>
        </is>
      </c>
      <c r="D244" s="19">
        <f>VALUE(LEFT(B244,4))</f>
        <v/>
      </c>
      <c r="E244" s="19">
        <f>INT((D244-1)/100)+1</f>
        <v/>
      </c>
      <c r="F244" s="19" t="inlineStr">
        <is>
          <t>Ice storm</t>
        </is>
      </c>
      <c r="G244" s="19" t="inlineStr">
        <is>
          <t>February 2022 winter/ice storm</t>
        </is>
      </c>
      <c r="H244" s="19" t="inlineStr">
        <is>
          <t>Region</t>
        </is>
      </c>
      <c r="I244" s="19" t="n"/>
      <c r="J244" s="19" t="inlineStr">
        <is>
          <t>regional</t>
        </is>
      </c>
      <c r="K244" s="19" t="n"/>
      <c r="L244" s="19" t="inlineStr">
        <is>
          <t>NWS Albany – Past Weather Events (weather.gov/aly/pastevents)</t>
        </is>
      </c>
      <c r="M244" s="19" t="inlineStr">
        <is>
          <t>https://www.weather.gov/aly/pastevents</t>
        </is>
      </c>
      <c r="N244" s="19" t="inlineStr">
        <is>
          <t>A</t>
        </is>
      </c>
      <c r="O244" s="19" t="inlineStr">
        <is>
          <t>Y</t>
        </is>
      </c>
      <c r="P244" s="19" t="n"/>
      <c r="Q244" s="19" t="inlineStr">
        <is>
          <t>2022-02-03</t>
        </is>
      </c>
      <c r="R244" s="19">
        <f>VALUE(LEFT(Q244,4))</f>
        <v/>
      </c>
      <c r="S244" s="19">
        <f>VALUE(MID(Q244,6,2))</f>
        <v/>
      </c>
      <c r="T244" s="19">
        <f>VALUE(RIGHT(Q244,2))</f>
        <v/>
      </c>
      <c r="U244" s="19" t="inlineStr">
        <is>
          <t>days</t>
        </is>
      </c>
      <c r="V244" s="19" t="inlineStr">
        <is>
          <t>Multi-day event; anchored to first day</t>
        </is>
      </c>
    </row>
    <row r="245" ht="23.25" customHeight="1" s="13">
      <c r="A245" s="19" t="n">
        <v>245</v>
      </c>
      <c r="B245" s="19" t="inlineStr">
        <is>
          <t>2022-04-18</t>
        </is>
      </c>
      <c r="C245" s="19" t="inlineStr">
        <is>
          <t>2022-04-19</t>
        </is>
      </c>
      <c r="D245" s="19">
        <f>VALUE(LEFT(B245,4))</f>
        <v/>
      </c>
      <c r="E245" s="19">
        <f>INT((D245-1)/100)+1</f>
        <v/>
      </c>
      <c r="F245" s="19" t="inlineStr">
        <is>
          <t>Late-season snow</t>
        </is>
      </c>
      <c r="G245" s="19" t="inlineStr">
        <is>
          <t>April 2022 winter storm</t>
        </is>
      </c>
      <c r="H245" s="19" t="inlineStr">
        <is>
          <t>Region</t>
        </is>
      </c>
      <c r="I245" s="19" t="n"/>
      <c r="J245" s="19" t="inlineStr">
        <is>
          <t>regional</t>
        </is>
      </c>
      <c r="K245" s="19" t="n"/>
      <c r="L245" s="19" t="inlineStr">
        <is>
          <t>NWS Albany – Past Weather Events (weather.gov/aly/pastevents)</t>
        </is>
      </c>
      <c r="M245" s="19" t="inlineStr">
        <is>
          <t>https://www.weather.gov/aly/pastevents</t>
        </is>
      </c>
      <c r="N245" s="19" t="inlineStr">
        <is>
          <t>A</t>
        </is>
      </c>
      <c r="O245" s="19" t="inlineStr">
        <is>
          <t>Y</t>
        </is>
      </c>
      <c r="P245" s="19" t="n"/>
      <c r="Q245" s="19" t="inlineStr">
        <is>
          <t>2022-04-18</t>
        </is>
      </c>
      <c r="R245" s="19">
        <f>VALUE(LEFT(Q245,4))</f>
        <v/>
      </c>
      <c r="S245" s="19">
        <f>VALUE(MID(Q245,6,2))</f>
        <v/>
      </c>
      <c r="T245" s="19">
        <f>VALUE(RIGHT(Q245,2))</f>
        <v/>
      </c>
      <c r="U245" s="19" t="inlineStr">
        <is>
          <t>days</t>
        </is>
      </c>
      <c r="V245" s="19" t="inlineStr">
        <is>
          <t>Multi-day event; anchored to first day</t>
        </is>
      </c>
    </row>
    <row r="246" ht="23.25" customHeight="1" s="13">
      <c r="A246" s="19" t="n">
        <v>246</v>
      </c>
      <c r="B246" s="19" t="inlineStr">
        <is>
          <t>2022-12-15</t>
        </is>
      </c>
      <c r="C246" s="19" t="inlineStr">
        <is>
          <t>2022-12-17</t>
        </is>
      </c>
      <c r="D246" s="19">
        <f>VALUE(LEFT(B246,4))</f>
        <v/>
      </c>
      <c r="E246" s="19">
        <f>INT((D246-1)/100)+1</f>
        <v/>
      </c>
      <c r="F246" s="19" t="inlineStr">
        <is>
          <t>Nor'easter</t>
        </is>
      </c>
      <c r="G246" s="19" t="inlineStr">
        <is>
          <t>December 2022 nor'easter</t>
        </is>
      </c>
      <c r="H246" s="19" t="inlineStr">
        <is>
          <t>Region</t>
        </is>
      </c>
      <c r="I246" s="19" t="n"/>
      <c r="J246" s="19" t="inlineStr">
        <is>
          <t>regional</t>
        </is>
      </c>
      <c r="K246" s="19" t="n"/>
      <c r="L246" s="19" t="inlineStr">
        <is>
          <t>NWS Albany – Past Weather Events (weather.gov/aly/pastevents)</t>
        </is>
      </c>
      <c r="M246" s="19" t="inlineStr">
        <is>
          <t>https://www.weather.gov/aly/pastevents</t>
        </is>
      </c>
      <c r="N246" s="19" t="inlineStr">
        <is>
          <t>A</t>
        </is>
      </c>
      <c r="O246" s="19" t="inlineStr">
        <is>
          <t>Y</t>
        </is>
      </c>
      <c r="P246" s="19" t="n"/>
      <c r="Q246" s="19" t="inlineStr">
        <is>
          <t>2022-12-15</t>
        </is>
      </c>
      <c r="R246" s="19">
        <f>VALUE(LEFT(Q246,4))</f>
        <v/>
      </c>
      <c r="S246" s="19">
        <f>VALUE(MID(Q246,6,2))</f>
        <v/>
      </c>
      <c r="T246" s="19">
        <f>VALUE(RIGHT(Q246,2))</f>
        <v/>
      </c>
      <c r="U246" s="19" t="inlineStr">
        <is>
          <t>days</t>
        </is>
      </c>
      <c r="V246" s="19" t="inlineStr">
        <is>
          <t>Multi-day event; anchored to first day</t>
        </is>
      </c>
    </row>
    <row r="247" ht="23.25" customHeight="1" s="13">
      <c r="A247" s="19" t="n">
        <v>247</v>
      </c>
      <c r="B247" s="19" t="inlineStr">
        <is>
          <t>2023-02-03</t>
        </is>
      </c>
      <c r="C247" s="19" t="inlineStr">
        <is>
          <t>2023-02-04</t>
        </is>
      </c>
      <c r="D247" s="19">
        <f>VALUE(LEFT(B247,4))</f>
        <v/>
      </c>
      <c r="E247" s="19">
        <f>INT((D247-1)/100)+1</f>
        <v/>
      </c>
      <c r="F247" s="19" t="inlineStr">
        <is>
          <t>Arctic outbreak</t>
        </is>
      </c>
      <c r="G247" s="19" t="inlineStr">
        <is>
          <t>February 2023 Arctic blast</t>
        </is>
      </c>
      <c r="H247" s="19" t="inlineStr">
        <is>
          <t>Region</t>
        </is>
      </c>
      <c r="I247" s="19" t="inlineStr">
        <is>
          <t>Record wind chills; flash freeze</t>
        </is>
      </c>
      <c r="J247" s="19" t="inlineStr">
        <is>
          <t>regional</t>
        </is>
      </c>
      <c r="K247" s="19" t="n"/>
      <c r="L247" s="19" t="inlineStr">
        <is>
          <t>NWS Albany – Past Weather Events (weather.gov/aly/pastevents)</t>
        </is>
      </c>
      <c r="M247" s="19" t="inlineStr">
        <is>
          <t>https://www.weather.gov/aly/pastevents</t>
        </is>
      </c>
      <c r="N247" s="19" t="inlineStr">
        <is>
          <t>A</t>
        </is>
      </c>
      <c r="O247" s="19" t="inlineStr">
        <is>
          <t>Y</t>
        </is>
      </c>
      <c r="P247" s="19" t="n"/>
      <c r="Q247" s="19" t="inlineStr">
        <is>
          <t>2023-02-03</t>
        </is>
      </c>
      <c r="R247" s="19">
        <f>VALUE(LEFT(Q247,4))</f>
        <v/>
      </c>
      <c r="S247" s="19">
        <f>VALUE(MID(Q247,6,2))</f>
        <v/>
      </c>
      <c r="T247" s="19">
        <f>VALUE(RIGHT(Q247,2))</f>
        <v/>
      </c>
      <c r="U247" s="19" t="inlineStr">
        <is>
          <t>days</t>
        </is>
      </c>
      <c r="V247" s="19" t="inlineStr">
        <is>
          <t>Multi-day event; anchored to first day</t>
        </is>
      </c>
    </row>
    <row r="248" ht="23.25" customHeight="1" s="13">
      <c r="A248" s="19" t="n">
        <v>248</v>
      </c>
      <c r="B248" s="19" t="inlineStr">
        <is>
          <t>2023-03-13</t>
        </is>
      </c>
      <c r="C248" s="19" t="inlineStr">
        <is>
          <t>2023-03-15</t>
        </is>
      </c>
      <c r="D248" s="19">
        <f>VALUE(LEFT(B248,4))</f>
        <v/>
      </c>
      <c r="E248" s="19">
        <f>INT((D248-1)/100)+1</f>
        <v/>
      </c>
      <c r="F248" s="19" t="inlineStr">
        <is>
          <t>Nor'easter</t>
        </is>
      </c>
      <c r="G248" s="19" t="inlineStr">
        <is>
          <t>March 2023 nor'easter</t>
        </is>
      </c>
      <c r="H248" s="19" t="inlineStr">
        <is>
          <t>Catskills</t>
        </is>
      </c>
      <c r="I248" s="19" t="inlineStr">
        <is>
          <t>3–4 ft high Catskills</t>
        </is>
      </c>
      <c r="J248" s="19" t="inlineStr">
        <is>
          <t>regional</t>
        </is>
      </c>
      <c r="K248" s="19" t="n"/>
      <c r="L248" s="19" t="inlineStr">
        <is>
          <t>NWS Albany – Past Weather Events (weather.gov/aly/pastevents)</t>
        </is>
      </c>
      <c r="M248" s="19" t="inlineStr">
        <is>
          <t>https://www.weather.gov/aly/pastevents</t>
        </is>
      </c>
      <c r="N248" s="19" t="inlineStr">
        <is>
          <t>A</t>
        </is>
      </c>
      <c r="O248" s="19" t="inlineStr">
        <is>
          <t>Y</t>
        </is>
      </c>
      <c r="P248" s="19" t="n"/>
      <c r="Q248" s="19" t="inlineStr">
        <is>
          <t>2023-03-13</t>
        </is>
      </c>
      <c r="R248" s="19">
        <f>VALUE(LEFT(Q248,4))</f>
        <v/>
      </c>
      <c r="S248" s="19">
        <f>VALUE(MID(Q248,6,2))</f>
        <v/>
      </c>
      <c r="T248" s="19">
        <f>VALUE(RIGHT(Q248,2))</f>
        <v/>
      </c>
      <c r="U248" s="19" t="inlineStr">
        <is>
          <t>days</t>
        </is>
      </c>
      <c r="V248" s="19" t="inlineStr">
        <is>
          <t>Multi-day event; anchored to first day</t>
        </is>
      </c>
    </row>
    <row r="249" ht="23.25" customHeight="1" s="13">
      <c r="A249" s="19" t="n">
        <v>249</v>
      </c>
      <c r="B249" s="19" t="inlineStr">
        <is>
          <t>2023-03-17</t>
        </is>
      </c>
      <c r="C249" s="19" t="inlineStr">
        <is>
          <t>2023-03-17</t>
        </is>
      </c>
      <c r="D249" s="19">
        <f>VALUE(LEFT(B249,4))</f>
        <v/>
      </c>
      <c r="E249" s="19">
        <f>INT((D249-1)/100)+1</f>
        <v/>
      </c>
      <c r="F249" s="19" t="inlineStr">
        <is>
          <t>Sinkhole (infrastructure)</t>
        </is>
      </c>
      <c r="G249" s="19" t="inlineStr">
        <is>
          <t>CDTA bus in Troy sinkhole</t>
        </is>
      </c>
      <c r="H249" s="19" t="inlineStr">
        <is>
          <t>Troy, 4th &amp; Federal</t>
        </is>
      </c>
      <c r="I249" s="19" t="inlineStr">
        <is>
          <t>Water-main break</t>
        </is>
      </c>
      <c r="J249" s="19" t="inlineStr">
        <is>
          <t>none</t>
        </is>
      </c>
      <c r="K249" s="19" t="inlineStr">
        <is>
          <t>Passenger rescued; no injuries.</t>
        </is>
      </c>
      <c r="L249" s="19" t="inlineStr">
        <is>
          <t>WNYT</t>
        </is>
      </c>
      <c r="M249" s="19" t="inlineStr">
        <is>
          <t>https://wnyt.com/?p=322981</t>
        </is>
      </c>
      <c r="N249" s="19" t="inlineStr">
        <is>
          <t>B</t>
        </is>
      </c>
      <c r="O249" s="19" t="inlineStr">
        <is>
          <t>Y</t>
        </is>
      </c>
      <c r="P249" s="19" t="n"/>
      <c r="Q249" s="19" t="inlineStr">
        <is>
          <t>2023-03-17</t>
        </is>
      </c>
      <c r="R249" s="19">
        <f>VALUE(LEFT(Q249,4))</f>
        <v/>
      </c>
      <c r="S249" s="19">
        <f>VALUE(MID(Q249,6,2))</f>
        <v/>
      </c>
      <c r="T249" s="19">
        <f>VALUE(RIGHT(Q249,2))</f>
        <v/>
      </c>
      <c r="U249" s="19" t="inlineStr">
        <is>
          <t>day</t>
        </is>
      </c>
      <c r="V249" s="19" t="inlineStr">
        <is>
          <t>Single-day event</t>
        </is>
      </c>
    </row>
    <row r="250" ht="15" customHeight="1" s="13">
      <c r="A250" s="19" t="n">
        <v>250</v>
      </c>
      <c r="B250" s="19" t="inlineStr">
        <is>
          <t>2023-05-18</t>
        </is>
      </c>
      <c r="C250" s="19" t="inlineStr">
        <is>
          <t>2023-05-18</t>
        </is>
      </c>
      <c r="D250" s="19">
        <f>VALUE(LEFT(B250,4))</f>
        <v/>
      </c>
      <c r="E250" s="19">
        <f>INT((D250-1)/100)+1</f>
        <v/>
      </c>
      <c r="F250" s="19" t="inlineStr">
        <is>
          <t>Late frost</t>
        </is>
      </c>
      <c r="G250" s="19" t="inlineStr">
        <is>
          <t>May 18, 2023 freeze</t>
        </is>
      </c>
      <c r="H250" s="19" t="inlineStr">
        <is>
          <t>Hudson Valley</t>
        </is>
      </c>
      <c r="I250" s="19" t="inlineStr">
        <is>
          <t>Record-late hard frost</t>
        </is>
      </c>
      <c r="J250" s="19" t="inlineStr">
        <is>
          <t>regional</t>
        </is>
      </c>
      <c r="K250" s="19" t="inlineStr">
        <is>
          <t>Major apple/grape losses.</t>
        </is>
      </c>
      <c r="L250" s="19" t="inlineStr">
        <is>
          <t>Wikipedia event article (secondary; verify against NCEI/NHC)</t>
        </is>
      </c>
      <c r="M250" s="19" t="n"/>
      <c r="N250" s="19" t="inlineStr">
        <is>
          <t>B</t>
        </is>
      </c>
      <c r="O250" s="19" t="inlineStr">
        <is>
          <t>N</t>
        </is>
      </c>
      <c r="P250" s="19" t="inlineStr">
        <is>
          <t>Verify with Cornell CCE reports.</t>
        </is>
      </c>
      <c r="Q250" s="19" t="inlineStr">
        <is>
          <t>2023-05-18</t>
        </is>
      </c>
      <c r="R250" s="19">
        <f>VALUE(LEFT(Q250,4))</f>
        <v/>
      </c>
      <c r="S250" s="19">
        <f>VALUE(MID(Q250,6,2))</f>
        <v/>
      </c>
      <c r="T250" s="19">
        <f>VALUE(RIGHT(Q250,2))</f>
        <v/>
      </c>
      <c r="U250" s="19" t="inlineStr">
        <is>
          <t>day</t>
        </is>
      </c>
      <c r="V250" s="19" t="inlineStr">
        <is>
          <t>Single-day event</t>
        </is>
      </c>
    </row>
    <row r="251" ht="23.25" customHeight="1" s="13">
      <c r="A251" s="19" t="n">
        <v>251</v>
      </c>
      <c r="B251" s="19" t="inlineStr">
        <is>
          <t>2023-07-09</t>
        </is>
      </c>
      <c r="C251" s="19" t="inlineStr">
        <is>
          <t>2023-07-16</t>
        </is>
      </c>
      <c r="D251" s="19">
        <f>VALUE(LEFT(B251,4))</f>
        <v/>
      </c>
      <c r="E251" s="19">
        <f>INT((D251-1)/100)+1</f>
        <v/>
      </c>
      <c r="F251" s="19" t="inlineStr">
        <is>
          <t>Flash flood / severe</t>
        </is>
      </c>
      <c r="G251" s="19" t="inlineStr">
        <is>
          <t>July 2023 severe weather and flooding</t>
        </is>
      </c>
      <c r="H251" s="19" t="inlineStr">
        <is>
          <t>Region incl. Highland Falls/West Point</t>
        </is>
      </c>
      <c r="I251" s="19" t="inlineStr">
        <is>
          <t>8–10 in in hours at West Point</t>
        </is>
      </c>
      <c r="J251" s="19" t="inlineStr">
        <is>
          <t>regional</t>
        </is>
      </c>
      <c r="K251" s="19" t="inlineStr">
        <is>
          <t>One death; Route 9W destroyed.</t>
        </is>
      </c>
      <c r="L251" s="19" t="inlineStr">
        <is>
          <t>NWS Albany – Past Weather Events (weather.gov/aly/pastevents)</t>
        </is>
      </c>
      <c r="M251" s="19" t="inlineStr">
        <is>
          <t>https://www.weather.gov/aly/pastevents</t>
        </is>
      </c>
      <c r="N251" s="19" t="inlineStr">
        <is>
          <t>A</t>
        </is>
      </c>
      <c r="O251" s="19" t="inlineStr">
        <is>
          <t>Y</t>
        </is>
      </c>
      <c r="P251" s="19" t="n"/>
      <c r="Q251" s="19" t="inlineStr">
        <is>
          <t>2023-07-09</t>
        </is>
      </c>
      <c r="R251" s="19">
        <f>VALUE(LEFT(Q251,4))</f>
        <v/>
      </c>
      <c r="S251" s="19">
        <f>VALUE(MID(Q251,6,2))</f>
        <v/>
      </c>
      <c r="T251" s="19">
        <f>VALUE(RIGHT(Q251,2))</f>
        <v/>
      </c>
      <c r="U251" s="19" t="inlineStr">
        <is>
          <t>days</t>
        </is>
      </c>
      <c r="V251" s="19" t="inlineStr">
        <is>
          <t>Multi-day event; anchored to first day</t>
        </is>
      </c>
    </row>
    <row r="252" ht="23.25" customHeight="1" s="13">
      <c r="A252" s="19" t="n">
        <v>252</v>
      </c>
      <c r="B252" s="19" t="inlineStr">
        <is>
          <t>2023-12-01</t>
        </is>
      </c>
      <c r="C252" s="19" t="inlineStr">
        <is>
          <t>2024-06-30</t>
        </is>
      </c>
      <c r="D252" s="19">
        <f>VALUE(LEFT(B252,4))</f>
        <v/>
      </c>
      <c r="E252" s="19">
        <f>INT((D252-1)/100)+1</f>
        <v/>
      </c>
      <c r="F252" s="19" t="inlineStr">
        <is>
          <t>Infrastructure erosion (human cause)</t>
        </is>
      </c>
      <c r="G252" s="19" t="inlineStr">
        <is>
          <t>McKownville Burger King stormwater depression</t>
        </is>
      </c>
      <c r="H252" s="19" t="inlineStr">
        <is>
          <t>Guilderland (1480 Western Ave / McKownville)</t>
        </is>
      </c>
      <c r="I252" s="19" t="inlineStr">
        <is>
          <t>A failed 36-in corrugated metal storm pipe scoured out the fill beneath the site; a 4-ft-deep water-filled depression formed Dec 2023 and grew; drive-thru closed Jan–~Jul 2024; ~$1M in repair/pumping, ~$400k revenue loss claimed</t>
        </is>
      </c>
      <c r="J252" s="19" t="inlineStr">
        <is>
          <t>NOT subsidence — culvert washout, filed for the flood record</t>
        </is>
      </c>
      <c r="K252" s="19" t="inlineStr">
        <is>
          <t>Human-caused (failed culvert), NOT karst/clay/peat subsidence — logged alongside the McKownville flood corridor, not the geohazard rows. Krum Kill runs under the rear of the property (FEMA flood zone). Town knew the pipe was undersized since 1976.</t>
        </is>
      </c>
      <c r="L252" s="19" t="inlineStr">
        <is>
          <t>Altamont Enterprise / Times Union / CBS6 Albany, Guilderland stormwater coverage 2024–2026</t>
        </is>
      </c>
      <c r="M252" s="19" t="inlineStr">
        <is>
          <t>https://altamontenterprise.com/04102026/guilderland-files-suit-against-burger-king-franchisee-bk-property-owner</t>
        </is>
      </c>
      <c r="N252" s="19" t="inlineStr">
        <is>
          <t>B</t>
        </is>
      </c>
      <c r="O252" s="19" t="inlineStr">
        <is>
          <t>Y</t>
        </is>
      </c>
      <c r="P252" s="19" t="inlineStr">
        <is>
          <t>Cause is human (drainage failure). Included for the flood-corridor record; distinct from the karst Subsidence category.</t>
        </is>
      </c>
      <c r="Q252" s="19" t="inlineStr">
        <is>
          <t>2023-12-15</t>
        </is>
      </c>
      <c r="R252" s="19">
        <f>VALUE(LEFT(Q252,4))</f>
        <v/>
      </c>
      <c r="S252" s="19">
        <f>VALUE(MID(Q252,6,2))</f>
        <v/>
      </c>
      <c r="T252" s="19">
        <f>VALUE(RIGHT(Q252,2))</f>
        <v/>
      </c>
      <c r="U252" s="19" t="inlineStr">
        <is>
          <t>month</t>
        </is>
      </c>
      <c r="V252" s="19" t="inlineStr">
        <is>
          <t>Depression formed Dec 2023; span is the closure window, not the event</t>
        </is>
      </c>
    </row>
    <row r="253" ht="57" customHeight="1" s="13">
      <c r="A253" s="19" t="n">
        <v>253</v>
      </c>
      <c r="B253" s="19" t="inlineStr">
        <is>
          <t>2023-12-18</t>
        </is>
      </c>
      <c r="C253" s="19" t="inlineStr">
        <is>
          <t>2023-12-18</t>
        </is>
      </c>
      <c r="D253" s="19">
        <f>VALUE(LEFT(B253,4))</f>
        <v/>
      </c>
      <c r="E253" s="19">
        <f>INT((D253-1)/100)+1</f>
        <v/>
      </c>
      <c r="F253" s="19" t="inlineStr">
        <is>
          <t>Rain flood</t>
        </is>
      </c>
      <c r="G253" s="19" t="inlineStr">
        <is>
          <t>December 18, 2023 heavy rain</t>
        </is>
      </c>
      <c r="H253" s="19" t="inlineStr">
        <is>
          <t>Region</t>
        </is>
      </c>
      <c r="I253" s="19" t="n"/>
      <c r="J253" s="19" t="inlineStr">
        <is>
          <t>regional</t>
        </is>
      </c>
      <c r="K253" s="19" t="n"/>
      <c r="L253" s="19" t="inlineStr">
        <is>
          <t>NWS Albany – Past Weather Events (weather.gov/aly/pastevents)</t>
        </is>
      </c>
      <c r="M253" s="19" t="inlineStr">
        <is>
          <t>https://www.weather.gov/aly/pastevents</t>
        </is>
      </c>
      <c r="N253" s="19" t="inlineStr">
        <is>
          <t>A</t>
        </is>
      </c>
      <c r="O253" s="19" t="inlineStr">
        <is>
          <t>Y</t>
        </is>
      </c>
      <c r="P253" s="19" t="n"/>
      <c r="Q253" s="19" t="inlineStr">
        <is>
          <t>2023-12-18</t>
        </is>
      </c>
      <c r="R253" s="19">
        <f>VALUE(LEFT(Q253,4))</f>
        <v/>
      </c>
      <c r="S253" s="19">
        <f>VALUE(MID(Q253,6,2))</f>
        <v/>
      </c>
      <c r="T253" s="19">
        <f>VALUE(RIGHT(Q253,2))</f>
        <v/>
      </c>
      <c r="U253" s="19" t="inlineStr">
        <is>
          <t>day</t>
        </is>
      </c>
      <c r="V253" s="19" t="inlineStr">
        <is>
          <t>Single-day event</t>
        </is>
      </c>
    </row>
    <row r="254" ht="23.25" customHeight="1" s="13">
      <c r="A254" s="19" t="n">
        <v>254</v>
      </c>
      <c r="B254" s="19" t="inlineStr">
        <is>
          <t>2024-03-07</t>
        </is>
      </c>
      <c r="C254" s="19" t="inlineStr">
        <is>
          <t>2024-03-07</t>
        </is>
      </c>
      <c r="D254" s="19">
        <f>VALUE(LEFT(B254,4))</f>
        <v/>
      </c>
      <c r="E254" s="19">
        <f>INT((D254-1)/100)+1</f>
        <v/>
      </c>
      <c r="F254" s="19" t="inlineStr">
        <is>
          <t>Flash flood (urban)</t>
        </is>
      </c>
      <c r="G254" s="19" t="inlineStr">
        <is>
          <t>March 7 2024 Western Ave flooding, Guilderland</t>
        </is>
      </c>
      <c r="H254" s="19" t="inlineStr">
        <is>
          <t>Guilderland (Western Ave / Stuyvesant Plaza / Crossgates watershed)</t>
        </is>
      </c>
      <c r="I254" s="19" t="inlineStr">
        <is>
          <t>Western Ave flooded; westbound entrance to Stuyvesant Plaza closed; part of the chronically-flooding 860-acre highly-urbanized McKownville watershed</t>
        </is>
      </c>
      <c r="J254" s="19" t="inlineStr">
        <is>
          <t>Times Union / Enterprise photos</t>
        </is>
      </c>
      <c r="K254" s="19" t="inlineStr">
        <is>
          <t>Recurring urban flash-flood corridor; state-owned Western Ave culverts undersized for the flow.</t>
        </is>
      </c>
      <c r="L254" s="19" t="inlineStr">
        <is>
          <t>Altamont Enterprise / Times Union / CBS6 Albany, Guilderland stormwater coverage 2024–2026</t>
        </is>
      </c>
      <c r="M254" s="19" t="inlineStr">
        <is>
          <t>https://www.timesunion.com/news/article/burger-king-owners-sue-guilderland-not-fixing-20263170.php</t>
        </is>
      </c>
      <c r="N254" s="19" t="inlineStr">
        <is>
          <t>B</t>
        </is>
      </c>
      <c r="O254" s="19" t="inlineStr">
        <is>
          <t>Y</t>
        </is>
      </c>
      <c r="P254" s="19" t="inlineStr">
        <is>
          <t>Guilderland, within footprint. Verify against NWS ALY / NCEI for a rainfall figure.</t>
        </is>
      </c>
      <c r="Q254" s="19" t="inlineStr">
        <is>
          <t>2024-03-07</t>
        </is>
      </c>
      <c r="R254" s="19">
        <f>VALUE(LEFT(Q254,4))</f>
        <v/>
      </c>
      <c r="S254" s="19">
        <f>VALUE(MID(Q254,6,2))</f>
        <v/>
      </c>
      <c r="T254" s="19">
        <f>VALUE(RIGHT(Q254,2))</f>
        <v/>
      </c>
      <c r="U254" s="19" t="inlineStr">
        <is>
          <t>day</t>
        </is>
      </c>
      <c r="V254" s="19" t="inlineStr">
        <is>
          <t>Single-day event</t>
        </is>
      </c>
    </row>
    <row r="255" ht="45.75" customHeight="1" s="13">
      <c r="A255" s="19" t="n">
        <v>255</v>
      </c>
      <c r="B255" s="19" t="inlineStr">
        <is>
          <t>2024-03-22</t>
        </is>
      </c>
      <c r="C255" s="19" t="inlineStr">
        <is>
          <t>2024-03-23</t>
        </is>
      </c>
      <c r="D255" s="19">
        <f>VALUE(LEFT(B255,4))</f>
        <v/>
      </c>
      <c r="E255" s="19">
        <f>INT((D255-1)/100)+1</f>
        <v/>
      </c>
      <c r="F255" s="19" t="inlineStr">
        <is>
          <t>Snow / ice</t>
        </is>
      </c>
      <c r="G255" s="19" t="inlineStr">
        <is>
          <t>March 2024 snow &amp; freezing rain</t>
        </is>
      </c>
      <c r="H255" s="19" t="inlineStr">
        <is>
          <t>Region</t>
        </is>
      </c>
      <c r="I255" s="19" t="n"/>
      <c r="J255" s="19" t="inlineStr">
        <is>
          <t>regional</t>
        </is>
      </c>
      <c r="K255" s="19" t="n"/>
      <c r="L255" s="19" t="inlineStr">
        <is>
          <t>NWS Albany – Past Weather Events (weather.gov/aly/pastevents)</t>
        </is>
      </c>
      <c r="M255" s="19" t="inlineStr">
        <is>
          <t>https://www.weather.gov/aly/pastevents</t>
        </is>
      </c>
      <c r="N255" s="19" t="inlineStr">
        <is>
          <t>A</t>
        </is>
      </c>
      <c r="O255" s="19" t="inlineStr">
        <is>
          <t>Y</t>
        </is>
      </c>
      <c r="P255" s="19" t="n"/>
      <c r="Q255" s="19" t="inlineStr">
        <is>
          <t>2024-03-22</t>
        </is>
      </c>
      <c r="R255" s="19">
        <f>VALUE(LEFT(Q255,4))</f>
        <v/>
      </c>
      <c r="S255" s="19">
        <f>VALUE(MID(Q255,6,2))</f>
        <v/>
      </c>
      <c r="T255" s="19">
        <f>VALUE(RIGHT(Q255,2))</f>
        <v/>
      </c>
      <c r="U255" s="19" t="inlineStr">
        <is>
          <t>days</t>
        </is>
      </c>
      <c r="V255" s="19" t="inlineStr">
        <is>
          <t>Multi-day event; anchored to first day</t>
        </is>
      </c>
    </row>
    <row r="256" ht="23.25" customHeight="1" s="13">
      <c r="A256" s="19" t="n">
        <v>256</v>
      </c>
      <c r="B256" s="19" t="inlineStr">
        <is>
          <t>2024-04-03</t>
        </is>
      </c>
      <c r="C256" s="19" t="inlineStr">
        <is>
          <t>2024-04-05</t>
        </is>
      </c>
      <c r="D256" s="19">
        <f>VALUE(LEFT(B256,4))</f>
        <v/>
      </c>
      <c r="E256" s="19">
        <f>INT((D256-1)/100)+1</f>
        <v/>
      </c>
      <c r="F256" s="19" t="inlineStr">
        <is>
          <t>Multi-hazard storm</t>
        </is>
      </c>
      <c r="G256" s="19" t="inlineStr">
        <is>
          <t>April 3–5, 2024</t>
        </is>
      </c>
      <c r="H256" s="19" t="inlineStr">
        <is>
          <t>Region</t>
        </is>
      </c>
      <c r="I256" s="19" t="n"/>
      <c r="J256" s="19" t="inlineStr">
        <is>
          <t>regional</t>
        </is>
      </c>
      <c r="K256" s="19" t="n"/>
      <c r="L256" s="19" t="inlineStr">
        <is>
          <t>NWS Albany – Past Weather Events (weather.gov/aly/pastevents)</t>
        </is>
      </c>
      <c r="M256" s="19" t="inlineStr">
        <is>
          <t>https://www.weather.gov/aly/pastevents</t>
        </is>
      </c>
      <c r="N256" s="19" t="inlineStr">
        <is>
          <t>A</t>
        </is>
      </c>
      <c r="O256" s="19" t="inlineStr">
        <is>
          <t>Y</t>
        </is>
      </c>
      <c r="P256" s="19" t="n"/>
      <c r="Q256" s="19" t="inlineStr">
        <is>
          <t>2024-04-03</t>
        </is>
      </c>
      <c r="R256" s="19">
        <f>VALUE(LEFT(Q256,4))</f>
        <v/>
      </c>
      <c r="S256" s="19">
        <f>VALUE(MID(Q256,6,2))</f>
        <v/>
      </c>
      <c r="T256" s="19">
        <f>VALUE(RIGHT(Q256,2))</f>
        <v/>
      </c>
      <c r="U256" s="19" t="inlineStr">
        <is>
          <t>days</t>
        </is>
      </c>
      <c r="V256" s="19" t="inlineStr">
        <is>
          <t>Multi-day event; anchored to first day</t>
        </is>
      </c>
    </row>
    <row r="257" ht="23.25" customHeight="1" s="13">
      <c r="A257" s="19" t="n">
        <v>257</v>
      </c>
      <c r="B257" s="19" t="inlineStr">
        <is>
          <t>2024-05-07</t>
        </is>
      </c>
      <c r="C257" s="19" t="inlineStr">
        <is>
          <t>2024-05-07</t>
        </is>
      </c>
      <c r="D257" s="19">
        <f>VALUE(LEFT(B257,4))</f>
        <v/>
      </c>
      <c r="E257" s="19">
        <f>INT((D257-1)/100)+1</f>
        <v/>
      </c>
      <c r="F257" s="19" t="inlineStr">
        <is>
          <t>Landslide</t>
        </is>
      </c>
      <c r="G257" s="19" t="inlineStr">
        <is>
          <t>Catskill (village) landslide destroys home</t>
        </is>
      </c>
      <c r="H257" s="19" t="inlineStr">
        <is>
          <t>Catskill, Greene Co.</t>
        </is>
      </c>
      <c r="I257" s="19" t="inlineStr">
        <is>
          <t>One home destroyed, 3 displaced</t>
        </is>
      </c>
      <c r="J257" s="19" t="inlineStr">
        <is>
          <t>none</t>
        </is>
      </c>
      <c r="K257" s="19" t="n"/>
      <c r="L257" s="19" t="inlineStr">
        <is>
          <t>WPDH/WNYT</t>
        </is>
      </c>
      <c r="M257" s="19" t="inlineStr">
        <is>
          <t>https://wpdh.com/landslide-new-york-mountain-valley-history/</t>
        </is>
      </c>
      <c r="N257" s="19" t="inlineStr">
        <is>
          <t>B</t>
        </is>
      </c>
      <c r="O257" s="19" t="inlineStr">
        <is>
          <t>Y</t>
        </is>
      </c>
      <c r="P257" s="19" t="inlineStr">
        <is>
          <t>Date inferred from article age (Tuesday evening, ~early May 2024) – confirm.</t>
        </is>
      </c>
      <c r="Q257" s="19" t="inlineStr">
        <is>
          <t>2024-05-07</t>
        </is>
      </c>
      <c r="R257" s="19">
        <f>VALUE(LEFT(Q257,4))</f>
        <v/>
      </c>
      <c r="S257" s="19">
        <f>VALUE(MID(Q257,6,2))</f>
        <v/>
      </c>
      <c r="T257" s="19">
        <f>VALUE(RIGHT(Q257,2))</f>
        <v/>
      </c>
      <c r="U257" s="19" t="inlineStr">
        <is>
          <t>day</t>
        </is>
      </c>
      <c r="V257" s="19" t="inlineStr">
        <is>
          <t>Single-day event</t>
        </is>
      </c>
    </row>
    <row r="258" ht="23.25" customHeight="1" s="13">
      <c r="A258" s="19" t="n">
        <v>258</v>
      </c>
      <c r="B258" s="19" t="inlineStr">
        <is>
          <t>2024-07-16</t>
        </is>
      </c>
      <c r="C258" s="19" t="inlineStr">
        <is>
          <t>2024-07-16</t>
        </is>
      </c>
      <c r="D258" s="19">
        <f>VALUE(LEFT(B258,4))</f>
        <v/>
      </c>
      <c r="E258" s="19">
        <f>INT((D258-1)/100)+1</f>
        <v/>
      </c>
      <c r="F258" s="19" t="inlineStr">
        <is>
          <t>Severe thunderstorms</t>
        </is>
      </c>
      <c r="G258" s="19" t="inlineStr">
        <is>
          <t>July 16, 2024 severe weather</t>
        </is>
      </c>
      <c r="H258" s="19" t="inlineStr">
        <is>
          <t>Region</t>
        </is>
      </c>
      <c r="I258" s="19" t="n"/>
      <c r="J258" s="19" t="inlineStr">
        <is>
          <t>regional</t>
        </is>
      </c>
      <c r="K258" s="19" t="n"/>
      <c r="L258" s="19" t="inlineStr">
        <is>
          <t>NWS Albany – Past Weather Events (weather.gov/aly/pastevents)</t>
        </is>
      </c>
      <c r="M258" s="19" t="inlineStr">
        <is>
          <t>https://www.weather.gov/aly/pastevents</t>
        </is>
      </c>
      <c r="N258" s="19" t="inlineStr">
        <is>
          <t>A</t>
        </is>
      </c>
      <c r="O258" s="19" t="inlineStr">
        <is>
          <t>Y</t>
        </is>
      </c>
      <c r="P258" s="19" t="n"/>
      <c r="Q258" s="19" t="inlineStr">
        <is>
          <t>2024-07-16</t>
        </is>
      </c>
      <c r="R258" s="19">
        <f>VALUE(LEFT(Q258,4))</f>
        <v/>
      </c>
      <c r="S258" s="19">
        <f>VALUE(MID(Q258,6,2))</f>
        <v/>
      </c>
      <c r="T258" s="19">
        <f>VALUE(RIGHT(Q258,2))</f>
        <v/>
      </c>
      <c r="U258" s="19" t="inlineStr">
        <is>
          <t>day</t>
        </is>
      </c>
      <c r="V258" s="19" t="inlineStr">
        <is>
          <t>Single-day event</t>
        </is>
      </c>
    </row>
    <row r="259" ht="23.25" customHeight="1" s="13">
      <c r="A259" s="19" t="n">
        <v>259</v>
      </c>
      <c r="B259" s="19" t="inlineStr">
        <is>
          <t>2024-08-09</t>
        </is>
      </c>
      <c r="C259" s="19" t="inlineStr">
        <is>
          <t>2024-08-09</t>
        </is>
      </c>
      <c r="D259" s="19">
        <f>VALUE(LEFT(B259,4))</f>
        <v/>
      </c>
      <c r="E259" s="19">
        <f>INT((D259-1)/100)+1</f>
        <v/>
      </c>
      <c r="F259" s="19" t="inlineStr">
        <is>
          <t>Tropical remnant / flood</t>
        </is>
      </c>
      <c r="G259" s="19" t="inlineStr">
        <is>
          <t>Post-Tropical Debby</t>
        </is>
      </c>
      <c r="H259" s="19" t="inlineStr">
        <is>
          <t>Region</t>
        </is>
      </c>
      <c r="I259" s="19" t="n"/>
      <c r="J259" s="19" t="inlineStr">
        <is>
          <t>regional</t>
        </is>
      </c>
      <c r="K259" s="19" t="n"/>
      <c r="L259" s="19" t="inlineStr">
        <is>
          <t>NWS Albany – Past Weather Events (weather.gov/aly/pastevents)</t>
        </is>
      </c>
      <c r="M259" s="19" t="inlineStr">
        <is>
          <t>https://www.weather.gov/aly/pastevents</t>
        </is>
      </c>
      <c r="N259" s="19" t="inlineStr">
        <is>
          <t>A</t>
        </is>
      </c>
      <c r="O259" s="19" t="inlineStr">
        <is>
          <t>Y</t>
        </is>
      </c>
      <c r="P259" s="19" t="n"/>
      <c r="Q259" s="19" t="inlineStr">
        <is>
          <t>2024-08-09</t>
        </is>
      </c>
      <c r="R259" s="19">
        <f>VALUE(LEFT(Q259,4))</f>
        <v/>
      </c>
      <c r="S259" s="19">
        <f>VALUE(MID(Q259,6,2))</f>
        <v/>
      </c>
      <c r="T259" s="19">
        <f>VALUE(RIGHT(Q259,2))</f>
        <v/>
      </c>
      <c r="U259" s="19" t="inlineStr">
        <is>
          <t>day</t>
        </is>
      </c>
      <c r="V259" s="19" t="inlineStr">
        <is>
          <t>Single-day event</t>
        </is>
      </c>
    </row>
    <row r="260" ht="23.25" customHeight="1" s="13">
      <c r="A260" s="19" t="n">
        <v>260</v>
      </c>
      <c r="B260" s="19" t="inlineStr">
        <is>
          <t>2024-08-09</t>
        </is>
      </c>
      <c r="C260" s="19" t="inlineStr">
        <is>
          <t>2024-08-09</t>
        </is>
      </c>
      <c r="D260" s="19">
        <f>VALUE(LEFT(B260,4))</f>
        <v/>
      </c>
      <c r="E260" s="19">
        <f>INT((D260-1)/100)+1</f>
        <v/>
      </c>
      <c r="F260" s="19" t="inlineStr">
        <is>
          <t>Flash flood (urban)</t>
        </is>
      </c>
      <c r="G260" s="19" t="inlineStr">
        <is>
          <t>August 9 2024 Western Ave &amp; Fuller Rd flooding, Guilderland</t>
        </is>
      </c>
      <c r="H260" s="19" t="inlineStr">
        <is>
          <t>Guilderland (Western Ave &amp; Fuller Rd; Fletcher Rd)</t>
        </is>
      </c>
      <c r="I260" s="19" t="inlineStr">
        <is>
          <t>Western Ave &amp; Fuller Rd intersection flooded; Fletcher Rd home flooded (2nd time that August), triggering a separate suit against the town</t>
        </is>
      </c>
      <c r="J260" s="19" t="inlineStr">
        <is>
          <t>Times Union / Enterprise</t>
        </is>
      </c>
      <c r="K260" s="19" t="inlineStr">
        <is>
          <t>Same McKownville corridor; two flood episodes in Aug 2024 at the Moran residence on Fletcher Rd.</t>
        </is>
      </c>
      <c r="L260" s="19" t="inlineStr">
        <is>
          <t>Altamont Enterprise / Times Union / CBS6 Albany, Guilderland stormwater coverage 2024–2026</t>
        </is>
      </c>
      <c r="M260" s="19" t="inlineStr">
        <is>
          <t>https://www.timesunion.com/news/article/burger-king-owners-sue-guilderland-not-fixing-20263170.php</t>
        </is>
      </c>
      <c r="N260" s="19" t="inlineStr">
        <is>
          <t>B</t>
        </is>
      </c>
      <c r="O260" s="19" t="inlineStr">
        <is>
          <t>Y</t>
        </is>
      </c>
      <c r="P260" s="19" t="inlineStr">
        <is>
          <t>Guilderland, within footprint. Fletcher Rd flooded twice in Aug 2024 — second date not captured.</t>
        </is>
      </c>
      <c r="Q260" s="19" t="inlineStr">
        <is>
          <t>2024-08-09</t>
        </is>
      </c>
      <c r="R260" s="19">
        <f>VALUE(LEFT(Q260,4))</f>
        <v/>
      </c>
      <c r="S260" s="19">
        <f>VALUE(MID(Q260,6,2))</f>
        <v/>
      </c>
      <c r="T260" s="19">
        <f>VALUE(RIGHT(Q260,2))</f>
        <v/>
      </c>
      <c r="U260" s="19" t="inlineStr">
        <is>
          <t>day</t>
        </is>
      </c>
      <c r="V260" s="19" t="inlineStr">
        <is>
          <t>Single-day event</t>
        </is>
      </c>
    </row>
    <row r="261" ht="45.75" customHeight="1" s="13">
      <c r="A261" s="19" t="n">
        <v>261</v>
      </c>
      <c r="B261" s="19" t="inlineStr">
        <is>
          <t>2024-09-01</t>
        </is>
      </c>
      <c r="C261" s="19" t="inlineStr">
        <is>
          <t>2024-11-30</t>
        </is>
      </c>
      <c r="D261" s="19">
        <f>VALUE(LEFT(B261,4))</f>
        <v/>
      </c>
      <c r="E261" s="19">
        <f>INT((D261-1)/100)+1</f>
        <v/>
      </c>
      <c r="F261" s="19" t="inlineStr">
        <is>
          <t>Drought / wildfire</t>
        </is>
      </c>
      <c r="G261" s="19" t="inlineStr">
        <is>
          <t>Fall 2024 drought and wildfires</t>
        </is>
      </c>
      <c r="H261" s="19" t="inlineStr">
        <is>
          <t>Hudson Valley</t>
        </is>
      </c>
      <c r="I261" s="19" t="inlineStr">
        <is>
          <t>Driest autumn in decades</t>
        </is>
      </c>
      <c r="J261" s="19" t="inlineStr">
        <is>
          <t>regional</t>
        </is>
      </c>
      <c r="K261" s="19" t="inlineStr">
        <is>
          <t>Jennings Creek fire (Orange Co.); burn bans.</t>
        </is>
      </c>
      <c r="L261" s="19" t="inlineStr">
        <is>
          <t>Wikipedia event article (secondary; verify against NCEI/NHC)</t>
        </is>
      </c>
      <c r="M261" s="19" t="n"/>
      <c r="N261" s="19" t="inlineStr">
        <is>
          <t>B</t>
        </is>
      </c>
      <c r="O261" s="19" t="inlineStr">
        <is>
          <t>N</t>
        </is>
      </c>
      <c r="P261" s="19" t="n"/>
      <c r="Q261" s="19" t="inlineStr">
        <is>
          <t>2024-11-09</t>
        </is>
      </c>
      <c r="R261" s="19">
        <f>VALUE(LEFT(Q261,4))</f>
        <v/>
      </c>
      <c r="S261" s="19">
        <f>VALUE(MID(Q261,6,2))</f>
        <v/>
      </c>
      <c r="T261" s="19">
        <f>VALUE(RIGHT(Q261,2))</f>
        <v/>
      </c>
      <c r="U261" s="19" t="inlineStr">
        <is>
          <t>days</t>
        </is>
      </c>
      <c r="V261" s="19" t="inlineStr">
        <is>
          <t>Jennings Creek fire ignition ~Nov 8–9</t>
        </is>
      </c>
    </row>
    <row r="262" ht="23.25" customHeight="1" s="13">
      <c r="A262" s="19" t="n">
        <v>262</v>
      </c>
      <c r="B262" s="19" t="inlineStr">
        <is>
          <t>2025-01-01</t>
        </is>
      </c>
      <c r="C262" s="19" t="inlineStr">
        <is>
          <t>2025-01-05</t>
        </is>
      </c>
      <c r="D262" s="19">
        <f>VALUE(LEFT(B262,4))</f>
        <v/>
      </c>
      <c r="E262" s="19">
        <f>INT((D262-1)/100)+1</f>
        <v/>
      </c>
      <c r="F262" s="19" t="inlineStr">
        <is>
          <t>Lake-effect snow</t>
        </is>
      </c>
      <c r="G262" s="19" t="inlineStr">
        <is>
          <t>January 2025 lake effect</t>
        </is>
      </c>
      <c r="H262" s="19" t="inlineStr">
        <is>
          <t>Region</t>
        </is>
      </c>
      <c r="I262" s="19" t="n"/>
      <c r="J262" s="19" t="inlineStr">
        <is>
          <t>regional</t>
        </is>
      </c>
      <c r="K262" s="19" t="n"/>
      <c r="L262" s="19" t="inlineStr">
        <is>
          <t>NWS Albany – Past Weather Events (weather.gov/aly/pastevents)</t>
        </is>
      </c>
      <c r="M262" s="19" t="inlineStr">
        <is>
          <t>https://www.weather.gov/aly/pastevents</t>
        </is>
      </c>
      <c r="N262" s="19" t="inlineStr">
        <is>
          <t>A</t>
        </is>
      </c>
      <c r="O262" s="19" t="inlineStr">
        <is>
          <t>Y</t>
        </is>
      </c>
      <c r="P262" s="19" t="n"/>
      <c r="Q262" s="19" t="inlineStr">
        <is>
          <t>2025-01-01</t>
        </is>
      </c>
      <c r="R262" s="19">
        <f>VALUE(LEFT(Q262,4))</f>
        <v/>
      </c>
      <c r="S262" s="19">
        <f>VALUE(MID(Q262,6,2))</f>
        <v/>
      </c>
      <c r="T262" s="19">
        <f>VALUE(RIGHT(Q262,2))</f>
        <v/>
      </c>
      <c r="U262" s="19" t="inlineStr">
        <is>
          <t>days</t>
        </is>
      </c>
      <c r="V262" s="19" t="inlineStr">
        <is>
          <t>Multi-day event; anchored to first day</t>
        </is>
      </c>
    </row>
    <row r="263" ht="23.25" customHeight="1" s="13">
      <c r="A263" s="19" t="n">
        <v>263</v>
      </c>
      <c r="B263" s="19" t="inlineStr">
        <is>
          <t>2025-06-06</t>
        </is>
      </c>
      <c r="C263" s="19" t="inlineStr">
        <is>
          <t>2025-06-07</t>
        </is>
      </c>
      <c r="D263" s="19">
        <f>VALUE(LEFT(B263,4))</f>
        <v/>
      </c>
      <c r="E263" s="19">
        <f>INT((D263-1)/100)+1</f>
        <v/>
      </c>
      <c r="F263" s="19" t="inlineStr">
        <is>
          <t>Flash flood</t>
        </is>
      </c>
      <c r="G263" s="19" t="inlineStr">
        <is>
          <t>June 6–7, 2025 Knox/Helderberg flash flood</t>
        </is>
      </c>
      <c r="H263" s="19" t="inlineStr">
        <is>
          <t>Albany County (Knox)</t>
        </is>
      </c>
      <c r="I263" s="19" t="inlineStr">
        <is>
          <t>4.35 in at Knox</t>
        </is>
      </c>
      <c r="J263" s="19" t="inlineStr">
        <is>
          <t>911/NCEI</t>
        </is>
      </c>
      <c r="K263" s="19" t="inlineStr">
        <is>
          <t>Numerous flooding reports throughout Albany County and Knox. Altamont village also hit — severe storms washed out roads (Altamont Enterprise 31 Jul 2025).</t>
        </is>
      </c>
      <c r="L263" s="19" t="inlineStr">
        <is>
          <t>NCEI Storm Events Database</t>
        </is>
      </c>
      <c r="M263" s="19" t="inlineStr">
        <is>
          <t>https://www.ncei.noaa.gov/stormevents/</t>
        </is>
      </c>
      <c r="N263" s="19" t="inlineStr">
        <is>
          <t>A</t>
        </is>
      </c>
      <c r="O263" s="19" t="inlineStr">
        <is>
          <t>Y</t>
        </is>
      </c>
      <c r="P263" s="19" t="inlineStr">
        <is>
          <t>On the Helderberg plateau near Westerlo.</t>
        </is>
      </c>
      <c r="Q263" s="19" t="inlineStr">
        <is>
          <t>2025-06-06</t>
        </is>
      </c>
      <c r="R263" s="19">
        <f>VALUE(LEFT(Q263,4))</f>
        <v/>
      </c>
      <c r="S263" s="19">
        <f>VALUE(MID(Q263,6,2))</f>
        <v/>
      </c>
      <c r="T263" s="19">
        <f>VALUE(RIGHT(Q263,2))</f>
        <v/>
      </c>
      <c r="U263" s="19" t="inlineStr">
        <is>
          <t>days</t>
        </is>
      </c>
      <c r="V263" s="19" t="inlineStr">
        <is>
          <t>Multi-day event; anchored to first day</t>
        </is>
      </c>
    </row>
    <row r="264" ht="23.25" customHeight="1" s="13">
      <c r="A264" s="19" t="n">
        <v>264</v>
      </c>
      <c r="B264" s="19" t="inlineStr">
        <is>
          <t>2026-07-28</t>
        </is>
      </c>
      <c r="C264" s="19" t="inlineStr">
        <is>
          <t>2026-07-30</t>
        </is>
      </c>
      <c r="D264" s="19">
        <f>VALUE(LEFT(B264,4))</f>
        <v/>
      </c>
      <c r="E264" s="19">
        <f>INT((D264-1)/100)+1</f>
        <v/>
      </c>
      <c r="F264" s="19" t="inlineStr">
        <is>
          <t>Flash flood</t>
        </is>
      </c>
      <c r="G264" s="19" t="inlineStr">
        <is>
          <t>July 28–30, 2026 flash flood</t>
        </is>
      </c>
      <c r="H264" s="19" t="inlineStr">
        <is>
          <t>Capital Region / eastern Catskills / N. mid-Hudson</t>
        </is>
      </c>
      <c r="I264" s="19" t="inlineStr">
        <is>
          <t>5.45 in Jul 29 at Albany (wettest July day; 2nd wettest day ever); 7.00 in 2-day; 11.79 in Schodack, 11.47 in Kinderhook (1-in-1000-yr); 6.35 in South Berne; 5.75 in Medusa</t>
        </is>
      </c>
      <c r="J264" s="19" t="inlineStr">
        <is>
          <t>Albany ASOS / NYSM</t>
        </is>
      </c>
      <c r="K264" s="19" t="inlineStr">
        <is>
          <t>Cutoff low; 6–12 in widespread; Coxsackie state of emergency; Schodack Island SP evacuation; mill collapse on Muitzes Kill.</t>
        </is>
      </c>
      <c r="L264" s="19" t="inlineStr">
        <is>
          <t>NWS Albany – Past Weather Events (weather.gov/aly/pastevents)</t>
        </is>
      </c>
      <c r="M264" s="19" t="inlineStr">
        <is>
          <t>https://www.weather.gov/aly/july2026flashflood</t>
        </is>
      </c>
      <c r="N264" s="19" t="inlineStr">
        <is>
          <t>A</t>
        </is>
      </c>
      <c r="O264" s="19" t="inlineStr">
        <is>
          <t>Y</t>
        </is>
      </c>
      <c r="P264" s="19" t="inlineStr">
        <is>
          <t>Most recent major event; page still under construction per NWS. Urban footprint (Altamont Enterprise 29 Jul 2026): Guilderland road flooding — Western Ave at Stuyvesant Plaza (chronic site), Crossgates Mall access rd, West Old State Rd (tree down); Albany city closed multiple roads (Central Ave, Hackett/Holland, S Manning/Western, Washington/Campus). NWS: 3–7 in by 11am, warning to 5pm.</t>
        </is>
      </c>
      <c r="Q264" s="19" t="inlineStr">
        <is>
          <t>2026-07-28</t>
        </is>
      </c>
      <c r="R264" s="19">
        <f>VALUE(LEFT(Q264,4))</f>
        <v/>
      </c>
      <c r="S264" s="19">
        <f>VALUE(MID(Q264,6,2))</f>
        <v/>
      </c>
      <c r="T264" s="19">
        <f>VALUE(RIGHT(Q264,2))</f>
        <v/>
      </c>
      <c r="U264" s="19" t="inlineStr">
        <is>
          <t>days</t>
        </is>
      </c>
      <c r="V264" s="19" t="inlineStr">
        <is>
          <t>Multi-day event; anchored to first day</t>
        </is>
      </c>
    </row>
    <row r="265" ht="45.75" customHeight="1" s="13">
      <c r="A265" s="19" t="n">
        <v>265</v>
      </c>
      <c r="B265" s="19" t="inlineStr">
        <is>
          <t>2011-08-28</t>
        </is>
      </c>
      <c r="C265" s="19" t="inlineStr">
        <is>
          <t>2011-08-28</t>
        </is>
      </c>
      <c r="D265" s="19">
        <f>VALUE(LEFT(B265,4))</f>
        <v/>
      </c>
      <c r="E265" s="19">
        <f>INT((D265-1)/100)+1</f>
        <v/>
      </c>
      <c r="F265" s="19" t="inlineStr">
        <is>
          <t>Flood fatality</t>
        </is>
      </c>
      <c r="G265" s="19" t="inlineStr">
        <is>
          <t>Irene flood drowning, Onesquethaw Creek</t>
        </is>
      </c>
      <c r="H265" s="19" t="inlineStr">
        <is>
          <t>Clarksville / New Scotland (Onesquethaw Creek)</t>
        </is>
      </c>
      <c r="I265" s="19" t="inlineStr">
        <is>
          <t>1 drowning: a 68-year-old resident swept from her creek-side home by the flooding Onesquethaw while packing to evacuate; body recovered the same day</t>
        </is>
      </c>
      <c r="J265" s="19" t="inlineStr">
        <is>
          <t>Altamont Enterprise 2011-12-29</t>
        </is>
      </c>
      <c r="K265" s="19" t="inlineStr">
        <is>
          <t>Ties Irene's Onesquethaw flooding to a human death; the same sinking-stream system nearly drowned a student group in 1991 and opened a new sink in 2011.</t>
        </is>
      </c>
      <c r="L265" s="19" t="inlineStr">
        <is>
          <t>Altamont Enterprise, 'Rebuilding follows Irene's destruction,' 2011-12-29</t>
        </is>
      </c>
      <c r="M265" s="19" t="n"/>
      <c r="N265" s="19" t="inlineStr">
        <is>
          <t>B</t>
        </is>
      </c>
      <c r="O265" s="19" t="inlineStr">
        <is>
          <t>Y</t>
        </is>
      </c>
      <c r="P265" s="19" t="inlineStr">
        <is>
          <t>Coordinates approximate (~42.60,-74.00); verify. Companion to the Onesquethaw Irene sinkhole row and the 1991 Onesquethaw flood. UPDATE 2026-09-21: named victim removed per Laurie — kept as an anonymized hazard record (age, mechanism, location); do not re-add a name.</t>
        </is>
      </c>
      <c r="Q265" s="19" t="inlineStr">
        <is>
          <t>2011-08-28</t>
        </is>
      </c>
      <c r="R265" s="19">
        <f>VALUE(LEFT(Q265,4))</f>
        <v/>
      </c>
      <c r="S265" s="19">
        <f>VALUE(MID(Q265,6,2))</f>
        <v/>
      </c>
      <c r="T265" s="19">
        <f>VALUE(RIGHT(Q265,2))</f>
        <v/>
      </c>
      <c r="U265" s="19" t="inlineStr">
        <is>
          <t>day</t>
        </is>
      </c>
      <c r="V265" s="19" t="inlineStr">
        <is>
          <t>Single-day event</t>
        </is>
      </c>
    </row>
    <row r="266" ht="45.75" customHeight="1" s="13">
      <c r="A266" s="19" t="n">
        <v>266</v>
      </c>
      <c r="B266" s="19" t="inlineStr">
        <is>
          <t>2011-08-29</t>
        </is>
      </c>
      <c r="C266" s="19" t="inlineStr">
        <is>
          <t>2011-08-29</t>
        </is>
      </c>
      <c r="D266" s="19">
        <f>VALUE(LEFT(B266,4))</f>
        <v/>
      </c>
      <c r="E266" s="19">
        <f>INT((D266-1)/100)+1</f>
        <v/>
      </c>
      <c r="F266" s="19" t="inlineStr">
        <is>
          <t>Flood fatality</t>
        </is>
      </c>
      <c r="G266" s="19" t="inlineStr">
        <is>
          <t>Irene flood drowning, Route 5S</t>
        </is>
      </c>
      <c r="H266" s="19" t="inlineStr">
        <is>
          <t>Route 5S, Montgomery Co.</t>
        </is>
      </c>
      <c r="I266" s="19" t="inlineStr">
        <is>
          <t>1 drowning: a 72-year-old man drove a pickup past barriers onto a washed-out section of Route 5S the day after Irene and drowned</t>
        </is>
      </c>
      <c r="J266" s="19" t="inlineStr">
        <is>
          <t>Altamont Enterprise 2011-12-29</t>
        </is>
      </c>
      <c r="K266" s="19" t="inlineStr">
        <is>
          <t>Regional Irene fatality outside the Hilltowns; a Mohawk-corridor road washout in Montgomery Co.</t>
        </is>
      </c>
      <c r="L266" s="19" t="inlineStr">
        <is>
          <t>Altamont Enterprise, 'Rebuilding follows Irene's destruction,' 2011-12-29</t>
        </is>
      </c>
      <c r="M266" s="19" t="n"/>
      <c r="N266" s="19" t="inlineStr">
        <is>
          <t>B</t>
        </is>
      </c>
      <c r="O266" s="19" t="inlineStr">
        <is>
          <t>Y</t>
        </is>
      </c>
      <c r="P266" s="19" t="inlineStr">
        <is>
          <t>Coordinates approximate along the 5S corridor; verify. UPDATE 2026-09-21: named victim removed per Laurie — kept as an anonymized hazard record (age, mechanism, location); do not re-add a name.</t>
        </is>
      </c>
      <c r="Q266" s="19" t="inlineStr">
        <is>
          <t>2011-08-29</t>
        </is>
      </c>
      <c r="R266" s="19">
        <f>VALUE(LEFT(Q266,4))</f>
        <v/>
      </c>
      <c r="S266" s="19">
        <f>VALUE(MID(Q266,6,2))</f>
        <v/>
      </c>
      <c r="T266" s="19">
        <f>VALUE(RIGHT(Q266,2))</f>
        <v/>
      </c>
      <c r="U266" s="19" t="inlineStr">
        <is>
          <t>day</t>
        </is>
      </c>
      <c r="V266" s="19" t="inlineStr">
        <is>
          <t>Single-day event</t>
        </is>
      </c>
    </row>
    <row r="267" ht="45.75" customHeight="1" s="13">
      <c r="A267" s="19" t="n">
        <v>267</v>
      </c>
      <c r="B267" s="19" t="inlineStr">
        <is>
          <t>2011-08-29</t>
        </is>
      </c>
      <c r="C267" s="19" t="inlineStr">
        <is>
          <t>2011-08-29</t>
        </is>
      </c>
      <c r="D267" s="19">
        <f>VALUE(LEFT(B267,4))</f>
        <v/>
      </c>
      <c r="E267" s="19">
        <f>INT((D267-1)/100)+1</f>
        <v/>
      </c>
      <c r="F267" s="19" t="inlineStr">
        <is>
          <t>Flood fatality (indirect)</t>
        </is>
      </c>
      <c r="G267" s="19" t="inlineStr">
        <is>
          <t>Irene indirect death, McKownville</t>
        </is>
      </c>
      <c r="H267" s="19" t="inlineStr">
        <is>
          <t>McKownville / Guilderland (Parkwood Ave)</t>
        </is>
      </c>
      <c r="I267" s="19" t="inlineStr">
        <is>
          <t>1 indirect death: an 88-year-old resident fell down her basement stairs while checking flooding; found Aug 29. Guilderland police classified it 'secondary'</t>
        </is>
      </c>
      <c r="J267" s="19" t="inlineStr">
        <is>
          <t>Altamont Enterprise 2011-12-29</t>
        </is>
      </c>
      <c r="K267" s="19" t="inlineStr">
        <is>
          <t>Storm-attributable rather than a direct death; forces a direct-vs-attributable counting rule before any fatality tally.</t>
        </is>
      </c>
      <c r="L267" s="19" t="inlineStr">
        <is>
          <t>Altamont Enterprise, 'Rebuilding follows Irene's destruction,' 2011-12-29</t>
        </is>
      </c>
      <c r="M267" s="19" t="n"/>
      <c r="N267" s="19" t="inlineStr">
        <is>
          <t>B</t>
        </is>
      </c>
      <c r="O267" s="19" t="inlineStr">
        <is>
          <t>Y</t>
        </is>
      </c>
      <c r="P267" s="19" t="inlineStr">
        <is>
          <t>'Secondary' per Guilderland PD (interpretive). Coordinates approximate (~42.688,-73.852); verify. UPDATE 2026-09-21: named victim removed per Laurie — kept as an anonymized hazard record (age, mechanism, location); do not re-add a name.</t>
        </is>
      </c>
      <c r="Q267" s="19" t="inlineStr">
        <is>
          <t>2011-08-29</t>
        </is>
      </c>
      <c r="R267" s="19">
        <f>VALUE(LEFT(Q267,4))</f>
        <v/>
      </c>
      <c r="S267" s="19">
        <f>VALUE(MID(Q267,6,2))</f>
        <v/>
      </c>
      <c r="T267" s="19">
        <f>VALUE(RIGHT(Q267,2))</f>
        <v/>
      </c>
      <c r="U267" s="19" t="inlineStr">
        <is>
          <t>day</t>
        </is>
      </c>
      <c r="V267" s="19" t="inlineStr">
        <is>
          <t>Single-day event</t>
        </is>
      </c>
    </row>
    <row r="268" ht="45.75" customHeight="1" s="13">
      <c r="A268" s="19" t="n">
        <v>268</v>
      </c>
      <c r="B268" s="19" t="inlineStr">
        <is>
          <t>2011-08-28</t>
        </is>
      </c>
      <c r="C268" s="19" t="inlineStr">
        <is>
          <t>2011-08-28</t>
        </is>
      </c>
      <c r="D268" s="19">
        <f>VALUE(LEFT(B268,4))</f>
        <v/>
      </c>
      <c r="E268" s="19">
        <f>INT((D268-1)/100)+1</f>
        <v/>
      </c>
      <c r="F268" s="19" t="inlineStr">
        <is>
          <t>Flood scour / subsidence (non-karst)</t>
        </is>
      </c>
      <c r="G268" s="19" t="inlineStr">
        <is>
          <t>Irene undermines the Berne Mill – Fox Creek scour</t>
        </is>
      </c>
      <c r="H268" s="19" t="inlineStr">
        <is>
          <t>Berne hamlet (Fox Creek)</t>
        </is>
      </c>
      <c r="I268" s="19" t="inlineStr">
        <is>
          <t>The swollen Fox Creek tore a garage off a home and dropped the front of the ~200-year-old Berne Mill into a 'cavernous' scour hole; the Agway housed there later reopened</t>
        </is>
      </c>
      <c r="J268" s="19" t="inlineStr">
        <is>
          <t>Altamont Enterprise 2011-12-29</t>
        </is>
      </c>
      <c r="K268" s="19" t="inlineStr">
        <is>
          <t>MECHANISM = flood scour / streambank undermining, NOT karst dissolution — kept out of the karst inventory despite the journalistic word 'sinkhole'.</t>
        </is>
      </c>
      <c r="L268" s="19" t="inlineStr">
        <is>
          <t>Altamont Enterprise, 'Rebuilding follows Irene's destruction,' 2011-12-29</t>
        </is>
      </c>
      <c r="M268" s="19" t="n"/>
      <c r="N268" s="19" t="inlineStr">
        <is>
          <t>B</t>
        </is>
      </c>
      <c r="O268" s="19" t="inlineStr">
        <is>
          <t>Y</t>
        </is>
      </c>
      <c r="P268" s="19" t="inlineStr">
        <is>
          <t>Do NOT file under karst. Open check: bedrock under the mill — if Helderberg carbonate, could be a flood-flushed pre-existing void (hybrid). Coordinates approx (~42.622,-74.138); verify.</t>
        </is>
      </c>
      <c r="Q268" s="19" t="inlineStr">
        <is>
          <t>2011-08-28</t>
        </is>
      </c>
      <c r="R268" s="19">
        <f>VALUE(LEFT(Q268,4))</f>
        <v/>
      </c>
      <c r="S268" s="19">
        <f>VALUE(MID(Q268,6,2))</f>
        <v/>
      </c>
      <c r="T268" s="19">
        <f>VALUE(RIGHT(Q268,2))</f>
        <v/>
      </c>
      <c r="U268" s="19" t="inlineStr">
        <is>
          <t>day</t>
        </is>
      </c>
      <c r="V268" s="19" t="inlineStr">
        <is>
          <t>Single-day event</t>
        </is>
      </c>
    </row>
    <row r="269" ht="45.75" customHeight="1" s="13">
      <c r="A269" s="19" t="n">
        <v>269</v>
      </c>
      <c r="B269" s="19" t="inlineStr">
        <is>
          <t>2016-04-21</t>
        </is>
      </c>
      <c r="C269" s="19" t="inlineStr">
        <is>
          <t>2026-12-31</t>
        </is>
      </c>
      <c r="D269" s="19">
        <f>VALUE(LEFT(B269,4))</f>
        <v/>
      </c>
      <c r="E269" s="19">
        <f>INT((D269-1)/100)+1</f>
        <v/>
      </c>
      <c r="F269" s="19" t="inlineStr">
        <is>
          <t>Landslide (incipient / standing hazard)</t>
        </is>
      </c>
      <c r="G269" s="19" t="inlineStr">
        <is>
          <t>Route 443 conglomerate slump — Gallupville–Shutters Corners (incipient)</t>
        </is>
      </c>
      <c r="H269" s="19" t="inlineStr">
        <is>
          <t>Barton Hill (Gallupville–Shutters Corners, Schoharie Co.)</t>
        </is>
      </c>
      <c r="I269" s="19" t="inlineStr">
        <is>
          <t>A hillside section of naturally-cemented glacial-drift CONGLOMERATE (formed long ago by tufa springs cementing the drift; the springs have since self-sealed) is fracturing and weathering and, per Nardacci, may eventually slump/landslide onto Route 443</t>
        </is>
      </c>
      <c r="J269" s="19" t="inlineStr">
        <is>
          <t>Nardacci / Altamont Enterprise</t>
        </is>
      </c>
      <c r="K269" s="19" t="inlineStr">
        <is>
          <t>INCIPIENT mass-movement / standing hazard — the failure has NOT occurred, so not a dated event. Double-documented by Nardacci (2016 &amp; 2020). Distinct from karst: a depositional-conglomerate slope failure, not dissolution.</t>
        </is>
      </c>
      <c r="L269" s="19" t="inlineStr">
        <is>
          <t>Altamont Enterprise 'Back Roads Geology' (Nardacci), 21 Apr 2016 &amp; 5 Nov 2020</t>
        </is>
      </c>
      <c r="M269" s="19" t="n"/>
      <c r="N269" s="19" t="inlineStr">
        <is>
          <t>B</t>
        </is>
      </c>
      <c r="O269" s="19" t="inlineStr">
        <is>
          <t>Y</t>
        </is>
      </c>
      <c r="P269" s="19" t="inlineStr">
        <is>
          <t>CONTEXT / standing-hazard row — do not plot as a point. Watch feature; check against DEM/slope data. Related tufa deposition along Rte 146 (Barton Hill) and at the Vanhornesville tufa caves (Otsquago Creek).</t>
        </is>
      </c>
      <c r="Q269" s="19" t="inlineStr">
        <is>
          <t>2016-04-21</t>
        </is>
      </c>
      <c r="R269" s="19">
        <f>VALUE(LEFT(Q269,4))</f>
        <v/>
      </c>
      <c r="S269" s="19">
        <f>VALUE(MID(Q269,6,2))</f>
        <v/>
      </c>
      <c r="T269" s="19">
        <f>VALUE(RIGHT(Q269,2))</f>
        <v/>
      </c>
      <c r="U269" s="19" t="inlineStr">
        <is>
          <t>year</t>
        </is>
      </c>
      <c r="V269" s="19" t="inlineStr">
        <is>
          <t>Standing/incipient hazard — do not plot as a point</t>
        </is>
      </c>
    </row>
    <row r="270" ht="68.25" customHeight="1" s="13">
      <c r="A270" s="19" t="n">
        <v>270</v>
      </c>
      <c r="B270" s="19" t="inlineStr">
        <is>
          <t>1926-07-22</t>
        </is>
      </c>
      <c r="C270" s="19" t="inlineStr">
        <is>
          <t>1926-07-22</t>
        </is>
      </c>
      <c r="D270" s="19">
        <f>VALUE(LEFT(B270,4))</f>
        <v/>
      </c>
      <c r="E270" s="19">
        <f>INT((D270-1)/100)+1</f>
        <v/>
      </c>
      <c r="F270" s="19" t="inlineStr">
        <is>
          <t>Heat wave / severe wind</t>
        </is>
      </c>
      <c r="G270" s="19" t="inlineStr">
        <is>
          <t>July 1926 heat wave &amp; windstorm (Altamont / Guilderland)</t>
        </is>
      </c>
      <c r="H270" s="19" t="inlineStr">
        <is>
          <t>Altamont / Guilderland Center / Western Turnpike (Dunnsville–Albany)</t>
        </is>
      </c>
      <c r="I270" s="19" t="inlineStr">
        <is>
          <t>100°F+ both Jul 21 &amp; 22 (2-day heat wave), then a severe W wind-and-rain storm off the Helderbergs; a 2nd storm at midnight</t>
        </is>
      </c>
      <c r="J270" s="19" t="inlineStr">
        <is>
          <t>Altamont Enterprise (contemporaneous)</t>
        </is>
      </c>
      <c r="K270" s="19" t="inlineStr">
        <is>
          <t>Widespread tree damage through Altamont &amp; Guilderland Center; trees down across the Western Turnpike (McCormack's–Hartman's Corners — motorists drove through fallen upper branches); wind tore the roof off the West Shore RR station at Guilderland Center; midnight lightning shattered the flagpole &amp; slate roof of the Altamont Fair exhibition hall.</t>
        </is>
      </c>
      <c r="L270" s="19" t="inlineStr">
        <is>
          <t>Altamont Enterprise, 23 Jul 1926 (reprinted Jul 2026)</t>
        </is>
      </c>
      <c r="M270" s="19" t="n"/>
      <c r="N270" s="19" t="inlineStr">
        <is>
          <t>B</t>
        </is>
      </c>
      <c r="O270" s="19" t="inlineStr">
        <is>
          <t>Y</t>
        </is>
      </c>
      <c r="P270" s="19" t="inlineStr">
        <is>
          <t>Storm broke a 2-day 100F heat wave — classic heat / cold-front-windstorm sequence. Broad damage off the Helderbergs reads as a downburst/derecho-type windstorm, not a tornado. Same-week farm fires excluded (not weather).</t>
        </is>
      </c>
      <c r="Q270" s="19" t="inlineStr">
        <is>
          <t>1926-07-22</t>
        </is>
      </c>
      <c r="R270" s="19">
        <f>VALUE(LEFT(Q270,4))</f>
        <v/>
      </c>
      <c r="S270" s="19">
        <f>VALUE(MID(Q270,6,2))</f>
        <v/>
      </c>
      <c r="T270" s="19">
        <f>VALUE(RIGHT(Q270,2))</f>
        <v/>
      </c>
      <c r="U270" s="19" t="inlineStr">
        <is>
          <t>day</t>
        </is>
      </c>
      <c r="V270" s="19" t="inlineStr">
        <is>
          <t>Single-day event (heat wave Jul 21-22; anchored to the Jul 22 storm)</t>
        </is>
      </c>
    </row>
    <row r="271" ht="68.25" customHeight="1" s="13">
      <c r="A271" s="19" t="n">
        <v>271</v>
      </c>
      <c r="B271" s="19" t="inlineStr">
        <is>
          <t>1936-02-01</t>
        </is>
      </c>
      <c r="C271" s="19" t="inlineStr">
        <is>
          <t>1936-02-29</t>
        </is>
      </c>
      <c r="D271" s="19">
        <f>VALUE(LEFT(B271,4))</f>
        <v/>
      </c>
      <c r="E271" s="19">
        <f>INT((D271-1)/100)+1</f>
        <v/>
      </c>
      <c r="F271" s="19" t="inlineStr">
        <is>
          <t>Cold wave</t>
        </is>
      </c>
      <c r="G271" s="19" t="inlineStr">
        <is>
          <t>February 1936 cold wave (coldest month in US history)</t>
        </is>
      </c>
      <c r="H271" s="19" t="inlineStr">
        <is>
          <t>Northeast — deep regional snowpack</t>
        </is>
      </c>
      <c r="I271" s="19" t="inlineStr">
        <is>
          <t>Coldest February in US history nationally; record NE cold; deep regional snowpack</t>
        </is>
      </c>
      <c r="J271" s="19" t="inlineStr">
        <is>
          <t>national/NWS</t>
        </is>
      </c>
      <c r="K271" s="19" t="inlineStr">
        <is>
          <t>Its record cold and deep snowpack, melting into the wettest NE March on record, drove the March 1936 flood (Albany 17.9 ft, Troy 29.5 ft). Completes the 1936 whiplash: record cold (Feb) → snowmelt flood (Mar) → record heat (Jul).</t>
        </is>
      </c>
      <c r="L271" s="19" t="inlineStr">
        <is>
          <t>Wikipedia — 1936 N. American cold wave; national climatology</t>
        </is>
      </c>
      <c r="M271" s="19" t="n"/>
      <c r="N271" s="19" t="inlineStr">
        <is>
          <t>C</t>
        </is>
      </c>
      <c r="O271" s="19" t="inlineStr">
        <is>
          <t>Y</t>
        </is>
      </c>
      <c r="P271" s="19" t="inlineStr">
        <is>
          <t>Albany-specific Feb 1936 low NEEDS the local record (NWS Albany extremes / Munsell / newspaper) to grade up. Nationally: coldest month in US history; −60°F in ND. Mechanistically the source of the March 1936 flood already logged.</t>
        </is>
      </c>
      <c r="Q271" s="19" t="inlineStr">
        <is>
          <t>1936-02-01</t>
        </is>
      </c>
      <c r="R271" s="19">
        <f>VALUE(LEFT(Q271,4))</f>
        <v/>
      </c>
      <c r="S271" s="19">
        <f>VALUE(MID(Q271,6,2))</f>
        <v/>
      </c>
      <c r="T271" s="19">
        <f>VALUE(RIGHT(Q271,2))</f>
        <v/>
      </c>
      <c r="U271" s="19" t="inlineStr">
        <is>
          <t>month</t>
        </is>
      </c>
      <c r="V271" s="19" t="inlineStr">
        <is>
          <t>Coldest month in US history; anchored to Feb 1936</t>
        </is>
      </c>
    </row>
    <row r="272" ht="68.25" customHeight="1" s="13">
      <c r="A272" s="19" t="n">
        <v>272</v>
      </c>
      <c r="B272" s="19" t="inlineStr">
        <is>
          <t>1972-07-01</t>
        </is>
      </c>
      <c r="C272" s="19" t="inlineStr">
        <is>
          <t>1972-07-31</t>
        </is>
      </c>
      <c r="D272" s="19">
        <f>VALUE(LEFT(B272,4))</f>
        <v/>
      </c>
      <c r="E272" s="19">
        <f>INT((D272-1)/100)+1</f>
        <v/>
      </c>
      <c r="F272" s="19" t="inlineStr">
        <is>
          <t>Heat wave</t>
        </is>
      </c>
      <c r="G272" s="19" t="inlineStr">
        <is>
          <t>July 1972 Northeast heat wave</t>
        </is>
      </c>
      <c r="H272" s="19" t="inlineStr">
        <is>
          <t>Northeast (NYC-centered)</t>
        </is>
      </c>
      <c r="I272" s="19" t="inlineStr">
        <is>
          <t>Albany peak only 91°F (Jul 19 1972) — LOCALLY MILD. NYC hit 100°F (Jul 23); ~2-week heat wave, very high humidity</t>
        </is>
      </c>
      <c r="J272" s="19" t="inlineStr">
        <is>
          <t>NYC / regional</t>
        </is>
      </c>
      <c r="K272" s="19" t="inlineStr">
        <is>
          <t>~900 excess deaths in the NYC metro per a landmark heat-mortality study (Environ. Research 1975). Followed Hurricane Agnes (June 1972 flood).</t>
        </is>
      </c>
      <c r="L272" s="19" t="inlineStr">
        <is>
          <t>NYC 1972 heat-mortality study; NWS Albany annual highs</t>
        </is>
      </c>
      <c r="M272" s="19" t="n"/>
      <c r="N272" s="19" t="inlineStr">
        <is>
          <t>B</t>
        </is>
      </c>
      <c r="O272" s="19" t="inlineStr">
        <is>
          <t>Y</t>
        </is>
      </c>
      <c r="P272" s="19" t="inlineStr">
        <is>
          <t>A NYC/urban heat-mortality event that barely registered at Albany (91°F). Documented as a regional heat wave but locally minor.</t>
        </is>
      </c>
      <c r="Q272" s="19" t="inlineStr">
        <is>
          <t>1972-07-01</t>
        </is>
      </c>
      <c r="R272" s="19">
        <f>VALUE(LEFT(Q272,4))</f>
        <v/>
      </c>
      <c r="S272" s="19">
        <f>VALUE(MID(Q272,6,2))</f>
        <v/>
      </c>
      <c r="T272" s="19">
        <f>VALUE(RIGHT(Q272,2))</f>
        <v/>
      </c>
      <c r="U272" s="19" t="inlineStr">
        <is>
          <t>month</t>
        </is>
      </c>
      <c r="V272" s="19" t="inlineStr">
        <is>
          <t>Multi-week heat wave; anchored to Jul 1972</t>
        </is>
      </c>
    </row>
    <row r="273" ht="57" customHeight="1" s="13">
      <c r="A273" s="19" t="n">
        <v>273</v>
      </c>
      <c r="B273" s="19" t="inlineStr">
        <is>
          <t>2001-08-01</t>
        </is>
      </c>
      <c r="C273" s="19" t="inlineStr">
        <is>
          <t>2001-08-10</t>
        </is>
      </c>
      <c r="D273" s="19">
        <f>VALUE(LEFT(B273,4))</f>
        <v/>
      </c>
      <c r="E273" s="19">
        <f>INT((D273-1)/100)+1</f>
        <v/>
      </c>
      <c r="F273" s="19" t="inlineStr">
        <is>
          <t>Heat wave</t>
        </is>
      </c>
      <c r="G273" s="19" t="inlineStr">
        <is>
          <t>August 2001 Eastern heat wave</t>
        </is>
      </c>
      <c r="H273" s="19" t="inlineStr">
        <is>
          <t>Eastern seaboard / SE Canada</t>
        </is>
      </c>
      <c r="I273" s="19" t="inlineStr">
        <is>
          <t>Albany 96°F (Aug 9 2001) — the year's hottest day. &gt;1 week &gt;95°F on the coast; Newark tied its all-time 106°F</t>
        </is>
      </c>
      <c r="J273" s="19" t="inlineStr">
        <is>
          <t>regional</t>
        </is>
      </c>
      <c r="K273" s="19" t="inlineStr">
        <is>
          <t>A widespread eastern-seaboard heat wave; the 106°F record is NJ (Newark), not Albany.</t>
        </is>
      </c>
      <c r="L273" s="19" t="inlineStr">
        <is>
          <t>Wikipedia — 2001 E. NA heat wave; NWS Albany annual highs</t>
        </is>
      </c>
      <c r="M273" s="19" t="n"/>
      <c r="N273" s="19" t="inlineStr">
        <is>
          <t>B</t>
        </is>
      </c>
      <c r="O273" s="19" t="inlineStr">
        <is>
          <t>Y</t>
        </is>
      </c>
      <c r="P273" s="19" t="inlineStr">
        <is>
          <t>Albany peak 96°F (Aug 9 2001).</t>
        </is>
      </c>
      <c r="Q273" s="19" t="inlineStr">
        <is>
          <t>2001-08-08</t>
        </is>
      </c>
      <c r="R273" s="19">
        <f>VALUE(LEFT(Q273,4))</f>
        <v/>
      </c>
      <c r="S273" s="19">
        <f>VALUE(MID(Q273,6,2))</f>
        <v/>
      </c>
      <c r="T273" s="19">
        <f>VALUE(RIGHT(Q273,2))</f>
        <v/>
      </c>
      <c r="U273" s="19" t="inlineStr">
        <is>
          <t>days</t>
        </is>
      </c>
      <c r="V273" s="19" t="inlineStr">
        <is>
          <t>Early-August peak (dates approx)</t>
        </is>
      </c>
    </row>
    <row r="274" ht="45.75" customHeight="1" s="13">
      <c r="A274" s="19" t="n">
        <v>274</v>
      </c>
      <c r="B274" s="19" t="inlineStr">
        <is>
          <t>2002-04-01</t>
        </is>
      </c>
      <c r="C274" s="19" t="inlineStr">
        <is>
          <t>2002-04-30</t>
        </is>
      </c>
      <c r="D274" s="19">
        <f>VALUE(LEFT(B274,4))</f>
        <v/>
      </c>
      <c r="E274" s="19">
        <f>INT((D274-1)/100)+1</f>
        <v/>
      </c>
      <c r="F274" s="19" t="inlineStr">
        <is>
          <t>Heat wave (spring)</t>
        </is>
      </c>
      <c r="G274" s="19" t="inlineStr">
        <is>
          <t>April 2002 Eastern spring heat wave</t>
        </is>
      </c>
      <c r="H274" s="19" t="inlineStr">
        <is>
          <t>Eastern US</t>
        </is>
      </c>
      <c r="I274" s="19" t="inlineStr">
        <is>
          <t>Summer-like heat in spring; specific dates/temps not given in source</t>
        </is>
      </c>
      <c r="J274" s="19" t="inlineStr">
        <is>
          <t>regional</t>
        </is>
      </c>
      <c r="K274" s="19" t="inlineStr">
        <is>
          <t>A spring warm spell across the Eastern US — phenological interest (early bloom), cf. the March 2012 heat wave's record early bloom.</t>
        </is>
      </c>
      <c r="L274" s="19" t="inlineStr">
        <is>
          <t>Wikipedia — List of heat waves</t>
        </is>
      </c>
      <c r="M274" s="19" t="n"/>
      <c r="N274" s="19" t="inlineStr">
        <is>
          <t>C</t>
        </is>
      </c>
      <c r="O274" s="19" t="inlineStr">
        <is>
          <t>N</t>
        </is>
      </c>
      <c r="P274" s="19" t="inlineStr">
        <is>
          <t>VAGUE in source: no date or figure. Likely a mid-April 2002 warm spell — NEEDS a specific date + Albany temp to firm up. Thinnest of the recent heat additions.</t>
        </is>
      </c>
      <c r="Q274" s="19" t="inlineStr">
        <is>
          <t>2002-04-15</t>
        </is>
      </c>
      <c r="R274" s="19">
        <f>VALUE(LEFT(Q274,4))</f>
        <v/>
      </c>
      <c r="S274" s="19">
        <f>VALUE(MID(Q274,6,2))</f>
        <v/>
      </c>
      <c r="T274" s="19">
        <f>VALUE(RIGHT(Q274,2))</f>
        <v/>
      </c>
      <c r="U274" s="19" t="inlineStr">
        <is>
          <t>month</t>
        </is>
      </c>
      <c r="V274" s="19" t="inlineStr">
        <is>
          <t>April 2002 spring warm spell (date not specified)</t>
        </is>
      </c>
    </row>
    <row r="275" ht="45.75" customHeight="1" s="13">
      <c r="A275" s="19" t="n">
        <v>275</v>
      </c>
      <c r="B275" s="19" t="inlineStr">
        <is>
          <t>2010-07-04</t>
        </is>
      </c>
      <c r="C275" s="19" t="inlineStr">
        <is>
          <t>2010-07-09</t>
        </is>
      </c>
      <c r="D275" s="19">
        <f>VALUE(LEFT(B275,4))</f>
        <v/>
      </c>
      <c r="E275" s="19">
        <f>INT((D275-1)/100)+1</f>
        <v/>
      </c>
      <c r="F275" s="19" t="inlineStr">
        <is>
          <t>Heat wave</t>
        </is>
      </c>
      <c r="G275" s="19" t="inlineStr">
        <is>
          <t>July 2010 East Coast heat wave</t>
        </is>
      </c>
      <c r="H275" s="19" t="inlineStr">
        <is>
          <t>East Coast (Carolinas–Maine)</t>
        </is>
      </c>
      <c r="I275" s="19" t="inlineStr">
        <is>
          <t>Albany 96°F (Jul 6 2010) — the year's hottest day. I-95 corridor (Philly/NYC/DC/Boston) topped 100°F Jul 4–9</t>
        </is>
      </c>
      <c r="J275" s="19" t="inlineStr">
        <is>
          <t>regional</t>
        </is>
      </c>
      <c r="K275" s="19" t="inlineStr">
        <is>
          <t>Severe I-95-corridor heat wave; Philly &amp; NYC topped 100°F for the first time since 2001.</t>
        </is>
      </c>
      <c r="L275" s="19" t="inlineStr">
        <is>
          <t>Wikipedia — List of heat waves; NWS Albany annual highs</t>
        </is>
      </c>
      <c r="M275" s="19" t="n"/>
      <c r="N275" s="19" t="inlineStr">
        <is>
          <t>B</t>
        </is>
      </c>
      <c r="O275" s="19" t="inlineStr">
        <is>
          <t>Y</t>
        </is>
      </c>
      <c r="P275" s="19" t="inlineStr">
        <is>
          <t>Albany peak 96°F (Jul 6 2010) — high-90s inland vs 100°F+ on the coast. Wilmington DE 103°F Jul 7.</t>
        </is>
      </c>
      <c r="Q275" s="19" t="inlineStr">
        <is>
          <t>2010-07-07</t>
        </is>
      </c>
      <c r="R275" s="19">
        <f>VALUE(LEFT(Q275,4))</f>
        <v/>
      </c>
      <c r="S275" s="19">
        <f>VALUE(MID(Q275,6,2))</f>
        <v/>
      </c>
      <c r="T275" s="19">
        <f>VALUE(RIGHT(Q275,2))</f>
        <v/>
      </c>
      <c r="U275" s="19" t="inlineStr">
        <is>
          <t>days</t>
        </is>
      </c>
      <c r="V275" s="19" t="inlineStr">
        <is>
          <t>Jul 4–9 2010; anchored to the Jul 7 peak</t>
        </is>
      </c>
    </row>
    <row r="276" ht="57" customHeight="1" s="13">
      <c r="A276" s="19" t="n">
        <v>276</v>
      </c>
      <c r="B276" s="19" t="inlineStr">
        <is>
          <t>2012-06-20</t>
        </is>
      </c>
      <c r="C276" s="19" t="inlineStr">
        <is>
          <t>2012-08-15</t>
        </is>
      </c>
      <c r="D276" s="19">
        <f>VALUE(LEFT(B276,4))</f>
        <v/>
      </c>
      <c r="E276" s="19">
        <f>INT((D276-1)/100)+1</f>
        <v/>
      </c>
      <c r="F276" s="19" t="inlineStr">
        <is>
          <t>Heat wave</t>
        </is>
      </c>
      <c r="G276" s="19" t="inlineStr">
        <is>
          <t>Summer 2012 heat wave</t>
        </is>
      </c>
      <c r="H276" s="19" t="inlineStr">
        <is>
          <t>Region</t>
        </is>
      </c>
      <c r="I276" s="19" t="inlineStr">
        <is>
          <t>Albany 98°F (Jul 17 2012), the year's hottest day; ~13 days ≥90°F</t>
        </is>
      </c>
      <c r="J276" s="19" t="inlineStr">
        <is>
          <t>regional</t>
        </is>
      </c>
      <c r="K276" s="19" t="inlineStr">
        <is>
          <t>Part of the broad summer-2012 North American heat wave (heat spread E from the Rockies, lasting to mid-Aug). Moderate at Albany.</t>
        </is>
      </c>
      <c r="L276" s="19" t="inlineStr">
        <is>
          <t>NWS Albany StormBuster Fall 2012; annual highs</t>
        </is>
      </c>
      <c r="M276" s="19" t="n"/>
      <c r="N276" s="19" t="inlineStr">
        <is>
          <t>B</t>
        </is>
      </c>
      <c r="O276" s="19" t="inlineStr">
        <is>
          <t>Y</t>
        </is>
      </c>
      <c r="P276" s="19" t="inlineStr">
        <is>
          <t>NWS Albany: 'a hot summer but nothing earth-shattering' — no daily temperature records. NOTE: the June 29–30 2012 derecho (3M without power) tracked IN→OH→WV→VA→MD→DC→S. NJ — SOUTH of the Capital District — so it is EXCLUDED (out of the register footprint).</t>
        </is>
      </c>
      <c r="Q276" s="19" t="inlineStr">
        <is>
          <t>2012-07-17</t>
        </is>
      </c>
      <c r="R276" s="19">
        <f>VALUE(LEFT(Q276,4))</f>
        <v/>
      </c>
      <c r="S276" s="19">
        <f>VALUE(MID(Q276,6,2))</f>
        <v/>
      </c>
      <c r="T276" s="19">
        <f>VALUE(RIGHT(Q276,2))</f>
        <v/>
      </c>
      <c r="U276" s="19" t="inlineStr">
        <is>
          <t>days</t>
        </is>
      </c>
      <c r="V276" s="19" t="inlineStr">
        <is>
          <t>Multi-week; anchored to the Jul 17 Albany peak</t>
        </is>
      </c>
    </row>
    <row r="277" ht="79.5" customHeight="1" s="13">
      <c r="A277" s="19" t="n">
        <v>277</v>
      </c>
      <c r="B277" s="19" t="inlineStr">
        <is>
          <t>2017-09-24</t>
        </is>
      </c>
      <c r="C277" s="19" t="inlineStr">
        <is>
          <t>2017-09-26</t>
        </is>
      </c>
      <c r="D277" s="19">
        <f>VALUE(LEFT(B277,4))</f>
        <v/>
      </c>
      <c r="E277" s="19">
        <f>INT((D277-1)/100)+1</f>
        <v/>
      </c>
      <c r="F277" s="19" t="inlineStr">
        <is>
          <t>Heat wave</t>
        </is>
      </c>
      <c r="G277" s="19" t="inlineStr">
        <is>
          <t>September 2017 late-season heat wave</t>
        </is>
      </c>
      <c r="H277" s="19" t="inlineStr">
        <is>
          <t>Region</t>
        </is>
      </c>
      <c r="I277" s="19" t="inlineStr">
        <is>
          <t>Albany's LATEST-in-the-year 90°F+ 3-day heat wave on record (Sep 24–26 2017)</t>
        </is>
      </c>
      <c r="J277" s="19" t="inlineStr">
        <is>
          <t>regional</t>
        </is>
      </c>
      <c r="K277" s="19" t="inlineStr">
        <is>
          <t>Unusually late-season heat across the Eastern US &amp; E. Canada; at Albany it set the record for the latest 3-day 90°F+ stretch, and 2017 set the most daily record highs of any year at Albany (15).</t>
        </is>
      </c>
      <c r="L277" s="19" t="inlineStr">
        <is>
          <t>NWS Albany ALB_Extremes / annual record highs</t>
        </is>
      </c>
      <c r="M277" s="19" t="n"/>
      <c r="N277" s="19" t="inlineStr">
        <is>
          <t>B</t>
        </is>
      </c>
      <c r="O277" s="19" t="inlineStr">
        <is>
          <t>Y</t>
        </is>
      </c>
      <c r="P277" s="19" t="inlineStr">
        <is>
          <t>A record for TIMING (latest-season), not magnitude — remarkable for late September.</t>
        </is>
      </c>
      <c r="Q277" s="19" t="inlineStr">
        <is>
          <t>2017-09-25</t>
        </is>
      </c>
      <c r="R277" s="19">
        <f>VALUE(LEFT(Q277,4))</f>
        <v/>
      </c>
      <c r="S277" s="19">
        <f>VALUE(MID(Q277,6,2))</f>
        <v/>
      </c>
      <c r="T277" s="19">
        <f>VALUE(RIGHT(Q277,2))</f>
        <v/>
      </c>
      <c r="U277" s="19" t="inlineStr">
        <is>
          <t>days</t>
        </is>
      </c>
      <c r="V277" s="19" t="inlineStr">
        <is>
          <t>Latest-season 90+ heat wave on record; anchored Sep 25</t>
        </is>
      </c>
    </row>
    <row r="278" ht="34.5" customHeight="1" s="13">
      <c r="A278" s="19" t="n">
        <v>278</v>
      </c>
      <c r="B278" s="19" t="inlineStr">
        <is>
          <t>2018-06-29</t>
        </is>
      </c>
      <c r="C278" s="19" t="inlineStr">
        <is>
          <t>2018-07-05</t>
        </is>
      </c>
      <c r="D278" s="19">
        <f>VALUE(LEFT(B278,4))</f>
        <v/>
      </c>
      <c r="E278" s="19">
        <f>INT((D278-1)/100)+1</f>
        <v/>
      </c>
      <c r="F278" s="19" t="inlineStr">
        <is>
          <t>Heat wave</t>
        </is>
      </c>
      <c r="G278" s="19" t="inlineStr">
        <is>
          <t>Late June–July 2018 heat wave</t>
        </is>
      </c>
      <c r="H278" s="19" t="inlineStr">
        <is>
          <t>Region</t>
        </is>
      </c>
      <c r="I278" s="19" t="inlineStr">
        <is>
          <t>Albany 97°F (Jul 2 2018); 2018 set 9 daily record highs at Albany</t>
        </is>
      </c>
      <c r="J278" s="19" t="inlineStr">
        <is>
          <t>regional</t>
        </is>
      </c>
      <c r="K278" s="19" t="inlineStr">
        <is>
          <t>Part of the broad 2018 North American heat wave (Mexico late May → Quebec early July, ~74 deaths → SW US); reached the Northeast in a hot late-June/early-July stretch.</t>
        </is>
      </c>
      <c r="L278" s="19" t="inlineStr">
        <is>
          <t>NWS Albany annual record highs</t>
        </is>
      </c>
      <c r="M278" s="19" t="n"/>
      <c r="N278" s="19" t="inlineStr">
        <is>
          <t>B</t>
        </is>
      </c>
      <c r="O278" s="19" t="inlineStr">
        <is>
          <t>Y</t>
        </is>
      </c>
      <c r="P278" s="19" t="inlineStr">
        <is>
          <t>Albany peak 97°F (Jul 2 2018); 9 daily records that year. The Mexico/Quebec/SoCal/AZ figures are elsewhere — Albany's local peak was 97°F.</t>
        </is>
      </c>
      <c r="Q278" s="19" t="inlineStr">
        <is>
          <t>2018-07-02</t>
        </is>
      </c>
      <c r="R278" s="19">
        <f>VALUE(LEFT(Q278,4))</f>
        <v/>
      </c>
      <c r="S278" s="19">
        <f>VALUE(MID(Q278,6,2))</f>
        <v/>
      </c>
      <c r="T278" s="19">
        <f>VALUE(RIGHT(Q278,2))</f>
        <v/>
      </c>
      <c r="U278" s="19" t="inlineStr">
        <is>
          <t>days</t>
        </is>
      </c>
      <c r="V278" s="19" t="inlineStr">
        <is>
          <t>Late-June/early-July stretch; anchored to the Jul 2 Albany peak</t>
        </is>
      </c>
    </row>
    <row r="279" ht="34.5" customHeight="1" s="13">
      <c r="A279" s="19" t="n">
        <v>279</v>
      </c>
      <c r="B279" s="19" t="inlineStr">
        <is>
          <t>2020-06-17</t>
        </is>
      </c>
      <c r="C279" s="19" t="inlineStr">
        <is>
          <t>2020-06-22</t>
        </is>
      </c>
      <c r="D279" s="19">
        <f>VALUE(LEFT(B279,4))</f>
        <v/>
      </c>
      <c r="E279" s="19">
        <f>INT((D279-1)/100)+1</f>
        <v/>
      </c>
      <c r="F279" s="19" t="inlineStr">
        <is>
          <t>Heat wave</t>
        </is>
      </c>
      <c r="G279" s="19" t="inlineStr">
        <is>
          <t>June 2020 heat wave</t>
        </is>
      </c>
      <c r="H279" s="19" t="inlineStr">
        <is>
          <t>Region / Northern New England</t>
        </is>
      </c>
      <c r="I279" s="19" t="inlineStr">
        <is>
          <t>Albany 95°F (Jun 22 2020), the year's hottest day</t>
        </is>
      </c>
      <c r="J279" s="19" t="inlineStr">
        <is>
          <t>regional</t>
        </is>
      </c>
      <c r="K279" s="19" t="inlineStr">
        <is>
          <t>The Capital-District reach of a late-spring 2020 Northern New England / E. Canada heat wave (Montreal all-time May record 97.9°F on May 27; Burlington VT 95°F; New Brunswick &amp; Caribou ME June records; Quebec wildfires). The most extreme records were NORTH of Albany.</t>
        </is>
      </c>
      <c r="L279" s="19" t="inlineStr">
        <is>
          <t>NWS Albany annual record highs</t>
        </is>
      </c>
      <c r="M279" s="19" t="n"/>
      <c r="N279" s="19" t="inlineStr">
        <is>
          <t>B</t>
        </is>
      </c>
      <c r="O279" s="19" t="inlineStr">
        <is>
          <t>Y</t>
        </is>
      </c>
      <c r="P279" s="19" t="inlineStr">
        <is>
          <t>Albany peak 95°F Jun 22 2020. The May 27 first wave and the Canadian/Maine records were to the north; the mid-June wave is the part that reached the Capital District.</t>
        </is>
      </c>
      <c r="Q279" s="19" t="inlineStr">
        <is>
          <t>2020-06-22</t>
        </is>
      </c>
      <c r="R279" s="19">
        <f>VALUE(LEFT(Q279,4))</f>
        <v/>
      </c>
      <c r="S279" s="19">
        <f>VALUE(MID(Q279,6,2))</f>
        <v/>
      </c>
      <c r="T279" s="19">
        <f>VALUE(RIGHT(Q279,2))</f>
        <v/>
      </c>
      <c r="U279" s="19" t="inlineStr">
        <is>
          <t>days</t>
        </is>
      </c>
      <c r="V279" s="19" t="inlineStr">
        <is>
          <t>Mid-June stretch; anchored to the Jun 22 Albany peak</t>
        </is>
      </c>
    </row>
    <row r="280" ht="57" customHeight="1" s="13">
      <c r="A280" s="19" t="n">
        <v>280</v>
      </c>
      <c r="B280" s="19" t="inlineStr">
        <is>
          <t>2025-06-23</t>
        </is>
      </c>
      <c r="C280" s="19" t="inlineStr">
        <is>
          <t>2025-06-25</t>
        </is>
      </c>
      <c r="D280" s="19">
        <f>VALUE(LEFT(B280,4))</f>
        <v/>
      </c>
      <c r="E280" s="19">
        <f>INT((D280-1)/100)+1</f>
        <v/>
      </c>
      <c r="F280" s="19" t="inlineStr">
        <is>
          <t>Heat wave</t>
        </is>
      </c>
      <c r="G280" s="19" t="inlineStr">
        <is>
          <t>June 2025 heat dome</t>
        </is>
      </c>
      <c r="H280" s="19" t="inlineStr">
        <is>
          <t>Region</t>
        </is>
      </c>
      <c r="I280" s="19" t="inlineStr">
        <is>
          <t>Albany 96°F on Jun 23 &amp; 24 2025 (both tied daily records — 1888 &amp; 1943); record-high min 74°F Jun 25; heat index to 107°F</t>
        </is>
      </c>
      <c r="J280" s="19" t="inlineStr">
        <is>
          <t>regional</t>
        </is>
      </c>
      <c r="K280" s="19" t="inlineStr">
        <is>
          <t>'High end' 3-day heat wave under a heat dome (600 dm ridge over the central Appalachians). Remarkable humidity — Albany dewpoint ≥70°F for 37 consecutive hours (Jun 22–24). Rare extreme-heat WARNINGS for the Hudson Valley; Gov. Hochul mobilized state agencies. Regional records same days: Islip NY 101°F (hottest June day &amp; earliest 100°F ever), Newark 103°F, Boston a New England record, Montreal warmest June ever.</t>
        </is>
      </c>
      <c r="L280" s="19" t="inlineStr">
        <is>
          <t>NWS Albany / NWS OKX June 2025</t>
        </is>
      </c>
      <c r="M280" s="19" t="n"/>
      <c r="N280" s="19" t="inlineStr">
        <is>
          <t>A</t>
        </is>
      </c>
      <c r="O280" s="19" t="inlineStr">
        <is>
          <t>Y</t>
        </is>
      </c>
      <c r="P280" s="19" t="inlineStr">
        <is>
          <t>Albany peak 96°F Jun 23 &amp; 24 2025, both tied daily records (1888, 1943). One of the best-documented modern heat waves in the register; humidity-driven (107°F heat index).</t>
        </is>
      </c>
      <c r="Q280" s="19" t="inlineStr">
        <is>
          <t>2025-06-24</t>
        </is>
      </c>
      <c r="R280" s="19">
        <f>VALUE(LEFT(Q280,4))</f>
        <v/>
      </c>
      <c r="S280" s="19">
        <f>VALUE(MID(Q280,6,2))</f>
        <v/>
      </c>
      <c r="T280" s="19">
        <f>VALUE(RIGHT(Q280,2))</f>
        <v/>
      </c>
      <c r="U280" s="19" t="inlineStr">
        <is>
          <t>days</t>
        </is>
      </c>
      <c r="V280" s="19" t="inlineStr">
        <is>
          <t>3-day heat wave Jun 23-25; anchored to the Jun 24 peak</t>
        </is>
      </c>
    </row>
    <row r="281" ht="79.5" customHeight="1" s="13">
      <c r="A281" s="19" t="n">
        <v>281</v>
      </c>
      <c r="B281" s="19" t="inlineStr">
        <is>
          <t>2006-07-27</t>
        </is>
      </c>
      <c r="C281" s="19" t="inlineStr">
        <is>
          <t>2006-08-03</t>
        </is>
      </c>
      <c r="D281" s="19">
        <f>VALUE(LEFT(B281,4))</f>
        <v/>
      </c>
      <c r="E281" s="19">
        <f>INT((D281-1)/100)+1</f>
        <v/>
      </c>
      <c r="F281" s="19" t="inlineStr">
        <is>
          <t>Heat wave</t>
        </is>
      </c>
      <c r="G281" s="19" t="inlineStr">
        <is>
          <t>Late Jul–Aug 2006 heat wave</t>
        </is>
      </c>
      <c r="H281" s="19" t="inlineStr">
        <is>
          <t>Region</t>
        </is>
      </c>
      <c r="I281" s="19" t="inlineStr">
        <is>
          <t>Albany 96°F (Aug 1 2006), the year's hottest day</t>
        </is>
      </c>
      <c r="J281" s="19" t="inlineStr">
        <is>
          <t>regional</t>
        </is>
      </c>
      <c r="K281" s="19" t="inlineStr">
        <is>
          <t>Part of the major late-Jul/early-Aug 2006 North American heat wave (heat deaths in California; the 2006 Queens NYC blackout, 174k affected). The Jul 17–21 2006 derecho series reached the NE US but its documented paths were Upper Midwest/Ontario — no confirmed Capital-District damage.</t>
        </is>
      </c>
      <c r="L281" s="19" t="inlineStr">
        <is>
          <t>NWS Albany annual highs; Wikipedia — 2006 heat wave/derecho series</t>
        </is>
      </c>
      <c r="M281" s="19" t="n"/>
      <c r="N281" s="19" t="inlineStr">
        <is>
          <t>B</t>
        </is>
      </c>
      <c r="O281" s="19" t="inlineStr">
        <is>
          <t>Y</t>
        </is>
      </c>
      <c r="P281" s="19" t="inlineStr">
        <is>
          <t>Albany peak 96°F Aug 1 2006. The 2006 derecho series (Jul 17–21) is EXCLUDED — NE-US reach per Wikipedia but no Capital-District damage confirmed (cf. the 1995 Adirondack derecho, which did hit upstate NY).</t>
        </is>
      </c>
      <c r="Q281" s="19" t="inlineStr">
        <is>
          <t>2006-08-01</t>
        </is>
      </c>
      <c r="R281" s="19">
        <f>VALUE(LEFT(Q281,4))</f>
        <v/>
      </c>
      <c r="S281" s="19">
        <f>VALUE(MID(Q281,6,2))</f>
        <v/>
      </c>
      <c r="T281" s="19">
        <f>VALUE(RIGHT(Q281,2))</f>
        <v/>
      </c>
      <c r="U281" s="19" t="inlineStr">
        <is>
          <t>days</t>
        </is>
      </c>
      <c r="V281" s="19" t="inlineStr">
        <is>
          <t>Late Jul–early Aug; anchored to the Aug 1 Albany peak</t>
        </is>
      </c>
    </row>
    <row r="282" ht="57" customHeight="1" s="13">
      <c r="A282" s="19" t="n">
        <v>282</v>
      </c>
      <c r="B282" s="19" t="inlineStr">
        <is>
          <t>1901-06-27</t>
        </is>
      </c>
      <c r="C282" s="19" t="inlineStr">
        <is>
          <t>1901-07-06</t>
        </is>
      </c>
      <c r="D282" s="19">
        <f>VALUE(LEFT(B282,4))</f>
        <v/>
      </c>
      <c r="E282" s="19">
        <f>INT((D282-1)/100)+1</f>
        <v/>
      </c>
      <c r="F282" s="19" t="inlineStr">
        <is>
          <t>Heat wave</t>
        </is>
      </c>
      <c r="G282" s="19" t="inlineStr">
        <is>
          <t>1901 Eastern US heat wave</t>
        </is>
      </c>
      <c r="H282" s="19" t="inlineStr">
        <is>
          <t>Northeast / Eastern US</t>
        </is>
      </c>
      <c r="I282" s="19" t="inlineStr">
        <is>
          <t>Albany 98°F (early Jul 1901); prolonged 90°F+ heat with high humidity</t>
        </is>
      </c>
      <c r="J282" s="19" t="inlineStr">
        <is>
          <t>regional</t>
        </is>
      </c>
      <c r="K282" s="19" t="inlineStr">
        <is>
          <t>The DEADLIEST US heat wave by raw toll — ~9,500 deaths nationally (~4,000 in the NE/Midwest); NYC ~724–989 deaths, 250+ horses dead in a day. Contemporary Weather Bureau maxes: Albany 98, NYC 98, Boston 94, Philadelphia 103, Washington 100.</t>
        </is>
      </c>
      <c r="L282" s="19" t="inlineStr">
        <is>
          <t>Wikipedia / US Weather Bureau report (via usdeadlyevents.com)</t>
        </is>
      </c>
      <c r="M282" s="19" t="n"/>
      <c r="N282" s="19" t="inlineStr">
        <is>
          <t>B</t>
        </is>
      </c>
      <c r="O282" s="19" t="inlineStr">
        <is>
          <t>Y</t>
        </is>
      </c>
      <c r="P282" s="19" t="inlineStr">
        <is>
          <t>Albany peak 98°F, early July 1901. One of the deadliest US disasters before the Dust Bowl; part of a ~50-day hot summer across the Ohio Valley/East.</t>
        </is>
      </c>
      <c r="Q282" s="19" t="inlineStr">
        <is>
          <t>1901-07-02</t>
        </is>
      </c>
      <c r="R282" s="19">
        <f>VALUE(LEFT(Q282,4))</f>
        <v/>
      </c>
      <c r="S282" s="19">
        <f>VALUE(MID(Q282,6,2))</f>
        <v/>
      </c>
      <c r="T282" s="19">
        <f>VALUE(RIGHT(Q282,2))</f>
        <v/>
      </c>
      <c r="U282" s="19" t="inlineStr">
        <is>
          <t>days</t>
        </is>
      </c>
      <c r="V282" s="19" t="inlineStr">
        <is>
          <t>NE peak late-Jun–early-Jul; anchored Jul 2 1901</t>
        </is>
      </c>
    </row>
    <row r="283" ht="45.75" customHeight="1" s="13">
      <c r="A283" s="19" t="n">
        <v>283</v>
      </c>
      <c r="B283" s="19" t="inlineStr">
        <is>
          <t>1903-01-29</t>
        </is>
      </c>
      <c r="C283" s="19" t="inlineStr">
        <is>
          <t>1903-01-30</t>
        </is>
      </c>
      <c r="D283" s="19">
        <f>VALUE(LEFT(B283,4))</f>
        <v/>
      </c>
      <c r="E283" s="19">
        <f>INT((D283-1)/100)+1</f>
        <v/>
      </c>
      <c r="F283" s="19" t="inlineStr">
        <is>
          <t>Landslide</t>
        </is>
      </c>
      <c r="G283" s="19" t="inlineStr">
        <is>
          <t>Jan 1903 Staatsburg clay landslide (NY Central RR)</t>
        </is>
      </c>
      <c r="H283" s="19" t="inlineStr">
        <is>
          <t>Staatsburg (Dutchess Co.), Hudson River E bank ~8 mi N of Poughkeepsie</t>
        </is>
      </c>
      <c r="I283" s="19" t="inlineStr">
        <is>
          <t>Both NY Central tracks buried for ~1 mi, clay up to 15 ft deep; no injuries (a train had just passed)</t>
        </is>
      </c>
      <c r="J283" s="19" t="inlineStr">
        <is>
          <t>Chatham Courier</t>
        </is>
      </c>
      <c r="K283" s="19" t="inlineStr">
        <is>
          <t>A Glacial Lake Albany clay slide onto the NY Central Hudson River line; Albany–NYC trains rerouted via Chatham (Boston &amp; Albany / Harlem roads). 'ANOTHER landslide' — one of the recurring rail-burying slides. Struck just after train No. 69 passed Staatsburg (6:24).</t>
        </is>
      </c>
      <c r="L283" s="19" t="inlineStr">
        <is>
          <t>Chatham Courier, 4 Feb 1903 (via NYS Historic Newspapers)</t>
        </is>
      </c>
      <c r="M283" s="19" t="n"/>
      <c r="N283" s="19" t="inlineStr">
        <is>
          <t>B</t>
        </is>
      </c>
      <c r="O283" s="19" t="inlineStr">
        <is>
          <t>Y</t>
        </is>
      </c>
      <c r="P283" s="19" t="inlineStr">
        <is>
          <t>Date inferred: 'Thursday night' before the Wed 4 Feb 1903 Courier = 29 Jan 1903. ~45 mi S of Westerlo. A dated instance of the Lake Albany clay-slides pattern row.</t>
        </is>
      </c>
      <c r="Q283" s="19" t="inlineStr">
        <is>
          <t>1903-01-29</t>
        </is>
      </c>
      <c r="R283" s="19">
        <f>VALUE(LEFT(Q283,4))</f>
        <v/>
      </c>
      <c r="S283" s="19">
        <f>VALUE(MID(Q283,6,2))</f>
        <v/>
      </c>
      <c r="T283" s="19">
        <f>VALUE(RIGHT(Q283,2))</f>
        <v/>
      </c>
      <c r="U283" s="19" t="inlineStr">
        <is>
          <t>day</t>
        </is>
      </c>
      <c r="V283" s="19" t="inlineStr">
        <is>
          <t>'Thursday night' (inferred 29 Jan 1903) before the 4 Feb 1903 Courier</t>
        </is>
      </c>
    </row>
    <row r="284" ht="57" customHeight="1" s="13">
      <c r="A284" s="19" t="n">
        <v>284</v>
      </c>
      <c r="B284" s="19" t="inlineStr">
        <is>
          <t>1893-12-26</t>
        </is>
      </c>
      <c r="C284" s="19" t="inlineStr">
        <is>
          <t>1893-12-26</t>
        </is>
      </c>
      <c r="D284" s="19">
        <f>VALUE(LEFT(B284,4))</f>
        <v/>
      </c>
      <c r="E284" s="19">
        <f>INT((D284-1)/100)+1</f>
        <v/>
      </c>
      <c r="F284" s="19" t="inlineStr">
        <is>
          <t>Landslide</t>
        </is>
      </c>
      <c r="G284" s="19" t="inlineStr">
        <is>
          <t>Dec 1893 Richmondville landslide (D&amp;H RR slate cut)</t>
        </is>
      </c>
      <c r="H284" s="19" t="inlineStr">
        <is>
          <t>Richmondville / Cobleskill (Schoharie Co.), D&amp;H Susquehanna Division</t>
        </is>
      </c>
      <c r="I284" s="19" t="inlineStr">
        <is>
          <t>Landslide in the slate cut east of Richmondville, on the D&amp;H (Susquehanna Division)</t>
        </is>
      </c>
      <c r="J284" s="19" t="inlineStr">
        <is>
          <t>Delaware &amp; Hudson RR</t>
        </is>
      </c>
      <c r="K284" s="19" t="inlineStr">
        <is>
          <t>A rock/slate slide that blocked the D&amp;H line in the cut east of Richmondville — one of the recurring Schoharie-valley RR slides.</t>
        </is>
      </c>
      <c r="L284" s="19" t="inlineStr">
        <is>
          <t>The Argus (Albany) 27 Dec 1893 (NYS Historic Newspapers); The Argus (Albany), Dec 27 1893 ("Landslide on the D. and H.", Cobleskill dispatch) [uploaded PDF scan]</t>
        </is>
      </c>
      <c r="M284" s="19" t="n"/>
      <c r="N284" s="19" t="inlineStr">
        <is>
          <t>B</t>
        </is>
      </c>
      <c r="O284" s="19" t="inlineStr">
        <is>
          <t>Y</t>
        </is>
      </c>
      <c r="P284" s="19" t="inlineStr">
        <is>
          <t>~25 mi W of Westerlo. A slate-cut slide (NOT Lake Albany clay) — a different lithology from the Hudson clay slides. 2026-09-22 (v827, atlas session): DUPLICATE row 318 (from the 2026-09-22 research-chat merge) folded in here and removed — it added: On the morning of Dec 26 1893 a landslide came down in the slate cut east of Richmondville on the Delaware &amp; Hudson Susquehanna division, obstructing the line. || Key measurement per that source: Landslide in the slate cut east of Richmondville, delaying the Cobleskill-area local</t>
        </is>
      </c>
      <c r="Q284" s="19" t="inlineStr">
        <is>
          <t>1893-12-26</t>
        </is>
      </c>
      <c r="R284" s="19">
        <f>VALUE(LEFT(Q284,4))</f>
        <v/>
      </c>
      <c r="S284" s="19">
        <f>VALUE(MID(Q284,6,2))</f>
        <v/>
      </c>
      <c r="T284" s="19">
        <f>VALUE(RIGHT(Q284,2))</f>
        <v/>
      </c>
      <c r="U284" s="19" t="inlineStr">
        <is>
          <t>day</t>
        </is>
      </c>
      <c r="V284" s="19" t="inlineStr">
        <is>
          <t>Dec 26 1893</t>
        </is>
      </c>
    </row>
    <row r="285" ht="34.5" customHeight="1" s="13">
      <c r="A285" s="19" t="n">
        <v>285</v>
      </c>
      <c r="B285" s="19" t="inlineStr">
        <is>
          <t>1956-05-31</t>
        </is>
      </c>
      <c r="C285" s="19" t="inlineStr">
        <is>
          <t>1956-06-01</t>
        </is>
      </c>
      <c r="D285" s="19">
        <f>VALUE(LEFT(B285,4))</f>
        <v/>
      </c>
      <c r="E285" s="19">
        <f>INT((D285-1)/100)+1</f>
        <v/>
      </c>
      <c r="F285" s="19" t="inlineStr">
        <is>
          <t>Rain flood / wind</t>
        </is>
      </c>
      <c r="G285" s="19" t="inlineStr">
        <is>
          <t>May–June 1956 Mohawk Valley flood &amp; windstorm</t>
        </is>
      </c>
      <c r="H285" s="19" t="inlineStr">
        <is>
          <t>Mohawk Valley (Rome→Cohoes); Capital District</t>
        </is>
      </c>
      <c r="I285" s="19" t="inlineStr">
        <is>
          <t>Low-land Mohawk flooding Rome→Cohoes; Schenectady 4–6 ft below flood stage; small landslides near Utica; a freak wind gust wrecked a barn in Cortland Co.</t>
        </is>
      </c>
      <c r="J285" s="19" t="inlineStr">
        <is>
          <t>NWS / AP</t>
        </is>
      </c>
      <c r="K285" s="19" t="inlineStr">
        <is>
          <t>A night of wind &amp; thunderstorms flooded the Mohawk lowlands and knocked out power; the Oriskany (Oneida Co.) airport was blacked out and a Mohawk Airlines plane landed by flares.</t>
        </is>
      </c>
      <c r="L285" s="19" t="inlineStr">
        <is>
          <t>Daily Bulletin (Endicott) 1 Jun 1956; AP</t>
        </is>
      </c>
      <c r="M285" s="19" t="n"/>
      <c r="N285" s="19" t="inlineStr">
        <is>
          <t>B</t>
        </is>
      </c>
      <c r="O285" s="19" t="inlineStr">
        <is>
          <t>Y</t>
        </is>
      </c>
      <c r="P285" s="19" t="inlineStr">
        <is>
          <t>PARTIAL reach: the flood's Capital-District edge (Schenectady near flood stage, Cohoes) is in footprint; the Utica landslides and Cortland barn are ~60–80 mi W.</t>
        </is>
      </c>
      <c r="Q285" s="19" t="inlineStr">
        <is>
          <t>1956-05-31</t>
        </is>
      </c>
      <c r="R285" s="19">
        <f>VALUE(LEFT(Q285,4))</f>
        <v/>
      </c>
      <c r="S285" s="19">
        <f>VALUE(MID(Q285,6,2))</f>
        <v/>
      </c>
      <c r="T285" s="19">
        <f>VALUE(RIGHT(Q285,2))</f>
        <v/>
      </c>
      <c r="U285" s="19" t="inlineStr">
        <is>
          <t>days</t>
        </is>
      </c>
      <c r="V285" s="19" t="inlineStr">
        <is>
          <t>Night of May 31–Jun 1 1956</t>
        </is>
      </c>
    </row>
    <row r="286" ht="45.75" customHeight="1" s="13">
      <c r="A286" s="19" t="n">
        <v>286</v>
      </c>
      <c r="B286" s="19" t="inlineStr">
        <is>
          <t>2000-04-15</t>
        </is>
      </c>
      <c r="C286" s="19" t="inlineStr">
        <is>
          <t>2000-04-30</t>
        </is>
      </c>
      <c r="D286" s="19">
        <f>VALUE(LEFT(B286,4))</f>
        <v/>
      </c>
      <c r="E286" s="19">
        <f>INT((D286-1)/100)+1</f>
        <v/>
      </c>
      <c r="F286" s="19" t="inlineStr">
        <is>
          <t>Landslide</t>
        </is>
      </c>
      <c r="G286" s="19" t="inlineStr">
        <is>
          <t>Spring 2000 Route 443 landslide (into the Normanskill)</t>
        </is>
      </c>
      <c r="H286" s="19" t="inlineStr">
        <is>
          <t>Route 443 near New Scotland, into the Normanskill</t>
        </is>
      </c>
      <c r="I286" s="19" t="inlineStr">
        <is>
          <t>A wet-spring 2000 landslide dumped a roadside vegetable stand near Route 443 into the Normanskill</t>
        </is>
      </c>
      <c r="J286" s="19" t="inlineStr">
        <is>
          <t>none</t>
        </is>
      </c>
      <c r="K286" s="19" t="inlineStr">
        <is>
          <t>A Lake Albany clay/till slide on the Normanskill during a wet spring; distinct from the 2016 Route 443 conglomerate slump further W at Gallupville–Shutters Corners.</t>
        </is>
      </c>
      <c r="L286" s="19" t="inlineStr">
        <is>
          <t>The Altamont Enterprise 24 May 2001</t>
        </is>
      </c>
      <c r="M286" s="19" t="n"/>
      <c r="N286" s="19" t="inlineStr">
        <is>
          <t>B</t>
        </is>
      </c>
      <c r="O286" s="19" t="inlineStr">
        <is>
          <t>Y</t>
        </is>
      </c>
      <c r="P286" s="19" t="inlineStr">
        <is>
          <t>Date approximate (wet spring 2000). A Normanskill clay-slide instance — same Glacial Lake Albany clay family as the Hudson RR slides.</t>
        </is>
      </c>
      <c r="Q286" s="19" t="inlineStr">
        <is>
          <t>2000-04-15</t>
        </is>
      </c>
      <c r="R286" s="19">
        <f>VALUE(LEFT(Q286,4))</f>
        <v/>
      </c>
      <c r="S286" s="19">
        <f>VALUE(MID(Q286,6,2))</f>
        <v/>
      </c>
      <c r="T286" s="19">
        <f>VALUE(RIGHT(Q286,2))</f>
        <v/>
      </c>
      <c r="U286" s="19" t="inlineStr">
        <is>
          <t>month</t>
        </is>
      </c>
      <c r="V286" s="19" t="inlineStr">
        <is>
          <t>Wet spring 2000 (date approx)</t>
        </is>
      </c>
    </row>
    <row r="287" ht="45.75" customHeight="1" s="13">
      <c r="A287" s="19" t="n">
        <v>287</v>
      </c>
      <c r="B287" s="19" t="inlineStr">
        <is>
          <t>2001-02-26</t>
        </is>
      </c>
      <c r="C287" s="19" t="inlineStr">
        <is>
          <t>2001-02-26</t>
        </is>
      </c>
      <c r="D287" s="19">
        <f>VALUE(LEFT(B287,4))</f>
        <v/>
      </c>
      <c r="E287" s="19">
        <f>INT((D287-1)/100)+1</f>
        <v/>
      </c>
      <c r="F287" s="19" t="inlineStr">
        <is>
          <t>Cave fatality (karst)</t>
        </is>
      </c>
      <c r="G287" s="19" t="inlineStr">
        <is>
          <t>Feb 2001 Clarksville Cave diving death</t>
        </is>
      </c>
      <c r="H287" s="19" t="inlineStr">
        <is>
          <t>Clarksville Cave, New Scotland (Albany Co.)</t>
        </is>
      </c>
      <c r="I287" s="19" t="inlineStr">
        <is>
          <t>First recorded caver death at Clarksville Cave — an experienced cave diver died Feb 26 2001</t>
        </is>
      </c>
      <c r="J287" s="19" t="inlineStr">
        <is>
          <t>none</t>
        </is>
      </c>
      <c r="K287" s="19" t="inlineStr">
        <is>
          <t>The first recorded fatality in the Clarksville caves; the cave-recovery effort helped inspire the New Scotland Public Safety Committee. Clarksville Cave is a major Helderberg karst system.</t>
        </is>
      </c>
      <c r="L287" s="19" t="inlineStr">
        <is>
          <t>The Altamont Enterprise 24 May 2001 ; The Altamont Enterprise, May 24 2001 ("V'ville centenary inspires town position") [uploaded PDF scan]</t>
        </is>
      </c>
      <c r="M287" s="19" t="n"/>
      <c r="N287" s="19" t="inlineStr">
        <is>
          <t>B</t>
        </is>
      </c>
      <c r="O287" s="19" t="inlineStr">
        <is>
          <t>Y</t>
        </is>
      </c>
      <c r="P287" s="19" t="inlineStr">
        <is>
          <t>A karst cave-diving fatality — the first recorded caver death at Clarksville. Ties to the register's karst/cave inventory. 2026-09-22 (merge, atlas session): ENRICHED from research-chat intake row 326 (merged, not added — same event). Contemporaneous detail: On Feb 26 2001 an experienced cave diver became the first recorded caver to die in the Clarksville caves. The body recovery required a prolonged, multi-agency operation; toward the end a fire hydrant was placed in a creek upstream and water pumped downstream so the flooded sink where the diver died could be drained to work in. The difficulty of the recovery was a founding impetus for the New Scotland Public Safety Committee. || Key measurement per that source: An experienced cave diver died in the Clarksville caves — the first recorded caving fatality there; a prolonged recovery followed (a fire hydrant was set in an upstream creek to pump water past and drain the flooded sink where the victim died)</t>
        </is>
      </c>
      <c r="Q287" s="19" t="inlineStr">
        <is>
          <t>2001-02-26</t>
        </is>
      </c>
      <c r="R287" s="19">
        <f>VALUE(LEFT(Q287,4))</f>
        <v/>
      </c>
      <c r="S287" s="19">
        <f>VALUE(MID(Q287,6,2))</f>
        <v/>
      </c>
      <c r="T287" s="19">
        <f>VALUE(RIGHT(Q287,2))</f>
        <v/>
      </c>
      <c r="U287" s="19" t="inlineStr">
        <is>
          <t>day</t>
        </is>
      </c>
      <c r="V287" s="19" t="inlineStr">
        <is>
          <t>Feb 26 2001</t>
        </is>
      </c>
    </row>
    <row r="288" ht="34.5" customHeight="1" s="13">
      <c r="A288" s="19" t="n">
        <v>288</v>
      </c>
      <c r="B288" s="19" t="inlineStr">
        <is>
          <t>2025-01-01</t>
        </is>
      </c>
      <c r="C288" s="19" t="inlineStr">
        <is>
          <t>2026-08-07</t>
        </is>
      </c>
      <c r="D288" s="19">
        <f>VALUE(LEFT(B288,4))</f>
        <v/>
      </c>
      <c r="E288" s="19">
        <f>INT((D288-1)/100)+1</f>
        <v/>
      </c>
      <c r="F288" s="19" t="inlineStr">
        <is>
          <t>Flood (geohazard, recurring)</t>
        </is>
      </c>
      <c r="G288" s="19" t="inlineStr">
        <is>
          <t>Pine Street distributary flood, Palenville (recurring geohazard)</t>
        </is>
      </c>
      <c r="H288" s="19" t="inlineStr">
        <is>
          <t>Palenville (Greene Co.), foot of Kaaterskill Clove</t>
        </is>
      </c>
      <c r="I288" s="19" t="inlineStr">
        <is>
          <t>Recurring bridge washout on a Kaaterskill Creek distributary along Pine Street; 'happened at least several times before' per Highway Dept.</t>
        </is>
      </c>
      <c r="J288" s="19" t="inlineStr">
        <is>
          <t>none</t>
        </is>
      </c>
      <c r="K288" s="19" t="inlineStr">
        <is>
          <t>A standing flood geohazard: in heavy rain Kaaterskill Creek AVULSES into a small, usually-dry distributary channel that concentrates dangerous torrents (bed full of well-rounded cobbles &amp; small boulders) and repeatedly destroys the Pine Street bridge. The distributary is eroding headward toward Kaaterskill Creek. Studied by R. &amp; J. Titus 2025–26.</t>
        </is>
      </c>
      <c r="L288" s="19" t="inlineStr">
        <is>
          <t>The Catskill Geologist (R. &amp; J. Titus), 'The Pine Street Flood', 7 Aug 2026; Titus, R. &amp; J., 'The Pine Street Flood' (A Bridge is Washed Out), The Mountain Eagle / thecatskillgeologist.com, Aug 7 2026</t>
        </is>
      </c>
      <c r="M288" s="19" t="inlineStr">
        <is>
          <t>https://thecatskillgeologist.com/2026/08/07/the-pine-street-flood/</t>
        </is>
      </c>
      <c r="N288" s="19" t="inlineStr">
        <is>
          <t>B</t>
        </is>
      </c>
      <c r="O288" s="19" t="inlineStr">
        <is>
          <t>Y</t>
        </is>
      </c>
      <c r="P288" s="19" t="inlineStr">
        <is>
          <t>A RECURRING geohazard, not a single event — a Kaaterskill Creek avulsion/distributary channel at Palenville that keeps wiping out the bridge. ~24 mi SW of Westerlo, at the foot of Kaaterskill Clove (cf. the 2006 Clove landslides on NY 23A). 2026-09-23 (v848, atlas session): ENRICHED (Titus Aug 7 2026 follow-up): the 2025 flood destroyed the Pine St bridge (local TV); Town Highway Dept crew rebuilding it said it has washed out 'at least several times before'; channel bed carries large rounded cobbles and small boulders; Titus's mechanism — Kaaterskill Creek overtops its left bank in floods where the distributary's headward erosion nearly reaches it, and the overflow is forced down the small channel as a boulder-moving torrent. Pinned (approx) this pass.</t>
        </is>
      </c>
      <c r="Q288" s="19" t="inlineStr">
        <is>
          <t>2026-08-07</t>
        </is>
      </c>
      <c r="R288" s="19">
        <f>VALUE(LEFT(Q288,4))</f>
        <v/>
      </c>
      <c r="S288" s="19">
        <f>VALUE(MID(Q288,6,2))</f>
        <v/>
      </c>
      <c r="T288" s="19">
        <f>VALUE(RIGHT(Q288,2))</f>
        <v/>
      </c>
      <c r="U288" s="19" t="inlineStr">
        <is>
          <t>recurring</t>
        </is>
      </c>
      <c r="V288" s="19" t="inlineStr">
        <is>
          <t>Recurring geohazard; anchored to the 7 Aug 2026 Titus writeup</t>
        </is>
      </c>
    </row>
    <row r="289" ht="68.25" customHeight="1" s="13">
      <c r="A289" s="19" t="n">
        <v>289</v>
      </c>
      <c r="B289" s="19" t="inlineStr">
        <is>
          <t>1996-01-19</t>
        </is>
      </c>
      <c r="C289" s="19" t="inlineStr">
        <is>
          <t>1996-01-19</t>
        </is>
      </c>
      <c r="D289" s="19">
        <f>VALUE(LEFT(B289,4))</f>
        <v/>
      </c>
      <c r="E289" s="19">
        <f>INT((D289-1)/100)+1</f>
        <v/>
      </c>
      <c r="F289" s="19" t="inlineStr">
        <is>
          <t>Landslide</t>
        </is>
      </c>
      <c r="G289" s="19" t="inlineStr">
        <is>
          <t>Jan 1996 Broadway rotational slump, Schenectady (fatal)</t>
        </is>
      </c>
      <c r="H289" s="19" t="inlineStr">
        <is>
          <t>Broadway near Rte 890, Schenectady — Pleasant Valley Creek slope</t>
        </is>
      </c>
      <c r="I289" s="19" t="inlineStr">
        <is>
          <t>Rotational slump of Lake Albany delta silts after heavy rain; 1 man killed</t>
        </is>
      </c>
      <c r="J289" s="19" t="inlineStr">
        <is>
          <t>none</t>
        </is>
      </c>
      <c r="K289" s="19" t="inlineStr">
        <is>
          <t>A fatal Lake Albany clay slide: Pleasant Valley Creek had cut a steep delta-silt slope which failed as a rotational slump after heavy rain and killed one man. Almost certainly triggered by the same mid-Jan 1996 rain-on-snowmelt as the Northeast Floods of January 1996.</t>
        </is>
      </c>
      <c r="L289" s="19" t="inlineStr">
        <is>
          <t>The Catskill Geologist (R. &amp; J. Titus), 'A landslide in Schenectady' (repub. 17 Aug 2023) ; Titus, R. &amp; J., 'The Schenectady landslide', The Mountain Eagle, Feb 2018 (reposted thecatskillgeologist.com Aug 17 2023)</t>
        </is>
      </c>
      <c r="M289" s="19" t="inlineStr">
        <is>
          <t>https://thecatskillgeologist.com/2023/08/17/a-landslide-in-schenectady-8-16-23/</t>
        </is>
      </c>
      <c r="N289" s="19" t="inlineStr">
        <is>
          <t>B</t>
        </is>
      </c>
      <c r="O289" s="19" t="inlineStr">
        <is>
          <t>Y</t>
        </is>
      </c>
      <c r="P289" s="19" t="inlineStr">
        <is>
          <t>The register's only FATAL clay slide. Linked to the Northeast Floods of January 1996 (rain on the Blizzard-of-'96 snowpack). A Lake Albany delta rotational slump. 2026-09-23 (v840, atlas session): Titus corroborates — Jan 1996, Broadway near Rte 890 on the slope cut by Pleasant Valley Creek into the Mohawk delta of Glacial Lake Albany; after heavy rain; one man killed (not named). Still no coordinate; Pleasant Valley Creek is the locus to find.</t>
        </is>
      </c>
      <c r="Q289" s="19" t="inlineStr">
        <is>
          <t>1996-01-19</t>
        </is>
      </c>
      <c r="R289" s="19">
        <f>VALUE(LEFT(Q289,4))</f>
        <v/>
      </c>
      <c r="S289" s="19">
        <f>VALUE(MID(Q289,6,2))</f>
        <v/>
      </c>
      <c r="T289" s="19">
        <f>VALUE(RIGHT(Q289,2))</f>
        <v/>
      </c>
      <c r="U289" s="19" t="inlineStr">
        <is>
          <t>month</t>
        </is>
      </c>
      <c r="V289" s="19" t="inlineStr">
        <is>
          <t>Jan 1996; likely the mid-Jan rain-on-snowmelt flood</t>
        </is>
      </c>
    </row>
    <row r="290" ht="57" customHeight="1" s="13">
      <c r="A290" s="19" t="n">
        <v>290</v>
      </c>
      <c r="B290" s="19" t="inlineStr">
        <is>
          <t>2004-04-15</t>
        </is>
      </c>
      <c r="C290" s="19" t="inlineStr">
        <is>
          <t>2004-05-31</t>
        </is>
      </c>
      <c r="D290" s="19">
        <f>VALUE(LEFT(B290,4))</f>
        <v/>
      </c>
      <c r="E290" s="19">
        <f>INT((D290-1)/100)+1</f>
        <v/>
      </c>
      <c r="F290" s="19" t="inlineStr">
        <is>
          <t>Landslide</t>
        </is>
      </c>
      <c r="G290" s="19" t="inlineStr">
        <is>
          <t>Spring 2004 1st Avenue slump, Western Schenectady</t>
        </is>
      </c>
      <c r="H290" s="19" t="inlineStr">
        <is>
          <t>1st Avenue, Western Schenectady — Mohawk/unnamed-creek slope</t>
        </is>
      </c>
      <c r="I290" s="19" t="inlineStr">
        <is>
          <t>Rotational slump of an 80–90 ft delta-silt slope; 6 houses slowly subsided (all condemned)</t>
        </is>
      </c>
      <c r="J290" s="19" t="inlineStr">
        <is>
          <t>none</t>
        </is>
      </c>
      <c r="K290" s="19" t="inlineStr">
        <is>
          <t>A Lake Albany clay slide: the Mohawk River and an unnamed creek had cut an 80–90 ft slope into the delta silts; after heavy autumn-2003 rain soaked the ground, the slope let go in spring 2004 and 6 houses slowly subsided, all condemned.</t>
        </is>
      </c>
      <c r="L290" s="19" t="inlineStr">
        <is>
          <t>The Catskill Geologist (R. &amp; J. Titus), 'A landslide in Schenectady' (repub. 17 Aug 2023) ; Titus, R. &amp; J., 'The Schenectady landslide', The Mountain Eagle, Feb 2018 (reposted thecatskillgeologist.com Aug 17 2023) ; Titus, R., 'Yellow Alert?', Stories in Stone, The Columbia County Independent, Jul 8 2005 (reposted thecatskillgeologist.com Nov 23 2017)</t>
        </is>
      </c>
      <c r="M290" s="19" t="inlineStr">
        <is>
          <t>https://thecatskillgeologist.com/2023/08/17/a-landslide-in-schenectady-8-16-23/</t>
        </is>
      </c>
      <c r="N290" s="19" t="inlineStr">
        <is>
          <t>B</t>
        </is>
      </c>
      <c r="O290" s="19" t="inlineStr">
        <is>
          <t>Y</t>
        </is>
      </c>
      <c r="P290" s="19" t="inlineStr">
        <is>
          <t>Date approximate (spring 2004; set up by heavy autumn-2003 rain). Lake Albany delta rotational slump — 6 houses condemned, no deaths. 2026-09-23 (v840, atlas session): Titus: spring 2004, ground soaked by the previous autumn's rain; Mohawk + an unnamed creek had cut an 80–90 ft slope into the delta at 1st Ave; six houses slowly subsided, all condemned (Titus's recollection — conf B for the count). 2026-09-23 (v843, atlas session): Titus 2005 (contemporaneous, 'last year'): edge of a Lake Albany delta slid, 'doomed six homes' — firmer than his 2018 recollection. 2026-09-23 (v846, atlas session): Titus 'Yellow Alert?' column date uncertain (2005 vs 2007) — see rows 371/372.</t>
        </is>
      </c>
      <c r="Q290" s="19" t="inlineStr">
        <is>
          <t>2004-04-15</t>
        </is>
      </c>
      <c r="R290" s="19">
        <f>VALUE(LEFT(Q290,4))</f>
        <v/>
      </c>
      <c r="S290" s="19">
        <f>VALUE(MID(Q290,6,2))</f>
        <v/>
      </c>
      <c r="T290" s="19">
        <f>VALUE(RIGHT(Q290,2))</f>
        <v/>
      </c>
      <c r="U290" s="19" t="inlineStr">
        <is>
          <t>season</t>
        </is>
      </c>
      <c r="V290" s="19" t="inlineStr">
        <is>
          <t>Spring 2004 (set up by heavy autumn-2003 rain)</t>
        </is>
      </c>
    </row>
    <row r="291" ht="45.75" customHeight="1" s="13">
      <c r="A291" s="19" t="n">
        <v>291</v>
      </c>
      <c r="B291" s="19" t="inlineStr">
        <is>
          <t>2017-11-23</t>
        </is>
      </c>
      <c r="C291" s="19" t="inlineStr">
        <is>
          <t>2017-11-23</t>
        </is>
      </c>
      <c r="D291" s="19">
        <f>VALUE(LEFT(B291,4))</f>
        <v/>
      </c>
      <c r="E291" s="19">
        <f>INT((D291-1)/100)+1</f>
        <v/>
      </c>
      <c r="F291" s="19" t="inlineStr">
        <is>
          <t>Landslide</t>
        </is>
      </c>
      <c r="G291" s="19" t="inlineStr">
        <is>
          <t>Late 2017 Greenport rotational slump (Claverack Creek)</t>
        </is>
      </c>
      <c r="H291" s="19" t="inlineStr">
        <is>
          <t>Sons &amp; Daughters of Italy Club, Bridge St, Greenport (Columbia Co.), Claverack Creek</t>
        </is>
      </c>
      <c r="I291" s="19" t="inlineStr">
        <is>
          <t>Several hundred yards of earth slid into Claverack Creek; the slide's toe dammed the creek (emergency engineering to prevent valley flooding)</t>
        </is>
      </c>
      <c r="J291" s="19" t="inlineStr">
        <is>
          <t>none</t>
        </is>
      </c>
      <c r="K291" s="19" t="inlineStr">
        <is>
          <t>A Lake Albany clay rotational slump on the Claverack Creek bank; the toe dammed the creek and had to be engineered on the fly. Notably it occurred in a DRY year (2017) with no heavy-rain trigger — which puzzled the Tituses ('and that alarms us').</t>
        </is>
      </c>
      <c r="L291" s="19" t="inlineStr">
        <is>
          <t>The Catskill Geologist (R. &amp; J. Titus), 'A landslide across the river' (Mountain Eagle 8 Dec 2017; repub. 14 Jul 2023); USGS Landslide Inventories v3.0 (DOI 10.5066/P14AJF8I) — NASA GLC pt193496 (media source Hudson Valley 360) [uploaded dataset] ; Titus, R., 'The threat of landslides', thecatskillgeologist.com, Nov 23 2017</t>
        </is>
      </c>
      <c r="M291" s="19" t="inlineStr">
        <is>
          <t>https://thecatskillgeologist.com/2023/07/14/a-landslide-across-the-river-july-13-2023/</t>
        </is>
      </c>
      <c r="N291" s="19" t="inlineStr">
        <is>
          <t>B</t>
        </is>
      </c>
      <c r="O291" s="19" t="inlineStr">
        <is>
          <t>Y</t>
        </is>
      </c>
      <c r="P291" s="19" t="inlineStr">
        <is>
          <t>~25 mi SE of Westerlo. Anomalous: a clay slump WITHOUT the usual heavy-rain trigger. Same Claverack Creek stretch slid in 2006 (own row). 2026-09-22 (v827, atlas session): DUPLICATE row 329 (from the 2026-09-22 research-chat merge) folded in here and removed — it added: On Nov 17 2017 a landslide (~300×100 yards) behind the Sons &amp; Daughters of Italy on Bridge Street in Hudson blocked the Claverack Creek; an emergency channel was built to keep the creek from backing up, and the bank was stabilized. Reported as the second slide at this location. || Key measurement per that source: A ~300×100-yard slide blocked the Claverack Creek; an emergency channel was built to prevent backup; reported as the SECOND landslide at this location 2026-09-23 (v843, atlas session): Titus (Nov 23 2017) — recurrence at the Bridge St club (his 'Young Italian Men and Women's Club'), 'something that happened once before, right there in 2006'; he'd flagged the risk in 2005.</t>
        </is>
      </c>
      <c r="Q291" s="19" t="inlineStr">
        <is>
          <t>2017-11-23</t>
        </is>
      </c>
      <c r="R291" s="19">
        <f>VALUE(LEFT(Q291,4))</f>
        <v/>
      </c>
      <c r="S291" s="19">
        <f>VALUE(MID(Q291,6,2))</f>
        <v/>
      </c>
      <c r="T291" s="19">
        <f>VALUE(RIGHT(Q291,2))</f>
        <v/>
      </c>
      <c r="U291" s="19" t="inlineStr">
        <is>
          <t>month</t>
        </is>
      </c>
      <c r="V291" s="19" t="inlineStr">
        <is>
          <t>Nov 2017 (Titus 30 Nov 2017: slide '~a week ago')</t>
        </is>
      </c>
    </row>
    <row r="292" ht="45.75" customHeight="1" s="13">
      <c r="A292" s="19" t="n">
        <v>292</v>
      </c>
      <c r="B292" s="19" t="inlineStr">
        <is>
          <t>2006-06-26</t>
        </is>
      </c>
      <c r="C292" s="19" t="inlineStr">
        <is>
          <t>2006-06-26</t>
        </is>
      </c>
      <c r="D292" s="19">
        <f>VALUE(LEFT(B292,4))</f>
        <v/>
      </c>
      <c r="E292" s="19">
        <f>INT((D292-1)/100)+1</f>
        <v/>
      </c>
      <c r="F292" s="19" t="inlineStr">
        <is>
          <t>Landslide</t>
        </is>
      </c>
      <c r="G292" s="19" t="inlineStr">
        <is>
          <t>2006 Greenport rotational slump (Claverack Creek)</t>
        </is>
      </c>
      <c r="H292" s="19" t="inlineStr">
        <is>
          <t>Same Claverack Creek stretch, Greenport (Columbia Co.)</t>
        </is>
      </c>
      <c r="I292" s="19" t="inlineStr">
        <is>
          <t>Rotational slump into Claverack Creek after a long period of heavy rainfall</t>
        </is>
      </c>
      <c r="J292" s="19" t="inlineStr">
        <is>
          <t>none</t>
        </is>
      </c>
      <c r="K292" s="19" t="inlineStr">
        <is>
          <t>A Lake Albany clay slump on the Claverack Creek bank after prolonged heavy rain — likely tied to the End-of-June 2006 flood. The same stretch slid again ~11 years later (late 2017, own row).</t>
        </is>
      </c>
      <c r="L292" s="19" t="inlineStr">
        <is>
          <t>The Catskill Geologist (R. &amp; J. Titus), 'A landslide across the river' (repub. 14 Jul 2023) ; Titus, R., 'The threat of landslides', thecatskillgeologist.com, Nov 23 2017</t>
        </is>
      </c>
      <c r="M292" s="19" t="inlineStr">
        <is>
          <t>https://thecatskillgeologist.com/2023/07/14/a-landslide-across-the-river-july-13-2023/</t>
        </is>
      </c>
      <c r="N292" s="19" t="inlineStr">
        <is>
          <t>B</t>
        </is>
      </c>
      <c r="O292" s="19" t="inlineStr">
        <is>
          <t>Y</t>
        </is>
      </c>
      <c r="P292" s="19" t="inlineStr">
        <is>
          <t>Date approximate (2006, after heavy rain — likely the End-of-June 2006 flood already in the register). Recurring site: slid again late 2017 (own row).</t>
        </is>
      </c>
      <c r="Q292" s="19" t="inlineStr">
        <is>
          <t>2006-06-26</t>
        </is>
      </c>
      <c r="R292" s="19">
        <f>VALUE(LEFT(Q292,4))</f>
        <v/>
      </c>
      <c r="S292" s="19">
        <f>VALUE(MID(Q292,6,2))</f>
        <v/>
      </c>
      <c r="T292" s="19">
        <f>VALUE(RIGHT(Q292,2))</f>
        <v/>
      </c>
      <c r="U292" s="19" t="inlineStr">
        <is>
          <t>year</t>
        </is>
      </c>
      <c r="V292" s="19" t="inlineStr">
        <is>
          <t>2006, after heavy rain — likely the End-of-June 2006 flood</t>
        </is>
      </c>
    </row>
    <row r="293" ht="45.75" customHeight="1" s="13">
      <c r="A293" s="19" t="n">
        <v>293</v>
      </c>
      <c r="B293" s="19" t="inlineStr">
        <is>
          <t>1906-01-07</t>
        </is>
      </c>
      <c r="C293" s="19" t="inlineStr">
        <is>
          <t>1906-01-08</t>
        </is>
      </c>
      <c r="D293" s="19">
        <f>VALUE(LEFT(B293,4))</f>
        <v/>
      </c>
      <c r="E293" s="19">
        <f>INT((D293-1)/100)+1</f>
        <v/>
      </c>
      <c r="F293" s="19" t="inlineStr">
        <is>
          <t>Landslide</t>
        </is>
      </c>
      <c r="G293" s="19" t="inlineStr">
        <is>
          <t>Haverstraw landslide &amp; fire, Jan 1906 (OUT OF CORE FOOTPRINT)</t>
        </is>
      </c>
      <c r="H293" s="19" t="inlineStr">
        <is>
          <t>Haverstraw (Rockland Co.), ~90 mi S — lower Hudson</t>
        </is>
      </c>
      <c r="I293" s="19" t="inlineStr">
        <is>
          <t>6 square city blocks sank into a pit; gas-line fire burned most of the town; 19 killed</t>
        </is>
      </c>
      <c r="J293" s="19" t="inlineStr">
        <is>
          <t>none</t>
        </is>
      </c>
      <c r="K293" s="19" t="inlineStr">
        <is>
          <t>The region's worst Lake Albany clay slide (19 dead) and its clearest MAN-CAUSED one: the Haverstraw brick industry over-steepened the Hudson-bank clays and dug TUNNELS under the downtown/brickyards; after a snowy winter + heavy rain-on-snow (winter 1905–06) the ground let go the night of Jan 7–8 1906. Broken gas lines set the town ablaze (cf. the 1906 San Francisco quake/fire, same year).</t>
        </is>
      </c>
      <c r="L293" s="19" t="inlineStr">
        <is>
          <t>The Catskill Geologist (Titus), 'The Haverstraw Landslide' ; The Cohoes Republican, Jan 10 1906 ("Twenty-Three Buried — The Haverstraw Disaster") [uploaded PDF scan] ; Titus, R. &amp; J., 'Haverstraw' (Hudson Valley landslide series), thecatskillgeologist.com, 2025 (pasted by Laurie; exact post date not given)</t>
        </is>
      </c>
      <c r="M293" s="19" t="inlineStr">
        <is>
          <t>https://thecatskillgeologist.com/2018/02/01/the-haverstraw-landslide-feb-1-2018/</t>
        </is>
      </c>
      <c r="N293" s="19" t="inlineStr">
        <is>
          <t>B</t>
        </is>
      </c>
      <c r="O293" s="19" t="inlineStr">
        <is>
          <t>Y</t>
        </is>
      </c>
      <c r="P293" s="19" t="inlineStr">
        <is>
          <t>OUT OF CORE FOOTPRINT (~90 mi S) but included as the catastrophic, man-caused end-member of the Lake Albany clay-slide hazard — the defining worst case (19 dead, 6 blocks, town burned). 2026-09-22 (merge, atlas session): ENRICHED from research-chat intake row 307 (merged, not added — same event). Contemporaneous detail: Around midnight on Mon Jan 8 1906 a Hudson-bank glaciolacustrine (varve) clay slope beneath a row of twelve houses on Rockland St (near Division St) collapsed into a riverfront brickyard while residents slept; brickyard workmen excavating the clay bank had undermined the ground on which the houses stood. The wreckage caught fire, and the water main feeding the hydrants had burst as the clay moved, leaving firemen unable to fight the blaze while trapped victims perished. First reports counted "twenty-three or more" dead; a large fresh crack in the street ground the next morning forced remaining families to evacuate houses expected to topple. || Key measurement per that source: Twelve houses carried down; contemporaneous toll "23 or more" killed (later accounts ~19); wreckage burned; burst water main crippled firefighting DISCREPANCY (flagged, not reconciled): contemporaneous toll '23 or more' (Cohoes Republican, Jan 10 1906) vs settled historical ~19 (Titus). Register keeps 19 in Key measurement. 2026-09-23 (v842, atlas session): ENRICHED (Titus): mechanism — Haverstraw sits on ~3 mi of thick, clay-rich Glacial Lake Albany deposits (laid down well offshore, hence the clay); post-Civil-War brick industry (up to ~350 million bricks/yr, dozens of yards) over-steepened the already-steep Hudson bank by digging clay, then TUNNELLED under downtown and the yards to mine it; downtown and yards built right up to the excavated edge. Winter 1905–06 cold and snowy, then heavy rain (rain-on-snow), saturating the clays over the tunnels. Night of Jan 7–8 1906: ~six square blocks sank into an expanding pit; broken gas lines ignited and most of the town burned. Titus calls it among the least disputed cases of a human-caused landslide. Adds nothing to the toll discrepancy (23+ vs 19). 2026-09-23 (v844, atlas session): Titus (Mar 2018) gives the toll as 19 and 'six square city blocks' — supports the register's settled figure over the contemporaneous '23 or more'.</t>
        </is>
      </c>
      <c r="Q293" s="19" t="inlineStr">
        <is>
          <t>1906-01-08</t>
        </is>
      </c>
      <c r="R293" s="19">
        <f>VALUE(LEFT(Q293,4))</f>
        <v/>
      </c>
      <c r="S293" s="19">
        <f>VALUE(MID(Q293,6,2))</f>
        <v/>
      </c>
      <c r="T293" s="19">
        <f>VALUE(RIGHT(Q293,2))</f>
        <v/>
      </c>
      <c r="U293" s="19" t="inlineStr">
        <is>
          <t>day</t>
        </is>
      </c>
      <c r="V293" s="19" t="inlineStr">
        <is>
          <t>Night of Jan 7-8 1906</t>
        </is>
      </c>
    </row>
    <row r="294" ht="79.5" customHeight="1" s="13">
      <c r="A294" s="15" t="n">
        <v>294</v>
      </c>
      <c r="B294" s="15" t="inlineStr">
        <is>
          <t>2000-05-17</t>
        </is>
      </c>
      <c r="C294" s="15" t="inlineStr">
        <is>
          <t>2000-05-19</t>
        </is>
      </c>
      <c r="D294" s="15">
        <f>VALUE(LEFT(B294,4))</f>
        <v/>
      </c>
      <c r="E294" s="15">
        <f>INT((D294-1)/100)+1</f>
        <v/>
      </c>
      <c r="F294" s="15" t="inlineStr">
        <is>
          <t>Landslide</t>
        </is>
      </c>
      <c r="G294" s="15" t="inlineStr">
        <is>
          <t>Bethlehem (Delaware Ave) landslide, Normans Kill</t>
        </is>
      </c>
      <c r="H294" s="15" t="inlineStr">
        <is>
          <t>Delaware Ave / Normans Kill ravine, Bethlehem (Albany Co.), border with the City of Albany</t>
        </is>
      </c>
      <c r="I294" s="15" t="inlineStr">
        <is>
          <t>400 linear feet of rain-saturated hillside (earth, trees, shrubs) detached behind Hoffman's Car Wash and fell into the Normans Kill ravine; the debris dammed a 90-ft-wide, 200-300-ft-long stretch of the creek</t>
        </is>
      </c>
      <c r="J294" s="15" t="inlineStr">
        <is>
          <t>none</t>
        </is>
      </c>
      <c r="K294" s="15" t="inlineStr">
        <is>
          <t>Destroyed Anthony Battaglia's California Produce Marketplace vegetable stand; Albany Med's 99 Delaware Ave office lost half its parking lot; Delaware Ave (18,000-19,000 vehicles/day between Albany and Bethlehem) was severed, forcing detours; nearby homes were evacuated. Albany Mayor Jerry Jennings and Bethlehem Supervisor Sheila Fuller both declared emergencies. Six-month, $25M+ repair rerouted a section of the Normans Kill. A geologist noted in 2012 that the area has a landslide roughly every 10-11 years; a further major slide hit near Normanside Country Club (also Bethlehem, also the Normans Kill) in 2015.</t>
        </is>
      </c>
      <c r="L294" s="15" t="inlineStr">
        <is>
          <t>Times Union, "25 years ago a landslide crippled Bethlehem" (Daniel Roberts, updated Oct 13 2025) ; The Altamont Enterprise, Jun 1 2000 ("Does erosion threaten area roadways?"); Jun 15 2000 ("Landslide a disaster" — SBA disaster declaration); May 24 2001 ("V'ville centenary…") ; The Altamont Enterprise, June 15 2000 ('...Bear slides into town', continued from page 1) [uploaded PDF scan] ; Titus, R., 'Yellow Alert?', Stories in Stone, The Columbia County Independent, Jul 8 2005 (reposted thecatskillgeologist.com Nov 23 2017)</t>
        </is>
      </c>
      <c r="M294" s="15" t="inlineStr">
        <is>
          <t>https://www.timesunion.com/</t>
        </is>
      </c>
      <c r="N294" s="15" t="inlineStr">
        <is>
          <t>A</t>
        </is>
      </c>
      <c r="O294" s="15" t="inlineStr">
        <is>
          <t>Y</t>
        </is>
      </c>
      <c r="P294" s="15" t="inlineStr">
        <is>
          <t>Added 2026-09-21 per Laurie (article text supplied directly). A Glacial Lake Albany clay-slide event — same hazard family as the Mount Ida Delta (Troy) and Haverstraw rows already in this sheet, and the Hyde Park deltas in the Geology layer. 2015 recurrence at Normanside Country Club (same Normans Kill corridor) is a related lead, not yet its own row — add if a source with a firm date turns up. 2026-09-22 (merge, atlas session): ENRICHED (Altamont Enterprise, three issues): SBA federal disaster declaration at Gov. Pataki's request — low-interest EIDL loans for damaged businesses; SBA attributed the failure to heavy rainfall on the embankment. May 24 2001 piece frames it as a wet-spring-2000 slide that dumped a vegetable stand near Route 443 into the Normanskill. DATE DISCREPANCY (flagged, not reconciled): this register and the Geology pin say May 17-19 2000; the Jun 15 2000 SBA article says May 16. 2026-09-22 (v828, atlas session): ENRICHED from research-chat intake row 363 (same event; merged, not added). A clay-bank mudslide along the Normanskill near Delaware Avenue (Delmar/Bethlehem) around June 2000 caused the bank to give way and closed Delaware Avenue, with clean-up and transportation crews working to reopen it. Referenced secondhand in a same-week Enterprise story (a black bear seen in Delmar 'shortly after the bank gave way, but the news was eclipsed by the mudslide'), which also notes bears using the Normanskill and its tributaries as a corridor. || Key measurement per that source: A bank gave way; Delaware Avenue closed for cleanup/transportation crews to reopen || Intake notes: 2026-09-22: added per Laurie (PDF scan). Detail is SECONDHAND (via a bear story) - PULL THE PAGE-1 mudslide story from this June 2000 Enterprise for the primary account, exact date and location. Strong candidate Geology pin (coords needed) - fits the Normanskill clay-slope cluster (Magnolia Terrace 2026-09-23 (v843, atlas session): Titus 2005 recalls 'the Delmar slump… put a major road out of commission for quite some time' — Lake Albany sediments into the Normans Kill. 2026-09-23 (v846, atlas session): Titus 'Yellow Alert?' column date uncertain (2005 vs 2007) — see rows 371/372.</t>
        </is>
      </c>
      <c r="Q294" s="15" t="inlineStr">
        <is>
          <t>2000-05-17</t>
        </is>
      </c>
      <c r="R294" s="15">
        <f>VALUE(LEFT(Q294,4))</f>
        <v/>
      </c>
      <c r="S294" s="15">
        <f>VALUE(MID(Q294,6,2))</f>
        <v/>
      </c>
      <c r="T294" s="15">
        <f>VALUE(RIGHT(Q294,2))</f>
        <v/>
      </c>
      <c r="U294" s="15" t="inlineStr">
        <is>
          <t>days</t>
        </is>
      </c>
      <c r="V294" s="15" t="inlineStr">
        <is>
          <t>Slide began May 17 2000 UTC; road closure/emergency phase ran through the 19th-23rd per photo captions</t>
        </is>
      </c>
    </row>
    <row r="295" ht="225" customHeight="1" s="13">
      <c r="A295" s="15" t="n">
        <v>295</v>
      </c>
      <c r="B295" s="15" t="inlineStr">
        <is>
          <t>2025-10-13</t>
        </is>
      </c>
      <c r="C295" s="15" t="inlineStr">
        <is>
          <t>2026-08-03</t>
        </is>
      </c>
      <c r="D295" s="15">
        <f>VALUE(LEFT(B295,4))</f>
        <v/>
      </c>
      <c r="E295" s="15">
        <f>INT((D295-1)/100)+1</f>
        <v/>
      </c>
      <c r="F295" s="15" t="inlineStr">
        <is>
          <t>Landslide</t>
        </is>
      </c>
      <c r="G295" s="15" t="inlineStr">
        <is>
          <t>Hoffman Car Wash (Delmar) closure → permanent, will not reopen</t>
        </is>
      </c>
      <c r="H295" s="15" t="inlineStr">
        <is>
          <t>Delaware Ave, Delmar (Bethlehem, Albany Co.) — same site as the 2000 landslide</t>
        </is>
      </c>
      <c r="I295" s="15" t="inlineStr">
        <is>
          <t>A 23-ft-deep crack opened in the parking lot with a slight downward ground shift; engineering slope-stability rating of 1.0 (forces of stability = forces of instability — a potentially unstable slope)</t>
        </is>
      </c>
      <c r="J295" s="15" t="inlineStr">
        <is>
          <t>none</t>
        </is>
      </c>
      <c r="K295" s="15" t="inlineStr">
        <is>
          <t>Hoffman Car Wash and the attached Jiffy Lube closed at 6pm Sunday Oct 12, 2025, ahead of an approaching nor'easter, on the order of Bethlehem Town code enforcement. Monitoring by hired engineers (Hoffman Car Wash, National Grid, Town of Bethlehem) had resumed about three years earlier (~2022); Town Attorney Jim Potter said this pass's concern doesn't appear Normans-Kill-erosion-related like 2000, though added slope weight from heavy rain is a suspected factor. No collapse as of the report; engineers were still determining whether a failure plane would stay at the cracked pavement or extend into the business's internal roads before any decision to reopen. RESOLUTION (Aug 3 2026, Times Union / Patrick Tine, citing Spotlight News as first report): CEO Tom Hoffman Jr. confirmed the Delmar location will NOT reopen — an engineering plan existed to shore up the site but was judged cost-unfeasible; the company is seeking a different site in Bethlehem for a replacement car wash. The town's own October 2025 assessment had called it an "imminent threat to public safety" with "portions of the slope actively moving." Hoffman said the historic rain that hit the region the week before this report did NOT influence the closure decision or affect the site ("We weren't concerned... It rains a lot in upstate New York") — i.e. this is a permanent abandonment of the site on the pre-existing 2025 slope assessment, not a new triggering event.</t>
        </is>
      </c>
      <c r="L295" s="15" t="inlineStr">
        <is>
          <t>News10/WTEN (Vanessa Blasi, Oct 2025); Times Union (Patrick Tine, Aug 3 2026), citing Spotlight News as first report of the permanent closure</t>
        </is>
      </c>
      <c r="M295" s="15" t="inlineStr">
        <is>
          <t>https://www.news10.com/</t>
        </is>
      </c>
      <c r="N295" s="15" t="inlineStr">
        <is>
          <t>A</t>
        </is>
      </c>
      <c r="O295" s="15" t="inlineStr">
        <is>
          <t>Y</t>
        </is>
      </c>
      <c r="P295" s="15" t="inlineStr">
        <is>
          <t>Added 2026-09-21 per Laurie (article text supplied directly). Direct follow-on to the May 2000 Bethlehem/Delaware Ave landslide (this sheet, row 294) — same site, same slope, 25 years later almost to the week (article datelined Oct 13 2025, same day as the 25th-anniversary retrospective on the 2000 event). Precautionary closure / active monitoring, NOT a confirmed collapse as of this report — RESOLVED 2026-08-03: permanent closure confirmed, will not reopen; company seeking a new Bethlehem site. See Impact summary. UPDATE 2026-09-21: merged the Aug 3 2026 resolution per Laurie. 2026-09-26 (v882, atlas session): Show on timeline = No per Laurie — a slope-monitoring closure, not a dated weather/phenology event; it lives as a ⚠️ pin on the Natural History layer instead (register row kept).</t>
        </is>
      </c>
      <c r="Q295" s="15" t="inlineStr">
        <is>
          <t>2025-10-13</t>
        </is>
      </c>
      <c r="R295" s="15">
        <f>VALUE(LEFT(Q295,4))</f>
        <v/>
      </c>
      <c r="S295" s="15">
        <f>VALUE(MID(Q295,6,2))</f>
        <v/>
      </c>
      <c r="T295" s="15">
        <f>VALUE(RIGHT(Q295,2))</f>
        <v/>
      </c>
      <c r="U295" s="15" t="inlineStr">
        <is>
          <t>days</t>
        </is>
      </c>
      <c r="V295" s="15" t="inlineStr">
        <is>
          <t>Article dateline; closure took effect 6pm Oct 12 2025</t>
        </is>
      </c>
      <c r="W295" s="12" t="inlineStr">
        <is>
          <t>No</t>
        </is>
      </c>
    </row>
    <row r="296" ht="258.75" customHeight="1" s="13">
      <c r="A296" s="15" t="n">
        <v>296</v>
      </c>
      <c r="B296" s="15" t="inlineStr">
        <is>
          <t>2023-10-21</t>
        </is>
      </c>
      <c r="C296" s="15" t="inlineStr">
        <is>
          <t>2023-10-23</t>
        </is>
      </c>
      <c r="D296" s="15">
        <f>VALUE(LEFT(B296,4))</f>
        <v/>
      </c>
      <c r="E296" s="15">
        <f>INT((D296-1)/100)+1</f>
        <v/>
      </c>
      <c r="F296" s="15" t="inlineStr">
        <is>
          <t>Landslide</t>
        </is>
      </c>
      <c r="G296" s="15" t="inlineStr">
        <is>
          <t>Scarborough (Hudson Line) mudslide, Metro-North &amp; Amtrak suspension</t>
        </is>
      </c>
      <c r="H296" s="15" t="inlineStr">
        <is>
          <t>Hudson Line tracks near Scarborough station, Briarcliff Manor (Westchester Co.) — ~4 mi S of the Mario Cuomo Bridge (OUT OF CORE FOOTPRINT, ~90+ mi S)</t>
        </is>
      </c>
      <c r="I296" s="15" t="inlineStr">
        <is>
          <t>350 cubic yards of soil/debris + 250 cubic yards of rock and cement retaining wall came down onto the tracks, initially burying all four Hudson Line tracks</t>
        </is>
      </c>
      <c r="J296" s="15" t="inlineStr">
        <is>
          <t>none</t>
        </is>
      </c>
      <c r="K296" s="15" t="inlineStr">
        <is>
          <t>Metro-North Hudson Line suspended between Croton-Harmon and Tarrytown from Sat Oct 21; Amtrak's entire Albany-NYC service suspended Sun Oct 22 with no substitute transportation offered. No trains stranded, no injuries. Crews worked around the clock; Metro-North mostly restored by Monday's rush hour (all but 4 rush-hour trains running); Amtrak resumed service Monday per its own tentative estimate. Same Hudson-shoreline slope-failure hazard family as the historic Staatsburg 1903 and other documented Hudson rail-line clay-slide closures — the line keeps meeting the same geology.</t>
        </is>
      </c>
      <c r="L296" s="15" t="inlineStr">
        <is>
          <t>New York Daily News (Theresa Braine, Oct 22 2023), citing MTA/Metro-North, Amtrak, and Gov. Kathy Hochul's office</t>
        </is>
      </c>
      <c r="M296" s="15" t="inlineStr">
        <is>
          <t>https://www.nydailynews.com/</t>
        </is>
      </c>
      <c r="N296" s="15" t="inlineStr">
        <is>
          <t>A</t>
        </is>
      </c>
      <c r="O296" s="15" t="inlineStr">
        <is>
          <t>Y</t>
        </is>
      </c>
      <c r="P296" s="15" t="inlineStr">
        <is>
          <t>Added 2026-09-21 per Laurie (article text supplied directly). OUT OF CORE FOOTPRINT (Westchester Co., ~90+ mi S of Westerlo) but included as a recent, well-documented case of the recurring Hudson-corridor rail/slope-failure hazard already flagged as a cross-link worth mapping (see the Ways Atlas note on Staatsburg 1903 and similar). A mudslide (surface debris flow), not a Lake-Albany-clay rotational slump like the Bethlehem/Haverstraw rows — different mechanism, same broad river-valley-slope hazard theme.</t>
        </is>
      </c>
      <c r="Q296" s="15" t="inlineStr">
        <is>
          <t>2023-10-21</t>
        </is>
      </c>
      <c r="R296" s="15">
        <f>VALUE(LEFT(Q296,4))</f>
        <v/>
      </c>
      <c r="S296" s="15">
        <f>VALUE(MID(Q296,6,2))</f>
        <v/>
      </c>
      <c r="T296" s="15">
        <f>VALUE(RIGHT(Q296,2))</f>
        <v/>
      </c>
      <c r="U296" s="15" t="inlineStr">
        <is>
          <t>days</t>
        </is>
      </c>
      <c r="V296" s="15" t="inlineStr">
        <is>
          <t>Slide occurred Sat Oct 21 2023; Metro-North + Amtrak both suspended through Sun Oct 22, most service restored Monday Oct 23</t>
        </is>
      </c>
    </row>
    <row r="297" ht="135.75" customHeight="1" s="13">
      <c r="A297" s="15" t="n">
        <v>297</v>
      </c>
      <c r="B297" s="15" t="inlineStr">
        <is>
          <t>2021-05-13</t>
        </is>
      </c>
      <c r="C297" s="15" t="inlineStr">
        <is>
          <t>2021-05-13</t>
        </is>
      </c>
      <c r="D297" s="15">
        <f>VALUE(LEFT(B297,4))</f>
        <v/>
      </c>
      <c r="E297" s="15">
        <f>INT((D297-1)/100)+1</f>
        <v/>
      </c>
      <c r="F297" s="15" t="inlineStr">
        <is>
          <t>Landslide</t>
        </is>
      </c>
      <c r="G297" s="15" t="inlineStr">
        <is>
          <t>Groesbeck Place landslide, Delmar (Bethlehem)</t>
        </is>
      </c>
      <c r="H297" s="15" t="inlineStr">
        <is>
          <t>Cul-de-sac backyards, Groesbeck Place off Delaware Ave, Delmar (Bethlehem, Albany Co.) — Normans Kill corridor</t>
        </is>
      </c>
      <c r="I297" s="15" t="inlineStr">
        <is>
          <t>Land dropped more than 20 ft down across an area ~300 ft wide behind two 1950s-era homes; town supervisor David VanLuven called it one of the largest slides he'd seen in recent years</t>
        </is>
      </c>
      <c r="J297" s="15" t="inlineStr">
        <is>
          <t>none</t>
        </is>
      </c>
      <c r="K297" s="15" t="inlineStr">
        <is>
          <t>Residents of two homes woke to find portions of their backyards gone. Public works determined the homes themselves safe; National Grid and town engineers temporarily moved power lines into the street to avoid a disruption. VanLuven: "it is a natural thing that happens when creeks cut ravines through dense clay and the land becomes prone to sliding" — the same Normans Kill clay-slide hazard as the 2000 Delaware Ave slide and the 2015 Normanside Country Club slide (both cited in the article). Small slides slumping yards by 3-4 ft are common enough that Bethlehem has a steep-slope rule barring building/land disturbance near steep slopes; VanLuven noted there's little the town can do to prevent recurrence in neighborhoods built 50+ years ago.</t>
        </is>
      </c>
      <c r="L297" s="15" t="inlineStr">
        <is>
          <t>Times Union (Claire Bryan, updated May 17 2021)</t>
        </is>
      </c>
      <c r="M297" s="15" t="inlineStr">
        <is>
          <t>https://www.timesunion.com/</t>
        </is>
      </c>
      <c r="N297" s="15" t="inlineStr">
        <is>
          <t>A</t>
        </is>
      </c>
      <c r="O297" s="15" t="inlineStr">
        <is>
          <t>Y</t>
        </is>
      </c>
      <c r="P297" s="15" t="inlineStr">
        <is>
          <t>Added 2026-09-21 per Laurie (article text supplied directly). DATE NOTE: photos are captioned Monday May 17 2021, but body text says residents "woke up on Thursday morning" to the slide — the Thursday before May 17 2021 is May 13; anchored to May 13 (days precision) as the likely slide date, with May 17 being when the Times Union visited/photographed. Third confirmed Normans Kill clay-slide event in this register alongside the 2000 Delaware Ave slide (row 294) and the newly-added 2015 Normanside Country Club slide below — a genuinely recurring hazard corridor. 2026-09-23 (v846, atlas session): Titus's Jul 22 2021 repost of 'Yellow Alert?' is headed 'LANDSLIDE IN GLENMONT' — likely prompted by this May 2021 Groesbeck Place slide (Delmar/Glenmont line) or a further Glenmont slide that July; no separate July 2021 event entered.</t>
        </is>
      </c>
      <c r="Q297" s="15" t="inlineStr">
        <is>
          <t>2021-05-13</t>
        </is>
      </c>
      <c r="R297" s="15">
        <f>VALUE(LEFT(Q297,4))</f>
        <v/>
      </c>
      <c r="S297" s="15">
        <f>VALUE(MID(Q297,6,2))</f>
        <v/>
      </c>
      <c r="T297" s="15">
        <f>VALUE(RIGHT(Q297,2))</f>
        <v/>
      </c>
      <c r="U297" s="15" t="inlineStr">
        <is>
          <t>days</t>
        </is>
      </c>
      <c r="V297" s="15" t="inlineStr">
        <is>
          <t>Body text: found Thursday morning; article/photos dated the following Monday, May 17 2021</t>
        </is>
      </c>
    </row>
    <row r="298" ht="147" customHeight="1" s="13">
      <c r="A298" s="15" t="n">
        <v>298</v>
      </c>
      <c r="B298" s="15" t="inlineStr">
        <is>
          <t>2015-04-19</t>
        </is>
      </c>
      <c r="C298" s="15" t="inlineStr">
        <is>
          <t>2015-04-20</t>
        </is>
      </c>
      <c r="D298" s="15">
        <f>VALUE(LEFT(B298,4))</f>
        <v/>
      </c>
      <c r="E298" s="15">
        <f>INT((D298-1)/100)+1</f>
        <v/>
      </c>
      <c r="F298" s="15" t="inlineStr">
        <is>
          <t>Landslide</t>
        </is>
      </c>
      <c r="G298" s="15" t="inlineStr">
        <is>
          <t>Normanside Country Club landslide, Normans Kill</t>
        </is>
      </c>
      <c r="H298" s="15" t="inlineStr">
        <is>
          <t>Slope above the Normans Kill near Normanside Country Club, Bethlehem (Albany Co.)</t>
        </is>
      </c>
      <c r="I298" s="15" t="inlineStr">
        <is>
          <t>120,000 cubic yards of earth and debris slid overnight (Apr 19-20, 2015) into the Normans Kill from the slope above, blocking the creek for ~600 ft; damaged Albany's Capital Hills Golf Course. The slope dropped 72 ft over a 428-ft span (17% grade) before fill; the plan reshaped it to a 34% grade to build toward a target 5% grade.</t>
        </is>
      </c>
      <c r="J298" s="15" t="inlineStr">
        <is>
          <t>none</t>
        </is>
      </c>
      <c r="K298" s="15" t="inlineStr">
        <is>
          <t>In March 2015 the town of Bethlehem approved a permit letting Normanside Country Club place an additional 5,200 cubic yards of fill on the bank above the creek — despite the club having already illegally dumped fill there and several prior slope failures on that stretch. The slope failed the following month (April 2015), sending 120,000 cu yd of earth/debris into the Normans Kill and blocking it ~600 ft, flooding upstream and damaging Albany's Capital Hills Golf Course. Crews worked around the clock to excavate an emergency channel past the blockage; city officials put the cost at roughly $250,000. NYS DOT estimated a long-term fix (restoring the creek's original path) at $1.4-7.8M depending on scope. Normanside agreed months later to pay for immediate bank repairs to cut upstream flood risk. Litigation followed: Normanside sued the town (denied a 2018 motion to dismiss on government-immunity grounds — the town engineer had granted the fill permit without requiring a full application, contrary to its own procedures); the City of Albany sued in 2016; homeowners Francis and Mary Szydlowski (Normanside Drive, Albany) also sued over flood damage to their property. All target the town, the club, and dumping-related entities. Bank instability at this Bethlehem-Albany border stretch was already known: warnings go back decades, including a 1968 landslide at Mahar Road (this register) and the 2012 erosion-driven closure of Hoffman's Car Wash on Delaware Ave (this register/Geology layer). INVESTIGATIVE DETAIL (Cathleen Crowley, TU, updated Jun 22 2015, citing FOIL-obtained records): dumping at Normanside began without a permit in Nov/Dec 2014, trucked in for Albany developer James Googas's South Allen St apartment project by contractor R.J. Valente (100-200+ loads by neighbor John Van Voris's count) — Bethlehem assistant building inspector Roger Griffiths first flagged it internally Dec 2014 ("R.J. Valente is dumping clean fill... looks like there has been a lot more dumped than 200 yards already"); assistant engineer Brian Kise emailed the club's engineer Jan 7, "Tell your boys down at Normanside to get a permit for their illegal dumping" — they applied Jan 15. Town Engineer Paul Penman approved the grading permit (5,200 cu yd, designed/stamped by Edward Larkin of The Chazen Companies) on March 6, despite the town not requiring a geotechnical study or a financial-surety bond, either of which Normanside's own later lawyer (Joel Howard) said would likely have stopped the work. Supervisor John Clarkson, fielding neighbor complaints, emailed Mar 26 asking if a permit existed: "Memories of vegetable and carwash come to mind" (referencing the 2000 Delaware Ave and 2012 Hoffman's Car Wash incidents, this register). Dumping was halted late March/early April after Kise found excess dirt with no grading work underway; the slide followed within weeks. Club managing partner David Hostig said the fill was meant to prepare for a future building (Howard: probably an expansion of parking); Hostig said he didn't know the Normans Kill's instability history or that the work needed a permit. Albany's negligence claim against Bethlehem (obtained by FOIL) said the town "knew or should have known" about the unpermitted dumping and the slope's instability; a decades-old Albany County Soil and Conservation District pamphlet had already named Bethlehem/Albany "slippage-prone areas," with dumping topping its list of failure factors. Confirms two more slides in this corridor's history beyond those already logged: the 1968 Mahar Road slide (this register) and a 1982 slide behind Del Lanes Bowling Alley (new row, this sheet). IMMEDIATE AFTERMATH (Apr 28 2015, TU/Crowley): both golf courses' playing areas reopened within about a week — Normanside's course and pro shop stayed open throughout, and Capital Hills at Albany's 9 affected holes (damaged near the 6th, and cart paths cut up by the emergency channel-digging equipment) reopened for all 18 by the following Saturday. But Normanside's restaurant, banquet room, and maintenance shed remained closed pending an engineering report; the club had hired its own geotechnical engineer to propose stabilization and monitoring. The state DEC opened an investigation into the cause and was to help plan slope stabilization and creek restoration; officials from Bethlehem, Albany, and the county were to meet with DEC to map out next steps. Supervisor Clarkson: "We want to be sure that everything is safe and monitored in a way that there are no surprises." COST/RESPONSE DETAIL (Apr 23 2015, TU/Carleo-Evangelist): discovered Monday morning (Apr 20). County Sheriff Craig Apple (Emergency Management Office) estimated emergency-response costs at 'at least in the hundreds of thousands' — five rented pumps forcing the creek downstream plus pipe trucked in from Connecticut while the emergency channel was cut. Albany Mayor Kathy Sheehan's office vowed to seek 'full reimbursement' from Bethlehem/Normanside; Clarkson said the town has 'no deep municipal pockets' and had already covered its own outside engineers plus highway/DPW/police staff time, and wants 'everyone made whole' — with litigation not ruled out pending fault. No FEMA eligibility: with no home/building damage, costs fell far short of the $27.3M threshold, and NY's Division of Homeland Security/Emergency Services has no municipal cleanup-cost reimbursement program, though it pledged planning/logistical support. Capital Hills' back nine (farthest from the collapse) reopened that Wednesday for the first time that spring, ~2 dozen golfers turning out despite cool drizzle and nearby construction. The U.S. Army Corps of Engineers was also monitoring the emergency work for Clean Water Act/wetlands compliance (spokesman Chris Gardner: local crews did 'an excellent job... minimizing potential wetlands impacts'), with DEC taking over the cause investigation and long-term stabilization planning from the county as the emergency phase wound down. RESIDENT FLOODING FEAR (Apr 23 2015, TU/Clukey): the slope gave way Sunday night into Monday morning (Apr 19-20, confirming this row's dated anchor). A county state of emergency closed all creek access between the Delaware Ave Bridge and the DEC boat launch on New Scotland Ave to the public. Downstream, Frank and Mary Szydlowski (37 Normanside Drive, Albany, 19-year residents with flood insurance) watched the creek stay ~4 ft above normal for days after the Tuesday emergency channel opened, submerging their walkway stairs and bankside bushes; Sheriff Craig Apple attributed the elevated water mainly to concurrent heavy rain, but confirmed the Bethlehem-side walls were still actively eroding and collapsing days later ('We're definitely not done... it's been a nightmare'), with crews losing excavators a few feet into the mud and planning to mulch cleared trees over the ground to slow erosion as an interim measure pending a long-term plan. The Szydlowskis, who'd taken 4 ft of basement water during Irene (2011) but came through the 2000 Delaware Ave landslide unscathed, said they'd heard nothing from any level of government since the Monday collapse and were considering canceling vacation plans over flood risk; Mary Szydlowski placed blame squarely on the club: 'This was not an act of God. It was an act of stupidity.' (The Szydlowskis are the homeowners who later sued the town, named without further merge duplication in this row's earlier lawsuit-summary entry.)</t>
        </is>
      </c>
      <c r="L298" s="15" t="inlineStr">
        <is>
          <t>Times Union (Amanda Fries, Apr 26 2018), reporting on the April 19 2018 Appellate Division ruling; Times Union (Cathleen F. Crowley, updated Jun 22 2015) — the definitive investigative account; Times Union (Cathleen F. Crowley, Apr 28 2015); Times Union (Jordan Carleo-Evangelist, Apr 23 2015); Times Union (Keshia Clukey, Apr 23 2015)</t>
        </is>
      </c>
      <c r="M298" s="15" t="inlineStr">
        <is>
          <t>https://www.timesunion.com/</t>
        </is>
      </c>
      <c r="N298" s="15" t="inlineStr">
        <is>
          <t>A</t>
        </is>
      </c>
      <c r="O298" s="15" t="inlineStr">
        <is>
          <t>Y</t>
        </is>
      </c>
      <c r="P298" s="15" t="inlineStr">
        <is>
          <t>Added 2026-09-21 per Laurie — this fills the exact gap flagged in the Bethlehem/Delaware Ave 2000 row's notes (row 294), which had this event as an unsourced lead. Exact month/day within 2015 not given in the source at hand; dated to the full year (days precision, Jan 1-Dec 31 2015) pending a firmer date from the original 2015 TU lawsuit article. Confidence B (secondary reference within a later article) rather than A since this pass didn't read the original 2015 reporting directly. UPDATE 2026-09-21: fills the gap flagged when this row was first added — month now confirmed (April 2015), confidence upgraded B→A on a real primary source (court-ruling coverage citing DOT site plans and city cost estimates). Also surfaced: a 1968 Mahar Road landslide (new row, this sheet) and confirmation the 2012 Hoffman Car Wash closure was erosion-driven. UPDATE 2026-09-21: merged the definitive Crowley investigative piece — exact date (overnight Apr 19-20 2015, day precision now, up from month), the full permit/dumping timeline, named officials and their exact actions, slope grade figures, and confirmation of a NEW 1982 Del Lanes Bowling Alley slide (added as its own row). UPDATE 2026-09-21: merged the Apr 28 2015 week-after TU report — reopening timeline for both golf courses, DEC investigation opened, club hired its own geotechnical engineer. Same event as this row's other merges. UPDATE 2026-09-21: merged the Apr 23 2015 TU cost/response report — emergency response costs, FEMA ineligibility, the Army Corps' Clean Water Act oversight role, and the three governments' early reimbursement posturing. Fourth article merged into this row. UPDATE 2026-09-21: merged a fifth TU article (Clukey, Apr 23 2015) — downstream flooding fear at the Szydlowski home (already named as later plaintiffs in this row's lawsuit summary), confirms slide timing as Sun night-Mon morning Apr 19-20, active ongoing erosion days later, and Mary Szydlowski's on-record quote blaming the club directly. Sixth article now merged into this event. 2026-09-22 (merge, atlas session): USGS Landslide Inventories v3.0 carries this slide as NASA GLC pt190400 (2015-04-20, media FOX23) with catalog coordinate 42.6404, -73.8216 — no new narrative; coordinate noted for any future pin.</t>
        </is>
      </c>
      <c r="Q298" s="15" t="inlineStr">
        <is>
          <t>2015-04-19</t>
        </is>
      </c>
      <c r="R298" s="15">
        <f>VALUE(LEFT(Q298,4))</f>
        <v/>
      </c>
      <c r="S298" s="15">
        <f>VALUE(MID(Q298,6,2))</f>
        <v/>
      </c>
      <c r="T298" s="15">
        <f>VALUE(RIGHT(Q298,2))</f>
        <v/>
      </c>
      <c r="U298" s="15" t="inlineStr">
        <is>
          <t>days</t>
        </is>
      </c>
      <c r="V298" s="15" t="inlineStr">
        <is>
          <t>Referenced only as "2015" in the available source; exact date not yet found</t>
        </is>
      </c>
    </row>
    <row r="299" ht="1311.75" customHeight="1" s="13">
      <c r="A299" s="15" t="n">
        <v>299</v>
      </c>
      <c r="B299" s="15" t="inlineStr">
        <is>
          <t>2024-05-07</t>
        </is>
      </c>
      <c r="C299" s="15" t="inlineStr">
        <is>
          <t>2024-05-07</t>
        </is>
      </c>
      <c r="D299" s="15">
        <f>VALUE(LEFT(B299,4))</f>
        <v/>
      </c>
      <c r="E299" s="15">
        <f>INT((D299-1)/100)+1</f>
        <v/>
      </c>
      <c r="F299" s="15" t="inlineStr">
        <is>
          <t>Landslide</t>
        </is>
      </c>
      <c r="G299" s="15" t="inlineStr">
        <is>
          <t>Cauterskill Road landslide, Catskill (condemned home)</t>
        </is>
      </c>
      <c r="H299" s="15" t="inlineStr">
        <is>
          <t>5525 Cauterskill Rd, Catskill (Greene Co.)</t>
        </is>
      </c>
      <c r="I299" s="15" t="inlineStr">
        <is>
          <t>Soil around the foundation gave way after heavy rain earlier that week; the back edges of the house were left hanging over open air</t>
        </is>
      </c>
      <c r="J299" s="15" t="inlineStr">
        <is>
          <t>none</t>
        </is>
      </c>
      <c r="K299" s="15" t="inlineStr">
        <is>
          <t>David Whittaker's family (himself, his mother, sister) were home when the ground gave way Tuesday afternoon (May 7); they got out unharmed. The American Red Cross initially reported the home destroyed, but it was still standing as of Friday, though condemned and off-limits — undermined foundation soil, not structural collapse. Family displaced to a friend's home in the area. A rain-triggered slope failure in the Catskill Creek valley (Cauterskill Rd parallels Catskill Creek), the same broad corridor as the Freehold ice-age alluvial-fan fans further upstream (this register/layer) — not yet confirmed as the same Glacial-Lake-Albany-clay mechanism as the Bethlehem/Normans Kill cluster; heavy rain + valley-fill soils is the common thread, mechanism unconfirmed.</t>
        </is>
      </c>
      <c r="L299" s="15" t="inlineStr">
        <is>
          <t>Times Union (Roger Hannigan Gilson, May 10 2024)</t>
        </is>
      </c>
      <c r="M299" s="15" t="inlineStr">
        <is>
          <t>https://www.timesunion.com/</t>
        </is>
      </c>
      <c r="N299" s="15" t="inlineStr">
        <is>
          <t>A</t>
        </is>
      </c>
      <c r="O299" s="15" t="inlineStr">
        <is>
          <t>Y</t>
        </is>
      </c>
      <c r="P299" s="15" t="inlineStr">
        <is>
          <t>Added 2026-09-21 per Laurie (article text supplied directly). Distinct from the Normans Kill/Bethlehem cluster (rows 294-295, 297-298) — different valley, different creek (Catskill Creek, not the Normans Kill), and the source doesn't specify Glacial-Lake-Albany clay as the mechanism (just "heavy rain"). Flagged for follow-up: confirm bedrock/surficial mapping for Cauterskill Rd before asserting a Lake Albany link.</t>
        </is>
      </c>
      <c r="Q299" s="15" t="inlineStr">
        <is>
          <t>2024-05-07</t>
        </is>
      </c>
      <c r="R299" s="15">
        <f>VALUE(LEFT(Q299,4))</f>
        <v/>
      </c>
      <c r="S299" s="15">
        <f>VALUE(MID(Q299,6,2))</f>
        <v/>
      </c>
      <c r="T299" s="15">
        <f>VALUE(RIGHT(Q299,2))</f>
        <v/>
      </c>
      <c r="U299" s="15" t="inlineStr">
        <is>
          <t>day</t>
        </is>
      </c>
      <c r="V299" s="15" t="inlineStr">
        <is>
          <t>Whittaker: ground gave way "Tuesday afternoon"; article published/dated Friday May 10 2024, so Tuesday = May 7 2024</t>
        </is>
      </c>
    </row>
    <row r="300" ht="135.75" customHeight="1" s="13">
      <c r="A300" s="15" t="n">
        <v>300</v>
      </c>
      <c r="B300" s="15" t="inlineStr">
        <is>
          <t>2025-05-10</t>
        </is>
      </c>
      <c r="C300" s="15" t="inlineStr">
        <is>
          <t>2025-05-10</t>
        </is>
      </c>
      <c r="D300" s="15">
        <f>VALUE(LEFT(B300,4))</f>
        <v/>
      </c>
      <c r="E300" s="15">
        <f>INT((D300-1)/100)+1</f>
        <v/>
      </c>
      <c r="F300" s="15" t="inlineStr">
        <is>
          <t>Landslide</t>
        </is>
      </c>
      <c r="G300" s="15" t="inlineStr">
        <is>
          <t>Mann Drive landslide, Castleton-on-Hudson</t>
        </is>
      </c>
      <c r="H300" s="15" t="inlineStr">
        <is>
          <t>5-8 Mann Drive, Castleton-on-Hudson (Rensselaer Co.)</t>
        </is>
      </c>
      <c r="I300" s="15" t="inlineStr">
        <is>
          <t>5 Mann Drive sank at least 3 ft into the ground; the foundation 'washed out' from underneath the home, which was left standing on its piers; a portion of the road also collapsed</t>
        </is>
      </c>
      <c r="J300" s="15" t="inlineStr">
        <is>
          <t>none</t>
        </is>
      </c>
      <c r="K300" s="15" t="inlineStr">
        <is>
          <t>Village fire crews responded to a reported partial building collapse ~3:45pm Saturday May 10 2025; Building Inspector Tom Burrell ordered 5 Mann Drive vacated, salvageability undetermined. The slide may also have affected 7 Mann Drive next door (an engineer was assessing tree stability there); 8 Mann Drive across the street separately reported water leaking into its basement the same weekend. Nine residents across all three properties received American Red Cross aid. Followed a week of heavy rain. A different corridor from both the Normans Kill (Bethlehem) and Catskill Creek (Cauterskill Rd) slide clusters in this register — east-bank Hudson River valley near the Austin Glen Formation / New Baltimore area already in the Geology layer.</t>
        </is>
      </c>
      <c r="L300" s="15" t="inlineStr">
        <is>
          <t>Times Union (Tyler A. McNeil, May 13 2025)</t>
        </is>
      </c>
      <c r="M300" s="15" t="inlineStr">
        <is>
          <t>https://www.timesunion.com/</t>
        </is>
      </c>
      <c r="N300" s="15" t="inlineStr">
        <is>
          <t>A</t>
        </is>
      </c>
      <c r="O300" s="15" t="inlineStr">
        <is>
          <t>Y</t>
        </is>
      </c>
      <c r="P300" s="15" t="inlineStr">
        <is>
          <t>Added 2026-09-21 per Laurie (article text supplied directly). Third distinct slide corridor now in the register (alongside Normans Kill/Bethlehem and Catskill Creek/Cauterskill Rd) — a genuine regional pattern of rain-triggered slope failures across Hudson Valley clay/till, not one recurring site. Mechanism (Lake Albany clay vs. other valley fill) not specified in source; flagged for follow-up.</t>
        </is>
      </c>
      <c r="Q300" s="15" t="inlineStr">
        <is>
          <t>2025-05-10</t>
        </is>
      </c>
      <c r="R300" s="15">
        <f>VALUE(LEFT(Q300,4))</f>
        <v/>
      </c>
      <c r="S300" s="15">
        <f>VALUE(MID(Q300,6,2))</f>
        <v/>
      </c>
      <c r="T300" s="15">
        <f>VALUE(RIGHT(Q300,2))</f>
        <v/>
      </c>
      <c r="U300" s="15" t="inlineStr">
        <is>
          <t>day</t>
        </is>
      </c>
      <c r="V300" s="15" t="inlineStr">
        <is>
          <t>Article: landslide occurred "on Saturday"; published Tuesday May 13 2025, so Saturday = May 10 2025</t>
        </is>
      </c>
    </row>
    <row r="301" ht="135.75" customHeight="1" s="13">
      <c r="A301" s="15" t="n">
        <v>301</v>
      </c>
      <c r="B301" s="15" t="inlineStr">
        <is>
          <t>2024-03-11</t>
        </is>
      </c>
      <c r="C301" s="15" t="inlineStr">
        <is>
          <t>2024-03-11</t>
        </is>
      </c>
      <c r="D301" s="15">
        <f>VALUE(LEFT(B301,4))</f>
        <v/>
      </c>
      <c r="E301" s="15">
        <f>INT((D301-1)/100)+1</f>
        <v/>
      </c>
      <c r="F301" s="15" t="inlineStr">
        <is>
          <t>Landslide</t>
        </is>
      </c>
      <c r="G301" s="15" t="inlineStr">
        <is>
          <t>Spring Avenue landslide, Troy</t>
        </is>
      </c>
      <c r="H301" s="15" t="inlineStr">
        <is>
          <t>Spring Ave between Walker and Linden Aves, Troy (Rensselaer Co.)</t>
        </is>
      </c>
      <c r="I301" s="15" t="inlineStr">
        <is>
          <t>Landslide took out utility poles and trees along a stretch of Spring Ave, a prominent Eastside-to-downtown shortcut</t>
        </is>
      </c>
      <c r="J301" s="15" t="inlineStr">
        <is>
          <t>none</t>
        </is>
      </c>
      <c r="K301" s="15" t="inlineStr">
        <is>
          <t>Road closed Monday March 11 2024 for the slide itself; reopened briefly Tuesday before crews returned to remove trees and prep for repair work, closing it again — officials gave no firm timetable ("could be less than or more than a week"). City considering detour signage as of the report. Troy sits on the Mount Ida Delta (Glacial Lake Albany), already the site of historic fatal slides in 1837 and 1859 (this register/Geology layer) — Spring Avenue is a different slope within the same delta-city.</t>
        </is>
      </c>
      <c r="L301" s="15" t="inlineStr">
        <is>
          <t>Times Union (Kenneth C. Crowe II, March 12 2024)</t>
        </is>
      </c>
      <c r="M301" s="15" t="inlineStr">
        <is>
          <t>https://www.timesunion.com/</t>
        </is>
      </c>
      <c r="N301" s="15" t="inlineStr">
        <is>
          <t>A</t>
        </is>
      </c>
      <c r="O301" s="15" t="inlineStr">
        <is>
          <t>Y</t>
        </is>
      </c>
      <c r="P301" s="15" t="inlineStr">
        <is>
          <t>Added 2026-09-21 per Laurie (article text supplied directly). Same Mount Ida Delta as the 1837/1859 Troy landslides already in this register — a fourth Hudson Valley slide corridor event this session, and the most direct tie yet to an already-mapped Lake Albany delta site.</t>
        </is>
      </c>
      <c r="Q301" s="15" t="inlineStr">
        <is>
          <t>2024-03-11</t>
        </is>
      </c>
      <c r="R301" s="15">
        <f>VALUE(LEFT(Q301,4))</f>
        <v/>
      </c>
      <c r="S301" s="15">
        <f>VALUE(MID(Q301,6,2))</f>
        <v/>
      </c>
      <c r="T301" s="15">
        <f>VALUE(RIGHT(Q301,2))</f>
        <v/>
      </c>
      <c r="U301" s="15" t="inlineStr">
        <is>
          <t>day</t>
        </is>
      </c>
      <c r="V301" s="15" t="inlineStr">
        <is>
          <t>Article: "Monday landslide," published/dated Tuesday March 12 2024, so Monday = March 11 2024</t>
        </is>
      </c>
    </row>
    <row r="302" ht="90.75" customHeight="1" s="13">
      <c r="A302" s="15" t="n">
        <v>302</v>
      </c>
      <c r="B302" s="15" t="inlineStr">
        <is>
          <t>2020-05-03</t>
        </is>
      </c>
      <c r="C302" s="15" t="inlineStr">
        <is>
          <t>2021-04-03</t>
        </is>
      </c>
      <c r="D302" s="15">
        <f>VALUE(LEFT(B302,4))</f>
        <v/>
      </c>
      <c r="E302" s="15">
        <f>INT((D302-1)/100)+1</f>
        <v/>
      </c>
      <c r="F302" s="15" t="inlineStr">
        <is>
          <t>Landslide</t>
        </is>
      </c>
      <c r="G302" s="15" t="inlineStr">
        <is>
          <t>Waterford (Weaver Ave / Middletown Rd) landslide</t>
        </is>
      </c>
      <c r="H302" s="15" t="inlineStr">
        <is>
          <t>Weaver Ave &amp; Middletown Rd, Waterford (Saratoga Co.)</t>
        </is>
      </c>
      <c r="I302" s="15" t="inlineStr">
        <is>
          <t>A large sloping hillside collapsed ~3pm Sunday May 3, dropping ~150 ft into a pond below and leaving a sheer cliff dropping ~75 ft in its place; the failure zone measured ~50 ft high across ~17 acres (Gifford Engineering, July 2020 report). By Thursday May 7 the ridge had lost a further 5 ft of soil under the Weaver Ave home.</t>
        </is>
      </c>
      <c r="J302" s="15" t="inlineStr">
        <is>
          <t>none</t>
        </is>
      </c>
      <c r="K302" s="15" t="inlineStr">
        <is>
          <t>Waterford Fire Chief Don Baldwin: crews dispatched ~3:30pm Sunday, left 4-5 hours later with earth still falling. Seven homes were evacuated initially; engineers determined only four needed to stay empty — three on Middletown Rd (two hanging onto the hill's edge, a third cut off down the road) plus one on Weaver Ave (at least a third of the house hanging off the edge), overlooking the Waterford Canal Harbor; the other three evacuations were precautionary and lifted. The Weaver Ave home's deck was left hanging in the air, unsupported, its former foundation ground having crumbled onto a private drive below and buried it under 25-30 ft of trees and debris, cutting off a neighboring home from car access (walkable only). A second home's foundation was left exposed, its driveway hanging over open air. Two more homes on Middletown Rd, atop the ridge, were also threatened but had stopped losing soil as of the May 7 follow-up — though more rain and snow were forecast that weekend. Town Supervisor John Lawler: "The soil is loose and unstable. It's a difficult situation." A slow-moving, multi-day active slide (still moving days later) rather than a single-moment collapse, distinct in character from the other 2024-25 Hudson Valley slides in this register. CAUSE (Gifford Engineering report to the town, July 2020, ~$12,000, commissioned by Waterford): rainfall 12% above normal in the months before the slide, and specifically a 4.88-in/12-month rainfall increase (May 2019-May 3 2020, measured at Albany Intl Airport) vs. the prior year, concluded "with a reasonable degree of engineering certainty" to have triggered a rising water table — "the only feasible explanation for the failure"; report cautioned that without repair "the failure will continue to move," and recommended further geotechnical study (borings, monitoring wells) to confirm. Homeowner Terry Murphy (1 Weaver Ave, built 1994, deck already collapsed onto the drive below) rejected the rain explanation ("there wasn't excessive rain... that's nothing") and pointed instead to a neighboring downspout pipe (from Middletown Rd resident Phyllis Fannucci's driveway drain, now exposed above the collapse) cited in his own insurer's report; his insurer (Homesite) denied coverage. The town report found both Murphy's home and Fannucci's garage uninhabitable without significant stabilization. 3 Middletown Rd owner Jon Diviney (driveway buried under the slide debris) got town approval for a cleanup/regrading plan to flatten part of the slope and reduce recurrence risk, though the report says further failure remains likely given the hillside's angle. The town required the Fannuccis to fence off the slope at their own cost but declined to fund repairs, calling it private property outside town responsibility beyond public safety; no further town-funded study was planned as of this report. AFTERMATH (Apr 3 2021, TU/Liberatore): a year on, the Murphys (Terry &amp; Mary, of 1A Weaver Ave — built by Terry; his mother had lived there until the slide forced her into senior housing) say the town is compounding their loss. The town billed them $1,500 under its vacant-building registry for the now-uninhabitable, town-ordered-evacuated house; Supervisor John Lawler defended the fee as standard Capital Region practice but said the family "need to take some action to demolish the house." A tree-tacked notice (no mail) gave 60 days to fence the property or face town-assessed securing/demolition costs; the Murphys complied, then town snowplows knocked down a gate pillar they'd installed (since repaired). The Murphys, who've lived in Wilmington near Lake Placid since 2017, stopped paying property taxes on land they say is now unusable; Lawler warned the county could foreclose and urged them to formally grieve their assessment. They'd hired an attorney to establish cause (for possible compensation) and rejected the July 2020 rain-based engineering report's conclusion. Of the three properties hit (Weaver Ave, a second home cut off by 25 ft of debris, and a third on Middletown Rd that lost some ground), only the Murphys "lost everything." MAY 9 2020 UPDATE (TU staff report): displaced 10-12 people total. Two families were cleared to move back in for Mother's Day (May 10) after the land showed no further deterioration and the town restored their power. One couple was not so fortunate — their deck, left hanging over the collapse pit, gave way and fell in. Timeline for the remaining displaced families to return was undetermined as of this report.</t>
        </is>
      </c>
      <c r="L302" s="15" t="inlineStr">
        <is>
          <t>Times Union (Massarah Mikati, May 4 2020; Wendy Liberatore, May 7 and Jul 6 2020); Times Union (Wendy Liberatore, Apr 3 2021); Times Union staff report (May 9 2020)</t>
        </is>
      </c>
      <c r="M302" s="15" t="inlineStr">
        <is>
          <t>https://www.timesunion.com/</t>
        </is>
      </c>
      <c r="N302" s="15" t="inlineStr">
        <is>
          <t>A</t>
        </is>
      </c>
      <c r="O302" s="15" t="inlineStr">
        <is>
          <t>Y</t>
        </is>
      </c>
      <c r="P302" s="15" t="inlineStr">
        <is>
          <t>Added 2026-09-21 per Laurie (article text supplied directly). Fifth distinct Hudson Valley slide-corridor event added this session (with Bethlehem/Normans Kill, Catskill/Cauterskill Rd, Castleton-on-Hudson/Mann Dr, Troy/Spring Ave) — Waterford sits at the Mohawk-Hudson confluence, a few miles north of the Troy/Mount Ida delta cluster. Mechanism (Lake Albany clay vs. other valley fill) not specified in source. UPDATE 2026-09-21: merged in the original day-1 Times Union report (Mikati, May 4) — exact time (~3pm Sunday), the 75-ft cliff left behind, the 7-to-4 evacuation count, Fire Chief Don Baldwin, and the Waterford Canal Harbor overlook. Same event as the May 7 follow-up already in this row; not a duplicate. UPDATE 2026-09-21: merged in the July 6 2020 TU follow-up (Gifford Engineering's causal report) — rain/water-table cause, 50ft/17ac failure scope, the Murphy-vs-town dispute, the downspout lead, cleanup/regrading at 3 Middletown Rd, and the town's stance on liability. Same event as rows already merged here (ID 302); not a duplicate. UPDATE 2026-09-21: merged a fourth TU article (Apr 3 2021) — the Murphys' year-later fight with the town over a $1,500 vacant-building fine, the tree-tacked fence notice, the plow-damaged gate, and unpaid taxes on now-unusable land. Same event as rows 302's earlier merges; not a duplicate. Human/policy-aftermath angle, distinct from the causal-engineering angle already in this row. UPDATE 2026-09-21: merged a fifth TU piece (staff report, May 9 2020) — 10-12 people displaced total, two families cleared home for Mother's Day, one more deck lost to the pit afterward. Same event as row 302's other merges.</t>
        </is>
      </c>
      <c r="Q302" s="15" t="inlineStr">
        <is>
          <t>2020-05-03</t>
        </is>
      </c>
      <c r="R302" s="15">
        <f>VALUE(LEFT(Q302,4))</f>
        <v/>
      </c>
      <c r="S302" s="15">
        <f>VALUE(MID(Q302,6,2))</f>
        <v/>
      </c>
      <c r="T302" s="15">
        <f>VALUE(RIGHT(Q302,2))</f>
        <v/>
      </c>
      <c r="U302" s="15" t="inlineStr">
        <is>
          <t>days</t>
        </is>
      </c>
      <c r="V302" s="15" t="inlineStr">
        <is>
          <t>Initial slide "on Sunday" per photo caption (May 3, ahead of the May 5 photo date); still active/worsening through the May 7 update</t>
        </is>
      </c>
    </row>
    <row r="303" ht="784.5" customHeight="1" s="13">
      <c r="A303" s="15" t="n">
        <v>303</v>
      </c>
      <c r="B303" s="15" t="inlineStr">
        <is>
          <t>2018-01-28</t>
        </is>
      </c>
      <c r="C303" s="15" t="inlineStr">
        <is>
          <t>2019-05-01</t>
        </is>
      </c>
      <c r="D303" s="15">
        <f>VALUE(LEFT(B303,4))</f>
        <v/>
      </c>
      <c r="E303" s="15">
        <f>INT((D303-1)/100)+1</f>
        <v/>
      </c>
      <c r="F303" s="15" t="inlineStr">
        <is>
          <t>Landslide (man-caused / infrastructure)</t>
        </is>
      </c>
      <c r="G303" s="15" t="inlineStr">
        <is>
          <t>Barney St / Nott Terrace landslide, Schenectady</t>
        </is>
      </c>
      <c r="H303" s="15" t="inlineStr">
        <is>
          <t>Land behind Barney St, above Nott Terrace, Schenectady (Schenectady Co.)</t>
        </is>
      </c>
      <c r="I303" s="15" t="inlineStr">
        <is>
          <t>Hillside collapse on Jan 28 2018 damaged several buildings on Nott Terrace below; caused by broken water service lines at 11 and 15 Barney St (per a May 2018 Dente Group engineering report), not a rain/clay-slump mechanism</t>
        </is>
      </c>
      <c r="J303" s="15" t="inlineStr">
        <is>
          <t>none</t>
        </is>
      </c>
      <c r="K303" s="15" t="inlineStr">
        <is>
          <t>Iquann Cornish, 21, staying at his uncle's apartment at 223 Nott Terrace, was buried in mud up to his neck for nearly an hour before firefighters extricated him; broke ribs, suffered leg nerve damage, and later nightmares/anxiety/depression. Two other men in the apartment were also injured. City officials determined the cause was the broken water lines; the Dente Group report found the city knew of the leaks beforehand but hadn't repaired them (the city maintained flooding was the property owners' responsibility). Cornish sued the city, county, the 223 Nott Terrace owners, the 11 Barney St owner, and 15 Barney St's former owner (filed Supreme Court, reported May 1 2019, at the close of the statutory notice-of-claim window). Residents of 225 Nott Terrace (David and Bruce Baker) filed a separate notice of claim alleging officials knew of the leak but didn't warn nearby homeowners.</t>
        </is>
      </c>
      <c r="L303" s="15" t="inlineStr">
        <is>
          <t>Times Union (Sara Cline, May 1 2019), citing a May 2018 Dente Group engineering report; complaint first reported by the Schenectady Gazette ; Titus, R. &amp; J., 'The Schenectady landslide', The Mountain Eagle, Feb 2018 (reposted thecatskillgeologist.com Aug 17 2023); The Catskill Geologist ; Titus, R. &amp; J., 'The Schenectady landslide', The Mountain Eagle, Feb 2 2018 (posted thecatskillgeologist.com Feb 22 2018) (reposted thecatskillgeologist.com Aug 17 2023)</t>
        </is>
      </c>
      <c r="M303" s="15" t="inlineStr">
        <is>
          <t>https://www.timesunion.com/</t>
        </is>
      </c>
      <c r="N303" s="15" t="inlineStr">
        <is>
          <t>A</t>
        </is>
      </c>
      <c r="O303" s="15" t="inlineStr">
        <is>
          <t>Y</t>
        </is>
      </c>
      <c r="P303" s="15" t="inlineStr">
        <is>
          <t>Added 2026-09-21 per Laurie (article text supplied directly). MECHANISM NOTE: unlike the Bethlehem/Normans Kill, Catskill/Cauterskill, Castleton, Troy and Waterford slides in this register (all rain/clay-slump on natural slopes), this one is infrastructure-triggered — broken water service lines saturating the hillside — closer in kind to the water-main sinkhole category (Madison Ave 2016, Troy 2023, McKownville) than to the Lake Albany clay-slide family, even though the surface event ("a hillside collapsed") looks the same. Category tagged accordingly. 2026-09-23 (v840, atlas session): Titus (Mountain Eagle Feb 2018): two houses badly damaged, at least one injured, ~two dozen displaced; delta-sediment rotational slump — same mechanism as 1996 Broadway and 2004 1st Ave. 2026-09-23 (v841, atlas session): DUPLICATE row 229 folded in and removed — it carried the Titus column under the blog-post date (2018-02-22), not the slide date. 229's impact summary: Lake Albany delta silts failed after rain/thaw – same warm-up that broke the Mohawk ice jam.</t>
        </is>
      </c>
      <c r="Q303" s="15" t="inlineStr">
        <is>
          <t>2018-01-28</t>
        </is>
      </c>
      <c r="R303" s="15">
        <f>VALUE(LEFT(Q303,4))</f>
        <v/>
      </c>
      <c r="S303" s="15">
        <f>VALUE(MID(Q303,6,2))</f>
        <v/>
      </c>
      <c r="T303" s="15">
        <f>VALUE(RIGHT(Q303,2))</f>
        <v/>
      </c>
      <c r="U303" s="15" t="inlineStr">
        <is>
          <t>day</t>
        </is>
      </c>
      <c r="V303" s="15" t="inlineStr">
        <is>
          <t>Collapse date Jan 28 2018 is well-established (lawsuit and report both anchor to it); End date reflects when this report was published, not an ongoing event</t>
        </is>
      </c>
    </row>
    <row r="304" ht="157.5" customHeight="1" s="13">
      <c r="A304" s="15" t="n">
        <v>304</v>
      </c>
      <c r="B304" s="15" t="inlineStr">
        <is>
          <t>1968-01-01</t>
        </is>
      </c>
      <c r="C304" s="15" t="inlineStr">
        <is>
          <t>1968-12-31</t>
        </is>
      </c>
      <c r="D304" s="15">
        <f>VALUE(LEFT(B304,4))</f>
        <v/>
      </c>
      <c r="E304" s="15">
        <f>INT((D304-1)/100)+1</f>
        <v/>
      </c>
      <c r="F304" s="15" t="inlineStr">
        <is>
          <t>Landslide</t>
        </is>
      </c>
      <c r="G304" s="15" t="inlineStr">
        <is>
          <t>Mahar Road landslide, Normans Kill (Bethlehem)</t>
        </is>
      </c>
      <c r="H304" s="15" t="inlineStr">
        <is>
          <t>Mahar Rd, Normans Kill corridor, Bethlehem (Albany Co.)</t>
        </is>
      </c>
      <c r="I304" s="15" t="inlineStr">
        <is>
          <t>A landslide at Mahar Road — cited in 2018 reporting as one of the earliest documented slope failures on the Bethlehem-Albany Normans Kill border stretch</t>
        </is>
      </c>
      <c r="J304" s="15" t="inlineStr">
        <is>
          <t>none</t>
        </is>
      </c>
      <c r="K304" s="15" t="inlineStr">
        <is>
          <t>Referenced only in passing (a 2018 Times Union article on the 2015 Normanside Country Club landslide lawsuits) as evidence that "warnings over the bank's instability... go back decades" — the oldest named slide in the Normans Kill corridor now in this register, predating the 2000 Delaware Ave slide (row 294), the 2015 Normanside slide (row 298), the 2021 Groesbeck Place slide (row 297), and the 2025 Hoffman Car Wash closure/2026 permanent closure (row 295) by decades. No further detail (exact date, damage, cause) available from the source at hand.</t>
        </is>
      </c>
      <c r="L304" s="15" t="inlineStr">
        <is>
          <t>Times Union (Amanda Fries, Apr 26 2018), passing reference only</t>
        </is>
      </c>
      <c r="M304" s="15" t="inlineStr">
        <is>
          <t>https://www.timesunion.com/</t>
        </is>
      </c>
      <c r="N304" s="15" t="inlineStr">
        <is>
          <t>C</t>
        </is>
      </c>
      <c r="O304" s="15" t="inlineStr">
        <is>
          <t>Y</t>
        </is>
      </c>
      <c r="P304" s="15" t="inlineStr">
        <is>
          <t>Added 2026-09-21 per Laurie (surfaced in the 2018 article on the 2015 Normanside lawsuits). Confidence C — a bare name-and-year mention, no primary reporting from 1968 found or read. Year-only precision. Worth a dedicated search (Times Union/Knickerbocker News archives) if the full Normans Kill slide chronology is ever built out properly; it would be the earliest documented event in that corridor. 2026-09-22 (v838, atlas session): Locus fixed — Mahar Rd = Maher Rd, the Rte 85 corner where the Blue Cross/Blue Shield building stands (1251 New Scotland Rd, Slingerlands). Row 325 (undated slide 'when the Blue Cross building was built', Altamont Enterprise Aug 4 1988) is at this same corner and may be this same 1968 event — unconfirmed; construction year of the building would settle it. Geology pin now carries coordinates.</t>
        </is>
      </c>
      <c r="Q304" s="15" t="inlineStr">
        <is>
          <t>1968-01-01</t>
        </is>
      </c>
      <c r="R304" s="15">
        <f>VALUE(LEFT(Q304,4))</f>
        <v/>
      </c>
      <c r="S304" s="15">
        <f>VALUE(MID(Q304,6,2))</f>
        <v/>
      </c>
      <c r="T304" s="15">
        <f>VALUE(RIGHT(Q304,2))</f>
        <v/>
      </c>
      <c r="U304" s="15" t="inlineStr">
        <is>
          <t>year</t>
        </is>
      </c>
      <c r="V304" s="15" t="inlineStr">
        <is>
          <t>Named only as "the 1968 Mahar Road landslide" with no month/day given</t>
        </is>
      </c>
    </row>
    <row r="305" ht="102" customHeight="1" s="13">
      <c r="A305" s="15" t="n">
        <v>305</v>
      </c>
      <c r="B305" s="15" t="inlineStr">
        <is>
          <t>2011-05-06</t>
        </is>
      </c>
      <c r="C305" s="15" t="inlineStr">
        <is>
          <t>2012-07-09</t>
        </is>
      </c>
      <c r="D305" s="15">
        <f>VALUE(LEFT(B305,4))</f>
        <v/>
      </c>
      <c r="E305" s="15">
        <f>INT((D305-1)/100)+1</f>
        <v/>
      </c>
      <c r="F305" s="15" t="inlineStr">
        <is>
          <t>Landslide</t>
        </is>
      </c>
      <c r="G305" s="15" t="inlineStr">
        <is>
          <t>Keene Valley (Porter Mountain) landslide — largest in NY modern history</t>
        </is>
      </c>
      <c r="H305" s="15" t="inlineStr">
        <is>
          <t>Porter Mountain / Adrians Acres Rd, near Rte 73, Keene (Essex Co., Adirondacks) — OUT OF CORE FOOTPRINT (~90 mi N of Westerlo)</t>
        </is>
      </c>
      <c r="I305" s="15" t="inlineStr">
        <is>
          <t>82 acres of earth, trees, and boulders (some as big as a school bus) slid down the mountain; by late May 2011, moving ~2 in/day and having already traveled ~20 ft; a 30-ft scarp (headwall) eventually zigzagged 0.8 mi through the woods, with up to ~40 ft of displacement in places; the slide mass extends ~0.5 mi down the mountain over ~300 ft of vertical drop to a compressed 'toe'</t>
        </is>
      </c>
      <c r="J305" s="15" t="inlineStr">
        <is>
          <t>NYS Museum monitoring wells (installed post-slide, ~$8,000 each, a dozen along the scarp/toe)</t>
        </is>
      </c>
      <c r="K305" s="15" t="inlineStr">
        <is>
          <t>First noticed May 6, 2011 by the Marlatt family (an interior door stopped closing properly, trees outside tilting) — the largest landslide in New York State's modern history. Cause: a snowy winter's meltwater plus spring rain saturated ~12,000-year-old glacial Lake Chapel sediments (sand, clay, rocks, lake-bottom deposits) on the mountain, distinct from the Glacial Lake Albany clay family elsewhere in this register. The Marlatts' home, teetering on the growing cliff edge, was lifted and moved ~50 yards to stable ground at a cost of $300,000 (paid entirely out of pocket — homeowners insurance excluded landslides, and no insurer would write landslide coverage afterward); the house survived intact down to its fieldstone fireplace, though a sunroom on a separate slab foundation couldn't be moved and was lost. A second home further up Adrians Acres Lane was demolished after the ground pulled it apart; a third seasonal home was left sitting a few inches from the scarp edge. As of a July 2012 State Museum teacher-workshop tour of the site, the scarp itself had stopped moving but the toe was still creeping ~2 in/month; State Museum geologist Andy Kozlowski (associate state geologist, director of the state Geologic Mapping Program) said further movement depends on future snowpack/meltwater and "we just don't know" if it will reactivate. The Adirondacks, unlike parts of the Capital Region, had no LIDAR coverage at the time to find other obscured slide-prone sites; budget constraints made mapping the mountains unlikely in the near term. EARLY REPORTING (May 28 2011, TU/Nearing, the original story — ground had been moving 'several weeks' by then): trigger was 9-12 inches of rain in early May 2011 on top of that winter's heavy snowpack meltwater, saturating sand and glacial till (not lake-bottom sediment as later described — Kozlowski's early characterization was glacial till/outwash; the 'Lake Chapel' framing came in later reporting). One home was already condemned; four more were threatened by the growing headwall, with one owner racing to get his house moved before it was too late (this became the Marlatts' $300,000 house-move, per the 2012 follow-up already in this row). Near Johns Brook Lane, the trailhead for Mount Marcy and the High Peaks. Kozlowski, investigating for USGS, gave a public science talk at Keene Valley High School days after this report — 'We normally study slides that happened thousands of years ago. Here is one happening right now.' MID-STORY DETAIL (Jun 4 2011, TU/Nearing): by early June the Marlatts' bedroom hung 15 ft over open air; two steel I-beams were slipped under the foundation June 1 to stabilize it while they arranged a house-moving contractor (Kozlowski: the slide was moving 1-2 ft/day that week — 'screaming fast' geologically — after slowing when trees leafed out in spring, then quickening again after a rainy weekend; he said it could stop in weeks or keep moving for up to three years, needing a 'new equilibrium'). The Marlatts' insurer, New York Central Mutual, denied the move's cost (an estimated $150,000+) without even sending an adjuster to inspect; a company VP, Tim Trueworthy, confirmed homeowners policies typically exclude landslides, calling it 'unfortunate.' The Marlatts hoped for a federal disaster declaration. Neighbors the Macholds (Pam Machold, of Princeton NJ, owners since 1988) lost their home and 4.1-acre property outright — a caretaker evacuated their belongings just before the town condemned the house, which the family used for autism-inclusive group outings with their children; also uninsured for landslide despite 20+ years of premiums. Kozlowski said the risk would have been very hard for the original 1980s-era developers to detect without a geologist's survey, and that the Adirondacks had never been LIDAR-mapped — 'there could be hundreds of areas like this' undiscovered.</t>
        </is>
      </c>
      <c r="L305" s="15" t="inlineStr">
        <is>
          <t>Times Union (Brian Nearing, May 28 2011 — original report; Jul 9 2012 follow-up); Times Union (Brian Nearing, Jun 4 2011)</t>
        </is>
      </c>
      <c r="M305" s="15" t="inlineStr">
        <is>
          <t>https://www.timesunion.com/</t>
        </is>
      </c>
      <c r="N305" s="15" t="inlineStr">
        <is>
          <t>A</t>
        </is>
      </c>
      <c r="O305" s="15" t="inlineStr">
        <is>
          <t>Y</t>
        </is>
      </c>
      <c r="P305" s="15" t="inlineStr">
        <is>
          <t>Added 2026-09-21 per Laurie (article text supplied directly). OUT OF CORE FOOTPRINT but included as New York's largest documented modern landslide and a direct tie to Dr. Andrew Kozlowski, already in the atlas's Arts &amp; Entertainment directory (NYS Museum geologist). Different mechanism/region from the Hudson Valley clay-slide cluster (Bethlehem, Catskill, Castleton, Troy, Waterford, Schenectady) — glacial Lake Chapel sediments in the Adirondacks, not Glacial Lake Albany. Genuinely useful comparison case: a slow-creeping toe vs. the Waterford slide's similar slow-multi-day-movement pattern. UPDATE 2026-09-21: merged the original May 28 2011 TU report (Nearing) — the earliest coverage, with the 9-12in rain trigger, early sand/glacial-till characterization (vs. the 2012 follow-up's 'Lake Chapel' framing — note the slight discrepancy in how the sediment was described across the two articles, both credited to the same geologist), and confirmation the endangered home in this story is the Marlatts'. Not a duplicate of row 305's existing content. UPDATE 2026-09-21: merged a third TU article (Nearing, Jun 4 2011) — names and details the second destroyed property (the Macholds, Princeton NJ, total loss) alongside the Marlatts' stabilization/insurance-denial detail. Three articles now merged into this row (May 28 2011, Jun 4 2011, Jul 9 2012).</t>
        </is>
      </c>
      <c r="Q305" s="15" t="inlineStr">
        <is>
          <t>2011-05-06</t>
        </is>
      </c>
      <c r="R305" s="15">
        <f>VALUE(LEFT(Q305,4))</f>
        <v/>
      </c>
      <c r="S305" s="15">
        <f>VALUE(MID(Q305,6,2))</f>
        <v/>
      </c>
      <c r="T305" s="15">
        <f>VALUE(RIGHT(Q305,2))</f>
        <v/>
      </c>
      <c r="U305" s="15" t="inlineStr">
        <is>
          <t>days</t>
        </is>
      </c>
      <c r="V305" s="15" t="inlineStr">
        <is>
          <t>First noticed May 6 2011; still actively monitored/creeping as of the July 2012 article</t>
        </is>
      </c>
    </row>
    <row r="306" ht="684" customHeight="1" s="13">
      <c r="A306" s="15" t="n">
        <v>306</v>
      </c>
      <c r="B306" s="15" t="inlineStr">
        <is>
          <t>1982-01-01</t>
        </is>
      </c>
      <c r="C306" s="15" t="inlineStr">
        <is>
          <t>1982-12-31</t>
        </is>
      </c>
      <c r="D306" s="15">
        <f>VALUE(LEFT(B306,4))</f>
        <v/>
      </c>
      <c r="E306" s="15">
        <f>INT((D306-1)/100)+1</f>
        <v/>
      </c>
      <c r="F306" s="15" t="inlineStr">
        <is>
          <t>Landslide</t>
        </is>
      </c>
      <c r="G306" s="15" t="inlineStr">
        <is>
          <t>Del Lanes Bowling Alley landslide, Normans Kill (Bethlehem)</t>
        </is>
      </c>
      <c r="H306" s="15" t="inlineStr">
        <is>
          <t>Behind Del Lanes Bowling Alley, Normans Kill corridor, Bethlehem (Albany Co.)</t>
        </is>
      </c>
      <c r="I306" s="15" t="inlineStr">
        <is>
          <t>A landslide behind Del Lanes Bowling Alley — cited in 2015 reporting as one of several documented slope failures on the Bethlehem section of the Normans Kill</t>
        </is>
      </c>
      <c r="J306" s="15" t="inlineStr">
        <is>
          <t>none</t>
        </is>
      </c>
      <c r="K306" s="15" t="inlineStr">
        <is>
          <t>Referenced only in passing (Times Union, Jun 2015, on the 2015 Normanside landslide) in a list of the Bethlehem Normans Kill corridor's documented slope failures: "the 1968 Mahar Road landslide, a 1982 slide behind Del Lanes Bowling Alley and a 2000 landslide on Delaware Avenue." No further detail (exact date, damage, cause) available from the source at hand. A fourth confirmed historic slide in this corridor alongside 1968 Mahar Road, 2000 Delaware Ave, 2012 Hoffman's Car Wash erosion closure, and 2015 Normanside — all in this register.</t>
        </is>
      </c>
      <c r="L306" s="15" t="inlineStr">
        <is>
          <t>Times Union (Cathleen F. Crowley, updated Jun 22 2015), passing reference only</t>
        </is>
      </c>
      <c r="M306" s="15" t="inlineStr">
        <is>
          <t>https://www.timesunion.com/</t>
        </is>
      </c>
      <c r="N306" s="15" t="inlineStr">
        <is>
          <t>C</t>
        </is>
      </c>
      <c r="O306" s="15" t="inlineStr">
        <is>
          <t>Y</t>
        </is>
      </c>
      <c r="P306" s="15" t="inlineStr">
        <is>
          <t>Added 2026-09-21 per Laurie (surfaced in the 2015 investigative article on the Normanside lawsuits). Confidence C — bare name-and-year mention, no primary 1982 reporting found or read. Year-only precision. Del Lanes Bowling Alley itself may no longer exist/may have changed name — not verified this pass, so no coordinates/Geology pin added (avoid guessing a location).</t>
        </is>
      </c>
      <c r="Q306" s="15" t="inlineStr">
        <is>
          <t>1982-01-01</t>
        </is>
      </c>
      <c r="R306" s="15">
        <f>VALUE(LEFT(Q306,4))</f>
        <v/>
      </c>
      <c r="S306" s="15">
        <f>VALUE(MID(Q306,6,2))</f>
        <v/>
      </c>
      <c r="T306" s="15">
        <f>VALUE(RIGHT(Q306,2))</f>
        <v/>
      </c>
      <c r="U306" s="15" t="inlineStr">
        <is>
          <t>year</t>
        </is>
      </c>
      <c r="V306" s="15" t="inlineStr">
        <is>
          <t>Named only as "a 1982 slide behind Del Lanes Bowling Alley" with no month/day given</t>
        </is>
      </c>
    </row>
    <row r="307" ht="102" customHeight="1" s="13">
      <c r="A307" s="12" t="n">
        <v>308</v>
      </c>
      <c r="B307" s="12" t="inlineStr">
        <is>
          <t>1886-11-20</t>
        </is>
      </c>
      <c r="C307" s="12" t="inlineStr">
        <is>
          <t>1886-11-20</t>
        </is>
      </c>
      <c r="D307" s="12">
        <f>VALUE(LEFT(B307,4))</f>
        <v/>
      </c>
      <c r="E307" s="12">
        <f>INT((D307-1)/100)+1</f>
        <v/>
      </c>
      <c r="F307" s="12" t="inlineStr">
        <is>
          <t>Landslide (railroad)</t>
        </is>
      </c>
      <c r="G307" s="12" t="inlineStr">
        <is>
          <t>West Shore Railroad landslide south of Highland</t>
        </is>
      </c>
      <c r="H307" s="12" t="inlineStr">
        <is>
          <t>West Shore RR ~1 mi south of Highland (Lloyd, Ulster Co.), Hudson west bank; ~55 mi S of Westerlo</t>
        </is>
      </c>
      <c r="I307" s="12" t="inlineStr">
        <is>
          <t>South-bound freight ran into the slide and derailed; engine + several freight cars thrown off; one man slightly injured; both tracks obstructed; cleared by noon</t>
        </is>
      </c>
      <c r="J307" s="12" t="inlineStr">
        <is>
          <t>none</t>
        </is>
      </c>
      <c r="K307" s="12" t="inlineStr">
        <is>
          <t>About 4 a.m. Sat Nov 20 1886 a landslide came down onto the West Shore Railroad one mile south of Highland; a south-bound freight ran into it and was derailed, throwing off the engine and several freight cars. One man was slightly injured. Both tracks were obstructed and passengers and baggage transferred; the tracks were cleared by noon and the morning trains delayed.</t>
        </is>
      </c>
      <c r="L307" s="12" t="inlineStr">
        <is>
          <t>The Argus (Albany), Nov 21 1886 ("A Landslide on the West Shore") [uploaded PDF scan]</t>
        </is>
      </c>
      <c r="N307" s="12" t="inlineStr">
        <is>
          <t>B</t>
        </is>
      </c>
      <c r="O307" s="12" t="inlineStr">
        <is>
          <t>Y</t>
        </is>
      </c>
      <c r="P307" s="12" t="inlineStr">
        <is>
          <t>2026-09-22: added per Laurie (PDF scan). Earliest of a recurring set of Hudson west-bank railroad-cut slides at Highland — shares one Geology pin with the Feb 1903 Central-Hudson slide (this batch).</t>
        </is>
      </c>
      <c r="Q307" s="12" t="inlineStr">
        <is>
          <t>1886-11-20</t>
        </is>
      </c>
      <c r="R307" s="12">
        <f>VALUE(LEFT(Q307,4))</f>
        <v/>
      </c>
      <c r="S307" s="12">
        <f>VALUE(MID(Q307,6,2))</f>
        <v/>
      </c>
      <c r="T307" s="12">
        <f>VALUE(RIGHT(Q307,2))</f>
        <v/>
      </c>
      <c r="U307" s="12" t="inlineStr">
        <is>
          <t>day</t>
        </is>
      </c>
      <c r="V307" s="12" t="inlineStr">
        <is>
          <t>"At four o'clock yesterday morning" (paper Sun Nov 21 1886) → ~4 a.m. Sat Nov 20 1886.</t>
        </is>
      </c>
    </row>
    <row r="308" ht="15" customHeight="1" s="13">
      <c r="A308" s="12" t="n">
        <v>309</v>
      </c>
      <c r="B308" s="12" t="inlineStr">
        <is>
          <t>1903-02-27</t>
        </is>
      </c>
      <c r="C308" s="12" t="inlineStr">
        <is>
          <t>1903-02-27</t>
        </is>
      </c>
      <c r="D308" s="12">
        <f>VALUE(LEFT(B308,4))</f>
        <v/>
      </c>
      <c r="E308" s="12">
        <f>INT((D308-1)/100)+1</f>
        <v/>
      </c>
      <c r="F308" s="12" t="inlineStr">
        <is>
          <t>Landslide (railroad)</t>
        </is>
      </c>
      <c r="G308" s="12" t="inlineStr">
        <is>
          <t>Central-Hudson Railroad landslide at Highland station</t>
        </is>
      </c>
      <c r="H308" s="12" t="inlineStr">
        <is>
          <t>NYC Hudson River (Central-Hudson) division, Highland station (~59 rail-mi N of NYC), Lloyd (Ulster Co.); ~55 mi S of Westerlo</t>
        </is>
      </c>
      <c r="I308" s="12" t="inlineStr">
        <is>
          <t>Slide covered both tracks and filled the cut just after train 17 passed; steam-shovel crews sent from Spuyten Duyvil and Poughkeepsie; trains rerouted via the Harlem division; "second landslide within the month" on this division</t>
        </is>
      </c>
      <c r="J308" s="12" t="inlineStr">
        <is>
          <t>none</t>
        </is>
      </c>
      <c r="K308" s="12" t="inlineStr">
        <is>
          <t>On the evening of Fri Feb 27 1903 a large landslide came down at Highland station on the Hudson River (Central-Hudson) division, just after train 17 had passed, covering both tracks and completely filling the cut. Wrecking crews with steam shovels were sent from Spuyten Duyvil and Poughkeepsie; night trains ran 4–6 hours late and were rerouted via the Harlem division. The paper called it the second landslide within the month to tie up a whole division.</t>
        </is>
      </c>
      <c r="L308" s="12" t="inlineStr">
        <is>
          <t>The Argus (Albany), Feb 28 1903 ("Another Landslide — Central Tracks Blocked at Highland Station") [uploaded PDF scan]</t>
        </is>
      </c>
      <c r="N308" s="12" t="inlineStr">
        <is>
          <t>B</t>
        </is>
      </c>
      <c r="O308" s="12" t="inlineStr">
        <is>
          <t>Y</t>
        </is>
      </c>
      <c r="P308" s="12" t="inlineStr">
        <is>
          <t>2026-09-22: added per Laurie (PDF scan). "Second landslide within the month" → an earlier, undated Feb 1903 slide on this division is implied but its date/locus were not given — OPEN (date needed). Shares the Highland Geology pin with the 1886 West Shore slide. Part of a wet late-winter 1903 cluster (cf. the Mar 10 1903 Mohawk freshet + Fonda slide, this batch).</t>
        </is>
      </c>
      <c r="Q308" s="12" t="inlineStr">
        <is>
          <t>1903-02-27</t>
        </is>
      </c>
      <c r="R308" s="12">
        <f>VALUE(LEFT(Q308,4))</f>
        <v/>
      </c>
      <c r="S308" s="12">
        <f>VALUE(MID(Q308,6,2))</f>
        <v/>
      </c>
      <c r="T308" s="12">
        <f>VALUE(RIGHT(Q308,2))</f>
        <v/>
      </c>
      <c r="U308" s="12" t="inlineStr">
        <is>
          <t>day</t>
        </is>
      </c>
      <c r="V308" s="12" t="inlineStr">
        <is>
          <t>"delayed again last night" (paper Sat Feb 28 1903) → evening of Fri Feb 27 1903.</t>
        </is>
      </c>
    </row>
    <row r="309" ht="15" customHeight="1" s="13">
      <c r="A309" s="12" t="n">
        <v>310</v>
      </c>
      <c r="B309" s="12" t="inlineStr">
        <is>
          <t>1903-03-10</t>
        </is>
      </c>
      <c r="C309" s="12" t="inlineStr">
        <is>
          <t>1903-03-11</t>
        </is>
      </c>
      <c r="D309" s="12">
        <f>VALUE(LEFT(B309,4))</f>
        <v/>
      </c>
      <c r="E309" s="12">
        <f>INT((D309-1)/100)+1</f>
        <v/>
      </c>
      <c r="F309" s="12" t="inlineStr">
        <is>
          <t>River flood</t>
        </is>
      </c>
      <c r="G309" s="12" t="inlineStr">
        <is>
          <t>Mohawk River freshet at Fonda</t>
        </is>
      </c>
      <c r="H309" s="12" t="inlineStr">
        <is>
          <t>Mohawk River at Fonda / Fultonville (Montgomery Co.); ~35 mi NW of Westerlo</t>
        </is>
      </c>
      <c r="I309" s="12" t="inlineStr">
        <is>
          <t>Mohawk rose ~4 ft at Fonda overnight and was still rising; flats between the river and the NY Central tracks flooded; ~2 ft of water over the road to Fultonville</t>
        </is>
      </c>
      <c r="J309" s="12" t="inlineStr">
        <is>
          <t>none</t>
        </is>
      </c>
      <c r="K309" s="12" t="inlineStr">
        <is>
          <t>On the night of Mar 10 1903 the Mohawk River rose about four feet at Fonda and was still rising the next morning; the flats between the river and the New York Central tracks were flooded, with about two feet of water over the road to Fultonville.</t>
        </is>
      </c>
      <c r="L309" s="12" t="inlineStr">
        <is>
          <t>The Cohoes Republican, Mar 11 1903 ("The Mohawk Rising") [uploaded PDF scan]</t>
        </is>
      </c>
      <c r="N309" s="12" t="inlineStr">
        <is>
          <t>B</t>
        </is>
      </c>
      <c r="O309" s="12" t="inlineStr">
        <is>
          <t>Y</t>
        </is>
      </c>
      <c r="P309" s="12" t="inlineStr">
        <is>
          <t>2026-09-22: added per Laurie (PDF scan). Same dispatch reports a 50-ft landslide over the Fonda–Johnstown–Gloversville tracks (separate Events row, this batch). Part of the wet late-winter 1903 period (cf. Feb 27 1903 Highland slide). No gage reading; "~4 ft rise" is the paper's figure.</t>
        </is>
      </c>
      <c r="Q309" s="12" t="inlineStr">
        <is>
          <t>1903-03-10</t>
        </is>
      </c>
      <c r="R309" s="12">
        <f>VALUE(LEFT(Q309,4))</f>
        <v/>
      </c>
      <c r="S309" s="12">
        <f>VALUE(MID(Q309,6,2))</f>
        <v/>
      </c>
      <c r="T309" s="12">
        <f>VALUE(RIGHT(Q309,2))</f>
        <v/>
      </c>
      <c r="U309" s="12" t="inlineStr">
        <is>
          <t>days</t>
        </is>
      </c>
      <c r="V309" s="12" t="inlineStr">
        <is>
          <t>"Last night the Mohawk river rose about four feet at Fonda and is still rising" (paper Wed Mar 11 1903) → onset night of Mar 10, ongoing Mar 11.</t>
        </is>
      </c>
    </row>
    <row r="310" ht="15" customHeight="1" s="13">
      <c r="A310" s="12" t="n">
        <v>311</v>
      </c>
      <c r="B310" s="12" t="inlineStr">
        <is>
          <t>1903-03-10</t>
        </is>
      </c>
      <c r="C310" s="12" t="inlineStr">
        <is>
          <t>1903-03-11</t>
        </is>
      </c>
      <c r="D310" s="12">
        <f>VALUE(LEFT(B310,4))</f>
        <v/>
      </c>
      <c r="E310" s="12">
        <f>INT((D310-1)/100)+1</f>
        <v/>
      </c>
      <c r="F310" s="12" t="inlineStr">
        <is>
          <t>Landslide (railroad)</t>
        </is>
      </c>
      <c r="G310" s="12" t="inlineStr">
        <is>
          <t>Landslide over the Fonda–Johnstown–Gloversville tracks</t>
        </is>
      </c>
      <c r="H310" s="12" t="inlineStr">
        <is>
          <t>FJ&amp;G rail line, Fonda / Fultonville vicinity (Montgomery Co.); ~35 mi NW of Westerlo</t>
        </is>
      </c>
      <c r="I310" s="12" t="inlineStr">
        <is>
          <t>A 50-ft length of track buried by a landslide of rocks, trees and earth</t>
        </is>
      </c>
      <c r="J310" s="12" t="inlineStr">
        <is>
          <t>none</t>
        </is>
      </c>
      <c r="K310" s="12" t="inlineStr">
        <is>
          <t>During the Mar 10–11 1903 Mohawk freshet a fifty-foot landslide covered the railroad tracks (Fonda–Johnstown–Gloversville line, running toward Fultonville) with rocks, trees and earth.</t>
        </is>
      </c>
      <c r="L310" s="12" t="inlineStr">
        <is>
          <t>The Cohoes Republican, Mar 11 1903 ("The Mohawk Rising") [uploaded PDF scan]</t>
        </is>
      </c>
      <c r="N310" s="12" t="inlineStr">
        <is>
          <t>B</t>
        </is>
      </c>
      <c r="O310" s="12" t="inlineStr">
        <is>
          <t>Y</t>
        </is>
      </c>
      <c r="P310" s="12" t="inlineStr">
        <is>
          <t>2026-09-22: added per Laurie (PDF scan). Rain/snowmelt-triggered during the Mohawk freshet (companion Events row 310). Register-only (no pin) — exact locus along the line not given. "50 ft" = length of track buried, per the source.</t>
        </is>
      </c>
      <c r="Q310" s="12" t="inlineStr">
        <is>
          <t>1903-03-10</t>
        </is>
      </c>
      <c r="R310" s="12">
        <f>VALUE(LEFT(Q310,4))</f>
        <v/>
      </c>
      <c r="S310" s="12">
        <f>VALUE(MID(Q310,6,2))</f>
        <v/>
      </c>
      <c r="T310" s="12">
        <f>VALUE(RIGHT(Q310,2))</f>
        <v/>
      </c>
      <c r="U310" s="12" t="inlineStr">
        <is>
          <t>days</t>
        </is>
      </c>
      <c r="V310" s="12" t="inlineStr">
        <is>
          <t>reported in the same Mar 11 1903 dispatch as the overnight Mohawk rise → Mar 10–11 1903.</t>
        </is>
      </c>
    </row>
    <row r="311" ht="15" customHeight="1" s="13">
      <c r="A311" s="12" t="n">
        <v>312</v>
      </c>
      <c r="B311" s="12" t="inlineStr">
        <is>
          <t>1915-04-28</t>
        </is>
      </c>
      <c r="C311" s="12" t="inlineStr">
        <is>
          <t>1915-04-28</t>
        </is>
      </c>
      <c r="D311" s="12">
        <f>VALUE(LEFT(B311,4))</f>
        <v/>
      </c>
      <c r="E311" s="12">
        <f>INT((D311-1)/100)+1</f>
        <v/>
      </c>
      <c r="F311" s="12" t="inlineStr">
        <is>
          <t>Excavation collapse (sand bank, fatality)</t>
        </is>
      </c>
      <c r="G311" s="12" t="inlineStr">
        <is>
          <t>Sand-bank collapse fatality, Sixth Street, Rensselaer</t>
        </is>
      </c>
      <c r="H311" s="12" t="inlineStr">
        <is>
          <t>Sixth Street, Rensselaer (Rensselaer Co.); ~15 mi NE of Westerlo</t>
        </is>
      </c>
      <c r="I311" s="12" t="inlineStr">
        <is>
          <t>One worker (a youth, immigrant laborer) killed by the collapse of a sand bank being excavated</t>
        </is>
      </c>
      <c r="J311" s="12" t="inlineStr">
        <is>
          <t>none</t>
        </is>
      </c>
      <c r="K311" s="12" t="inlineStr">
        <is>
          <t>On the morning of Wed Apr 28 1915 a youth (an immigrant laborer) was killed in the collapse of the "sand bank of John Foust" on Sixth Street, Rensselaer. The case was taken to the State Compensation Commission because the worker was reportedly not covered by workers' compensation or any insurer.</t>
        </is>
      </c>
      <c r="L311" s="12" t="inlineStr">
        <is>
          <t>The Argus (Albany), May 1 1915 ("Bring Case of Youth to Commission") [uploaded PDF scan]</t>
        </is>
      </c>
      <c r="N311" s="12" t="inlineStr">
        <is>
          <t>B</t>
        </is>
      </c>
      <c r="O311" s="12" t="inlineStr">
        <is>
          <t>Y</t>
        </is>
      </c>
      <c r="P311" s="12" t="inlineStr">
        <is>
          <t>2026-09-22: added per Laurie (PDF scan). Non-karst excavation/bank-collapse fatality (human-caused). No victim name (rule 3): logged by age-class (youth) + mechanism + location + date. Exact locus (a private 1915 sand pit on Sixth St) not pinnable → no Geology pin; Anchor Type none. Coordinates Needed if a pin is ever wanted.</t>
        </is>
      </c>
      <c r="Q311" s="12" t="inlineStr">
        <is>
          <t>1915-04-28</t>
        </is>
      </c>
      <c r="R311" s="12">
        <f>VALUE(LEFT(Q311,4))</f>
        <v/>
      </c>
      <c r="S311" s="12">
        <f>VALUE(MID(Q311,6,2))</f>
        <v/>
      </c>
      <c r="T311" s="12">
        <f>VALUE(RIGHT(Q311,2))</f>
        <v/>
      </c>
      <c r="U311" s="12" t="inlineStr">
        <is>
          <t>day</t>
        </is>
      </c>
      <c r="V311" s="12" t="inlineStr">
        <is>
          <t>"killed... on last Wednesday morning" (paper Sat May 1 1915) → Wed Apr 28 1915.</t>
        </is>
      </c>
    </row>
    <row r="312" ht="15" customHeight="1" s="13">
      <c r="A312" s="12" t="n">
        <v>313</v>
      </c>
      <c r="B312" s="12" t="inlineStr">
        <is>
          <t>1886-03-17</t>
        </is>
      </c>
      <c r="C312" s="12" t="inlineStr">
        <is>
          <t>1886-03-17</t>
        </is>
      </c>
      <c r="D312" s="12">
        <f>VALUE(LEFT(B312,4))</f>
        <v/>
      </c>
      <c r="E312" s="12">
        <f>INT((D312-1)/100)+1</f>
        <v/>
      </c>
      <c r="F312" s="12" t="inlineStr">
        <is>
          <t>Landslide (feared / incipient hazard)</t>
        </is>
      </c>
      <c r="G312" s="12" t="inlineStr">
        <is>
          <t>Kingston brick-clay bank landslide feared</t>
        </is>
      </c>
      <c r="H312" s="12" t="inlineStr">
        <is>
          <t>Hudson-bank clay bank used by brickyards, Kingston (Ulster Co.); ~50 mi S of Westerlo</t>
        </is>
      </c>
      <c r="I312" s="12" t="inlineStr">
        <is>
          <t>A "disastrous landslide" reported as likely from undermining of an immense brick-clay bank; feared to reach the Hudson channel and be "one of the largest" along the river</t>
        </is>
      </c>
      <c r="J312" s="12" t="inlineStr">
        <is>
          <t>none</t>
        </is>
      </c>
      <c r="K312" s="12" t="inlineStr">
        <is>
          <t>A one-line news brief (The Argus, Mar 17 1886) reported a disastrous landslide thought likely at Kingston from the undermining of an immense clay bank used by brickyards, feared to extend to the Hudson channel and to be one of the largest slides along the river. No follow-up confirming that a slide occurred was found in this pass.</t>
        </is>
      </c>
      <c r="L312" s="12" t="inlineStr">
        <is>
          <t>The Argus (Albany), Mar 17 1886 ("A Bad Landslide Feared," Local Briefs) [uploaded PDF scan]</t>
        </is>
      </c>
      <c r="N312" s="12" t="inlineStr">
        <is>
          <t>C</t>
        </is>
      </c>
      <c r="O312" s="12" t="inlineStr">
        <is>
          <t>Y</t>
        </is>
      </c>
      <c r="P312" s="12" t="inlineStr">
        <is>
          <t>2026-09-22: added per Laurie (PDF scan). FEARED / predicted, not a confirmed event — no evidence it happened; kept for the pattern it records. Same clay-bank-undermined-by-brickyard mechanism that killed ~19–23 at Haverstraw twenty years later (1906, this batch) and that defines the Hudson-clay slide family. Register-only (no pin) — feared, undated locus.</t>
        </is>
      </c>
      <c r="Q312" s="12" t="inlineStr">
        <is>
          <t>1886-03-17</t>
        </is>
      </c>
      <c r="R312" s="12">
        <f>VALUE(LEFT(Q312,4))</f>
        <v/>
      </c>
      <c r="S312" s="12">
        <f>VALUE(MID(Q312,6,2))</f>
        <v/>
      </c>
      <c r="T312" s="12">
        <f>VALUE(RIGHT(Q312,2))</f>
        <v/>
      </c>
      <c r="U312" s="12" t="inlineStr">
        <is>
          <t>day</t>
        </is>
      </c>
      <c r="V312" s="12" t="inlineStr">
        <is>
          <t>date the concern was reported in The Argus (Mar 17 1886); the feared slide itself had no date.</t>
        </is>
      </c>
    </row>
    <row r="313" ht="15" customHeight="1" s="13">
      <c r="A313" s="12" t="n">
        <v>314</v>
      </c>
      <c r="B313" s="12" t="inlineStr">
        <is>
          <t>2000-01-01</t>
        </is>
      </c>
      <c r="C313" s="12" t="inlineStr">
        <is>
          <t>2000-12-31</t>
        </is>
      </c>
      <c r="D313" s="12">
        <f>VALUE(LEFT(B313,4))</f>
        <v/>
      </c>
      <c r="E313" s="12">
        <f>INT((D313-1)/100)+1</f>
        <v/>
      </c>
      <c r="F313" s="12" t="inlineStr">
        <is>
          <t>Landslide (incipient / standing hazard)</t>
        </is>
      </c>
      <c r="G313" s="12" t="inlineStr">
        <is>
          <t>Bozenkill Road limestone-ravine erosion, Knox</t>
        </is>
      </c>
      <c r="H313" s="12" t="inlineStr">
        <is>
          <t>Bozenkill Road (CR 253), Knox (Albany Co.), above the 100-ft Bozenkill Falls; ~14 mi W of Westerlo</t>
        </is>
      </c>
      <c r="I313" s="12" t="inlineStr">
        <is>
          <t>Erosion undermining the limestone below the west lane; rock breaking off 4–5 ft at a time; ≥20 ft of rock lost over ~5 years (~1995–2000); July 1999 county geotechnical report found the ravine continues to erode; road-and-bridge replacement approved (construction planned 2001)</t>
        </is>
      </c>
      <c r="J313" s="12" t="inlineStr">
        <is>
          <t>none</t>
        </is>
      </c>
      <c r="K313" s="12" t="inlineStr">
        <is>
          <t>By 2000, erosion along a stretch of Bozenkill Road (CR 253) in Knox had undermined the limestone beneath the west lane, dropping rock into the ravine above the 100-ft Bozenkill Falls; a resident reported limestone breaking loose 4–5 ft at a time, with at least 20 ft of rock lost over the prior five years. Albany County DPW (Deputy Commissioner Mike Franchini) inspected the site; a July 1999 geotechnical report found the ravine continued to erode, and a road-and-bridge replacement was approved for construction the following year.</t>
        </is>
      </c>
      <c r="L313" s="12" t="inlineStr">
        <is>
          <t>The Altamont Enterprise, Jun 1 2000 ("Does erosion threaten area roadways?" by William Marley Leight) [uploaded PDF scan]</t>
        </is>
      </c>
      <c r="N313" s="12" t="inlineStr">
        <is>
          <t>B</t>
        </is>
      </c>
      <c r="O313" s="12" t="inlineStr">
        <is>
          <t>Y</t>
        </is>
      </c>
      <c r="P313" s="12" t="inlineStr">
        <is>
          <t>2026-09-22: added per Laurie (PDF scan). Standing hazard, not a dated collapse → year precision, anchored to the report date. Limestone gorge in the Helderberg carbonate belt — classed here as mechanical undercutting/rockfall rather than dissolution karst; confirm karst-vs-non-karst tag at merge. Geology pin added; falls coords used as an approximate anchor. Same article enriches the 2000 Delaware Ave (Delmar) slide already in the register — see changelog.</t>
        </is>
      </c>
      <c r="Q313" s="12" t="inlineStr">
        <is>
          <t>2000-06-01</t>
        </is>
      </c>
      <c r="R313" s="12">
        <f>VALUE(LEFT(Q313,4))</f>
        <v/>
      </c>
      <c r="S313" s="12">
        <f>VALUE(MID(Q313,6,2))</f>
        <v/>
      </c>
      <c r="T313" s="12">
        <f>VALUE(RIGHT(Q313,2))</f>
        <v/>
      </c>
      <c r="U313" s="12" t="inlineStr">
        <is>
          <t>year</t>
        </is>
      </c>
      <c r="V313" s="12" t="inlineStr">
        <is>
          <t>date of the Altamont Enterprise report documenting a multi-year (~1995–2000) standing erosion hazard; no single collapse date.</t>
        </is>
      </c>
    </row>
    <row r="314" ht="15" customHeight="1" s="13">
      <c r="A314" s="12" t="n">
        <v>315</v>
      </c>
      <c r="B314" s="12" t="inlineStr">
        <is>
          <t>1888-03-20</t>
        </is>
      </c>
      <c r="C314" s="12" t="inlineStr">
        <is>
          <t>1888-03-25</t>
        </is>
      </c>
      <c r="D314" s="12">
        <f>VALUE(LEFT(B314,4))</f>
        <v/>
      </c>
      <c r="E314" s="12">
        <f>INT((D314-1)/100)+1</f>
        <v/>
      </c>
      <c r="F314" s="12" t="inlineStr">
        <is>
          <t>River flood (freshet)</t>
        </is>
      </c>
      <c r="G314" s="12" t="inlineStr">
        <is>
          <t>Mohawk freshet at Amsterdam / Port Jackson</t>
        </is>
      </c>
      <c r="H314" s="12" t="inlineStr">
        <is>
          <t>Amsterdam &amp; Port Jackson (Montgomery Co.); ~28 mi NW of Westerlo</t>
        </is>
      </c>
      <c r="I314" s="12" t="inlineStr">
        <is>
          <t>~$10,000 damage; freight blockade on the Central-Hudson RR west of Amsterdam; tracks flooded at Amsterdam</t>
        </is>
      </c>
      <c r="J314" s="12" t="inlineStr">
        <is>
          <t>none</t>
        </is>
      </c>
      <c r="K314" s="12" t="inlineStr">
        <is>
          <t>A spring freshet did about $10,000 of damage at Amsterdam and Port Jackson and blocked freight on the Central-Hudson (NYC Hudson River) division west of there; flooded tracks at Amsterdam held up clearing of the blockade.</t>
        </is>
      </c>
      <c r="L314" s="12" t="inlineStr">
        <is>
          <t>The Argus (Albany), Mar 25 1888 ("Flotsam From the Freshet") [uploaded PDF scan]</t>
        </is>
      </c>
      <c r="N314" s="12" t="inlineStr">
        <is>
          <t>B</t>
        </is>
      </c>
      <c r="O314" s="12" t="inlineStr">
        <is>
          <t>Y</t>
        </is>
      </c>
      <c r="P314" s="12" t="inlineStr">
        <is>
          <t>2026-09-22: added per Laurie (PDF scan). Reported as a recent freshet on Sun Mar 25 1888 — almost certainly the thaw/melt following the Blizzard of '88 (Mar 11–14 1888, the register's benchmark storm). Companion to the Stillwater RR-cut slide (row 316, same dispatch).</t>
        </is>
      </c>
      <c r="Q314" s="12" t="inlineStr">
        <is>
          <t>1888-03-24</t>
        </is>
      </c>
      <c r="R314" s="12">
        <f>VALUE(LEFT(Q314,4))</f>
        <v/>
      </c>
      <c r="S314" s="12">
        <f>VALUE(MID(Q314,6,2))</f>
        <v/>
      </c>
      <c r="T314" s="12">
        <f>VALUE(RIGHT(Q314,2))</f>
        <v/>
      </c>
      <c r="U314" s="12" t="inlineStr">
        <is>
          <t>days</t>
        </is>
      </c>
      <c r="V314" s="12" t="inlineStr">
        <is>
          <t>"The damage done by the freshet" reported Sun Mar 25 1888 — freshet in the days just before; follows the mid-Mar 1888 blizzard thaw.</t>
        </is>
      </c>
    </row>
    <row r="315" ht="15" customHeight="1" s="13">
      <c r="A315" s="12" t="n">
        <v>316</v>
      </c>
      <c r="B315" s="12" t="inlineStr">
        <is>
          <t>1888-03-20</t>
        </is>
      </c>
      <c r="C315" s="12" t="inlineStr">
        <is>
          <t>1888-03-25</t>
        </is>
      </c>
      <c r="D315" s="12">
        <f>VALUE(LEFT(B315,4))</f>
        <v/>
      </c>
      <c r="E315" s="12">
        <f>INT((D315-1)/100)+1</f>
        <v/>
      </c>
      <c r="F315" s="12" t="inlineStr">
        <is>
          <t>Landslide (railroad)</t>
        </is>
      </c>
      <c r="G315" s="12" t="inlineStr">
        <is>
          <t>Clay landslide in the Central-Hudson cut near Stillwater</t>
        </is>
      </c>
      <c r="H315" s="12" t="inlineStr">
        <is>
          <t>Central-Hudson RR cut near Stillwater (Saratoga Co.); ~25 mi N of Westerlo</t>
        </is>
      </c>
      <c r="I315" s="12" t="inlineStr">
        <is>
          <t>Slide "more serious than expected"; a large gang of men at work clearing the cut; blue/yellow clay continuing to slide in slowly</t>
        </is>
      </c>
      <c r="J315" s="12" t="inlineStr">
        <is>
          <t>none</t>
        </is>
      </c>
      <c r="K315" s="12" t="inlineStr">
        <is>
          <t>During the Mar 1888 freshet a landslide in the Central-Hudson railroad cut near Stillwater proved more serious than expected; a large gang of men was set to clearing it, with the clay continuing to slide in slowly.</t>
        </is>
      </c>
      <c r="L315" s="12" t="inlineStr">
        <is>
          <t>The Argus (Albany), Mar 25 1888 ("Flotsam From the Freshet") [uploaded PDF scan]</t>
        </is>
      </c>
      <c r="N315" s="12" t="inlineStr">
        <is>
          <t>B</t>
        </is>
      </c>
      <c r="O315" s="12" t="inlineStr">
        <is>
          <t>Y</t>
        </is>
      </c>
      <c r="P315" s="12" t="inlineStr">
        <is>
          <t>2026-09-22: added per Laurie (PDF scan). Rain/thaw-triggered clay slide in a Hudson-lowland RR cut (companion to the Amsterdam freshet, row 315). Locus "near Stillwater" not pinnable to a point — register-only unless Laurie can fix the cut; CHECK: possible recurring locus.</t>
        </is>
      </c>
      <c r="Q315" s="12" t="inlineStr">
        <is>
          <t>1888-03-24</t>
        </is>
      </c>
      <c r="R315" s="12">
        <f>VALUE(LEFT(Q315,4))</f>
        <v/>
      </c>
      <c r="S315" s="12">
        <f>VALUE(MID(Q315,6,2))</f>
        <v/>
      </c>
      <c r="T315" s="12">
        <f>VALUE(RIGHT(Q315,2))</f>
        <v/>
      </c>
      <c r="U315" s="12" t="inlineStr">
        <is>
          <t>days</t>
        </is>
      </c>
      <c r="V315" s="12" t="inlineStr">
        <is>
          <t>reported in the same Mar 25 1888 freshet dispatch — ongoing at that date.</t>
        </is>
      </c>
    </row>
    <row r="316" ht="15" customHeight="1" s="13">
      <c r="A316" s="12" t="n">
        <v>317</v>
      </c>
      <c r="B316" s="12" t="inlineStr">
        <is>
          <t>1890-09-21</t>
        </is>
      </c>
      <c r="C316" s="12" t="inlineStr">
        <is>
          <t>1890-09-21</t>
        </is>
      </c>
      <c r="D316" s="12">
        <f>VALUE(LEFT(B316,4))</f>
        <v/>
      </c>
      <c r="E316" s="12">
        <f>INT((D316-1)/100)+1</f>
        <v/>
      </c>
      <c r="F316" s="12" t="inlineStr">
        <is>
          <t>Landslide (clay bank, brickyard)</t>
        </is>
      </c>
      <c r="G316" s="12" t="inlineStr">
        <is>
          <t>Bartlett brickyard clay landslide, north of Hudson</t>
        </is>
      </c>
      <c r="H316" s="12" t="inlineStr">
        <is>
          <t>~1 mi north of Hudson (Columbia Co.); ~35 mi S of Westerlo</t>
        </is>
      </c>
      <c r="I316" s="12" t="inlineStr">
        <is>
          <t>~2,000 tons of blue clay slid from the bank; boiler house + engine room ($5,000 new machinery) and adjoining sheds crushed and buried; ~$20,000 total damage/loss</t>
        </is>
      </c>
      <c r="J316" s="12" t="inlineStr">
        <is>
          <t>none</t>
        </is>
      </c>
      <c r="K316" s="12" t="inlineStr">
        <is>
          <t>On Sunday morning Sep 21 1890 an immense landslide destroyed the William E. Bartlett brickyard about a mile north of Hudson: roughly 2,000 tons of blue clay slid from the bank, crushing and burying the boiler house and engine room (with $5,000 of new machinery) and the brick-machine sheds, leaving the roof turned on end in the clay with the smokestack projecting. Total damage plus lost season output was put at $20,000.</t>
        </is>
      </c>
      <c r="L316" s="12" t="inlineStr">
        <is>
          <t>The Argus (Albany), Sep 25 1890, reprinting the Kingston Freeman ("Twenty Thousand Damage — A Big Brick Yard Demolished by a Landslide") [uploaded PDF scan]</t>
        </is>
      </c>
      <c r="N316" s="12" t="inlineStr">
        <is>
          <t>B</t>
        </is>
      </c>
      <c r="O316" s="12" t="inlineStr">
        <is>
          <t>Y</t>
        </is>
      </c>
      <c r="P316" s="12" t="inlineStr">
        <is>
          <t>2026-09-22: added per Laurie (PDF scan). Blue clay = Hudson glaciolacustrine (varve) clay — same clay-bank slide family as the Kingston 1886 feared slide and the 1906 Haverstraw disaster (both this project). CHECK: possible Geology pin (⛰️) at the ~1 mi-N-of-Hudson brickyard riverfront — coordinates need research (historic 1890 brickyard, likely gone).</t>
        </is>
      </c>
      <c r="Q316" s="12" t="inlineStr">
        <is>
          <t>1890-09-21</t>
        </is>
      </c>
      <c r="R316" s="12">
        <f>VALUE(LEFT(Q316,4))</f>
        <v/>
      </c>
      <c r="S316" s="12">
        <f>VALUE(MID(Q316,6,2))</f>
        <v/>
      </c>
      <c r="T316" s="12">
        <f>VALUE(RIGHT(Q316,2))</f>
        <v/>
      </c>
      <c r="U316" s="12" t="inlineStr">
        <is>
          <t>day</t>
        </is>
      </c>
      <c r="V316" s="12" t="inlineStr">
        <is>
          <t>"demolished Sunday morning" (paper Thu Sep 25 1890) → Sun Sep 21 1890.</t>
        </is>
      </c>
    </row>
    <row r="317" ht="15" customHeight="1" s="13">
      <c r="A317" s="12" t="n">
        <v>319</v>
      </c>
      <c r="B317" s="12" t="inlineStr">
        <is>
          <t>1902-02-02</t>
        </is>
      </c>
      <c r="C317" s="12" t="inlineStr">
        <is>
          <t>1902-02-03</t>
        </is>
      </c>
      <c r="D317" s="12">
        <f>VALUE(LEFT(B317,4))</f>
        <v/>
      </c>
      <c r="E317" s="12">
        <f>INT((D317-1)/100)+1</f>
        <v/>
      </c>
      <c r="F317" s="12" t="inlineStr">
        <is>
          <t>Blizzard</t>
        </is>
      </c>
      <c r="G317" s="12" t="inlineStr">
        <is>
          <t>Feb 1902 blizzard — "worst since 1888"</t>
        </is>
      </c>
      <c r="H317" s="12" t="inlineStr">
        <is>
          <t>Mohawk Valley, Capital Region and northern NY (Amsterdam, Ballston, Cohoes, Malone); also New England</t>
        </is>
      </c>
      <c r="I317" s="12" t="inlineStr">
        <is>
          <t>Amsterdam: "worst blizzard since March 12 1888," roads blocked, rail traffic delayed; Ballston: severest gale in years, ~40 mph, telegraph/telephone/light wires down, houses rocked; Malone: 3 ft of snow in 8 hours, NYC train 5 hrs late; Cohoes: Armory flagstaff and a Mohawk St chimney extension down, signs and wires down</t>
        </is>
      </c>
      <c r="J317" s="12" t="inlineStr">
        <is>
          <t>none</t>
        </is>
      </c>
      <c r="K317" s="12" t="inlineStr">
        <is>
          <t>On Sun Feb 2 into Feb 3 1902 a severe rain-turning-to-snow storm with a high gale struck the Mohawk Valley and Capital Region. Amsterdam called it the worst blizzard since Mar 12 1888, with roads blocked and rail traffic delayed. At Ballston the severest gale in many years (~40 mph) brought down telegraph, telephone and electric-light wires and rocked strongly built houses. At Malone (northern NY) three feet of snow fell in eight hours. At Cohoes the storm downed the Armory flagstaff, a Mohawk St chimney extension, signs and wires, and burned out a street-light circuit box, shocking two men (not fatally). The same gale drove a $3,000,000 fire at Waterbury, Conn.</t>
        </is>
      </c>
      <c r="L317" s="12" t="inlineStr">
        <is>
          <t>The Cohoes Republican, Feb 3 1902 ("In a Blizzard's Grasp"; "The Mohawk Valley in a Blizzard"; "Houses swayed at Ballston"; "Three Feet of Snow"; "The Wind Storm") [uploaded PDF scan]</t>
        </is>
      </c>
      <c r="N317" s="12" t="inlineStr">
        <is>
          <t>B</t>
        </is>
      </c>
      <c r="O317" s="12" t="inlineStr">
        <is>
          <t>Y</t>
        </is>
      </c>
      <c r="P317" s="12" t="inlineStr">
        <is>
          <t>2026-09-22: added per Laurie (PDF scan). Multi-point regional storm recorded as one event. The Ballston ~40 mph gale is folded here rather than given a Wind &amp; Tornadoes row (below the tornado/derecho/synoptic-windstorm bar; would also need coordinates). Explicitly benchmarked by contemporaries against the Blizzard of '88 (Mar 12 1888).</t>
        </is>
      </c>
      <c r="Q317" s="12" t="inlineStr">
        <is>
          <t>1902-02-02</t>
        </is>
      </c>
      <c r="R317" s="12">
        <f>VALUE(LEFT(Q317,4))</f>
        <v/>
      </c>
      <c r="S317" s="12">
        <f>VALUE(MID(Q317,6,2))</f>
        <v/>
      </c>
      <c r="T317" s="12">
        <f>VALUE(RIGHT(Q317,2))</f>
        <v/>
      </c>
      <c r="U317" s="12" t="inlineStr">
        <is>
          <t>days</t>
        </is>
      </c>
      <c r="V317" s="12" t="inlineStr">
        <is>
          <t>"All day Sunday... with nightfall the storm increased in fury" (paper Mon Feb 3 1902) → onset Sun Feb 2, into Feb 3 1902.</t>
        </is>
      </c>
    </row>
    <row r="318" ht="15" customHeight="1" s="13">
      <c r="A318" s="12" t="n">
        <v>320</v>
      </c>
      <c r="B318" s="12" t="inlineStr">
        <is>
          <t>1902-03-23</t>
        </is>
      </c>
      <c r="C318" s="12" t="inlineStr">
        <is>
          <t>1902-03-23</t>
        </is>
      </c>
      <c r="D318" s="12">
        <f>VALUE(LEFT(B318,4))</f>
        <v/>
      </c>
      <c r="E318" s="12">
        <f>INT((D318-1)/100)+1</f>
        <v/>
      </c>
      <c r="F318" s="12" t="inlineStr">
        <is>
          <t>Landslide (railroad, recurring)</t>
        </is>
      </c>
      <c r="G318" s="12" t="inlineStr">
        <is>
          <t>Recurring clay slide near Iron Works station (Troy &amp; Rensselaer branch)</t>
        </is>
      </c>
      <c r="H318" s="12" t="inlineStr">
        <is>
          <t>Central-Hudson Troy &amp; Rensselaer branch near Iron Works station (Rensselaer Co.); ~15 mi NE of Westerlo</t>
        </is>
      </c>
      <c r="I318" s="12" t="inlineStr">
        <is>
          <t>Slide delayed the local ~2 hours (8:20 → after 10 pm); described as occurring ANNUALLY at a point that has menaced the railroad for several years; yellow clay, retaining walls giving little resistance</t>
        </is>
      </c>
      <c r="J318" s="12" t="inlineStr">
        <is>
          <t>none</t>
        </is>
      </c>
      <c r="K318" s="12" t="inlineStr">
        <is>
          <t>On the night of Sun Mar 23 1902 a landslide on the Central-Hudson Troy &amp; Rensselaer branch near the Iron Works station delayed the local train by about two hours. The paper noted the slide occurs annually at a point that has menaced the railroad for several years; the soil is yellow clay and retaining walls have given little resistance.</t>
        </is>
      </c>
      <c r="L318" s="12" t="inlineStr">
        <is>
          <t>The Argus (Albany), Mar 24 1902 ("Landslide Near Iron Works") [uploaded PDF scan]</t>
        </is>
      </c>
      <c r="N318" s="12" t="inlineStr">
        <is>
          <t>B</t>
        </is>
      </c>
      <c r="O318" s="12" t="inlineStr">
        <is>
          <t>Y</t>
        </is>
      </c>
      <c r="P318" s="12" t="inlineStr">
        <is>
          <t>2026-09-22: added per Laurie (PDF scan). Explicitly a RECURRING annual clay-slide locus (like Highland and Staatsburg) — CHECK: candidate for a ⛰️ Geology pin whose Notes accumulate the recurrence; coordinates for "Iron Works station" on the Troy &amp; Rensselaer branch need research.</t>
        </is>
      </c>
      <c r="Q318" s="12" t="inlineStr">
        <is>
          <t>1902-03-23</t>
        </is>
      </c>
      <c r="R318" s="12">
        <f>VALUE(LEFT(Q318,4))</f>
        <v/>
      </c>
      <c r="S318" s="12">
        <f>VALUE(MID(Q318,6,2))</f>
        <v/>
      </c>
      <c r="T318" s="12">
        <f>VALUE(RIGHT(Q318,2))</f>
        <v/>
      </c>
      <c r="U318" s="12" t="inlineStr">
        <is>
          <t>day</t>
        </is>
      </c>
      <c r="V318" s="12" t="inlineStr">
        <is>
          <t>"last night" (paper Mon Mar 24 1902) → Sun Mar 23 1902.</t>
        </is>
      </c>
    </row>
    <row r="319" ht="15" customHeight="1" s="13">
      <c r="A319" s="12" t="n">
        <v>321</v>
      </c>
      <c r="B319" s="12" t="inlineStr">
        <is>
          <t>1903-01-27</t>
        </is>
      </c>
      <c r="C319" s="12" t="inlineStr">
        <is>
          <t>1903-01-31</t>
        </is>
      </c>
      <c r="D319" s="12">
        <f>VALUE(LEFT(B319,4))</f>
        <v/>
      </c>
      <c r="E319" s="12">
        <f>INT((D319-1)/100)+1</f>
        <v/>
      </c>
      <c r="F319" s="12" t="inlineStr">
        <is>
          <t>Ice jam</t>
        </is>
      </c>
      <c r="G319" s="12" t="inlineStr">
        <is>
          <t>Upper Hudson ice-and-log jam near The Glen</t>
        </is>
      </c>
      <c r="H319" s="12" t="inlineStr">
        <is>
          <t>Upper Hudson near The Glen station (Warren Co.); ~50 mi N of Westerlo</t>
        </is>
      </c>
      <c r="I319" s="12" t="inlineStr">
        <is>
          <t>~4,000 logs in the jam; river backed up ~25 ft above usual height; jam threatened for several days to break loose</t>
        </is>
      </c>
      <c r="J319" s="12" t="inlineStr">
        <is>
          <t>none</t>
        </is>
      </c>
      <c r="K319" s="12" t="inlineStr">
        <is>
          <t>In late Jan 1903 the upper Hudson near The Glen station was gorged by a log-and-ice jam that for several days threatened to break loose and sweep downstream; the river rose about 25 feet above its usual height and roughly 4,000 logs were held in the jam, with the Adirondack (D&amp;H) line warned to prepare for trouble.</t>
        </is>
      </c>
      <c r="L319" s="12" t="inlineStr">
        <is>
          <t>The Argus (Albany), Jan 31 1903 ("Serious Ice Gorge in Upper Hudson", Saratoga dispatch) [uploaded PDF scan]</t>
        </is>
      </c>
      <c r="N319" s="12" t="inlineStr">
        <is>
          <t>B</t>
        </is>
      </c>
      <c r="O319" s="12" t="inlineStr">
        <is>
          <t>Y</t>
        </is>
      </c>
      <c r="P319" s="12" t="inlineStr">
        <is>
          <t>2026-09-22: added per Laurie (PDF scan). Part of the wet Jan 1903 thaw (companion to the Schenectady slide, row 322, and the Troy ice breakup that same week). CHECK: existence-guard against the CRREL Ice Jams sheet in the register — an upper-Hudson/Warren Co. jam of this date may already be listed there; coordinates for The Glen would settle it.</t>
        </is>
      </c>
      <c r="Q319" s="12" t="inlineStr">
        <is>
          <t>1903-01-30</t>
        </is>
      </c>
      <c r="R319" s="12">
        <f>VALUE(LEFT(Q319,4))</f>
        <v/>
      </c>
      <c r="S319" s="12">
        <f>VALUE(MID(Q319,6,2))</f>
        <v/>
      </c>
      <c r="T319" s="12">
        <f>VALUE(RIGHT(Q319,2))</f>
        <v/>
      </c>
      <c r="U319" s="12" t="inlineStr">
        <is>
          <t>days</t>
        </is>
      </c>
      <c r="V319" s="12" t="inlineStr">
        <is>
          <t>"for several days has threatened" (Saratoga dispatch Jan 30, paper Sat Jan 31 1903) → jam building ~Jan 27–30 1903.</t>
        </is>
      </c>
    </row>
    <row r="320" ht="15" customHeight="1" s="13">
      <c r="A320" s="12" t="n">
        <v>322</v>
      </c>
      <c r="B320" s="12" t="inlineStr">
        <is>
          <t>1903-01-30</t>
        </is>
      </c>
      <c r="C320" s="12" t="inlineStr">
        <is>
          <t>1903-01-30</t>
        </is>
      </c>
      <c r="D320" s="12">
        <f>VALUE(LEFT(B320,4))</f>
        <v/>
      </c>
      <c r="E320" s="12">
        <f>INT((D320-1)/100)+1</f>
        <v/>
      </c>
      <c r="F320" s="12" t="inlineStr">
        <is>
          <t>Landslide</t>
        </is>
      </c>
      <c r="G320" s="12" t="inlineStr">
        <is>
          <t>Mica Insulating Works landslide, western Schenectady</t>
        </is>
      </c>
      <c r="H320" s="12" t="inlineStr">
        <is>
          <t>Western Schenectady (Schenectady Co.); ~20 mi N of Westerlo</t>
        </is>
      </c>
      <c r="I320" s="12" t="inlineStr">
        <is>
          <t>Two buildings of the Mica Insulating Works completely buried; ~$25,000 loss, no insurance; ~25 men thrown out of work; night watchman escaped as the slope let go</t>
        </is>
      </c>
      <c r="J320" s="12" t="inlineStr">
        <is>
          <t>none</t>
        </is>
      </c>
      <c r="K320" s="12" t="inlineStr">
        <is>
          <t>On the morning of Jan 30 1903 a landslide in the western part of Schenectady buried two buildings of the Mica Insulating Works under a fall of earth from a partly overhanging cliff, attributed to frost leaving the ground. Loss was about $25,000 with no insurance; roughly 25 men were thrown out of work. The night watchman heard a rumbling and ran out just as the slope gave way.</t>
        </is>
      </c>
      <c r="L320" s="12" t="inlineStr">
        <is>
          <t>The Argus (Albany), Jan 31 1903 ("Serious Landslide", Schenectady dispatch) [uploaded PDF scan]</t>
        </is>
      </c>
      <c r="N320" s="12" t="inlineStr">
        <is>
          <t>B</t>
        </is>
      </c>
      <c r="O320" s="12" t="inlineStr">
        <is>
          <t>Y</t>
        </is>
      </c>
      <c r="P320" s="12" t="inlineStr">
        <is>
          <t>2026-09-22: added per Laurie (PDF scan). Frost-thaw-triggered fall from an overhanging cliff onto a factory — part of the Jan 1903 thaw cluster (with the Glen ice jam, row 321). CHECK: candidate for a ⛰️ Geology pin (a specific site in western Schenectady) — coordinates for the 1903 Mica Insulating Works need research.</t>
        </is>
      </c>
      <c r="Q320" s="12" t="inlineStr">
        <is>
          <t>1903-01-30</t>
        </is>
      </c>
      <c r="R320" s="12">
        <f>VALUE(LEFT(Q320,4))</f>
        <v/>
      </c>
      <c r="S320" s="12">
        <f>VALUE(MID(Q320,6,2))</f>
        <v/>
      </c>
      <c r="T320" s="12">
        <f>VALUE(RIGHT(Q320,2))</f>
        <v/>
      </c>
      <c r="U320" s="12" t="inlineStr">
        <is>
          <t>day</t>
        </is>
      </c>
      <c r="V320" s="12" t="inlineStr">
        <is>
          <t>"occurred this morning" (Schenectady dispatch, paper Sat Jan 31 1903) → Jan 30 1903.</t>
        </is>
      </c>
    </row>
    <row r="321" ht="15" customHeight="1" s="13">
      <c r="A321" s="12" t="n">
        <v>323</v>
      </c>
      <c r="B321" s="12" t="inlineStr">
        <is>
          <t>1923-11-05</t>
        </is>
      </c>
      <c r="C321" s="12" t="inlineStr">
        <is>
          <t>1923-11-05</t>
        </is>
      </c>
      <c r="D321" s="12">
        <f>VALUE(LEFT(B321,4))</f>
        <v/>
      </c>
      <c r="E321" s="12">
        <f>INT((D321-1)/100)+1</f>
        <v/>
      </c>
      <c r="F321" s="12" t="inlineStr">
        <is>
          <t>Landslide (railroad)</t>
        </is>
      </c>
      <c r="G321" s="12" t="inlineStr">
        <is>
          <t>West Shore Railroad landslide near Milton</t>
        </is>
      </c>
      <c r="H321" s="12" t="inlineStr">
        <is>
          <t>West Shore RR near Milton (Town of Marlborough, Ulster Co.), Hudson west bank; ~50 mi S of Westerlo</t>
        </is>
      </c>
      <c r="I321" s="12" t="inlineStr">
        <is>
          <t>A landslide on the West Shore near Milton "played havoc with the line" on Monday</t>
        </is>
      </c>
      <c r="J321" s="12" t="inlineStr">
        <is>
          <t>none</t>
        </is>
      </c>
      <c r="K321" s="12" t="inlineStr">
        <is>
          <t>A brief in the Ravena News-Herald reported that a landslide on the West Shore Railroad near Milton played havoc with the line on Monday, Nov 5 1923.</t>
        </is>
      </c>
      <c r="L321" s="12" t="inlineStr">
        <is>
          <t>The News-Herald (Ravena), Nov 9 1923 (Ravena "Local Happenings") [uploaded PDF scan]</t>
        </is>
      </c>
      <c r="N321" s="12" t="inlineStr">
        <is>
          <t>B</t>
        </is>
      </c>
      <c r="O321" s="12" t="inlineStr">
        <is>
          <t>Y</t>
        </is>
      </c>
      <c r="P321" s="12" t="inlineStr">
        <is>
          <t>2026-09-22: added per Laurie (PDF scan). Same recurring Hudson west-bank railroad-cut locus as the 1886 West Shore slide south of Highland (row 308); Milton sits ~5 mi N of Highland. CHECK: attach to the existing Highland railroad-landslide Geology pin (extend its Notes + name) vs keep as a distinct Milton point. Brief item — exact locus and extent not given.</t>
        </is>
      </c>
      <c r="Q321" s="12" t="inlineStr">
        <is>
          <t>1923-11-05</t>
        </is>
      </c>
      <c r="R321" s="12">
        <f>VALUE(LEFT(Q321,4))</f>
        <v/>
      </c>
      <c r="S321" s="12">
        <f>VALUE(MID(Q321,6,2))</f>
        <v/>
      </c>
      <c r="T321" s="12">
        <f>VALUE(RIGHT(Q321,2))</f>
        <v/>
      </c>
      <c r="U321" s="12" t="inlineStr">
        <is>
          <t>day</t>
        </is>
      </c>
      <c r="V321" s="12" t="inlineStr">
        <is>
          <t>"on Monday" (paper Fri Nov 9 1923) → Mon Nov 5 1923.</t>
        </is>
      </c>
    </row>
    <row r="322" ht="15" customHeight="1" s="13">
      <c r="A322" s="12" t="n">
        <v>324</v>
      </c>
      <c r="B322" s="12" t="inlineStr">
        <is>
          <t>1949-05-05</t>
        </is>
      </c>
      <c r="C322" s="12" t="inlineStr">
        <is>
          <t>1949-05-11</t>
        </is>
      </c>
      <c r="D322" s="12">
        <f>VALUE(LEFT(B322,4))</f>
        <v/>
      </c>
      <c r="E322" s="12">
        <f>INT((D322-1)/100)+1</f>
        <v/>
      </c>
      <c r="F322" s="12" t="inlineStr">
        <is>
          <t>Heat wave (spring) / late frost</t>
        </is>
      </c>
      <c r="G322" s="12" t="inlineStr">
        <is>
          <t>Early-May 1949 heat spike and cold snap</t>
        </is>
      </c>
      <c r="H322" s="12" t="inlineStr">
        <is>
          <t>Capital Region and statewide (Schenectady, Albany area; Elmira); ~15 mi N of Westerlo (Schenectady)</t>
        </is>
      </c>
      <c r="I322" s="12" t="inlineStr">
        <is>
          <t>Record/near-record heat May 5–6 (Schenectady 94°F May 5, 92°F May 6 — record for the date; Elmira 98°F; Albany area upper-80s), then a sharp drop by Sun May 8 to 40s/low-30s with light frost by Wed May 11</t>
        </is>
      </c>
      <c r="J322" s="12" t="inlineStr">
        <is>
          <t>none</t>
        </is>
      </c>
      <c r="K322" s="12" t="inlineStr">
        <is>
          <t>In early May 1949 the Capital Region swung from record spring heat to frost within a week. On May 5–6 record and near-record temperatures were set statewide — Schenectady reached 94°F on May 5 and 92°F on May 6 (a record for the date), Elmira hit 98°F, and Albany-area readings ran into the upper 80s. Cooler air arrived Sun May 8; by Tuesday morning mercury readings were in the forties and lower thirties across much of the state, with light frost in some regions by Wed May 11.</t>
        </is>
      </c>
      <c r="L322" s="12" t="inlineStr">
        <is>
          <t>The Altamont Enterprise, May 13 1949 ("Warm Weather Followed By Cooler Temperatures") [uploaded PDF scan]</t>
        </is>
      </c>
      <c r="N322" s="12" t="inlineStr">
        <is>
          <t>B</t>
        </is>
      </c>
      <c r="O322" s="12" t="inlineStr">
        <is>
          <t>Y</t>
        </is>
      </c>
      <c r="P322" s="12" t="inlineStr">
        <is>
          <t>2026-09-22: added per Laurie (PDF scan). A spring heat-then-frost swing; figures are the paper's (via AP). CHECK: cross-reference the Alcove Dam / Albany daily records in the register's station data for the exact local highs/lows and the frost date.</t>
        </is>
      </c>
      <c r="Q322" s="12" t="inlineStr">
        <is>
          <t>1949-05-06</t>
        </is>
      </c>
      <c r="R322" s="12">
        <f>VALUE(LEFT(Q322,4))</f>
        <v/>
      </c>
      <c r="S322" s="12">
        <f>VALUE(MID(Q322,6,2))</f>
        <v/>
      </c>
      <c r="T322" s="12">
        <f>VALUE(RIGHT(Q322,2))</f>
        <v/>
      </c>
      <c r="U322" s="12" t="inlineStr">
        <is>
          <t>days</t>
        </is>
      </c>
      <c r="V322" s="12" t="inlineStr">
        <is>
          <t>heat peak May 5–6 1949 (paper Fri May 13 1949, event "last week"); frost followed ~May 11.</t>
        </is>
      </c>
    </row>
    <row r="323" ht="15" customHeight="1" s="13">
      <c r="A323" s="12" t="n">
        <v>325</v>
      </c>
      <c r="D323" s="12">
        <f>IFERROR(VALUE(LEFT(B323,4)),"")</f>
        <v/>
      </c>
      <c r="E323" s="12">
        <f>IFERROR(INT((D323-1)/100)+1,"")</f>
        <v/>
      </c>
      <c r="F323" s="12" t="inlineStr">
        <is>
          <t>Landslide</t>
        </is>
      </c>
      <c r="G323" s="12" t="inlineStr">
        <is>
          <t>Normanskill landslide at the Blue Cross building (Route 85)</t>
        </is>
      </c>
      <c r="H323" s="12" t="inlineStr">
        <is>
          <t>Normanskill corridor at the Blue Cross building, Route 85 (Slingerlands, New Scotland–Bethlehem line, Albany Co.); ~10 mi NE of Westerlo</t>
        </is>
      </c>
      <c r="I323" s="12" t="inlineStr">
        <is>
          <t>A landslide occurred along the Normanskill when the Blue Cross building was built on Route 85 (passing reference; no date, extent, or damage given)</t>
        </is>
      </c>
      <c r="J323" s="12" t="inlineStr">
        <is>
          <t>none</t>
        </is>
      </c>
      <c r="K323" s="12" t="inlineStr">
        <is>
          <t>At a 1988 Guilderland public meeting on the Dr. Shaw Road Extension EIS, a speaker noted that a landslide had occurred along the Normanskill when the Blue Cross building was built on Route 85. No date, size, or damage was reported.</t>
        </is>
      </c>
      <c r="L323" s="12" t="inlineStr">
        <is>
          <t>The Altamont Enterprise, Aug 4 1988 ("Shaw Extension...") [uploaded PDF scan]</t>
        </is>
      </c>
      <c r="N323" s="12" t="inlineStr">
        <is>
          <t>C</t>
        </is>
      </c>
      <c r="O323" s="12" t="inlineStr">
        <is>
          <t>Y</t>
        </is>
      </c>
      <c r="P323" s="12" t="inlineStr">
        <is>
          <t>2026-09-22: added per Laurie (PDF scan). A NEW Normanskill-corridor slide locus (Route 85 / Blue Cross building crossing at Slingerlands) — distinct from the Delaware Ave and Mahar Rd loci already tracked. DATE NEEDED: undated construction-era slide (the Blue Cross/Blue Shield building on Rte 85 was built ~1970s–80s — confirm the year). Passing reference only (C-grade); no coordinates → no Geology pin yet, CHECK for a pin once locus/date is fixed. Dates left blank per 'a blank beats a guess'. DATE NEEDED (open item): Start/End/Anchor left blank on purpose — needs the Blue Cross/Blue Shield building's construction year; formulas IFERROR-wrapped on this row only so the workbook stays clean; excluded from the phenology timeline until dated. 2026-09-22 (v838, atlas session): LOCATED per Laurie — the Blue Cross/Blue Shield building is 1251 New Scotland Rd (Rte 85), Slingerlands, at the Maher Rd corner (Places-confirmed 42.6454, -73.8507). SAME LOCUS as row 304, the 1968 'Mahar Road' landslide (spelling variant — the road signs read Maher). Hypothesis, NOT confirmed: the 1968 slide and this construction-era slide may be one event, which would date this row to 1968 and give row 304 its primary account. Needs the building's construction year to settle it. Still undated here until then; now shares the Maher Rd Geology pin.</t>
        </is>
      </c>
      <c r="R323" s="12">
        <f>IFERROR(VALUE(LEFT(Q323,4)),"")</f>
        <v/>
      </c>
      <c r="S323" s="12">
        <f>IFERROR(VALUE(MID(Q323,6,2)),"")</f>
        <v/>
      </c>
      <c r="T323" s="12">
        <f>IFERROR(VALUE(RIGHT(Q323,2)),"")</f>
        <v/>
      </c>
      <c r="V323" s="12" t="inlineStr">
        <is>
          <t>undated; reported only as "when the Blue Cross building was built on Route 85."</t>
        </is>
      </c>
    </row>
    <row r="324" ht="15" customHeight="1" s="13">
      <c r="A324" s="12" t="n">
        <v>327</v>
      </c>
      <c r="B324" s="12" t="inlineStr">
        <is>
          <t>2004-03-01</t>
        </is>
      </c>
      <c r="C324" s="12" t="inlineStr">
        <is>
          <t>2004-05-31</t>
        </is>
      </c>
      <c r="D324" s="12">
        <f>VALUE(LEFT(B324,4))</f>
        <v/>
      </c>
      <c r="E324" s="12">
        <f>INT((D324-1)/100)+1</f>
        <v/>
      </c>
      <c r="F324" s="12" t="inlineStr">
        <is>
          <t>Sinkhole / karst (event)</t>
        </is>
      </c>
      <c r="G324" s="12" t="inlineStr">
        <is>
          <t>New sinkhole in the Berne hamlet (Route 443)</t>
        </is>
      </c>
      <c r="H324" s="12" t="inlineStr">
        <is>
          <t>Berne hamlet, south side of Route 443, ~200 ft west of the Berne-Knox-Westerlo bus garage (Albany Co.); ~12 mi NW of Westerlo</t>
        </is>
      </c>
      <c r="I324" s="12" t="inlineStr">
        <is>
          <t>A new sinkhole opened in spring 2004 and captured the Rte 443 roadside drainage ditch, so stormwater runoff that formerly reached the town-garage wetland now channels directly into the sinkhole and the limestone groundwater aquifer</t>
        </is>
      </c>
      <c r="J324" s="12" t="inlineStr">
        <is>
          <t>none</t>
        </is>
      </c>
      <c r="K324" s="12" t="inlineStr">
        <is>
          <t>In spring 2004 a new sinkhole opened in the Berne hamlet on the south side of Route 443, about 200 feet west of the Berne-Knox-Westerlo bus garage. It captured the roadside drainage ditch: stormwater runoff that had drained to the wetland by the town garage now channels into the sinkhole and directly into the limestone (karst) groundwater aquifer.</t>
        </is>
      </c>
      <c r="L324" s="12" t="inlineStr">
        <is>
          <t>The Altamont Enterprise, Oct 21 2004 (letter, P. David Smith, "Mind the karst terrain") [uploaded PDF scan]</t>
        </is>
      </c>
      <c r="N324" s="12" t="inlineStr">
        <is>
          <t>B</t>
        </is>
      </c>
      <c r="O324" s="12" t="inlineStr">
        <is>
          <t>Y</t>
        </is>
      </c>
      <c r="P324" s="12" t="inlineStr">
        <is>
          <t>2026-09-22: added per Laurie (PDF scan). A dated new-sinkhole opening in the Berne hamlet karst — also a standing feature (Karst-worthy). Location is a named landmark (BKW bus garage) → Places-checkable/approximate. Reported by a Berne resident in a letter opposing gas stations over the hamlet karst; the Helderberg Escarpment Planning Guide is cited in the same letter.</t>
        </is>
      </c>
      <c r="Q324" s="12" t="inlineStr">
        <is>
          <t>2004-04-01</t>
        </is>
      </c>
      <c r="R324" s="12">
        <f>VALUE(LEFT(Q324,4))</f>
        <v/>
      </c>
      <c r="S324" s="12">
        <f>VALUE(MID(Q324,6,2))</f>
        <v/>
      </c>
      <c r="T324" s="12">
        <f>VALUE(RIGHT(Q324,2))</f>
        <v/>
      </c>
      <c r="U324" s="12" t="inlineStr">
        <is>
          <t>season</t>
        </is>
      </c>
      <c r="V324" s="12" t="inlineStr">
        <is>
          <t>"Just this last spring of 2004, a new sinkhole appeared in the hamlet" (paper Thu Oct 21 2004) → spring 2004.</t>
        </is>
      </c>
    </row>
    <row r="325" ht="15" customHeight="1" s="13">
      <c r="A325" s="12" t="n">
        <v>328</v>
      </c>
      <c r="B325" s="12" t="inlineStr">
        <is>
          <t>2016-06-08</t>
        </is>
      </c>
      <c r="C325" s="12" t="inlineStr">
        <is>
          <t>2016-06-08</t>
        </is>
      </c>
      <c r="D325" s="12">
        <f>VALUE(LEFT(B325,4))</f>
        <v/>
      </c>
      <c r="E325" s="12">
        <f>INT((D325-1)/100)+1</f>
        <v/>
      </c>
      <c r="F325" s="12" t="inlineStr">
        <is>
          <t>Rockfall</t>
        </is>
      </c>
      <c r="G325" s="12" t="inlineStr">
        <is>
          <t>Rockfall onto the Albany County Rail Trail (Hotaling)</t>
        </is>
      </c>
      <c r="H325" s="12" t="inlineStr">
        <is>
          <t>Albany County Rail Trail near the Hotaling property (Delmar/Bethlehem area, Albany Co.); ~10 mi NE of Westerlo. USGS coords 42.6267, -73.8514</t>
        </is>
      </c>
      <c r="I325" s="12" t="inlineStr">
        <is>
          <t>Boulders came down beside the newly paved rail trail — dented the new pavement and cracked a just-built fence (near-miss for the Hotalings); small</t>
        </is>
      </c>
      <c r="J325" s="12" t="inlineStr">
        <is>
          <t>none</t>
        </is>
      </c>
      <c r="K325" s="12" t="inlineStr">
        <is>
          <t>On June 8 2016 a small rockfall came down beside the Albany County Rail Trail near the Hotaling property; the boulders dented the newly laid pavement and cracked a newly built fence. No injuries.</t>
        </is>
      </c>
      <c r="L325" s="12" t="inlineStr">
        <is>
          <t>USGS Landslide Inventories v3.0 (DOI 10.5066/P14AJF8I) — NASA Global Landslide Catalog entry pt191015 (media source WNYT) [uploaded dataset]</t>
        </is>
      </c>
      <c r="N325" s="12" t="inlineStr">
        <is>
          <t>C</t>
        </is>
      </c>
      <c r="O325" s="12" t="inlineStr">
        <is>
          <t>Y</t>
        </is>
      </c>
      <c r="P325" s="12" t="inlineStr">
        <is>
          <t>2026-09-22: added per Laurie (USGS Landslide Inventories v3.0, filtered to 6 counties by point-in-polygon). NASA-catalog confidence 2 (media-reported). Exact USGS coords → Geology pin added.</t>
        </is>
      </c>
      <c r="Q325" s="12" t="inlineStr">
        <is>
          <t>2016-06-08</t>
        </is>
      </c>
      <c r="R325" s="12">
        <f>VALUE(LEFT(Q325,4))</f>
        <v/>
      </c>
      <c r="S325" s="12">
        <f>VALUE(MID(Q325,6,2))</f>
        <v/>
      </c>
      <c r="T325" s="12">
        <f>VALUE(RIGHT(Q325,2))</f>
        <v/>
      </c>
      <c r="U325" s="12" t="inlineStr">
        <is>
          <t>day</t>
        </is>
      </c>
      <c r="V325" s="12" t="inlineStr">
        <is>
          <t>NASA GLC Date_Min 2016/06/08.</t>
        </is>
      </c>
    </row>
    <row r="326" ht="15" customHeight="1" s="13">
      <c r="A326" s="12" t="n">
        <v>330</v>
      </c>
      <c r="B326" s="12" t="inlineStr">
        <is>
          <t>2014-05-15</t>
        </is>
      </c>
      <c r="C326" s="12" t="inlineStr">
        <is>
          <t>2014-05-15</t>
        </is>
      </c>
      <c r="D326" s="12">
        <f>VALUE(LEFT(B326,4))</f>
        <v/>
      </c>
      <c r="E326" s="12">
        <f>INT((D326-1)/100)+1</f>
        <v/>
      </c>
      <c r="F326" s="12" t="inlineStr">
        <is>
          <t>Landslide</t>
        </is>
      </c>
      <c r="G326" s="12" t="inlineStr">
        <is>
          <t>Route 42 "Notch" landslide (Lexington–Shandaken)</t>
        </is>
      </c>
      <c r="H326" s="12" t="inlineStr">
        <is>
          <t>Route 42 in the "Notch" between Lexington (Greene Co.) and Shandaken (Ulster Co.), Catskills; ~40 mi SW of Westerlo. USGS coords 42.1633, -74.4086</t>
        </is>
      </c>
      <c r="I326" s="12" t="inlineStr">
        <is>
          <t>A ~50-ft section of steep mountainside collapsed onto Route 42, closing the road; rain-triggered; cleared and reopened the following Wednesday</t>
        </is>
      </c>
      <c r="J326" s="12" t="inlineStr">
        <is>
          <t>none</t>
        </is>
      </c>
      <c r="K326" s="12" t="inlineStr">
        <is>
          <t>About May 15 2014 a ~50-foot section of steep mountainside collapsed onto Route 42 in the "Notch" between Lexington and Shandaken (Greene/Ulster line), closing the road; NYSDOT crews cleared it and reopened the road the following Wednesday. Rain-triggered.</t>
        </is>
      </c>
      <c r="L326" s="12" t="inlineStr">
        <is>
          <t>USGS Landslide Inventories v3.0 (DOI 10.5066/P14AJF8I) — NASA GLC pt190010 (media source The Daily Mail) [uploaded dataset]</t>
        </is>
      </c>
      <c r="N326" s="12" t="inlineStr">
        <is>
          <t>B</t>
        </is>
      </c>
      <c r="O326" s="12" t="inlineStr">
        <is>
          <t>Y</t>
        </is>
      </c>
      <c r="P326" s="12" t="inlineStr">
        <is>
          <t>2026-09-22: added per Laurie (USGS v3, 6-county filter). Catskill Front rain-triggered slide; straddles the Greene/Ulster line. Exact USGS coords → Geology pin added.</t>
        </is>
      </c>
      <c r="Q326" s="12" t="inlineStr">
        <is>
          <t>2014-05-15</t>
        </is>
      </c>
      <c r="R326" s="12">
        <f>VALUE(LEFT(Q326,4))</f>
        <v/>
      </c>
      <c r="S326" s="12">
        <f>VALUE(MID(Q326,6,2))</f>
        <v/>
      </c>
      <c r="T326" s="12">
        <f>VALUE(RIGHT(Q326,2))</f>
        <v/>
      </c>
      <c r="U326" s="12" t="inlineStr">
        <is>
          <t>day</t>
        </is>
      </c>
      <c r="V326" s="12" t="inlineStr">
        <is>
          <t>NASA GLC Date_Min 2014/05/15 (a Thursday; road reopened the following Wed).</t>
        </is>
      </c>
    </row>
    <row r="327" ht="15" customHeight="1" s="13">
      <c r="A327" s="12" t="n">
        <v>331</v>
      </c>
      <c r="B327" s="12" t="inlineStr">
        <is>
          <t>2013-06-16</t>
        </is>
      </c>
      <c r="C327" s="12" t="inlineStr">
        <is>
          <t>2013-06-16</t>
        </is>
      </c>
      <c r="D327" s="12">
        <f>VALUE(LEFT(B327,4))</f>
        <v/>
      </c>
      <c r="E327" s="12">
        <f>INT((D327-1)/100)+1</f>
        <v/>
      </c>
      <c r="F327" s="12" t="inlineStr">
        <is>
          <t>Mudslide</t>
        </is>
      </c>
      <c r="G327" s="12" t="inlineStr">
        <is>
          <t>Huntersland Road mudslide, Middleburgh</t>
        </is>
      </c>
      <c r="H327" s="12" t="inlineStr">
        <is>
          <t>Huntersland Road, Middleburgh (Schoharie Co.); ~28 mi W of Westerlo. USGS coords 42.5889, -74.3200</t>
        </is>
      </c>
      <c r="I327" s="12" t="inlineStr">
        <is>
          <t>A mudslide poured debris onto Huntersland Road early Sunday, closing it; nearest detour ~30 mi</t>
        </is>
      </c>
      <c r="J327" s="12" t="inlineStr">
        <is>
          <t>none</t>
        </is>
      </c>
      <c r="K327" s="12" t="inlineStr">
        <is>
          <t>Early Sunday June 16 2013 a mudslide poured debris onto Huntersland Road in Middleburgh, closing the road and forcing a ~30-mile detour — a setback for a town still recovering from earlier flooding.</t>
        </is>
      </c>
      <c r="L327" s="12" t="inlineStr">
        <is>
          <t>USGS Landslide Inventories v3.0 (DOI 10.5066/P14AJF8I) — NASA GLC pt191556 (media source News10) [uploaded dataset]</t>
        </is>
      </c>
      <c r="N327" s="12" t="inlineStr">
        <is>
          <t>B</t>
        </is>
      </c>
      <c r="O327" s="12" t="inlineStr">
        <is>
          <t>Y</t>
        </is>
      </c>
      <c r="P327" s="12" t="inlineStr">
        <is>
          <t>2026-09-22: added per Laurie (USGS v3, 6-county filter). Post-flood mudslide (Middleburgh was hard-hit by the 2011 Irene flooding). Exact USGS coords → Geology pin added.</t>
        </is>
      </c>
      <c r="Q327" s="12" t="inlineStr">
        <is>
          <t>2013-06-16</t>
        </is>
      </c>
      <c r="R327" s="12">
        <f>VALUE(LEFT(Q327,4))</f>
        <v/>
      </c>
      <c r="S327" s="12">
        <f>VALUE(MID(Q327,6,2))</f>
        <v/>
      </c>
      <c r="T327" s="12">
        <f>VALUE(RIGHT(Q327,2))</f>
        <v/>
      </c>
      <c r="U327" s="12" t="inlineStr">
        <is>
          <t>day</t>
        </is>
      </c>
      <c r="V327" s="12" t="inlineStr">
        <is>
          <t>NASA GLC Date_Min 2013/06/16 (Sunday).</t>
        </is>
      </c>
    </row>
    <row r="328" ht="15" customHeight="1" s="13">
      <c r="A328" s="12" t="n">
        <v>332</v>
      </c>
      <c r="B328" s="12" t="inlineStr">
        <is>
          <t>1968-05-29</t>
        </is>
      </c>
      <c r="C328" s="12" t="inlineStr">
        <is>
          <t>1968-05-29</t>
        </is>
      </c>
      <c r="D328" s="12">
        <f>VALUE(LEFT(B328,4))</f>
        <v/>
      </c>
      <c r="E328" s="12">
        <f>INT((D328-1)/100)+1</f>
        <v/>
      </c>
      <c r="F328" s="12" t="inlineStr">
        <is>
          <t>Landslide</t>
        </is>
      </c>
      <c r="G328" s="12" t="inlineStr">
        <is>
          <t>Big Indian landslide (Ulster Co.)</t>
        </is>
      </c>
      <c r="H328" s="12" t="inlineStr">
        <is>
          <t>Big Indian (Shandaken, Ulster Co.), Catskills; ~45 mi SW of Westerlo. USGS coords 41.9909, -74.3531</t>
        </is>
      </c>
      <c r="I328" s="12" t="inlineStr">
        <is>
          <t>A small rain-triggered landslide on an extreme slope; reported by NY DEC (via the NASA catalog) as still fresh and visible decades later, with only minor brush regrowth</t>
        </is>
      </c>
      <c r="J328" s="12" t="inlineStr">
        <is>
          <t>none</t>
        </is>
      </c>
      <c r="K328" s="12" t="inlineStr">
        <is>
          <t>On May 29 1968 a small rain-triggered landslide occurred at Big Indian (Ulster Co.). It was reported (by NY DEC, via the NASA catalog) as still fresh and visible decades later, with only minor brush regrowth, owing to the extreme slope grade.</t>
        </is>
      </c>
      <c r="L328" s="12" t="inlineStr">
        <is>
          <t>USGS Landslide Inventories v3.0 (DOI 10.5066/P14AJF8I) — NASA GLC pt193562 (info source: NYS DEC) [uploaded dataset]</t>
        </is>
      </c>
      <c r="N328" s="12" t="inlineStr">
        <is>
          <t>B</t>
        </is>
      </c>
      <c r="O328" s="12" t="inlineStr">
        <is>
          <t>Y</t>
        </is>
      </c>
      <c r="P328" s="12" t="inlineStr">
        <is>
          <t>2026-09-22: added per Laurie (USGS v3, 6-county filter). A long-lived slide scar (still visible decades later). Distinct from the register's 1968 Mahar Rd Normans Kill slide. Exact USGS coords → Geology pin added.</t>
        </is>
      </c>
      <c r="Q328" s="12" t="inlineStr">
        <is>
          <t>1968-05-29</t>
        </is>
      </c>
      <c r="R328" s="12">
        <f>VALUE(LEFT(Q328,4))</f>
        <v/>
      </c>
      <c r="S328" s="12">
        <f>VALUE(MID(Q328,6,2))</f>
        <v/>
      </c>
      <c r="T328" s="12">
        <f>VALUE(RIGHT(Q328,2))</f>
        <v/>
      </c>
      <c r="U328" s="12" t="inlineStr">
        <is>
          <t>day</t>
        </is>
      </c>
      <c r="V328" s="12" t="inlineStr">
        <is>
          <t>NASA GLC Date_Min 1968/05/29.</t>
        </is>
      </c>
    </row>
    <row r="329" ht="15" customHeight="1" s="13">
      <c r="A329" s="12" t="n">
        <v>333</v>
      </c>
      <c r="B329" s="12" t="inlineStr">
        <is>
          <t>1889-12-26</t>
        </is>
      </c>
      <c r="C329" s="12" t="inlineStr">
        <is>
          <t>1889-12-26</t>
        </is>
      </c>
      <c r="D329" s="12">
        <f>VALUE(LEFT(B329,4))</f>
        <v/>
      </c>
      <c r="E329" s="12">
        <f>INT((D329-1)/100)+1</f>
        <v/>
      </c>
      <c r="F329" s="12" t="inlineStr">
        <is>
          <t>Windstorm</t>
        </is>
      </c>
      <c r="G329" s="12" t="inlineStr">
        <is>
          <t>December 1889 windstorm (Capital Region &amp; Mohawk/Fulton counties)</t>
        </is>
      </c>
      <c r="H329" s="12" t="inlineStr">
        <is>
          <t>Albany, Cohoes, Amsterdam, Gloversville, Johnstown, Ballston, Saratoga (Capital Region + Montgomery/Fulton/Saratoga Cos.)</t>
        </is>
      </c>
      <c r="I329" s="12" t="inlineStr">
        <is>
          <t>Peak wind ~48-50 mph at the Albany weather office (overnight)</t>
        </is>
      </c>
      <c r="J329" s="12" t="inlineStr">
        <is>
          <t>Albany (US Signal Service)</t>
        </is>
      </c>
      <c r="K329" s="12" t="inlineStr">
        <is>
          <t>On the afternoon and evening of Dec 26 1889 a fierce wind (thunder, then snow) swept the Capital Region, peaking near 48-50 mph overnight at the Albany office. Signs, awnings, chimneys, fences and trees came down across Albany and telegraph/telephone wires failed widely. In Amsterdam the roof of Thomas &amp; Pettengill's mill was torn off (~$800) and Sanford &amp; Sons' mill roof damaged. Gloversville was hit hardest: the Union school's south wing was unroofed, a High St brick house shifted ~12 ft, and the Andrew Hines house was blown off its foundation into Cayadutta Creek; the McGuire foundry and D.M. Smith Hair Co. chimneys fell and Gloversville-Johnstown lost electric light. Cohoes lost chimneys, signs and fences; at Ballston a hotel sign and a large white-pine shade tree on High St came down; Saratoga saw thunder, lightning, rain then snow and a toppled chimney at Dr. Strong's institute; a table-factory lightning fire was reported at Oneonta.</t>
        </is>
      </c>
      <c r="L329" s="12" t="inlineStr">
        <is>
          <t>The Argus (Albany), Dec 27 1889 ("Wrecks Wrought by Wind") [uploaded PDF scan]</t>
        </is>
      </c>
      <c r="M329" s="12" t="inlineStr">
        <is>
          <t>(uploaded PDF scan)</t>
        </is>
      </c>
      <c r="N329" s="12" t="inlineStr">
        <is>
          <t>B</t>
        </is>
      </c>
      <c r="O329" s="12" t="inlineStr">
        <is>
          <t>Y</t>
        </is>
      </c>
      <c r="P329" s="12" t="inlineStr">
        <is>
          <t>2026-09-22: added per Laurie (PDF scan). In-region Capital/Mohawk-valley windstorm. The scan also references 'the tornado of March last' (a Mar 1889 tornado) - logged as a lead in RESEARCH_LEADS, not staged. The David Goodell woodchopper death (Westford) is a tree-felling accident, not a weather event - not staged. EXISTENCE-GUARD at merge against any Dec 1889 storm already in the register.</t>
        </is>
      </c>
      <c r="Q329" s="12" t="inlineStr">
        <is>
          <t>1889-12-26</t>
        </is>
      </c>
      <c r="R329" s="12">
        <f>VALUE(LEFT(Q329,4))</f>
        <v/>
      </c>
      <c r="S329" s="12">
        <f>VALUE(MID(Q329,6,2))</f>
        <v/>
      </c>
      <c r="T329" s="12">
        <f>VALUE(RIGHT(Q329,2))</f>
        <v/>
      </c>
      <c r="U329" s="12" t="inlineStr">
        <is>
          <t>day</t>
        </is>
      </c>
      <c r="V329" s="12" t="inlineStr">
        <is>
          <t>'yesterday afternoon and evening' (paper Fri Dec 27 1889) -&gt; Thu Dec 26 1889.</t>
        </is>
      </c>
    </row>
    <row r="330" ht="15" customHeight="1" s="13">
      <c r="A330" s="12" t="n">
        <v>334</v>
      </c>
      <c r="B330" s="12" t="inlineStr">
        <is>
          <t>1894-01-29</t>
        </is>
      </c>
      <c r="C330" s="12" t="inlineStr">
        <is>
          <t>1894-01-30</t>
        </is>
      </c>
      <c r="D330" s="12">
        <f>VALUE(LEFT(B330,4))</f>
        <v/>
      </c>
      <c r="E330" s="12">
        <f>INT((D330-1)/100)+1</f>
        <v/>
      </c>
      <c r="F330" s="12" t="inlineStr">
        <is>
          <t>Blizzard</t>
        </is>
      </c>
      <c r="G330" s="12" t="inlineStr">
        <is>
          <t>January 1894 blizzard (Albany &amp; statewide)</t>
        </is>
      </c>
      <c r="H330" s="12" t="inlineStr">
        <is>
          <t>Albany and across New York State; Hilltowns impact confirmed - Knox ~12 in, plus Berne, Delmar, Coeymans Hollow (3 in) and Voorheesville</t>
        </is>
      </c>
      <c r="I330" s="12" t="inlineStr">
        <is>
          <t>8.2 in snow at Albany by 4 p.m. Jan 30; wind to ~30 mph</t>
        </is>
      </c>
      <c r="J330" s="12" t="inlineStr">
        <is>
          <t>Albany</t>
        </is>
      </c>
      <c r="K330" s="12" t="inlineStr">
        <is>
          <t>A snowstorm that began about noon on Mon Jan 29 1894 turned into a near-blizzard; the west wind reached ~30 mph by late morning Jan 30, easing to ~25 mph mid-afternoon, with 8.2 in accumulated at Albany by 4 p.m. Boston &amp; Albany trains ran hours late while the Albany Railway kept its cars running. Statewide totals: Watertown ~18 in, Rochester ~14 in, Auburn ~12 in, Schenectady ~9 in, Oswego ~8 in, Ithaca ~6.5 in, Rome/Syracuse/Lockport/Binghamton ~6 in; the Champlain valley (Ausable Forks, Keeseville, Elizabethtown, Port Henry) 8-10 in.</t>
        </is>
      </c>
      <c r="L330" s="12" t="inlineStr">
        <is>
          <t>The Argus (Albany), Jan 31 1894 ("'Twas Quite a Blizzard") [uploaded PDF scan]</t>
        </is>
      </c>
      <c r="M330" s="12" t="inlineStr">
        <is>
          <t>(uploaded PDF scan)</t>
        </is>
      </c>
      <c r="N330" s="12" t="inlineStr">
        <is>
          <t>B</t>
        </is>
      </c>
      <c r="O330" s="12" t="inlineStr">
        <is>
          <t>Y</t>
        </is>
      </c>
      <c r="P330" s="12" t="inlineStr">
        <is>
          <t>2026-09-22: added per Laurie (PDF scan). In-core blizzard with an Albany snowfall figure. ENRICHED 2026-09-22 from the Altamont Enterprise's Feb 3 1994 '100 Years Ago' reprint of its Feb 2 1894 issue, which confirms Hilltowns impact (Knox ~12 in, 'one of the worst storms of the season', roads impassable with drifts) and reports a related DAM FAILURE the same week: on Tue ~Jan 30 1894 the dam at Freeman's pond at Bellevue (Schenectady) gave way, the flood cascading down the ravine to Hon. John D. Campbell's mill pond, which also gave way with its masonry retaining wall (Campbell mill pond washed out ~30 ft deep x 125 ft wide, ~$2,000). Candidate Geology pin (coords needed): Freeman's-pond / Campbell-mill dam break, Bellevue, Schenectady. EXISTENCE-GUARD at merge against the register's blizzard timeline.</t>
        </is>
      </c>
      <c r="Q330" s="12" t="inlineStr">
        <is>
          <t>1894-01-30</t>
        </is>
      </c>
      <c r="R330" s="12">
        <f>VALUE(LEFT(Q330,4))</f>
        <v/>
      </c>
      <c r="S330" s="12">
        <f>VALUE(MID(Q330,6,2))</f>
        <v/>
      </c>
      <c r="T330" s="12">
        <f>VALUE(RIGHT(Q330,2))</f>
        <v/>
      </c>
      <c r="U330" s="12" t="inlineStr">
        <is>
          <t>days</t>
        </is>
      </c>
      <c r="V330" s="12" t="inlineStr">
        <is>
          <t>Snow began ~noon Mon Jan 29 (paper Wed Jan 31, 'yesterday morning' = Jan 30); anchored to the Jan 30 measurement day.</t>
        </is>
      </c>
    </row>
    <row r="331" ht="15" customHeight="1" s="13">
      <c r="A331" s="12" t="n">
        <v>335</v>
      </c>
      <c r="B331" s="12" t="inlineStr">
        <is>
          <t>1898-12-05</t>
        </is>
      </c>
      <c r="C331" s="12" t="inlineStr">
        <is>
          <t>1898-12-05</t>
        </is>
      </c>
      <c r="D331" s="12">
        <f>VALUE(LEFT(B331,4))</f>
        <v/>
      </c>
      <c r="E331" s="12">
        <f>INT((D331-1)/100)+1</f>
        <v/>
      </c>
      <c r="F331" s="12" t="inlineStr">
        <is>
          <t>Windstorm</t>
        </is>
      </c>
      <c r="G331" s="12" t="inlineStr">
        <is>
          <t>December 1898 windstorm (Albany, Troy, Waterford, Ghent)</t>
        </is>
      </c>
      <c r="H331" s="12" t="inlineStr">
        <is>
          <t>Albany, Troy, Greenbush, Waterford, Lansingburgh, Brunswick, Ghent, Chatham (Capital Region / Columbia Co.)</t>
        </is>
      </c>
      <c r="I331" s="12" t="inlineStr">
        <is>
          <t>Peak wind ~60 mph at the Albany weather office; barometer ~29.45 in; Hudson rose ~4 ft</t>
        </is>
      </c>
      <c r="J331" s="12" t="inlineStr">
        <is>
          <t>Albany (US Weather Bureau)</t>
        </is>
      </c>
      <c r="K331" s="12" t="inlineStr">
        <is>
          <t>An almost-cyclonic wind tore through Albany early on Dec 5 1898, peaking near 60 mph at the local weather office (barometer ~29.45 in) with the Hudson rising ~4 ft. The old Albany Railway car barn was partly demolished (west fire wall blown in); ice houses from Albany to Castleton were wrecked (Consolidated Ice Co. at Van Wie's Point, the Schifferdecker house corner torn off, Patterson's below the Abbey a total wreck); the Historical &amp; Art Society building was damaged and the Ridgefield grandstand ruined. In Greenbush an aniline works under construction was blown down; in Troy, Seminary Park trees fell, the Fayles foundry's third-story wall collapsed (~$2,000), and slate and cross were stripped from St. Paul's. At Waterford the steeple of St. Mary's church fell onto the main edifice and crushed the organ (~$15,000). A paper mill near Ghent lost a chimney and the Chatham Electric Light plant was blown down. No fatalities were reported; telegraph traffic to New York routed via Boston.</t>
        </is>
      </c>
      <c r="L331" s="12" t="inlineStr">
        <is>
          <t>The Argus (Albany), Dec 6 1898 ("Storm Swept" / "Fierce Wind Storm ... Terrible Havoc") [uploaded PDF scan]</t>
        </is>
      </c>
      <c r="M331" s="12" t="inlineStr">
        <is>
          <t>(uploaded PDF scan)</t>
        </is>
      </c>
      <c r="N331" s="12" t="inlineStr">
        <is>
          <t>B</t>
        </is>
      </c>
      <c r="O331" s="12" t="inlineStr">
        <is>
          <t>Y</t>
        </is>
      </c>
      <c r="P331" s="12" t="inlineStr">
        <is>
          <t>2026-09-22: added per Laurie (PDF scans). SCAN-PAIR / DATE FLAG: two uploaded scans (files dated 1895-12-28 and 1898-12-06) carry the SAME storm narrative word-for-word (incl. the Waterford St. Mary's steeple collapse, $15,000) and the same companion stories ('Welcome the Tenth' returning Spanish-American-War soldiers = late 1898; 'Sarah Kenney'; 'Burke's body found - disappeared election day' = Nov 1898). They are the same Dec 1898 event; the '1895-12-28' label/masthead is a mis-date, NOT a separate 1895 storm. Staged ONCE as Dec 5 1898 - do NOT enter a separate 1895 storm. EXISTENCE-GUARD at merge against any Dec 1898 windstorm already in the register.</t>
        </is>
      </c>
      <c r="Q331" s="12" t="inlineStr">
        <is>
          <t>1898-12-05</t>
        </is>
      </c>
      <c r="R331" s="12">
        <f>VALUE(LEFT(Q331,4))</f>
        <v/>
      </c>
      <c r="S331" s="12">
        <f>VALUE(MID(Q331,6,2))</f>
        <v/>
      </c>
      <c r="T331" s="12">
        <f>VALUE(RIGHT(Q331,2))</f>
        <v/>
      </c>
      <c r="U331" s="12" t="inlineStr">
        <is>
          <t>day</t>
        </is>
      </c>
      <c r="V331" s="12" t="inlineStr">
        <is>
          <t>'yesterday morning' (paper The Argus Dec 6 1898) -&gt; Dec 5 1898; year fixed by the same issue's 'Welcome the Tenth' (returning 1898 soldiers) and Nov-1898 election-day references.</t>
        </is>
      </c>
    </row>
    <row r="332" ht="15" customHeight="1" s="13">
      <c r="A332" s="12" t="n">
        <v>336</v>
      </c>
      <c r="B332" s="12" t="inlineStr">
        <is>
          <t>1900-09-12</t>
        </is>
      </c>
      <c r="C332" s="12" t="inlineStr">
        <is>
          <t>1900-09-12</t>
        </is>
      </c>
      <c r="D332" s="12">
        <f>VALUE(LEFT(B332,4))</f>
        <v/>
      </c>
      <c r="E332" s="12">
        <f>INT((D332-1)/100)+1</f>
        <v/>
      </c>
      <c r="F332" s="12" t="inlineStr">
        <is>
          <t>Windstorm (tropical remnant)</t>
        </is>
      </c>
      <c r="G332" s="12" t="inlineStr">
        <is>
          <t>September 1900 windstorm - Galveston Hurricane remnant (Albany &amp; Altamont)</t>
        </is>
      </c>
      <c r="H332" s="12" t="inlineStr">
        <is>
          <t>Albany and Altamont (Helderberg base)</t>
        </is>
      </c>
      <c r="I332" s="12" t="inlineStr">
        <is>
          <t>~40 mph at Albany (74 mph at Buffalo)</t>
        </is>
      </c>
      <c r="J332" s="12" t="inlineStr">
        <is>
          <t>Albany (US Weather Bureau)</t>
        </is>
      </c>
      <c r="K332" s="12" t="inlineStr">
        <is>
          <t>The remnant of the Galveston Hurricane of 1900 reached Albany on Sep 12 1900, with the wind blowing ~40 mph. Two houses were unroofed (NE corner of Broad St &amp; Fourth Ave, and 172 Madison Ave) and a 30-ft fence at the West Albany bridge blew down; Washington Park lost plants and limbs. At the Altamont fair every tent on the grounds was carried aloft and the merry-go-round stripped of its cover; several tents full of people escaped injury. The Montgomery County fair was postponed. The wind reached 74 mph at Buffalo. (Albany also raised relief funds for the Galveston flood sufferers.)</t>
        </is>
      </c>
      <c r="L332" s="12" t="inlineStr">
        <is>
          <t>The Argus (Albany), Sep 13 1900 ("Edge of Storm Touched Albany - Wind Blew 40 Miles an Hour") [uploaded PDF scan] ; The Argus (Albany), Sep 13 1900, 'Edge of Storm Touched Albany' (scan)</t>
        </is>
      </c>
      <c r="M332" s="12" t="inlineStr">
        <is>
          <t>(uploaded PDF scan)</t>
        </is>
      </c>
      <c r="N332" s="12" t="inlineStr">
        <is>
          <t>B</t>
        </is>
      </c>
      <c r="O332" s="12" t="inlineStr">
        <is>
          <t>Y</t>
        </is>
      </c>
      <c r="P332" s="12" t="inlineStr">
        <is>
          <t>2026-09-22: added per Laurie (PDF scan). In-core windstorm (Altamont = Helderberg base). Same storm system as the out-of-region Galveston Hurricane. EXISTENCE-GUARD at merge. 2026-09-23 (v851, atlas session): ENRICHED — Sep 12 1900: 40 mph at Albany (Forecaster Sims), 74 mph at Buffalo; two houses unroofed (Broad St/4th Ave; 172 Madison Ave); every tent at the Altamont Fair blown down with people inside (no serious injuries despite rumours); Clarksville wires down for 8 miles; Montgomery Co. fair postponed; 85°F beforehand, orchards stripped of green fruit.</t>
        </is>
      </c>
      <c r="Q332" s="12" t="inlineStr">
        <is>
          <t>1900-09-12</t>
        </is>
      </c>
      <c r="R332" s="12">
        <f>VALUE(LEFT(Q332,4))</f>
        <v/>
      </c>
      <c r="S332" s="12">
        <f>VALUE(MID(Q332,6,2))</f>
        <v/>
      </c>
      <c r="T332" s="12">
        <f>VALUE(RIGHT(Q332,2))</f>
        <v/>
      </c>
      <c r="U332" s="12" t="inlineStr">
        <is>
          <t>day</t>
        </is>
      </c>
      <c r="V332" s="12" t="inlineStr">
        <is>
          <t>'yesterday morning' (paper Sep 13 1900) -&gt; Sep 12 1900.</t>
        </is>
      </c>
    </row>
    <row r="333" ht="15" customHeight="1" s="13">
      <c r="A333" s="12" t="n">
        <v>337</v>
      </c>
      <c r="B333" s="12" t="inlineStr">
        <is>
          <t>1900-11-21</t>
        </is>
      </c>
      <c r="C333" s="12" t="inlineStr">
        <is>
          <t>1900-11-21</t>
        </is>
      </c>
      <c r="D333" s="12">
        <f>VALUE(LEFT(B333,4))</f>
        <v/>
      </c>
      <c r="E333" s="12">
        <f>INT((D333-1)/100)+1</f>
        <v/>
      </c>
      <c r="F333" s="12" t="inlineStr">
        <is>
          <t>Windstorm</t>
        </is>
      </c>
      <c r="G333" s="12" t="inlineStr">
        <is>
          <t>November 1900 windstorm (Schenectady &amp; statewide gale)</t>
        </is>
      </c>
      <c r="H333" s="12" t="inlineStr">
        <is>
          <t>Schenectady and across New York State (Buffalo, Oswego, Whitehall/Granville, Syracuse, Oneida)</t>
        </is>
      </c>
      <c r="I333" s="12" t="inlineStr">
        <is>
          <t>80 mph on Lake Erie at Buffalo; ~52 mph at Oswego; hurricane-force at Schenectady</t>
        </is>
      </c>
      <c r="J333" s="12" t="inlineStr">
        <is>
          <t>Buffalo / Schenectady</t>
        </is>
      </c>
      <c r="K333" s="12" t="inlineStr">
        <is>
          <t>A severe gale crossed New York on Nov 21 1900. At Schenectady a ~7 p.m. hurricane wrecked a baseball grandstand and blew the cupola off a Summit Ave building; a resident narrowly escaped death when a section of roof crashed onto his bed; the General Electric works lost the roof of its porcelain shop (No. 26), had a fence damaged and its main gates torn off (several thousand dollars). The wind reached 80 mph on Lake Erie at Buffalo (hurricane signals up; the Blackwell canal rose 6 ft, with another cave-in feared at the Minnesota Ore dock), ~52 mph at Oswego (buildings unroofed), and terrific at Whitehall (the Central House roof blown off at Granville, a shirt factory shifted off its foundations). At Syracuse a delivery wagon was carried a block; near Oneida a woman was critically hurt by a falling limb and another had a leg broken.</t>
        </is>
      </c>
      <c r="L333" s="12" t="inlineStr">
        <is>
          <t>The Argus (Albany), Nov 22 1900 ("Severe Gales in This State - Wind Blew an Eighty-Mile Gale on Lake Erie") [uploaded PDF scan]</t>
        </is>
      </c>
      <c r="M333" s="12" t="inlineStr">
        <is>
          <t>(uploaded PDF scan)</t>
        </is>
      </c>
      <c r="N333" s="12" t="inlineStr">
        <is>
          <t>B</t>
        </is>
      </c>
      <c r="O333" s="12" t="inlineStr">
        <is>
          <t>Y</t>
        </is>
      </c>
      <c r="P333" s="12" t="inlineStr">
        <is>
          <t>2026-09-22: added per Laurie (PDF scan). In-core (Schenectady). The scan's headline event (a deadly Nov 20-21 1900 tornado outbreak in Mississippi &amp; Tennessee, ~49 killed) is out-of-region - flagged in RESEARCH_LEADS for Laurie's call, not staged. EXISTENCE-GUARD at merge.</t>
        </is>
      </c>
      <c r="Q333" s="12" t="inlineStr">
        <is>
          <t>1900-11-21</t>
        </is>
      </c>
      <c r="R333" s="12">
        <f>VALUE(LEFT(Q333,4))</f>
        <v/>
      </c>
      <c r="S333" s="12">
        <f>VALUE(MID(Q333,6,2))</f>
        <v/>
      </c>
      <c r="T333" s="12">
        <f>VALUE(RIGHT(Q333,2))</f>
        <v/>
      </c>
      <c r="U333" s="12" t="inlineStr">
        <is>
          <t>day</t>
        </is>
      </c>
      <c r="V333" s="12" t="inlineStr">
        <is>
          <t>reports datelined Nov 21 (paper Nov 22 1900) -&gt; Nov 21 1900.</t>
        </is>
      </c>
    </row>
    <row r="334" ht="15" customHeight="1" s="13">
      <c r="A334" s="12" t="n">
        <v>338</v>
      </c>
      <c r="B334" s="12" t="inlineStr">
        <is>
          <t>1902-02-17</t>
        </is>
      </c>
      <c r="C334" s="12" t="inlineStr">
        <is>
          <t>1902-02-17</t>
        </is>
      </c>
      <c r="D334" s="12">
        <f>VALUE(LEFT(B334,4))</f>
        <v/>
      </c>
      <c r="E334" s="12">
        <f>INT((D334-1)/100)+1</f>
        <v/>
      </c>
      <c r="F334" s="12" t="inlineStr">
        <is>
          <t>Blizzard</t>
        </is>
      </c>
      <c r="G334" s="12" t="inlineStr">
        <is>
          <t>February 17 1902 blizzard (eastern New York)</t>
        </is>
      </c>
      <c r="H334" s="12" t="inlineStr">
        <is>
          <t>Eastern New York - Troy, Ballston, Albany area, plus Oneonta, Poughkeepsie, Whitehall, Utica, Binghamton</t>
        </is>
      </c>
      <c r="I334" s="12" t="inlineStr">
        <is>
          <t>&gt;12 in at Troy; ~12 in at Oneonta; near-zero at Binghamton</t>
        </is>
      </c>
      <c r="K334" s="12" t="inlineStr">
        <is>
          <t>A blizzard swept eastern New York through Feb 17 1902, snowing all day and part of the night. Troy reported over a foot with all car service delayed; Ballston had the winter's heaviest storm; Oneonta got ~12 in (local trolley blocked; D&amp;H and Ulster &amp; Delaware trains delayed); Whitehall the season's worst; Hoosick Falls' trolley was demoralized. Poughkeepsie's snow and NW wind tied up the Wappingers Falls and city trolley lines; Fort Plain's worst storm halted trains; Utica's rail and electric roads were hindered; at Binghamton the thermometer fell near zero with Lackawanna and Erie trains 30 minutes to 1.5 hours late.</t>
        </is>
      </c>
      <c r="L334" s="12" t="inlineStr">
        <is>
          <t>The Argus (Albany), Feb 18 1902 ("Eastern New York Swept by Blizzard") [uploaded PDF scan]</t>
        </is>
      </c>
      <c r="M334" s="12" t="inlineStr">
        <is>
          <t>(uploaded PDF scan)</t>
        </is>
      </c>
      <c r="N334" s="12" t="inlineStr">
        <is>
          <t>B</t>
        </is>
      </c>
      <c r="O334" s="12" t="inlineStr">
        <is>
          <t>Y</t>
        </is>
      </c>
      <c r="P334" s="12" t="inlineStr">
        <is>
          <t>2026-09-22: added per Laurie (PDF scan). In-core blizzard. EXISTENCE-GUARD (important): the register already carries a Feb 1902 blizzard from a Feb 3 1902 Cohoes Republican scan (early-Feb Mohawk-Valley/Capital-Region/N-NY storm). This Feb 17 1902 blizzard is a SEPARATE storm ~2 weeks later - confirm at merge it is not merged with or duplicating the early-Feb entry.</t>
        </is>
      </c>
      <c r="Q334" s="12" t="inlineStr">
        <is>
          <t>1902-02-17</t>
        </is>
      </c>
      <c r="R334" s="12">
        <f>VALUE(LEFT(Q334,4))</f>
        <v/>
      </c>
      <c r="S334" s="12">
        <f>VALUE(MID(Q334,6,2))</f>
        <v/>
      </c>
      <c r="T334" s="12">
        <f>VALUE(RIGHT(Q334,2))</f>
        <v/>
      </c>
      <c r="U334" s="12" t="inlineStr">
        <is>
          <t>day</t>
        </is>
      </c>
      <c r="V334" s="12" t="inlineStr">
        <is>
          <t>reports datelined Feb 17 (paper Feb 18 1902) -&gt; Feb 17 1902.</t>
        </is>
      </c>
    </row>
    <row r="335" ht="15" customHeight="1" s="13">
      <c r="A335" s="12" t="n">
        <v>339</v>
      </c>
      <c r="B335" s="12" t="inlineStr">
        <is>
          <t>1903-08-25</t>
        </is>
      </c>
      <c r="C335" s="12" t="inlineStr">
        <is>
          <t>1903-08-25</t>
        </is>
      </c>
      <c r="D335" s="12">
        <f>VALUE(LEFT(B335,4))</f>
        <v/>
      </c>
      <c r="E335" s="12">
        <f>INT((D335-1)/100)+1</f>
        <v/>
      </c>
      <c r="F335" s="12" t="inlineStr">
        <is>
          <t>Windstorm / thunderstorm</t>
        </is>
      </c>
      <c r="G335" s="12" t="inlineStr">
        <is>
          <t>August 1903 windstorm (Ulster County / Kingston)</t>
        </is>
      </c>
      <c r="H335" s="12" t="inlineStr">
        <is>
          <t>Kingston and Ulster County (in-core Catskills); also Binghamton, Wayland/North Cohocton, and the CT/NJ coast (out-of-core)</t>
        </is>
      </c>
      <c r="I335" s="12" t="inlineStr">
        <is>
          <t>~32 mph at Binghamton; Ulster crop/tree damage; trees 4-5 ft dia. uprooted at Wayland</t>
        </is>
      </c>
      <c r="K335" s="12" t="inlineStr">
        <is>
          <t>On Aug 25 1903 a severe wind storm crossed Ulster County, doing large damage to crops and trees and cutting Kingston almost entirely off from outside telephone and telegraph. The same system uprooted trees 4-5 ft in diameter and blew out a store front at Wayland (Steuben Co.), brought a cloudburst to North Cohocton, cut telegraph at Binghamton (~32 mph; a Sidney house was destroyed by lightning), and struck the Connecticut and New Jersey coasts (a near-cyclone at Stamford; at Sandy Hook a ~48-knot squall endangered the yachts Reliance and Shamrock III; a derrick toppled into Newark Bay, drowning several workmen - out-of-region).</t>
        </is>
      </c>
      <c r="L335" s="12" t="inlineStr">
        <is>
          <t>The Argus (Albany), Aug 26 1903 ("Wayland's Trees Uprooted" / "Binghamton Cut Off" / "In Teeth of the Storm") [uploaded PDF scan]</t>
        </is>
      </c>
      <c r="M335" s="12" t="inlineStr">
        <is>
          <t>(uploaded PDF scan)</t>
        </is>
      </c>
      <c r="N335" s="12" t="inlineStr">
        <is>
          <t>B</t>
        </is>
      </c>
      <c r="O335" s="12" t="inlineStr">
        <is>
          <t>Y</t>
        </is>
      </c>
      <c r="P335" s="12" t="inlineStr">
        <is>
          <t>2026-09-22: added per Laurie (PDF scan). In-core content = Kingston/Ulster wind damage; the western-NY (Wayland/North Cohocton), Binghamton, and CT/NJ-coast effects are out-of-core context (the Newark Bay derrick drownings recorded by mechanism/location only, no names, per rule 3). EXISTENCE-GUARD at merge.</t>
        </is>
      </c>
      <c r="Q335" s="12" t="inlineStr">
        <is>
          <t>1903-08-25</t>
        </is>
      </c>
      <c r="R335" s="12">
        <f>VALUE(LEFT(Q335,4))</f>
        <v/>
      </c>
      <c r="S335" s="12">
        <f>VALUE(MID(Q335,6,2))</f>
        <v/>
      </c>
      <c r="T335" s="12">
        <f>VALUE(RIGHT(Q335,2))</f>
        <v/>
      </c>
      <c r="U335" s="12" t="inlineStr">
        <is>
          <t>day</t>
        </is>
      </c>
      <c r="V335" s="12" t="inlineStr">
        <is>
          <t>reports datelined Aug 25 ('this afternoon'; paper Aug 26 1903) -&gt; Aug 25 1903.</t>
        </is>
      </c>
    </row>
    <row r="336" ht="15" customHeight="1" s="13">
      <c r="A336" s="12" t="n">
        <v>340</v>
      </c>
      <c r="B336" s="12" t="inlineStr">
        <is>
          <t>1906-06-08</t>
        </is>
      </c>
      <c r="C336" s="12" t="inlineStr">
        <is>
          <t>1906-06-08</t>
        </is>
      </c>
      <c r="D336" s="12">
        <f>VALUE(LEFT(B336,4))</f>
        <v/>
      </c>
      <c r="E336" s="12">
        <f>INT((D336-1)/100)+1</f>
        <v/>
      </c>
      <c r="F336" s="12" t="inlineStr">
        <is>
          <t>Severe thunderstorm / windstorm</t>
        </is>
      </c>
      <c r="G336" s="12" t="inlineStr">
        <is>
          <t>June 8 1906 thunderstorm &amp; wind outbreak (Schenectady &amp; central NY)</t>
        </is>
      </c>
      <c r="H336" s="12" t="inlineStr">
        <is>
          <t>Schenectady (in-core); also Rochester/Avon/Canandaigua/Palmyra, Utica/Long Lake West (Adirondacks), Syracuse, Clark's Mills (out-of-core NY); Hamilton, Ontario (out-of-region)</t>
        </is>
      </c>
      <c r="I336" s="12" t="inlineStr">
        <is>
          <t>Wind damage at Schenectady; multiple lightning fatalities in central NY; 85 mph at Hamilton, Ont.</t>
        </is>
      </c>
      <c r="K336" s="12" t="inlineStr">
        <is>
          <t>A violent wind-and-electrical outbreak struck on Jun 8 1906. At Schenectady the storm wrecked a baseball grandstand (flying fragments wrecked house fronts), blew two Mohawk-river ice houses to pieces, damaged the Alpha knitting mill and a school, and injured several men - the YMCA president was blown down and hurt and two men were thrown from a scaffold at the locomotive works. Farther west it uprooted trees and blew out plate-glass at Avon, Canandaigua and Palmyra (a spectator hurt at a Palmyra ball ground) and killed a man struck by a train at Avon. Lightning killed a 14-year-old leading a horse into a barn at Clark's Mills (the horse also died) and two farm hands near Syracuse, started six fires at Syracuse, and destroyed a lightning-struck store and warehouse at Long Lake West in the Adirondacks (~$10,000, four freight cars burned ~$5,000). At Hamilton, Ontario the wind reached 85 mph and demolished buildings.</t>
        </is>
      </c>
      <c r="L336" s="12" t="inlineStr">
        <is>
          <t>The Argus (Albany), Jun 9 1906 ("Terrific Wind and Rain Swept Through Ontario" / "Violent Electric Storms in Western and Central New York") [uploaded PDF scan]</t>
        </is>
      </c>
      <c r="M336" s="12" t="inlineStr">
        <is>
          <t>(uploaded PDF scan)</t>
        </is>
      </c>
      <c r="N336" s="12" t="inlineStr">
        <is>
          <t>B</t>
        </is>
      </c>
      <c r="O336" s="12" t="inlineStr">
        <is>
          <t>Y</t>
        </is>
      </c>
      <c r="P336" s="12" t="inlineStr">
        <is>
          <t>2026-09-22: added per Laurie (PDF scan). In-core content = Schenectady wind damage (attributed by landmark: locomotive works, Mohawk-river ice houses, Alpha knitting mill, State St). Lightning fatalities are out-of-core central NY, recorded by age/mechanism/location/date without names (rule 3). The Ontario windstorm headline is out-of-region. EXISTENCE-GUARD at merge; if a Jun 1906 storm is already in the register, enrich rather than duplicate.</t>
        </is>
      </c>
      <c r="Q336" s="12" t="inlineStr">
        <is>
          <t>1906-06-08</t>
        </is>
      </c>
      <c r="R336" s="12">
        <f>VALUE(LEFT(Q336,4))</f>
        <v/>
      </c>
      <c r="S336" s="12">
        <f>VALUE(MID(Q336,6,2))</f>
        <v/>
      </c>
      <c r="T336" s="12">
        <f>VALUE(RIGHT(Q336,2))</f>
        <v/>
      </c>
      <c r="U336" s="12" t="inlineStr">
        <is>
          <t>day</t>
        </is>
      </c>
      <c r="V336" s="12" t="inlineStr">
        <is>
          <t>reports datelined Jun 8 (paper Jun 9 1906) -&gt; Jun 8 1906.</t>
        </is>
      </c>
    </row>
    <row r="337" ht="15" customHeight="1" s="13">
      <c r="A337" s="12" t="n">
        <v>341</v>
      </c>
      <c r="B337" s="12" t="inlineStr">
        <is>
          <t>1886-02-26</t>
        </is>
      </c>
      <c r="C337" s="12" t="inlineStr">
        <is>
          <t>1886-02-26</t>
        </is>
      </c>
      <c r="D337" s="12">
        <f>VALUE(LEFT(B337,4))</f>
        <v/>
      </c>
      <c r="E337" s="12">
        <f>INT((D337-1)/100)+1</f>
        <v/>
      </c>
      <c r="F337" s="12" t="inlineStr">
        <is>
          <t>Windstorm</t>
        </is>
      </c>
      <c r="G337" s="12" t="inlineStr">
        <is>
          <t>February 1886 windstorm (Port Jervis &amp; downstate)</t>
        </is>
      </c>
      <c r="H337" s="12" t="inlineStr">
        <is>
          <t>Port Jervis (Delaware/Catskills SW fringe, ~55 mi SW of Westerlo); also New York City and New England (out-of-core)</t>
        </is>
      </c>
      <c r="I337" s="12" t="inlineStr">
        <is>
          <t>84 mph max at New York City; Port Jervis church spire toppled ($10,000 organ ruined)</t>
        </is>
      </c>
      <c r="J337" s="12" t="inlineStr">
        <is>
          <t>New York City (US Signal Service)</t>
        </is>
      </c>
      <c r="K337" s="12" t="inlineStr">
        <is>
          <t>A terrific wind storm swept the region on Feb 26 1886, blowing ~53 mph through the night at New York (max 84 mph at 11 a.m., the highest since the NYC station opened), where a cornice fell from Wooster St. In the Catskills' SW fringe at Port Jervis the wind gale'd all day and about 5 p.m. lifted the tall spire of the Reformed church bodily off its brick foundation and crashed it into the church grounds, breaking in the roof and ruining a $10,000 organ. Boston had a blizzard (~20 in); the First Congregational church steeple at Westfield MA was turned over into the audience room; Mount Washington NH recorded 140 mph at -25F; and St. Mary's church roofs were blown off at Newark NJ.</t>
        </is>
      </c>
      <c r="L337" s="12" t="inlineStr">
        <is>
          <t>The Argus (Albany), Feb 27 1886 ("A Terrific Wind Storm") [uploaded PDF scan]</t>
        </is>
      </c>
      <c r="M337" s="12" t="inlineStr">
        <is>
          <t>(uploaded PDF scan)</t>
        </is>
      </c>
      <c r="N337" s="12" t="inlineStr">
        <is>
          <t>B</t>
        </is>
      </c>
      <c r="O337" s="12" t="inlineStr">
        <is>
          <t>Y</t>
        </is>
      </c>
      <c r="P337" s="12" t="inlineStr">
        <is>
          <t>2026-09-22: added per Laurie (PDF scan). In-region anchor = Port Jervis (Delaware/Catskills SW fringe, ~55 mi SW); NYC and New England effects are out-of-core context. EXISTENCE-GUARD at merge.</t>
        </is>
      </c>
      <c r="Q337" s="12" t="inlineStr">
        <is>
          <t>1886-02-26</t>
        </is>
      </c>
      <c r="R337" s="12">
        <f>VALUE(LEFT(Q337,4))</f>
        <v/>
      </c>
      <c r="S337" s="12">
        <f>VALUE(MID(Q337,6,2))</f>
        <v/>
      </c>
      <c r="T337" s="12">
        <f>VALUE(RIGHT(Q337,2))</f>
        <v/>
      </c>
      <c r="U337" s="12" t="inlineStr">
        <is>
          <t>day</t>
        </is>
      </c>
      <c r="V337" s="12" t="inlineStr">
        <is>
          <t>reports datelined Feb 26 ('since midnight', 'all day'; paper Sat Feb 27 1886) -&gt; Feb 26 1886.</t>
        </is>
      </c>
    </row>
    <row r="338" ht="15" customHeight="1" s="13">
      <c r="A338" s="12" t="n">
        <v>342</v>
      </c>
      <c r="B338" s="12" t="inlineStr">
        <is>
          <t>1888-01-25</t>
        </is>
      </c>
      <c r="C338" s="12" t="inlineStr">
        <is>
          <t>1888-01-26</t>
        </is>
      </c>
      <c r="D338" s="12">
        <f>VALUE(LEFT(B338,4))</f>
        <v/>
      </c>
      <c r="E338" s="12">
        <f>INT((D338-1)/100)+1</f>
        <v/>
      </c>
      <c r="F338" s="12" t="inlineStr">
        <is>
          <t>Blizzard</t>
        </is>
      </c>
      <c r="G338" s="12" t="inlineStr">
        <is>
          <t>January 1888 blizzard (Albany &amp; statewide)</t>
        </is>
      </c>
      <c r="H338" s="12" t="inlineStr">
        <is>
          <t>Albany and across New York State and much of New England</t>
        </is>
      </c>
      <c r="I338" s="12" t="inlineStr">
        <is>
          <t>~1 ft snow overnight + a ~40-45 mph gale; all traffic suspended</t>
        </is>
      </c>
      <c r="J338" s="12" t="inlineStr">
        <is>
          <t>Albany (US Signal Service)</t>
        </is>
      </c>
      <c r="K338" s="12" t="inlineStr">
        <is>
          <t>'A veritable blizzard' - the severest storm in Albany in many years - began Wednesday night Jan 25 1888 with about a foot of light snow, which a strong west wind whipped into impassable drifts by Jan 26; the wind rose to a ~40-45 mph gale by nightfall. The storm covered all of New York State and most of New England. Snow plows and gangs of men were of no avail; the Albany Railway's cars were blocked (running only to Quail St, with 10-ft drifts toward West Troy), country roads were impassable, and railway traffic on the D&amp;H, Central-Hudson, Boston &amp; Albany and West Shore was suspended, with trains 3 to 10+ hours late. In New Jersey the Bergen-hill cut filled with 30 ft of snow. No casualties were reported.</t>
        </is>
      </c>
      <c r="L338" s="12" t="inlineStr">
        <is>
          <t>The Argus (Albany), Jan 27 1888 ("A Veritable Blizzard - Albany Visited by the Severest Storm in Many Years") [uploaded PDF scan]</t>
        </is>
      </c>
      <c r="M338" s="12" t="inlineStr">
        <is>
          <t>(uploaded PDF scan)</t>
        </is>
      </c>
      <c r="N338" s="12" t="inlineStr">
        <is>
          <t>B</t>
        </is>
      </c>
      <c r="O338" s="12" t="inlineStr">
        <is>
          <t>Y</t>
        </is>
      </c>
      <c r="P338" s="12" t="inlineStr">
        <is>
          <t>2026-09-22: added per Laurie (PDF scan). In-core blizzard, distinct from the Mar 11-14 1888 'Blizzard of 88' (Event 343). EXISTENCE-GUARD at merge.</t>
        </is>
      </c>
      <c r="Q338" s="12" t="inlineStr">
        <is>
          <t>1888-01-26</t>
        </is>
      </c>
      <c r="R338" s="12">
        <f>VALUE(LEFT(Q338,4))</f>
        <v/>
      </c>
      <c r="S338" s="12">
        <f>VALUE(MID(Q338,6,2))</f>
        <v/>
      </c>
      <c r="T338" s="12">
        <f>VALUE(RIGHT(Q338,2))</f>
        <v/>
      </c>
      <c r="U338" s="12" t="inlineStr">
        <is>
          <t>days</t>
        </is>
      </c>
      <c r="V338" s="12" t="inlineStr">
        <is>
          <t>'On Wednesday night ... began' (Wed = Jan 25); 'in the morning a strong west wind started it drifting' (Jan 26); paper Fri Jan 27 1888. Anchored to Jan 26 peak.</t>
        </is>
      </c>
    </row>
    <row r="339" ht="15" customHeight="1" s="13">
      <c r="A339" s="12" t="n">
        <v>344</v>
      </c>
      <c r="B339" s="12" t="inlineStr">
        <is>
          <t>1888-07-05</t>
        </is>
      </c>
      <c r="C339" s="12" t="inlineStr">
        <is>
          <t>1888-07-05</t>
        </is>
      </c>
      <c r="D339" s="12">
        <f>VALUE(LEFT(B339,4))</f>
        <v/>
      </c>
      <c r="E339" s="12">
        <f>INT((D339-1)/100)+1</f>
        <v/>
      </c>
      <c r="F339" s="12" t="inlineStr">
        <is>
          <t>Severe thunderstorm / squall</t>
        </is>
      </c>
      <c r="G339" s="12" t="inlineStr">
        <is>
          <t>July 5 1888 thunderstorm &amp; hail squall (Albany)</t>
        </is>
      </c>
      <c r="H339" s="12" t="inlineStr">
        <is>
          <t>Albany (in-core)</t>
        </is>
      </c>
      <c r="I339" s="12" t="inlineStr">
        <is>
          <t>~45 mph wind; 3/4-inch hail; 1 inch of rain in ~15 minutes</t>
        </is>
      </c>
      <c r="J339" s="12" t="inlineStr">
        <is>
          <t>Albany (US Signal Service)</t>
        </is>
      </c>
      <c r="K339" s="12" t="inlineStr">
        <is>
          <t>A brief but violent rain, hail and wind squall struck Albany about 2:30 p.m. on Jul 5 1888, lasting only ~15 minutes but dropping an inch of rain and 3/4-inch hail with winds near 45 mph. About 50 ft of the high board fence near the Capitol was blown down; trees and limbs came down (blocking Orange &amp; Pearl Sts); the tin roof was torn off McCoy's foundry at 100 Montgomery St; the circus tent at Hudson Ave &amp; Swan St was nearly blown down amid a near-panic; and along the river the Mohican canoe-club house was torn from its moorings and carried 300-400 ft, two skiffs sank, and a small yachting party was capsized (all ducked, no drownings). Forty Western Union wires were prostrated.</t>
        </is>
      </c>
      <c r="L339" s="12" t="inlineStr">
        <is>
          <t>The Argus (Albany), Jul 6 1888 ("A Lively Summer Storm - It Lasted Only Fifteen Minutes, But Made Things Hum") [uploaded PDF scan] ; The Argus (Albany), Jul 6 1888, 'A Lively Summer Storm' (scan)</t>
        </is>
      </c>
      <c r="M339" s="12" t="inlineStr">
        <is>
          <t>(uploaded PDF scan)</t>
        </is>
      </c>
      <c r="N339" s="12" t="inlineStr">
        <is>
          <t>B</t>
        </is>
      </c>
      <c r="O339" s="12" t="inlineStr">
        <is>
          <t>Y</t>
        </is>
      </c>
      <c r="P339" s="12" t="inlineStr">
        <is>
          <t>2026-09-22: added per Laurie (PDF scan). In-core discrete convective event (hail + wind + 1-in rain). EXISTENCE-GUARD at merge. 2026-09-23 (v851, atlas session): ENRICHED — ~2:30 p.m., &lt;15 min, wind 45 mph, hail to ¾ in, 1 in rain, mercury fell 24° in 3 min; 50 ft of the Capitol fence down, Mohican canoe club house torn from its moorings and carried 300–400 ft down the basin, yacht capsized off the ballgrounds (all rescued), Western Union 40 wires down, City Hall roof tiles shed. Same day: an 83-yr-old florist at the Rural Cemetery nursery died of the heat.</t>
        </is>
      </c>
      <c r="Q339" s="12" t="inlineStr">
        <is>
          <t>1888-07-05</t>
        </is>
      </c>
      <c r="R339" s="12">
        <f>VALUE(LEFT(Q339,4))</f>
        <v/>
      </c>
      <c r="S339" s="12">
        <f>VALUE(MID(Q339,6,2))</f>
        <v/>
      </c>
      <c r="T339" s="12">
        <f>VALUE(RIGHT(Q339,2))</f>
        <v/>
      </c>
      <c r="U339" s="12" t="inlineStr">
        <is>
          <t>day</t>
        </is>
      </c>
      <c r="V339" s="12" t="inlineStr">
        <is>
          <t>'Yesterday afternoon about 2:30 o'clock' (paper Fri Jul 6 1888) -&gt; Jul 5 1888.</t>
        </is>
      </c>
    </row>
    <row r="340" ht="15" customHeight="1" s="13">
      <c r="A340" s="12" t="n">
        <v>345</v>
      </c>
      <c r="B340" s="12" t="inlineStr">
        <is>
          <t>1888-11-25</t>
        </is>
      </c>
      <c r="C340" s="12" t="inlineStr">
        <is>
          <t>1888-11-26</t>
        </is>
      </c>
      <c r="D340" s="12">
        <f>VALUE(LEFT(B340,4))</f>
        <v/>
      </c>
      <c r="E340" s="12">
        <f>INT((D340-1)/100)+1</f>
        <v/>
      </c>
      <c r="F340" s="12" t="inlineStr">
        <is>
          <t>Snowstorm / gale (+ ice jam)</t>
        </is>
      </c>
      <c r="G340" s="12" t="inlineStr">
        <is>
          <t>November 1888 snowstorm &amp; gale (Albany; Champlain-canal ice jam at Waterford)</t>
        </is>
      </c>
      <c r="H340" s="12" t="inlineStr">
        <is>
          <t>Albany (~6-7 in snow + gale) and Waterford (Champlain-canal ice jam) - in-core</t>
        </is>
      </c>
      <c r="I340" s="12" t="inlineStr">
        <is>
          <t>~6-7 in snow + gale at Albany; ~150 canal boats ice-jammed at Waterford</t>
        </is>
      </c>
      <c r="J340" s="12" t="inlineStr">
        <is>
          <t>—</t>
        </is>
      </c>
      <c r="K340" s="12" t="inlineStr">
        <is>
          <t>The season's first snowstorm reached Albany on Nov 25 1888, dropping ~6-7 in with a gale (hail made the horse-railway's footing hard, though the cars kept running with extra horses) and lasting about twelve hours. Ice in the Champlain canal jammed ~150 canal boats at Waterford - laden with apples and potatoes - that could not reach tidewater before the close of navigation.</t>
        </is>
      </c>
      <c r="L340" s="12" t="inlineStr">
        <is>
          <t>The Argus (Albany), Nov 26 1888 ("Old Boreas' Inaugural") [uploaded PDF scan]</t>
        </is>
      </c>
      <c r="M340" s="12" t="inlineStr">
        <is>
          <t>(uploaded PDF scan)</t>
        </is>
      </c>
      <c r="N340" s="12" t="inlineStr">
        <is>
          <t>B</t>
        </is>
      </c>
      <c r="O340" s="12" t="inlineStr">
        <is>
          <t>Y</t>
        </is>
      </c>
      <c r="P340" s="12" t="inlineStr">
        <is>
          <t>2026-09-22: added per Laurie (PDF scan), then TRIMMED per Laurie's 2026-09-22 note: the out-of-core New England-shipwreck and lower-Hudson/Yonkers material (from the companion Nov 27 1888 scan) was an erroneous grab and has been removed - this row now holds only the in-core content (Albany's ~6-7 in first snow + gale, and the Champlain-canal ice jam at Waterford). PENDING LAURIE: this in-core remnant is thin - keep Event 345 or drop it too? EXISTENCE-GUARD at merge.</t>
        </is>
      </c>
      <c r="Q340" s="12" t="inlineStr">
        <is>
          <t>1888-11-25</t>
        </is>
      </c>
      <c r="R340" s="12">
        <f>VALUE(LEFT(Q340,4))</f>
        <v/>
      </c>
      <c r="S340" s="12">
        <f>VALUE(MID(Q340,6,2))</f>
        <v/>
      </c>
      <c r="T340" s="12">
        <f>VALUE(RIGHT(Q340,2))</f>
        <v/>
      </c>
      <c r="U340" s="12" t="inlineStr">
        <is>
          <t>day</t>
        </is>
      </c>
      <c r="V340" s="12" t="inlineStr">
        <is>
          <t>Snow began ~11 a.m. 'yesterday' relative to the Nov 26 1888 paper -&gt; Nov 25 1888 (companion coastal reports Nov 25-26).</t>
        </is>
      </c>
    </row>
    <row r="341" ht="15" customHeight="1" s="13">
      <c r="A341" s="12" t="n">
        <v>346</v>
      </c>
      <c r="B341" s="12" t="inlineStr">
        <is>
          <t>1913-01-03</t>
        </is>
      </c>
      <c r="C341" s="12" t="inlineStr">
        <is>
          <t>1913-01-04</t>
        </is>
      </c>
      <c r="D341" s="12">
        <f>VALUE(LEFT(B341,4))</f>
        <v/>
      </c>
      <c r="E341" s="12">
        <f>INT((D341-1)/100)+1</f>
        <v/>
      </c>
      <c r="F341" s="12" t="inlineStr">
        <is>
          <t>Windstorm / gale</t>
        </is>
      </c>
      <c r="G341" s="12" t="inlineStr">
        <is>
          <t>January 1913 gale (Hudson Valley / Poughkeepsie)</t>
        </is>
      </c>
      <c r="H341" s="12" t="inlineStr">
        <is>
          <t>Hudson Valley - Poughkeepsie and the mid-Hudson (in-region); also Rochester (out-of-core)</t>
        </is>
      </c>
      <c r="I341" s="12" t="inlineStr">
        <is>
          <t>Hudson-valley poles/wires down; a Poughkeepsie-bridge freight-car roof wrecked two houses; barometer 28.48 in at Rochester</t>
        </is>
      </c>
      <c r="J341" s="12" t="inlineStr">
        <is>
          <t>Rochester</t>
        </is>
      </c>
      <c r="K341" s="12" t="inlineStr">
        <is>
          <t>A gale swept the Hudson Valley on Jan 3-4 1913, tearing down poles and telegraph wires and unroofing many buildings; a freight-car roof was blown off atop the Poughkeepsie railroad bridge, split, and wrecked two houses ~175 ft below (no one hurt), while the rising Hudson undermined 150 ft of the New York Central's east-bound roadbed between Garrison's and Cold Spring. At Rochester the barometer fell to a record-low 28.48 in with 1.63 in of precipitation, a wind-driven live wire killed a pedestrian, trolley service was demoralized, and several hundred passengers were stalled on the Erie near Mount Morris. Six were reported drowned in oyster boats off Wilmington DE.</t>
        </is>
      </c>
      <c r="L341" s="12" t="inlineStr">
        <is>
          <t>The Argus (Albany), Jan 4 1913 ("Atlantic Coast Swept by Gales") [uploaded PDF scan]</t>
        </is>
      </c>
      <c r="M341" s="12" t="inlineStr">
        <is>
          <t>(uploaded PDF scan)</t>
        </is>
      </c>
      <c r="N341" s="12" t="inlineStr">
        <is>
          <t>B</t>
        </is>
      </c>
      <c r="O341" s="12" t="inlineStr">
        <is>
          <t>Y</t>
        </is>
      </c>
      <c r="P341" s="12" t="inlineStr">
        <is>
          <t>2026-09-22: added per Laurie (PDF scan). In-region anchor = Hudson Valley/Poughkeepsie; Rochester is out-of-core. EXISTENCE-GUARD at merge.</t>
        </is>
      </c>
      <c r="Q341" s="12" t="inlineStr">
        <is>
          <t>1913-01-03</t>
        </is>
      </c>
      <c r="R341" s="12">
        <f>VALUE(LEFT(Q341,4))</f>
        <v/>
      </c>
      <c r="S341" s="12">
        <f>VALUE(MID(Q341,6,2))</f>
        <v/>
      </c>
      <c r="T341" s="12">
        <f>VALUE(RIGHT(Q341,2))</f>
        <v/>
      </c>
      <c r="U341" s="12" t="inlineStr">
        <is>
          <t>days</t>
        </is>
      </c>
      <c r="V341" s="12" t="inlineStr">
        <is>
          <t>reports datelined Jan 3 (paper Sat Jan 4 1913); the gale ran Jan 3-4. Anchored to Jan 3.</t>
        </is>
      </c>
    </row>
    <row r="342" ht="15" customHeight="1" s="13">
      <c r="A342" s="12" t="n">
        <v>349</v>
      </c>
      <c r="B342" s="12" t="inlineStr">
        <is>
          <t>1893-05-03</t>
        </is>
      </c>
      <c r="C342" s="12" t="inlineStr">
        <is>
          <t>1893-05-04</t>
        </is>
      </c>
      <c r="D342" s="12">
        <f>VALUE(LEFT(B342,4))</f>
        <v/>
      </c>
      <c r="E342" s="12">
        <f>INT((D342-1)/100)+1</f>
        <v/>
      </c>
      <c r="F342" s="12" t="inlineStr">
        <is>
          <t>Flood (freshet) + landslides</t>
        </is>
      </c>
      <c r="G342" s="12" t="inlineStr">
        <is>
          <t>May 1893 Hudson freshet &amp; flood (Albany; landslides &amp; South Bethlehem bridge washout)</t>
        </is>
      </c>
      <c r="H342" s="12" t="inlineStr">
        <is>
          <t>Albany, West Troy, Coeymans (in-core); Mohawk valley (Fort Plain, Amsterdam); South Bethlehem</t>
        </is>
      </c>
      <c r="I342" s="12" t="inlineStr">
        <is>
          <t>Hudson ~8 ft above low water; rose ~5 in/hr (once 5.5); 2.14 in rain overnight (more than all of April)</t>
        </is>
      </c>
      <c r="J342" s="12" t="inlineStr">
        <is>
          <t>Albany</t>
        </is>
      </c>
      <c r="K342" s="12" t="inlineStr">
        <is>
          <t>Heavy rain (2.14 in the night of May 3 1893, more than all of April) plus melting North-Woods snow drove the Hudson ~8 ft above low water by the morning of May 4, rising as fast as 5-5.5 in an hour and flooding docks, the lower streets and cellars at Albany; a choked Seymour-Ave sewer flooded First Ave and South Pearl St (suits threatened against the city) and the D&amp;H's Quay-St tracks lay under ~2.5 ft of water. Two landslides hit the rail lines - a big slide covered the four Central-Hudson tracks at the Black Rock cut (cleared in ~1.5 hr) and the belt-line tracks were buried at the Troy Iron Works - and a West Shore slide near Amsterdam delayed trains. At the West Troy canal entrance ~150 canal boats were endangered; ~50 broke loose, three struck the bridge and one (coal-laden) sank at Breaker Island, and the ferry L.E. Grifith sank. The Mohawk ran bank-high with lowlands submerged and Schoharie Creek very high; the West Shore's iron bridge over the creek at South Bethlehem was carried away (trains rerouted between Coeymans Junction and Voorheesville). Coeymans' brickyards were flooded.</t>
        </is>
      </c>
      <c r="L342" s="12" t="inlineStr">
        <is>
          <t>The Argus (Albany), May 5 1893 ("Swept Down by a Flood - A Whole Fleet of Canal Boats Torn Loose by the Freshet") [uploaded PDF scan]</t>
        </is>
      </c>
      <c r="M342" s="12" t="inlineStr">
        <is>
          <t>(uploaded PDF scan)</t>
        </is>
      </c>
      <c r="N342" s="12" t="inlineStr">
        <is>
          <t>B</t>
        </is>
      </c>
      <c r="O342" s="12" t="inlineStr">
        <is>
          <t>Y</t>
        </is>
      </c>
      <c r="P342" s="12" t="inlineStr">
        <is>
          <t>2026-09-22: added per Laurie (PDF scan). In-core spring freshet/flood with several discrete geohazard loci - candidate Geology pins (coords NEEDED, not guessed): the Black Rock cut landslide, the Troy Iron Works belt-line slide, the West Shore slide near Amsterdam, and the South Bethlehem West Shore bridge washout. Distinct from the Apr 1895 freshet (Event 350). EXISTENCE-GUARD at merge.</t>
        </is>
      </c>
      <c r="Q342" s="12" t="inlineStr">
        <is>
          <t>1893-05-04</t>
        </is>
      </c>
      <c r="R342" s="12">
        <f>VALUE(LEFT(Q342,4))</f>
        <v/>
      </c>
      <c r="S342" s="12">
        <f>VALUE(MID(Q342,6,2))</f>
        <v/>
      </c>
      <c r="T342" s="12">
        <f>VALUE(RIGHT(Q342,2))</f>
        <v/>
      </c>
      <c r="U342" s="12" t="inlineStr">
        <is>
          <t>days</t>
        </is>
      </c>
      <c r="V342" s="12" t="inlineStr">
        <is>
          <t>Rise began ~6 p.m. Wed May 3; the 12-hour extreme-weather day was Thu May 4 (paper Fri May 5 1893). Anchored to May 4.</t>
        </is>
      </c>
    </row>
    <row r="343" ht="15" customHeight="1" s="13">
      <c r="A343" s="12" t="n">
        <v>350</v>
      </c>
      <c r="B343" s="12" t="inlineStr">
        <is>
          <t>1895-04-08</t>
        </is>
      </c>
      <c r="C343" s="12" t="inlineStr">
        <is>
          <t>1895-04-09</t>
        </is>
      </c>
      <c r="D343" s="12">
        <f>VALUE(LEFT(B343,4))</f>
        <v/>
      </c>
      <c r="E343" s="12">
        <f>INT((D343-1)/100)+1</f>
        <v/>
      </c>
      <c r="F343" s="12" t="inlineStr">
        <is>
          <t>Flood (freshet)</t>
        </is>
      </c>
      <c r="G343" s="12" t="inlineStr">
        <is>
          <t>April 1895 Hudson freshet &amp; flood (Albany; Kingston/Rondout; Mt McGregor)</t>
        </is>
      </c>
      <c r="H343" s="12" t="inlineStr">
        <is>
          <t>Albany (in-core); Kingston / Rondout valley - Eddyville, Rosendale, High Falls, Alligerville (Catskills); Highland Falls; Mt McGregor / Saratoga area; a landslide near Rensselaer</t>
        </is>
      </c>
      <c r="I343" s="12" t="inlineStr">
        <is>
          <t>~12-ft freshet at Albany; basin rose ~3 in/hr; Rondout Creek higher than in 17 years</t>
        </is>
      </c>
      <c r="J343" s="12" t="inlineStr">
        <is>
          <t>Albany</t>
        </is>
      </c>
      <c r="K343" s="12" t="inlineStr">
        <is>
          <t>Four days of heavy rain and a sudden warm spell (90F on Apr 9 1895) produced a ~12-ft freshet at Albany, the basin rising ~3 in an hour; the Hudson topped the docks and flooded the low east-side lands, Quay St, and State St and Maiden Lane, backing into stores and cellars. A landslide near Rensselaer and washouts delayed D&amp;H trains (the Saratoga special ran 2+ hr late); ~65 ft of trestle and a bridge were washed out on the Mt McGregor road near Doe's Corners; and at Highland Falls swollen streams washed out a road and derailed a train. The worst was in the Catskills' Rondout valley: at Kingston the Rondout Creek rose higher than in 17 years, merged with the D&amp;H canal for 25 miles (a half-mile wide in places), carried away outbuildings, broke the mains, and flooded lowlands for 5 miles, driving people to upper stories at Eddyville, Rosendale, High Falls and Alligerville.</t>
        </is>
      </c>
      <c r="L343" s="12" t="inlineStr">
        <is>
          <t>The Argus (Albany), Apr 10 1895 ("Twelve Foot Freshet - River Raised at the Basin of Three Inches an Hour") [uploaded PDF scan]</t>
        </is>
      </c>
      <c r="M343" s="12" t="inlineStr">
        <is>
          <t>(uploaded PDF scan)</t>
        </is>
      </c>
      <c r="N343" s="12" t="inlineStr">
        <is>
          <t>B</t>
        </is>
      </c>
      <c r="O343" s="12" t="inlineStr">
        <is>
          <t>Y</t>
        </is>
      </c>
      <c r="P343" s="12" t="inlineStr">
        <is>
          <t>2026-09-22: added per Laurie (PDF scan). In-core spring freshet/flood; the Kingston/Rondout content is core Catskills. Discrete geohazard loci as candidate Geology pins (coords NEEDED): the landslide near Rensselaer and the Mt McGregor trestle/bridge washout near Doe's Corners. Distinct from the May 1893 freshet (Event 349). EXISTENCE-GUARD at merge.</t>
        </is>
      </c>
      <c r="Q343" s="12" t="inlineStr">
        <is>
          <t>1895-04-09</t>
        </is>
      </c>
      <c r="R343" s="12">
        <f>VALUE(LEFT(Q343,4))</f>
        <v/>
      </c>
      <c r="S343" s="12">
        <f>VALUE(MID(Q343,6,2))</f>
        <v/>
      </c>
      <c r="T343" s="12">
        <f>VALUE(RIGHT(Q343,2))</f>
        <v/>
      </c>
      <c r="U343" s="12" t="inlineStr">
        <is>
          <t>days</t>
        </is>
      </c>
      <c r="V343" s="12" t="inlineStr">
        <is>
          <t>Four days of rain cresting; warm day (90F) Apr 9 ('yesterday' rel. to paper Wed Apr 10 1895); 'still rising at midnight'. Anchored to Apr 9.</t>
        </is>
      </c>
    </row>
    <row r="344" ht="15" customHeight="1" s="13">
      <c r="A344" s="12" t="n">
        <v>351</v>
      </c>
      <c r="B344" s="12" t="inlineStr">
        <is>
          <t>1919-06-01</t>
        </is>
      </c>
      <c r="C344" s="12" t="inlineStr">
        <is>
          <t>1919-07-11</t>
        </is>
      </c>
      <c r="D344" s="12">
        <f>VALUE(LEFT(B344,4))</f>
        <v/>
      </c>
      <c r="E344" s="12">
        <f>INT((D344-1)/100)+1</f>
        <v/>
      </c>
      <c r="F344" s="12" t="inlineStr">
        <is>
          <t>Landslide / washout (rain-induced)</t>
        </is>
      </c>
      <c r="G344" s="12" t="inlineStr">
        <is>
          <t>1919 Magnolia Terrace landslide (Albany / Delaware Ave, Normanskill-area clay slope)</t>
        </is>
      </c>
      <c r="H344" s="12" t="inlineStr">
        <is>
          <t>Magnolia Terrace, off Delaware Avenue, Albany (Normanskill-area clay slope) - in-core</t>
        </is>
      </c>
      <c r="I344" s="12" t="inlineStr">
        <is>
          <t>Rain-induced slope failure; several yards of sidewalk and asphalt lost; a manhole and part of a sewer buried</t>
        </is>
      </c>
      <c r="K344" s="12" t="inlineStr">
        <is>
          <t>A rain-induced landslide on the lower end of Magnolia Terrace, off Delaware Avenue in Albany, took out several yards of sidewalk and asphalt pavement and buried a manhole and part of the adjoining sewer; workmen completed the repair (a stone-and-brick retaining wall and a wooden sluice to carry surplus water) the week of Jul 11 1919, some weeks after the slide. The Delaware-Avenue / Normanskill corridor is the same clay-slope setting as the register's other Normanskill-area slides.</t>
        </is>
      </c>
      <c r="L344" s="12" t="inlineStr">
        <is>
          <t>The Argus (Albany), Jul 11 1919 ("Repair Street After Washout - Workmen Remedy Defects in Magnolia Terrace Caused by Rain") [uploaded PDF scan]</t>
        </is>
      </c>
      <c r="M344" s="12" t="inlineStr">
        <is>
          <t>(uploaded PDF scan)</t>
        </is>
      </c>
      <c r="N344" s="12" t="inlineStr">
        <is>
          <t>B</t>
        </is>
      </c>
      <c r="O344" s="12" t="inlineStr">
        <is>
          <t>Y</t>
        </is>
      </c>
      <c r="P344" s="12" t="inlineStr">
        <is>
          <t>2026-09-22: added per Laurie (PDF scan). In-core rain-induced clay-slope failure. STRONG candidate Geology pin (Magnolia Terrace, off Delaware Ave, Albany - geocodable; coords NOT guessed here) and an enrichment of the Normanskill-area landslide cluster. The exact slide date is 'some weeks' before the Jul 11 1919 repair report - anchored approximately to Jun 1919. EXISTENCE-GUARD at merge.</t>
        </is>
      </c>
      <c r="Q344" s="12" t="inlineStr">
        <is>
          <t>1919-06-01</t>
        </is>
      </c>
      <c r="R344" s="12">
        <f>VALUE(LEFT(Q344,4))</f>
        <v/>
      </c>
      <c r="S344" s="12">
        <f>VALUE(MID(Q344,6,2))</f>
        <v/>
      </c>
      <c r="T344" s="12">
        <f>VALUE(RIGHT(Q344,2))</f>
        <v/>
      </c>
      <c r="U344" s="12" t="inlineStr">
        <is>
          <t>month (approx)</t>
        </is>
      </c>
      <c r="V344" s="12" t="inlineStr">
        <is>
          <t>Repair 'completed this week' (paper Jul 11 1919); slide occurred 'some weeks ago' - anchored approximately to Jun 1919.</t>
        </is>
      </c>
    </row>
    <row r="345" ht="15" customHeight="1" s="13">
      <c r="A345" s="12" t="n">
        <v>352</v>
      </c>
      <c r="B345" s="12" t="inlineStr">
        <is>
          <t>1902-07-24</t>
        </is>
      </c>
      <c r="C345" s="12" t="inlineStr">
        <is>
          <t>1902-07-24</t>
        </is>
      </c>
      <c r="D345" s="12">
        <f>VALUE(LEFT(B345,4))</f>
        <v/>
      </c>
      <c r="E345" s="12">
        <f>INT((D345-1)/100)+1</f>
        <v/>
      </c>
      <c r="F345" s="12" t="inlineStr">
        <is>
          <t>Landslide / washout (rain-induced)</t>
        </is>
      </c>
      <c r="G345" s="12" t="inlineStr">
        <is>
          <t>July 1902 wet-weather landslides &amp; washouts (Rensselaer area; Chatham Centre)</t>
        </is>
      </c>
      <c r="H345" s="12" t="inlineStr">
        <is>
          <t>Rensselaer and Columbia Co. - a railroad landslide near Rensselaer; a landslide reported at Chatham Centre - in-region</t>
        </is>
      </c>
      <c r="I345" s="12" t="inlineStr">
        <is>
          <t>Rain-induced railroad landslide + washouts; trains 1-2+ hr late</t>
        </is>
      </c>
      <c r="K345" s="12" t="inlineStr">
        <is>
          <t>After a spell of 'long-continued cold and wet weather,' a railroad landslide and washouts near Rensselaer delayed trains (a train ~1 hr late; the Saratoga special on the Hudson River road 2+ hr late) around Jul 24 1902, and a landslide was reported at Chatham Centre (Columbia Co.). Detail in the scan is limited.</t>
        </is>
      </c>
      <c r="L345" s="12" t="inlineStr">
        <is>
          <t>The Argus (Albany), Jul 25 1902 (Rensselaer column: "Landslide Reported at Chatham Centre") [uploaded PDF scan]</t>
        </is>
      </c>
      <c r="M345" s="12" t="inlineStr">
        <is>
          <t>(uploaded PDF scan)</t>
        </is>
      </c>
      <c r="N345" s="12" t="inlineStr">
        <is>
          <t>C</t>
        </is>
      </c>
      <c r="O345" s="12" t="inlineStr">
        <is>
          <t>Y</t>
        </is>
      </c>
      <c r="P345" s="12" t="inlineStr">
        <is>
          <t>2026-09-22: added per Laurie (PDF scan). In-region rain-induced railroad landslide/washouts. THIN DETAIL (Confidence C): the scan names a 'Landslide Reported at Chatham Centre' in the column header and a railroad slide/washouts near Rensselaer, with little elaboration. FOLLOW-UP: pull the fuller Jul 25 1902 Argus (or the Chatham Courier) for the Chatham Centre detail (logged in RESEARCH_LEADS). Candidate Geology pins (coords NEEDED): Chatham Centre; the railroad slide near Rensselaer. EXISTENCE-GUARD at merge.</t>
        </is>
      </c>
      <c r="Q345" s="12" t="inlineStr">
        <is>
          <t>1902-07-24</t>
        </is>
      </c>
      <c r="R345" s="12">
        <f>VALUE(LEFT(Q345,4))</f>
        <v/>
      </c>
      <c r="S345" s="12">
        <f>VALUE(MID(Q345,6,2))</f>
        <v/>
      </c>
      <c r="T345" s="12">
        <f>VALUE(RIGHT(Q345,2))</f>
        <v/>
      </c>
      <c r="U345" s="12" t="inlineStr">
        <is>
          <t>day</t>
        </is>
      </c>
      <c r="V345" s="12" t="inlineStr">
        <is>
          <t>'last evening' rel. to the Jul 25 1902 paper -&gt; Jul 24 1902.</t>
        </is>
      </c>
    </row>
    <row r="346" ht="15" customHeight="1" s="13">
      <c r="A346" s="12" t="n">
        <v>353</v>
      </c>
      <c r="B346" s="12" t="inlineStr">
        <is>
          <t>1839-01-26</t>
        </is>
      </c>
      <c r="C346" s="12" t="inlineStr">
        <is>
          <t>1839-01-26</t>
        </is>
      </c>
      <c r="D346" s="12">
        <f>VALUE(LEFT(B346,4))</f>
        <v/>
      </c>
      <c r="E346" s="12">
        <f>INT((D346-1)/100)+1</f>
        <v/>
      </c>
      <c r="F346" s="12" t="inlineStr">
        <is>
          <t>Flood (ice-jam / freshet)</t>
        </is>
      </c>
      <c r="G346" s="12" t="inlineStr">
        <is>
          <t>1839 Albany freshet (historic - from 1900 retrospective)</t>
        </is>
      </c>
      <c r="H346" s="12" t="inlineStr">
        <is>
          <t>Albany (Hudson waterfront)</t>
        </is>
      </c>
      <c r="I346" s="12" t="inlineStr">
        <is>
          <t>Water rose to an unusual height; a soup house opened at City Hall for the displaced</t>
        </is>
      </c>
      <c r="K346" s="12" t="inlineStr">
        <is>
          <t>An Albany freshet remembered as occurring 'on the day when the venerable General Stephen Van Rensselaer died' (Jan 26 1839): the Hudson rose to an unusual height and drove so many people from their homes that a soup house was opened at the City Hall for their relief.</t>
        </is>
      </c>
      <c r="L346" s="12" t="inlineStr">
        <is>
          <t>The Argus (Albany), Dec 31 1900 ("The Christmas Argus" - retrospective feature on Albany ice gorges and freshets) [uploaded PDF scan]</t>
        </is>
      </c>
      <c r="M346" s="12" t="inlineStr">
        <is>
          <t>(uploaded PDF scan)</t>
        </is>
      </c>
      <c r="N346" s="12" t="inlineStr">
        <is>
          <t>C</t>
        </is>
      </c>
      <c r="O346" s="12" t="inlineStr">
        <is>
          <t>Y</t>
        </is>
      </c>
      <c r="P346" s="12" t="inlineStr">
        <is>
          <t>2026-09-22: added per Laurie (PDF scan). Confidence C - drawn from a 1900 RETROSPECTIVE feature, not a contemporaneous report; confirm from an 1839 primary source at merge. Anchor date is Stephen Van Rensselaer III's death (Jan 26 1839), to which the retrospective ties the flood - not a date stated in the scan; a late-January freshet implies an ice-jam / midwinter-thaw event. EXISTENCE-GUARD at merge. DISCREPANCY (2026-09-22): a separate 1913 Argus centennial retrospective instead records the notable 1839 Albany event as the STATE STREET bridge giving way on Sep 4 1839 with 21 persons drowned (a structural collapse - reviewed, NOT staged) and does not mention a January 1839 freshet. When checking primary 1839 sources, confirm whether this Jan-1839 freshet is real and distinct from that Sep-1839 bridge collapse, or a conflation.</t>
        </is>
      </c>
      <c r="Q346" s="12" t="inlineStr">
        <is>
          <t>1839-01-26</t>
        </is>
      </c>
      <c r="R346" s="12">
        <f>VALUE(LEFT(Q346,4))</f>
        <v/>
      </c>
      <c r="S346" s="12">
        <f>VALUE(MID(Q346,6,2))</f>
        <v/>
      </c>
      <c r="T346" s="12">
        <f>VALUE(RIGHT(Q346,2))</f>
        <v/>
      </c>
      <c r="U346" s="12" t="inlineStr">
        <is>
          <t>day (approx)</t>
        </is>
      </c>
      <c r="V346" s="12" t="inlineStr">
        <is>
          <t>Retrospective ties the freshet to the day Gen. Stephen Van Rensselaer died (Jan 26 1839, external fact); exact date not stated in scan.</t>
        </is>
      </c>
    </row>
    <row r="347" ht="15" customHeight="1" s="13">
      <c r="A347" s="12" t="n">
        <v>355</v>
      </c>
      <c r="B347" s="12" t="inlineStr">
        <is>
          <t>1869-01-01</t>
        </is>
      </c>
      <c r="C347" s="12" t="inlineStr">
        <is>
          <t>1869-01-31</t>
        </is>
      </c>
      <c r="D347" s="12">
        <f>VALUE(LEFT(B347,4))</f>
        <v/>
      </c>
      <c r="E347" s="12">
        <f>INT((D347-1)/100)+1</f>
        <v/>
      </c>
      <c r="F347" s="12" t="inlineStr">
        <is>
          <t>Flood (ice-jam)</t>
        </is>
      </c>
      <c r="G347" s="12" t="inlineStr">
        <is>
          <t>January 1869 Albany ice-jam flood (historic - from 1900 retrospective)</t>
        </is>
      </c>
      <c r="H347" s="12" t="inlineStr">
        <is>
          <t>Albany (waterfront / grain elevators)</t>
        </is>
      </c>
      <c r="I347" s="12" t="inlineStr">
        <is>
          <t>Ice dam at the Albany bridge; grain elevators flooded, ~$500,000 loss</t>
        </is>
      </c>
      <c r="K347" s="12" t="inlineStr">
        <is>
          <t>In January 1869 the ice gave way in the upper Hudson and Mohawk and jammed into a dam at the Albany bridge, backing the water into the grain elevators along the banks to the amount of about half a million dollars - one of the costliest of the historic Albany ice-gorge floods.</t>
        </is>
      </c>
      <c r="L347" s="12" t="inlineStr">
        <is>
          <t>The Argus (Albany), Dec 31 1900 ("The Christmas Argus" - retrospective on Albany ice gorges and freshets) [uploaded PDF scan]</t>
        </is>
      </c>
      <c r="M347" s="12" t="inlineStr">
        <is>
          <t>(uploaded PDF scan)</t>
        </is>
      </c>
      <c r="N347" s="12" t="inlineStr">
        <is>
          <t>C</t>
        </is>
      </c>
      <c r="O347" s="12" t="inlineStr">
        <is>
          <t>Y</t>
        </is>
      </c>
      <c r="P347" s="12" t="inlineStr">
        <is>
          <t>2026-09-22: added per Laurie (PDF scan). Confidence C - from the 1900 retrospective; the ~$500,000 loss makes this a significant historic ice-jam flood worth confirming from an 1869 primary source and dating precisely at merge. EXISTENCE-GUARD at merge.</t>
        </is>
      </c>
      <c r="Q347" s="12" t="inlineStr">
        <is>
          <t>1869-01-01</t>
        </is>
      </c>
      <c r="R347" s="12">
        <f>VALUE(LEFT(Q347,4))</f>
        <v/>
      </c>
      <c r="S347" s="12">
        <f>VALUE(MID(Q347,6,2))</f>
        <v/>
      </c>
      <c r="T347" s="12">
        <f>VALUE(RIGHT(Q347,2))</f>
        <v/>
      </c>
      <c r="U347" s="12" t="inlineStr">
        <is>
          <t>month (approx)</t>
        </is>
      </c>
      <c r="V347" s="12" t="inlineStr">
        <is>
          <t>Retrospective gives 'January 1869'; day not stated. Anchored to Jan 1869.</t>
        </is>
      </c>
    </row>
    <row r="348" ht="15" customHeight="1" s="13">
      <c r="A348" s="12" t="n">
        <v>356</v>
      </c>
      <c r="B348" s="12" t="inlineStr">
        <is>
          <t>1900-02-13</t>
        </is>
      </c>
      <c r="C348" s="12" t="inlineStr">
        <is>
          <t>1900-02-14</t>
        </is>
      </c>
      <c r="D348" s="12">
        <f>VALUE(LEFT(B348,4))</f>
        <v/>
      </c>
      <c r="E348" s="12">
        <f>INT((D348-1)/100)+1</f>
        <v/>
      </c>
      <c r="F348" s="12" t="inlineStr">
        <is>
          <t>Flood (ice-jam freshet) + landslide</t>
        </is>
      </c>
      <c r="G348" s="12" t="inlineStr">
        <is>
          <t>February 1900 ice-jam freshet (Albany; New Hamburg/Poughkeepsie landslide)</t>
        </is>
      </c>
      <c r="H348" s="12" t="inlineStr">
        <is>
          <t>Albany (in-core), with ice gorges at Coeymans and Schenectady; a Hudson-division landslide near New Hamburg / Poughkeepsie (mid-Hudson)</t>
        </is>
      </c>
      <c r="I348" s="12" t="inlineStr">
        <is>
          <t>Hudson rose ~3 ft above the docks; the ice went out for the 2nd time that winter, sweeping away bridge false-work</t>
        </is>
      </c>
      <c r="J348" s="12" t="inlineStr">
        <is>
          <t>Albany</t>
        </is>
      </c>
      <c r="K348" s="12" t="inlineStr">
        <is>
          <t>For the second time that winter the Hudson's ice broke up in front of Albany on Feb 13 1900, rising ~3 ft over the docks and carrying away part of the false-work the Pencoyd Bridge Co. had erected to repair the Maiden-Lane (middle) bridge, so that no trains could cross for about a week. Ice cakes from the Mohawk and upper Hudson jammed above Lagoon Island, then a million tons broke loose and swept down; the ice at Schenectady on the Mohawk went out about the same time and a gorge formed at Coeymans, with a record-breaking flood feared. Trolley and rail service were delayed. On the Hudson River division a landslide near New Hamburg (about seven miles below Poughkeepsie) - like the one that indirectly killed 20 at Garrisons on Oct 21 1897 - threw an engine and one car into the river.</t>
        </is>
      </c>
      <c r="L348" s="12" t="inlineStr">
        <is>
          <t>The Argus (Albany), Feb 14 1900 ("Freshet Wrecks the New Bridge") [uploaded PDF scan]</t>
        </is>
      </c>
      <c r="M348" s="12" t="inlineStr">
        <is>
          <t>(uploaded PDF scan)</t>
        </is>
      </c>
      <c r="N348" s="12" t="inlineStr">
        <is>
          <t>B</t>
        </is>
      </c>
      <c r="O348" s="12" t="inlineStr">
        <is>
          <t>Y</t>
        </is>
      </c>
      <c r="P348" s="12" t="inlineStr">
        <is>
          <t>2026-09-22: added per Laurie (PDF scan). In-core ice-jam freshet with discrete geohazard loci - candidate Geology pins (coords needed): the New Hamburg / Poughkeepsie Hudson-division landslide, the Coeymans ice gorge, the Schenectady Mohawk ice gorge. EXISTENCE-GUARD at merge.</t>
        </is>
      </c>
      <c r="Q348" s="12" t="inlineStr">
        <is>
          <t>1900-02-13</t>
        </is>
      </c>
      <c r="R348" s="12">
        <f>VALUE(LEFT(Q348,4))</f>
        <v/>
      </c>
      <c r="S348" s="12">
        <f>VALUE(MID(Q348,6,2))</f>
        <v/>
      </c>
      <c r="T348" s="12">
        <f>VALUE(RIGHT(Q348,2))</f>
        <v/>
      </c>
      <c r="U348" s="12" t="inlineStr">
        <is>
          <t>days</t>
        </is>
      </c>
      <c r="V348" s="12" t="inlineStr">
        <is>
          <t>Ice began breaking ~4 p.m. 'yesterday' (paper Wed Feb 14 1900) -&gt; Feb 13; river still rising Feb 14.</t>
        </is>
      </c>
    </row>
    <row r="349" ht="15" customHeight="1" s="13">
      <c r="A349" s="12" t="n">
        <v>357</v>
      </c>
      <c r="B349" s="12" t="inlineStr">
        <is>
          <t>1908-03-22</t>
        </is>
      </c>
      <c r="C349" s="12" t="inlineStr">
        <is>
          <t>1908-03-22</t>
        </is>
      </c>
      <c r="D349" s="12">
        <f>VALUE(LEFT(B349,4))</f>
        <v/>
      </c>
      <c r="E349" s="12">
        <f>INT((D349-1)/100)+1</f>
        <v/>
      </c>
      <c r="F349" s="12" t="inlineStr">
        <is>
          <t>Ice gorge / ice jam</t>
        </is>
      </c>
      <c r="G349" s="12" t="inlineStr">
        <is>
          <t>March 1908 ice gorge at New Baltimore (wing dyke / Lamp Island)</t>
        </is>
      </c>
      <c r="H349" s="12" t="inlineStr">
        <is>
          <t>New Baltimore reach of the Hudson (wing dyke and Lamp Island) - in-region</t>
        </is>
      </c>
      <c r="I349" s="12" t="inlineStr">
        <is>
          <t>Ice gorge broke and cleared in ~2 hours, opening navigation</t>
        </is>
      </c>
      <c r="K349" s="12" t="inlineStr">
        <is>
          <t>The Hudson ice gorge at the wing dyke and Lamp Island near New Baltimore gave way about 10 a.m. on Sunday Mar 22 1908 and within about two hours all the ice had passed out of sight, completing the opening of navigation; the steamer Ursula resumed her route Monday and the Phillips her regular trips Wednesday. A minor, damage-free ice-out.</t>
        </is>
      </c>
      <c r="L349" s="12" t="inlineStr">
        <is>
          <t>The News-Herald (Ravena/Coeymans), Mar 27 1908 ("Big Ice Gorge Finally Passes Down River") [uploaded PDF scan]</t>
        </is>
      </c>
      <c r="M349" s="12" t="inlineStr">
        <is>
          <t>(uploaded PDF scan)</t>
        </is>
      </c>
      <c r="N349" s="12" t="inlineStr">
        <is>
          <t>B</t>
        </is>
      </c>
      <c r="O349" s="12" t="inlineStr">
        <is>
          <t>Y</t>
        </is>
      </c>
      <c r="P349" s="12" t="inlineStr">
        <is>
          <t>2026-09-22: added per Laurie (PDF scan). In-region minor ice-gorge / ice-out at New Baltimore (no reported damage). EXISTENCE-GUARD at merge.</t>
        </is>
      </c>
      <c r="Q349" s="12" t="inlineStr">
        <is>
          <t>1908-03-22</t>
        </is>
      </c>
      <c r="R349" s="12">
        <f>VALUE(LEFT(Q349,4))</f>
        <v/>
      </c>
      <c r="S349" s="12">
        <f>VALUE(MID(Q349,6,2))</f>
        <v/>
      </c>
      <c r="T349" s="12">
        <f>VALUE(RIGHT(Q349,2))</f>
        <v/>
      </c>
      <c r="U349" s="12" t="inlineStr">
        <is>
          <t>day</t>
        </is>
      </c>
      <c r="V349" s="12" t="inlineStr">
        <is>
          <t>'gave way on Sunday morning' (paper Fri Mar 27 1908) -&gt; Sun Mar 22 1908.</t>
        </is>
      </c>
    </row>
    <row r="350" ht="15" customHeight="1" s="13">
      <c r="A350" s="12" t="n">
        <v>359</v>
      </c>
      <c r="B350" s="12" t="inlineStr">
        <is>
          <t>1833-05-01</t>
        </is>
      </c>
      <c r="C350" s="12" t="inlineStr">
        <is>
          <t>1833-05-31</t>
        </is>
      </c>
      <c r="D350" s="12">
        <f>VALUE(LEFT(B350,4))</f>
        <v/>
      </c>
      <c r="E350" s="12">
        <f>INT((D350-1)/100)+1</f>
        <v/>
      </c>
      <c r="F350" s="12" t="inlineStr">
        <is>
          <t>Flood (freshet)</t>
        </is>
      </c>
      <c r="G350" s="12" t="inlineStr">
        <is>
          <t>May 1833 Albany freshet (historic - from 1913 retrospective)</t>
        </is>
      </c>
      <c r="H350" s="12" t="inlineStr">
        <is>
          <t>Albany waterfront and riverside farmland</t>
        </is>
      </c>
      <c r="I350" s="12" t="inlineStr">
        <is>
          <t>Crops destroyed along the river; boats navigated along Broadway for days</t>
        </is>
      </c>
      <c r="K350" s="12" t="inlineStr">
        <is>
          <t>A freshet in May 1833 destroyed the crops along the Hudson and for several days boats were navigated along Broadway in Albany - a spring flood remembered decades later as a benchmark high water.</t>
        </is>
      </c>
      <c r="L350" s="12" t="inlineStr">
        <is>
          <t>The Argus (Albany), Jan 25 1913 (centennial '1813/1913' retrospective) [uploaded PDF scan]</t>
        </is>
      </c>
      <c r="M350" s="12" t="inlineStr">
        <is>
          <t>(uploaded PDF scan)</t>
        </is>
      </c>
      <c r="N350" s="12" t="inlineStr">
        <is>
          <t>C</t>
        </is>
      </c>
      <c r="O350" s="12" t="inlineStr">
        <is>
          <t>Y</t>
        </is>
      </c>
      <c r="P350" s="12" t="inlineStr">
        <is>
          <t>2026-09-22: added per Laurie (PDF scan). Confidence C - from a 1913 RETROSPECTIVE, not a contemporaneous report; confirm from an 1833 primary source and pin the day at merge. EXISTENCE-GUARD at merge.</t>
        </is>
      </c>
      <c r="Q350" s="12" t="inlineStr">
        <is>
          <t>1833-05-01</t>
        </is>
      </c>
      <c r="R350" s="12">
        <f>VALUE(LEFT(Q350,4))</f>
        <v/>
      </c>
      <c r="S350" s="12">
        <f>VALUE(MID(Q350,6,2))</f>
        <v/>
      </c>
      <c r="T350" s="12">
        <f>VALUE(RIGHT(Q350,2))</f>
        <v/>
      </c>
      <c r="U350" s="12" t="inlineStr">
        <is>
          <t>month (approx)</t>
        </is>
      </c>
      <c r="V350" s="12" t="inlineStr">
        <is>
          <t>Retrospective gives 'May 1833'; day not stated.</t>
        </is>
      </c>
    </row>
    <row r="351" ht="15" customHeight="1" s="13">
      <c r="A351" s="12" t="n">
        <v>360</v>
      </c>
      <c r="B351" s="12" t="inlineStr">
        <is>
          <t>1853-08-01</t>
        </is>
      </c>
      <c r="C351" s="12" t="inlineStr">
        <is>
          <t>1853-08-31</t>
        </is>
      </c>
      <c r="D351" s="12">
        <f>VALUE(LEFT(B351,4))</f>
        <v/>
      </c>
      <c r="E351" s="12">
        <f>INT((D351-1)/100)+1</f>
        <v/>
      </c>
      <c r="F351" s="12" t="inlineStr">
        <is>
          <t>Heat wave / extreme heat</t>
        </is>
      </c>
      <c r="G351" s="12" t="inlineStr">
        <is>
          <t>August 1853 Albany heat wave (28 deaths in one week - from 1913 retrospective)</t>
        </is>
      </c>
      <c r="H351" s="12" t="inlineStr">
        <is>
          <t>Albany</t>
        </is>
      </c>
      <c r="I351" s="12" t="inlineStr">
        <is>
          <t>28 deaths from heat in a single week</t>
        </is>
      </c>
      <c r="K351" s="12" t="inlineStr">
        <is>
          <t>In one week in August 1853, twenty-eight deaths at Albany were attributed to the heat - one of the register's earliest recorded extreme-heat events.</t>
        </is>
      </c>
      <c r="L351" s="12" t="inlineStr">
        <is>
          <t>The Argus (Albany), Jan 25 1913 (centennial '1813/1913' retrospective) [uploaded PDF scan]</t>
        </is>
      </c>
      <c r="M351" s="12" t="inlineStr">
        <is>
          <t>(uploaded PDF scan)</t>
        </is>
      </c>
      <c r="N351" s="12" t="inlineStr">
        <is>
          <t>C</t>
        </is>
      </c>
      <c r="O351" s="12" t="inlineStr">
        <is>
          <t>Y</t>
        </is>
      </c>
      <c r="P351" s="12" t="inlineStr">
        <is>
          <t>2026-09-22: added per Laurie (PDF scan). Confidence C - from a 1913 retrospective; broadens the register beyond storms/floods to extreme heat. Confirm the week and toll from an 1853 primary source at merge. EXISTENCE-GUARD at merge.</t>
        </is>
      </c>
      <c r="Q351" s="12" t="inlineStr">
        <is>
          <t>1853-08-01</t>
        </is>
      </c>
      <c r="R351" s="12">
        <f>VALUE(LEFT(Q351,4))</f>
        <v/>
      </c>
      <c r="S351" s="12">
        <f>VALUE(MID(Q351,6,2))</f>
        <v/>
      </c>
      <c r="T351" s="12">
        <f>VALUE(RIGHT(Q351,2))</f>
        <v/>
      </c>
      <c r="U351" s="12" t="inlineStr">
        <is>
          <t>month (approx)</t>
        </is>
      </c>
      <c r="V351" s="12" t="inlineStr">
        <is>
          <t>Retrospective gives 'one week in August 1853'; exact week not stated.</t>
        </is>
      </c>
    </row>
    <row r="352" ht="15" customHeight="1" s="13">
      <c r="A352" s="12" t="n">
        <v>361</v>
      </c>
      <c r="B352" s="12" t="inlineStr">
        <is>
          <t>1899-03-06</t>
        </is>
      </c>
      <c r="C352" s="12" t="inlineStr">
        <is>
          <t>1899-03-07</t>
        </is>
      </c>
      <c r="D352" s="12">
        <f>VALUE(LEFT(B352,4))</f>
        <v/>
      </c>
      <c r="E352" s="12">
        <f>INT((D352-1)/100)+1</f>
        <v/>
      </c>
      <c r="F352" s="12" t="inlineStr">
        <is>
          <t>Flood (ice-jam freshet)</t>
        </is>
      </c>
      <c r="G352" s="12" t="inlineStr">
        <is>
          <t>March 1899 ice-jam freshet - Albany ('a fifteen-foot freshet')</t>
        </is>
      </c>
      <c r="H352" s="12" t="inlineStr">
        <is>
          <t>Albany (Quay St, State St pier, D&amp;H tracks), with ice gorges at Douw's Point and Van Wie's Point; high water at Coeymans, Castleton, Coxsackie, Stuyvesant</t>
        </is>
      </c>
      <c r="I352" s="12" t="inlineStr">
        <is>
          <t>River ~12.5 ft above normal; ice piled ~16 ft above the water at Van Wie's Point; D&amp;H tracks under ~3 ft</t>
        </is>
      </c>
      <c r="J352" s="12" t="inlineStr">
        <is>
          <t>Albany</t>
        </is>
      </c>
      <c r="K352" s="12" t="inlineStr">
        <is>
          <t>For the second time that winter the Hudson went over its banks at Albany on Mar 6 1899. The Troy ice moved out before dawn, jammed at Lagoon Island, then broke and rushed down; the ice gorged three times in 14 hours - at Douw's Point (where a gorge had first formed Jan 3), at the upper bridge, and at Van Wie's Point, where broken ice piled about 16 ft above the water. Warehouses on the State-street pier and Quay street flooded, and D&amp;H and West Shore trains ran through about three feet of water; the river peaked ~12.5 ft above normal before falling nearly as fast. High water without serious damage was reported at Coeymans, Castleton, Coxsackie and Stuyvesant.</t>
        </is>
      </c>
      <c r="L352" s="12" t="inlineStr">
        <is>
          <t>The Argus (Albany), Mar 7 1899 ("Hudson Over Its Banks - A Fifteen-Foot Freshet") [uploaded PDF scan]</t>
        </is>
      </c>
      <c r="M352" s="12" t="inlineStr">
        <is>
          <t>(uploaded PDF scan)</t>
        </is>
      </c>
      <c r="N352" s="12" t="inlineStr">
        <is>
          <t>B</t>
        </is>
      </c>
      <c r="O352" s="12" t="inlineStr">
        <is>
          <t>Y</t>
        </is>
      </c>
      <c r="P352" s="12" t="inlineStr">
        <is>
          <t>2026-09-22: added per Laurie (PDF scan). In-core ice-jam freshet - candidate Geology pins (coords needed): the Douw's Point and Van Wie's Point ice-gorge sites. A separate Jan 3 1899 gorge at Douw's Point is noted in-text (a discrete earlier event that winter). EXISTENCE-GUARD at merge.</t>
        </is>
      </c>
      <c r="Q352" s="12" t="inlineStr">
        <is>
          <t>1899-03-06</t>
        </is>
      </c>
      <c r="R352" s="12">
        <f>VALUE(LEFT(Q352,4))</f>
        <v/>
      </c>
      <c r="S352" s="12">
        <f>VALUE(MID(Q352,6,2))</f>
        <v/>
      </c>
      <c r="T352" s="12">
        <f>VALUE(RIGHT(Q352,2))</f>
        <v/>
      </c>
      <c r="U352" s="12" t="inlineStr">
        <is>
          <t>days</t>
        </is>
      </c>
      <c r="V352" s="12" t="inlineStr">
        <is>
          <t>Troy ice moved out 'yesterday morning' (paper Tue Mar 7 1899) -&gt; Mar 6; freshet peaked/fell same night.</t>
        </is>
      </c>
    </row>
    <row r="353" ht="15" customHeight="1" s="13">
      <c r="A353" s="12" t="n">
        <v>364</v>
      </c>
      <c r="B353" s="12" t="inlineStr">
        <is>
          <t>1883-11-12</t>
        </is>
      </c>
      <c r="C353" s="12" t="inlineStr">
        <is>
          <t>1883-11-12</t>
        </is>
      </c>
      <c r="D353" s="12">
        <f>VALUE(LEFT(B353,4))</f>
        <v/>
      </c>
      <c r="E353" s="12">
        <f>INT((D353-1)/100)+1</f>
        <v/>
      </c>
      <c r="F353" s="12" t="inlineStr">
        <is>
          <t>Windstorm / tornado</t>
        </is>
      </c>
      <c r="G353" s="12" t="inlineStr">
        <is>
          <t>November 1883 Mohawk Valley windstorm (Troy; grist mill wrecked at Crescent)</t>
        </is>
      </c>
      <c r="H353" s="12" t="inlineStr">
        <is>
          <t>Troy and Crescent (Saratoga Co.) and 'throughout the Mohawk Valley' - in-region; part of a much wider East-Coast/Great-Lakes gale</t>
        </is>
      </c>
      <c r="I353" s="12" t="inlineStr">
        <is>
          <t>'Tornado severe throughout the Mohawk Valley'; a grist mill at Crescent crushed when a barn roof was blown against it; Troy hit by a 'blizzard' with snow and hail</t>
        </is>
      </c>
      <c r="K353" s="12" t="inlineStr">
        <is>
          <t>On Nov 12 1883 a severe windstorm swept the region. At Troy it came as a 'blizzard' with snow and hail; through the Mohawk Valley it was reported as a 'tornado' - 'the tornado was severe throughout the Mohawk Valley.' At Crescent a grist mill was crushed when a barn roof was blown against it. The local damage was one arm of a much wider gale the same day that battered New England, New York City and the Great Lakes (a fatal chimney collapse at Boston, Lake Michigan/Huron shipwrecks) - those effects are out-of-core context only.</t>
        </is>
      </c>
      <c r="L353" s="12" t="inlineStr">
        <is>
          <t>The Argus (Albany), Nov 13 1883 ("A Great Wind Storm - Death and Devastation by Yesterday's Gale") [uploaded PDF scan]</t>
        </is>
      </c>
      <c r="M353" s="12" t="inlineStr">
        <is>
          <t>(uploaded PDF scan)</t>
        </is>
      </c>
      <c r="N353" s="12" t="inlineStr">
        <is>
          <t>B</t>
        </is>
      </c>
      <c r="O353" s="12" t="inlineStr">
        <is>
          <t>Y</t>
        </is>
      </c>
      <c r="P353" s="12" t="inlineStr">
        <is>
          <t>2026-09-22: added per Laurie (PDF scan). In-region windstorm; the 'tornado'/'blizzard' labels are period usage for a severe local windstorm (see SEARCH_TERMS.md) - the damage pattern (barn roof driven into a mill) fits a strong wind rather than a true tornado. EXISTENCE-GUARD at merge.</t>
        </is>
      </c>
      <c r="Q353" s="12" t="inlineStr">
        <is>
          <t>1883-11-12</t>
        </is>
      </c>
      <c r="R353" s="12">
        <f>VALUE(LEFT(Q353,4))</f>
        <v/>
      </c>
      <c r="S353" s="12">
        <f>VALUE(MID(Q353,6,2))</f>
        <v/>
      </c>
      <c r="T353" s="12">
        <f>VALUE(RIGHT(Q353,2))</f>
        <v/>
      </c>
      <c r="U353" s="12" t="inlineStr">
        <is>
          <t>day</t>
        </is>
      </c>
      <c r="V353" s="12" t="inlineStr">
        <is>
          <t>'yesterday's gale' (paper Tue Nov 13 1883) -&gt; Nov 12.</t>
        </is>
      </c>
    </row>
    <row r="354" ht="15" customHeight="1" s="13">
      <c r="A354" s="12" t="n">
        <v>365</v>
      </c>
      <c r="B354" s="12" t="inlineStr">
        <is>
          <t>1902-02-28</t>
        </is>
      </c>
      <c r="C354" s="12" t="inlineStr">
        <is>
          <t>1902-03-02</t>
        </is>
      </c>
      <c r="D354" s="12">
        <f>VALUE(LEFT(B354,4))</f>
        <v/>
      </c>
      <c r="E354" s="12">
        <f>INT((D354-1)/100)+1</f>
        <v/>
      </c>
      <c r="F354" s="12" t="inlineStr">
        <is>
          <t>Flood (ice-jam freshet)</t>
        </is>
      </c>
      <c r="G354" s="12" t="inlineStr">
        <is>
          <t>Feb-Mar 1902 ice-jam freshet - Albany (gorge from Castleton to Stuyvesant)</t>
        </is>
      </c>
      <c r="H354" s="12" t="inlineStr">
        <is>
          <t>Albany (south end / waterfront), with an ice gorge that broke above Castleton and re-jammed at Stuyvesant; part of a wider New York / New Jersey / Pennsylvania flood</t>
        </is>
      </c>
      <c r="I354" s="12" t="inlineStr">
        <is>
          <t>~15.5 ft of water at Albany (~1.5 ft below the record Feb 14 1900 flood); about 150 families driven from homes in the south end</t>
        </is>
      </c>
      <c r="J354" s="12" t="inlineStr">
        <is>
          <t>Albany</t>
        </is>
      </c>
      <c r="K354" s="12" t="inlineStr">
        <is>
          <t>Heavy rain on Fri-Sat (Feb 28-Mar 1 1902) on top of snow drove the Hudson over its banks; the freshet peaked Sunday Mar 2 at about 15.5 ft - roughly a foot and a half below the record flood of Feb 14 1900. The main cause was an ice gorge above Castleton, which broke and then re-jammed at Stuyvesant, damming the river again; water rose to within a foot of the roof of the Troy &amp; Albany Steamboat waiting room. About 150 families were driven from homes in Albany's south end; trolleys stopped and rail traffic was 'in a jumble.' The same storm flooded three states - Binghamton (Susquehanna &amp; Chenango, ~1,000 families affected, boats in the streets), the Southern Tier and Orange/Sullivan counties, Scranton (a boy drowned), Harrisburg and Sunbury PA - all out-of-core context.</t>
        </is>
      </c>
      <c r="L354" s="12" t="inlineStr">
        <is>
          <t>The Argus (Albany), Mar 3 1902 ("Great Flood Covers Three of the States" / "Ice Gorge Breaks Only to Form Again") [uploaded PDF scan]</t>
        </is>
      </c>
      <c r="M354" s="12" t="inlineStr">
        <is>
          <t>(uploaded PDF scan)</t>
        </is>
      </c>
      <c r="N354" s="12" t="inlineStr">
        <is>
          <t>B</t>
        </is>
      </c>
      <c r="O354" s="12" t="inlineStr">
        <is>
          <t>Y</t>
        </is>
      </c>
      <c r="P354" s="12" t="inlineStr">
        <is>
          <t>2026-09-22: added per Laurie (PDF scan). Major in-core ice-jam freshet - candidate Geology pins (coords needed): the Castleton and Stuyvesant ice-gorge sites. Explicitly benchmarked against the Feb 14 1900 record flood (Event 356). EXISTENCE-GUARD at merge.</t>
        </is>
      </c>
      <c r="Q354" s="12" t="inlineStr">
        <is>
          <t>1902-02-28</t>
        </is>
      </c>
      <c r="R354" s="12">
        <f>VALUE(LEFT(Q354,4))</f>
        <v/>
      </c>
      <c r="S354" s="12">
        <f>VALUE(MID(Q354,6,2))</f>
        <v/>
      </c>
      <c r="T354" s="12">
        <f>VALUE(RIGHT(Q354,2))</f>
        <v/>
      </c>
      <c r="U354" s="12" t="inlineStr">
        <is>
          <t>days</t>
        </is>
      </c>
      <c r="V354" s="12" t="inlineStr">
        <is>
          <t>Rain 'poured Friday and Saturday' (Feb 28-Mar 1); freshet 'at its worst' Sun Mar 2 'yesterday' (paper Mon Mar 3 1902).</t>
        </is>
      </c>
    </row>
    <row r="355" ht="15" customHeight="1" s="13">
      <c r="A355" s="12" t="n">
        <v>366</v>
      </c>
      <c r="B355" s="12" t="inlineStr">
        <is>
          <t>1905-12-15</t>
        </is>
      </c>
      <c r="C355" s="12" t="inlineStr">
        <is>
          <t>1905-12-15</t>
        </is>
      </c>
      <c r="D355" s="12">
        <f>VALUE(LEFT(B355,4))</f>
        <v/>
      </c>
      <c r="E355" s="12">
        <f>INT((D355-1)/100)+1</f>
        <v/>
      </c>
      <c r="F355" s="12" t="inlineStr">
        <is>
          <t>River freeze-up / early-winter ice</t>
        </is>
      </c>
      <c r="G355" s="12" t="inlineStr">
        <is>
          <t>December 1905 Hudson freeze-up at Coeymans</t>
        </is>
      </c>
      <c r="H355" s="12" t="inlineStr">
        <is>
          <t>Hudson at Coeymans and several miles below - in-region</t>
        </is>
      </c>
      <c r="I355" s="12" t="inlineStr">
        <is>
          <t>Temperature near zero; the Hudson 'closed' (froze over) at Coeymans; the Albany night boat had to battle the ice</t>
        </is>
      </c>
      <c r="K355" s="12" t="inlineStr">
        <is>
          <t>A sharp early-winter cold snap with the thermometer near zero froze the Hudson over ('the Hudson had closed') at Coeymans and for several miles below by mid-December 1905; the Albany night boat had to battle the ice before steaming up to the city. Reported as promising 'an abundance of ice for the harvesters' - a routine but datable seasonal river-closing.</t>
        </is>
      </c>
      <c r="L355" s="12" t="inlineStr">
        <is>
          <t>The Ravena News, Dec 16 1905 ('River Frozen Over') [uploaded PDF scan]</t>
        </is>
      </c>
      <c r="M355" s="12" t="inlineStr">
        <is>
          <t>(uploaded PDF scan)</t>
        </is>
      </c>
      <c r="N355" s="12" t="inlineStr">
        <is>
          <t>B</t>
        </is>
      </c>
      <c r="O355" s="12" t="inlineStr">
        <is>
          <t>Y</t>
        </is>
      </c>
      <c r="P355" s="12" t="inlineStr">
        <is>
          <t>2026-09-22: added per Laurie (PDF scan). A MINOR seasonal freeze-up / river-closing datapoint (not a storm or geohazard) - kept because a dated Hudson freeze-up at Coeymans is a useful river-ice / phenology marker for the winter-signal side of the work. EXISTENCE-GUARD at merge.</t>
        </is>
      </c>
      <c r="Q355" s="12" t="inlineStr">
        <is>
          <t>1905-12-15</t>
        </is>
      </c>
      <c r="R355" s="12">
        <f>VALUE(LEFT(Q355,4))</f>
        <v/>
      </c>
      <c r="S355" s="12">
        <f>VALUE(MID(Q355,6,2))</f>
        <v/>
      </c>
      <c r="T355" s="12">
        <f>VALUE(RIGHT(Q355,2))</f>
        <v/>
      </c>
      <c r="U355" s="12" t="inlineStr">
        <is>
          <t>day (approx)</t>
        </is>
      </c>
      <c r="V355" s="12" t="inlineStr">
        <is>
          <t>'Early yesterday morning' the night boat battled the ice (paper Sat Dec 16 1905) -&gt; ~Dec 15.</t>
        </is>
      </c>
    </row>
    <row r="356" ht="15" customHeight="1" s="13">
      <c r="A356" s="12" t="n">
        <v>367</v>
      </c>
      <c r="B356" s="12" t="inlineStr">
        <is>
          <t>1938-06-17</t>
        </is>
      </c>
      <c r="C356" s="12" t="inlineStr">
        <is>
          <t>1938-06-17</t>
        </is>
      </c>
      <c r="D356" s="12">
        <f>VALUE(LEFT(B356,4))</f>
        <v/>
      </c>
      <c r="E356" s="12">
        <f>INT((D356-1)/100)+1</f>
        <v/>
      </c>
      <c r="F356" s="12" t="inlineStr">
        <is>
          <t>Tornado / windstorm</t>
        </is>
      </c>
      <c r="G356" s="12" t="inlineStr">
        <is>
          <t>June 1938 tornado south of Delanson (Hilltowns western edge)</t>
        </is>
      </c>
      <c r="H356" s="12" t="inlineStr">
        <is>
          <t>A four-mile path south of Delanson (Duanesburg, Schenectady Co.) - western edge of the Helderberg/Hilltowns region</t>
        </is>
      </c>
      <c r="I356" s="12" t="inlineStr">
        <is>
          <t>~4-mile damage path; damage estimated at hundreds of dollars; more than half the roof torn off a large chicken house, other roofs torn and trees felled</t>
        </is>
      </c>
      <c r="K356" s="12" t="inlineStr">
        <is>
          <t>A small tornado swept a four-mile path south of Delanson on a Friday afternoon in June 1938, causing damage estimated at hundreds of dollars. The whirling winds first struck the Sabini place, ripping away more than half the roof of a large chicken house; two miles on it tore off more roofs and felled trees. Residents watched it come up.</t>
        </is>
      </c>
      <c r="L356" s="12" t="inlineStr">
        <is>
          <t>The Altamont Enterprise, June 24 1938 ('A small tornado...') [uploaded PDF scan]</t>
        </is>
      </c>
      <c r="M356" s="12" t="inlineStr">
        <is>
          <t>(uploaded PDF scan)</t>
        </is>
      </c>
      <c r="N356" s="12" t="inlineStr">
        <is>
          <t>B</t>
        </is>
      </c>
      <c r="O356" s="12" t="inlineStr">
        <is>
          <t>Y</t>
        </is>
      </c>
      <c r="P356" s="12" t="inlineStr">
        <is>
          <t>2026-09-22: added per Laurie (PDF scan). In-core (Hilltowns western edge). Date INFERRED as the Friday before the June 24 1938 issue (Jun 17); confirm the exact Friday at merge. EXISTENCE-GUARD at merge.</t>
        </is>
      </c>
      <c r="Q356" s="12" t="inlineStr">
        <is>
          <t>1938-06-17</t>
        </is>
      </c>
      <c r="R356" s="12">
        <f>VALUE(LEFT(Q356,4))</f>
        <v/>
      </c>
      <c r="S356" s="12">
        <f>VALUE(MID(Q356,6,2))</f>
        <v/>
      </c>
      <c r="T356" s="12">
        <f>VALUE(RIGHT(Q356,2))</f>
        <v/>
      </c>
      <c r="U356" s="12" t="inlineStr">
        <is>
          <t>day (approx)</t>
        </is>
      </c>
      <c r="V356" s="12" t="inlineStr">
        <is>
          <t>'Friday afternoon' (paper Fri Jun 24 1938) -&gt; the preceding Friday, Jun 17 (inferred).</t>
        </is>
      </c>
    </row>
    <row r="357" ht="15" customHeight="1" s="13">
      <c r="A357" s="12" t="n">
        <v>368</v>
      </c>
      <c r="B357" s="12" t="inlineStr">
        <is>
          <t>1950-07-31</t>
        </is>
      </c>
      <c r="C357" s="12" t="inlineStr">
        <is>
          <t>1950-07-31</t>
        </is>
      </c>
      <c r="D357" s="12">
        <f>VALUE(LEFT(B357,4))</f>
        <v/>
      </c>
      <c r="E357" s="12">
        <f>INT((D357-1)/100)+1</f>
        <v/>
      </c>
      <c r="F357" s="12" t="inlineStr">
        <is>
          <t>Thunderstorm / windstorm</t>
        </is>
      </c>
      <c r="G357" s="12" t="inlineStr">
        <is>
          <t>c. July 1950 rain-and-wind storm - Altamont/Delmar corridor</t>
        </is>
      </c>
      <c r="H357" s="12" t="inlineStr">
        <is>
          <t>Altamont / Hilltowns and the Delaware Ave corridor (Bridge St.; Delaware Ave at Unionville) - in-core</t>
        </is>
      </c>
      <c r="I357" s="12" t="inlineStr">
        <is>
          <t>A large locust tree on Bridge St. blown down; high-wind damage; damage at Lumber &amp; Builders Supply on Delaware Ave at Unionville</t>
        </is>
      </c>
      <c r="K357" s="12" t="inlineStr">
        <is>
          <t>A rain-and-wind storm on a Monday afternoon (about late July / early Aug 1950) blew down a large locust tree on Bridge St. and did high-wind damage across the area, including at the Lumber &amp; Builders Supply Inc. on Delaware Ave at Unionville.</t>
        </is>
      </c>
      <c r="L357" s="12" t="inlineStr">
        <is>
          <t>The Altamont Enterprise, Aug 4 1950 [uploaded PDF scan]</t>
        </is>
      </c>
      <c r="M357" s="12" t="inlineStr">
        <is>
          <t>(uploaded PDF scan)</t>
        </is>
      </c>
      <c r="N357" s="12" t="inlineStr">
        <is>
          <t>B</t>
        </is>
      </c>
      <c r="O357" s="12" t="inlineStr">
        <is>
          <t>Y</t>
        </is>
      </c>
      <c r="P357" s="12" t="inlineStr">
        <is>
          <t>2026-09-22: added per Laurie (PDF scan). Modest in-core wind/thunderstorm with tree and property damage. Date INFERRED as the Monday before the Aug 4 1950 issue (Jul 31); confirm at merge. EXISTENCE-GUARD at merge.</t>
        </is>
      </c>
      <c r="Q357" s="12" t="inlineStr">
        <is>
          <t>1950-07-31</t>
        </is>
      </c>
      <c r="R357" s="12">
        <f>VALUE(LEFT(Q357,4))</f>
        <v/>
      </c>
      <c r="S357" s="12">
        <f>VALUE(MID(Q357,6,2))</f>
        <v/>
      </c>
      <c r="T357" s="12">
        <f>VALUE(RIGHT(Q357,2))</f>
        <v/>
      </c>
      <c r="U357" s="12" t="inlineStr">
        <is>
          <t>day (approx)</t>
        </is>
      </c>
      <c r="V357" s="12" t="inlineStr">
        <is>
          <t>'Monday afternoon' (paper Fri Aug 4 1950) -&gt; the preceding Monday, Jul 31 (inferred).</t>
        </is>
      </c>
    </row>
    <row r="358" ht="15" customHeight="1" s="13">
      <c r="A358" s="12" t="n">
        <v>369</v>
      </c>
      <c r="B358" s="12" t="inlineStr">
        <is>
          <t>1925-10-09</t>
        </is>
      </c>
      <c r="C358" s="12" t="inlineStr">
        <is>
          <t>1925-10-10</t>
        </is>
      </c>
      <c r="D358" s="12">
        <f>VALUE(LEFT(B358,4))</f>
        <v/>
      </c>
      <c r="E358" s="12">
        <f>INT((D358-1)/100)+1</f>
        <v/>
      </c>
      <c r="F358" s="12" t="inlineStr">
        <is>
          <t>Snowstorm (early-season) + windstorm</t>
        </is>
      </c>
      <c r="G358" s="12" t="inlineStr">
        <is>
          <t>October 1925 record early-season snowstorm + windstorm (Hilltowns)</t>
        </is>
      </c>
      <c r="H358" s="12" t="inlineStr">
        <is>
          <t>Altamont / Hilltowns (and the Schenectady/Capital District area) - in-core</t>
        </is>
      </c>
      <c r="I358" s="12" t="inlineStr">
        <is>
          <t>Snowstorm 'breaks all records' for the season; a terrific windstorm followed, blowing down several trees, knocking out electric lights and ruining the late apple crop</t>
        </is>
      </c>
      <c r="K358" s="12" t="inlineStr">
        <is>
          <t>A snowstorm the preceding Friday (~Oct 9 1925) 'broke all records' for the season, and a terrific windstorm followed the snow squall on Saturday, destroying trees and ruining the late apple crop; the Saturday high winds blew down several trees and knocked out the electric lights. A notable early-season snow-and-wind event.</t>
        </is>
      </c>
      <c r="L358" s="12" t="inlineStr">
        <is>
          <t>The Altamont Enterprise, Oct 16 1925 - reprinted in the Oct 23 1975 '50 Years Ago' column [uploaded PDF scan]</t>
        </is>
      </c>
      <c r="M358" s="12" t="inlineStr">
        <is>
          <t>(uploaded PDF scan)</t>
        </is>
      </c>
      <c r="N358" s="12" t="inlineStr">
        <is>
          <t>C</t>
        </is>
      </c>
      <c r="O358" s="12" t="inlineStr">
        <is>
          <t>Y</t>
        </is>
      </c>
      <c r="P358" s="12" t="inlineStr">
        <is>
          <t>2026-09-22: added per Laurie (PDF scan). Confidence C - from a 1975 '50 Years Ago' reprint of the Oct 16 1925 issue, not the primary. A record EARLY-SEASON snowstorm (ruined the late apple crop) - phenology-relevant. Confirm from the 1925 primary and pin the exact Friday/Saturday at merge. EXISTENCE-GUARD at merge.</t>
        </is>
      </c>
      <c r="Q358" s="12" t="inlineStr">
        <is>
          <t>1925-10-09</t>
        </is>
      </c>
      <c r="R358" s="12">
        <f>VALUE(LEFT(Q358,4))</f>
        <v/>
      </c>
      <c r="S358" s="12">
        <f>VALUE(MID(Q358,6,2))</f>
        <v/>
      </c>
      <c r="T358" s="12">
        <f>VALUE(RIGHT(Q358,2))</f>
        <v/>
      </c>
      <c r="U358" s="12" t="inlineStr">
        <is>
          <t>days (approx)</t>
        </is>
      </c>
      <c r="V358" s="12" t="inlineStr">
        <is>
          <t>'Snowstorm last Friday' + 'high winds of Saturday' (Oct 16 1925 issue) -&gt; ~Oct 9-10 1925.</t>
        </is>
      </c>
    </row>
    <row r="359" ht="15" customHeight="1" s="13">
      <c r="A359" s="12" t="n">
        <v>370</v>
      </c>
      <c r="B359" s="12" t="inlineStr">
        <is>
          <t>2025-04-01</t>
        </is>
      </c>
      <c r="C359" s="12" t="inlineStr">
        <is>
          <t>2025-04-30</t>
        </is>
      </c>
      <c r="D359" s="12">
        <f>VALUE(LEFT(B359,4))</f>
        <v/>
      </c>
      <c r="E359" s="12">
        <f>INT((D359-1)/100)+1</f>
        <v/>
      </c>
      <c r="F359" s="12" t="inlineStr">
        <is>
          <t>Landslide</t>
        </is>
      </c>
      <c r="G359" s="12" t="inlineStr">
        <is>
          <t>April 2025 New Baltimore landslide (possible fill-triggered)</t>
        </is>
      </c>
      <c r="H359" s="12" t="inlineStr">
        <is>
          <t>New Baltimore (Greene Co.) — Titus writes 'the April 2025 Normans Kill landslide in New Baltimore'; the Normans Kill is in Bethlehem/Albany, so the watercourse name is suspect — likely a different creek/bank in New Baltimore. ~20 mi E of Westerlo.</t>
        </is>
      </c>
      <c r="I359" s="12" t="inlineStr">
        <is>
          <t>Not given; 'a sizable amount of earth had apparently been dumped at the top of the slope' shortly before it slid</t>
        </is>
      </c>
      <c r="K359" s="12" t="inlineStr">
        <is>
          <t>Lake Albany clay slope failure in New Baltimore, April 2025; Titus reports fill had recently been placed at the slope crest and the two authors disagree on whether it caused the slide. No damage, size or location detail given.</t>
        </is>
      </c>
      <c r="L359" s="12" t="inlineStr">
        <is>
          <t>Titus, R. &amp; J., 'Haverstraw' (Hudson Valley landslide series), thecatskillgeologist.com, 2025 (pasted by Laurie; exact post date not given)</t>
        </is>
      </c>
      <c r="N359" s="12" t="inlineStr">
        <is>
          <t>C</t>
        </is>
      </c>
      <c r="O359" s="12" t="inlineStr">
        <is>
          <t>N</t>
        </is>
      </c>
      <c r="P359" s="12" t="inlineStr">
        <is>
          <t>2026-09-23 (v842, atlas session): added per Laurie (Titus column pasted in). Passing reference only. NEEDS: exact date, road/locus, a Times Union or Daily Mail (Catskill) account, and a check on the creek name. No Geology pin — no coordinate; do NOT attach to the Austin Glen / New Baltimore Conservancy pin without confirmation. This is probably the 'New Baltimore' Titus listed in the 2018 column too? No — that one was 'a few years ago' as of 2018, so that is a SEPARATE, still-undated earlier slide.</t>
        </is>
      </c>
      <c r="Q359" s="12" t="inlineStr">
        <is>
          <t>2025-04-15</t>
        </is>
      </c>
      <c r="R359" s="12">
        <f>VALUE(LEFT(Q359,4))</f>
        <v/>
      </c>
      <c r="S359" s="12">
        <f>VALUE(MID(Q359,6,2))</f>
        <v/>
      </c>
      <c r="T359" s="12">
        <f>VALUE(RIGHT(Q359,2))</f>
        <v/>
      </c>
      <c r="U359" s="12" t="inlineStr">
        <is>
          <t>month</t>
        </is>
      </c>
      <c r="V359" s="12" t="inlineStr">
        <is>
          <t>Month-only; mid-month placeholder anchor</t>
        </is>
      </c>
    </row>
    <row r="360" ht="15" customHeight="1" s="13">
      <c r="A360" s="12" t="n">
        <v>371</v>
      </c>
      <c r="B360" s="12" t="inlineStr">
        <is>
          <t>2005-06-17</t>
        </is>
      </c>
      <c r="C360" s="12" t="inlineStr">
        <is>
          <t>2005-06-30</t>
        </is>
      </c>
      <c r="D360" s="12">
        <f>VALUE(LEFT(B360,4))</f>
        <v/>
      </c>
      <c r="E360" s="12">
        <f>INT((D360-1)/100)+1</f>
        <v/>
      </c>
      <c r="F360" s="12" t="inlineStr">
        <is>
          <t>Landslide</t>
        </is>
      </c>
      <c r="G360" s="12" t="inlineStr">
        <is>
          <t>June 2005 Amsterdam delta slump</t>
        </is>
      </c>
      <c r="H360" s="12" t="inlineStr">
        <is>
          <t>Amsterdam (Montgomery Co.) — slope in ice-age lake-delta sediments; locus not given. ~35 mi NW of Westerlo.</t>
        </is>
      </c>
      <c r="I360" s="12" t="inlineStr">
        <is>
          <t>Not given</t>
        </is>
      </c>
      <c r="K360" s="12" t="inlineStr">
        <is>
          <t>'Two weeks ago there was a new slump in Amsterdam' (as of Jul 8 2005), in the sediments of an ice-age lake delta; part of a run of 2004–05 Lake Albany slumps Titus tied to a wetter climate (NOAA: NY annual precipitation up ~6 in, 36→42 in, over the century).</t>
        </is>
      </c>
      <c r="L360" s="12" t="inlineStr">
        <is>
          <t>Titus, R., 'Yellow Alert?', Stories in Stone, The Columbia County Independent, Jul 8 2005 (reposted thecatskillgeologist.com Nov 23 2017)</t>
        </is>
      </c>
      <c r="N360" s="12" t="inlineStr">
        <is>
          <t>C</t>
        </is>
      </c>
      <c r="O360" s="12" t="inlineStr">
        <is>
          <t>N</t>
        </is>
      </c>
      <c r="P360" s="12" t="inlineStr">
        <is>
          <t>2026-09-23 (v843, atlas session): added per Laurie (Titus column). Passing mention; needs the Recorder/Daily Gazette account, a street, and a coordinate. No pin. 2026-09-23 (v846, atlas session): DATE DISCREPANCY (flagged, not reconciled): the same 'Yellow Alert?' column is reposted twice with different original dates — Nov 23 2017 repost says Columbia County Independent Jul 8 2005; Jul 22 2021 repost says Apr 17 2007 (with '(2007)' inserted). Internal evidence cuts both ways: 'last year… Schenectady… six homes' fits 2005 (1st Ave was 2004); the Gilboa dam spilling, weeks of basement flooding and a spring slide fit the record-wet April 2007 (Apr 15–16 nor'easter). Register keeps 2005 for now. If 2007 is right, this Amsterdam slump is ~early April 2007, not June 2005 — re-date once the Independent's archive is checked.</t>
        </is>
      </c>
      <c r="Q360" s="12" t="inlineStr">
        <is>
          <t>2005-06-24</t>
        </is>
      </c>
      <c r="R360" s="12">
        <f>VALUE(LEFT(Q360,4))</f>
        <v/>
      </c>
      <c r="S360" s="12">
        <f>VALUE(MID(Q360,6,2))</f>
        <v/>
      </c>
      <c r="T360" s="12">
        <f>VALUE(RIGHT(Q360,2))</f>
        <v/>
      </c>
      <c r="U360" s="12" t="inlineStr">
        <is>
          <t>week</t>
        </is>
      </c>
      <c r="V360" s="12" t="inlineStr">
        <is>
          <t>'Two weeks ago' from a Jul 8 2005 column — ±1 week</t>
        </is>
      </c>
    </row>
    <row r="361" ht="15" customHeight="1" s="13">
      <c r="A361" s="12" t="n">
        <v>372</v>
      </c>
      <c r="B361" s="12" t="inlineStr">
        <is>
          <t>2004-01-01</t>
        </is>
      </c>
      <c r="C361" s="12" t="inlineStr">
        <is>
          <t>2005-06-30</t>
        </is>
      </c>
      <c r="D361" s="12">
        <f>VALUE(LEFT(B361,4))</f>
        <v/>
      </c>
      <c r="E361" s="12">
        <f>INT((D361-1)/100)+1</f>
        <v/>
      </c>
      <c r="F361" s="12" t="inlineStr">
        <is>
          <t>Landslide</t>
        </is>
      </c>
      <c r="G361" s="12" t="inlineStr">
        <is>
          <t>Freehold small bank slides (2004–spring 2005)</t>
        </is>
      </c>
      <c r="H361" s="12" t="inlineStr">
        <is>
          <t>Freehold (Greenville, Greene Co.) — 'a small slide just a mile from the Titus family home', then another bank 'this spring' (2005) that 'seems to be oozing water'. ~12 mi S of Westerlo (in-core).</t>
        </is>
      </c>
      <c r="I361" s="12" t="inlineStr">
        <is>
          <t>Not given</t>
        </is>
      </c>
      <c r="K361" s="12" t="inlineStr">
        <is>
          <t>Two small slope failures near Freehold in 2004–05, the second seeping groundwater — cited by Titus as local evidence of rising water tables after wet years.</t>
        </is>
      </c>
      <c r="L361" s="12" t="inlineStr">
        <is>
          <t>Titus, R., 'Yellow Alert?', Stories in Stone, The Columbia County Independent, Jul 8 2005 (reposted thecatskillgeologist.com Nov 23 2017)</t>
        </is>
      </c>
      <c r="N361" s="12" t="inlineStr">
        <is>
          <t>C</t>
        </is>
      </c>
      <c r="O361" s="12" t="inlineStr">
        <is>
          <t>N</t>
        </is>
      </c>
      <c r="P361" s="12" t="inlineStr">
        <is>
          <t>2026-09-23 (v843, atlas session): added per Laurie (Titus column). Loci not given — no pin; the existing Freehold pin ('A Bump in the Road — ice-age alluvial fan') is a different subject and must not absorb this. Also mentioned same column, not entered: Gilboa Reservoir spilling summer 2005; New Street, Valatie basement flooding (groundwater, weeks, 3 houses) — hydro, not a hazard event. 2026-09-23 (v846, atlas session): DATE DISCREPANCY (flagged, not reconciled): the same 'Yellow Alert?' column is reposted twice with different original dates — Nov 23 2017 repost says Columbia County Independent Jul 8 2005; Jul 22 2021 repost says Apr 17 2007 (with '(2007)' inserted). Internal evidence cuts both ways: 'last year… Schenectady… six homes' fits 2005 (1st Ave was 2004); the Gilboa dam spilling, weeks of basement flooding and a spring slide fit the record-wet April 2007 (Apr 15–16 nor'easter). Register keeps 2005 for now. The Freehold slides would then be 2006–spring 2007.</t>
        </is>
      </c>
      <c r="Q361" s="12" t="inlineStr">
        <is>
          <t>2005-04-15</t>
        </is>
      </c>
      <c r="R361" s="12">
        <f>VALUE(LEFT(Q361,4))</f>
        <v/>
      </c>
      <c r="S361" s="12">
        <f>VALUE(MID(Q361,6,2))</f>
        <v/>
      </c>
      <c r="T361" s="12">
        <f>VALUE(RIGHT(Q361,2))</f>
        <v/>
      </c>
      <c r="U361" s="12" t="inlineStr">
        <is>
          <t>season</t>
        </is>
      </c>
      <c r="V361" s="12" t="inlineStr">
        <is>
          <t>'This spring' (2005) for the second slide; mid-spring placeholder</t>
        </is>
      </c>
    </row>
    <row r="362" ht="15" customHeight="1" s="13">
      <c r="A362" s="12" t="n">
        <v>375</v>
      </c>
      <c r="B362" s="12" t="inlineStr">
        <is>
          <t>1889-07-09</t>
        </is>
      </c>
      <c r="C362" s="12" t="inlineStr">
        <is>
          <t>1889-07-10</t>
        </is>
      </c>
      <c r="D362" s="12">
        <f>VALUE(LEFT(B362,4))</f>
        <v/>
      </c>
      <c r="E362" s="12">
        <f>INT((D362-1)/100)+1</f>
        <v/>
      </c>
      <c r="F362" s="12" t="inlineStr">
        <is>
          <t>Flash flood / cloudburst</t>
        </is>
      </c>
      <c r="G362" s="12" t="inlineStr">
        <is>
          <t>July 1889 Johnstown (NY) cloudburst flood — Cayadutta Creek</t>
        </is>
      </c>
      <c r="H362" s="12" t="inlineStr">
        <is>
          <t>Johnstown &amp; Gloversville (Fulton Co.); Fonda, Tribes Hill, Minaville, Fort Hunter, Akin (Montgomery Co.); NY Central four-track line washed out Athens–Schuyler Jct. ~45 mi NW of Westerlo.</t>
        </is>
      </c>
      <c r="I362" s="12" t="inlineStr">
        <is>
          <t>Cloudburst ~1.5 mi E of Johnstown, rain 'in sheets' ~3 hrs from mid-afternoon; Cayadutta rose 12–15 ft in 30 min; stone Perry St bridge collapsed with ~50 people on it; 8–20 feared dead, 5 named drowned (ages 9–55); Tribes Hill roadbed washed to 6 ft deep for ~700 ft; Minaville hail 'shoveled by the bushel'; Fort Hunter 3 ft of water at the West Shore depot; loss $125–175k Johnstown alone</t>
        </is>
      </c>
      <c r="K362" s="12" t="inlineStr">
        <is>
          <t>Two thunderheads met over Tribes Hill and circled back onto Johnstown; the Cayadutta became a torrent, taking three mills, ~10 bridges (FJ&amp;G and NY Central bridges at Fonda), Stewart's and McLaren's dams, and the crowded Perry St stone bridge. Village cut off overnight (gas and electric out); NY Central passengers detoured via the West Shore for days. Fonda flooded and a lightning fire; hail and lightning damage across Montgomery Co. farms.</t>
        </is>
      </c>
      <c r="L362" s="12" t="inlineStr">
        <is>
          <t>The Argus (Albany), Jul 11 1889, 'Swept by the Flood' (scan supplied by Laurie; via AP and conductor's account)</t>
        </is>
      </c>
      <c r="N362" s="12" t="inlineStr">
        <is>
          <t>B</t>
        </is>
      </c>
      <c r="O362" s="12" t="inlineStr">
        <is>
          <t>N</t>
        </is>
      </c>
      <c r="P362" s="12" t="inlineStr">
        <is>
          <t>2026-09-23 (v851, atlas session): added per Laurie (scan). Pin candidate: Perry St bridge over the Cayadutta, Johnstown (Places should resolve); Tribes Hill washout is a second locus. Victim names in the article NOT carried.</t>
        </is>
      </c>
      <c r="Q362" s="12" t="inlineStr">
        <is>
          <t>1889-07-09</t>
        </is>
      </c>
      <c r="R362" s="12">
        <f>VALUE(LEFT(Q362,4))</f>
        <v/>
      </c>
      <c r="S362" s="12">
        <f>VALUE(MID(Q362,6,2))</f>
        <v/>
      </c>
      <c r="T362" s="12">
        <f>VALUE(RIGHT(Q362,2))</f>
        <v/>
      </c>
      <c r="U362" s="12" t="inlineStr">
        <is>
          <t>days</t>
        </is>
      </c>
      <c r="V362" s="12" t="inlineStr">
        <is>
          <t>Day of the cloudburst (Tues Jul 9); bridge fell that evening</t>
        </is>
      </c>
    </row>
    <row r="363" ht="15" customHeight="1" s="13">
      <c r="A363" s="12" t="n">
        <v>376</v>
      </c>
      <c r="B363" s="12" t="inlineStr">
        <is>
          <t>1891-02-07</t>
        </is>
      </c>
      <c r="C363" s="12" t="inlineStr">
        <is>
          <t>1891-02-08</t>
        </is>
      </c>
      <c r="D363" s="12">
        <f>VALUE(LEFT(B363,4))</f>
        <v/>
      </c>
      <c r="E363" s="12">
        <f>INT((D363-1)/100)+1</f>
        <v/>
      </c>
      <c r="F363" s="12" t="inlineStr">
        <is>
          <t>Ice storm</t>
        </is>
      </c>
      <c r="G363" s="12" t="inlineStr">
        <is>
          <t>February 1891 ice-and-snow storm — Albany wire disaster</t>
        </is>
      </c>
      <c r="H363" s="12" t="inlineStr">
        <is>
          <t>Albany, Greenbush, Kingston, Rondout; telegraph south and west of the city. In core.</t>
        </is>
      </c>
      <c r="I363" s="12" t="inlineStr">
        <is>
          <t>Wet snow/ice on all wires Sat night Feb 7; Western Union 40+ wires down; telephone switchboard burned out, five poles down on Montgomery St; electric light and both electric railways shut off by mayor's order Feb 8; Kingston 5 poles down; Rondout 25 poles two weeks earlier</t>
        </is>
      </c>
      <c r="K363" s="12" t="inlineStr">
        <is>
          <t>Storm born Feb 5 in the Gulf, ran up the St. Lawrence valley and dropped ice on Albany Sat evening Feb 7: telephone poles fell across trolley and light wires, Mayor Manning ordered every electric current cut for public safety, fire-alarm circuits dead, mounted police and horse-and-cutter fire patrols all night; several days to untangle. Same system had paralyzed New York City two weeks earlier.</t>
        </is>
      </c>
      <c r="L363" s="12" t="inlineStr">
        <is>
          <t>The Argus (Albany), Feb 9 1891, 'Clearing Away the Wreck' (scan supplied by Laurie)</t>
        </is>
      </c>
      <c r="N363" s="12" t="inlineStr">
        <is>
          <t>B</t>
        </is>
      </c>
      <c r="O363" s="12" t="inlineStr">
        <is>
          <t>N</t>
        </is>
      </c>
      <c r="P363" s="12" t="inlineStr">
        <is>
          <t>2026-09-23 (v851, atlas session): added per Laurie (scan). Signal-service history of the low in the same article (Gulf Feb 5 → Arkansas Feb 6 → St. Lawrence Feb 7).</t>
        </is>
      </c>
      <c r="Q363" s="12" t="inlineStr">
        <is>
          <t>1891-02-07</t>
        </is>
      </c>
      <c r="R363" s="12">
        <f>VALUE(LEFT(Q363,4))</f>
        <v/>
      </c>
      <c r="S363" s="12">
        <f>VALUE(MID(Q363,6,2))</f>
        <v/>
      </c>
      <c r="T363" s="12">
        <f>VALUE(RIGHT(Q363,2))</f>
        <v/>
      </c>
      <c r="U363" s="12" t="inlineStr">
        <is>
          <t>days</t>
        </is>
      </c>
      <c r="V363" s="12" t="inlineStr">
        <is>
          <t>Night the wires came down</t>
        </is>
      </c>
    </row>
    <row r="364" ht="15" customHeight="1" s="13">
      <c r="A364" s="12" t="n">
        <v>377</v>
      </c>
      <c r="B364" s="12" t="inlineStr">
        <is>
          <t>1894-06-16</t>
        </is>
      </c>
      <c r="C364" s="12" t="inlineStr">
        <is>
          <t>1894-06-16</t>
        </is>
      </c>
      <c r="D364" s="12">
        <f>VALUE(LEFT(B364,4))</f>
        <v/>
      </c>
      <c r="E364" s="12">
        <f>INT((D364-1)/100)+1</f>
        <v/>
      </c>
      <c r="F364" s="12" t="inlineStr">
        <is>
          <t>Cloudburst / severe thunderstorm</t>
        </is>
      </c>
      <c r="G364" s="12" t="inlineStr">
        <is>
          <t>June 16 1894 Albany cloudburst — 2.12 in in 77 minutes (record)</t>
        </is>
      </c>
      <c r="H364" s="12" t="inlineStr">
        <is>
          <t>Albany (Beaver St, Hudson Ave, North Albany, Washington Park), Troy (Poestenkill), Brunswick &amp; Grafton (Rensselaer Co.). In core.</t>
        </is>
      </c>
      <c r="I364" s="12" t="inlineStr">
        <is>
          <t>2.12 in rain 5:56–7:12 p.m. (1 h 17 m) — heaviest for the duration on Albany record (US Weather Bureau); wind 25 mph; hail; lightning struck St. Luke's M.E. tower and a coal pile at the ballpark; 2 dead in Troy (a 10-yr-old boy swept away in the Poestenkill; a lineman electrocuted/fell four storeys)</t>
        </is>
      </c>
      <c r="K364" s="12" t="inlineStr">
        <is>
          <t>Streets ran as rivers, Beaver St a waterfall into Broadway; granite paving blocks washed down Hawk St; cellars and the City Building flooded roof to cellar; sewers backed up; North Albany tracks under 3 ft of water at the viaduct; a dozen trees uprooted on the Brunswick road; potato and strawberry crops ruined in Brunswick/Grafton.</t>
        </is>
      </c>
      <c r="L364" s="12" t="inlineStr">
        <is>
          <t>The Argus (Albany), Jun 17 1894, 'All Aswim' (scan supplied by Laurie)</t>
        </is>
      </c>
      <c r="N364" s="12" t="inlineStr">
        <is>
          <t>A</t>
        </is>
      </c>
      <c r="O364" s="12" t="inlineStr">
        <is>
          <t>N</t>
        </is>
      </c>
      <c r="P364" s="12" t="inlineStr">
        <is>
          <t>2026-09-23 (v851, atlas session): added per Laurie (scan). Weather Bureau figure quoted in the article; verify against NCEI Albany. Fatalities kept unnamed here.</t>
        </is>
      </c>
      <c r="Q364" s="12" t="inlineStr">
        <is>
          <t>1894-06-16</t>
        </is>
      </c>
      <c r="R364" s="12">
        <f>VALUE(LEFT(Q364,4))</f>
        <v/>
      </c>
      <c r="S364" s="12">
        <f>VALUE(MID(Q364,6,2))</f>
        <v/>
      </c>
      <c r="T364" s="12">
        <f>VALUE(RIGHT(Q364,2))</f>
        <v/>
      </c>
      <c r="U364" s="12" t="inlineStr">
        <is>
          <t>day</t>
        </is>
      </c>
      <c r="V364" s="12" t="inlineStr">
        <is>
          <t>Storm day</t>
        </is>
      </c>
    </row>
    <row r="365" ht="15" customHeight="1" s="13">
      <c r="A365" s="12" t="n">
        <v>378</v>
      </c>
      <c r="B365" s="12" t="inlineStr">
        <is>
          <t>1898-08-23</t>
        </is>
      </c>
      <c r="C365" s="12" t="inlineStr">
        <is>
          <t>1898-08-24</t>
        </is>
      </c>
      <c r="D365" s="12">
        <f>VALUE(LEFT(B365,4))</f>
        <v/>
      </c>
      <c r="E365" s="12">
        <f>INT((D365-1)/100)+1</f>
        <v/>
      </c>
      <c r="F365" s="12" t="inlineStr">
        <is>
          <t>Severe thunderstorm / hail</t>
        </is>
      </c>
      <c r="G365" s="12" t="inlineStr">
        <is>
          <t>August 1898 hail-and-wind storms, Albany (86 mph gust)</t>
        </is>
      </c>
      <c r="H365" s="12" t="inlineStr">
        <is>
          <t>Albany, Castleton, Slingerlands, West Albany, Northumberland, Deerfield, Syracuse. In core.</t>
        </is>
      </c>
      <c r="I365" s="12" t="inlineStr">
        <is>
          <t>Wed Aug 24 ~2:30 p.m.: wind 86 mph at the Federal Building, hail 'from marbles to walnuts', .56 in rain in 15 min; 96.6°F beforehand; 1.45 in for the day; Tue Aug 23: Castleton barns struck and burned (third time), Deerfield cloudburst 4 ft over the road, Syracuse roofs off four factories, a woman killed by lightning at Crawford</t>
        </is>
      </c>
      <c r="K365" s="12" t="inlineStr">
        <is>
          <t>Three days of violent thunderstorms 'unparalleled in the history of the weather bureau': 40 windows out at the South Pearl St hotel and 24 at the Albany Railway power house, orchards stripped, State St a torrent, two men prostrated by a lightning flash through the West Albany shops; washouts on the Mohawk &amp; Malone, Boston &amp; Albany near Chatham, and D&amp;H; Arch St flooded all day.</t>
        </is>
      </c>
      <c r="L365" s="12" t="inlineStr">
        <is>
          <t>The Argus (Albany), Aug 25 1898, 'An August Day Caprice' (scan supplied by Laurie)</t>
        </is>
      </c>
      <c r="N365" s="12" t="inlineStr">
        <is>
          <t>B</t>
        </is>
      </c>
      <c r="O365" s="12" t="inlineStr">
        <is>
          <t>N</t>
        </is>
      </c>
      <c r="P365" s="12" t="inlineStr">
        <is>
          <t>2026-09-23 (v851, atlas session): added per Laurie (scan). Wind figure is the newspaper's from Observer Sims — verify.</t>
        </is>
      </c>
      <c r="Q365" s="12" t="inlineStr">
        <is>
          <t>1898-08-24</t>
        </is>
      </c>
      <c r="R365" s="12">
        <f>VALUE(LEFT(Q365,4))</f>
        <v/>
      </c>
      <c r="S365" s="12">
        <f>VALUE(MID(Q365,6,2))</f>
        <v/>
      </c>
      <c r="T365" s="12">
        <f>VALUE(RIGHT(Q365,2))</f>
        <v/>
      </c>
      <c r="U365" s="12" t="inlineStr">
        <is>
          <t>days</t>
        </is>
      </c>
      <c r="V365" s="12" t="inlineStr">
        <is>
          <t>Day of the 86-mph Albany squall</t>
        </is>
      </c>
    </row>
    <row r="366" ht="15" customHeight="1" s="13">
      <c r="A366" s="12" t="n">
        <v>379</v>
      </c>
      <c r="B366" s="12" t="inlineStr">
        <is>
          <t>1899-05-01</t>
        </is>
      </c>
      <c r="C366" s="12" t="inlineStr">
        <is>
          <t>1899-06-30</t>
        </is>
      </c>
      <c r="D366" s="12">
        <f>VALUE(LEFT(B366,4))</f>
        <v/>
      </c>
      <c r="E366" s="12">
        <f>INT((D366-1)/100)+1</f>
        <v/>
      </c>
      <c r="F366" s="12" t="inlineStr">
        <is>
          <t>Drought</t>
        </is>
      </c>
      <c r="G366" s="12" t="inlineStr">
        <is>
          <t>Spring 1899 Hudson Valley drought — crops dying (Orange/Ulster)</t>
        </is>
      </c>
      <c r="H366" s="12" t="inlineStr">
        <is>
          <t>Middletown, Newburgh (Orange &amp; Ulster Co.) — ~90 mi S of Westerlo; regional</t>
        </is>
      </c>
      <c r="I366" s="12" t="inlineStr">
        <is>
          <t>Not given — 'meadows burning up', oats, wheat, rye, corn withering; fruit damaged; 'even if rain should come now it will not restore them'</t>
        </is>
      </c>
      <c r="K366" s="12" t="inlineStr">
        <is>
          <t>Hot weather and drought through May 1899 caused great damage to fruit and farm crops in the lower Hudson Valley by mid-June.</t>
        </is>
      </c>
      <c r="L366" s="12" t="inlineStr">
        <is>
          <t>The Argus (Albany), Jun 13 1899, 'Effects of the Drouth' (scan supplied by Laurie)</t>
        </is>
      </c>
      <c r="N366" s="12" t="inlineStr">
        <is>
          <t>C</t>
        </is>
      </c>
      <c r="O366" s="12" t="inlineStr">
        <is>
          <t>N</t>
        </is>
      </c>
      <c r="P366" s="12" t="inlineStr">
        <is>
          <t>2026-09-23 (v851, atlas session): added per Laurie (scan). Needs Albany-area confirmation and Palmer/NCEI grading; region-wide, no pin.</t>
        </is>
      </c>
      <c r="Q366" s="12" t="inlineStr">
        <is>
          <t>1899-06-12</t>
        </is>
      </c>
      <c r="R366" s="12">
        <f>VALUE(LEFT(Q366,4))</f>
        <v/>
      </c>
      <c r="S366" s="12">
        <f>VALUE(MID(Q366,6,2))</f>
        <v/>
      </c>
      <c r="T366" s="12">
        <f>VALUE(RIGHT(Q366,2))</f>
        <v/>
      </c>
      <c r="U366" s="12" t="inlineStr">
        <is>
          <t>season</t>
        </is>
      </c>
      <c r="V366" s="12" t="inlineStr">
        <is>
          <t>Report date</t>
        </is>
      </c>
    </row>
    <row r="367" ht="15" customHeight="1" s="13">
      <c r="A367" s="12" t="n">
        <v>380</v>
      </c>
      <c r="B367" s="12" t="inlineStr">
        <is>
          <t>1910-05-30</t>
        </is>
      </c>
      <c r="C367" s="12" t="inlineStr">
        <is>
          <t>1910-05-30</t>
        </is>
      </c>
      <c r="D367" s="12">
        <f>VALUE(LEFT(B367,4))</f>
        <v/>
      </c>
      <c r="E367" s="12">
        <f>INT((D367-1)/100)+1</f>
        <v/>
      </c>
      <c r="F367" s="12" t="inlineStr">
        <is>
          <t>Severe thunderstorm / hail</t>
        </is>
      </c>
      <c r="G367" s="12" t="inlineStr">
        <is>
          <t>Memorial Day 1910 hailstorm — Clarksville, Westerlo, Coxsackie</t>
        </is>
      </c>
      <c r="H367" s="12" t="inlineStr">
        <is>
          <t>Clarksville (New Scotland), Westerlo, South Westerlo, Coxsackie, New Baltimore, Ravena/Coeymans. IN CORE (Westerlo).</t>
        </is>
      </c>
      <c r="I367" s="12" t="inlineStr">
        <is>
          <t>Clarksville: hail 'as large as hickory nuts' from ~12:30 p.m. for ~2 hrs, lying on the ground nearly 2 hrs after — 'worst storm of hail ever known in this village'; Westerlo: hail lay 'quite thick', oats damaged, the LaVergne barn above the village struck by lightning (did not burn); Coxsackie: golf-ball hail; New Baltimore: a man knocked down by a lightning strike 150 ft from his kitchen</t>
        </is>
      </c>
      <c r="K367" s="12" t="inlineStr">
        <is>
          <t>A train of thunder showers on Memorial Day afternoon 1910 stripped foliage and ruined gardens and fruit across the Hilltowns edge; the Clarksville–Voorheesville ball game and the Coeymans Memorial Day parade were rained out; South Westerlo reported the worst electric storm of the season, hail heavier to the north.</t>
        </is>
      </c>
      <c r="L367" s="12" t="inlineStr">
        <is>
          <t>The News-Herald (Coeymans/Ravena), Jun 3 1910, 'Hail Stones As Large As Hickorynuts' (scan supplied by Laurie)</t>
        </is>
      </c>
      <c r="N367" s="12" t="inlineStr">
        <is>
          <t>B</t>
        </is>
      </c>
      <c r="O367" s="12" t="inlineStr">
        <is>
          <t>N</t>
        </is>
      </c>
      <c r="P367" s="12" t="inlineStr">
        <is>
          <t>2026-09-23 (v851, atlas session): added per Laurie (scan). Westerlo-specific: 'the barn of Theodore LaVergne, above this village' — a locus if the LaVergne farm can be placed.</t>
        </is>
      </c>
      <c r="Q367" s="12" t="inlineStr">
        <is>
          <t>1910-05-30</t>
        </is>
      </c>
      <c r="R367" s="12">
        <f>VALUE(LEFT(Q367,4))</f>
        <v/>
      </c>
      <c r="S367" s="12">
        <f>VALUE(MID(Q367,6,2))</f>
        <v/>
      </c>
      <c r="T367" s="12">
        <f>VALUE(RIGHT(Q367,2))</f>
        <v/>
      </c>
      <c r="U367" s="12" t="inlineStr">
        <is>
          <t>day</t>
        </is>
      </c>
      <c r="V367" s="12" t="inlineStr">
        <is>
          <t>Storm day</t>
        </is>
      </c>
    </row>
    <row r="368" ht="15" customHeight="1" s="13">
      <c r="A368" s="12" t="n">
        <v>381</v>
      </c>
      <c r="B368" s="12" t="inlineStr">
        <is>
          <t>1974-03-10</t>
        </is>
      </c>
      <c r="C368" s="12" t="inlineStr">
        <is>
          <t>1974-03-10</t>
        </is>
      </c>
      <c r="D368" s="12">
        <f>VALUE(LEFT(B368,4))</f>
        <v/>
      </c>
      <c r="E368" s="12">
        <f>INT((D368-1)/100)+1</f>
        <v/>
      </c>
      <c r="F368" s="12" t="inlineStr">
        <is>
          <t>Windstorm</t>
        </is>
      </c>
      <c r="G368" s="12" t="inlineStr">
        <is>
          <t>March 10 1974 windstorm — Ravena/Coeymans (60+ mph gusts)</t>
        </is>
      </c>
      <c r="H368" s="12" t="inlineStr">
        <is>
          <t>Ravena, Coeymans Hollow, Selkirk, Route 144 corridor (Albany Co.). In core edge.</t>
        </is>
      </c>
      <c r="I368" s="12" t="inlineStr">
        <is>
          <t>Gusts over 60 mph shortly after noon Sunday; 3 trees down at Fonda Del Sol (2 cars hit); roofs off the Ravena Dress Shop and a village building, chimney torn to roof level; $1,000 damage to the Frese bakery; steel roof of the Ralston Purina plant at Selkirk blown into the swamp; 50-in-circumference tree down on wires in Coeymans Hollow; 'biggest blow here since Thanksgiving 1961'</t>
        </is>
      </c>
      <c r="K368" s="12" t="inlineStr">
        <is>
          <t>Sunday windstorm tore roofs and trees across the Ravena–Selkirk corridor; scattered outages (Central Hudson), water plant on manual through four power cutoffs; no widespread failures.</t>
        </is>
      </c>
      <c r="L368" s="12" t="inlineStr">
        <is>
          <t>The News-Herald (Ravena), Mar 14 1974, 'Wind Storm Damage High In Immediate Area' (scan supplied by Laurie)</t>
        </is>
      </c>
      <c r="N368" s="12" t="inlineStr">
        <is>
          <t>B</t>
        </is>
      </c>
      <c r="O368" s="12" t="inlineStr">
        <is>
          <t>N</t>
        </is>
      </c>
      <c r="P368" s="12" t="inlineStr">
        <is>
          <t>2026-09-23 (v851, atlas session): added per Laurie (scan). Also flags a Thanksgiving 1961 windstorm as the prior benchmark — not in the register; date needed (Nov 23 1961?). 2026-09-23 (v854, atlas session): The 'Thanksgiving 1961' benchmark quoted by the 1974 News-Herald is not in NWS Albany's storm history; the Thanksgiving windstorm of record is Nov 24–25 1950 (row 119, 83 mph at Albany) and the Thanksgiving snowstorm is 1971 (row 136). Probable memory slip in the 1974 article — treat 1961 as unverified.</t>
        </is>
      </c>
      <c r="Q368" s="12" t="inlineStr">
        <is>
          <t>1974-03-10</t>
        </is>
      </c>
      <c r="R368" s="12">
        <f>VALUE(LEFT(Q368,4))</f>
        <v/>
      </c>
      <c r="S368" s="12">
        <f>VALUE(MID(Q368,6,2))</f>
        <v/>
      </c>
      <c r="T368" s="12">
        <f>VALUE(RIGHT(Q368,2))</f>
        <v/>
      </c>
      <c r="U368" s="12" t="inlineStr">
        <is>
          <t>day</t>
        </is>
      </c>
      <c r="V368" s="12" t="inlineStr">
        <is>
          <t>Storm day</t>
        </is>
      </c>
    </row>
    <row r="369" ht="15" customHeight="1" s="13">
      <c r="A369" s="12" t="n">
        <v>382</v>
      </c>
      <c r="B369" s="12" t="inlineStr">
        <is>
          <t>1990-10-18</t>
        </is>
      </c>
      <c r="C369" s="12" t="inlineStr">
        <is>
          <t>1990-10-18</t>
        </is>
      </c>
      <c r="D369" s="12">
        <f>VALUE(LEFT(B369,4))</f>
        <v/>
      </c>
      <c r="E369" s="12">
        <f>INT((D369-1)/100)+1</f>
        <v/>
      </c>
      <c r="F369" s="12" t="inlineStr">
        <is>
          <t>Windstorm / possible downburst</t>
        </is>
      </c>
      <c r="G369" s="12" t="inlineStr">
        <is>
          <t>October 18 1990 windstorm — Westerlo (Routes 403/404/409, Fields Rd)</t>
        </is>
      </c>
      <c r="H369" s="12" t="inlineStr">
        <is>
          <t>Westerlo (Rte 404, Rte 409, Fields Rd, Rte 403), Grapeville (Greene Co.). IN CORE.</t>
        </is>
      </c>
      <c r="I369" s="12" t="inlineStr">
        <is>
          <t>Power out 8:05 p.m.; mature willow onto a Rte 404 home at 8:10; violent phase ~2 minutes 'like a train rushing by'; a 24×30 ft three-sided horse barn on 6×6 posts set 4 ft deep pulled out of the ground on Fields Rd, roof landing on the adjoining Rte 403 property; ancient willows uprooted; ~50 trees down behind a Grapeville house, some sheared mid-trunk</t>
        </is>
      </c>
      <c r="K369" s="12" t="inlineStr">
        <is>
          <t>Thursday-night windstorm after hours of wind and rain; residents believed it a tornado (NWS called it high winds); no injuries; roof/chimney damage to two Fields Rd homes, willow crushed a Rte 404 overhang; sparking wires at Grapeville.</t>
        </is>
      </c>
      <c r="L369" s="12" t="inlineStr">
        <is>
          <t>The Altamont Enterprise, Oct 25 1990, 'Heavens release their fury on the Hilltowns' (Limer; scan supplied by Laurie)</t>
        </is>
      </c>
      <c r="N369" s="12" t="inlineStr">
        <is>
          <t>B</t>
        </is>
      </c>
      <c r="O369" s="12" t="inlineStr">
        <is>
          <t>N</t>
        </is>
      </c>
      <c r="P369" s="12" t="inlineStr">
        <is>
          <t>2026-09-23 (v852, atlas session): added per Laurie (scan). Pin candidates: Fields Rd/Rte 403 Westerlo (barn), Rte 404 (willow) — road-level only; check NCEI Storm Events for Oct 18 1990 Albany Co. thunderstorm wind / downburst rating.</t>
        </is>
      </c>
      <c r="Q369" s="12" t="inlineStr">
        <is>
          <t>1990-10-18</t>
        </is>
      </c>
      <c r="R369" s="12">
        <f>VALUE(LEFT(Q369,4))</f>
        <v/>
      </c>
      <c r="S369" s="12">
        <f>VALUE(MID(Q369,6,2))</f>
        <v/>
      </c>
      <c r="T369" s="12">
        <f>VALUE(RIGHT(Q369,2))</f>
        <v/>
      </c>
      <c r="U369" s="12" t="inlineStr">
        <is>
          <t>day</t>
        </is>
      </c>
      <c r="V369" s="12" t="inlineStr">
        <is>
          <t>Storm night</t>
        </is>
      </c>
    </row>
    <row r="370" ht="15" customHeight="1" s="13">
      <c r="A370" s="12" t="n">
        <v>383</v>
      </c>
      <c r="B370" s="12" t="inlineStr">
        <is>
          <t>1996-06-01</t>
        </is>
      </c>
      <c r="C370" s="12" t="inlineStr">
        <is>
          <t>1996-07-13</t>
        </is>
      </c>
      <c r="D370" s="12">
        <f>VALUE(LEFT(B370,4))</f>
        <v/>
      </c>
      <c r="E370" s="12">
        <f>INT((D370-1)/100)+1</f>
        <v/>
      </c>
      <c r="F370" s="12" t="inlineStr">
        <is>
          <t>Flash flood</t>
        </is>
      </c>
      <c r="G370" s="12" t="inlineStr">
        <is>
          <t>June &amp; July 13 1996 Hilltowns flash floods (7–8 in in 12–13 hrs at Knox)</t>
        </is>
      </c>
      <c r="H370" s="12" t="inlineStr">
        <is>
          <t>Knox, Berne (Irish Hill, Simons Hill, Turner Rd), New Scotland. IN CORE.</t>
        </is>
      </c>
      <c r="I370" s="12" t="inlineStr">
        <is>
          <t>July 13 1996: 7–8 in of rain in 12–13 hours (Knox highway supt.); Irish Hill, Simons Hill and Turner Rds washed out again in June; Knox lost ~3 weeks of road work and an Old Stage Rd project</t>
        </is>
      </c>
      <c r="K370" s="12" t="inlineStr">
        <is>
          <t>Two further floods after the January 1996 thaw flood, on ground 'saturated year-round'; FEMA covered none of the June/July damage. Knox: Cross Lane half washed out, Line Rd heavily damaged.</t>
        </is>
      </c>
      <c r="L370" s="12" t="inlineStr">
        <is>
          <t>The Altamont Enterprise, Oct 10 1996, 'Flood relief money coming in to municipalities, school district' (scan supplied by Laurie)</t>
        </is>
      </c>
      <c r="N370" s="12" t="inlineStr">
        <is>
          <t>B</t>
        </is>
      </c>
      <c r="O370" s="12" t="inlineStr">
        <is>
          <t>N</t>
        </is>
      </c>
      <c r="P370" s="12" t="inlineStr">
        <is>
          <t>2026-09-23 (v852, atlas session): added per Laurie (scan). June 1996 date needed; check NCEI.</t>
        </is>
      </c>
      <c r="Q370" s="12" t="inlineStr">
        <is>
          <t>1996-07-13</t>
        </is>
      </c>
      <c r="R370" s="12">
        <f>VALUE(LEFT(Q370,4))</f>
        <v/>
      </c>
      <c r="S370" s="12">
        <f>VALUE(MID(Q370,6,2))</f>
        <v/>
      </c>
      <c r="T370" s="12">
        <f>VALUE(RIGHT(Q370,2))</f>
        <v/>
      </c>
      <c r="U370" s="12" t="inlineStr">
        <is>
          <t>days</t>
        </is>
      </c>
      <c r="V370" s="12" t="inlineStr">
        <is>
          <t>The July 13 deluge (June flood undated in the article)</t>
        </is>
      </c>
    </row>
    <row r="371">
      <c r="A371" s="12" t="n">
        <v>384</v>
      </c>
      <c r="B371" s="12" t="inlineStr">
        <is>
          <t>1804-03-01</t>
        </is>
      </c>
      <c r="C371" s="12" t="inlineStr">
        <is>
          <t>1804-06-30</t>
        </is>
      </c>
      <c r="D371" s="12">
        <f>VALUE(LEFT(B371,4))</f>
        <v/>
      </c>
      <c r="E371" s="12">
        <f>INT((D371-1)/100)+1</f>
        <v/>
      </c>
      <c r="F371" s="12" t="inlineStr">
        <is>
          <t>Ice jam / freshet</t>
        </is>
      </c>
      <c r="G371" s="12" t="inlineStr">
        <is>
          <t>1804 winter–spring freshets damage Burr's Catskill draw-bridge (trestles → stone piers)</t>
        </is>
      </c>
      <c r="H371" s="12" t="inlineStr">
        <is>
          <t>Catskill Creek at the village of Catskill (Bridge St crossing), Greene Co. OUT OF CORE (Hudson-side Greene Co.).</t>
        </is>
      </c>
      <c r="I371" s="12" t="inlineStr">
        <is>
          <t>Two timber trestles undermined; company advertised July 1804 for stone piers at their feet</t>
        </is>
      </c>
      <c r="K371" s="12" t="inlineStr">
        <is>
          <t>After 'an especially brutal winter and unruly spring freshets', the two-year-old 550-ft timber trestle draw-bridge (Theodore Burr, 1802) needed stone piers under two trestles — the start of eighty years of ice-driven rebuilding at this crossing.</t>
        </is>
      </c>
      <c r="L371" s="12" t="inlineStr">
        <is>
          <t>Ronald G. Knapp &amp; Terry E. Miller, 'A History of Early Bridges Over Catskill Creek', New York Almanack, Apr 14 2025 (citing Catskill newspapers, July 1804)</t>
        </is>
      </c>
      <c r="M371" s="12" t="inlineStr">
        <is>
          <t>https://www.newyorkalmanack.com/2025/04/early-bridges-over-catskill-creek/</t>
        </is>
      </c>
      <c r="N371" s="12" t="inlineStr">
        <is>
          <t>B</t>
        </is>
      </c>
      <c r="O371" s="12" t="inlineStr">
        <is>
          <t>N</t>
        </is>
      </c>
      <c r="P371" s="12" t="inlineStr">
        <is>
          <t>2026-09-24 (v863, atlas session): Season-level only; the July 1804 ads are the terminus ante quem. Companion to the recurring 🧊 Geology pin at Bridge St.</t>
        </is>
      </c>
      <c r="Q371" s="12" t="inlineStr">
        <is>
          <t>1804-03-01</t>
        </is>
      </c>
      <c r="R371" s="12">
        <f>VALUE(LEFT(Q371,4))</f>
        <v/>
      </c>
      <c r="S371" s="12">
        <f>VALUE(MID(Q371,6,2))</f>
        <v/>
      </c>
      <c r="T371" s="12">
        <f>VALUE(RIGHT(Q371,2))</f>
        <v/>
      </c>
      <c r="U371" s="12" t="inlineStr">
        <is>
          <t>season</t>
        </is>
      </c>
      <c r="V371" s="12" t="inlineStr">
        <is>
          <t>Winter/spring 1804 freshets; anchored to Mar 1 as season start</t>
        </is>
      </c>
    </row>
    <row r="372">
      <c r="A372" s="12" t="n">
        <v>385</v>
      </c>
      <c r="B372" s="12" t="inlineStr">
        <is>
          <t>1818-03-01</t>
        </is>
      </c>
      <c r="C372" s="12" t="inlineStr">
        <is>
          <t>1818-03-31</t>
        </is>
      </c>
      <c r="D372" s="12">
        <f>VALUE(LEFT(B372,4))</f>
        <v/>
      </c>
      <c r="E372" s="12">
        <f>INT((D372-1)/100)+1</f>
        <v/>
      </c>
      <c r="F372" s="12" t="inlineStr">
        <is>
          <t>Ice jam</t>
        </is>
      </c>
      <c r="G372" s="12" t="inlineStr">
        <is>
          <t>March 1818 Catskill Creek ice breakup carries off the west end of the Catskill Bridge</t>
        </is>
      </c>
      <c r="H372" s="12" t="inlineStr">
        <is>
          <t>Catskill Creek at the village of Catskill (Bridge St crossing), Greene Co. OUT OF CORE (Hudson-side Greene Co.).</t>
        </is>
      </c>
      <c r="I372" s="12" t="inlineStr">
        <is>
          <t>West end of the bridge carried away; crossing impassable</t>
        </is>
      </c>
      <c r="K372" s="12" t="inlineStr">
        <is>
          <t>Late rains raised the creek 'to a considerable height, the ice in the Catskill broke up… with such force' that the west end of the bridge went; likely rebuilt on a raised pier.</t>
        </is>
      </c>
      <c r="L372" s="12" t="inlineStr">
        <is>
          <t>Ronald G. Knapp &amp; Terry E. Miller, 'A History of Early Bridges Over Catskill Creek', New York Almanack, Apr 14 2025 (quoting a March 1818 newspaper report)</t>
        </is>
      </c>
      <c r="M372" s="12" t="inlineStr">
        <is>
          <t>https://www.newyorkalmanack.com/2025/04/early-bridges-over-catskill-creek/</t>
        </is>
      </c>
      <c r="N372" s="12" t="inlineStr">
        <is>
          <t>B</t>
        </is>
      </c>
      <c r="O372" s="12" t="inlineStr">
        <is>
          <t>N</t>
        </is>
      </c>
      <c r="P372" s="12" t="inlineStr">
        <is>
          <t>2026-09-24 (v863, atlas session): Month-level. NOTE: the article quotes near-identical wording for an 1870 event (row 387) — possible source conflation; verify one against Catskill Recorder/Messenger files at the Vedder Library.</t>
        </is>
      </c>
      <c r="Q372" s="12" t="inlineStr">
        <is>
          <t>1818-03-01</t>
        </is>
      </c>
      <c r="R372" s="12">
        <f>VALUE(LEFT(Q372,4))</f>
        <v/>
      </c>
      <c r="S372" s="12">
        <f>VALUE(MID(Q372,6,2))</f>
        <v/>
      </c>
      <c r="T372" s="12">
        <f>VALUE(RIGHT(Q372,2))</f>
        <v/>
      </c>
      <c r="U372" s="12" t="inlineStr">
        <is>
          <t>month</t>
        </is>
      </c>
      <c r="V372" s="12" t="inlineStr">
        <is>
          <t>March 1818 per the quoted report; day unknown</t>
        </is>
      </c>
    </row>
    <row r="373">
      <c r="A373" s="12" t="n">
        <v>386</v>
      </c>
      <c r="B373" s="12" t="inlineStr">
        <is>
          <t>1869-05-01</t>
        </is>
      </c>
      <c r="C373" s="12" t="inlineStr">
        <is>
          <t>1869-05-31</t>
        </is>
      </c>
      <c r="D373" s="12">
        <f>VALUE(LEFT(B373,4))</f>
        <v/>
      </c>
      <c r="E373" s="12">
        <f>INT((D373-1)/100)+1</f>
        <v/>
      </c>
      <c r="F373" s="12" t="inlineStr">
        <is>
          <t>Structural failure / freshet</t>
        </is>
      </c>
      <c r="G373" s="12" t="inlineStr">
        <is>
          <t>May 1869 span of the Catskill Bridge collapses — loss of life</t>
        </is>
      </c>
      <c r="H373" s="12" t="inlineStr">
        <is>
          <t>Catskill Creek at the village of Catskill (Bridge St crossing), Greene Co. OUT OF CORE (Hudson-side Greene Co.).</t>
        </is>
      </c>
      <c r="I373" s="12" t="inlineStr">
        <is>
          <t>'Entire span… gave way… with an avalanche of broken timbers'; at least one death</t>
        </is>
      </c>
      <c r="K373" s="12" t="inlineStr">
        <is>
          <t>One full span of the 67-year-old timber bridge fell; a fatality was reported. Within a year the town built a separate iron arch bridge half a mile upstream (1869–70) and bought the old toll bridge (1870), making it free.</t>
        </is>
      </c>
      <c r="L373" s="12" t="inlineStr">
        <is>
          <t>Ronald G. Knapp &amp; Terry E. Miller, 'A History of Early Bridges Over Catskill Creek', New York Almanack, Apr 14 2025 (quoting May 1869 newspaper)</t>
        </is>
      </c>
      <c r="M373" s="12" t="inlineStr">
        <is>
          <t>https://www.newyorkalmanack.com/2025/04/early-bridges-over-catskill-creek/</t>
        </is>
      </c>
      <c r="N373" s="12" t="inlineStr">
        <is>
          <t>B</t>
        </is>
      </c>
      <c r="O373" s="12" t="inlineStr">
        <is>
          <t>N</t>
        </is>
      </c>
      <c r="P373" s="12" t="inlineStr">
        <is>
          <t>2026-09-24 (v863, atlas session): Month-level. Cause not stated as ice/flood — filed as structural failure in a freshet-prone month; recategorize if the Recorder gives weather.</t>
        </is>
      </c>
      <c r="Q373" s="12" t="inlineStr">
        <is>
          <t>1869-05-01</t>
        </is>
      </c>
      <c r="R373" s="12">
        <f>VALUE(LEFT(Q373,4))</f>
        <v/>
      </c>
      <c r="S373" s="12">
        <f>VALUE(MID(Q373,6,2))</f>
        <v/>
      </c>
      <c r="T373" s="12">
        <f>VALUE(RIGHT(Q373,2))</f>
        <v/>
      </c>
      <c r="U373" s="12" t="inlineStr">
        <is>
          <t>month</t>
        </is>
      </c>
      <c r="V373" s="12" t="inlineStr">
        <is>
          <t>May 1869 per the article; day unknown</t>
        </is>
      </c>
    </row>
    <row r="374">
      <c r="A374" s="12" t="n">
        <v>387</v>
      </c>
      <c r="B374" s="12" t="inlineStr">
        <is>
          <t>1870-03-01</t>
        </is>
      </c>
      <c r="C374" s="12" t="inlineStr">
        <is>
          <t>1870-04-30</t>
        </is>
      </c>
      <c r="D374" s="12">
        <f>VALUE(LEFT(B374,4))</f>
        <v/>
      </c>
      <c r="E374" s="12">
        <f>INT((D374-1)/100)+1</f>
        <v/>
      </c>
      <c r="F374" s="12" t="inlineStr">
        <is>
          <t>Ice jam / freshet</t>
        </is>
      </c>
      <c r="G374" s="12" t="inlineStr">
        <is>
          <t>Spring 1870 ice freshet carries off the west end of the Catskill Bridge</t>
        </is>
      </c>
      <c r="H374" s="12" t="inlineStr">
        <is>
          <t>Catskill Creek at the village of Catskill (Bridge St crossing), Greene Co. OUT OF CORE (Hudson-side Greene Co.).</t>
        </is>
      </c>
      <c r="I374" s="12" t="inlineStr">
        <is>
          <t>West end carried away; impassable</t>
        </is>
      </c>
      <c r="K374" s="12" t="inlineStr">
        <is>
          <t>'An early spring freshet… the ice in the Catskill broke up… with such force as to occasion considerable injury. The west end of the Catskill bridge was carried off.'</t>
        </is>
      </c>
      <c r="L374" s="12" t="inlineStr">
        <is>
          <t>Ronald G. Knapp &amp; Terry E. Miller, 'A History of Early Bridges Over Catskill Creek', New York Almanack, Apr 14 2025 (quoting 1870 newspaper)</t>
        </is>
      </c>
      <c r="M374" s="12" t="inlineStr">
        <is>
          <t>https://www.newyorkalmanack.com/2025/04/early-bridges-over-catskill-creek/</t>
        </is>
      </c>
      <c r="N374" s="12" t="inlineStr">
        <is>
          <t>C</t>
        </is>
      </c>
      <c r="O374" s="12" t="inlineStr">
        <is>
          <t>N</t>
        </is>
      </c>
      <c r="P374" s="12" t="inlineStr">
        <is>
          <t>2026-09-24 (v863, atlas session): Season-level. Wording is nearly identical to the 1818 report (row 385) — one of the two may be a misdated quotation in the source article; confidence C until checked.</t>
        </is>
      </c>
      <c r="Q374" s="12" t="inlineStr">
        <is>
          <t>1870-03-01</t>
        </is>
      </c>
      <c r="R374" s="12">
        <f>VALUE(LEFT(Q374,4))</f>
        <v/>
      </c>
      <c r="S374" s="12">
        <f>VALUE(MID(Q374,6,2))</f>
        <v/>
      </c>
      <c r="T374" s="12">
        <f>VALUE(RIGHT(Q374,2))</f>
        <v/>
      </c>
      <c r="U374" s="12" t="inlineStr">
        <is>
          <t>season</t>
        </is>
      </c>
      <c r="V374" s="12" t="inlineStr">
        <is>
          <t>Early spring 1870; anchored to Mar 1</t>
        </is>
      </c>
    </row>
    <row r="375">
      <c r="A375" s="12" t="n">
        <v>388</v>
      </c>
      <c r="B375" s="12" t="inlineStr">
        <is>
          <t>1874-06-10</t>
        </is>
      </c>
      <c r="C375" s="12" t="inlineStr">
        <is>
          <t>1874-06-14</t>
        </is>
      </c>
      <c r="D375" s="12">
        <f>VALUE(LEFT(B375,4))</f>
        <v/>
      </c>
      <c r="E375" s="12">
        <f>INT((D375-1)/100)+1</f>
        <v/>
      </c>
      <c r="F375" s="12" t="inlineStr">
        <is>
          <t>Rain flood</t>
        </is>
      </c>
      <c r="G375" s="12" t="inlineStr">
        <is>
          <t>June 1874 Catskill Creek flood sweeps away three large bridges</t>
        </is>
      </c>
      <c r="H375" s="12" t="inlineStr">
        <is>
          <t>Catskill Creek (Greene Co.), within a Hudson Valley / New England flood. OUT OF CORE.</t>
        </is>
      </c>
      <c r="I375" s="12" t="inlineStr">
        <is>
          <t>Three large bridges on Catskill Creek swept away (bridges not identified)</t>
        </is>
      </c>
      <c r="K375" s="12" t="inlineStr">
        <is>
          <t>Part of a regional flood on the Hudson and neighboring New England reported by the Troy Daily Times, June 13–14 1874. Which three Catskill Creek bridges is not stated — candidates are the Leeds/Madison, Woodstock (Cairo) and Cauterskill crossings.</t>
        </is>
      </c>
      <c r="L375" s="12" t="inlineStr">
        <is>
          <t>Ronald G. Knapp &amp; Terry E. Miller, 'A History of Early Bridges Over Catskill Creek', New York Almanack, Apr 14 2025 (citing Troy Daily Times, June 13 &amp; 14 1874)</t>
        </is>
      </c>
      <c r="M375" s="12" t="inlineStr">
        <is>
          <t>https://www.newyorkalmanack.com/2025/04/early-bridges-over-catskill-creek/</t>
        </is>
      </c>
      <c r="N375" s="12" t="inlineStr">
        <is>
          <t>B</t>
        </is>
      </c>
      <c r="O375" s="12" t="inlineStr">
        <is>
          <t>N</t>
        </is>
      </c>
      <c r="P375" s="12" t="inlineStr">
        <is>
          <t>2026-09-24 (v863, atlas session): Dates bracket the Troy reports; the flood itself likely June 10–13. CHECK: does the register already carry a June 1874 Hudson Valley flood under another name? None found by keyword. Identify the three bridges from the Catskill Recorder, June 1874.</t>
        </is>
      </c>
      <c r="Q375" s="12" t="inlineStr">
        <is>
          <t>1874-06-12</t>
        </is>
      </c>
      <c r="R375" s="12">
        <f>VALUE(LEFT(Q375,4))</f>
        <v/>
      </c>
      <c r="S375" s="12">
        <f>VALUE(MID(Q375,6,2))</f>
        <v/>
      </c>
      <c r="T375" s="12">
        <f>VALUE(RIGHT(Q375,2))</f>
        <v/>
      </c>
      <c r="U375" s="12" t="inlineStr">
        <is>
          <t>days</t>
        </is>
      </c>
      <c r="V375" s="12" t="inlineStr">
        <is>
          <t>Troy Daily Times reports of June 13–14 1874; anchored to Jun 12</t>
        </is>
      </c>
    </row>
    <row r="376">
      <c r="A376" s="12" t="n">
        <v>389</v>
      </c>
      <c r="B376" s="12" t="inlineStr">
        <is>
          <t>1875-04-01</t>
        </is>
      </c>
      <c r="C376" s="12" t="inlineStr">
        <is>
          <t>1875-04-01</t>
        </is>
      </c>
      <c r="D376" s="12">
        <f>VALUE(LEFT(B376,4))</f>
        <v/>
      </c>
      <c r="E376" s="12">
        <f>INT((D376-1)/100)+1</f>
        <v/>
      </c>
      <c r="F376" s="12" t="inlineStr">
        <is>
          <t>Ice jam</t>
        </is>
      </c>
      <c r="G376" s="12" t="inlineStr">
        <is>
          <t>April 1 1875 ice gorge on Catskill Creek above the 'Old Bridge' (Library of Congress stereograph)</t>
        </is>
      </c>
      <c r="H376" s="12" t="inlineStr">
        <is>
          <t>Catskill Creek at the village of Catskill (Bridge St crossing), Greene Co. OUT OF CORE (Hudson-side Greene Co.).</t>
        </is>
      </c>
      <c r="I376" s="12" t="inlineStr">
        <is>
          <t>Ice gorge photographed against the swing-bridge; boxed pony truss and angled buttresses visible</t>
        </is>
      </c>
      <c r="K376" s="12" t="inlineStr">
        <is>
          <t>A stereograph in the Library of Congress, labeled 'Ice gorge in the Catskill Creek above the Old Bridge, Apr 1st 1875', shows upwelling blocks of ice piled against the 1802 bridge — the image that turned calls for an iron replacement (built 1881–82) into a campaign. Repairs are also recorded for 1873, 1875 and 1880.</t>
        </is>
      </c>
      <c r="L376" s="12" t="inlineStr">
        <is>
          <t>Ronald G. Knapp &amp; Terry E. Miller, 'A History of Early Bridges Over Catskill Creek', New York Almanack, Apr 14 2025 (Library of Congress stereograph, Apr 1 1875)</t>
        </is>
      </c>
      <c r="M376" s="12" t="inlineStr">
        <is>
          <t>https://www.newyorkalmanack.com/2025/04/early-bridges-over-catskill-creek/</t>
        </is>
      </c>
      <c r="N376" s="12" t="inlineStr">
        <is>
          <t>A</t>
        </is>
      </c>
      <c r="O376" s="12" t="inlineStr">
        <is>
          <t>N</t>
        </is>
      </c>
      <c r="P376" s="12" t="inlineStr">
        <is>
          <t>2026-09-24 (v863, atlas session): Day-level from the photo label. Pull the LOC item for the register's image column. The 1882 Recorder letters warning that the new West Shore RR piers and the west abutment would act as an ice dam are in the 🧊 pin notes.</t>
        </is>
      </c>
      <c r="Q376" s="12" t="inlineStr">
        <is>
          <t>1875-04-01</t>
        </is>
      </c>
      <c r="R376" s="12">
        <f>VALUE(LEFT(Q376,4))</f>
        <v/>
      </c>
      <c r="S376" s="12">
        <f>VALUE(MID(Q376,6,2))</f>
        <v/>
      </c>
      <c r="T376" s="12">
        <f>VALUE(RIGHT(Q376,2))</f>
        <v/>
      </c>
      <c r="U376" s="12" t="inlineStr">
        <is>
          <t>day</t>
        </is>
      </c>
      <c r="V376" s="12" t="inlineStr">
        <is>
          <t>Stereograph label: Apr 1st 1875</t>
        </is>
      </c>
    </row>
    <row r="377">
      <c r="A377" s="12" t="n">
        <v>391</v>
      </c>
      <c r="B377" s="12" t="inlineStr">
        <is>
          <t>2022-05-10</t>
        </is>
      </c>
      <c r="C377" s="12" t="inlineStr">
        <is>
          <t>2022-05-11</t>
        </is>
      </c>
      <c r="D377" s="12">
        <f>VALUE(LEFT(B377,4))</f>
        <v/>
      </c>
      <c r="E377" s="12">
        <f>INT((D377-1)/100)+1</f>
        <v/>
      </c>
      <c r="F377" s="12" t="inlineStr">
        <is>
          <t>Wildfire</t>
        </is>
      </c>
      <c r="G377" s="12" t="inlineStr">
        <is>
          <t>Cart Road Fire — wildfire, 4.5 acres, Dover (Dutchess Co.)</t>
        </is>
      </c>
      <c r="H377" s="12" t="inlineStr">
        <is>
          <t>Dover, Dutchess County; Private Property</t>
        </is>
      </c>
      <c r="I377" s="12" t="inlineStr">
        <is>
          <t>4.5 acres; cause Miscellaneous; fuel 9 - Timber - Medium Hardwood Litter</t>
        </is>
      </c>
      <c r="J377" s="12" t="inlineStr">
        <is>
          <t>41.74488, -73.58740</t>
        </is>
      </c>
      <c r="K377" s="12" t="inlineStr">
        <is>
          <t>No losses reported</t>
        </is>
      </c>
      <c r="L377" s="12" t="inlineStr">
        <is>
          <t>NYSDEC Forest Ranger Wildland Fire Reporting Database (Beginning 2008), data.ny.gov export 2026-09-28</t>
        </is>
      </c>
      <c r="M377" s="12" t="inlineStr">
        <is>
          <t>https://data.ny.gov/</t>
        </is>
      </c>
      <c r="N377" s="12" t="inlineStr">
        <is>
          <t>A</t>
        </is>
      </c>
      <c r="O377" s="12" t="inlineStr">
        <is>
          <t>Y</t>
        </is>
      </c>
      <c r="P377" s="12" t="inlineStr">
        <is>
          <t>2026-09-28 (v970, atlas session): bulk ingest per Laurie; fire number NYS-2022-0076; matching 🔥 pin on Natural History.</t>
        </is>
      </c>
      <c r="Q377" s="12" t="inlineStr">
        <is>
          <t>2022-05-10</t>
        </is>
      </c>
      <c r="R377" s="12">
        <f>VALUE(LEFT(Q377,4))</f>
        <v/>
      </c>
      <c r="S377" s="12">
        <f>VALUE(MID(Q377,6,2))</f>
        <v/>
      </c>
      <c r="T377" s="12">
        <f>VALUE(RIGHT(Q377,2))</f>
        <v/>
      </c>
      <c r="U377" s="12" t="inlineStr">
        <is>
          <t>day</t>
        </is>
      </c>
      <c r="V377" s="12" t="inlineStr">
        <is>
          <t>Fire start date (DEC report)</t>
        </is>
      </c>
    </row>
    <row r="378">
      <c r="A378" s="12" t="n">
        <v>392</v>
      </c>
      <c r="B378" s="12" t="inlineStr">
        <is>
          <t>2023-05-16</t>
        </is>
      </c>
      <c r="C378" s="12" t="inlineStr">
        <is>
          <t>2023-05-18</t>
        </is>
      </c>
      <c r="D378" s="12">
        <f>VALUE(LEFT(B378,4))</f>
        <v/>
      </c>
      <c r="E378" s="12">
        <f>INT((D378-1)/100)+1</f>
        <v/>
      </c>
      <c r="F378" s="12" t="inlineStr">
        <is>
          <t>Wildfire</t>
        </is>
      </c>
      <c r="G378" s="12" t="inlineStr">
        <is>
          <t>Van Valkenburg Fire — wildfire, 2 acres, Neversink (Sullivan Co.)</t>
        </is>
      </c>
      <c r="H378" s="12" t="inlineStr">
        <is>
          <t>Neversink, Sullivan County; Private Property</t>
        </is>
      </c>
      <c r="I378" s="12" t="inlineStr">
        <is>
          <t>2 acres; cause Power line; fuel 6 - Brush - Mixed/Regeneration</t>
        </is>
      </c>
      <c r="J378" s="12" t="inlineStr">
        <is>
          <t>41.88380, -74.47531</t>
        </is>
      </c>
      <c r="K378" s="12" t="inlineStr">
        <is>
          <t>No losses reported</t>
        </is>
      </c>
      <c r="L378" s="12" t="inlineStr">
        <is>
          <t>NYSDEC Forest Ranger Wildland Fire Reporting Database (Beginning 2008), data.ny.gov export 2026-09-28</t>
        </is>
      </c>
      <c r="M378" s="12" t="inlineStr">
        <is>
          <t>https://data.ny.gov/</t>
        </is>
      </c>
      <c r="N378" s="12" t="inlineStr">
        <is>
          <t>A</t>
        </is>
      </c>
      <c r="O378" s="12" t="inlineStr">
        <is>
          <t>Y</t>
        </is>
      </c>
      <c r="P378" s="12" t="inlineStr">
        <is>
          <t>2026-09-28 (v970, atlas session): bulk ingest per Laurie; fire number NYS-2023-0118; matching 🔥 pin on Natural History.</t>
        </is>
      </c>
      <c r="Q378" s="12" t="inlineStr">
        <is>
          <t>2023-05-16</t>
        </is>
      </c>
      <c r="R378" s="12">
        <f>VALUE(LEFT(Q378,4))</f>
        <v/>
      </c>
      <c r="S378" s="12">
        <f>VALUE(MID(Q378,6,2))</f>
        <v/>
      </c>
      <c r="T378" s="12">
        <f>VALUE(RIGHT(Q378,2))</f>
        <v/>
      </c>
      <c r="U378" s="12" t="inlineStr">
        <is>
          <t>day</t>
        </is>
      </c>
      <c r="V378" s="12" t="inlineStr">
        <is>
          <t>Fire start date (DEC report)</t>
        </is>
      </c>
    </row>
    <row r="379">
      <c r="A379" s="12" t="n">
        <v>393</v>
      </c>
      <c r="B379" s="12" t="inlineStr">
        <is>
          <t>2016-10-12</t>
        </is>
      </c>
      <c r="C379" s="12" t="inlineStr">
        <is>
          <t>2016-10-13</t>
        </is>
      </c>
      <c r="D379" s="12">
        <f>VALUE(LEFT(B379,4))</f>
        <v/>
      </c>
      <c r="E379" s="12">
        <f>INT((D379-1)/100)+1</f>
        <v/>
      </c>
      <c r="F379" s="12" t="inlineStr">
        <is>
          <t>Wildfire</t>
        </is>
      </c>
      <c r="G379" s="12" t="inlineStr">
        <is>
          <t>Bloomingburg Fire — wildfire, 2.2 acres, Mamakating (Sullivan Co.)</t>
        </is>
      </c>
      <c r="H379" s="12" t="inlineStr">
        <is>
          <t>Mamakating, Sullivan County; Other Government — none</t>
        </is>
      </c>
      <c r="I379" s="12" t="inlineStr">
        <is>
          <t>2.2 acres; cause Smoking; fuel 2 - Grass - Understory</t>
        </is>
      </c>
      <c r="J379" s="12" t="inlineStr">
        <is>
          <t>41.56279, -74.42956</t>
        </is>
      </c>
      <c r="K379" s="12" t="inlineStr">
        <is>
          <t>No losses reported</t>
        </is>
      </c>
      <c r="L379" s="12" t="inlineStr">
        <is>
          <t>NYSDEC Forest Ranger Wildland Fire Reporting Database (Beginning 2008), data.ny.gov export 2026-09-28</t>
        </is>
      </c>
      <c r="M379" s="12" t="inlineStr">
        <is>
          <t>https://data.ny.gov/</t>
        </is>
      </c>
      <c r="N379" s="12" t="inlineStr">
        <is>
          <t>A</t>
        </is>
      </c>
      <c r="O379" s="12" t="inlineStr">
        <is>
          <t>Y</t>
        </is>
      </c>
      <c r="P379" s="12" t="inlineStr">
        <is>
          <t>2026-09-28 (v970, atlas session): bulk ingest per Laurie; fire number NYS-2016-0179; matching 🔥 pin on Natural History.</t>
        </is>
      </c>
      <c r="Q379" s="12" t="inlineStr">
        <is>
          <t>2016-10-12</t>
        </is>
      </c>
      <c r="R379" s="12">
        <f>VALUE(LEFT(Q379,4))</f>
        <v/>
      </c>
      <c r="S379" s="12">
        <f>VALUE(MID(Q379,6,2))</f>
        <v/>
      </c>
      <c r="T379" s="12">
        <f>VALUE(RIGHT(Q379,2))</f>
        <v/>
      </c>
      <c r="U379" s="12" t="inlineStr">
        <is>
          <t>day</t>
        </is>
      </c>
      <c r="V379" s="12" t="inlineStr">
        <is>
          <t>Fire start date (DEC report)</t>
        </is>
      </c>
    </row>
    <row r="380">
      <c r="A380" s="12" t="n">
        <v>394</v>
      </c>
      <c r="B380" s="12" t="inlineStr">
        <is>
          <t>2015-05-16</t>
        </is>
      </c>
      <c r="C380" s="12" t="inlineStr">
        <is>
          <t>2015-05-18</t>
        </is>
      </c>
      <c r="D380" s="12">
        <f>VALUE(LEFT(B380,4))</f>
        <v/>
      </c>
      <c r="E380" s="12">
        <f>INT((D380-1)/100)+1</f>
        <v/>
      </c>
      <c r="F380" s="12" t="inlineStr">
        <is>
          <t>Wildfire</t>
        </is>
      </c>
      <c r="G380" s="12" t="inlineStr">
        <is>
          <t>Hunger Kill Fire — wildfire, 5 acres, Guilderland (Albany Co.)</t>
        </is>
      </c>
      <c r="H380" s="12" t="inlineStr">
        <is>
          <t>Guilderland, Albany County; Other Government</t>
        </is>
      </c>
      <c r="I380" s="12" t="inlineStr">
        <is>
          <t>5 acres; cause Incendiary; fuel 7 - Brush - Understory</t>
        </is>
      </c>
      <c r="J380" s="12" t="inlineStr">
        <is>
          <t>42.73410, -73.92057</t>
        </is>
      </c>
      <c r="K380" s="12" t="inlineStr">
        <is>
          <t>No losses reported</t>
        </is>
      </c>
      <c r="L380" s="12" t="inlineStr">
        <is>
          <t>NYSDEC Forest Ranger Wildland Fire Reporting Database (Beginning 2008), data.ny.gov export 2026-09-28</t>
        </is>
      </c>
      <c r="M380" s="12" t="inlineStr">
        <is>
          <t>https://data.ny.gov/</t>
        </is>
      </c>
      <c r="N380" s="12" t="inlineStr">
        <is>
          <t>A</t>
        </is>
      </c>
      <c r="O380" s="12" t="inlineStr">
        <is>
          <t>Y</t>
        </is>
      </c>
      <c r="P380" s="12" t="inlineStr">
        <is>
          <t>2026-09-28 (v970, atlas session): bulk ingest per Laurie; fire number NYS-2015-0122; matching 🔥 pin on Natural History.</t>
        </is>
      </c>
      <c r="Q380" s="12" t="inlineStr">
        <is>
          <t>2015-05-16</t>
        </is>
      </c>
      <c r="R380" s="12">
        <f>VALUE(LEFT(Q380,4))</f>
        <v/>
      </c>
      <c r="S380" s="12">
        <f>VALUE(MID(Q380,6,2))</f>
        <v/>
      </c>
      <c r="T380" s="12">
        <f>VALUE(RIGHT(Q380,2))</f>
        <v/>
      </c>
      <c r="U380" s="12" t="inlineStr">
        <is>
          <t>day</t>
        </is>
      </c>
      <c r="V380" s="12" t="inlineStr">
        <is>
          <t>Fire start date (DEC report)</t>
        </is>
      </c>
    </row>
    <row r="381">
      <c r="A381" s="12" t="n">
        <v>396</v>
      </c>
      <c r="B381" s="12" t="inlineStr">
        <is>
          <t>2023-02-13</t>
        </is>
      </c>
      <c r="C381" s="12" t="inlineStr">
        <is>
          <t>2023-02-14</t>
        </is>
      </c>
      <c r="D381" s="12">
        <f>VALUE(LEFT(B381,4))</f>
        <v/>
      </c>
      <c r="E381" s="12">
        <f>INT((D381-1)/100)+1</f>
        <v/>
      </c>
      <c r="F381" s="12" t="inlineStr">
        <is>
          <t>Wildfire</t>
        </is>
      </c>
      <c r="G381" s="12" t="inlineStr">
        <is>
          <t>Gulf Rd Fire — wildfire, 2.5 acres, Callicoon (Sullivan Co.)</t>
        </is>
      </c>
      <c r="H381" s="12" t="inlineStr">
        <is>
          <t>Callicoon, Sullivan County; Private Property</t>
        </is>
      </c>
      <c r="I381" s="12" t="inlineStr">
        <is>
          <t>2.5 acres; cause Debris Burning; fuel 8 - Timber - Light Hardwood Litter</t>
        </is>
      </c>
      <c r="J381" s="12" t="inlineStr">
        <is>
          <t>41.84604, -74.94347</t>
        </is>
      </c>
      <c r="K381" s="12" t="inlineStr">
        <is>
          <t>No losses reported</t>
        </is>
      </c>
      <c r="L381" s="12" t="inlineStr">
        <is>
          <t>NYSDEC Forest Ranger Wildland Fire Reporting Database (Beginning 2008), data.ny.gov export 2026-09-28</t>
        </is>
      </c>
      <c r="M381" s="12" t="inlineStr">
        <is>
          <t>https://data.ny.gov/</t>
        </is>
      </c>
      <c r="N381" s="12" t="inlineStr">
        <is>
          <t>A</t>
        </is>
      </c>
      <c r="O381" s="12" t="inlineStr">
        <is>
          <t>Y</t>
        </is>
      </c>
      <c r="P381" s="12" t="inlineStr">
        <is>
          <t>2026-09-28 (v970, atlas session): bulk ingest per Laurie; fire number NYS-2023-0002; matching 🔥 pin on Natural History.</t>
        </is>
      </c>
      <c r="Q381" s="12" t="inlineStr">
        <is>
          <t>2023-02-13</t>
        </is>
      </c>
      <c r="R381" s="12">
        <f>VALUE(LEFT(Q381,4))</f>
        <v/>
      </c>
      <c r="S381" s="12">
        <f>VALUE(MID(Q381,6,2))</f>
        <v/>
      </c>
      <c r="T381" s="12">
        <f>VALUE(RIGHT(Q381,2))</f>
        <v/>
      </c>
      <c r="U381" s="12" t="inlineStr">
        <is>
          <t>day</t>
        </is>
      </c>
      <c r="V381" s="12" t="inlineStr">
        <is>
          <t>Fire start date (DEC report)</t>
        </is>
      </c>
    </row>
    <row r="382">
      <c r="A382" s="12" t="n">
        <v>397</v>
      </c>
      <c r="B382" s="12" t="inlineStr">
        <is>
          <t>2021-08-14</t>
        </is>
      </c>
      <c r="C382" s="12" t="inlineStr">
        <is>
          <t>2021-08-14</t>
        </is>
      </c>
      <c r="D382" s="12">
        <f>VALUE(LEFT(B382,4))</f>
        <v/>
      </c>
      <c r="E382" s="12">
        <f>INT((D382-1)/100)+1</f>
        <v/>
      </c>
      <c r="F382" s="12" t="inlineStr">
        <is>
          <t>Wildfire</t>
        </is>
      </c>
      <c r="G382" s="12" t="inlineStr">
        <is>
          <t>Middle Earth Fire — wildfire, 0.1 acres, Gardiner (Ulster Co.)</t>
        </is>
      </c>
      <c r="H382" s="12" t="inlineStr">
        <is>
          <t>Gardiner, Ulster County; Private Property</t>
        </is>
      </c>
      <c r="I382" s="12" t="inlineStr">
        <is>
          <t>0.1 acres; cause Lightning; fuel 10 - Timber - Heavy Litter/Downed Fuels</t>
        </is>
      </c>
      <c r="J382" s="12" t="inlineStr">
        <is>
          <t>41.74480, -74.17912</t>
        </is>
      </c>
      <c r="K382" s="12" t="inlineStr">
        <is>
          <t>No losses reported</t>
        </is>
      </c>
      <c r="L382" s="12" t="inlineStr">
        <is>
          <t>NYSDEC Forest Ranger Wildland Fire Reporting Database (Beginning 2008), data.ny.gov export 2026-09-28</t>
        </is>
      </c>
      <c r="M382" s="12" t="inlineStr">
        <is>
          <t>https://data.ny.gov/</t>
        </is>
      </c>
      <c r="N382" s="12" t="inlineStr">
        <is>
          <t>A</t>
        </is>
      </c>
      <c r="O382" s="12" t="inlineStr">
        <is>
          <t>Y</t>
        </is>
      </c>
      <c r="P382" s="12" t="inlineStr">
        <is>
          <t>2026-09-28 (v970, atlas session): bulk ingest per Laurie; fire number NYS-2021-0166; matching 🔥 pin on Natural History.</t>
        </is>
      </c>
      <c r="Q382" s="12" t="inlineStr">
        <is>
          <t>2021-08-14</t>
        </is>
      </c>
      <c r="R382" s="12">
        <f>VALUE(LEFT(Q382,4))</f>
        <v/>
      </c>
      <c r="S382" s="12">
        <f>VALUE(MID(Q382,6,2))</f>
        <v/>
      </c>
      <c r="T382" s="12">
        <f>VALUE(RIGHT(Q382,2))</f>
        <v/>
      </c>
      <c r="U382" s="12" t="inlineStr">
        <is>
          <t>day</t>
        </is>
      </c>
      <c r="V382" s="12" t="inlineStr">
        <is>
          <t>Fire start date (DEC report)</t>
        </is>
      </c>
    </row>
    <row r="383">
      <c r="A383" s="12" t="n">
        <v>398</v>
      </c>
      <c r="B383" s="12" t="inlineStr">
        <is>
          <t>2017-04-11</t>
        </is>
      </c>
      <c r="C383" s="12" t="inlineStr">
        <is>
          <t>2017-04-11</t>
        </is>
      </c>
      <c r="D383" s="12">
        <f>VALUE(LEFT(B383,4))</f>
        <v/>
      </c>
      <c r="E383" s="12">
        <f>INT((D383-1)/100)+1</f>
        <v/>
      </c>
      <c r="F383" s="12" t="inlineStr">
        <is>
          <t>Wildfire</t>
        </is>
      </c>
      <c r="G383" s="12" t="inlineStr">
        <is>
          <t>Castiglione — wildfire, 0.5 acres, Ulster (Ulster Co.)</t>
        </is>
      </c>
      <c r="H383" s="12" t="inlineStr">
        <is>
          <t>Ulster, Ulster County; Private Property</t>
        </is>
      </c>
      <c r="I383" s="12" t="inlineStr">
        <is>
          <t>0.5 acres; cause Power line; fuel 11 - Slash - Light</t>
        </is>
      </c>
      <c r="J383" s="12" t="inlineStr">
        <is>
          <t>41.99674, -73.95412</t>
        </is>
      </c>
      <c r="K383" s="12" t="inlineStr">
        <is>
          <t>No losses reported</t>
        </is>
      </c>
      <c r="L383" s="12" t="inlineStr">
        <is>
          <t>NYSDEC Forest Ranger Wildland Fire Reporting Database (Beginning 2008), data.ny.gov export 2026-09-28</t>
        </is>
      </c>
      <c r="M383" s="12" t="inlineStr">
        <is>
          <t>https://data.ny.gov/</t>
        </is>
      </c>
      <c r="N383" s="12" t="inlineStr">
        <is>
          <t>A</t>
        </is>
      </c>
      <c r="O383" s="12" t="inlineStr">
        <is>
          <t>Y</t>
        </is>
      </c>
      <c r="P383" s="12" t="inlineStr">
        <is>
          <t>2026-09-28 (v970, atlas session): bulk ingest per Laurie; fire number NYS-2017-0025; matching 🔥 pin on Natural History.</t>
        </is>
      </c>
      <c r="Q383" s="12" t="inlineStr">
        <is>
          <t>2017-04-11</t>
        </is>
      </c>
      <c r="R383" s="12">
        <f>VALUE(LEFT(Q383,4))</f>
        <v/>
      </c>
      <c r="S383" s="12">
        <f>VALUE(MID(Q383,6,2))</f>
        <v/>
      </c>
      <c r="T383" s="12">
        <f>VALUE(RIGHT(Q383,2))</f>
        <v/>
      </c>
      <c r="U383" s="12" t="inlineStr">
        <is>
          <t>day</t>
        </is>
      </c>
      <c r="V383" s="12" t="inlineStr">
        <is>
          <t>Fire start date (DEC report)</t>
        </is>
      </c>
    </row>
    <row r="384">
      <c r="A384" s="12" t="n">
        <v>399</v>
      </c>
      <c r="B384" s="12" t="inlineStr">
        <is>
          <t>2022-08-16</t>
        </is>
      </c>
      <c r="C384" s="12" t="inlineStr">
        <is>
          <t>2022-08-24</t>
        </is>
      </c>
      <c r="D384" s="12">
        <f>VALUE(LEFT(B384,4))</f>
        <v/>
      </c>
      <c r="E384" s="12">
        <f>INT((D384-1)/100)+1</f>
        <v/>
      </c>
      <c r="F384" s="12" t="inlineStr">
        <is>
          <t>Wildfire</t>
        </is>
      </c>
      <c r="G384" s="12" t="inlineStr">
        <is>
          <t>Depot Hill — wildfire, 0.5 acres, Beekman (Dutchess Co.)</t>
        </is>
      </c>
      <c r="H384" s="12" t="inlineStr">
        <is>
          <t>Beekman, Dutchess County; State Forest/RF Area — Depot Hill MUA</t>
        </is>
      </c>
      <c r="I384" s="12" t="inlineStr">
        <is>
          <t>0.5 acres; cause Campfire; fuel 8 - Timber - Light Hardwood Litter</t>
        </is>
      </c>
      <c r="J384" s="12" t="inlineStr">
        <is>
          <t>41.56999, -73.67784</t>
        </is>
      </c>
      <c r="K384" s="12" t="inlineStr">
        <is>
          <t>No losses reported</t>
        </is>
      </c>
      <c r="L384" s="12" t="inlineStr">
        <is>
          <t>NYSDEC Forest Ranger Wildland Fire Reporting Database (Beginning 2008), data.ny.gov export 2026-09-28</t>
        </is>
      </c>
      <c r="M384" s="12" t="inlineStr">
        <is>
          <t>https://data.ny.gov/</t>
        </is>
      </c>
      <c r="N384" s="12" t="inlineStr">
        <is>
          <t>A</t>
        </is>
      </c>
      <c r="O384" s="12" t="inlineStr">
        <is>
          <t>Y</t>
        </is>
      </c>
      <c r="P384" s="12" t="inlineStr">
        <is>
          <t>2026-09-28 (v970, atlas session): bulk ingest per Laurie; fire number NYS-2022-0142; matching 🔥 pin on Natural History.</t>
        </is>
      </c>
      <c r="Q384" s="12" t="inlineStr">
        <is>
          <t>2022-08-16</t>
        </is>
      </c>
      <c r="R384" s="12">
        <f>VALUE(LEFT(Q384,4))</f>
        <v/>
      </c>
      <c r="S384" s="12">
        <f>VALUE(MID(Q384,6,2))</f>
        <v/>
      </c>
      <c r="T384" s="12">
        <f>VALUE(RIGHT(Q384,2))</f>
        <v/>
      </c>
      <c r="U384" s="12" t="inlineStr">
        <is>
          <t>day</t>
        </is>
      </c>
      <c r="V384" s="12" t="inlineStr">
        <is>
          <t>Fire start date (DEC report)</t>
        </is>
      </c>
    </row>
    <row r="385">
      <c r="A385" s="12" t="n">
        <v>400</v>
      </c>
      <c r="B385" s="12" t="inlineStr">
        <is>
          <t>2015-04-28</t>
        </is>
      </c>
      <c r="C385" s="12" t="inlineStr">
        <is>
          <t>2015-04-28</t>
        </is>
      </c>
      <c r="D385" s="12">
        <f>VALUE(LEFT(B385,4))</f>
        <v/>
      </c>
      <c r="E385" s="12">
        <f>INT((D385-1)/100)+1</f>
        <v/>
      </c>
      <c r="F385" s="12" t="inlineStr">
        <is>
          <t>Wildfire</t>
        </is>
      </c>
      <c r="G385" s="12" t="inlineStr">
        <is>
          <t>920 Hieden — wildfire, 0.2 acres, Fallsburgh (Sullivan Co.)</t>
        </is>
      </c>
      <c r="H385" s="12" t="inlineStr">
        <is>
          <t>Fallsburgh, Sullivan County; Private Property</t>
        </is>
      </c>
      <c r="I385" s="12" t="inlineStr">
        <is>
          <t>0.2 acres; cause Children; fuel 8 - Timber - Light Hardwood Litter</t>
        </is>
      </c>
      <c r="J385" s="12" t="inlineStr">
        <is>
          <t>41.68015, -74.63472</t>
        </is>
      </c>
      <c r="K385" s="12" t="inlineStr">
        <is>
          <t>No losses reported</t>
        </is>
      </c>
      <c r="L385" s="12" t="inlineStr">
        <is>
          <t>NYSDEC Forest Ranger Wildland Fire Reporting Database (Beginning 2008), data.ny.gov export 2026-09-28</t>
        </is>
      </c>
      <c r="M385" s="12" t="inlineStr">
        <is>
          <t>https://data.ny.gov/</t>
        </is>
      </c>
      <c r="N385" s="12" t="inlineStr">
        <is>
          <t>A</t>
        </is>
      </c>
      <c r="O385" s="12" t="inlineStr">
        <is>
          <t>Y</t>
        </is>
      </c>
      <c r="P385" s="12" t="inlineStr">
        <is>
          <t>2026-09-28 (v970, atlas session): bulk ingest per Laurie; fire number NYS-2015-0059; matching 🔥 pin on Natural History.</t>
        </is>
      </c>
      <c r="Q385" s="12" t="inlineStr">
        <is>
          <t>2015-04-28</t>
        </is>
      </c>
      <c r="R385" s="12">
        <f>VALUE(LEFT(Q385,4))</f>
        <v/>
      </c>
      <c r="S385" s="12">
        <f>VALUE(MID(Q385,6,2))</f>
        <v/>
      </c>
      <c r="T385" s="12">
        <f>VALUE(RIGHT(Q385,2))</f>
        <v/>
      </c>
      <c r="U385" s="12" t="inlineStr">
        <is>
          <t>day</t>
        </is>
      </c>
      <c r="V385" s="12" t="inlineStr">
        <is>
          <t>Fire start date (DEC report)</t>
        </is>
      </c>
    </row>
    <row r="386">
      <c r="A386" s="12" t="n">
        <v>401</v>
      </c>
      <c r="B386" s="12" t="inlineStr">
        <is>
          <t>2016-03-01</t>
        </is>
      </c>
      <c r="C386" s="12" t="inlineStr">
        <is>
          <t>2016-03-01</t>
        </is>
      </c>
      <c r="D386" s="12">
        <f>VALUE(LEFT(B386,4))</f>
        <v/>
      </c>
      <c r="E386" s="12">
        <f>INT((D386-1)/100)+1</f>
        <v/>
      </c>
      <c r="F386" s="12" t="inlineStr">
        <is>
          <t>Wildfire</t>
        </is>
      </c>
      <c r="G386" s="12" t="inlineStr">
        <is>
          <t>Airport Road Fire — wildfire, 1 acres, Bethel (Sullivan Co.)</t>
        </is>
      </c>
      <c r="H386" s="12" t="inlineStr">
        <is>
          <t>Bethel, Sullivan County; Private Property</t>
        </is>
      </c>
      <c r="I386" s="12" t="inlineStr">
        <is>
          <t>1 acres; cause Debris Burning; fuel 7 - Brush - Understory</t>
        </is>
      </c>
      <c r="J386" s="12" t="inlineStr">
        <is>
          <t>41.68503, -74.79354</t>
        </is>
      </c>
      <c r="K386" s="12" t="inlineStr">
        <is>
          <t>No losses reported</t>
        </is>
      </c>
      <c r="L386" s="12" t="inlineStr">
        <is>
          <t>NYSDEC Forest Ranger Wildland Fire Reporting Database (Beginning 2008), data.ny.gov export 2026-09-28</t>
        </is>
      </c>
      <c r="M386" s="12" t="inlineStr">
        <is>
          <t>https://data.ny.gov/</t>
        </is>
      </c>
      <c r="N386" s="12" t="inlineStr">
        <is>
          <t>A</t>
        </is>
      </c>
      <c r="O386" s="12" t="inlineStr">
        <is>
          <t>Y</t>
        </is>
      </c>
      <c r="P386" s="12" t="inlineStr">
        <is>
          <t>2026-09-28 (v970, atlas session): bulk ingest per Laurie; fire number NYS-2016-0004; matching 🔥 pin on Natural History.</t>
        </is>
      </c>
      <c r="Q386" s="12" t="inlineStr">
        <is>
          <t>2016-03-01</t>
        </is>
      </c>
      <c r="R386" s="12">
        <f>VALUE(LEFT(Q386,4))</f>
        <v/>
      </c>
      <c r="S386" s="12">
        <f>VALUE(MID(Q386,6,2))</f>
        <v/>
      </c>
      <c r="T386" s="12">
        <f>VALUE(RIGHT(Q386,2))</f>
        <v/>
      </c>
      <c r="U386" s="12" t="inlineStr">
        <is>
          <t>day</t>
        </is>
      </c>
      <c r="V386" s="12" t="inlineStr">
        <is>
          <t>Fire start date (DEC report)</t>
        </is>
      </c>
    </row>
    <row r="387">
      <c r="A387" s="12" t="n">
        <v>403</v>
      </c>
      <c r="B387" s="12" t="inlineStr">
        <is>
          <t>2014-10-14</t>
        </is>
      </c>
      <c r="C387" s="12" t="inlineStr">
        <is>
          <t>2014-10-14</t>
        </is>
      </c>
      <c r="D387" s="12">
        <f>VALUE(LEFT(B387,4))</f>
        <v/>
      </c>
      <c r="E387" s="12">
        <f>INT((D387-1)/100)+1</f>
        <v/>
      </c>
      <c r="F387" s="12" t="inlineStr">
        <is>
          <t>Wildfire</t>
        </is>
      </c>
      <c r="G387" s="12" t="inlineStr">
        <is>
          <t>Mau Fire — wildfire, 0.2 acres, Lexington (Greene Co.)</t>
        </is>
      </c>
      <c r="H387" s="12" t="inlineStr">
        <is>
          <t>Lexington, Greene County; Private Property</t>
        </is>
      </c>
      <c r="I387" s="12" t="inlineStr">
        <is>
          <t>0.2 acres; cause Debris Burning; fuel 8 - Timber - Light Hardwood Litter</t>
        </is>
      </c>
      <c r="J387" s="12" t="inlineStr">
        <is>
          <t>42.24337, -74.35583</t>
        </is>
      </c>
      <c r="K387" s="12" t="inlineStr">
        <is>
          <t>No losses reported</t>
        </is>
      </c>
      <c r="L387" s="12" t="inlineStr">
        <is>
          <t>NYSDEC Forest Ranger Wildland Fire Reporting Database (Beginning 2008), data.ny.gov export 2026-09-28</t>
        </is>
      </c>
      <c r="M387" s="12" t="inlineStr">
        <is>
          <t>https://data.ny.gov/</t>
        </is>
      </c>
      <c r="N387" s="12" t="inlineStr">
        <is>
          <t>A</t>
        </is>
      </c>
      <c r="O387" s="12" t="inlineStr">
        <is>
          <t>Y</t>
        </is>
      </c>
      <c r="P387" s="12" t="inlineStr">
        <is>
          <t>2026-09-28 (v970, atlas session): bulk ingest per Laurie; fire number NYS-2014-0129; matching 🔥 pin on Natural History.</t>
        </is>
      </c>
      <c r="Q387" s="12" t="inlineStr">
        <is>
          <t>2014-10-14</t>
        </is>
      </c>
      <c r="R387" s="12">
        <f>VALUE(LEFT(Q387,4))</f>
        <v/>
      </c>
      <c r="S387" s="12">
        <f>VALUE(MID(Q387,6,2))</f>
        <v/>
      </c>
      <c r="T387" s="12">
        <f>VALUE(RIGHT(Q387,2))</f>
        <v/>
      </c>
      <c r="U387" s="12" t="inlineStr">
        <is>
          <t>day</t>
        </is>
      </c>
      <c r="V387" s="12" t="inlineStr">
        <is>
          <t>Fire start date (DEC report)</t>
        </is>
      </c>
    </row>
    <row r="388">
      <c r="A388" s="12" t="n">
        <v>404</v>
      </c>
      <c r="B388" s="12" t="inlineStr">
        <is>
          <t>2023-05-18</t>
        </is>
      </c>
      <c r="C388" s="12" t="inlineStr">
        <is>
          <t>2023-05-20</t>
        </is>
      </c>
      <c r="D388" s="12">
        <f>VALUE(LEFT(B388,4))</f>
        <v/>
      </c>
      <c r="E388" s="12">
        <f>INT((D388-1)/100)+1</f>
        <v/>
      </c>
      <c r="F388" s="12" t="inlineStr">
        <is>
          <t>Wildfire</t>
        </is>
      </c>
      <c r="G388" s="12" t="inlineStr">
        <is>
          <t>Plank Rd Fire — wildfire, 9.5 acres, Forestburgh (Sullivan Co.)</t>
        </is>
      </c>
      <c r="H388" s="12" t="inlineStr">
        <is>
          <t>Forestburgh, Sullivan County; Private Property</t>
        </is>
      </c>
      <c r="I388" s="12" t="inlineStr">
        <is>
          <t>9.5 acres; cause Debris Burning; fuel 9 - Timber - Medium Hardwood Litter</t>
        </is>
      </c>
      <c r="J388" s="12" t="inlineStr">
        <is>
          <t>41.59600, -74.77458</t>
        </is>
      </c>
      <c r="K388" s="12" t="inlineStr">
        <is>
          <t>No losses reported</t>
        </is>
      </c>
      <c r="L388" s="12" t="inlineStr">
        <is>
          <t>NYSDEC Forest Ranger Wildland Fire Reporting Database (Beginning 2008), data.ny.gov export 2026-09-28</t>
        </is>
      </c>
      <c r="M388" s="12" t="inlineStr">
        <is>
          <t>https://data.ny.gov/</t>
        </is>
      </c>
      <c r="N388" s="12" t="inlineStr">
        <is>
          <t>A</t>
        </is>
      </c>
      <c r="O388" s="12" t="inlineStr">
        <is>
          <t>Y</t>
        </is>
      </c>
      <c r="P388" s="12" t="inlineStr">
        <is>
          <t>2026-09-28 (v970, atlas session): bulk ingest per Laurie; fire number NYS-2023-0129; matching 🔥 pin on Natural History.</t>
        </is>
      </c>
      <c r="Q388" s="12" t="inlineStr">
        <is>
          <t>2023-05-18</t>
        </is>
      </c>
      <c r="R388" s="12">
        <f>VALUE(LEFT(Q388,4))</f>
        <v/>
      </c>
      <c r="S388" s="12">
        <f>VALUE(MID(Q388,6,2))</f>
        <v/>
      </c>
      <c r="T388" s="12">
        <f>VALUE(RIGHT(Q388,2))</f>
        <v/>
      </c>
      <c r="U388" s="12" t="inlineStr">
        <is>
          <t>day</t>
        </is>
      </c>
      <c r="V388" s="12" t="inlineStr">
        <is>
          <t>Fire start date (DEC report)</t>
        </is>
      </c>
    </row>
    <row r="389">
      <c r="A389" s="12" t="n">
        <v>405</v>
      </c>
      <c r="B389" s="12" t="inlineStr">
        <is>
          <t>2015-04-18</t>
        </is>
      </c>
      <c r="C389" s="12" t="inlineStr">
        <is>
          <t>2015-04-18</t>
        </is>
      </c>
      <c r="D389" s="12">
        <f>VALUE(LEFT(B389,4))</f>
        <v/>
      </c>
      <c r="E389" s="12">
        <f>INT((D389-1)/100)+1</f>
        <v/>
      </c>
      <c r="F389" s="12" t="inlineStr">
        <is>
          <t>Wildfire</t>
        </is>
      </c>
      <c r="G389" s="12" t="inlineStr">
        <is>
          <t>West Chenango Fire — wildfire, 2.8 acres, Chenango (Broome Co.)</t>
        </is>
      </c>
      <c r="H389" s="12" t="inlineStr">
        <is>
          <t>Chenango, Broome County; Private Property — n/a</t>
        </is>
      </c>
      <c r="I389" s="12" t="inlineStr">
        <is>
          <t>2.8 acres; cause Power line; fuel 8 - Timber - Light Hardwood Litter</t>
        </is>
      </c>
      <c r="J389" s="12" t="inlineStr">
        <is>
          <t>42.19986, -75.95295</t>
        </is>
      </c>
      <c r="K389" s="12" t="inlineStr">
        <is>
          <t>No losses reported</t>
        </is>
      </c>
      <c r="L389" s="12" t="inlineStr">
        <is>
          <t>NYSDEC Forest Ranger Wildland Fire Reporting Database (Beginning 2008), data.ny.gov export 2026-09-28</t>
        </is>
      </c>
      <c r="M389" s="12" t="inlineStr">
        <is>
          <t>https://data.ny.gov/</t>
        </is>
      </c>
      <c r="N389" s="12" t="inlineStr">
        <is>
          <t>A</t>
        </is>
      </c>
      <c r="O389" s="12" t="inlineStr">
        <is>
          <t>Y</t>
        </is>
      </c>
      <c r="P389" s="12" t="inlineStr">
        <is>
          <t>2026-09-28 (v970, atlas session): bulk ingest per Laurie; fire number NYS-2015-0037; matching 🔥 pin on Natural History.</t>
        </is>
      </c>
      <c r="Q389" s="12" t="inlineStr">
        <is>
          <t>2015-04-18</t>
        </is>
      </c>
      <c r="R389" s="12">
        <f>VALUE(LEFT(Q389,4))</f>
        <v/>
      </c>
      <c r="S389" s="12">
        <f>VALUE(MID(Q389,6,2))</f>
        <v/>
      </c>
      <c r="T389" s="12">
        <f>VALUE(RIGHT(Q389,2))</f>
        <v/>
      </c>
      <c r="U389" s="12" t="inlineStr">
        <is>
          <t>day</t>
        </is>
      </c>
      <c r="V389" s="12" t="inlineStr">
        <is>
          <t>Fire start date (DEC report)</t>
        </is>
      </c>
    </row>
    <row r="390">
      <c r="A390" s="12" t="n">
        <v>406</v>
      </c>
      <c r="B390" s="12" t="inlineStr">
        <is>
          <t>2012-04-20</t>
        </is>
      </c>
      <c r="C390" s="12" t="inlineStr">
        <is>
          <t>2012-04-20</t>
        </is>
      </c>
      <c r="D390" s="12">
        <f>VALUE(LEFT(B390,4))</f>
        <v/>
      </c>
      <c r="E390" s="12">
        <f>INT((D390-1)/100)+1</f>
        <v/>
      </c>
      <c r="F390" s="12" t="inlineStr">
        <is>
          <t>Wildfire</t>
        </is>
      </c>
      <c r="G390" s="12" t="inlineStr">
        <is>
          <t>Hubbard Road Fire — wildfire, 1 acres, Gilboa (Schoharie Co.)</t>
        </is>
      </c>
      <c r="H390" s="12" t="inlineStr">
        <is>
          <t>Gilboa, Schoharie County; Private Property</t>
        </is>
      </c>
      <c r="I390" s="12" t="inlineStr">
        <is>
          <t>1 acres; cause Children; fuel 8 - Timber - Light Hardwood Litter</t>
        </is>
      </c>
      <c r="J390" s="12" t="inlineStr">
        <is>
          <t>42.44480, -74.37791</t>
        </is>
      </c>
      <c r="K390" s="12" t="inlineStr">
        <is>
          <t>No losses reported</t>
        </is>
      </c>
      <c r="L390" s="12" t="inlineStr">
        <is>
          <t>NYSDEC Forest Ranger Wildland Fire Reporting Database (Beginning 2008), data.ny.gov export 2026-09-28</t>
        </is>
      </c>
      <c r="M390" s="12" t="inlineStr">
        <is>
          <t>https://data.ny.gov/</t>
        </is>
      </c>
      <c r="N390" s="12" t="inlineStr">
        <is>
          <t>A</t>
        </is>
      </c>
      <c r="O390" s="12" t="inlineStr">
        <is>
          <t>Y</t>
        </is>
      </c>
      <c r="P390" s="12" t="inlineStr">
        <is>
          <t>2026-09-28 (v970, atlas session): bulk ingest per Laurie; fire number NYS-2012-0102; matching 🔥 pin on Natural History.</t>
        </is>
      </c>
      <c r="Q390" s="12" t="inlineStr">
        <is>
          <t>2012-04-20</t>
        </is>
      </c>
      <c r="R390" s="12">
        <f>VALUE(LEFT(Q390,4))</f>
        <v/>
      </c>
      <c r="S390" s="12">
        <f>VALUE(MID(Q390,6,2))</f>
        <v/>
      </c>
      <c r="T390" s="12">
        <f>VALUE(RIGHT(Q390,2))</f>
        <v/>
      </c>
      <c r="U390" s="12" t="inlineStr">
        <is>
          <t>day</t>
        </is>
      </c>
      <c r="V390" s="12" t="inlineStr">
        <is>
          <t>Fire start date (DEC report)</t>
        </is>
      </c>
    </row>
    <row r="391">
      <c r="A391" s="12" t="n">
        <v>407</v>
      </c>
      <c r="B391" s="12" t="inlineStr">
        <is>
          <t>2022-08-27</t>
        </is>
      </c>
      <c r="C391" s="12" t="inlineStr">
        <is>
          <t>2022-09-09</t>
        </is>
      </c>
      <c r="D391" s="12">
        <f>VALUE(LEFT(B391,4))</f>
        <v/>
      </c>
      <c r="E391" s="12">
        <f>INT((D391-1)/100)+1</f>
        <v/>
      </c>
      <c r="F391" s="12" t="inlineStr">
        <is>
          <t>Wildfire</t>
        </is>
      </c>
      <c r="G391" s="12" t="inlineStr">
        <is>
          <t>Wurtsboro — wildfire, 75 acres, Mamakating (Sullivan Co.)</t>
        </is>
      </c>
      <c r="H391" s="12" t="inlineStr">
        <is>
          <t>Mamakating, Sullivan County; Private Property</t>
        </is>
      </c>
      <c r="I391" s="12" t="inlineStr">
        <is>
          <t>75 acres; cause Lightning; fuel 4 - Brush - Heavy/Volatile</t>
        </is>
      </c>
      <c r="J391" s="12" t="inlineStr">
        <is>
          <t>41.61246, -74.51108</t>
        </is>
      </c>
      <c r="K391" s="12" t="inlineStr">
        <is>
          <t>No losses reported</t>
        </is>
      </c>
      <c r="L391" s="12" t="inlineStr">
        <is>
          <t>NYSDEC Forest Ranger Wildland Fire Reporting Database (Beginning 2008), data.ny.gov export 2026-09-28</t>
        </is>
      </c>
      <c r="M391" s="12" t="inlineStr">
        <is>
          <t>https://data.ny.gov/</t>
        </is>
      </c>
      <c r="N391" s="12" t="inlineStr">
        <is>
          <t>A</t>
        </is>
      </c>
      <c r="O391" s="12" t="inlineStr">
        <is>
          <t>Y</t>
        </is>
      </c>
      <c r="P391" s="12" t="inlineStr">
        <is>
          <t>2026-09-28 (v970, atlas session): bulk ingest per Laurie; fire number NYS-2022-0159; matching 🔥 pin on Natural History.</t>
        </is>
      </c>
      <c r="Q391" s="12" t="inlineStr">
        <is>
          <t>2022-08-27</t>
        </is>
      </c>
      <c r="R391" s="12">
        <f>VALUE(LEFT(Q391,4))</f>
        <v/>
      </c>
      <c r="S391" s="12">
        <f>VALUE(MID(Q391,6,2))</f>
        <v/>
      </c>
      <c r="T391" s="12">
        <f>VALUE(RIGHT(Q391,2))</f>
        <v/>
      </c>
      <c r="U391" s="12" t="inlineStr">
        <is>
          <t>day</t>
        </is>
      </c>
      <c r="V391" s="12" t="inlineStr">
        <is>
          <t>Fire start date (DEC report)</t>
        </is>
      </c>
    </row>
    <row r="392">
      <c r="A392" s="12" t="n">
        <v>410</v>
      </c>
      <c r="B392" s="12" t="inlineStr">
        <is>
          <t>2010-08-07</t>
        </is>
      </c>
      <c r="C392" s="12" t="inlineStr">
        <is>
          <t>2010-08-13</t>
        </is>
      </c>
      <c r="D392" s="12">
        <f>VALUE(LEFT(B392,4))</f>
        <v/>
      </c>
      <c r="E392" s="12">
        <f>INT((D392-1)/100)+1</f>
        <v/>
      </c>
      <c r="F392" s="12" t="inlineStr">
        <is>
          <t>Wildfire</t>
        </is>
      </c>
      <c r="G392" s="12" t="inlineStr">
        <is>
          <t>Frog Hollow Fire — wildfire, 2.7 acres, Wawarsing (Ulster Co.)</t>
        </is>
      </c>
      <c r="H392" s="12" t="inlineStr">
        <is>
          <t>Wawarsing, Ulster County; Private Property</t>
        </is>
      </c>
      <c r="I392" s="12" t="inlineStr">
        <is>
          <t>2.7 acres; cause Children; fuel 10 - Timber - Heavy Litter/Downed Fuels</t>
        </is>
      </c>
      <c r="J392" s="12" t="inlineStr">
        <is>
          <t>41.74672, -74.49549</t>
        </is>
      </c>
      <c r="K392" s="12" t="inlineStr">
        <is>
          <t>No losses reported</t>
        </is>
      </c>
      <c r="L392" s="12" t="inlineStr">
        <is>
          <t>NYSDEC Forest Ranger Wildland Fire Reporting Database (Beginning 2008), data.ny.gov export 2026-09-28</t>
        </is>
      </c>
      <c r="M392" s="12" t="inlineStr">
        <is>
          <t>https://data.ny.gov/</t>
        </is>
      </c>
      <c r="N392" s="12" t="inlineStr">
        <is>
          <t>A</t>
        </is>
      </c>
      <c r="O392" s="12" t="inlineStr">
        <is>
          <t>Y</t>
        </is>
      </c>
      <c r="P392" s="12" t="inlineStr">
        <is>
          <t>2026-09-28 (v970, atlas session): bulk ingest per Laurie; fire number NYS-2010-0136; matching 🔥 pin on Natural History.</t>
        </is>
      </c>
      <c r="Q392" s="12" t="inlineStr">
        <is>
          <t>2010-08-07</t>
        </is>
      </c>
      <c r="R392" s="12">
        <f>VALUE(LEFT(Q392,4))</f>
        <v/>
      </c>
      <c r="S392" s="12">
        <f>VALUE(MID(Q392,6,2))</f>
        <v/>
      </c>
      <c r="T392" s="12">
        <f>VALUE(RIGHT(Q392,2))</f>
        <v/>
      </c>
      <c r="U392" s="12" t="inlineStr">
        <is>
          <t>day</t>
        </is>
      </c>
      <c r="V392" s="12" t="inlineStr">
        <is>
          <t>Fire start date (DEC report)</t>
        </is>
      </c>
    </row>
    <row r="393">
      <c r="A393" s="12" t="n">
        <v>411</v>
      </c>
      <c r="B393" s="12" t="inlineStr">
        <is>
          <t>2008-09-25</t>
        </is>
      </c>
      <c r="C393" s="12" t="inlineStr">
        <is>
          <t>2008-10-01</t>
        </is>
      </c>
      <c r="D393" s="12">
        <f>VALUE(LEFT(B393,4))</f>
        <v/>
      </c>
      <c r="E393" s="12">
        <f>INT((D393-1)/100)+1</f>
        <v/>
      </c>
      <c r="F393" s="12" t="inlineStr">
        <is>
          <t>Wildfire</t>
        </is>
      </c>
      <c r="G393" s="12" t="inlineStr">
        <is>
          <t>Marsh Pond Fire — wildfire, 0.1 acres, Sanford (Broome Co.)</t>
        </is>
      </c>
      <c r="H393" s="12" t="inlineStr">
        <is>
          <t>Sanford, Broome County; State Forest/RF Area — Marsh Pond</t>
        </is>
      </c>
      <c r="I393" s="12" t="inlineStr">
        <is>
          <t>0.1 acres; cause Campfire; fuel 8 - Timber - Light Hardwood Litter</t>
        </is>
      </c>
      <c r="J393" s="12" t="inlineStr">
        <is>
          <t>42.12181, -75.53826</t>
        </is>
      </c>
      <c r="K393" s="12" t="inlineStr">
        <is>
          <t>No losses reported</t>
        </is>
      </c>
      <c r="L393" s="12" t="inlineStr">
        <is>
          <t>NYSDEC Forest Ranger Wildland Fire Reporting Database (Beginning 2008), data.ny.gov export 2026-09-28</t>
        </is>
      </c>
      <c r="M393" s="12" t="inlineStr">
        <is>
          <t>https://data.ny.gov/</t>
        </is>
      </c>
      <c r="N393" s="12" t="inlineStr">
        <is>
          <t>A</t>
        </is>
      </c>
      <c r="O393" s="12" t="inlineStr">
        <is>
          <t>Y</t>
        </is>
      </c>
      <c r="P393" s="12" t="inlineStr">
        <is>
          <t>2026-09-28 (v970, atlas session): bulk ingest per Laurie; fire number NYS-2008-0200; matching 🔥 pin on Natural History.</t>
        </is>
      </c>
      <c r="Q393" s="12" t="inlineStr">
        <is>
          <t>2008-09-25</t>
        </is>
      </c>
      <c r="R393" s="12">
        <f>VALUE(LEFT(Q393,4))</f>
        <v/>
      </c>
      <c r="S393" s="12">
        <f>VALUE(MID(Q393,6,2))</f>
        <v/>
      </c>
      <c r="T393" s="12">
        <f>VALUE(RIGHT(Q393,2))</f>
        <v/>
      </c>
      <c r="U393" s="12" t="inlineStr">
        <is>
          <t>day</t>
        </is>
      </c>
      <c r="V393" s="12" t="inlineStr">
        <is>
          <t>Fire start date (DEC report)</t>
        </is>
      </c>
    </row>
    <row r="394">
      <c r="A394" s="12" t="n">
        <v>412</v>
      </c>
      <c r="B394" s="12" t="inlineStr">
        <is>
          <t>2015-09-06</t>
        </is>
      </c>
      <c r="C394" s="12" t="inlineStr">
        <is>
          <t>2015-09-10</t>
        </is>
      </c>
      <c r="D394" s="12">
        <f>VALUE(LEFT(B394,4))</f>
        <v/>
      </c>
      <c r="E394" s="12">
        <f>INT((D394-1)/100)+1</f>
        <v/>
      </c>
      <c r="F394" s="12" t="inlineStr">
        <is>
          <t>Wildfire</t>
        </is>
      </c>
      <c r="G394" s="12" t="inlineStr">
        <is>
          <t>Cart Road Fire — wildfire, 0.5 acres, Dover (Dutchess Co.)</t>
        </is>
      </c>
      <c r="H394" s="12" t="inlineStr">
        <is>
          <t>Dover, Dutchess County; Private Property</t>
        </is>
      </c>
      <c r="I394" s="12" t="inlineStr">
        <is>
          <t>0.5 acres; cause Debris Burning; fuel 8 - Timber - Light Hardwood Litter</t>
        </is>
      </c>
      <c r="J394" s="12" t="inlineStr">
        <is>
          <t>41.74199, -73.58913</t>
        </is>
      </c>
      <c r="K394" s="12" t="inlineStr">
        <is>
          <t>No losses reported</t>
        </is>
      </c>
      <c r="L394" s="12" t="inlineStr">
        <is>
          <t>NYSDEC Forest Ranger Wildland Fire Reporting Database (Beginning 2008), data.ny.gov export 2026-09-28</t>
        </is>
      </c>
      <c r="M394" s="12" t="inlineStr">
        <is>
          <t>https://data.ny.gov/</t>
        </is>
      </c>
      <c r="N394" s="12" t="inlineStr">
        <is>
          <t>A</t>
        </is>
      </c>
      <c r="O394" s="12" t="inlineStr">
        <is>
          <t>Y</t>
        </is>
      </c>
      <c r="P394" s="12" t="inlineStr">
        <is>
          <t>2026-09-28 (v970, atlas session): bulk ingest per Laurie; fire number NYS-2015-0165; matching 🔥 pin on Natural History.</t>
        </is>
      </c>
      <c r="Q394" s="12" t="inlineStr">
        <is>
          <t>2015-09-06</t>
        </is>
      </c>
      <c r="R394" s="12">
        <f>VALUE(LEFT(Q394,4))</f>
        <v/>
      </c>
      <c r="S394" s="12">
        <f>VALUE(MID(Q394,6,2))</f>
        <v/>
      </c>
      <c r="T394" s="12">
        <f>VALUE(RIGHT(Q394,2))</f>
        <v/>
      </c>
      <c r="U394" s="12" t="inlineStr">
        <is>
          <t>day</t>
        </is>
      </c>
      <c r="V394" s="12" t="inlineStr">
        <is>
          <t>Fire start date (DEC report)</t>
        </is>
      </c>
    </row>
    <row r="395">
      <c r="A395" s="12" t="n">
        <v>413</v>
      </c>
      <c r="B395" s="12" t="inlineStr">
        <is>
          <t>2015-05-11</t>
        </is>
      </c>
      <c r="C395" s="12" t="inlineStr">
        <is>
          <t>2015-05-11</t>
        </is>
      </c>
      <c r="D395" s="12">
        <f>VALUE(LEFT(B395,4))</f>
        <v/>
      </c>
      <c r="E395" s="12">
        <f>INT((D395-1)/100)+1</f>
        <v/>
      </c>
      <c r="F395" s="12" t="inlineStr">
        <is>
          <t>Wildfire</t>
        </is>
      </c>
      <c r="G395" s="12" t="inlineStr">
        <is>
          <t>Bungalow Fire — wildfire, 0.1 acres, Fallsburgh (Sullivan Co.)</t>
        </is>
      </c>
      <c r="H395" s="12" t="inlineStr">
        <is>
          <t>Fallsburgh, Sullivan County; Private Property</t>
        </is>
      </c>
      <c r="I395" s="12" t="inlineStr">
        <is>
          <t>0.1 acres; cause Equipment; fuel 9 - Timber - Medium Hardwood Litter</t>
        </is>
      </c>
      <c r="J395" s="12" t="inlineStr">
        <is>
          <t>41.72303, -74.60382</t>
        </is>
      </c>
      <c r="K395" s="12" t="inlineStr">
        <is>
          <t>No losses reported</t>
        </is>
      </c>
      <c r="L395" s="12" t="inlineStr">
        <is>
          <t>NYSDEC Forest Ranger Wildland Fire Reporting Database (Beginning 2008), data.ny.gov export 2026-09-28</t>
        </is>
      </c>
      <c r="M395" s="12" t="inlineStr">
        <is>
          <t>https://data.ny.gov/</t>
        </is>
      </c>
      <c r="N395" s="12" t="inlineStr">
        <is>
          <t>A</t>
        </is>
      </c>
      <c r="O395" s="12" t="inlineStr">
        <is>
          <t>Y</t>
        </is>
      </c>
      <c r="P395" s="12" t="inlineStr">
        <is>
          <t>2026-09-28 (v970, atlas session): bulk ingest per Laurie; fire number NYS-2015-0112; matching 🔥 pin on Natural History.</t>
        </is>
      </c>
      <c r="Q395" s="12" t="inlineStr">
        <is>
          <t>2015-05-11</t>
        </is>
      </c>
      <c r="R395" s="12">
        <f>VALUE(LEFT(Q395,4))</f>
        <v/>
      </c>
      <c r="S395" s="12">
        <f>VALUE(MID(Q395,6,2))</f>
        <v/>
      </c>
      <c r="T395" s="12">
        <f>VALUE(RIGHT(Q395,2))</f>
        <v/>
      </c>
      <c r="U395" s="12" t="inlineStr">
        <is>
          <t>day</t>
        </is>
      </c>
      <c r="V395" s="12" t="inlineStr">
        <is>
          <t>Fire start date (DEC report)</t>
        </is>
      </c>
    </row>
    <row r="396">
      <c r="A396" s="12" t="n">
        <v>414</v>
      </c>
      <c r="B396" s="12" t="inlineStr">
        <is>
          <t>2013-03-29</t>
        </is>
      </c>
      <c r="C396" s="12" t="inlineStr">
        <is>
          <t>2013-03-30</t>
        </is>
      </c>
      <c r="D396" s="12">
        <f>VALUE(LEFT(B396,4))</f>
        <v/>
      </c>
      <c r="E396" s="12">
        <f>INT((D396-1)/100)+1</f>
        <v/>
      </c>
      <c r="F396" s="12" t="inlineStr">
        <is>
          <t>Wildfire</t>
        </is>
      </c>
      <c r="G396" s="12" t="inlineStr">
        <is>
          <t>Mcdonald Rd Fire — wildfire, 2.5 acres, Mamakating (Sullivan Co.)</t>
        </is>
      </c>
      <c r="H396" s="12" t="inlineStr">
        <is>
          <t>Mamakating, Sullivan County; Private Property</t>
        </is>
      </c>
      <c r="I396" s="12" t="inlineStr">
        <is>
          <t>2.5 acres; cause Campfire; fuel 9 - Timber - Medium Hardwood Litter</t>
        </is>
      </c>
      <c r="J396" s="12" t="inlineStr">
        <is>
          <t>41.59013, -74.47738</t>
        </is>
      </c>
      <c r="K396" s="12" t="inlineStr">
        <is>
          <t>No losses reported</t>
        </is>
      </c>
      <c r="L396" s="12" t="inlineStr">
        <is>
          <t>NYSDEC Forest Ranger Wildland Fire Reporting Database (Beginning 2008), data.ny.gov export 2026-09-28</t>
        </is>
      </c>
      <c r="M396" s="12" t="inlineStr">
        <is>
          <t>https://data.ny.gov/</t>
        </is>
      </c>
      <c r="N396" s="12" t="inlineStr">
        <is>
          <t>A</t>
        </is>
      </c>
      <c r="O396" s="12" t="inlineStr">
        <is>
          <t>Y</t>
        </is>
      </c>
      <c r="P396" s="12" t="inlineStr">
        <is>
          <t>2026-09-28 (v970, atlas session): bulk ingest per Laurie; fire number NYS-2013-0004; matching 🔥 pin on Natural History.</t>
        </is>
      </c>
      <c r="Q396" s="12" t="inlineStr">
        <is>
          <t>2013-03-29</t>
        </is>
      </c>
      <c r="R396" s="12">
        <f>VALUE(LEFT(Q396,4))</f>
        <v/>
      </c>
      <c r="S396" s="12">
        <f>VALUE(MID(Q396,6,2))</f>
        <v/>
      </c>
      <c r="T396" s="12">
        <f>VALUE(RIGHT(Q396,2))</f>
        <v/>
      </c>
      <c r="U396" s="12" t="inlineStr">
        <is>
          <t>day</t>
        </is>
      </c>
      <c r="V396" s="12" t="inlineStr">
        <is>
          <t>Fire start date (DEC report)</t>
        </is>
      </c>
    </row>
    <row r="397">
      <c r="A397" s="12" t="n">
        <v>416</v>
      </c>
      <c r="B397" s="12" t="inlineStr">
        <is>
          <t>2012-07-09</t>
        </is>
      </c>
      <c r="C397" s="12" t="inlineStr">
        <is>
          <t>2012-07-14</t>
        </is>
      </c>
      <c r="D397" s="12">
        <f>VALUE(LEFT(B397,4))</f>
        <v/>
      </c>
      <c r="E397" s="12">
        <f>INT((D397-1)/100)+1</f>
        <v/>
      </c>
      <c r="F397" s="12" t="inlineStr">
        <is>
          <t>Wildfire</t>
        </is>
      </c>
      <c r="G397" s="12" t="inlineStr">
        <is>
          <t>Podpadic Road Fire — wildfire, 0.8 acres, Richmondville (Schoharie Co.)</t>
        </is>
      </c>
      <c r="H397" s="12" t="inlineStr">
        <is>
          <t>Richmondville, Schoharie County; Private Property</t>
        </is>
      </c>
      <c r="I397" s="12" t="inlineStr">
        <is>
          <t>0.8 acres; cause Railroad; fuel 10 - Timber - Heavy Litter/Downed Fuels</t>
        </is>
      </c>
      <c r="J397" s="12" t="inlineStr">
        <is>
          <t>42.64509, -74.54500</t>
        </is>
      </c>
      <c r="K397" s="12" t="inlineStr">
        <is>
          <t>No losses reported</t>
        </is>
      </c>
      <c r="L397" s="12" t="inlineStr">
        <is>
          <t>NYSDEC Forest Ranger Wildland Fire Reporting Database (Beginning 2008), data.ny.gov export 2026-09-28</t>
        </is>
      </c>
      <c r="M397" s="12" t="inlineStr">
        <is>
          <t>https://data.ny.gov/</t>
        </is>
      </c>
      <c r="N397" s="12" t="inlineStr">
        <is>
          <t>A</t>
        </is>
      </c>
      <c r="O397" s="12" t="inlineStr">
        <is>
          <t>Y</t>
        </is>
      </c>
      <c r="P397" s="12" t="inlineStr">
        <is>
          <t>2026-09-28 (v970, atlas session): bulk ingest per Laurie; fire number NYS-2012-0119; matching 🔥 pin on Natural History.</t>
        </is>
      </c>
      <c r="Q397" s="12" t="inlineStr">
        <is>
          <t>2012-07-09</t>
        </is>
      </c>
      <c r="R397" s="12">
        <f>VALUE(LEFT(Q397,4))</f>
        <v/>
      </c>
      <c r="S397" s="12">
        <f>VALUE(MID(Q397,6,2))</f>
        <v/>
      </c>
      <c r="T397" s="12">
        <f>VALUE(RIGHT(Q397,2))</f>
        <v/>
      </c>
      <c r="U397" s="12" t="inlineStr">
        <is>
          <t>day</t>
        </is>
      </c>
      <c r="V397" s="12" t="inlineStr">
        <is>
          <t>Fire start date (DEC report)</t>
        </is>
      </c>
    </row>
    <row r="398">
      <c r="A398" s="12" t="n">
        <v>417</v>
      </c>
      <c r="B398" s="12" t="inlineStr">
        <is>
          <t>2016-04-18</t>
        </is>
      </c>
      <c r="C398" s="12" t="inlineStr">
        <is>
          <t>2016-04-20</t>
        </is>
      </c>
      <c r="D398" s="12">
        <f>VALUE(LEFT(B398,4))</f>
        <v/>
      </c>
      <c r="E398" s="12">
        <f>INT((D398-1)/100)+1</f>
        <v/>
      </c>
      <c r="F398" s="12" t="inlineStr">
        <is>
          <t>Wildfire</t>
        </is>
      </c>
      <c r="G398" s="12" t="inlineStr">
        <is>
          <t>Westbrookville Fire — wildfire, 4 acres, Mamakating (Sullivan Co.)</t>
        </is>
      </c>
      <c r="H398" s="12" t="inlineStr">
        <is>
          <t>Mamakating, Sullivan County; Private Property</t>
        </is>
      </c>
      <c r="I398" s="12" t="inlineStr">
        <is>
          <t>4 acres; cause Power line; fuel 5 - Brush - Continuous but Light</t>
        </is>
      </c>
      <c r="J398" s="12" t="inlineStr">
        <is>
          <t>41.57412, -74.56892</t>
        </is>
      </c>
      <c r="K398" s="12" t="inlineStr">
        <is>
          <t>No losses reported</t>
        </is>
      </c>
      <c r="L398" s="12" t="inlineStr">
        <is>
          <t>NYSDEC Forest Ranger Wildland Fire Reporting Database (Beginning 2008), data.ny.gov export 2026-09-28</t>
        </is>
      </c>
      <c r="M398" s="12" t="inlineStr">
        <is>
          <t>https://data.ny.gov/</t>
        </is>
      </c>
      <c r="N398" s="12" t="inlineStr">
        <is>
          <t>A</t>
        </is>
      </c>
      <c r="O398" s="12" t="inlineStr">
        <is>
          <t>Y</t>
        </is>
      </c>
      <c r="P398" s="12" t="inlineStr">
        <is>
          <t>2026-09-28 (v970, atlas session): bulk ingest per Laurie; fire number NYS-2016-0057; matching 🔥 pin on Natural History.</t>
        </is>
      </c>
      <c r="Q398" s="12" t="inlineStr">
        <is>
          <t>2016-04-18</t>
        </is>
      </c>
      <c r="R398" s="12">
        <f>VALUE(LEFT(Q398,4))</f>
        <v/>
      </c>
      <c r="S398" s="12">
        <f>VALUE(MID(Q398,6,2))</f>
        <v/>
      </c>
      <c r="T398" s="12">
        <f>VALUE(RIGHT(Q398,2))</f>
        <v/>
      </c>
      <c r="U398" s="12" t="inlineStr">
        <is>
          <t>day</t>
        </is>
      </c>
      <c r="V398" s="12" t="inlineStr">
        <is>
          <t>Fire start date (DEC report)</t>
        </is>
      </c>
    </row>
    <row r="399">
      <c r="A399" s="12" t="n">
        <v>418</v>
      </c>
      <c r="B399" s="12" t="inlineStr">
        <is>
          <t>2009-04-09</t>
        </is>
      </c>
      <c r="C399" s="12" t="inlineStr">
        <is>
          <t>2009-04-10</t>
        </is>
      </c>
      <c r="D399" s="12">
        <f>VALUE(LEFT(B399,4))</f>
        <v/>
      </c>
      <c r="E399" s="12">
        <f>INT((D399-1)/100)+1</f>
        <v/>
      </c>
      <c r="F399" s="12" t="inlineStr">
        <is>
          <t>Wildfire</t>
        </is>
      </c>
      <c r="G399" s="12" t="inlineStr">
        <is>
          <t>South Beacon Mtn — wildfire, 9.5 acres, Fishkill (Dutchess Co.)</t>
        </is>
      </c>
      <c r="H399" s="12" t="inlineStr">
        <is>
          <t>Fishkill, Dutchess County; Private Property</t>
        </is>
      </c>
      <c r="I399" s="12" t="inlineStr">
        <is>
          <t>9.5 acres; cause Miscellaneous; fuel 9 - Timber - Medium Hardwood Litter</t>
        </is>
      </c>
      <c r="J399" s="12" t="inlineStr">
        <is>
          <t>41.48183, -73.94367</t>
        </is>
      </c>
      <c r="K399" s="12" t="inlineStr">
        <is>
          <t>No losses reported</t>
        </is>
      </c>
      <c r="L399" s="12" t="inlineStr">
        <is>
          <t>NYSDEC Forest Ranger Wildland Fire Reporting Database (Beginning 2008), data.ny.gov export 2026-09-28</t>
        </is>
      </c>
      <c r="M399" s="12" t="inlineStr">
        <is>
          <t>https://data.ny.gov/</t>
        </is>
      </c>
      <c r="N399" s="12" t="inlineStr">
        <is>
          <t>A</t>
        </is>
      </c>
      <c r="O399" s="12" t="inlineStr">
        <is>
          <t>Y</t>
        </is>
      </c>
      <c r="P399" s="12" t="inlineStr">
        <is>
          <t>2026-09-28 (v970, atlas session): bulk ingest per Laurie; fire number NYS-2009-0040; matching 🔥 pin on Natural History.</t>
        </is>
      </c>
      <c r="Q399" s="12" t="inlineStr">
        <is>
          <t>2009-04-09</t>
        </is>
      </c>
      <c r="R399" s="12">
        <f>VALUE(LEFT(Q399,4))</f>
        <v/>
      </c>
      <c r="S399" s="12">
        <f>VALUE(MID(Q399,6,2))</f>
        <v/>
      </c>
      <c r="T399" s="12">
        <f>VALUE(RIGHT(Q399,2))</f>
        <v/>
      </c>
      <c r="U399" s="12" t="inlineStr">
        <is>
          <t>day</t>
        </is>
      </c>
      <c r="V399" s="12" t="inlineStr">
        <is>
          <t>Fire start date (DEC report)</t>
        </is>
      </c>
    </row>
    <row r="400">
      <c r="A400" s="12" t="n">
        <v>420</v>
      </c>
      <c r="B400" s="12" t="inlineStr">
        <is>
          <t>2016-09-26</t>
        </is>
      </c>
      <c r="C400" s="12" t="inlineStr">
        <is>
          <t>2016-09-27</t>
        </is>
      </c>
      <c r="D400" s="12">
        <f>VALUE(LEFT(B400,4))</f>
        <v/>
      </c>
      <c r="E400" s="12">
        <f>INT((D400-1)/100)+1</f>
        <v/>
      </c>
      <c r="F400" s="12" t="inlineStr">
        <is>
          <t>Wildfire</t>
        </is>
      </c>
      <c r="G400" s="12" t="inlineStr">
        <is>
          <t>Dibbles Unattend Campfire — wildfire, 0.1 acres, Hunter (Greene Co.)</t>
        </is>
      </c>
      <c r="H400" s="12" t="inlineStr">
        <is>
          <t>Hunter, Greene County; Forest Preserve — Indian Head Wilderness</t>
        </is>
      </c>
      <c r="I400" s="12" t="inlineStr">
        <is>
          <t>0.1 acres; cause Campfire; fuel 8 - Timber - Light Hardwood Litter</t>
        </is>
      </c>
      <c r="J400" s="12" t="inlineStr">
        <is>
          <t>42.13939, -74.13348</t>
        </is>
      </c>
      <c r="K400" s="12" t="inlineStr">
        <is>
          <t>No losses reported</t>
        </is>
      </c>
      <c r="L400" s="12" t="inlineStr">
        <is>
          <t>NYSDEC Forest Ranger Wildland Fire Reporting Database (Beginning 2008), data.ny.gov export 2026-09-28</t>
        </is>
      </c>
      <c r="M400" s="12" t="inlineStr">
        <is>
          <t>https://data.ny.gov/</t>
        </is>
      </c>
      <c r="N400" s="12" t="inlineStr">
        <is>
          <t>A</t>
        </is>
      </c>
      <c r="O400" s="12" t="inlineStr">
        <is>
          <t>Y</t>
        </is>
      </c>
      <c r="P400" s="12" t="inlineStr">
        <is>
          <t>2026-09-28 (v970, atlas session): bulk ingest per Laurie; fire number NYS-2016-0169; matching 🔥 pin on Natural History.</t>
        </is>
      </c>
      <c r="Q400" s="12" t="inlineStr">
        <is>
          <t>2016-09-26</t>
        </is>
      </c>
      <c r="R400" s="12">
        <f>VALUE(LEFT(Q400,4))</f>
        <v/>
      </c>
      <c r="S400" s="12">
        <f>VALUE(MID(Q400,6,2))</f>
        <v/>
      </c>
      <c r="T400" s="12">
        <f>VALUE(RIGHT(Q400,2))</f>
        <v/>
      </c>
      <c r="U400" s="12" t="inlineStr">
        <is>
          <t>day</t>
        </is>
      </c>
      <c r="V400" s="12" t="inlineStr">
        <is>
          <t>Fire start date (DEC report)</t>
        </is>
      </c>
    </row>
    <row r="401">
      <c r="A401" s="12" t="n">
        <v>421</v>
      </c>
      <c r="B401" s="12" t="inlineStr">
        <is>
          <t>2015-04-16</t>
        </is>
      </c>
      <c r="C401" s="12" t="inlineStr">
        <is>
          <t>2015-04-16</t>
        </is>
      </c>
      <c r="D401" s="12">
        <f>VALUE(LEFT(B401,4))</f>
        <v/>
      </c>
      <c r="E401" s="12">
        <f>INT((D401-1)/100)+1</f>
        <v/>
      </c>
      <c r="F401" s="12" t="inlineStr">
        <is>
          <t>Wildfire</t>
        </is>
      </c>
      <c r="G401" s="12" t="inlineStr">
        <is>
          <t>Conroy Fire — wildfire, 0.8 acres, Westerlo (Albany Co.)</t>
        </is>
      </c>
      <c r="H401" s="12" t="inlineStr">
        <is>
          <t>Westerlo, Albany County; Private Property</t>
        </is>
      </c>
      <c r="I401" s="12" t="inlineStr">
        <is>
          <t>0.8 acres; cause Smoking; fuel 8 - Timber - Light Hardwood Litter</t>
        </is>
      </c>
      <c r="J401" s="12" t="inlineStr">
        <is>
          <t>42.44696, -74.03588</t>
        </is>
      </c>
      <c r="K401" s="12" t="inlineStr">
        <is>
          <t>No losses reported</t>
        </is>
      </c>
      <c r="L401" s="12" t="inlineStr">
        <is>
          <t>NYSDEC Forest Ranger Wildland Fire Reporting Database (Beginning 2008), data.ny.gov export 2026-09-28</t>
        </is>
      </c>
      <c r="M401" s="12" t="inlineStr">
        <is>
          <t>https://data.ny.gov/</t>
        </is>
      </c>
      <c r="N401" s="12" t="inlineStr">
        <is>
          <t>A</t>
        </is>
      </c>
      <c r="O401" s="12" t="inlineStr">
        <is>
          <t>Y</t>
        </is>
      </c>
      <c r="P401" s="12" t="inlineStr">
        <is>
          <t>2026-09-28 (v970, atlas session): bulk ingest per Laurie; fire number NYS-2015-0027; matching 🔥 pin on Natural History.</t>
        </is>
      </c>
      <c r="Q401" s="12" t="inlineStr">
        <is>
          <t>2015-04-16</t>
        </is>
      </c>
      <c r="R401" s="12">
        <f>VALUE(LEFT(Q401,4))</f>
        <v/>
      </c>
      <c r="S401" s="12">
        <f>VALUE(MID(Q401,6,2))</f>
        <v/>
      </c>
      <c r="T401" s="12">
        <f>VALUE(RIGHT(Q401,2))</f>
        <v/>
      </c>
      <c r="U401" s="12" t="inlineStr">
        <is>
          <t>day</t>
        </is>
      </c>
      <c r="V401" s="12" t="inlineStr">
        <is>
          <t>Fire start date (DEC report)</t>
        </is>
      </c>
    </row>
    <row r="402">
      <c r="A402" s="12" t="n">
        <v>422</v>
      </c>
      <c r="B402" s="12" t="inlineStr">
        <is>
          <t>2018-04-24</t>
        </is>
      </c>
      <c r="C402" s="12" t="inlineStr">
        <is>
          <t>2018-04-25</t>
        </is>
      </c>
      <c r="D402" s="12">
        <f>VALUE(LEFT(B402,4))</f>
        <v/>
      </c>
      <c r="E402" s="12">
        <f>INT((D402-1)/100)+1</f>
        <v/>
      </c>
      <c r="F402" s="12" t="inlineStr">
        <is>
          <t>Wildfire</t>
        </is>
      </c>
      <c r="G402" s="12" t="inlineStr">
        <is>
          <t>Mount Laurel Fire — wildfire, 4 acres, Rochester (Ulster Co.)</t>
        </is>
      </c>
      <c r="H402" s="12" t="inlineStr">
        <is>
          <t>Rochester, Ulster County; Private Property</t>
        </is>
      </c>
      <c r="I402" s="12" t="inlineStr">
        <is>
          <t>4 acres; cause Equipment; fuel 8 - Timber - Light Hardwood Litter</t>
        </is>
      </c>
      <c r="J402" s="12" t="inlineStr">
        <is>
          <t>41.81111, -74.33147</t>
        </is>
      </c>
      <c r="K402" s="12" t="inlineStr">
        <is>
          <t>No losses reported</t>
        </is>
      </c>
      <c r="L402" s="12" t="inlineStr">
        <is>
          <t>NYSDEC Forest Ranger Wildland Fire Reporting Database (Beginning 2008), data.ny.gov export 2026-09-28</t>
        </is>
      </c>
      <c r="M402" s="12" t="inlineStr">
        <is>
          <t>https://data.ny.gov/</t>
        </is>
      </c>
      <c r="N402" s="12" t="inlineStr">
        <is>
          <t>A</t>
        </is>
      </c>
      <c r="O402" s="12" t="inlineStr">
        <is>
          <t>Y</t>
        </is>
      </c>
      <c r="P402" s="12" t="inlineStr">
        <is>
          <t>2026-09-28 (v970, atlas session): bulk ingest per Laurie; fire number NYS-2018-0030; matching 🔥 pin on Natural History.</t>
        </is>
      </c>
      <c r="Q402" s="12" t="inlineStr">
        <is>
          <t>2018-04-24</t>
        </is>
      </c>
      <c r="R402" s="12">
        <f>VALUE(LEFT(Q402,4))</f>
        <v/>
      </c>
      <c r="S402" s="12">
        <f>VALUE(MID(Q402,6,2))</f>
        <v/>
      </c>
      <c r="T402" s="12">
        <f>VALUE(RIGHT(Q402,2))</f>
        <v/>
      </c>
      <c r="U402" s="12" t="inlineStr">
        <is>
          <t>day</t>
        </is>
      </c>
      <c r="V402" s="12" t="inlineStr">
        <is>
          <t>Fire start date (DEC report)</t>
        </is>
      </c>
    </row>
    <row r="403">
      <c r="A403" s="12" t="n">
        <v>423</v>
      </c>
      <c r="B403" s="12" t="inlineStr">
        <is>
          <t>2024-10-27</t>
        </is>
      </c>
      <c r="C403" s="12" t="inlineStr">
        <is>
          <t>2024-11-14</t>
        </is>
      </c>
      <c r="D403" s="12">
        <f>VALUE(LEFT(B403,4))</f>
        <v/>
      </c>
      <c r="E403" s="12">
        <f>INT((D403-1)/100)+1</f>
        <v/>
      </c>
      <c r="F403" s="12" t="inlineStr">
        <is>
          <t>Wildfire</t>
        </is>
      </c>
      <c r="G403" s="12" t="inlineStr">
        <is>
          <t>Old Pawling Fire — wildfire, 22 acres, Dover (Dutchess Co.)</t>
        </is>
      </c>
      <c r="H403" s="12" t="inlineStr">
        <is>
          <t>Dover, Dutchess County; Private Property</t>
        </is>
      </c>
      <c r="I403" s="12" t="inlineStr">
        <is>
          <t>22 acres; cause Debris Burning; fuel 8 - Timber - Light Hardwood Litter</t>
        </is>
      </c>
      <c r="J403" s="12" t="inlineStr">
        <is>
          <t>41.63356, -73.59007</t>
        </is>
      </c>
      <c r="K403" s="12" t="inlineStr">
        <is>
          <t>No losses reported</t>
        </is>
      </c>
      <c r="L403" s="12" t="inlineStr">
        <is>
          <t>NYSDEC Forest Ranger Wildland Fire Reporting Database (Beginning 2008), data.ny.gov export 2026-09-28</t>
        </is>
      </c>
      <c r="M403" s="12" t="inlineStr">
        <is>
          <t>https://data.ny.gov/</t>
        </is>
      </c>
      <c r="N403" s="12" t="inlineStr">
        <is>
          <t>A</t>
        </is>
      </c>
      <c r="O403" s="12" t="inlineStr">
        <is>
          <t>Y</t>
        </is>
      </c>
      <c r="P403" s="12" t="inlineStr">
        <is>
          <t>2026-09-28 (v970, atlas session): bulk ingest per Laurie; fire number NYS-2024-0145; matching 🔥 pin on Natural History.</t>
        </is>
      </c>
      <c r="Q403" s="12" t="inlineStr">
        <is>
          <t>2024-10-27</t>
        </is>
      </c>
      <c r="R403" s="12">
        <f>VALUE(LEFT(Q403,4))</f>
        <v/>
      </c>
      <c r="S403" s="12">
        <f>VALUE(MID(Q403,6,2))</f>
        <v/>
      </c>
      <c r="T403" s="12">
        <f>VALUE(RIGHT(Q403,2))</f>
        <v/>
      </c>
      <c r="U403" s="12" t="inlineStr">
        <is>
          <t>day</t>
        </is>
      </c>
      <c r="V403" s="12" t="inlineStr">
        <is>
          <t>Fire start date (DEC report)</t>
        </is>
      </c>
    </row>
    <row r="404">
      <c r="A404" s="12" t="n">
        <v>425</v>
      </c>
      <c r="B404" s="12" t="inlineStr">
        <is>
          <t>2015-09-03</t>
        </is>
      </c>
      <c r="C404" s="12" t="inlineStr">
        <is>
          <t>2015-09-07</t>
        </is>
      </c>
      <c r="D404" s="12">
        <f>VALUE(LEFT(B404,4))</f>
        <v/>
      </c>
      <c r="E404" s="12">
        <f>INT((D404-1)/100)+1</f>
        <v/>
      </c>
      <c r="F404" s="12" t="inlineStr">
        <is>
          <t>Wildfire</t>
        </is>
      </c>
      <c r="G404" s="12" t="inlineStr">
        <is>
          <t>Nicholson Fire — wildfire, 0.1 acres, Kingston (Ulster Co.)</t>
        </is>
      </c>
      <c r="H404" s="12" t="inlineStr">
        <is>
          <t>Kingston, Ulster County; Forest Preserve — Bluestone WF</t>
        </is>
      </c>
      <c r="I404" s="12" t="inlineStr">
        <is>
          <t>0.1 acres; cause Campfire; fuel 10 - Timber - Heavy Litter/Downed Fuels</t>
        </is>
      </c>
      <c r="J404" s="12" t="inlineStr">
        <is>
          <t>41.98390, -74.08066</t>
        </is>
      </c>
      <c r="K404" s="12" t="inlineStr">
        <is>
          <t>No losses reported</t>
        </is>
      </c>
      <c r="L404" s="12" t="inlineStr">
        <is>
          <t>NYSDEC Forest Ranger Wildland Fire Reporting Database (Beginning 2008), data.ny.gov export 2026-09-28</t>
        </is>
      </c>
      <c r="M404" s="12" t="inlineStr">
        <is>
          <t>https://data.ny.gov/</t>
        </is>
      </c>
      <c r="N404" s="12" t="inlineStr">
        <is>
          <t>A</t>
        </is>
      </c>
      <c r="O404" s="12" t="inlineStr">
        <is>
          <t>Y</t>
        </is>
      </c>
      <c r="P404" s="12" t="inlineStr">
        <is>
          <t>2026-09-28 (v970, atlas session): bulk ingest per Laurie; fire number NYS-2015-0159; matching 🔥 pin on Natural History.</t>
        </is>
      </c>
      <c r="Q404" s="12" t="inlineStr">
        <is>
          <t>2015-09-03</t>
        </is>
      </c>
      <c r="R404" s="12">
        <f>VALUE(LEFT(Q404,4))</f>
        <v/>
      </c>
      <c r="S404" s="12">
        <f>VALUE(MID(Q404,6,2))</f>
        <v/>
      </c>
      <c r="T404" s="12">
        <f>VALUE(RIGHT(Q404,2))</f>
        <v/>
      </c>
      <c r="U404" s="12" t="inlineStr">
        <is>
          <t>day</t>
        </is>
      </c>
      <c r="V404" s="12" t="inlineStr">
        <is>
          <t>Fire start date (DEC report)</t>
        </is>
      </c>
    </row>
    <row r="405">
      <c r="A405" s="12" t="n">
        <v>426</v>
      </c>
      <c r="B405" s="12" t="inlineStr">
        <is>
          <t>2018-04-22</t>
        </is>
      </c>
      <c r="C405" s="12" t="inlineStr">
        <is>
          <t>2018-04-23</t>
        </is>
      </c>
      <c r="D405" s="12">
        <f>VALUE(LEFT(B405,4))</f>
        <v/>
      </c>
      <c r="E405" s="12">
        <f>INT((D405-1)/100)+1</f>
        <v/>
      </c>
      <c r="F405" s="12" t="inlineStr">
        <is>
          <t>Wildfire</t>
        </is>
      </c>
      <c r="G405" s="12" t="inlineStr">
        <is>
          <t>Lanape Lake Fire — wildfire, 6.9 acres, Liberty (Sullivan Co.)</t>
        </is>
      </c>
      <c r="H405" s="12" t="inlineStr">
        <is>
          <t>Liberty, Sullivan County; Private Property</t>
        </is>
      </c>
      <c r="I405" s="12" t="inlineStr">
        <is>
          <t>6.9 acres; cause Power line; fuel 8 - Timber - Light Hardwood Litter</t>
        </is>
      </c>
      <c r="J405" s="12" t="inlineStr">
        <is>
          <t>41.86574, -74.82442</t>
        </is>
      </c>
      <c r="K405" s="12" t="inlineStr">
        <is>
          <t>No losses reported</t>
        </is>
      </c>
      <c r="L405" s="12" t="inlineStr">
        <is>
          <t>NYSDEC Forest Ranger Wildland Fire Reporting Database (Beginning 2008), data.ny.gov export 2026-09-28</t>
        </is>
      </c>
      <c r="M405" s="12" t="inlineStr">
        <is>
          <t>https://data.ny.gov/</t>
        </is>
      </c>
      <c r="N405" s="12" t="inlineStr">
        <is>
          <t>A</t>
        </is>
      </c>
      <c r="O405" s="12" t="inlineStr">
        <is>
          <t>Y</t>
        </is>
      </c>
      <c r="P405" s="12" t="inlineStr">
        <is>
          <t>2026-09-28 (v970, atlas session): bulk ingest per Laurie; fire number NYS-2018-0019; matching 🔥 pin on Natural History.</t>
        </is>
      </c>
      <c r="Q405" s="12" t="inlineStr">
        <is>
          <t>2018-04-22</t>
        </is>
      </c>
      <c r="R405" s="12">
        <f>VALUE(LEFT(Q405,4))</f>
        <v/>
      </c>
      <c r="S405" s="12">
        <f>VALUE(MID(Q405,6,2))</f>
        <v/>
      </c>
      <c r="T405" s="12">
        <f>VALUE(RIGHT(Q405,2))</f>
        <v/>
      </c>
      <c r="U405" s="12" t="inlineStr">
        <is>
          <t>day</t>
        </is>
      </c>
      <c r="V405" s="12" t="inlineStr">
        <is>
          <t>Fire start date (DEC report)</t>
        </is>
      </c>
    </row>
    <row r="406">
      <c r="A406" s="12" t="n">
        <v>428</v>
      </c>
      <c r="B406" s="12" t="inlineStr">
        <is>
          <t>2012-06-16</t>
        </is>
      </c>
      <c r="C406" s="12" t="inlineStr">
        <is>
          <t>2012-06-25</t>
        </is>
      </c>
      <c r="D406" s="12">
        <f>VALUE(LEFT(B406,4))</f>
        <v/>
      </c>
      <c r="E406" s="12">
        <f>INT((D406-1)/100)+1</f>
        <v/>
      </c>
      <c r="F406" s="12" t="inlineStr">
        <is>
          <t>Wildfire</t>
        </is>
      </c>
      <c r="G406" s="12" t="inlineStr">
        <is>
          <t>Chapin Fire — wildfire, 1 acres, Bethel (Sullivan Co.)</t>
        </is>
      </c>
      <c r="H406" s="12" t="inlineStr">
        <is>
          <t>Bethel, Sullivan County; Private Property</t>
        </is>
      </c>
      <c r="I406" s="12" t="inlineStr">
        <is>
          <t>1 acres; cause Smoking; fuel 3 - Grass - Heavy</t>
        </is>
      </c>
      <c r="J406" s="12" t="inlineStr">
        <is>
          <t>41.62921, -74.83984</t>
        </is>
      </c>
      <c r="K406" s="12" t="inlineStr">
        <is>
          <t>No losses reported</t>
        </is>
      </c>
      <c r="L406" s="12" t="inlineStr">
        <is>
          <t>NYSDEC Forest Ranger Wildland Fire Reporting Database (Beginning 2008), data.ny.gov export 2026-09-28</t>
        </is>
      </c>
      <c r="M406" s="12" t="inlineStr">
        <is>
          <t>https://data.ny.gov/</t>
        </is>
      </c>
      <c r="N406" s="12" t="inlineStr">
        <is>
          <t>A</t>
        </is>
      </c>
      <c r="O406" s="12" t="inlineStr">
        <is>
          <t>Y</t>
        </is>
      </c>
      <c r="P406" s="12" t="inlineStr">
        <is>
          <t>2026-09-28 (v970, atlas session): bulk ingest per Laurie; fire number NYS-2012-0113; matching 🔥 pin on Natural History.</t>
        </is>
      </c>
      <c r="Q406" s="12" t="inlineStr">
        <is>
          <t>2012-06-16</t>
        </is>
      </c>
      <c r="R406" s="12">
        <f>VALUE(LEFT(Q406,4))</f>
        <v/>
      </c>
      <c r="S406" s="12">
        <f>VALUE(MID(Q406,6,2))</f>
        <v/>
      </c>
      <c r="T406" s="12">
        <f>VALUE(RIGHT(Q406,2))</f>
        <v/>
      </c>
      <c r="U406" s="12" t="inlineStr">
        <is>
          <t>day</t>
        </is>
      </c>
      <c r="V406" s="12" t="inlineStr">
        <is>
          <t>Fire start date (DEC report)</t>
        </is>
      </c>
    </row>
    <row r="407">
      <c r="A407" s="12" t="n">
        <v>429</v>
      </c>
      <c r="B407" s="12" t="inlineStr">
        <is>
          <t>2016-04-22</t>
        </is>
      </c>
      <c r="C407" s="12" t="inlineStr">
        <is>
          <t>2016-04-23</t>
        </is>
      </c>
      <c r="D407" s="12">
        <f>VALUE(LEFT(B407,4))</f>
        <v/>
      </c>
      <c r="E407" s="12">
        <f>INT((D407-1)/100)+1</f>
        <v/>
      </c>
      <c r="F407" s="12" t="inlineStr">
        <is>
          <t>Wildfire</t>
        </is>
      </c>
      <c r="G407" s="12" t="inlineStr">
        <is>
          <t>Roosa Fire Tower — wildfire, 0.3 acres, Mamakating (Sullivan Co.)</t>
        </is>
      </c>
      <c r="H407" s="12" t="inlineStr">
        <is>
          <t>Mamakating, Sullivan County; State Forest/RF Area — Roosa Gap State Forest</t>
        </is>
      </c>
      <c r="I407" s="12" t="inlineStr">
        <is>
          <t>0.3 acres; cause Incendiary; fuel 7 - Brush - Understory</t>
        </is>
      </c>
      <c r="J407" s="12" t="inlineStr">
        <is>
          <t>41.61757, -74.42664</t>
        </is>
      </c>
      <c r="K407" s="12" t="inlineStr">
        <is>
          <t>No losses reported</t>
        </is>
      </c>
      <c r="L407" s="12" t="inlineStr">
        <is>
          <t>NYSDEC Forest Ranger Wildland Fire Reporting Database (Beginning 2008), data.ny.gov export 2026-09-28</t>
        </is>
      </c>
      <c r="M407" s="12" t="inlineStr">
        <is>
          <t>https://data.ny.gov/</t>
        </is>
      </c>
      <c r="N407" s="12" t="inlineStr">
        <is>
          <t>A</t>
        </is>
      </c>
      <c r="O407" s="12" t="inlineStr">
        <is>
          <t>Y</t>
        </is>
      </c>
      <c r="P407" s="12" t="inlineStr">
        <is>
          <t>2026-09-28 (v970, atlas session): bulk ingest per Laurie; fire number NYS-2016-0072; matching 🔥 pin on Natural History.</t>
        </is>
      </c>
      <c r="Q407" s="12" t="inlineStr">
        <is>
          <t>2016-04-22</t>
        </is>
      </c>
      <c r="R407" s="12">
        <f>VALUE(LEFT(Q407,4))</f>
        <v/>
      </c>
      <c r="S407" s="12">
        <f>VALUE(MID(Q407,6,2))</f>
        <v/>
      </c>
      <c r="T407" s="12">
        <f>VALUE(RIGHT(Q407,2))</f>
        <v/>
      </c>
      <c r="U407" s="12" t="inlineStr">
        <is>
          <t>day</t>
        </is>
      </c>
      <c r="V407" s="12" t="inlineStr">
        <is>
          <t>Fire start date (DEC report)</t>
        </is>
      </c>
    </row>
    <row r="408">
      <c r="A408" s="12" t="n">
        <v>430</v>
      </c>
      <c r="B408" s="12" t="inlineStr">
        <is>
          <t>2012-03-24</t>
        </is>
      </c>
      <c r="C408" s="12" t="inlineStr">
        <is>
          <t>2012-03-24</t>
        </is>
      </c>
      <c r="D408" s="12">
        <f>VALUE(LEFT(B408,4))</f>
        <v/>
      </c>
      <c r="E408" s="12">
        <f>INT((D408-1)/100)+1</f>
        <v/>
      </c>
      <c r="F408" s="12" t="inlineStr">
        <is>
          <t>Wildfire</t>
        </is>
      </c>
      <c r="G408" s="12" t="inlineStr">
        <is>
          <t>Mettacahonts Rd Fire — wildfire, 1.5 acres, Rochester (Ulster Co.)</t>
        </is>
      </c>
      <c r="H408" s="12" t="inlineStr">
        <is>
          <t>Rochester, Ulster County; Private Property</t>
        </is>
      </c>
      <c r="I408" s="12" t="inlineStr">
        <is>
          <t>1.5 acres; cause Campfire; fuel 3 - Grass - Heavy</t>
        </is>
      </c>
      <c r="J408" s="12" t="inlineStr">
        <is>
          <t>41.80382, -74.25436</t>
        </is>
      </c>
      <c r="K408" s="12" t="inlineStr">
        <is>
          <t>No losses reported</t>
        </is>
      </c>
      <c r="L408" s="12" t="inlineStr">
        <is>
          <t>NYSDEC Forest Ranger Wildland Fire Reporting Database (Beginning 2008), data.ny.gov export 2026-09-28</t>
        </is>
      </c>
      <c r="M408" s="12" t="inlineStr">
        <is>
          <t>https://data.ny.gov/</t>
        </is>
      </c>
      <c r="N408" s="12" t="inlineStr">
        <is>
          <t>A</t>
        </is>
      </c>
      <c r="O408" s="12" t="inlineStr">
        <is>
          <t>Y</t>
        </is>
      </c>
      <c r="P408" s="12" t="inlineStr">
        <is>
          <t>2026-09-28 (v970, atlas session): bulk ingest per Laurie; fire number NYS-2012-0032; matching 🔥 pin on Natural History.</t>
        </is>
      </c>
      <c r="Q408" s="12" t="inlineStr">
        <is>
          <t>2012-03-24</t>
        </is>
      </c>
      <c r="R408" s="12">
        <f>VALUE(LEFT(Q408,4))</f>
        <v/>
      </c>
      <c r="S408" s="12">
        <f>VALUE(MID(Q408,6,2))</f>
        <v/>
      </c>
      <c r="T408" s="12">
        <f>VALUE(RIGHT(Q408,2))</f>
        <v/>
      </c>
      <c r="U408" s="12" t="inlineStr">
        <is>
          <t>day</t>
        </is>
      </c>
      <c r="V408" s="12" t="inlineStr">
        <is>
          <t>Fire start date (DEC report)</t>
        </is>
      </c>
    </row>
    <row r="409">
      <c r="A409" s="12" t="n">
        <v>431</v>
      </c>
      <c r="B409" s="12" t="inlineStr">
        <is>
          <t>2017-03-09</t>
        </is>
      </c>
      <c r="C409" s="12" t="inlineStr">
        <is>
          <t>2017-03-09</t>
        </is>
      </c>
      <c r="D409" s="12">
        <f>VALUE(LEFT(B409,4))</f>
        <v/>
      </c>
      <c r="E409" s="12">
        <f>INT((D409-1)/100)+1</f>
        <v/>
      </c>
      <c r="F409" s="12" t="inlineStr">
        <is>
          <t>Wildfire</t>
        </is>
      </c>
      <c r="G409" s="12" t="inlineStr">
        <is>
          <t>Cottekill — wildfire, 1 acres, Rosendale (Ulster Co.)</t>
        </is>
      </c>
      <c r="H409" s="12" t="inlineStr">
        <is>
          <t>Rosendale, Ulster County; Private Property</t>
        </is>
      </c>
      <c r="I409" s="12" t="inlineStr">
        <is>
          <t>1 acres; cause Structure; fuel 9 - Timber - Medium Hardwood Litter</t>
        </is>
      </c>
      <c r="J409" s="12" t="inlineStr">
        <is>
          <t>41.84511, -74.10648</t>
        </is>
      </c>
      <c r="K409" s="12" t="inlineStr">
        <is>
          <t>No losses reported</t>
        </is>
      </c>
      <c r="L409" s="12" t="inlineStr">
        <is>
          <t>NYSDEC Forest Ranger Wildland Fire Reporting Database (Beginning 2008), data.ny.gov export 2026-09-28</t>
        </is>
      </c>
      <c r="M409" s="12" t="inlineStr">
        <is>
          <t>https://data.ny.gov/</t>
        </is>
      </c>
      <c r="N409" s="12" t="inlineStr">
        <is>
          <t>A</t>
        </is>
      </c>
      <c r="O409" s="12" t="inlineStr">
        <is>
          <t>Y</t>
        </is>
      </c>
      <c r="P409" s="12" t="inlineStr">
        <is>
          <t>2026-09-28 (v970, atlas session): bulk ingest per Laurie; fire number NYS-2017-0007; matching 🔥 pin on Natural History.</t>
        </is>
      </c>
      <c r="Q409" s="12" t="inlineStr">
        <is>
          <t>2017-03-09</t>
        </is>
      </c>
      <c r="R409" s="12">
        <f>VALUE(LEFT(Q409,4))</f>
        <v/>
      </c>
      <c r="S409" s="12">
        <f>VALUE(MID(Q409,6,2))</f>
        <v/>
      </c>
      <c r="T409" s="12">
        <f>VALUE(RIGHT(Q409,2))</f>
        <v/>
      </c>
      <c r="U409" s="12" t="inlineStr">
        <is>
          <t>day</t>
        </is>
      </c>
      <c r="V409" s="12" t="inlineStr">
        <is>
          <t>Fire start date (DEC report)</t>
        </is>
      </c>
    </row>
    <row r="410">
      <c r="A410" s="12" t="n">
        <v>432</v>
      </c>
      <c r="B410" s="12" t="inlineStr">
        <is>
          <t>2015-05-24</t>
        </is>
      </c>
      <c r="C410" s="12" t="inlineStr">
        <is>
          <t>2015-05-25</t>
        </is>
      </c>
      <c r="D410" s="12">
        <f>VALUE(LEFT(B410,4))</f>
        <v/>
      </c>
      <c r="E410" s="12">
        <f>INT((D410-1)/100)+1</f>
        <v/>
      </c>
      <c r="F410" s="12" t="inlineStr">
        <is>
          <t>Wildfire</t>
        </is>
      </c>
      <c r="G410" s="12" t="inlineStr">
        <is>
          <t>Trailer — wildfire, 1.2 acres, Mamakating (Sullivan Co.)</t>
        </is>
      </c>
      <c r="H410" s="12" t="inlineStr">
        <is>
          <t>Mamakating, Sullivan County; Private Property — Bashkill WMA</t>
        </is>
      </c>
      <c r="I410" s="12" t="inlineStr">
        <is>
          <t>1.2 acres; cause Debris Burning; fuel 7 - Brush - Understory</t>
        </is>
      </c>
      <c r="J410" s="12" t="inlineStr">
        <is>
          <t>41.51275, -74.55462</t>
        </is>
      </c>
      <c r="K410" s="12" t="inlineStr">
        <is>
          <t>No losses reported</t>
        </is>
      </c>
      <c r="L410" s="12" t="inlineStr">
        <is>
          <t>NYSDEC Forest Ranger Wildland Fire Reporting Database (Beginning 2008), data.ny.gov export 2026-09-28</t>
        </is>
      </c>
      <c r="M410" s="12" t="inlineStr">
        <is>
          <t>https://data.ny.gov/</t>
        </is>
      </c>
      <c r="N410" s="12" t="inlineStr">
        <is>
          <t>A</t>
        </is>
      </c>
      <c r="O410" s="12" t="inlineStr">
        <is>
          <t>Y</t>
        </is>
      </c>
      <c r="P410" s="12" t="inlineStr">
        <is>
          <t>2026-09-28 (v970, atlas session): bulk ingest per Laurie; fire number NYS-2015-0127; matching 🔥 pin on Natural History.</t>
        </is>
      </c>
      <c r="Q410" s="12" t="inlineStr">
        <is>
          <t>2015-05-24</t>
        </is>
      </c>
      <c r="R410" s="12">
        <f>VALUE(LEFT(Q410,4))</f>
        <v/>
      </c>
      <c r="S410" s="12">
        <f>VALUE(MID(Q410,6,2))</f>
        <v/>
      </c>
      <c r="T410" s="12">
        <f>VALUE(RIGHT(Q410,2))</f>
        <v/>
      </c>
      <c r="U410" s="12" t="inlineStr">
        <is>
          <t>day</t>
        </is>
      </c>
      <c r="V410" s="12" t="inlineStr">
        <is>
          <t>Fire start date (DEC report)</t>
        </is>
      </c>
    </row>
    <row r="411">
      <c r="A411" s="12" t="n">
        <v>434</v>
      </c>
      <c r="B411" s="12" t="inlineStr">
        <is>
          <t>2017-10-03</t>
        </is>
      </c>
      <c r="C411" s="12" t="inlineStr">
        <is>
          <t>2017-10-08</t>
        </is>
      </c>
      <c r="D411" s="12">
        <f>VALUE(LEFT(B411,4))</f>
        <v/>
      </c>
      <c r="E411" s="12">
        <f>INT((D411-1)/100)+1</f>
        <v/>
      </c>
      <c r="F411" s="12" t="inlineStr">
        <is>
          <t>Wildfire</t>
        </is>
      </c>
      <c r="G411" s="12" t="inlineStr">
        <is>
          <t>Mallet Pond Fire — wildfire, 0.5 acres, Summit (Schoharie Co.)</t>
        </is>
      </c>
      <c r="H411" s="12" t="inlineStr">
        <is>
          <t>Summit, Schoharie County; State Forest/RF Area — Mallet Pond</t>
        </is>
      </c>
      <c r="I411" s="12" t="inlineStr">
        <is>
          <t>0.5 acres; cause Campfire; fuel 8 - Timber - Light Hardwood Litter</t>
        </is>
      </c>
      <c r="J411" s="12" t="inlineStr">
        <is>
          <t>42.59358, -74.52109</t>
        </is>
      </c>
      <c r="K411" s="12" t="inlineStr">
        <is>
          <t>No losses reported</t>
        </is>
      </c>
      <c r="L411" s="12" t="inlineStr">
        <is>
          <t>NYSDEC Forest Ranger Wildland Fire Reporting Database (Beginning 2008), data.ny.gov export 2026-09-28</t>
        </is>
      </c>
      <c r="M411" s="12" t="inlineStr">
        <is>
          <t>https://data.ny.gov/</t>
        </is>
      </c>
      <c r="N411" s="12" t="inlineStr">
        <is>
          <t>A</t>
        </is>
      </c>
      <c r="O411" s="12" t="inlineStr">
        <is>
          <t>Y</t>
        </is>
      </c>
      <c r="P411" s="12" t="inlineStr">
        <is>
          <t>2026-09-28 (v970, atlas session): bulk ingest per Laurie; fire number NYS-2017-0068; matching 🔥 pin on Natural History.</t>
        </is>
      </c>
      <c r="Q411" s="12" t="inlineStr">
        <is>
          <t>2017-10-03</t>
        </is>
      </c>
      <c r="R411" s="12">
        <f>VALUE(LEFT(Q411,4))</f>
        <v/>
      </c>
      <c r="S411" s="12">
        <f>VALUE(MID(Q411,6,2))</f>
        <v/>
      </c>
      <c r="T411" s="12">
        <f>VALUE(RIGHT(Q411,2))</f>
        <v/>
      </c>
      <c r="U411" s="12" t="inlineStr">
        <is>
          <t>day</t>
        </is>
      </c>
      <c r="V411" s="12" t="inlineStr">
        <is>
          <t>Fire start date (DEC report)</t>
        </is>
      </c>
    </row>
    <row r="412">
      <c r="A412" s="12" t="n">
        <v>435</v>
      </c>
      <c r="B412" s="12" t="inlineStr">
        <is>
          <t>2022-05-09</t>
        </is>
      </c>
      <c r="C412" s="12" t="inlineStr">
        <is>
          <t>2022-05-10</t>
        </is>
      </c>
      <c r="D412" s="12">
        <f>VALUE(LEFT(B412,4))</f>
        <v/>
      </c>
      <c r="E412" s="12">
        <f>INT((D412-1)/100)+1</f>
        <v/>
      </c>
      <c r="F412" s="12" t="inlineStr">
        <is>
          <t>Wildfire</t>
        </is>
      </c>
      <c r="G412" s="12" t="inlineStr">
        <is>
          <t>Tamzan/Budnick Rd Fire — wildfire, 0.4 acres, Liberty (Sullivan Co.)</t>
        </is>
      </c>
      <c r="H412" s="12" t="inlineStr">
        <is>
          <t>Liberty, Sullivan County; Private Property</t>
        </is>
      </c>
      <c r="I412" s="12" t="inlineStr">
        <is>
          <t>0.4 acres; cause Power line; fuel 8 - Timber - Light Hardwood Litter</t>
        </is>
      </c>
      <c r="J412" s="12" t="inlineStr">
        <is>
          <t>41.84146, -74.72037</t>
        </is>
      </c>
      <c r="K412" s="12" t="inlineStr">
        <is>
          <t>No losses reported</t>
        </is>
      </c>
      <c r="L412" s="12" t="inlineStr">
        <is>
          <t>NYSDEC Forest Ranger Wildland Fire Reporting Database (Beginning 2008), data.ny.gov export 2026-09-28</t>
        </is>
      </c>
      <c r="M412" s="12" t="inlineStr">
        <is>
          <t>https://data.ny.gov/</t>
        </is>
      </c>
      <c r="N412" s="12" t="inlineStr">
        <is>
          <t>A</t>
        </is>
      </c>
      <c r="O412" s="12" t="inlineStr">
        <is>
          <t>Y</t>
        </is>
      </c>
      <c r="P412" s="12" t="inlineStr">
        <is>
          <t>2026-09-28 (v970, atlas session): bulk ingest per Laurie; fire number NYS-2022-0072; matching 🔥 pin on Natural History.</t>
        </is>
      </c>
      <c r="Q412" s="12" t="inlineStr">
        <is>
          <t>2022-05-09</t>
        </is>
      </c>
      <c r="R412" s="12">
        <f>VALUE(LEFT(Q412,4))</f>
        <v/>
      </c>
      <c r="S412" s="12">
        <f>VALUE(MID(Q412,6,2))</f>
        <v/>
      </c>
      <c r="T412" s="12">
        <f>VALUE(RIGHT(Q412,2))</f>
        <v/>
      </c>
      <c r="U412" s="12" t="inlineStr">
        <is>
          <t>day</t>
        </is>
      </c>
      <c r="V412" s="12" t="inlineStr">
        <is>
          <t>Fire start date (DEC report)</t>
        </is>
      </c>
    </row>
    <row r="413">
      <c r="A413" s="12" t="n">
        <v>436</v>
      </c>
      <c r="B413" s="12" t="inlineStr">
        <is>
          <t>2015-04-16</t>
        </is>
      </c>
      <c r="C413" s="12" t="inlineStr">
        <is>
          <t>2015-04-17</t>
        </is>
      </c>
      <c r="D413" s="12">
        <f>VALUE(LEFT(B413,4))</f>
        <v/>
      </c>
      <c r="E413" s="12">
        <f>INT((D413-1)/100)+1</f>
        <v/>
      </c>
      <c r="F413" s="12" t="inlineStr">
        <is>
          <t>Wildfire</t>
        </is>
      </c>
      <c r="G413" s="12" t="inlineStr">
        <is>
          <t>Oakridge Fire — wildfire, 7.8 acres, Canaan (Columbia Co.)</t>
        </is>
      </c>
      <c r="H413" s="12" t="inlineStr">
        <is>
          <t>Canaan, Columbia County; Private Property</t>
        </is>
      </c>
      <c r="I413" s="12" t="inlineStr">
        <is>
          <t>7.8 acres; cause Debris Burning; fuel 10 - Timber - Heavy Litter/Downed Fuels</t>
        </is>
      </c>
      <c r="J413" s="12" t="inlineStr">
        <is>
          <t>42.38700, -73.41293</t>
        </is>
      </c>
      <c r="K413" s="12" t="inlineStr">
        <is>
          <t>No losses reported</t>
        </is>
      </c>
      <c r="L413" s="12" t="inlineStr">
        <is>
          <t>NYSDEC Forest Ranger Wildland Fire Reporting Database (Beginning 2008), data.ny.gov export 2026-09-28</t>
        </is>
      </c>
      <c r="M413" s="12" t="inlineStr">
        <is>
          <t>https://data.ny.gov/</t>
        </is>
      </c>
      <c r="N413" s="12" t="inlineStr">
        <is>
          <t>A</t>
        </is>
      </c>
      <c r="O413" s="12" t="inlineStr">
        <is>
          <t>Y</t>
        </is>
      </c>
      <c r="P413" s="12" t="inlineStr">
        <is>
          <t>2026-09-28 (v970, atlas session): bulk ingest per Laurie; fire number NYS-2015-0032; matching 🔥 pin on Natural History.</t>
        </is>
      </c>
      <c r="Q413" s="12" t="inlineStr">
        <is>
          <t>2015-04-16</t>
        </is>
      </c>
      <c r="R413" s="12">
        <f>VALUE(LEFT(Q413,4))</f>
        <v/>
      </c>
      <c r="S413" s="12">
        <f>VALUE(MID(Q413,6,2))</f>
        <v/>
      </c>
      <c r="T413" s="12">
        <f>VALUE(RIGHT(Q413,2))</f>
        <v/>
      </c>
      <c r="U413" s="12" t="inlineStr">
        <is>
          <t>day</t>
        </is>
      </c>
      <c r="V413" s="12" t="inlineStr">
        <is>
          <t>Fire start date (DEC report)</t>
        </is>
      </c>
    </row>
    <row r="414">
      <c r="A414" s="12" t="n">
        <v>437</v>
      </c>
      <c r="B414" s="12" t="inlineStr">
        <is>
          <t>2019-04-03</t>
        </is>
      </c>
      <c r="C414" s="12" t="inlineStr">
        <is>
          <t>2019-04-03</t>
        </is>
      </c>
      <c r="D414" s="12">
        <f>VALUE(LEFT(B414,4))</f>
        <v/>
      </c>
      <c r="E414" s="12">
        <f>INT((D414-1)/100)+1</f>
        <v/>
      </c>
      <c r="F414" s="12" t="inlineStr">
        <is>
          <t>Wildfire</t>
        </is>
      </c>
      <c r="G414" s="12" t="inlineStr">
        <is>
          <t>Beaver Rd Fire — wildfire, 4 acres, La Grange (Dutchess Co.)</t>
        </is>
      </c>
      <c r="H414" s="12" t="inlineStr">
        <is>
          <t>La Grange, Dutchess County; Private Property</t>
        </is>
      </c>
      <c r="I414" s="12" t="inlineStr">
        <is>
          <t>4 acres; cause Debris Burning; fuel 8 - Timber - Light Hardwood Litter</t>
        </is>
      </c>
      <c r="J414" s="12" t="inlineStr">
        <is>
          <t>41.64033, -73.75335</t>
        </is>
      </c>
      <c r="K414" s="12" t="inlineStr">
        <is>
          <t>No losses reported</t>
        </is>
      </c>
      <c r="L414" s="12" t="inlineStr">
        <is>
          <t>NYSDEC Forest Ranger Wildland Fire Reporting Database (Beginning 2008), data.ny.gov export 2026-09-28</t>
        </is>
      </c>
      <c r="M414" s="12" t="inlineStr">
        <is>
          <t>https://data.ny.gov/</t>
        </is>
      </c>
      <c r="N414" s="12" t="inlineStr">
        <is>
          <t>A</t>
        </is>
      </c>
      <c r="O414" s="12" t="inlineStr">
        <is>
          <t>Y</t>
        </is>
      </c>
      <c r="P414" s="12" t="inlineStr">
        <is>
          <t>2026-09-28 (v970, atlas session): bulk ingest per Laurie; fire number NYS-2019-0027; matching 🔥 pin on Natural History.</t>
        </is>
      </c>
      <c r="Q414" s="12" t="inlineStr">
        <is>
          <t>2019-04-03</t>
        </is>
      </c>
      <c r="R414" s="12">
        <f>VALUE(LEFT(Q414,4))</f>
        <v/>
      </c>
      <c r="S414" s="12">
        <f>VALUE(MID(Q414,6,2))</f>
        <v/>
      </c>
      <c r="T414" s="12">
        <f>VALUE(RIGHT(Q414,2))</f>
        <v/>
      </c>
      <c r="U414" s="12" t="inlineStr">
        <is>
          <t>day</t>
        </is>
      </c>
      <c r="V414" s="12" t="inlineStr">
        <is>
          <t>Fire start date (DEC report)</t>
        </is>
      </c>
    </row>
    <row r="415">
      <c r="A415" s="12" t="n">
        <v>438</v>
      </c>
      <c r="B415" s="12" t="inlineStr">
        <is>
          <t>2010-04-04</t>
        </is>
      </c>
      <c r="C415" s="12" t="inlineStr">
        <is>
          <t>2010-04-05</t>
        </is>
      </c>
      <c r="D415" s="12">
        <f>VALUE(LEFT(B415,4))</f>
        <v/>
      </c>
      <c r="E415" s="12">
        <f>INT((D415-1)/100)+1</f>
        <v/>
      </c>
      <c r="F415" s="12" t="inlineStr">
        <is>
          <t>Wildfire</t>
        </is>
      </c>
      <c r="G415" s="12" t="inlineStr">
        <is>
          <t>Pine Bush Fire — wildfire, 8.5 acres, Colonie (Albany Co.)</t>
        </is>
      </c>
      <c r="H415" s="12" t="inlineStr">
        <is>
          <t>Colonie, Albany County; Unique Area — Pine Bush</t>
        </is>
      </c>
      <c r="I415" s="12" t="inlineStr">
        <is>
          <t>8.5 acres; cause Incendiary; fuel 8 - Timber - Light Hardwood Litter</t>
        </is>
      </c>
      <c r="J415" s="12" t="inlineStr">
        <is>
          <t>42.73727, -73.88625</t>
        </is>
      </c>
      <c r="K415" s="12" t="inlineStr">
        <is>
          <t>No losses reported</t>
        </is>
      </c>
      <c r="L415" s="12" t="inlineStr">
        <is>
          <t>NYSDEC Forest Ranger Wildland Fire Reporting Database (Beginning 2008), data.ny.gov export 2026-09-28</t>
        </is>
      </c>
      <c r="M415" s="12" t="inlineStr">
        <is>
          <t>https://data.ny.gov/</t>
        </is>
      </c>
      <c r="N415" s="12" t="inlineStr">
        <is>
          <t>A</t>
        </is>
      </c>
      <c r="O415" s="12" t="inlineStr">
        <is>
          <t>Y</t>
        </is>
      </c>
      <c r="P415" s="12" t="inlineStr">
        <is>
          <t>2026-09-28 (v970, atlas session): bulk ingest per Laurie; fire number NYS-2010-0037; matching 🔥 pin on Natural History.</t>
        </is>
      </c>
      <c r="Q415" s="12" t="inlineStr">
        <is>
          <t>2010-04-04</t>
        </is>
      </c>
      <c r="R415" s="12">
        <f>VALUE(LEFT(Q415,4))</f>
        <v/>
      </c>
      <c r="S415" s="12">
        <f>VALUE(MID(Q415,6,2))</f>
        <v/>
      </c>
      <c r="T415" s="12">
        <f>VALUE(RIGHT(Q415,2))</f>
        <v/>
      </c>
      <c r="U415" s="12" t="inlineStr">
        <is>
          <t>day</t>
        </is>
      </c>
      <c r="V415" s="12" t="inlineStr">
        <is>
          <t>Fire start date (DEC report)</t>
        </is>
      </c>
    </row>
    <row r="416">
      <c r="A416" s="12" t="n">
        <v>439</v>
      </c>
      <c r="B416" s="12" t="inlineStr">
        <is>
          <t>2010-04-04</t>
        </is>
      </c>
      <c r="C416" s="12" t="inlineStr">
        <is>
          <t>2010-04-06</t>
        </is>
      </c>
      <c r="D416" s="12">
        <f>VALUE(LEFT(B416,4))</f>
        <v/>
      </c>
      <c r="E416" s="12">
        <f>INT((D416-1)/100)+1</f>
        <v/>
      </c>
      <c r="F416" s="12" t="inlineStr">
        <is>
          <t>Wildfire</t>
        </is>
      </c>
      <c r="G416" s="12" t="inlineStr">
        <is>
          <t>Rabbit Fire — wildfire, 6 acres, Cochecton (Sullivan Co.)</t>
        </is>
      </c>
      <c r="H416" s="12" t="inlineStr">
        <is>
          <t>Cochecton, Sullivan County; Private Property</t>
        </is>
      </c>
      <c r="I416" s="12" t="inlineStr">
        <is>
          <t>6 acres; cause Incendiary; fuel 9 - Timber - Medium Hardwood Litter</t>
        </is>
      </c>
      <c r="J416" s="12" t="inlineStr">
        <is>
          <t>41.68995, -75.04505</t>
        </is>
      </c>
      <c r="K416" s="12" t="inlineStr">
        <is>
          <t>No losses reported</t>
        </is>
      </c>
      <c r="L416" s="12" t="inlineStr">
        <is>
          <t>NYSDEC Forest Ranger Wildland Fire Reporting Database (Beginning 2008), data.ny.gov export 2026-09-28</t>
        </is>
      </c>
      <c r="M416" s="12" t="inlineStr">
        <is>
          <t>https://data.ny.gov/</t>
        </is>
      </c>
      <c r="N416" s="12" t="inlineStr">
        <is>
          <t>A</t>
        </is>
      </c>
      <c r="O416" s="12" t="inlineStr">
        <is>
          <t>Y</t>
        </is>
      </c>
      <c r="P416" s="12" t="inlineStr">
        <is>
          <t>2026-09-28 (v970, atlas session): bulk ingest per Laurie; fire number NYS-2010-0036; matching 🔥 pin on Natural History.</t>
        </is>
      </c>
      <c r="Q416" s="12" t="inlineStr">
        <is>
          <t>2010-04-04</t>
        </is>
      </c>
      <c r="R416" s="12">
        <f>VALUE(LEFT(Q416,4))</f>
        <v/>
      </c>
      <c r="S416" s="12">
        <f>VALUE(MID(Q416,6,2))</f>
        <v/>
      </c>
      <c r="T416" s="12">
        <f>VALUE(RIGHT(Q416,2))</f>
        <v/>
      </c>
      <c r="U416" s="12" t="inlineStr">
        <is>
          <t>day</t>
        </is>
      </c>
      <c r="V416" s="12" t="inlineStr">
        <is>
          <t>Fire start date (DEC report)</t>
        </is>
      </c>
    </row>
    <row r="417">
      <c r="A417" s="12" t="n">
        <v>440</v>
      </c>
      <c r="B417" s="12" t="inlineStr">
        <is>
          <t>2015-05-04</t>
        </is>
      </c>
      <c r="C417" s="12" t="inlineStr">
        <is>
          <t>2015-05-05</t>
        </is>
      </c>
      <c r="D417" s="12">
        <f>VALUE(LEFT(B417,4))</f>
        <v/>
      </c>
      <c r="E417" s="12">
        <f>INT((D417-1)/100)+1</f>
        <v/>
      </c>
      <c r="F417" s="12" t="inlineStr">
        <is>
          <t>Wildfire</t>
        </is>
      </c>
      <c r="G417" s="12" t="inlineStr">
        <is>
          <t>Bushnell Fire — wildfire, 9 acres, Hillsdale (Columbia Co.)</t>
        </is>
      </c>
      <c r="H417" s="12" t="inlineStr">
        <is>
          <t>Hillsdale, Columbia County; Private Property</t>
        </is>
      </c>
      <c r="I417" s="12" t="inlineStr">
        <is>
          <t>9 acres; cause Smoking; fuel 5 - Brush - Continuous but Light</t>
        </is>
      </c>
      <c r="J417" s="12" t="inlineStr">
        <is>
          <t>42.18546, -73.54997</t>
        </is>
      </c>
      <c r="K417" s="12" t="inlineStr">
        <is>
          <t>Other Structures Threatened: 1</t>
        </is>
      </c>
      <c r="L417" s="12" t="inlineStr">
        <is>
          <t>NYSDEC Forest Ranger Wildland Fire Reporting Database (Beginning 2008), data.ny.gov export 2026-09-28</t>
        </is>
      </c>
      <c r="M417" s="12" t="inlineStr">
        <is>
          <t>https://data.ny.gov/</t>
        </is>
      </c>
      <c r="N417" s="12" t="inlineStr">
        <is>
          <t>A</t>
        </is>
      </c>
      <c r="O417" s="12" t="inlineStr">
        <is>
          <t>Y</t>
        </is>
      </c>
      <c r="P417" s="12" t="inlineStr">
        <is>
          <t>2026-09-28 (v970, atlas session): bulk ingest per Laurie; fire number NYS-2015-0091; matching 🔥 pin on Natural History.</t>
        </is>
      </c>
      <c r="Q417" s="12" t="inlineStr">
        <is>
          <t>2015-05-04</t>
        </is>
      </c>
      <c r="R417" s="12">
        <f>VALUE(LEFT(Q417,4))</f>
        <v/>
      </c>
      <c r="S417" s="12">
        <f>VALUE(MID(Q417,6,2))</f>
        <v/>
      </c>
      <c r="T417" s="12">
        <f>VALUE(RIGHT(Q417,2))</f>
        <v/>
      </c>
      <c r="U417" s="12" t="inlineStr">
        <is>
          <t>day</t>
        </is>
      </c>
      <c r="V417" s="12" t="inlineStr">
        <is>
          <t>Fire start date (DEC report)</t>
        </is>
      </c>
    </row>
    <row r="418">
      <c r="A418" s="12" t="n">
        <v>442</v>
      </c>
      <c r="B418" s="12" t="inlineStr">
        <is>
          <t>2021-04-24</t>
        </is>
      </c>
      <c r="C418" s="12" t="inlineStr">
        <is>
          <t>2021-04-24</t>
        </is>
      </c>
      <c r="D418" s="12">
        <f>VALUE(LEFT(B418,4))</f>
        <v/>
      </c>
      <c r="E418" s="12">
        <f>INT((D418-1)/100)+1</f>
        <v/>
      </c>
      <c r="F418" s="12" t="inlineStr">
        <is>
          <t>Wildfire</t>
        </is>
      </c>
      <c r="G418" s="12" t="inlineStr">
        <is>
          <t>Park Fire — wildfire, 0.1 acres, Binghamton (Broome Co.)</t>
        </is>
      </c>
      <c r="H418" s="12" t="inlineStr">
        <is>
          <t>Binghamton, Broome County; Private Property</t>
        </is>
      </c>
      <c r="I418" s="12" t="inlineStr">
        <is>
          <t>0.1 acres; cause Debris Burning; fuel 13 - Slash Heavy</t>
        </is>
      </c>
      <c r="J418" s="12" t="inlineStr">
        <is>
          <t>42.05687, -75.91488</t>
        </is>
      </c>
      <c r="K418" s="12" t="inlineStr">
        <is>
          <t>No losses reported</t>
        </is>
      </c>
      <c r="L418" s="12" t="inlineStr">
        <is>
          <t>NYSDEC Forest Ranger Wildland Fire Reporting Database (Beginning 2008), data.ny.gov export 2026-09-28</t>
        </is>
      </c>
      <c r="M418" s="12" t="inlineStr">
        <is>
          <t>https://data.ny.gov/</t>
        </is>
      </c>
      <c r="N418" s="12" t="inlineStr">
        <is>
          <t>A</t>
        </is>
      </c>
      <c r="O418" s="12" t="inlineStr">
        <is>
          <t>Y</t>
        </is>
      </c>
      <c r="P418" s="12" t="inlineStr">
        <is>
          <t>2026-09-28 (v970, atlas session): bulk ingest per Laurie; fire number NYS-2021-0089; matching 🔥 pin on Natural History.</t>
        </is>
      </c>
      <c r="Q418" s="12" t="inlineStr">
        <is>
          <t>2021-04-24</t>
        </is>
      </c>
      <c r="R418" s="12">
        <f>VALUE(LEFT(Q418,4))</f>
        <v/>
      </c>
      <c r="S418" s="12">
        <f>VALUE(MID(Q418,6,2))</f>
        <v/>
      </c>
      <c r="T418" s="12">
        <f>VALUE(RIGHT(Q418,2))</f>
        <v/>
      </c>
      <c r="U418" s="12" t="inlineStr">
        <is>
          <t>day</t>
        </is>
      </c>
      <c r="V418" s="12" t="inlineStr">
        <is>
          <t>Fire start date (DEC report)</t>
        </is>
      </c>
    </row>
    <row r="419">
      <c r="A419" s="12" t="n">
        <v>446</v>
      </c>
      <c r="B419" s="12" t="inlineStr">
        <is>
          <t>2012-07-14</t>
        </is>
      </c>
      <c r="C419" s="12" t="inlineStr">
        <is>
          <t>2012-07-19</t>
        </is>
      </c>
      <c r="D419" s="12">
        <f>VALUE(LEFT(B419,4))</f>
        <v/>
      </c>
      <c r="E419" s="12">
        <f>INT((D419-1)/100)+1</f>
        <v/>
      </c>
      <c r="F419" s="12" t="inlineStr">
        <is>
          <t>Wildfire</t>
        </is>
      </c>
      <c r="G419" s="12" t="inlineStr">
        <is>
          <t>Upper Mtn Rd — wildfire, 1 acres, Shawangunk (Ulster Co.)</t>
        </is>
      </c>
      <c r="H419" s="12" t="inlineStr">
        <is>
          <t>Shawangunk, Ulster County; Private Property</t>
        </is>
      </c>
      <c r="I419" s="12" t="inlineStr">
        <is>
          <t>1 acres; cause Campfire; fuel 9 - Timber - Medium Hardwood Litter</t>
        </is>
      </c>
      <c r="J419" s="12" t="inlineStr">
        <is>
          <t>41.66231, -74.32841</t>
        </is>
      </c>
      <c r="K419" s="12" t="inlineStr">
        <is>
          <t>No losses reported</t>
        </is>
      </c>
      <c r="L419" s="12" t="inlineStr">
        <is>
          <t>NYSDEC Forest Ranger Wildland Fire Reporting Database (Beginning 2008), data.ny.gov export 2026-09-28</t>
        </is>
      </c>
      <c r="M419" s="12" t="inlineStr">
        <is>
          <t>https://data.ny.gov/</t>
        </is>
      </c>
      <c r="N419" s="12" t="inlineStr">
        <is>
          <t>A</t>
        </is>
      </c>
      <c r="O419" s="12" t="inlineStr">
        <is>
          <t>Y</t>
        </is>
      </c>
      <c r="P419" s="12" t="inlineStr">
        <is>
          <t>2026-09-28 (v970, atlas session): bulk ingest per Laurie; fire number NYS-2012-0134; matching 🔥 pin on Natural History.</t>
        </is>
      </c>
      <c r="Q419" s="12" t="inlineStr">
        <is>
          <t>2012-07-14</t>
        </is>
      </c>
      <c r="R419" s="12">
        <f>VALUE(LEFT(Q419,4))</f>
        <v/>
      </c>
      <c r="S419" s="12">
        <f>VALUE(MID(Q419,6,2))</f>
        <v/>
      </c>
      <c r="T419" s="12">
        <f>VALUE(RIGHT(Q419,2))</f>
        <v/>
      </c>
      <c r="U419" s="12" t="inlineStr">
        <is>
          <t>day</t>
        </is>
      </c>
      <c r="V419" s="12" t="inlineStr">
        <is>
          <t>Fire start date (DEC report)</t>
        </is>
      </c>
    </row>
    <row r="420">
      <c r="A420" s="12" t="n">
        <v>447</v>
      </c>
      <c r="B420" s="12" t="inlineStr">
        <is>
          <t>2023-05-18</t>
        </is>
      </c>
      <c r="C420" s="12" t="inlineStr">
        <is>
          <t>2023-05-19</t>
        </is>
      </c>
      <c r="D420" s="12">
        <f>VALUE(LEFT(B420,4))</f>
        <v/>
      </c>
      <c r="E420" s="12">
        <f>INT((D420-1)/100)+1</f>
        <v/>
      </c>
      <c r="F420" s="12" t="inlineStr">
        <is>
          <t>Wildfire</t>
        </is>
      </c>
      <c r="G420" s="12" t="inlineStr">
        <is>
          <t>West Mountain Lane Fire — wildfire, 4.7 acres, Berne (Albany Co.)</t>
        </is>
      </c>
      <c r="H420" s="12" t="inlineStr">
        <is>
          <t>Berne, Albany County; Private Property</t>
        </is>
      </c>
      <c r="I420" s="12" t="inlineStr">
        <is>
          <t>4.7 acres; cause Miscellaneous; fuel 9 - Timber - Medium Hardwood Litter</t>
        </is>
      </c>
      <c r="J420" s="12" t="inlineStr">
        <is>
          <t>42.59763, -74.18066</t>
        </is>
      </c>
      <c r="K420" s="12" t="inlineStr">
        <is>
          <t>No losses reported</t>
        </is>
      </c>
      <c r="L420" s="12" t="inlineStr">
        <is>
          <t>NYSDEC Forest Ranger Wildland Fire Reporting Database (Beginning 2008), data.ny.gov export 2026-09-28</t>
        </is>
      </c>
      <c r="M420" s="12" t="inlineStr">
        <is>
          <t>https://data.ny.gov/</t>
        </is>
      </c>
      <c r="N420" s="12" t="inlineStr">
        <is>
          <t>A</t>
        </is>
      </c>
      <c r="O420" s="12" t="inlineStr">
        <is>
          <t>Y</t>
        </is>
      </c>
      <c r="P420" s="12" t="inlineStr">
        <is>
          <t>2026-09-28 (v970, atlas session): bulk ingest per Laurie; fire number NYS-2023-0125; matching 🔥 pin on Natural History.</t>
        </is>
      </c>
      <c r="Q420" s="12" t="inlineStr">
        <is>
          <t>2023-05-18</t>
        </is>
      </c>
      <c r="R420" s="12">
        <f>VALUE(LEFT(Q420,4))</f>
        <v/>
      </c>
      <c r="S420" s="12">
        <f>VALUE(MID(Q420,6,2))</f>
        <v/>
      </c>
      <c r="T420" s="12">
        <f>VALUE(RIGHT(Q420,2))</f>
        <v/>
      </c>
      <c r="U420" s="12" t="inlineStr">
        <is>
          <t>day</t>
        </is>
      </c>
      <c r="V420" s="12" t="inlineStr">
        <is>
          <t>Fire start date (DEC report)</t>
        </is>
      </c>
    </row>
    <row r="421">
      <c r="A421" s="12" t="n">
        <v>448</v>
      </c>
      <c r="B421" s="12" t="inlineStr">
        <is>
          <t>2015-04-15</t>
        </is>
      </c>
      <c r="C421" s="12" t="inlineStr">
        <is>
          <t>2015-04-15</t>
        </is>
      </c>
      <c r="D421" s="12">
        <f>VALUE(LEFT(B421,4))</f>
        <v/>
      </c>
      <c r="E421" s="12">
        <f>INT((D421-1)/100)+1</f>
        <v/>
      </c>
      <c r="F421" s="12" t="inlineStr">
        <is>
          <t>Wildfire</t>
        </is>
      </c>
      <c r="G421" s="12" t="inlineStr">
        <is>
          <t>Wurtsboro Fire 4 — wildfire, 0.3 acres, Mamakating (Sullivan Co.)</t>
        </is>
      </c>
      <c r="H421" s="12" t="inlineStr">
        <is>
          <t>Mamakating, Sullivan County; Private Property</t>
        </is>
      </c>
      <c r="I421" s="12" t="inlineStr">
        <is>
          <t>0.3 acres; cause Incendiary; fuel 1 - Grass - Light</t>
        </is>
      </c>
      <c r="J421" s="12" t="inlineStr">
        <is>
          <t>41.58861, -74.46609</t>
        </is>
      </c>
      <c r="K421" s="12" t="inlineStr">
        <is>
          <t>No losses reported</t>
        </is>
      </c>
      <c r="L421" s="12" t="inlineStr">
        <is>
          <t>NYSDEC Forest Ranger Wildland Fire Reporting Database (Beginning 2008), data.ny.gov export 2026-09-28</t>
        </is>
      </c>
      <c r="M421" s="12" t="inlineStr">
        <is>
          <t>https://data.ny.gov/</t>
        </is>
      </c>
      <c r="N421" s="12" t="inlineStr">
        <is>
          <t>A</t>
        </is>
      </c>
      <c r="O421" s="12" t="inlineStr">
        <is>
          <t>Y</t>
        </is>
      </c>
      <c r="P421" s="12" t="inlineStr">
        <is>
          <t>2026-09-28 (v970, atlas session): bulk ingest per Laurie; fire number NYS-2015-0017; matching 🔥 pin on Natural History.</t>
        </is>
      </c>
      <c r="Q421" s="12" t="inlineStr">
        <is>
          <t>2015-04-15</t>
        </is>
      </c>
      <c r="R421" s="12">
        <f>VALUE(LEFT(Q421,4))</f>
        <v/>
      </c>
      <c r="S421" s="12">
        <f>VALUE(MID(Q421,6,2))</f>
        <v/>
      </c>
      <c r="T421" s="12">
        <f>VALUE(RIGHT(Q421,2))</f>
        <v/>
      </c>
      <c r="U421" s="12" t="inlineStr">
        <is>
          <t>day</t>
        </is>
      </c>
      <c r="V421" s="12" t="inlineStr">
        <is>
          <t>Fire start date (DEC report)</t>
        </is>
      </c>
    </row>
    <row r="422">
      <c r="A422" s="12" t="n">
        <v>449</v>
      </c>
      <c r="B422" s="12" t="inlineStr">
        <is>
          <t>2014-04-13</t>
        </is>
      </c>
      <c r="C422" s="12" t="inlineStr">
        <is>
          <t>2014-04-14</t>
        </is>
      </c>
      <c r="D422" s="12">
        <f>VALUE(LEFT(B422,4))</f>
        <v/>
      </c>
      <c r="E422" s="12">
        <f>INT((D422-1)/100)+1</f>
        <v/>
      </c>
      <c r="F422" s="12" t="inlineStr">
        <is>
          <t>Wildfire</t>
        </is>
      </c>
      <c r="G422" s="12" t="inlineStr">
        <is>
          <t>Becker Hill Fire — wildfire, 37 acres, Milan (Dutchess Co.)</t>
        </is>
      </c>
      <c r="H422" s="12" t="inlineStr">
        <is>
          <t>Milan, Dutchess County; Private Property</t>
        </is>
      </c>
      <c r="I422" s="12" t="inlineStr">
        <is>
          <t>37 acres; cause Debris Burning; fuel 5 - Brush - Continuous but Light</t>
        </is>
      </c>
      <c r="J422" s="12" t="inlineStr">
        <is>
          <t>42.00951, -73.79529</t>
        </is>
      </c>
      <c r="K422" s="12" t="inlineStr">
        <is>
          <t>No losses reported</t>
        </is>
      </c>
      <c r="L422" s="12" t="inlineStr">
        <is>
          <t>NYSDEC Forest Ranger Wildland Fire Reporting Database (Beginning 2008), data.ny.gov export 2026-09-28</t>
        </is>
      </c>
      <c r="M422" s="12" t="inlineStr">
        <is>
          <t>https://data.ny.gov/</t>
        </is>
      </c>
      <c r="N422" s="12" t="inlineStr">
        <is>
          <t>A</t>
        </is>
      </c>
      <c r="O422" s="12" t="inlineStr">
        <is>
          <t>Y</t>
        </is>
      </c>
      <c r="P422" s="12" t="inlineStr">
        <is>
          <t>2026-09-28 (v970, atlas session): bulk ingest per Laurie; fire number NYS-2014-0027; matching 🔥 pin on Natural History.</t>
        </is>
      </c>
      <c r="Q422" s="12" t="inlineStr">
        <is>
          <t>2014-04-13</t>
        </is>
      </c>
      <c r="R422" s="12">
        <f>VALUE(LEFT(Q422,4))</f>
        <v/>
      </c>
      <c r="S422" s="12">
        <f>VALUE(MID(Q422,6,2))</f>
        <v/>
      </c>
      <c r="T422" s="12">
        <f>VALUE(RIGHT(Q422,2))</f>
        <v/>
      </c>
      <c r="U422" s="12" t="inlineStr">
        <is>
          <t>day</t>
        </is>
      </c>
      <c r="V422" s="12" t="inlineStr">
        <is>
          <t>Fire start date (DEC report)</t>
        </is>
      </c>
    </row>
    <row r="423">
      <c r="A423" s="12" t="n">
        <v>450</v>
      </c>
      <c r="B423" s="12" t="inlineStr">
        <is>
          <t>2017-04-15</t>
        </is>
      </c>
      <c r="C423" s="12" t="inlineStr">
        <is>
          <t>2017-04-15</t>
        </is>
      </c>
      <c r="D423" s="12">
        <f>VALUE(LEFT(B423,4))</f>
        <v/>
      </c>
      <c r="E423" s="12">
        <f>INT((D423-1)/100)+1</f>
        <v/>
      </c>
      <c r="F423" s="12" t="inlineStr">
        <is>
          <t>Wildfire</t>
        </is>
      </c>
      <c r="G423" s="12" t="inlineStr">
        <is>
          <t>Selkirk CSX Railroad Fire — wildfire, 22.1 acres, Bethlehem (Albany Co.)</t>
        </is>
      </c>
      <c r="H423" s="12" t="inlineStr">
        <is>
          <t>Bethlehem, Albany County; Private Property</t>
        </is>
      </c>
      <c r="I423" s="12" t="inlineStr">
        <is>
          <t>22.1 acres; cause Railroad; fuel 6 - Brush - Mixed/Regeneration</t>
        </is>
      </c>
      <c r="J423" s="12" t="inlineStr">
        <is>
          <t>42.54520, -73.82153</t>
        </is>
      </c>
      <c r="K423" s="12" t="inlineStr">
        <is>
          <t>No losses reported</t>
        </is>
      </c>
      <c r="L423" s="12" t="inlineStr">
        <is>
          <t>NYSDEC Forest Ranger Wildland Fire Reporting Database (Beginning 2008), data.ny.gov export 2026-09-28</t>
        </is>
      </c>
      <c r="M423" s="12" t="inlineStr">
        <is>
          <t>https://data.ny.gov/</t>
        </is>
      </c>
      <c r="N423" s="12" t="inlineStr">
        <is>
          <t>A</t>
        </is>
      </c>
      <c r="O423" s="12" t="inlineStr">
        <is>
          <t>Y</t>
        </is>
      </c>
      <c r="P423" s="12" t="inlineStr">
        <is>
          <t>2026-09-28 (v970, atlas session): bulk ingest per Laurie; fire number NYS-2017-0029; matching 🔥 pin on Natural History.</t>
        </is>
      </c>
      <c r="Q423" s="12" t="inlineStr">
        <is>
          <t>2017-04-15</t>
        </is>
      </c>
      <c r="R423" s="12">
        <f>VALUE(LEFT(Q423,4))</f>
        <v/>
      </c>
      <c r="S423" s="12">
        <f>VALUE(MID(Q423,6,2))</f>
        <v/>
      </c>
      <c r="T423" s="12">
        <f>VALUE(RIGHT(Q423,2))</f>
        <v/>
      </c>
      <c r="U423" s="12" t="inlineStr">
        <is>
          <t>day</t>
        </is>
      </c>
      <c r="V423" s="12" t="inlineStr">
        <is>
          <t>Fire start date (DEC report)</t>
        </is>
      </c>
    </row>
    <row r="424">
      <c r="A424" s="12" t="n">
        <v>451</v>
      </c>
      <c r="B424" s="12" t="inlineStr">
        <is>
          <t>2024-04-09</t>
        </is>
      </c>
      <c r="C424" s="12" t="inlineStr">
        <is>
          <t>2024-04-09</t>
        </is>
      </c>
      <c r="D424" s="12">
        <f>VALUE(LEFT(B424,4))</f>
        <v/>
      </c>
      <c r="E424" s="12">
        <f>INT((D424-1)/100)+1</f>
        <v/>
      </c>
      <c r="F424" s="12" t="inlineStr">
        <is>
          <t>Wildfire</t>
        </is>
      </c>
      <c r="G424" s="12" t="inlineStr">
        <is>
          <t>Bella Vista Fire — wildfire, 2.5 acres, Amenia (Dutchess Co.)</t>
        </is>
      </c>
      <c r="H424" s="12" t="inlineStr">
        <is>
          <t>Amenia, Dutchess County; Private Property</t>
        </is>
      </c>
      <c r="I424" s="12" t="inlineStr">
        <is>
          <t>2.5 acres; cause Miscellaneous; fuel 9 - Timber - Medium Hardwood Litter</t>
        </is>
      </c>
      <c r="J424" s="12" t="inlineStr">
        <is>
          <t>41.86012, -73.58024</t>
        </is>
      </c>
      <c r="K424" s="12" t="inlineStr">
        <is>
          <t>No losses reported</t>
        </is>
      </c>
      <c r="L424" s="12" t="inlineStr">
        <is>
          <t>NYSDEC Forest Ranger Wildland Fire Reporting Database (Beginning 2008), data.ny.gov export 2026-09-28</t>
        </is>
      </c>
      <c r="M424" s="12" t="inlineStr">
        <is>
          <t>https://data.ny.gov/</t>
        </is>
      </c>
      <c r="N424" s="12" t="inlineStr">
        <is>
          <t>A</t>
        </is>
      </c>
      <c r="O424" s="12" t="inlineStr">
        <is>
          <t>Y</t>
        </is>
      </c>
      <c r="P424" s="12" t="inlineStr">
        <is>
          <t>2026-09-28 (v970, atlas session): bulk ingest per Laurie; fire number NYS-2024-0039; matching 🔥 pin on Natural History.</t>
        </is>
      </c>
      <c r="Q424" s="12" t="inlineStr">
        <is>
          <t>2024-04-09</t>
        </is>
      </c>
      <c r="R424" s="12">
        <f>VALUE(LEFT(Q424,4))</f>
        <v/>
      </c>
      <c r="S424" s="12">
        <f>VALUE(MID(Q424,6,2))</f>
        <v/>
      </c>
      <c r="T424" s="12">
        <f>VALUE(RIGHT(Q424,2))</f>
        <v/>
      </c>
      <c r="U424" s="12" t="inlineStr">
        <is>
          <t>day</t>
        </is>
      </c>
      <c r="V424" s="12" t="inlineStr">
        <is>
          <t>Fire start date (DEC report)</t>
        </is>
      </c>
    </row>
    <row r="425">
      <c r="A425" s="12" t="n">
        <v>452</v>
      </c>
      <c r="B425" s="12" t="inlineStr">
        <is>
          <t>2015-04-27</t>
        </is>
      </c>
      <c r="C425" s="12" t="inlineStr">
        <is>
          <t>2015-04-27</t>
        </is>
      </c>
      <c r="D425" s="12">
        <f>VALUE(LEFT(B425,4))</f>
        <v/>
      </c>
      <c r="E425" s="12">
        <f>INT((D425-1)/100)+1</f>
        <v/>
      </c>
      <c r="F425" s="12" t="inlineStr">
        <is>
          <t>Wildfire</t>
        </is>
      </c>
      <c r="G425" s="12" t="inlineStr">
        <is>
          <t>First Street Fire — wildfire, 0.3 acres, Mamakating (Sullivan Co.)</t>
        </is>
      </c>
      <c r="H425" s="12" t="inlineStr">
        <is>
          <t>Mamakating, Sullivan County; Other Government</t>
        </is>
      </c>
      <c r="I425" s="12" t="inlineStr">
        <is>
          <t>0.3 acres; cause Incendiary; fuel 7 - Brush - Understory</t>
        </is>
      </c>
      <c r="J425" s="12" t="inlineStr">
        <is>
          <t>41.57767, -74.47846</t>
        </is>
      </c>
      <c r="K425" s="12" t="inlineStr">
        <is>
          <t>No losses reported</t>
        </is>
      </c>
      <c r="L425" s="12" t="inlineStr">
        <is>
          <t>NYSDEC Forest Ranger Wildland Fire Reporting Database (Beginning 2008), data.ny.gov export 2026-09-28</t>
        </is>
      </c>
      <c r="M425" s="12" t="inlineStr">
        <is>
          <t>https://data.ny.gov/</t>
        </is>
      </c>
      <c r="N425" s="12" t="inlineStr">
        <is>
          <t>A</t>
        </is>
      </c>
      <c r="O425" s="12" t="inlineStr">
        <is>
          <t>Y</t>
        </is>
      </c>
      <c r="P425" s="12" t="inlineStr">
        <is>
          <t>2026-09-28 (v970, atlas session): bulk ingest per Laurie; fire number NYS-2015-0049; matching 🔥 pin on Natural History.</t>
        </is>
      </c>
      <c r="Q425" s="12" t="inlineStr">
        <is>
          <t>2015-04-27</t>
        </is>
      </c>
      <c r="R425" s="12">
        <f>VALUE(LEFT(Q425,4))</f>
        <v/>
      </c>
      <c r="S425" s="12">
        <f>VALUE(MID(Q425,6,2))</f>
        <v/>
      </c>
      <c r="T425" s="12">
        <f>VALUE(RIGHT(Q425,2))</f>
        <v/>
      </c>
      <c r="U425" s="12" t="inlineStr">
        <is>
          <t>day</t>
        </is>
      </c>
      <c r="V425" s="12" t="inlineStr">
        <is>
          <t>Fire start date (DEC report)</t>
        </is>
      </c>
    </row>
    <row r="426">
      <c r="A426" s="12" t="n">
        <v>453</v>
      </c>
      <c r="B426" s="12" t="inlineStr">
        <is>
          <t>2020-06-20</t>
        </is>
      </c>
      <c r="C426" s="12" t="inlineStr">
        <is>
          <t>2020-06-20</t>
        </is>
      </c>
      <c r="D426" s="12">
        <f>VALUE(LEFT(B426,4))</f>
        <v/>
      </c>
      <c r="E426" s="12">
        <f>INT((D426-1)/100)+1</f>
        <v/>
      </c>
      <c r="F426" s="12" t="inlineStr">
        <is>
          <t>Wildfire</t>
        </is>
      </c>
      <c r="G426" s="12" t="inlineStr">
        <is>
          <t>Cole Hill — wildfire, 0.8 acres, Berne (Albany Co.)</t>
        </is>
      </c>
      <c r="H426" s="12" t="inlineStr">
        <is>
          <t>Berne, Albany County; State Forest/RF Area — Cole Hill State Forest</t>
        </is>
      </c>
      <c r="I426" s="12" t="inlineStr">
        <is>
          <t>0.8 acres; cause Miscellaneous; fuel 6 - Brush - Mixed/Regeneration</t>
        </is>
      </c>
      <c r="J426" s="12" t="inlineStr">
        <is>
          <t>42.59770, -74.09310</t>
        </is>
      </c>
      <c r="K426" s="12" t="inlineStr">
        <is>
          <t>No losses reported</t>
        </is>
      </c>
      <c r="L426" s="12" t="inlineStr">
        <is>
          <t>NYSDEC Forest Ranger Wildland Fire Reporting Database (Beginning 2008), data.ny.gov export 2026-09-28</t>
        </is>
      </c>
      <c r="M426" s="12" t="inlineStr">
        <is>
          <t>https://data.ny.gov/</t>
        </is>
      </c>
      <c r="N426" s="12" t="inlineStr">
        <is>
          <t>A</t>
        </is>
      </c>
      <c r="O426" s="12" t="inlineStr">
        <is>
          <t>Y</t>
        </is>
      </c>
      <c r="P426" s="12" t="inlineStr">
        <is>
          <t>2026-09-28 (v970, atlas session): bulk ingest per Laurie; fire number NYS-2020-0092; matching 🔥 pin on Natural History.</t>
        </is>
      </c>
      <c r="Q426" s="12" t="inlineStr">
        <is>
          <t>2020-06-20</t>
        </is>
      </c>
      <c r="R426" s="12">
        <f>VALUE(LEFT(Q426,4))</f>
        <v/>
      </c>
      <c r="S426" s="12">
        <f>VALUE(MID(Q426,6,2))</f>
        <v/>
      </c>
      <c r="T426" s="12">
        <f>VALUE(RIGHT(Q426,2))</f>
        <v/>
      </c>
      <c r="U426" s="12" t="inlineStr">
        <is>
          <t>day</t>
        </is>
      </c>
      <c r="V426" s="12" t="inlineStr">
        <is>
          <t>Fire start date (DEC report)</t>
        </is>
      </c>
    </row>
    <row r="427">
      <c r="A427" s="12" t="n">
        <v>454</v>
      </c>
      <c r="B427" s="12" t="inlineStr">
        <is>
          <t>2014-05-29</t>
        </is>
      </c>
      <c r="C427" s="12" t="inlineStr">
        <is>
          <t>2014-05-29</t>
        </is>
      </c>
      <c r="D427" s="12">
        <f>VALUE(LEFT(B427,4))</f>
        <v/>
      </c>
      <c r="E427" s="12">
        <f>INT((D427-1)/100)+1</f>
        <v/>
      </c>
      <c r="F427" s="12" t="inlineStr">
        <is>
          <t>Wildfire</t>
        </is>
      </c>
      <c r="G427" s="12" t="inlineStr">
        <is>
          <t>Divine Corners — wildfire, 0.1 acres, Fallsburgh (Sullivan Co.)</t>
        </is>
      </c>
      <c r="H427" s="12" t="inlineStr">
        <is>
          <t>Fallsburgh, Sullivan County; Private Property</t>
        </is>
      </c>
      <c r="I427" s="12" t="inlineStr">
        <is>
          <t>0.1 acres; cause Debris Burning; fuel 13 - Slash Heavy</t>
        </is>
      </c>
      <c r="J427" s="12" t="inlineStr">
        <is>
          <t>41.80112, -74.65698</t>
        </is>
      </c>
      <c r="K427" s="12" t="inlineStr">
        <is>
          <t>No losses reported</t>
        </is>
      </c>
      <c r="L427" s="12" t="inlineStr">
        <is>
          <t>NYSDEC Forest Ranger Wildland Fire Reporting Database (Beginning 2008), data.ny.gov export 2026-09-28</t>
        </is>
      </c>
      <c r="M427" s="12" t="inlineStr">
        <is>
          <t>https://data.ny.gov/</t>
        </is>
      </c>
      <c r="N427" s="12" t="inlineStr">
        <is>
          <t>A</t>
        </is>
      </c>
      <c r="O427" s="12" t="inlineStr">
        <is>
          <t>Y</t>
        </is>
      </c>
      <c r="P427" s="12" t="inlineStr">
        <is>
          <t>2026-09-28 (v970, atlas session): bulk ingest per Laurie; fire number NYS-2014-0098; matching 🔥 pin on Natural History.</t>
        </is>
      </c>
      <c r="Q427" s="12" t="inlineStr">
        <is>
          <t>2014-05-29</t>
        </is>
      </c>
      <c r="R427" s="12">
        <f>VALUE(LEFT(Q427,4))</f>
        <v/>
      </c>
      <c r="S427" s="12">
        <f>VALUE(MID(Q427,6,2))</f>
        <v/>
      </c>
      <c r="T427" s="12">
        <f>VALUE(RIGHT(Q427,2))</f>
        <v/>
      </c>
      <c r="U427" s="12" t="inlineStr">
        <is>
          <t>day</t>
        </is>
      </c>
      <c r="V427" s="12" t="inlineStr">
        <is>
          <t>Fire start date (DEC report)</t>
        </is>
      </c>
    </row>
    <row r="428">
      <c r="A428" s="12" t="n">
        <v>455</v>
      </c>
      <c r="B428" s="12" t="inlineStr">
        <is>
          <t>2016-03-09</t>
        </is>
      </c>
      <c r="C428" s="12" t="inlineStr">
        <is>
          <t>2016-03-09</t>
        </is>
      </c>
      <c r="D428" s="12">
        <f>VALUE(LEFT(B428,4))</f>
        <v/>
      </c>
      <c r="E428" s="12">
        <f>INT((D428-1)/100)+1</f>
        <v/>
      </c>
      <c r="F428" s="12" t="inlineStr">
        <is>
          <t>Wildfire</t>
        </is>
      </c>
      <c r="G428" s="12" t="inlineStr">
        <is>
          <t>bishop fire — wildfire, 0.2 acres, Ghent (Columbia Co.)</t>
        </is>
      </c>
      <c r="H428" s="12" t="inlineStr">
        <is>
          <t>Ghent, Columbia County; Private Property</t>
        </is>
      </c>
      <c r="I428" s="12" t="inlineStr">
        <is>
          <t>0.2 acres; cause Debris Burning; fuel 1 - Grass - Light</t>
        </is>
      </c>
      <c r="J428" s="12" t="inlineStr">
        <is>
          <t>42.31847, -73.62856</t>
        </is>
      </c>
      <c r="K428" s="12" t="inlineStr">
        <is>
          <t>No losses reported</t>
        </is>
      </c>
      <c r="L428" s="12" t="inlineStr">
        <is>
          <t>NYSDEC Forest Ranger Wildland Fire Reporting Database (Beginning 2008), data.ny.gov export 2026-09-28</t>
        </is>
      </c>
      <c r="M428" s="12" t="inlineStr">
        <is>
          <t>https://data.ny.gov/</t>
        </is>
      </c>
      <c r="N428" s="12" t="inlineStr">
        <is>
          <t>A</t>
        </is>
      </c>
      <c r="O428" s="12" t="inlineStr">
        <is>
          <t>Y</t>
        </is>
      </c>
      <c r="P428" s="12" t="inlineStr">
        <is>
          <t>2026-09-28 (v970, atlas session): bulk ingest per Laurie; fire number NYS-2016-0010; matching 🔥 pin on Natural History.</t>
        </is>
      </c>
      <c r="Q428" s="12" t="inlineStr">
        <is>
          <t>2016-03-09</t>
        </is>
      </c>
      <c r="R428" s="12">
        <f>VALUE(LEFT(Q428,4))</f>
        <v/>
      </c>
      <c r="S428" s="12">
        <f>VALUE(MID(Q428,6,2))</f>
        <v/>
      </c>
      <c r="T428" s="12">
        <f>VALUE(RIGHT(Q428,2))</f>
        <v/>
      </c>
      <c r="U428" s="12" t="inlineStr">
        <is>
          <t>day</t>
        </is>
      </c>
      <c r="V428" s="12" t="inlineStr">
        <is>
          <t>Fire start date (DEC report)</t>
        </is>
      </c>
    </row>
    <row r="429">
      <c r="A429" s="12" t="n">
        <v>457</v>
      </c>
      <c r="B429" s="12" t="inlineStr">
        <is>
          <t>2016-09-13</t>
        </is>
      </c>
      <c r="C429" s="12" t="inlineStr">
        <is>
          <t>2016-09-14</t>
        </is>
      </c>
      <c r="D429" s="12">
        <f>VALUE(LEFT(B429,4))</f>
        <v/>
      </c>
      <c r="E429" s="12">
        <f>INT((D429-1)/100)+1</f>
        <v/>
      </c>
      <c r="F429" s="12" t="inlineStr">
        <is>
          <t>Wildfire</t>
        </is>
      </c>
      <c r="G429" s="12" t="inlineStr">
        <is>
          <t>East Kill Fire — wildfire, 0.1 acres, Jewett (Greene Co.)</t>
        </is>
      </c>
      <c r="H429" s="12" t="inlineStr">
        <is>
          <t>Jewett, Greene County; Forest Preserve — Colgate Lake Wild Forest</t>
        </is>
      </c>
      <c r="I429" s="12" t="inlineStr">
        <is>
          <t>0.1 acres; cause Campfire; fuel 9 - Timber - Medium Hardwood Litter</t>
        </is>
      </c>
      <c r="J429" s="12" t="inlineStr">
        <is>
          <t>42.23833, -74.09212</t>
        </is>
      </c>
      <c r="K429" s="12" t="inlineStr">
        <is>
          <t>No losses reported</t>
        </is>
      </c>
      <c r="L429" s="12" t="inlineStr">
        <is>
          <t>NYSDEC Forest Ranger Wildland Fire Reporting Database (Beginning 2008), data.ny.gov export 2026-09-28</t>
        </is>
      </c>
      <c r="M429" s="12" t="inlineStr">
        <is>
          <t>https://data.ny.gov/</t>
        </is>
      </c>
      <c r="N429" s="12" t="inlineStr">
        <is>
          <t>A</t>
        </is>
      </c>
      <c r="O429" s="12" t="inlineStr">
        <is>
          <t>Y</t>
        </is>
      </c>
      <c r="P429" s="12" t="inlineStr">
        <is>
          <t>2026-09-28 (v970, atlas session): bulk ingest per Laurie; fire number NYS-2016-0159; matching 🔥 pin on Natural History.</t>
        </is>
      </c>
      <c r="Q429" s="12" t="inlineStr">
        <is>
          <t>2016-09-13</t>
        </is>
      </c>
      <c r="R429" s="12">
        <f>VALUE(LEFT(Q429,4))</f>
        <v/>
      </c>
      <c r="S429" s="12">
        <f>VALUE(MID(Q429,6,2))</f>
        <v/>
      </c>
      <c r="T429" s="12">
        <f>VALUE(RIGHT(Q429,2))</f>
        <v/>
      </c>
      <c r="U429" s="12" t="inlineStr">
        <is>
          <t>day</t>
        </is>
      </c>
      <c r="V429" s="12" t="inlineStr">
        <is>
          <t>Fire start date (DEC report)</t>
        </is>
      </c>
    </row>
    <row r="430">
      <c r="A430" s="12" t="n">
        <v>458</v>
      </c>
      <c r="B430" s="12" t="inlineStr">
        <is>
          <t>2012-07-11</t>
        </is>
      </c>
      <c r="C430" s="12" t="inlineStr">
        <is>
          <t>2012-07-20</t>
        </is>
      </c>
      <c r="D430" s="12">
        <f>VALUE(LEFT(B430,4))</f>
        <v/>
      </c>
      <c r="E430" s="12">
        <f>INT((D430-1)/100)+1</f>
        <v/>
      </c>
      <c r="F430" s="12" t="inlineStr">
        <is>
          <t>Wildfire</t>
        </is>
      </c>
      <c r="G430" s="12" t="inlineStr">
        <is>
          <t>Indian Head Fire — wildfire, 0.1 acres, Hunter (Greene Co.)</t>
        </is>
      </c>
      <c r="H430" s="12" t="inlineStr">
        <is>
          <t>Hunter, Greene County; Forest Preserve — Indian Head Wilderness Area</t>
        </is>
      </c>
      <c r="I430" s="12" t="inlineStr">
        <is>
          <t>0.1 acres; cause Campfire; fuel 8 - Timber - Light Hardwood Litter</t>
        </is>
      </c>
      <c r="J430" s="12" t="inlineStr">
        <is>
          <t>42.11625, -74.11285</t>
        </is>
      </c>
      <c r="K430" s="12" t="inlineStr">
        <is>
          <t>No losses reported</t>
        </is>
      </c>
      <c r="L430" s="12" t="inlineStr">
        <is>
          <t>NYSDEC Forest Ranger Wildland Fire Reporting Database (Beginning 2008), data.ny.gov export 2026-09-28</t>
        </is>
      </c>
      <c r="M430" s="12" t="inlineStr">
        <is>
          <t>https://data.ny.gov/</t>
        </is>
      </c>
      <c r="N430" s="12" t="inlineStr">
        <is>
          <t>A</t>
        </is>
      </c>
      <c r="O430" s="12" t="inlineStr">
        <is>
          <t>Y</t>
        </is>
      </c>
      <c r="P430" s="12" t="inlineStr">
        <is>
          <t>2026-09-28 (v970, atlas session): bulk ingest per Laurie; fire number NYS-2012-0145; matching 🔥 pin on Natural History.</t>
        </is>
      </c>
      <c r="Q430" s="12" t="inlineStr">
        <is>
          <t>2012-07-11</t>
        </is>
      </c>
      <c r="R430" s="12">
        <f>VALUE(LEFT(Q430,4))</f>
        <v/>
      </c>
      <c r="S430" s="12">
        <f>VALUE(MID(Q430,6,2))</f>
        <v/>
      </c>
      <c r="T430" s="12">
        <f>VALUE(RIGHT(Q430,2))</f>
        <v/>
      </c>
      <c r="U430" s="12" t="inlineStr">
        <is>
          <t>day</t>
        </is>
      </c>
      <c r="V430" s="12" t="inlineStr">
        <is>
          <t>Fire start date (DEC report)</t>
        </is>
      </c>
    </row>
    <row r="431">
      <c r="A431" s="12" t="n">
        <v>460</v>
      </c>
      <c r="B431" s="12" t="inlineStr">
        <is>
          <t>2014-11-22</t>
        </is>
      </c>
      <c r="C431" s="12" t="inlineStr">
        <is>
          <t>2014-11-22</t>
        </is>
      </c>
      <c r="D431" s="12">
        <f>VALUE(LEFT(B431,4))</f>
        <v/>
      </c>
      <c r="E431" s="12">
        <f>INT((D431-1)/100)+1</f>
        <v/>
      </c>
      <c r="F431" s="12" t="inlineStr">
        <is>
          <t>Wildfire</t>
        </is>
      </c>
      <c r="G431" s="12" t="inlineStr">
        <is>
          <t>Buras Road — wildfire, 0.5 acres, Cochecton (Sullivan Co.)</t>
        </is>
      </c>
      <c r="H431" s="12" t="inlineStr">
        <is>
          <t>Cochecton, Sullivan County; Private Property</t>
        </is>
      </c>
      <c r="I431" s="12" t="inlineStr">
        <is>
          <t>0.5 acres; cause Structure; fuel 1 - Grass - Light</t>
        </is>
      </c>
      <c r="J431" s="12" t="inlineStr">
        <is>
          <t>41.68942, -74.94629</t>
        </is>
      </c>
      <c r="K431" s="12" t="inlineStr">
        <is>
          <t>Homes Threatened: 1; Other Structures Lost: 1</t>
        </is>
      </c>
      <c r="L431" s="12" t="inlineStr">
        <is>
          <t>NYSDEC Forest Ranger Wildland Fire Reporting Database (Beginning 2008), data.ny.gov export 2026-09-28</t>
        </is>
      </c>
      <c r="M431" s="12" t="inlineStr">
        <is>
          <t>https://data.ny.gov/</t>
        </is>
      </c>
      <c r="N431" s="12" t="inlineStr">
        <is>
          <t>A</t>
        </is>
      </c>
      <c r="O431" s="12" t="inlineStr">
        <is>
          <t>Y</t>
        </is>
      </c>
      <c r="P431" s="12" t="inlineStr">
        <is>
          <t>2026-09-28 (v970, atlas session): bulk ingest per Laurie; fire number NYS-2014-0144; matching 🔥 pin on Natural History.</t>
        </is>
      </c>
      <c r="Q431" s="12" t="inlineStr">
        <is>
          <t>2014-11-22</t>
        </is>
      </c>
      <c r="R431" s="12">
        <f>VALUE(LEFT(Q431,4))</f>
        <v/>
      </c>
      <c r="S431" s="12">
        <f>VALUE(MID(Q431,6,2))</f>
        <v/>
      </c>
      <c r="T431" s="12">
        <f>VALUE(RIGHT(Q431,2))</f>
        <v/>
      </c>
      <c r="U431" s="12" t="inlineStr">
        <is>
          <t>day</t>
        </is>
      </c>
      <c r="V431" s="12" t="inlineStr">
        <is>
          <t>Fire start date (DEC report)</t>
        </is>
      </c>
    </row>
    <row r="432">
      <c r="A432" s="12" t="n">
        <v>461</v>
      </c>
      <c r="B432" s="12" t="inlineStr">
        <is>
          <t>2009-04-26</t>
        </is>
      </c>
      <c r="C432" s="12" t="inlineStr">
        <is>
          <t>2009-04-30</t>
        </is>
      </c>
      <c r="D432" s="12">
        <f>VALUE(LEFT(B432,4))</f>
        <v/>
      </c>
      <c r="E432" s="12">
        <f>INT((D432-1)/100)+1</f>
        <v/>
      </c>
      <c r="F432" s="12" t="inlineStr">
        <is>
          <t>Wildfire</t>
        </is>
      </c>
      <c r="G432" s="12" t="inlineStr">
        <is>
          <t>Taconic Parkway — wildfire, 11.3 acres, Milan (Dutchess Co.)</t>
        </is>
      </c>
      <c r="H432" s="12" t="inlineStr">
        <is>
          <t>Milan, Dutchess County; Private Property</t>
        </is>
      </c>
      <c r="I432" s="12" t="inlineStr">
        <is>
          <t>11.3 acres; cause Incendiary; fuel 10 - Timber - Heavy Litter/Downed Fuels</t>
        </is>
      </c>
      <c r="J432" s="12" t="inlineStr">
        <is>
          <t>41.93421, -73.75492</t>
        </is>
      </c>
      <c r="K432" s="12" t="inlineStr">
        <is>
          <t>No losses reported</t>
        </is>
      </c>
      <c r="L432" s="12" t="inlineStr">
        <is>
          <t>NYSDEC Forest Ranger Wildland Fire Reporting Database (Beginning 2008), data.ny.gov export 2026-09-28</t>
        </is>
      </c>
      <c r="M432" s="12" t="inlineStr">
        <is>
          <t>https://data.ny.gov/</t>
        </is>
      </c>
      <c r="N432" s="12" t="inlineStr">
        <is>
          <t>A</t>
        </is>
      </c>
      <c r="O432" s="12" t="inlineStr">
        <is>
          <t>Y</t>
        </is>
      </c>
      <c r="P432" s="12" t="inlineStr">
        <is>
          <t>2026-09-28 (v970, atlas session): bulk ingest per Laurie; fire number NYS-2009-0112; matching 🔥 pin on Natural History.</t>
        </is>
      </c>
      <c r="Q432" s="12" t="inlineStr">
        <is>
          <t>2009-04-26</t>
        </is>
      </c>
      <c r="R432" s="12">
        <f>VALUE(LEFT(Q432,4))</f>
        <v/>
      </c>
      <c r="S432" s="12">
        <f>VALUE(MID(Q432,6,2))</f>
        <v/>
      </c>
      <c r="T432" s="12">
        <f>VALUE(RIGHT(Q432,2))</f>
        <v/>
      </c>
      <c r="U432" s="12" t="inlineStr">
        <is>
          <t>day</t>
        </is>
      </c>
      <c r="V432" s="12" t="inlineStr">
        <is>
          <t>Fire start date (DEC report)</t>
        </is>
      </c>
    </row>
    <row r="433">
      <c r="A433" s="12" t="n">
        <v>463</v>
      </c>
      <c r="B433" s="12" t="inlineStr">
        <is>
          <t>2017-05-17</t>
        </is>
      </c>
      <c r="C433" s="12" t="inlineStr">
        <is>
          <t>2017-05-17</t>
        </is>
      </c>
      <c r="D433" s="12">
        <f>VALUE(LEFT(B433,4))</f>
        <v/>
      </c>
      <c r="E433" s="12">
        <f>INT((D433-1)/100)+1</f>
        <v/>
      </c>
      <c r="F433" s="12" t="inlineStr">
        <is>
          <t>Wildfire</t>
        </is>
      </c>
      <c r="G433" s="12" t="inlineStr">
        <is>
          <t>Oakley Fire — wildfire, 0.2 acres, Jefferson (Schoharie Co.)</t>
        </is>
      </c>
      <c r="H433" s="12" t="inlineStr">
        <is>
          <t>Jefferson, Schoharie County; Private Property</t>
        </is>
      </c>
      <c r="I433" s="12" t="inlineStr">
        <is>
          <t>0.2 acres; cause Power line; fuel 7 - Brush - Understory</t>
        </is>
      </c>
      <c r="J433" s="12" t="inlineStr">
        <is>
          <t>42.43998, -74.63231</t>
        </is>
      </c>
      <c r="K433" s="12" t="inlineStr">
        <is>
          <t>No losses reported</t>
        </is>
      </c>
      <c r="L433" s="12" t="inlineStr">
        <is>
          <t>NYSDEC Forest Ranger Wildland Fire Reporting Database (Beginning 2008), data.ny.gov export 2026-09-28</t>
        </is>
      </c>
      <c r="M433" s="12" t="inlineStr">
        <is>
          <t>https://data.ny.gov/</t>
        </is>
      </c>
      <c r="N433" s="12" t="inlineStr">
        <is>
          <t>A</t>
        </is>
      </c>
      <c r="O433" s="12" t="inlineStr">
        <is>
          <t>Y</t>
        </is>
      </c>
      <c r="P433" s="12" t="inlineStr">
        <is>
          <t>2026-09-28 (v970, atlas session): bulk ingest per Laurie; fire number NYS-2017-0046; matching 🔥 pin on Natural History.</t>
        </is>
      </c>
      <c r="Q433" s="12" t="inlineStr">
        <is>
          <t>2017-05-17</t>
        </is>
      </c>
      <c r="R433" s="12">
        <f>VALUE(LEFT(Q433,4))</f>
        <v/>
      </c>
      <c r="S433" s="12">
        <f>VALUE(MID(Q433,6,2))</f>
        <v/>
      </c>
      <c r="T433" s="12">
        <f>VALUE(RIGHT(Q433,2))</f>
        <v/>
      </c>
      <c r="U433" s="12" t="inlineStr">
        <is>
          <t>day</t>
        </is>
      </c>
      <c r="V433" s="12" t="inlineStr">
        <is>
          <t>Fire start date (DEC report)</t>
        </is>
      </c>
    </row>
    <row r="434">
      <c r="A434" s="12" t="n">
        <v>466</v>
      </c>
      <c r="B434" s="12" t="inlineStr">
        <is>
          <t>2018-03-27</t>
        </is>
      </c>
      <c r="C434" s="12" t="inlineStr">
        <is>
          <t>2018-03-28</t>
        </is>
      </c>
      <c r="D434" s="12">
        <f>VALUE(LEFT(B434,4))</f>
        <v/>
      </c>
      <c r="E434" s="12">
        <f>INT((D434-1)/100)+1</f>
        <v/>
      </c>
      <c r="F434" s="12" t="inlineStr">
        <is>
          <t>Wildfire</t>
        </is>
      </c>
      <c r="G434" s="12" t="inlineStr">
        <is>
          <t>Killian High Falls — wildfire, 1 acres, Catskill (Greene Co.)</t>
        </is>
      </c>
      <c r="H434" s="12" t="inlineStr">
        <is>
          <t>Catskill, Greene County; Private Property</t>
        </is>
      </c>
      <c r="I434" s="12" t="inlineStr">
        <is>
          <t>1 acres; cause Debris Burning; fuel 8 - Timber - Light Hardwood Litter</t>
        </is>
      </c>
      <c r="J434" s="12" t="inlineStr">
        <is>
          <t>42.18617, -73.94196</t>
        </is>
      </c>
      <c r="K434" s="12" t="inlineStr">
        <is>
          <t>No losses reported</t>
        </is>
      </c>
      <c r="L434" s="12" t="inlineStr">
        <is>
          <t>NYSDEC Forest Ranger Wildland Fire Reporting Database (Beginning 2008), data.ny.gov export 2026-09-28</t>
        </is>
      </c>
      <c r="M434" s="12" t="inlineStr">
        <is>
          <t>https://data.ny.gov/</t>
        </is>
      </c>
      <c r="N434" s="12" t="inlineStr">
        <is>
          <t>A</t>
        </is>
      </c>
      <c r="O434" s="12" t="inlineStr">
        <is>
          <t>Y</t>
        </is>
      </c>
      <c r="P434" s="12" t="inlineStr">
        <is>
          <t>2026-09-28 (v970, atlas session): bulk ingest per Laurie; fire number NYS-2018-0003; matching 🔥 pin on Natural History.</t>
        </is>
      </c>
      <c r="Q434" s="12" t="inlineStr">
        <is>
          <t>2018-03-27</t>
        </is>
      </c>
      <c r="R434" s="12">
        <f>VALUE(LEFT(Q434,4))</f>
        <v/>
      </c>
      <c r="S434" s="12">
        <f>VALUE(MID(Q434,6,2))</f>
        <v/>
      </c>
      <c r="T434" s="12">
        <f>VALUE(RIGHT(Q434,2))</f>
        <v/>
      </c>
      <c r="U434" s="12" t="inlineStr">
        <is>
          <t>day</t>
        </is>
      </c>
      <c r="V434" s="12" t="inlineStr">
        <is>
          <t>Fire start date (DEC report)</t>
        </is>
      </c>
    </row>
    <row r="435">
      <c r="A435" s="12" t="n">
        <v>468</v>
      </c>
      <c r="B435" s="12" t="inlineStr">
        <is>
          <t>2023-04-14</t>
        </is>
      </c>
      <c r="C435" s="12" t="inlineStr">
        <is>
          <t>2023-04-14</t>
        </is>
      </c>
      <c r="D435" s="12">
        <f>VALUE(LEFT(B435,4))</f>
        <v/>
      </c>
      <c r="E435" s="12">
        <f>INT((D435-1)/100)+1</f>
        <v/>
      </c>
      <c r="F435" s="12" t="inlineStr">
        <is>
          <t>Wildfire</t>
        </is>
      </c>
      <c r="G435" s="12" t="inlineStr">
        <is>
          <t>Guernsey Fire — wildfire, 0.3 acres, Chenango (Broome Co.)</t>
        </is>
      </c>
      <c r="H435" s="12" t="inlineStr">
        <is>
          <t>Chenango, Broome County; Private Property</t>
        </is>
      </c>
      <c r="I435" s="12" t="inlineStr">
        <is>
          <t>0.3 acres; cause Debris Burning; fuel 8 - Timber - Light Hardwood Litter</t>
        </is>
      </c>
      <c r="J435" s="12" t="inlineStr">
        <is>
          <t>42.21882, -75.87701</t>
        </is>
      </c>
      <c r="K435" s="12" t="inlineStr">
        <is>
          <t>Other Structures Lost: 1</t>
        </is>
      </c>
      <c r="L435" s="12" t="inlineStr">
        <is>
          <t>NYSDEC Forest Ranger Wildland Fire Reporting Database (Beginning 2008), data.ny.gov export 2026-09-28</t>
        </is>
      </c>
      <c r="M435" s="12" t="inlineStr">
        <is>
          <t>https://data.ny.gov/</t>
        </is>
      </c>
      <c r="N435" s="12" t="inlineStr">
        <is>
          <t>A</t>
        </is>
      </c>
      <c r="O435" s="12" t="inlineStr">
        <is>
          <t>Y</t>
        </is>
      </c>
      <c r="P435" s="12" t="inlineStr">
        <is>
          <t>2026-09-28 (v970, atlas session): bulk ingest per Laurie; fire number NYS-2023-0070; matching 🔥 pin on Natural History.</t>
        </is>
      </c>
      <c r="Q435" s="12" t="inlineStr">
        <is>
          <t>2023-04-14</t>
        </is>
      </c>
      <c r="R435" s="12">
        <f>VALUE(LEFT(Q435,4))</f>
        <v/>
      </c>
      <c r="S435" s="12">
        <f>VALUE(MID(Q435,6,2))</f>
        <v/>
      </c>
      <c r="T435" s="12">
        <f>VALUE(RIGHT(Q435,2))</f>
        <v/>
      </c>
      <c r="U435" s="12" t="inlineStr">
        <is>
          <t>day</t>
        </is>
      </c>
      <c r="V435" s="12" t="inlineStr">
        <is>
          <t>Fire start date (DEC report)</t>
        </is>
      </c>
    </row>
    <row r="436">
      <c r="A436" s="12" t="n">
        <v>470</v>
      </c>
      <c r="B436" s="12" t="inlineStr">
        <is>
          <t>2016-03-24</t>
        </is>
      </c>
      <c r="C436" s="12" t="inlineStr">
        <is>
          <t>2016-03-24</t>
        </is>
      </c>
      <c r="D436" s="12">
        <f>VALUE(LEFT(B436,4))</f>
        <v/>
      </c>
      <c r="E436" s="12">
        <f>INT((D436-1)/100)+1</f>
        <v/>
      </c>
      <c r="F436" s="12" t="inlineStr">
        <is>
          <t>Wildfire</t>
        </is>
      </c>
      <c r="G436" s="12" t="inlineStr">
        <is>
          <t>Prentice fire — wildfire, 6 acres, Chenango (Broome Co.)</t>
        </is>
      </c>
      <c r="H436" s="12" t="inlineStr">
        <is>
          <t>Chenango, Broome County; Private Property</t>
        </is>
      </c>
      <c r="I436" s="12" t="inlineStr">
        <is>
          <t>6 acres; cause Debris Burning; fuel 1 - Grass - Light</t>
        </is>
      </c>
      <c r="J436" s="12" t="inlineStr">
        <is>
          <t>42.22610, -75.94164</t>
        </is>
      </c>
      <c r="K436" s="12" t="inlineStr">
        <is>
          <t>No losses reported</t>
        </is>
      </c>
      <c r="L436" s="12" t="inlineStr">
        <is>
          <t>NYSDEC Forest Ranger Wildland Fire Reporting Database (Beginning 2008), data.ny.gov export 2026-09-28</t>
        </is>
      </c>
      <c r="M436" s="12" t="inlineStr">
        <is>
          <t>https://data.ny.gov/</t>
        </is>
      </c>
      <c r="N436" s="12" t="inlineStr">
        <is>
          <t>A</t>
        </is>
      </c>
      <c r="O436" s="12" t="inlineStr">
        <is>
          <t>Y</t>
        </is>
      </c>
      <c r="P436" s="12" t="inlineStr">
        <is>
          <t>2026-09-28 (v970, atlas session): bulk ingest per Laurie; fire number NYS-2016-0021; matching 🔥 pin on Natural History.</t>
        </is>
      </c>
      <c r="Q436" s="12" t="inlineStr">
        <is>
          <t>2016-03-24</t>
        </is>
      </c>
      <c r="R436" s="12">
        <f>VALUE(LEFT(Q436,4))</f>
        <v/>
      </c>
      <c r="S436" s="12">
        <f>VALUE(MID(Q436,6,2))</f>
        <v/>
      </c>
      <c r="T436" s="12">
        <f>VALUE(RIGHT(Q436,2))</f>
        <v/>
      </c>
      <c r="U436" s="12" t="inlineStr">
        <is>
          <t>day</t>
        </is>
      </c>
      <c r="V436" s="12" t="inlineStr">
        <is>
          <t>Fire start date (DEC report)</t>
        </is>
      </c>
    </row>
    <row r="437">
      <c r="A437" s="12" t="n">
        <v>471</v>
      </c>
      <c r="B437" s="12" t="inlineStr">
        <is>
          <t>2008-04-17</t>
        </is>
      </c>
      <c r="C437" s="12" t="inlineStr">
        <is>
          <t>2008-04-29</t>
        </is>
      </c>
      <c r="D437" s="12">
        <f>VALUE(LEFT(B437,4))</f>
        <v/>
      </c>
      <c r="E437" s="12">
        <f>INT((D437-1)/100)+1</f>
        <v/>
      </c>
      <c r="F437" s="12" t="inlineStr">
        <is>
          <t>Wildfire</t>
        </is>
      </c>
      <c r="G437" s="12" t="inlineStr">
        <is>
          <t>Overlooks Fire — wildfire, 2855 acres, Rochester (Ulster Co.)</t>
        </is>
      </c>
      <c r="H437" s="12" t="inlineStr">
        <is>
          <t>Rochester, Ulster County; OPR&amp;HP (State Parks) — Minnewaska State Park</t>
        </is>
      </c>
      <c r="I437" s="12" t="inlineStr">
        <is>
          <t>2855 acres; cause Smoking; fuel 10 - Timber - Heavy Litter/Downed Fuels</t>
        </is>
      </c>
      <c r="J437" s="12" t="inlineStr">
        <is>
          <t>41.74686, -74.26252</t>
        </is>
      </c>
      <c r="K437" s="12" t="inlineStr">
        <is>
          <t>Injuries: 3; Homes Threatened: 40; Other Structures Lost: 1; Other Structures Threatened: 12</t>
        </is>
      </c>
      <c r="L437" s="12" t="inlineStr">
        <is>
          <t>NYSDEC Forest Ranger Wildland Fire Reporting Database (Beginning 2008), data.ny.gov export 2026-09-28</t>
        </is>
      </c>
      <c r="M437" s="12" t="inlineStr">
        <is>
          <t>https://data.ny.gov/</t>
        </is>
      </c>
      <c r="N437" s="12" t="inlineStr">
        <is>
          <t>A</t>
        </is>
      </c>
      <c r="O437" s="12" t="inlineStr">
        <is>
          <t>Y</t>
        </is>
      </c>
      <c r="P437" s="12" t="inlineStr">
        <is>
          <t>2026-09-28 (v970, atlas session): bulk ingest per Laurie; fire number NYS-2008-0059; matching 🔥 pin on Natural History.</t>
        </is>
      </c>
      <c r="Q437" s="12" t="inlineStr">
        <is>
          <t>2008-04-17</t>
        </is>
      </c>
      <c r="R437" s="12">
        <f>VALUE(LEFT(Q437,4))</f>
        <v/>
      </c>
      <c r="S437" s="12">
        <f>VALUE(MID(Q437,6,2))</f>
        <v/>
      </c>
      <c r="T437" s="12">
        <f>VALUE(RIGHT(Q437,2))</f>
        <v/>
      </c>
      <c r="U437" s="12" t="inlineStr">
        <is>
          <t>day</t>
        </is>
      </c>
      <c r="V437" s="12" t="inlineStr">
        <is>
          <t>Fire start date (DEC report)</t>
        </is>
      </c>
    </row>
    <row r="438">
      <c r="A438" s="12" t="n">
        <v>473</v>
      </c>
      <c r="B438" s="12" t="inlineStr">
        <is>
          <t>2024-04-23</t>
        </is>
      </c>
      <c r="C438" s="12" t="inlineStr">
        <is>
          <t>2024-04-23</t>
        </is>
      </c>
      <c r="D438" s="12">
        <f>VALUE(LEFT(B438,4))</f>
        <v/>
      </c>
      <c r="E438" s="12">
        <f>INT((D438-1)/100)+1</f>
        <v/>
      </c>
      <c r="F438" s="12" t="inlineStr">
        <is>
          <t>Wildfire</t>
        </is>
      </c>
      <c r="G438" s="12" t="inlineStr">
        <is>
          <t>Wilcox Park Fire — wildfire, 0.7 acres, Milan (Dutchess Co.)</t>
        </is>
      </c>
      <c r="H438" s="12" t="inlineStr">
        <is>
          <t>Milan, Dutchess County; Other Government</t>
        </is>
      </c>
      <c r="I438" s="12" t="inlineStr">
        <is>
          <t>0.7 acres; cause Power line; fuel 2 - Grass - Understory</t>
        </is>
      </c>
      <c r="J438" s="12" t="inlineStr">
        <is>
          <t>41.95758, -73.73560</t>
        </is>
      </c>
      <c r="K438" s="12" t="inlineStr">
        <is>
          <t>No losses reported</t>
        </is>
      </c>
      <c r="L438" s="12" t="inlineStr">
        <is>
          <t>NYSDEC Forest Ranger Wildland Fire Reporting Database (Beginning 2008), data.ny.gov export 2026-09-28</t>
        </is>
      </c>
      <c r="M438" s="12" t="inlineStr">
        <is>
          <t>https://data.ny.gov/</t>
        </is>
      </c>
      <c r="N438" s="12" t="inlineStr">
        <is>
          <t>A</t>
        </is>
      </c>
      <c r="O438" s="12" t="inlineStr">
        <is>
          <t>Y</t>
        </is>
      </c>
      <c r="P438" s="12" t="inlineStr">
        <is>
          <t>2026-09-28 (v970, atlas session): bulk ingest per Laurie; fire number NYS-2024-0070; matching 🔥 pin on Natural History.</t>
        </is>
      </c>
      <c r="Q438" s="12" t="inlineStr">
        <is>
          <t>2024-04-23</t>
        </is>
      </c>
      <c r="R438" s="12">
        <f>VALUE(LEFT(Q438,4))</f>
        <v/>
      </c>
      <c r="S438" s="12">
        <f>VALUE(MID(Q438,6,2))</f>
        <v/>
      </c>
      <c r="T438" s="12">
        <f>VALUE(RIGHT(Q438,2))</f>
        <v/>
      </c>
      <c r="U438" s="12" t="inlineStr">
        <is>
          <t>day</t>
        </is>
      </c>
      <c r="V438" s="12" t="inlineStr">
        <is>
          <t>Fire start date (DEC report)</t>
        </is>
      </c>
    </row>
    <row r="439">
      <c r="A439" s="12" t="n">
        <v>474</v>
      </c>
      <c r="B439" s="12" t="inlineStr">
        <is>
          <t>2020-03-09</t>
        </is>
      </c>
      <c r="C439" s="12" t="inlineStr">
        <is>
          <t>2020-03-09</t>
        </is>
      </c>
      <c r="D439" s="12">
        <f>VALUE(LEFT(B439,4))</f>
        <v/>
      </c>
      <c r="E439" s="12">
        <f>INT((D439-1)/100)+1</f>
        <v/>
      </c>
      <c r="F439" s="12" t="inlineStr">
        <is>
          <t>Wildfire</t>
        </is>
      </c>
      <c r="G439" s="12" t="inlineStr">
        <is>
          <t>Castle Hill Road Fire — wildfire, 2 acres, Liberty (Sullivan Co.)</t>
        </is>
      </c>
      <c r="H439" s="12" t="inlineStr">
        <is>
          <t>Liberty, Sullivan County; Private Property</t>
        </is>
      </c>
      <c r="I439" s="12" t="inlineStr">
        <is>
          <t>2 acres; cause Equipment; fuel 3 - Grass - Heavy</t>
        </is>
      </c>
      <c r="J439" s="12" t="inlineStr">
        <is>
          <t>41.83723, -74.73743</t>
        </is>
      </c>
      <c r="K439" s="12" t="inlineStr">
        <is>
          <t>No losses reported</t>
        </is>
      </c>
      <c r="L439" s="12" t="inlineStr">
        <is>
          <t>NYSDEC Forest Ranger Wildland Fire Reporting Database (Beginning 2008), data.ny.gov export 2026-09-28</t>
        </is>
      </c>
      <c r="M439" s="12" t="inlineStr">
        <is>
          <t>https://data.ny.gov/</t>
        </is>
      </c>
      <c r="N439" s="12" t="inlineStr">
        <is>
          <t>A</t>
        </is>
      </c>
      <c r="O439" s="12" t="inlineStr">
        <is>
          <t>Y</t>
        </is>
      </c>
      <c r="P439" s="12" t="inlineStr">
        <is>
          <t>2026-09-28 (v970, atlas session): bulk ingest per Laurie; fire number NYS-2020-0013; matching 🔥 pin on Natural History.</t>
        </is>
      </c>
      <c r="Q439" s="12" t="inlineStr">
        <is>
          <t>2020-03-09</t>
        </is>
      </c>
      <c r="R439" s="12">
        <f>VALUE(LEFT(Q439,4))</f>
        <v/>
      </c>
      <c r="S439" s="12">
        <f>VALUE(MID(Q439,6,2))</f>
        <v/>
      </c>
      <c r="T439" s="12">
        <f>VALUE(RIGHT(Q439,2))</f>
        <v/>
      </c>
      <c r="U439" s="12" t="inlineStr">
        <is>
          <t>day</t>
        </is>
      </c>
      <c r="V439" s="12" t="inlineStr">
        <is>
          <t>Fire start date (DEC report)</t>
        </is>
      </c>
    </row>
    <row r="440">
      <c r="A440" s="12" t="n">
        <v>475</v>
      </c>
      <c r="B440" s="12" t="inlineStr">
        <is>
          <t>2022-08-21</t>
        </is>
      </c>
      <c r="C440" s="12" t="inlineStr">
        <is>
          <t>2022-09-09</t>
        </is>
      </c>
      <c r="D440" s="12">
        <f>VALUE(LEFT(B440,4))</f>
        <v/>
      </c>
      <c r="E440" s="12">
        <f>INT((D440-1)/100)+1</f>
        <v/>
      </c>
      <c r="F440" s="12" t="inlineStr">
        <is>
          <t>Wildfire</t>
        </is>
      </c>
      <c r="G440" s="12" t="inlineStr">
        <is>
          <t>Losees Hill Fire — wildfire, 2 acres, Wawarsing (Ulster Co.)</t>
        </is>
      </c>
      <c r="H440" s="12" t="inlineStr">
        <is>
          <t>Wawarsing, Ulster County; OPR&amp;HP (State Parks) — Sam's Point/Minnewaska</t>
        </is>
      </c>
      <c r="I440" s="12" t="inlineStr">
        <is>
          <t>2 acres; cause Incendiary; fuel 6 - Brush - Mixed/Regeneration</t>
        </is>
      </c>
      <c r="J440" s="12" t="inlineStr">
        <is>
          <t>41.66592, -74.36844</t>
        </is>
      </c>
      <c r="K440" s="12" t="inlineStr">
        <is>
          <t>No losses reported</t>
        </is>
      </c>
      <c r="L440" s="12" t="inlineStr">
        <is>
          <t>NYSDEC Forest Ranger Wildland Fire Reporting Database (Beginning 2008), data.ny.gov export 2026-09-28</t>
        </is>
      </c>
      <c r="M440" s="12" t="inlineStr">
        <is>
          <t>https://data.ny.gov/</t>
        </is>
      </c>
      <c r="N440" s="12" t="inlineStr">
        <is>
          <t>A</t>
        </is>
      </c>
      <c r="O440" s="12" t="inlineStr">
        <is>
          <t>Y</t>
        </is>
      </c>
      <c r="P440" s="12" t="inlineStr">
        <is>
          <t>2026-09-28 (v970, atlas session): bulk ingest per Laurie; fire number NYS-2022-0148; matching 🔥 pin on Natural History.</t>
        </is>
      </c>
      <c r="Q440" s="12" t="inlineStr">
        <is>
          <t>2022-08-21</t>
        </is>
      </c>
      <c r="R440" s="12">
        <f>VALUE(LEFT(Q440,4))</f>
        <v/>
      </c>
      <c r="S440" s="12">
        <f>VALUE(MID(Q440,6,2))</f>
        <v/>
      </c>
      <c r="T440" s="12">
        <f>VALUE(RIGHT(Q440,2))</f>
        <v/>
      </c>
      <c r="U440" s="12" t="inlineStr">
        <is>
          <t>day</t>
        </is>
      </c>
      <c r="V440" s="12" t="inlineStr">
        <is>
          <t>Fire start date (DEC report)</t>
        </is>
      </c>
    </row>
    <row r="441">
      <c r="A441" s="12" t="n">
        <v>476</v>
      </c>
      <c r="B441" s="12" t="inlineStr">
        <is>
          <t>2020-07-06</t>
        </is>
      </c>
      <c r="C441" s="12" t="inlineStr">
        <is>
          <t>2020-07-08</t>
        </is>
      </c>
      <c r="D441" s="12">
        <f>VALUE(LEFT(B441,4))</f>
        <v/>
      </c>
      <c r="E441" s="12">
        <f>INT((D441-1)/100)+1</f>
        <v/>
      </c>
      <c r="F441" s="12" t="inlineStr">
        <is>
          <t>Wildfire</t>
        </is>
      </c>
      <c r="G441" s="12" t="inlineStr">
        <is>
          <t>Baer Rd Fire — wildfire, 1.1 acres, Forestburgh (Sullivan Co.)</t>
        </is>
      </c>
      <c r="H441" s="12" t="inlineStr">
        <is>
          <t>Forestburgh, Sullivan County; Private Property</t>
        </is>
      </c>
      <c r="I441" s="12" t="inlineStr">
        <is>
          <t>1.1 acres; cause Debris Burning; fuel 13 - Slash Heavy</t>
        </is>
      </c>
      <c r="J441" s="12" t="inlineStr">
        <is>
          <t>41.51283, -74.72868</t>
        </is>
      </c>
      <c r="K441" s="12" t="inlineStr">
        <is>
          <t>No losses reported</t>
        </is>
      </c>
      <c r="L441" s="12" t="inlineStr">
        <is>
          <t>NYSDEC Forest Ranger Wildland Fire Reporting Database (Beginning 2008), data.ny.gov export 2026-09-28</t>
        </is>
      </c>
      <c r="M441" s="12" t="inlineStr">
        <is>
          <t>https://data.ny.gov/</t>
        </is>
      </c>
      <c r="N441" s="12" t="inlineStr">
        <is>
          <t>A</t>
        </is>
      </c>
      <c r="O441" s="12" t="inlineStr">
        <is>
          <t>Y</t>
        </is>
      </c>
      <c r="P441" s="12" t="inlineStr">
        <is>
          <t>2026-09-28 (v970, atlas session): bulk ingest per Laurie; fire number NYS-2020-0118; matching 🔥 pin on Natural History.</t>
        </is>
      </c>
      <c r="Q441" s="12" t="inlineStr">
        <is>
          <t>2020-07-06</t>
        </is>
      </c>
      <c r="R441" s="12">
        <f>VALUE(LEFT(Q441,4))</f>
        <v/>
      </c>
      <c r="S441" s="12">
        <f>VALUE(MID(Q441,6,2))</f>
        <v/>
      </c>
      <c r="T441" s="12">
        <f>VALUE(RIGHT(Q441,2))</f>
        <v/>
      </c>
      <c r="U441" s="12" t="inlineStr">
        <is>
          <t>day</t>
        </is>
      </c>
      <c r="V441" s="12" t="inlineStr">
        <is>
          <t>Fire start date (DEC report)</t>
        </is>
      </c>
    </row>
    <row r="442">
      <c r="A442" s="12" t="n">
        <v>477</v>
      </c>
      <c r="B442" s="12" t="inlineStr">
        <is>
          <t>2012-04-06</t>
        </is>
      </c>
      <c r="C442" s="12" t="inlineStr">
        <is>
          <t>2012-04-06</t>
        </is>
      </c>
      <c r="D442" s="12">
        <f>VALUE(LEFT(B442,4))</f>
        <v/>
      </c>
      <c r="E442" s="12">
        <f>INT((D442-1)/100)+1</f>
        <v/>
      </c>
      <c r="F442" s="12" t="inlineStr">
        <is>
          <t>Wildfire</t>
        </is>
      </c>
      <c r="G442" s="12" t="inlineStr">
        <is>
          <t>Route 44/55 Brush Fire — wildfire, 1 acres, Gardiner (Ulster Co.)</t>
        </is>
      </c>
      <c r="H442" s="12" t="inlineStr">
        <is>
          <t>Gardiner, Ulster County; Private Property</t>
        </is>
      </c>
      <c r="I442" s="12" t="inlineStr">
        <is>
          <t>1 acres; cause Structure; fuel 8 - Timber - Light Hardwood Litter</t>
        </is>
      </c>
      <c r="J442" s="12" t="inlineStr">
        <is>
          <t>41.68491, -74.15851</t>
        </is>
      </c>
      <c r="K442" s="12" t="inlineStr">
        <is>
          <t>No losses reported</t>
        </is>
      </c>
      <c r="L442" s="12" t="inlineStr">
        <is>
          <t>NYSDEC Forest Ranger Wildland Fire Reporting Database (Beginning 2008), data.ny.gov export 2026-09-28</t>
        </is>
      </c>
      <c r="M442" s="12" t="inlineStr">
        <is>
          <t>https://data.ny.gov/</t>
        </is>
      </c>
      <c r="N442" s="12" t="inlineStr">
        <is>
          <t>A</t>
        </is>
      </c>
      <c r="O442" s="12" t="inlineStr">
        <is>
          <t>Y</t>
        </is>
      </c>
      <c r="P442" s="12" t="inlineStr">
        <is>
          <t>2026-09-28 (v970, atlas session): bulk ingest per Laurie; fire number NYS-2012-0055; matching 🔥 pin on Natural History.</t>
        </is>
      </c>
      <c r="Q442" s="12" t="inlineStr">
        <is>
          <t>2012-04-06</t>
        </is>
      </c>
      <c r="R442" s="12">
        <f>VALUE(LEFT(Q442,4))</f>
        <v/>
      </c>
      <c r="S442" s="12">
        <f>VALUE(MID(Q442,6,2))</f>
        <v/>
      </c>
      <c r="T442" s="12">
        <f>VALUE(RIGHT(Q442,2))</f>
        <v/>
      </c>
      <c r="U442" s="12" t="inlineStr">
        <is>
          <t>day</t>
        </is>
      </c>
      <c r="V442" s="12" t="inlineStr">
        <is>
          <t>Fire start date (DEC report)</t>
        </is>
      </c>
    </row>
    <row r="443">
      <c r="A443" s="12" t="n">
        <v>478</v>
      </c>
      <c r="B443" s="12" t="inlineStr">
        <is>
          <t>2022-04-30</t>
        </is>
      </c>
      <c r="C443" s="12" t="inlineStr">
        <is>
          <t>2022-05-02</t>
        </is>
      </c>
      <c r="D443" s="12">
        <f>VALUE(LEFT(B443,4))</f>
        <v/>
      </c>
      <c r="E443" s="12">
        <f>INT((D443-1)/100)+1</f>
        <v/>
      </c>
      <c r="F443" s="12" t="inlineStr">
        <is>
          <t>Wildfire</t>
        </is>
      </c>
      <c r="G443" s="12" t="inlineStr">
        <is>
          <t>Target Fire — wildfire, 3.9 acres, Wawarsing (Ulster Co.)</t>
        </is>
      </c>
      <c r="H443" s="12" t="inlineStr">
        <is>
          <t>Wawarsing, Ulster County; State Forest/RF Area — Vernooy Kill State Forest</t>
        </is>
      </c>
      <c r="I443" s="12" t="inlineStr">
        <is>
          <t>3.9 acres; cause Miscellaneous; fuel 9 - Timber - Medium Hardwood Litter</t>
        </is>
      </c>
      <c r="J443" s="12" t="inlineStr">
        <is>
          <t>41.77354, -74.38371</t>
        </is>
      </c>
      <c r="K443" s="12" t="inlineStr">
        <is>
          <t>No losses reported</t>
        </is>
      </c>
      <c r="L443" s="12" t="inlineStr">
        <is>
          <t>NYSDEC Forest Ranger Wildland Fire Reporting Database (Beginning 2008), data.ny.gov export 2026-09-28</t>
        </is>
      </c>
      <c r="M443" s="12" t="inlineStr">
        <is>
          <t>https://data.ny.gov/</t>
        </is>
      </c>
      <c r="N443" s="12" t="inlineStr">
        <is>
          <t>A</t>
        </is>
      </c>
      <c r="O443" s="12" t="inlineStr">
        <is>
          <t>Y</t>
        </is>
      </c>
      <c r="P443" s="12" t="inlineStr">
        <is>
          <t>2026-09-28 (v970, atlas session): bulk ingest per Laurie; fire number NYS-2022-0061; matching 🔥 pin on Natural History.</t>
        </is>
      </c>
      <c r="Q443" s="12" t="inlineStr">
        <is>
          <t>2022-04-30</t>
        </is>
      </c>
      <c r="R443" s="12">
        <f>VALUE(LEFT(Q443,4))</f>
        <v/>
      </c>
      <c r="S443" s="12">
        <f>VALUE(MID(Q443,6,2))</f>
        <v/>
      </c>
      <c r="T443" s="12">
        <f>VALUE(RIGHT(Q443,2))</f>
        <v/>
      </c>
      <c r="U443" s="12" t="inlineStr">
        <is>
          <t>day</t>
        </is>
      </c>
      <c r="V443" s="12" t="inlineStr">
        <is>
          <t>Fire start date (DEC report)</t>
        </is>
      </c>
    </row>
    <row r="444">
      <c r="A444" s="12" t="n">
        <v>480</v>
      </c>
      <c r="B444" s="12" t="inlineStr">
        <is>
          <t>2015-05-04</t>
        </is>
      </c>
      <c r="C444" s="12" t="inlineStr">
        <is>
          <t>2015-05-07</t>
        </is>
      </c>
      <c r="D444" s="12">
        <f>VALUE(LEFT(B444,4))</f>
        <v/>
      </c>
      <c r="E444" s="12">
        <f>INT((D444-1)/100)+1</f>
        <v/>
      </c>
      <c r="F444" s="12" t="inlineStr">
        <is>
          <t>Wildfire</t>
        </is>
      </c>
      <c r="G444" s="12" t="inlineStr">
        <is>
          <t>Shale Pit Fire — wildfire, 4.6 acres, Blenheim (Schoharie Co.)</t>
        </is>
      </c>
      <c r="H444" s="12" t="inlineStr">
        <is>
          <t>Blenheim, Schoharie County; State Forest/RF Area — Rossman Hill State Forest</t>
        </is>
      </c>
      <c r="I444" s="12" t="inlineStr">
        <is>
          <t>4.6 acres; cause Incendiary; fuel 9 - Timber - Medium Hardwood Litter</t>
        </is>
      </c>
      <c r="J444" s="12" t="inlineStr">
        <is>
          <t>42.51423, -74.48963</t>
        </is>
      </c>
      <c r="K444" s="12" t="inlineStr">
        <is>
          <t>No losses reported</t>
        </is>
      </c>
      <c r="L444" s="12" t="inlineStr">
        <is>
          <t>NYSDEC Forest Ranger Wildland Fire Reporting Database (Beginning 2008), data.ny.gov export 2026-09-28</t>
        </is>
      </c>
      <c r="M444" s="12" t="inlineStr">
        <is>
          <t>https://data.ny.gov/</t>
        </is>
      </c>
      <c r="N444" s="12" t="inlineStr">
        <is>
          <t>A</t>
        </is>
      </c>
      <c r="O444" s="12" t="inlineStr">
        <is>
          <t>Y</t>
        </is>
      </c>
      <c r="P444" s="12" t="inlineStr">
        <is>
          <t>2026-09-28 (v970, atlas session): bulk ingest per Laurie; fire number NYS-2015-0086; matching 🔥 pin on Natural History.</t>
        </is>
      </c>
      <c r="Q444" s="12" t="inlineStr">
        <is>
          <t>2015-05-04</t>
        </is>
      </c>
      <c r="R444" s="12">
        <f>VALUE(LEFT(Q444,4))</f>
        <v/>
      </c>
      <c r="S444" s="12">
        <f>VALUE(MID(Q444,6,2))</f>
        <v/>
      </c>
      <c r="T444" s="12">
        <f>VALUE(RIGHT(Q444,2))</f>
        <v/>
      </c>
      <c r="U444" s="12" t="inlineStr">
        <is>
          <t>day</t>
        </is>
      </c>
      <c r="V444" s="12" t="inlineStr">
        <is>
          <t>Fire start date (DEC report)</t>
        </is>
      </c>
    </row>
    <row r="445">
      <c r="A445" s="12" t="n">
        <v>482</v>
      </c>
      <c r="B445" s="12" t="inlineStr">
        <is>
          <t>2024-11-08</t>
        </is>
      </c>
      <c r="C445" s="12" t="inlineStr">
        <is>
          <t>2024-11-14</t>
        </is>
      </c>
      <c r="D445" s="12">
        <f>VALUE(LEFT(B445,4))</f>
        <v/>
      </c>
      <c r="E445" s="12">
        <f>INT((D445-1)/100)+1</f>
        <v/>
      </c>
      <c r="F445" s="12" t="inlineStr">
        <is>
          <t>Wildfire</t>
        </is>
      </c>
      <c r="G445" s="12" t="inlineStr">
        <is>
          <t>Glade Hill Fire — wildfire, 6.2 acres, Neversink (Sullivan Co.)</t>
        </is>
      </c>
      <c r="H445" s="12" t="inlineStr">
        <is>
          <t>Neversink, Sullivan County; Other Government — NYC DEP</t>
        </is>
      </c>
      <c r="I445" s="12" t="inlineStr">
        <is>
          <t>6.2 acres; cause Equipment; fuel 9 - Timber - Medium Hardwood Litter</t>
        </is>
      </c>
      <c r="J445" s="12" t="inlineStr">
        <is>
          <t>41.86150, -74.50541</t>
        </is>
      </c>
      <c r="K445" s="12" t="inlineStr">
        <is>
          <t>No losses reported</t>
        </is>
      </c>
      <c r="L445" s="12" t="inlineStr">
        <is>
          <t>NYSDEC Forest Ranger Wildland Fire Reporting Database (Beginning 2008), data.ny.gov export 2026-09-28</t>
        </is>
      </c>
      <c r="M445" s="12" t="inlineStr">
        <is>
          <t>https://data.ny.gov/</t>
        </is>
      </c>
      <c r="N445" s="12" t="inlineStr">
        <is>
          <t>A</t>
        </is>
      </c>
      <c r="O445" s="12" t="inlineStr">
        <is>
          <t>Y</t>
        </is>
      </c>
      <c r="P445" s="12" t="inlineStr">
        <is>
          <t>2026-09-28 (v970, atlas session): bulk ingest per Laurie; fire number NYS-2024-0172; matching 🔥 pin on Natural History.</t>
        </is>
      </c>
      <c r="Q445" s="12" t="inlineStr">
        <is>
          <t>2024-11-08</t>
        </is>
      </c>
      <c r="R445" s="12">
        <f>VALUE(LEFT(Q445,4))</f>
        <v/>
      </c>
      <c r="S445" s="12">
        <f>VALUE(MID(Q445,6,2))</f>
        <v/>
      </c>
      <c r="T445" s="12">
        <f>VALUE(RIGHT(Q445,2))</f>
        <v/>
      </c>
      <c r="U445" s="12" t="inlineStr">
        <is>
          <t>day</t>
        </is>
      </c>
      <c r="V445" s="12" t="inlineStr">
        <is>
          <t>Fire start date (DEC report)</t>
        </is>
      </c>
    </row>
    <row r="446">
      <c r="A446" s="12" t="n">
        <v>483</v>
      </c>
      <c r="B446" s="12" t="inlineStr">
        <is>
          <t>2018-04-23</t>
        </is>
      </c>
      <c r="C446" s="12" t="inlineStr">
        <is>
          <t>2018-04-26</t>
        </is>
      </c>
      <c r="D446" s="12">
        <f>VALUE(LEFT(B446,4))</f>
        <v/>
      </c>
      <c r="E446" s="12">
        <f>INT((D446-1)/100)+1</f>
        <v/>
      </c>
      <c r="F446" s="12" t="inlineStr">
        <is>
          <t>Wildfire</t>
        </is>
      </c>
      <c r="G446" s="12" t="inlineStr">
        <is>
          <t>Onteora Fire — wildfire, 0.1 acres, Kingston (Ulster Co.)</t>
        </is>
      </c>
      <c r="H446" s="12" t="inlineStr">
        <is>
          <t>Kingston, Ulster County; Forest Preserve — Blue Stone Wild Forest</t>
        </is>
      </c>
      <c r="I446" s="12" t="inlineStr">
        <is>
          <t>0.1 acres; cause Campfire; fuel 8 - Timber - Light Hardwood Litter</t>
        </is>
      </c>
      <c r="J446" s="12" t="inlineStr">
        <is>
          <t>41.98378, -74.08103</t>
        </is>
      </c>
      <c r="K446" s="12" t="inlineStr">
        <is>
          <t>No losses reported</t>
        </is>
      </c>
      <c r="L446" s="12" t="inlineStr">
        <is>
          <t>NYSDEC Forest Ranger Wildland Fire Reporting Database (Beginning 2008), data.ny.gov export 2026-09-28</t>
        </is>
      </c>
      <c r="M446" s="12" t="inlineStr">
        <is>
          <t>https://data.ny.gov/</t>
        </is>
      </c>
      <c r="N446" s="12" t="inlineStr">
        <is>
          <t>A</t>
        </is>
      </c>
      <c r="O446" s="12" t="inlineStr">
        <is>
          <t>Y</t>
        </is>
      </c>
      <c r="P446" s="12" t="inlineStr">
        <is>
          <t>2026-09-28 (v970, atlas session): bulk ingest per Laurie; fire number NYS-2018-0031; matching 🔥 pin on Natural History.</t>
        </is>
      </c>
      <c r="Q446" s="12" t="inlineStr">
        <is>
          <t>2018-04-23</t>
        </is>
      </c>
      <c r="R446" s="12">
        <f>VALUE(LEFT(Q446,4))</f>
        <v/>
      </c>
      <c r="S446" s="12">
        <f>VALUE(MID(Q446,6,2))</f>
        <v/>
      </c>
      <c r="T446" s="12">
        <f>VALUE(RIGHT(Q446,2))</f>
        <v/>
      </c>
      <c r="U446" s="12" t="inlineStr">
        <is>
          <t>day</t>
        </is>
      </c>
      <c r="V446" s="12" t="inlineStr">
        <is>
          <t>Fire start date (DEC report)</t>
        </is>
      </c>
    </row>
    <row r="447">
      <c r="A447" s="12" t="n">
        <v>484</v>
      </c>
      <c r="B447" s="12" t="inlineStr">
        <is>
          <t>2024-11-01</t>
        </is>
      </c>
      <c r="C447" s="12" t="inlineStr">
        <is>
          <t>2024-11-06</t>
        </is>
      </c>
      <c r="D447" s="12">
        <f>VALUE(LEFT(B447,4))</f>
        <v/>
      </c>
      <c r="E447" s="12">
        <f>INT((D447-1)/100)+1</f>
        <v/>
      </c>
      <c r="F447" s="12" t="inlineStr">
        <is>
          <t>Wildfire</t>
        </is>
      </c>
      <c r="G447" s="12" t="inlineStr">
        <is>
          <t>Rocky Hill Fire — wildfire, 3.5 acres, Neversink (Sullivan Co.)</t>
        </is>
      </c>
      <c r="H447" s="12" t="inlineStr">
        <is>
          <t>Neversink, Sullivan County; Private Property</t>
        </is>
      </c>
      <c r="I447" s="12" t="inlineStr">
        <is>
          <t>3.5 acres; cause Miscellaneous; fuel 6 - Brush - Mixed/Regeneration</t>
        </is>
      </c>
      <c r="J447" s="12" t="inlineStr">
        <is>
          <t>41.85994, -74.52339</t>
        </is>
      </c>
      <c r="K447" s="12" t="inlineStr">
        <is>
          <t>No losses reported</t>
        </is>
      </c>
      <c r="L447" s="12" t="inlineStr">
        <is>
          <t>NYSDEC Forest Ranger Wildland Fire Reporting Database (Beginning 2008), data.ny.gov export 2026-09-28</t>
        </is>
      </c>
      <c r="M447" s="12" t="inlineStr">
        <is>
          <t>https://data.ny.gov/</t>
        </is>
      </c>
      <c r="N447" s="12" t="inlineStr">
        <is>
          <t>A</t>
        </is>
      </c>
      <c r="O447" s="12" t="inlineStr">
        <is>
          <t>Y</t>
        </is>
      </c>
      <c r="P447" s="12" t="inlineStr">
        <is>
          <t>2026-09-28 (v970, atlas session): bulk ingest per Laurie; fire number NYS-2024-0160; matching 🔥 pin on Natural History.</t>
        </is>
      </c>
      <c r="Q447" s="12" t="inlineStr">
        <is>
          <t>2024-11-01</t>
        </is>
      </c>
      <c r="R447" s="12">
        <f>VALUE(LEFT(Q447,4))</f>
        <v/>
      </c>
      <c r="S447" s="12">
        <f>VALUE(MID(Q447,6,2))</f>
        <v/>
      </c>
      <c r="T447" s="12">
        <f>VALUE(RIGHT(Q447,2))</f>
        <v/>
      </c>
      <c r="U447" s="12" t="inlineStr">
        <is>
          <t>day</t>
        </is>
      </c>
      <c r="V447" s="12" t="inlineStr">
        <is>
          <t>Fire start date (DEC report)</t>
        </is>
      </c>
    </row>
    <row r="448">
      <c r="A448" s="12" t="n">
        <v>485</v>
      </c>
      <c r="B448" s="12" t="inlineStr">
        <is>
          <t>2015-04-19</t>
        </is>
      </c>
      <c r="C448" s="12" t="inlineStr">
        <is>
          <t>2015-04-21</t>
        </is>
      </c>
      <c r="D448" s="12">
        <f>VALUE(LEFT(B448,4))</f>
        <v/>
      </c>
      <c r="E448" s="12">
        <f>INT((D448-1)/100)+1</f>
        <v/>
      </c>
      <c r="F448" s="12" t="inlineStr">
        <is>
          <t>Wildfire</t>
        </is>
      </c>
      <c r="G448" s="12" t="inlineStr">
        <is>
          <t>Llama Rd Fire — wildfire, 38.6 acres, Middleburgh (Schoharie Co.)</t>
        </is>
      </c>
      <c r="H448" s="12" t="inlineStr">
        <is>
          <t>Middleburgh, Schoharie County; Private Property</t>
        </is>
      </c>
      <c r="I448" s="12" t="inlineStr">
        <is>
          <t>38.6 acres; cause Debris Burning; fuel 12 - Slash - Medium</t>
        </is>
      </c>
      <c r="J448" s="12" t="inlineStr">
        <is>
          <t>42.58669, -74.30254</t>
        </is>
      </c>
      <c r="K448" s="12" t="inlineStr">
        <is>
          <t>No losses reported</t>
        </is>
      </c>
      <c r="L448" s="12" t="inlineStr">
        <is>
          <t>NYSDEC Forest Ranger Wildland Fire Reporting Database (Beginning 2008), data.ny.gov export 2026-09-28</t>
        </is>
      </c>
      <c r="M448" s="12" t="inlineStr">
        <is>
          <t>https://data.ny.gov/</t>
        </is>
      </c>
      <c r="N448" s="12" t="inlineStr">
        <is>
          <t>A</t>
        </is>
      </c>
      <c r="O448" s="12" t="inlineStr">
        <is>
          <t>Y</t>
        </is>
      </c>
      <c r="P448" s="12" t="inlineStr">
        <is>
          <t>2026-09-28 (v970, atlas session): bulk ingest per Laurie; fire number NYS-2015-0041; matching 🔥 pin on Natural History.</t>
        </is>
      </c>
      <c r="Q448" s="12" t="inlineStr">
        <is>
          <t>2015-04-19</t>
        </is>
      </c>
      <c r="R448" s="12">
        <f>VALUE(LEFT(Q448,4))</f>
        <v/>
      </c>
      <c r="S448" s="12">
        <f>VALUE(MID(Q448,6,2))</f>
        <v/>
      </c>
      <c r="T448" s="12">
        <f>VALUE(RIGHT(Q448,2))</f>
        <v/>
      </c>
      <c r="U448" s="12" t="inlineStr">
        <is>
          <t>day</t>
        </is>
      </c>
      <c r="V448" s="12" t="inlineStr">
        <is>
          <t>Fire start date (DEC report)</t>
        </is>
      </c>
    </row>
    <row r="449">
      <c r="A449" s="12" t="n">
        <v>489</v>
      </c>
      <c r="B449" s="12" t="inlineStr">
        <is>
          <t>2013-10-27</t>
        </is>
      </c>
      <c r="C449" s="12" t="inlineStr">
        <is>
          <t>2013-10-29</t>
        </is>
      </c>
      <c r="D449" s="12">
        <f>VALUE(LEFT(B449,4))</f>
        <v/>
      </c>
      <c r="E449" s="12">
        <f>INT((D449-1)/100)+1</f>
        <v/>
      </c>
      <c r="F449" s="12" t="inlineStr">
        <is>
          <t>Wildfire</t>
        </is>
      </c>
      <c r="G449" s="12" t="inlineStr">
        <is>
          <t>Dean Hill Rd — wildfire, 10.3 acres, Canaan (Columbia Co.)</t>
        </is>
      </c>
      <c r="H449" s="12" t="inlineStr">
        <is>
          <t>Canaan, Columbia County; Private Property</t>
        </is>
      </c>
      <c r="I449" s="12" t="inlineStr">
        <is>
          <t>10.3 acres; cause Power line; fuel 8 - Timber - Light Hardwood Litter</t>
        </is>
      </c>
      <c r="J449" s="12" t="inlineStr">
        <is>
          <t>42.36429, -73.41209</t>
        </is>
      </c>
      <c r="K449" s="12" t="inlineStr">
        <is>
          <t>No losses reported</t>
        </is>
      </c>
      <c r="L449" s="12" t="inlineStr">
        <is>
          <t>NYSDEC Forest Ranger Wildland Fire Reporting Database (Beginning 2008), data.ny.gov export 2026-09-28</t>
        </is>
      </c>
      <c r="M449" s="12" t="inlineStr">
        <is>
          <t>https://data.ny.gov/</t>
        </is>
      </c>
      <c r="N449" s="12" t="inlineStr">
        <is>
          <t>A</t>
        </is>
      </c>
      <c r="O449" s="12" t="inlineStr">
        <is>
          <t>Y</t>
        </is>
      </c>
      <c r="P449" s="12" t="inlineStr">
        <is>
          <t>2026-09-28 (v970, atlas session): bulk ingest per Laurie; fire number NYS-2013-0127; matching 🔥 pin on Natural History.</t>
        </is>
      </c>
      <c r="Q449" s="12" t="inlineStr">
        <is>
          <t>2013-10-27</t>
        </is>
      </c>
      <c r="R449" s="12">
        <f>VALUE(LEFT(Q449,4))</f>
        <v/>
      </c>
      <c r="S449" s="12">
        <f>VALUE(MID(Q449,6,2))</f>
        <v/>
      </c>
      <c r="T449" s="12">
        <f>VALUE(RIGHT(Q449,2))</f>
        <v/>
      </c>
      <c r="U449" s="12" t="inlineStr">
        <is>
          <t>day</t>
        </is>
      </c>
      <c r="V449" s="12" t="inlineStr">
        <is>
          <t>Fire start date (DEC report)</t>
        </is>
      </c>
    </row>
    <row r="450">
      <c r="A450" s="12" t="n">
        <v>490</v>
      </c>
      <c r="B450" s="12" t="inlineStr">
        <is>
          <t>2010-04-20</t>
        </is>
      </c>
      <c r="C450" s="12" t="inlineStr">
        <is>
          <t>2010-04-20</t>
        </is>
      </c>
      <c r="D450" s="12">
        <f>VALUE(LEFT(B450,4))</f>
        <v/>
      </c>
      <c r="E450" s="12">
        <f>INT((D450-1)/100)+1</f>
        <v/>
      </c>
      <c r="F450" s="12" t="inlineStr">
        <is>
          <t>Wildfire</t>
        </is>
      </c>
      <c r="G450" s="12" t="inlineStr">
        <is>
          <t>Bier Rd — wildfire, 1.4 acres, Coeymans (Albany Co.)</t>
        </is>
      </c>
      <c r="H450" s="12" t="inlineStr">
        <is>
          <t>Coeymans, Albany County; Private Property</t>
        </is>
      </c>
      <c r="I450" s="12" t="inlineStr">
        <is>
          <t>1.4 acres; cause Miscellaneous; fuel 7 - Brush - Understory</t>
        </is>
      </c>
      <c r="J450" s="12" t="inlineStr">
        <is>
          <t>42.51453, -73.90535</t>
        </is>
      </c>
      <c r="K450" s="12" t="inlineStr">
        <is>
          <t>No losses reported</t>
        </is>
      </c>
      <c r="L450" s="12" t="inlineStr">
        <is>
          <t>NYSDEC Forest Ranger Wildland Fire Reporting Database (Beginning 2008), data.ny.gov export 2026-09-28</t>
        </is>
      </c>
      <c r="M450" s="12" t="inlineStr">
        <is>
          <t>https://data.ny.gov/</t>
        </is>
      </c>
      <c r="N450" s="12" t="inlineStr">
        <is>
          <t>A</t>
        </is>
      </c>
      <c r="O450" s="12" t="inlineStr">
        <is>
          <t>Y</t>
        </is>
      </c>
      <c r="P450" s="12" t="inlineStr">
        <is>
          <t>2026-09-28 (v970, atlas session): bulk ingest per Laurie; fire number NYS-2010-0069; matching 🔥 pin on Natural History.</t>
        </is>
      </c>
      <c r="Q450" s="12" t="inlineStr">
        <is>
          <t>2010-04-20</t>
        </is>
      </c>
      <c r="R450" s="12">
        <f>VALUE(LEFT(Q450,4))</f>
        <v/>
      </c>
      <c r="S450" s="12">
        <f>VALUE(MID(Q450,6,2))</f>
        <v/>
      </c>
      <c r="T450" s="12">
        <f>VALUE(RIGHT(Q450,2))</f>
        <v/>
      </c>
      <c r="U450" s="12" t="inlineStr">
        <is>
          <t>day</t>
        </is>
      </c>
      <c r="V450" s="12" t="inlineStr">
        <is>
          <t>Fire start date (DEC report)</t>
        </is>
      </c>
    </row>
    <row r="451">
      <c r="A451" s="12" t="n">
        <v>491</v>
      </c>
      <c r="B451" s="12" t="inlineStr">
        <is>
          <t>2018-05-09</t>
        </is>
      </c>
      <c r="C451" s="12" t="inlineStr">
        <is>
          <t>2018-05-11</t>
        </is>
      </c>
      <c r="D451" s="12">
        <f>VALUE(LEFT(B451,4))</f>
        <v/>
      </c>
      <c r="E451" s="12">
        <f>INT((D451-1)/100)+1</f>
        <v/>
      </c>
      <c r="F451" s="12" t="inlineStr">
        <is>
          <t>Wildfire</t>
        </is>
      </c>
      <c r="G451" s="12" t="inlineStr">
        <is>
          <t>Froner's Rd 2 — wildfire, 0.5 acres, Hurley (Ulster Co.)</t>
        </is>
      </c>
      <c r="H451" s="12" t="inlineStr">
        <is>
          <t>Hurley, Ulster County; Private Property</t>
        </is>
      </c>
      <c r="I451" s="12" t="inlineStr">
        <is>
          <t>0.5 acres; cause Incendiary; fuel 9 - Timber - Medium Hardwood Litter</t>
        </is>
      </c>
      <c r="J451" s="12" t="inlineStr">
        <is>
          <t>41.96128, -74.11152</t>
        </is>
      </c>
      <c r="K451" s="12" t="inlineStr">
        <is>
          <t>No losses reported</t>
        </is>
      </c>
      <c r="L451" s="12" t="inlineStr">
        <is>
          <t>NYSDEC Forest Ranger Wildland Fire Reporting Database (Beginning 2008), data.ny.gov export 2026-09-28</t>
        </is>
      </c>
      <c r="M451" s="12" t="inlineStr">
        <is>
          <t>https://data.ny.gov/</t>
        </is>
      </c>
      <c r="N451" s="12" t="inlineStr">
        <is>
          <t>A</t>
        </is>
      </c>
      <c r="O451" s="12" t="inlineStr">
        <is>
          <t>Y</t>
        </is>
      </c>
      <c r="P451" s="12" t="inlineStr">
        <is>
          <t>2026-09-28 (v970, atlas session): bulk ingest per Laurie; fire number NYS-2018-0054; matching 🔥 pin on Natural History.</t>
        </is>
      </c>
      <c r="Q451" s="12" t="inlineStr">
        <is>
          <t>2018-05-09</t>
        </is>
      </c>
      <c r="R451" s="12">
        <f>VALUE(LEFT(Q451,4))</f>
        <v/>
      </c>
      <c r="S451" s="12">
        <f>VALUE(MID(Q451,6,2))</f>
        <v/>
      </c>
      <c r="T451" s="12">
        <f>VALUE(RIGHT(Q451,2))</f>
        <v/>
      </c>
      <c r="U451" s="12" t="inlineStr">
        <is>
          <t>day</t>
        </is>
      </c>
      <c r="V451" s="12" t="inlineStr">
        <is>
          <t>Fire start date (DEC report)</t>
        </is>
      </c>
    </row>
    <row r="452">
      <c r="A452" s="12" t="n">
        <v>493</v>
      </c>
      <c r="B452" s="12" t="inlineStr">
        <is>
          <t>2020-04-02</t>
        </is>
      </c>
      <c r="C452" s="12" t="inlineStr">
        <is>
          <t>2020-04-02</t>
        </is>
      </c>
      <c r="D452" s="12">
        <f>VALUE(LEFT(B452,4))</f>
        <v/>
      </c>
      <c r="E452" s="12">
        <f>INT((D452-1)/100)+1</f>
        <v/>
      </c>
      <c r="F452" s="12" t="inlineStr">
        <is>
          <t>Wildfire</t>
        </is>
      </c>
      <c r="G452" s="12" t="inlineStr">
        <is>
          <t>Shortell Road Fire — wildfire, 0.5 acres, Lumberland (Sullivan Co.)</t>
        </is>
      </c>
      <c r="H452" s="12" t="inlineStr">
        <is>
          <t>Lumberland, Sullivan County; Private Property</t>
        </is>
      </c>
      <c r="I452" s="12" t="inlineStr">
        <is>
          <t>0.5 acres; cause Power line; fuel 9 - Timber - Medium Hardwood Litter</t>
        </is>
      </c>
      <c r="J452" s="12" t="inlineStr">
        <is>
          <t>41.42495, -74.76206</t>
        </is>
      </c>
      <c r="K452" s="12" t="inlineStr">
        <is>
          <t>No losses reported</t>
        </is>
      </c>
      <c r="L452" s="12" t="inlineStr">
        <is>
          <t>NYSDEC Forest Ranger Wildland Fire Reporting Database (Beginning 2008), data.ny.gov export 2026-09-28</t>
        </is>
      </c>
      <c r="M452" s="12" t="inlineStr">
        <is>
          <t>https://data.ny.gov/</t>
        </is>
      </c>
      <c r="N452" s="12" t="inlineStr">
        <is>
          <t>A</t>
        </is>
      </c>
      <c r="O452" s="12" t="inlineStr">
        <is>
          <t>Y</t>
        </is>
      </c>
      <c r="P452" s="12" t="inlineStr">
        <is>
          <t>2026-09-28 (v970, atlas session): bulk ingest per Laurie; fire number NYS-2020-0027; matching 🔥 pin on Natural History.</t>
        </is>
      </c>
      <c r="Q452" s="12" t="inlineStr">
        <is>
          <t>2020-04-02</t>
        </is>
      </c>
      <c r="R452" s="12">
        <f>VALUE(LEFT(Q452,4))</f>
        <v/>
      </c>
      <c r="S452" s="12">
        <f>VALUE(MID(Q452,6,2))</f>
        <v/>
      </c>
      <c r="T452" s="12">
        <f>VALUE(RIGHT(Q452,2))</f>
        <v/>
      </c>
      <c r="U452" s="12" t="inlineStr">
        <is>
          <t>day</t>
        </is>
      </c>
      <c r="V452" s="12" t="inlineStr">
        <is>
          <t>Fire start date (DEC report)</t>
        </is>
      </c>
    </row>
    <row r="453">
      <c r="A453" s="12" t="n">
        <v>494</v>
      </c>
      <c r="B453" s="12" t="inlineStr">
        <is>
          <t>2020-05-24</t>
        </is>
      </c>
      <c r="C453" s="12" t="inlineStr">
        <is>
          <t>2020-05-25</t>
        </is>
      </c>
      <c r="D453" s="12">
        <f>VALUE(LEFT(B453,4))</f>
        <v/>
      </c>
      <c r="E453" s="12">
        <f>INT((D453-1)/100)+1</f>
        <v/>
      </c>
      <c r="F453" s="12" t="inlineStr">
        <is>
          <t>Wildfire</t>
        </is>
      </c>
      <c r="G453" s="12" t="inlineStr">
        <is>
          <t>Lundy Rd Fire — wildfire, 0.5 acres, Wawarsing (Ulster Co.)</t>
        </is>
      </c>
      <c r="H453" s="12" t="inlineStr">
        <is>
          <t>Wawarsing, Ulster County; State Forest/RF Area — Vernooy Kill SF</t>
        </is>
      </c>
      <c r="I453" s="12" t="inlineStr">
        <is>
          <t>0.5 acres; cause Fireworks; fuel 1 - Grass - Light</t>
        </is>
      </c>
      <c r="J453" s="12" t="inlineStr">
        <is>
          <t>41.76904, -74.37297</t>
        </is>
      </c>
      <c r="K453" s="12" t="inlineStr">
        <is>
          <t>No losses reported</t>
        </is>
      </c>
      <c r="L453" s="12" t="inlineStr">
        <is>
          <t>NYSDEC Forest Ranger Wildland Fire Reporting Database (Beginning 2008), data.ny.gov export 2026-09-28</t>
        </is>
      </c>
      <c r="M453" s="12" t="inlineStr">
        <is>
          <t>https://data.ny.gov/</t>
        </is>
      </c>
      <c r="N453" s="12" t="inlineStr">
        <is>
          <t>A</t>
        </is>
      </c>
      <c r="O453" s="12" t="inlineStr">
        <is>
          <t>Y</t>
        </is>
      </c>
      <c r="P453" s="12" t="inlineStr">
        <is>
          <t>2026-09-28 (v970, atlas session): bulk ingest per Laurie; fire number NYS-2020-0070; matching 🔥 pin on Natural History.</t>
        </is>
      </c>
      <c r="Q453" s="12" t="inlineStr">
        <is>
          <t>2020-05-24</t>
        </is>
      </c>
      <c r="R453" s="12">
        <f>VALUE(LEFT(Q453,4))</f>
        <v/>
      </c>
      <c r="S453" s="12">
        <f>VALUE(MID(Q453,6,2))</f>
        <v/>
      </c>
      <c r="T453" s="12">
        <f>VALUE(RIGHT(Q453,2))</f>
        <v/>
      </c>
      <c r="U453" s="12" t="inlineStr">
        <is>
          <t>day</t>
        </is>
      </c>
      <c r="V453" s="12" t="inlineStr">
        <is>
          <t>Fire start date (DEC report)</t>
        </is>
      </c>
    </row>
    <row r="454">
      <c r="A454" s="12" t="n">
        <v>496</v>
      </c>
      <c r="B454" s="12" t="inlineStr">
        <is>
          <t>2021-03-20</t>
        </is>
      </c>
      <c r="C454" s="12" t="inlineStr">
        <is>
          <t>2021-03-20</t>
        </is>
      </c>
      <c r="D454" s="12">
        <f>VALUE(LEFT(B454,4))</f>
        <v/>
      </c>
      <c r="E454" s="12">
        <f>INT((D454-1)/100)+1</f>
        <v/>
      </c>
      <c r="F454" s="12" t="inlineStr">
        <is>
          <t>Wildfire</t>
        </is>
      </c>
      <c r="G454" s="12" t="inlineStr">
        <is>
          <t>Hurley Fire — wildfire, 1.5 acres, Vestal (Broome Co.)</t>
        </is>
      </c>
      <c r="H454" s="12" t="inlineStr">
        <is>
          <t>Vestal, Broome County; Private Property</t>
        </is>
      </c>
      <c r="I454" s="12" t="inlineStr">
        <is>
          <t>1.5 acres; cause Debris Burning; fuel 1 - Grass - Light</t>
        </is>
      </c>
      <c r="J454" s="12" t="inlineStr">
        <is>
          <t>42.05410, -76.08039</t>
        </is>
      </c>
      <c r="K454" s="12" t="inlineStr">
        <is>
          <t>No losses reported</t>
        </is>
      </c>
      <c r="L454" s="12" t="inlineStr">
        <is>
          <t>NYSDEC Forest Ranger Wildland Fire Reporting Database (Beginning 2008), data.ny.gov export 2026-09-28</t>
        </is>
      </c>
      <c r="M454" s="12" t="inlineStr">
        <is>
          <t>https://data.ny.gov/</t>
        </is>
      </c>
      <c r="N454" s="12" t="inlineStr">
        <is>
          <t>A</t>
        </is>
      </c>
      <c r="O454" s="12" t="inlineStr">
        <is>
          <t>Y</t>
        </is>
      </c>
      <c r="P454" s="12" t="inlineStr">
        <is>
          <t>2026-09-28 (v970, atlas session): bulk ingest per Laurie; fire number NYS-2021-0016; matching 🔥 pin on Natural History.</t>
        </is>
      </c>
      <c r="Q454" s="12" t="inlineStr">
        <is>
          <t>2021-03-20</t>
        </is>
      </c>
      <c r="R454" s="12">
        <f>VALUE(LEFT(Q454,4))</f>
        <v/>
      </c>
      <c r="S454" s="12">
        <f>VALUE(MID(Q454,6,2))</f>
        <v/>
      </c>
      <c r="T454" s="12">
        <f>VALUE(RIGHT(Q454,2))</f>
        <v/>
      </c>
      <c r="U454" s="12" t="inlineStr">
        <is>
          <t>day</t>
        </is>
      </c>
      <c r="V454" s="12" t="inlineStr">
        <is>
          <t>Fire start date (DEC report)</t>
        </is>
      </c>
    </row>
    <row r="455">
      <c r="A455" s="12" t="n">
        <v>497</v>
      </c>
      <c r="B455" s="12" t="inlineStr">
        <is>
          <t>2023-04-13</t>
        </is>
      </c>
      <c r="C455" s="12" t="inlineStr">
        <is>
          <t>2023-04-15</t>
        </is>
      </c>
      <c r="D455" s="12">
        <f>VALUE(LEFT(B455,4))</f>
        <v/>
      </c>
      <c r="E455" s="12">
        <f>INT((D455-1)/100)+1</f>
        <v/>
      </c>
      <c r="F455" s="12" t="inlineStr">
        <is>
          <t>Wildfire</t>
        </is>
      </c>
      <c r="G455" s="12" t="inlineStr">
        <is>
          <t>Southwoods Fire — wildfire, 5 acres, Thompson (Sullivan Co.)</t>
        </is>
      </c>
      <c r="H455" s="12" t="inlineStr">
        <is>
          <t>Thompson, Sullivan County; Private Property</t>
        </is>
      </c>
      <c r="I455" s="12" t="inlineStr">
        <is>
          <t>5 acres; cause Debris Burning; fuel 12 - Slash - Medium</t>
        </is>
      </c>
      <c r="J455" s="12" t="inlineStr">
        <is>
          <t>41.63208, -74.63263</t>
        </is>
      </c>
      <c r="K455" s="12" t="inlineStr">
        <is>
          <t>No losses reported</t>
        </is>
      </c>
      <c r="L455" s="12" t="inlineStr">
        <is>
          <t>NYSDEC Forest Ranger Wildland Fire Reporting Database (Beginning 2008), data.ny.gov export 2026-09-28</t>
        </is>
      </c>
      <c r="M455" s="12" t="inlineStr">
        <is>
          <t>https://data.ny.gov/</t>
        </is>
      </c>
      <c r="N455" s="12" t="inlineStr">
        <is>
          <t>A</t>
        </is>
      </c>
      <c r="O455" s="12" t="inlineStr">
        <is>
          <t>Y</t>
        </is>
      </c>
      <c r="P455" s="12" t="inlineStr">
        <is>
          <t>2026-09-28 (v970, atlas session): bulk ingest per Laurie; fire number NYS-2023-0052; matching 🔥 pin on Natural History.</t>
        </is>
      </c>
      <c r="Q455" s="12" t="inlineStr">
        <is>
          <t>2023-04-13</t>
        </is>
      </c>
      <c r="R455" s="12">
        <f>VALUE(LEFT(Q455,4))</f>
        <v/>
      </c>
      <c r="S455" s="12">
        <f>VALUE(MID(Q455,6,2))</f>
        <v/>
      </c>
      <c r="T455" s="12">
        <f>VALUE(RIGHT(Q455,2))</f>
        <v/>
      </c>
      <c r="U455" s="12" t="inlineStr">
        <is>
          <t>day</t>
        </is>
      </c>
      <c r="V455" s="12" t="inlineStr">
        <is>
          <t>Fire start date (DEC report)</t>
        </is>
      </c>
    </row>
    <row r="456">
      <c r="A456" s="12" t="n">
        <v>498</v>
      </c>
      <c r="B456" s="12" t="inlineStr">
        <is>
          <t>2008-04-16</t>
        </is>
      </c>
      <c r="C456" s="12" t="inlineStr">
        <is>
          <t>2008-04-16</t>
        </is>
      </c>
      <c r="D456" s="12">
        <f>VALUE(LEFT(B456,4))</f>
        <v/>
      </c>
      <c r="E456" s="12">
        <f>INT((D456-1)/100)+1</f>
        <v/>
      </c>
      <c r="F456" s="12" t="inlineStr">
        <is>
          <t>Wildfire</t>
        </is>
      </c>
      <c r="G456" s="12" t="inlineStr">
        <is>
          <t>Bringham Fire — wildfire, 3.7 acres, Maine (Broome Co.)</t>
        </is>
      </c>
      <c r="H456" s="12" t="inlineStr">
        <is>
          <t>Maine, Broome County; Private Property</t>
        </is>
      </c>
      <c r="I456" s="12" t="inlineStr">
        <is>
          <t>3.7 acres; cause Equipment; fuel 8 - Timber - Light Hardwood Litter</t>
        </is>
      </c>
      <c r="J456" s="12" t="inlineStr">
        <is>
          <t>42.22297, -75.97687</t>
        </is>
      </c>
      <c r="K456" s="12" t="inlineStr">
        <is>
          <t>No losses reported</t>
        </is>
      </c>
      <c r="L456" s="12" t="inlineStr">
        <is>
          <t>NYSDEC Forest Ranger Wildland Fire Reporting Database (Beginning 2008), data.ny.gov export 2026-09-28</t>
        </is>
      </c>
      <c r="M456" s="12" t="inlineStr">
        <is>
          <t>https://data.ny.gov/</t>
        </is>
      </c>
      <c r="N456" s="12" t="inlineStr">
        <is>
          <t>A</t>
        </is>
      </c>
      <c r="O456" s="12" t="inlineStr">
        <is>
          <t>Y</t>
        </is>
      </c>
      <c r="P456" s="12" t="inlineStr">
        <is>
          <t>2026-09-28 (v970, atlas session): bulk ingest per Laurie; fire number NYS-2008-0032; matching 🔥 pin on Natural History.</t>
        </is>
      </c>
      <c r="Q456" s="12" t="inlineStr">
        <is>
          <t>2008-04-16</t>
        </is>
      </c>
      <c r="R456" s="12">
        <f>VALUE(LEFT(Q456,4))</f>
        <v/>
      </c>
      <c r="S456" s="12">
        <f>VALUE(MID(Q456,6,2))</f>
        <v/>
      </c>
      <c r="T456" s="12">
        <f>VALUE(RIGHT(Q456,2))</f>
        <v/>
      </c>
      <c r="U456" s="12" t="inlineStr">
        <is>
          <t>day</t>
        </is>
      </c>
      <c r="V456" s="12" t="inlineStr">
        <is>
          <t>Fire start date (DEC report)</t>
        </is>
      </c>
    </row>
    <row r="457">
      <c r="A457" s="12" t="n">
        <v>499</v>
      </c>
      <c r="B457" s="12" t="inlineStr">
        <is>
          <t>2023-05-17</t>
        </is>
      </c>
      <c r="C457" s="12" t="inlineStr">
        <is>
          <t>2023-05-17</t>
        </is>
      </c>
      <c r="D457" s="12">
        <f>VALUE(LEFT(B457,4))</f>
        <v/>
      </c>
      <c r="E457" s="12">
        <f>INT((D457-1)/100)+1</f>
        <v/>
      </c>
      <c r="F457" s="12" t="inlineStr">
        <is>
          <t>Wildfire</t>
        </is>
      </c>
      <c r="G457" s="12" t="inlineStr">
        <is>
          <t>Pawling Mountain Fire — wildfire, 0.1 acres, Pawling (Dutchess Co.)</t>
        </is>
      </c>
      <c r="H457" s="12" t="inlineStr">
        <is>
          <t>Pawling, Dutchess County; Private Property</t>
        </is>
      </c>
      <c r="I457" s="12" t="inlineStr">
        <is>
          <t>0.1 acres; cause Power line; fuel 1 - Grass - Light</t>
        </is>
      </c>
      <c r="J457" s="12" t="inlineStr">
        <is>
          <t>41.58206, -73.63596</t>
        </is>
      </c>
      <c r="K457" s="12" t="inlineStr">
        <is>
          <t>No losses reported</t>
        </is>
      </c>
      <c r="L457" s="12" t="inlineStr">
        <is>
          <t>NYSDEC Forest Ranger Wildland Fire Reporting Database (Beginning 2008), data.ny.gov export 2026-09-28</t>
        </is>
      </c>
      <c r="M457" s="12" t="inlineStr">
        <is>
          <t>https://data.ny.gov/</t>
        </is>
      </c>
      <c r="N457" s="12" t="inlineStr">
        <is>
          <t>A</t>
        </is>
      </c>
      <c r="O457" s="12" t="inlineStr">
        <is>
          <t>Y</t>
        </is>
      </c>
      <c r="P457" s="12" t="inlineStr">
        <is>
          <t>2026-09-28 (v970, atlas session): bulk ingest per Laurie; fire number NYS-2023-0122; matching 🔥 pin on Natural History.</t>
        </is>
      </c>
      <c r="Q457" s="12" t="inlineStr">
        <is>
          <t>2023-05-17</t>
        </is>
      </c>
      <c r="R457" s="12">
        <f>VALUE(LEFT(Q457,4))</f>
        <v/>
      </c>
      <c r="S457" s="12">
        <f>VALUE(MID(Q457,6,2))</f>
        <v/>
      </c>
      <c r="T457" s="12">
        <f>VALUE(RIGHT(Q457,2))</f>
        <v/>
      </c>
      <c r="U457" s="12" t="inlineStr">
        <is>
          <t>day</t>
        </is>
      </c>
      <c r="V457" s="12" t="inlineStr">
        <is>
          <t>Fire start date (DEC report)</t>
        </is>
      </c>
    </row>
    <row r="458">
      <c r="A458" s="12" t="n">
        <v>500</v>
      </c>
      <c r="B458" s="12" t="inlineStr">
        <is>
          <t>2021-04-06</t>
        </is>
      </c>
      <c r="C458" s="12" t="inlineStr">
        <is>
          <t>2021-04-06</t>
        </is>
      </c>
      <c r="D458" s="12">
        <f>VALUE(LEFT(B458,4))</f>
        <v/>
      </c>
      <c r="E458" s="12">
        <f>INT((D458-1)/100)+1</f>
        <v/>
      </c>
      <c r="F458" s="12" t="inlineStr">
        <is>
          <t>Wildfire</t>
        </is>
      </c>
      <c r="G458" s="12" t="inlineStr">
        <is>
          <t>Chisholm Trail Fire — wildfire, 0.2 acres, Jewett (Greene Co.)</t>
        </is>
      </c>
      <c r="H458" s="12" t="inlineStr">
        <is>
          <t>Jewett, Greene County; Private Property — n/a</t>
        </is>
      </c>
      <c r="I458" s="12" t="inlineStr">
        <is>
          <t>0.2 acres; cause Miscellaneous; fuel 8 - Timber - Light Hardwood Litter</t>
        </is>
      </c>
      <c r="J458" s="12" t="inlineStr">
        <is>
          <t>42.24689, -74.14849</t>
        </is>
      </c>
      <c r="K458" s="12" t="inlineStr">
        <is>
          <t>No losses reported</t>
        </is>
      </c>
      <c r="L458" s="12" t="inlineStr">
        <is>
          <t>NYSDEC Forest Ranger Wildland Fire Reporting Database (Beginning 2008), data.ny.gov export 2026-09-28</t>
        </is>
      </c>
      <c r="M458" s="12" t="inlineStr">
        <is>
          <t>https://data.ny.gov/</t>
        </is>
      </c>
      <c r="N458" s="12" t="inlineStr">
        <is>
          <t>A</t>
        </is>
      </c>
      <c r="O458" s="12" t="inlineStr">
        <is>
          <t>Y</t>
        </is>
      </c>
      <c r="P458" s="12" t="inlineStr">
        <is>
          <t>2026-09-28 (v970, atlas session): bulk ingest per Laurie; fire number NYS-2021-0060; matching 🔥 pin on Natural History.</t>
        </is>
      </c>
      <c r="Q458" s="12" t="inlineStr">
        <is>
          <t>2021-04-06</t>
        </is>
      </c>
      <c r="R458" s="12">
        <f>VALUE(LEFT(Q458,4))</f>
        <v/>
      </c>
      <c r="S458" s="12">
        <f>VALUE(MID(Q458,6,2))</f>
        <v/>
      </c>
      <c r="T458" s="12">
        <f>VALUE(RIGHT(Q458,2))</f>
        <v/>
      </c>
      <c r="U458" s="12" t="inlineStr">
        <is>
          <t>day</t>
        </is>
      </c>
      <c r="V458" s="12" t="inlineStr">
        <is>
          <t>Fire start date (DEC report)</t>
        </is>
      </c>
    </row>
    <row r="459">
      <c r="A459" s="12" t="n">
        <v>502</v>
      </c>
      <c r="B459" s="12" t="inlineStr">
        <is>
          <t>2010-08-04</t>
        </is>
      </c>
      <c r="C459" s="12" t="inlineStr">
        <is>
          <t>2010-08-05</t>
        </is>
      </c>
      <c r="D459" s="12">
        <f>VALUE(LEFT(B459,4))</f>
        <v/>
      </c>
      <c r="E459" s="12">
        <f>INT((D459-1)/100)+1</f>
        <v/>
      </c>
      <c r="F459" s="12" t="inlineStr">
        <is>
          <t>Wildfire</t>
        </is>
      </c>
      <c r="G459" s="12" t="inlineStr">
        <is>
          <t>melzingah res. — wildfire, 0.1 acres, Fishkill (Dutchess Co.)</t>
        </is>
      </c>
      <c r="H459" s="12" t="inlineStr">
        <is>
          <t>Fishkill, Dutchess County; OPR&amp;HP (State Parks) — hudson highlands</t>
        </is>
      </c>
      <c r="I459" s="12" t="inlineStr">
        <is>
          <t>0.1 acres; cause Campfire; fuel 8 - Timber - Light Hardwood Litter</t>
        </is>
      </c>
      <c r="J459" s="12" t="inlineStr">
        <is>
          <t>41.46965, -73.97302</t>
        </is>
      </c>
      <c r="K459" s="12" t="inlineStr">
        <is>
          <t>No losses reported</t>
        </is>
      </c>
      <c r="L459" s="12" t="inlineStr">
        <is>
          <t>NYSDEC Forest Ranger Wildland Fire Reporting Database (Beginning 2008), data.ny.gov export 2026-09-28</t>
        </is>
      </c>
      <c r="M459" s="12" t="inlineStr">
        <is>
          <t>https://data.ny.gov/</t>
        </is>
      </c>
      <c r="N459" s="12" t="inlineStr">
        <is>
          <t>A</t>
        </is>
      </c>
      <c r="O459" s="12" t="inlineStr">
        <is>
          <t>Y</t>
        </is>
      </c>
      <c r="P459" s="12" t="inlineStr">
        <is>
          <t>2026-09-28 (v970, atlas session): bulk ingest per Laurie; fire number NYS-2010-0130; matching 🔥 pin on Natural History.</t>
        </is>
      </c>
      <c r="Q459" s="12" t="inlineStr">
        <is>
          <t>2010-08-04</t>
        </is>
      </c>
      <c r="R459" s="12">
        <f>VALUE(LEFT(Q459,4))</f>
        <v/>
      </c>
      <c r="S459" s="12">
        <f>VALUE(MID(Q459,6,2))</f>
        <v/>
      </c>
      <c r="T459" s="12">
        <f>VALUE(RIGHT(Q459,2))</f>
        <v/>
      </c>
      <c r="U459" s="12" t="inlineStr">
        <is>
          <t>day</t>
        </is>
      </c>
      <c r="V459" s="12" t="inlineStr">
        <is>
          <t>Fire start date (DEC report)</t>
        </is>
      </c>
    </row>
    <row r="460">
      <c r="A460" s="12" t="n">
        <v>504</v>
      </c>
      <c r="B460" s="12" t="inlineStr">
        <is>
          <t>2019-04-03</t>
        </is>
      </c>
      <c r="C460" s="12" t="inlineStr">
        <is>
          <t>2019-04-03</t>
        </is>
      </c>
      <c r="D460" s="12">
        <f>VALUE(LEFT(B460,4))</f>
        <v/>
      </c>
      <c r="E460" s="12">
        <f>INT((D460-1)/100)+1</f>
        <v/>
      </c>
      <c r="F460" s="12" t="inlineStr">
        <is>
          <t>Wildfire</t>
        </is>
      </c>
      <c r="G460" s="12" t="inlineStr">
        <is>
          <t>Monticello Fire — wildfire, 0.1 acres, Thompson (Sullivan Co.)</t>
        </is>
      </c>
      <c r="H460" s="12" t="inlineStr">
        <is>
          <t>Thompson, Sullivan County; Private Property</t>
        </is>
      </c>
      <c r="I460" s="12" t="inlineStr">
        <is>
          <t>0.1 acres; cause Power line; fuel 7 - Brush - Understory</t>
        </is>
      </c>
      <c r="J460" s="12" t="inlineStr">
        <is>
          <t>41.68007, -74.68166</t>
        </is>
      </c>
      <c r="K460" s="12" t="inlineStr">
        <is>
          <t>No losses reported</t>
        </is>
      </c>
      <c r="L460" s="12" t="inlineStr">
        <is>
          <t>NYSDEC Forest Ranger Wildland Fire Reporting Database (Beginning 2008), data.ny.gov export 2026-09-28</t>
        </is>
      </c>
      <c r="M460" s="12" t="inlineStr">
        <is>
          <t>https://data.ny.gov/</t>
        </is>
      </c>
      <c r="N460" s="12" t="inlineStr">
        <is>
          <t>A</t>
        </is>
      </c>
      <c r="O460" s="12" t="inlineStr">
        <is>
          <t>Y</t>
        </is>
      </c>
      <c r="P460" s="12" t="inlineStr">
        <is>
          <t>2026-09-28 (v970, atlas session): bulk ingest per Laurie; fire number NYS-2019-0020; matching 🔥 pin on Natural History.</t>
        </is>
      </c>
      <c r="Q460" s="12" t="inlineStr">
        <is>
          <t>2019-04-03</t>
        </is>
      </c>
      <c r="R460" s="12">
        <f>VALUE(LEFT(Q460,4))</f>
        <v/>
      </c>
      <c r="S460" s="12">
        <f>VALUE(MID(Q460,6,2))</f>
        <v/>
      </c>
      <c r="T460" s="12">
        <f>VALUE(RIGHT(Q460,2))</f>
        <v/>
      </c>
      <c r="U460" s="12" t="inlineStr">
        <is>
          <t>day</t>
        </is>
      </c>
      <c r="V460" s="12" t="inlineStr">
        <is>
          <t>Fire start date (DEC report)</t>
        </is>
      </c>
    </row>
    <row r="461">
      <c r="A461" s="12" t="n">
        <v>505</v>
      </c>
      <c r="B461" s="12" t="inlineStr">
        <is>
          <t>2022-11-08</t>
        </is>
      </c>
      <c r="C461" s="12" t="inlineStr">
        <is>
          <t>2022-11-09</t>
        </is>
      </c>
      <c r="D461" s="12">
        <f>VALUE(LEFT(B461,4))</f>
        <v/>
      </c>
      <c r="E461" s="12">
        <f>INT((D461-1)/100)+1</f>
        <v/>
      </c>
      <c r="F461" s="12" t="inlineStr">
        <is>
          <t>Wildfire</t>
        </is>
      </c>
      <c r="G461" s="12" t="inlineStr">
        <is>
          <t>Pitcher Rd Fire — wildfire, 1 acres, Rhinebeck (Dutchess Co.)</t>
        </is>
      </c>
      <c r="H461" s="12" t="inlineStr">
        <is>
          <t>Rhinebeck, Dutchess County; Private Property</t>
        </is>
      </c>
      <c r="I461" s="12" t="inlineStr">
        <is>
          <t>1 acres; cause Equipment; fuel 1 - Grass - Light</t>
        </is>
      </c>
      <c r="J461" s="12" t="inlineStr">
        <is>
          <t>41.97000, -73.90311</t>
        </is>
      </c>
      <c r="K461" s="12" t="inlineStr">
        <is>
          <t>No losses reported</t>
        </is>
      </c>
      <c r="L461" s="12" t="inlineStr">
        <is>
          <t>NYSDEC Forest Ranger Wildland Fire Reporting Database (Beginning 2008), data.ny.gov export 2026-09-28</t>
        </is>
      </c>
      <c r="M461" s="12" t="inlineStr">
        <is>
          <t>https://data.ny.gov/</t>
        </is>
      </c>
      <c r="N461" s="12" t="inlineStr">
        <is>
          <t>A</t>
        </is>
      </c>
      <c r="O461" s="12" t="inlineStr">
        <is>
          <t>Y</t>
        </is>
      </c>
      <c r="P461" s="12" t="inlineStr">
        <is>
          <t>2026-09-28 (v970, atlas session): bulk ingest per Laurie; fire number NYS-2022-0203; matching 🔥 pin on Natural History.</t>
        </is>
      </c>
      <c r="Q461" s="12" t="inlineStr">
        <is>
          <t>2022-11-08</t>
        </is>
      </c>
      <c r="R461" s="12">
        <f>VALUE(LEFT(Q461,4))</f>
        <v/>
      </c>
      <c r="S461" s="12">
        <f>VALUE(MID(Q461,6,2))</f>
        <v/>
      </c>
      <c r="T461" s="12">
        <f>VALUE(RIGHT(Q461,2))</f>
        <v/>
      </c>
      <c r="U461" s="12" t="inlineStr">
        <is>
          <t>day</t>
        </is>
      </c>
      <c r="V461" s="12" t="inlineStr">
        <is>
          <t>Fire start date (DEC report)</t>
        </is>
      </c>
    </row>
    <row r="462">
      <c r="A462" s="12" t="n">
        <v>506</v>
      </c>
      <c r="B462" s="12" t="inlineStr">
        <is>
          <t>2015-04-30</t>
        </is>
      </c>
      <c r="C462" s="12" t="inlineStr">
        <is>
          <t>2015-05-04</t>
        </is>
      </c>
      <c r="D462" s="12">
        <f>VALUE(LEFT(B462,4))</f>
        <v/>
      </c>
      <c r="E462" s="12">
        <f>INT((D462-1)/100)+1</f>
        <v/>
      </c>
      <c r="F462" s="12" t="inlineStr">
        <is>
          <t>Wildfire</t>
        </is>
      </c>
      <c r="G462" s="12" t="inlineStr">
        <is>
          <t>Sawkill Fire — wildfire, 17.6 acres, Ulster (Ulster Co.)</t>
        </is>
      </c>
      <c r="H462" s="12" t="inlineStr">
        <is>
          <t>Ulster, Ulster County; Forest Preserve — Bluestone Wild Forest</t>
        </is>
      </c>
      <c r="I462" s="12" t="inlineStr">
        <is>
          <t>17.6 acres; cause Miscellaneous; fuel 9 - Timber - Medium Hardwood Litter</t>
        </is>
      </c>
      <c r="J462" s="12" t="inlineStr">
        <is>
          <t>41.97641, -74.02480</t>
        </is>
      </c>
      <c r="K462" s="12" t="inlineStr">
        <is>
          <t>No losses reported</t>
        </is>
      </c>
      <c r="L462" s="12" t="inlineStr">
        <is>
          <t>NYSDEC Forest Ranger Wildland Fire Reporting Database (Beginning 2008), data.ny.gov export 2026-09-28</t>
        </is>
      </c>
      <c r="M462" s="12" t="inlineStr">
        <is>
          <t>https://data.ny.gov/</t>
        </is>
      </c>
      <c r="N462" s="12" t="inlineStr">
        <is>
          <t>A</t>
        </is>
      </c>
      <c r="O462" s="12" t="inlineStr">
        <is>
          <t>Y</t>
        </is>
      </c>
      <c r="P462" s="12" t="inlineStr">
        <is>
          <t>2026-09-28 (v970, atlas session): bulk ingest per Laurie; fire number NYS-2015-0063; matching 🔥 pin on Natural History.</t>
        </is>
      </c>
      <c r="Q462" s="12" t="inlineStr">
        <is>
          <t>2015-04-30</t>
        </is>
      </c>
      <c r="R462" s="12">
        <f>VALUE(LEFT(Q462,4))</f>
        <v/>
      </c>
      <c r="S462" s="12">
        <f>VALUE(MID(Q462,6,2))</f>
        <v/>
      </c>
      <c r="T462" s="12">
        <f>VALUE(RIGHT(Q462,2))</f>
        <v/>
      </c>
      <c r="U462" s="12" t="inlineStr">
        <is>
          <t>day</t>
        </is>
      </c>
      <c r="V462" s="12" t="inlineStr">
        <is>
          <t>Fire start date (DEC report)</t>
        </is>
      </c>
    </row>
    <row r="463">
      <c r="A463" s="12" t="n">
        <v>507</v>
      </c>
      <c r="B463" s="12" t="inlineStr">
        <is>
          <t>2009-03-27</t>
        </is>
      </c>
      <c r="C463" s="12" t="inlineStr">
        <is>
          <t>2009-03-27</t>
        </is>
      </c>
      <c r="D463" s="12">
        <f>VALUE(LEFT(B463,4))</f>
        <v/>
      </c>
      <c r="E463" s="12">
        <f>INT((D463-1)/100)+1</f>
        <v/>
      </c>
      <c r="F463" s="12" t="inlineStr">
        <is>
          <t>Wildfire</t>
        </is>
      </c>
      <c r="G463" s="12" t="inlineStr">
        <is>
          <t>West Fulton Road Fire — wildfire, 2 acres, Fulton (Schoharie Co.)</t>
        </is>
      </c>
      <c r="H463" s="12" t="inlineStr">
        <is>
          <t>Fulton, Schoharie County; Private Property</t>
        </is>
      </c>
      <c r="I463" s="12" t="inlineStr">
        <is>
          <t>2 acres; cause Debris Burning; fuel 1 - Grass - Light</t>
        </is>
      </c>
      <c r="J463" s="12" t="inlineStr">
        <is>
          <t>42.60373, -74.47229</t>
        </is>
      </c>
      <c r="K463" s="12" t="inlineStr">
        <is>
          <t>Injuries: 1</t>
        </is>
      </c>
      <c r="L463" s="12" t="inlineStr">
        <is>
          <t>NYSDEC Forest Ranger Wildland Fire Reporting Database (Beginning 2008), data.ny.gov export 2026-09-28</t>
        </is>
      </c>
      <c r="M463" s="12" t="inlineStr">
        <is>
          <t>https://data.ny.gov/</t>
        </is>
      </c>
      <c r="N463" s="12" t="inlineStr">
        <is>
          <t>A</t>
        </is>
      </c>
      <c r="O463" s="12" t="inlineStr">
        <is>
          <t>Y</t>
        </is>
      </c>
      <c r="P463" s="12" t="inlineStr">
        <is>
          <t>2026-09-28 (v970, atlas session): bulk ingest per Laurie; fire number NYS-2009-0034; matching 🔥 pin on Natural History.</t>
        </is>
      </c>
      <c r="Q463" s="12" t="inlineStr">
        <is>
          <t>2009-03-27</t>
        </is>
      </c>
      <c r="R463" s="12">
        <f>VALUE(LEFT(Q463,4))</f>
        <v/>
      </c>
      <c r="S463" s="12">
        <f>VALUE(MID(Q463,6,2))</f>
        <v/>
      </c>
      <c r="T463" s="12">
        <f>VALUE(RIGHT(Q463,2))</f>
        <v/>
      </c>
      <c r="U463" s="12" t="inlineStr">
        <is>
          <t>day</t>
        </is>
      </c>
      <c r="V463" s="12" t="inlineStr">
        <is>
          <t>Fire start date (DEC report)</t>
        </is>
      </c>
    </row>
    <row r="464">
      <c r="A464" s="12" t="n">
        <v>509</v>
      </c>
      <c r="B464" s="12" t="inlineStr">
        <is>
          <t>2009-11-18</t>
        </is>
      </c>
      <c r="C464" s="12" t="inlineStr">
        <is>
          <t>2009-11-18</t>
        </is>
      </c>
      <c r="D464" s="12">
        <f>VALUE(LEFT(B464,4))</f>
        <v/>
      </c>
      <c r="E464" s="12">
        <f>INT((D464-1)/100)+1</f>
        <v/>
      </c>
      <c r="F464" s="12" t="inlineStr">
        <is>
          <t>Wildfire</t>
        </is>
      </c>
      <c r="G464" s="12" t="inlineStr">
        <is>
          <t>Keyser Kill Fire — wildfire, 0.5 acres, Fulton (Schoharie Co.)</t>
        </is>
      </c>
      <c r="H464" s="12" t="inlineStr">
        <is>
          <t>Fulton, Schoharie County; State Forest/RF Area — Keyser KIll SF</t>
        </is>
      </c>
      <c r="I464" s="12" t="inlineStr">
        <is>
          <t>0.5 acres; cause Miscellaneous; fuel 8 - Timber - Light Hardwood Litter</t>
        </is>
      </c>
      <c r="J464" s="12" t="inlineStr">
        <is>
          <t>42.50797, -74.39016</t>
        </is>
      </c>
      <c r="K464" s="12" t="inlineStr">
        <is>
          <t>No losses reported</t>
        </is>
      </c>
      <c r="L464" s="12" t="inlineStr">
        <is>
          <t>NYSDEC Forest Ranger Wildland Fire Reporting Database (Beginning 2008), data.ny.gov export 2026-09-28</t>
        </is>
      </c>
      <c r="M464" s="12" t="inlineStr">
        <is>
          <t>https://data.ny.gov/</t>
        </is>
      </c>
      <c r="N464" s="12" t="inlineStr">
        <is>
          <t>A</t>
        </is>
      </c>
      <c r="O464" s="12" t="inlineStr">
        <is>
          <t>Y</t>
        </is>
      </c>
      <c r="P464" s="12" t="inlineStr">
        <is>
          <t>2026-09-28 (v970, atlas session): bulk ingest per Laurie; fire number NYS-2009-0172; matching 🔥 pin on Natural History.</t>
        </is>
      </c>
      <c r="Q464" s="12" t="inlineStr">
        <is>
          <t>2009-11-18</t>
        </is>
      </c>
      <c r="R464" s="12">
        <f>VALUE(LEFT(Q464,4))</f>
        <v/>
      </c>
      <c r="S464" s="12">
        <f>VALUE(MID(Q464,6,2))</f>
        <v/>
      </c>
      <c r="T464" s="12">
        <f>VALUE(RIGHT(Q464,2))</f>
        <v/>
      </c>
      <c r="U464" s="12" t="inlineStr">
        <is>
          <t>day</t>
        </is>
      </c>
      <c r="V464" s="12" t="inlineStr">
        <is>
          <t>Fire start date (DEC report)</t>
        </is>
      </c>
    </row>
    <row r="465">
      <c r="A465" s="12" t="n">
        <v>510</v>
      </c>
      <c r="B465" s="12" t="inlineStr">
        <is>
          <t>2024-03-12</t>
        </is>
      </c>
      <c r="C465" s="12" t="inlineStr">
        <is>
          <t>2024-03-12</t>
        </is>
      </c>
      <c r="D465" s="12">
        <f>VALUE(LEFT(B465,4))</f>
        <v/>
      </c>
      <c r="E465" s="12">
        <f>INT((D465-1)/100)+1</f>
        <v/>
      </c>
      <c r="F465" s="12" t="inlineStr">
        <is>
          <t>Wildfire</t>
        </is>
      </c>
      <c r="G465" s="12" t="inlineStr">
        <is>
          <t>Burr Rd Fire — wildfire, 1.3 acres, Bethel (Sullivan Co.)</t>
        </is>
      </c>
      <c r="H465" s="12" t="inlineStr">
        <is>
          <t>Bethel, Sullivan County; Private Property</t>
        </is>
      </c>
      <c r="I465" s="12" t="inlineStr">
        <is>
          <t>1.3 acres; cause Debris Burning; fuel 2 - Grass - Understory</t>
        </is>
      </c>
      <c r="J465" s="12" t="inlineStr">
        <is>
          <t>41.71646, -74.92164</t>
        </is>
      </c>
      <c r="K465" s="12" t="inlineStr">
        <is>
          <t>No losses reported</t>
        </is>
      </c>
      <c r="L465" s="12" t="inlineStr">
        <is>
          <t>NYSDEC Forest Ranger Wildland Fire Reporting Database (Beginning 2008), data.ny.gov export 2026-09-28</t>
        </is>
      </c>
      <c r="M465" s="12" t="inlineStr">
        <is>
          <t>https://data.ny.gov/</t>
        </is>
      </c>
      <c r="N465" s="12" t="inlineStr">
        <is>
          <t>A</t>
        </is>
      </c>
      <c r="O465" s="12" t="inlineStr">
        <is>
          <t>Y</t>
        </is>
      </c>
      <c r="P465" s="12" t="inlineStr">
        <is>
          <t>2026-09-28 (v970, atlas session): bulk ingest per Laurie; fire number NYS-2024-0019; matching 🔥 pin on Natural History.</t>
        </is>
      </c>
      <c r="Q465" s="12" t="inlineStr">
        <is>
          <t>2024-03-12</t>
        </is>
      </c>
      <c r="R465" s="12">
        <f>VALUE(LEFT(Q465,4))</f>
        <v/>
      </c>
      <c r="S465" s="12">
        <f>VALUE(MID(Q465,6,2))</f>
        <v/>
      </c>
      <c r="T465" s="12">
        <f>VALUE(RIGHT(Q465,2))</f>
        <v/>
      </c>
      <c r="U465" s="12" t="inlineStr">
        <is>
          <t>day</t>
        </is>
      </c>
      <c r="V465" s="12" t="inlineStr">
        <is>
          <t>Fire start date (DEC report)</t>
        </is>
      </c>
    </row>
    <row r="466">
      <c r="A466" s="12" t="n">
        <v>511</v>
      </c>
      <c r="B466" s="12" t="inlineStr">
        <is>
          <t>2008-04-17</t>
        </is>
      </c>
      <c r="C466" s="12" t="inlineStr">
        <is>
          <t>2008-04-17</t>
        </is>
      </c>
      <c r="D466" s="12">
        <f>VALUE(LEFT(B466,4))</f>
        <v/>
      </c>
      <c r="E466" s="12">
        <f>INT((D466-1)/100)+1</f>
        <v/>
      </c>
      <c r="F466" s="12" t="inlineStr">
        <is>
          <t>Wildfire</t>
        </is>
      </c>
      <c r="G466" s="12" t="inlineStr">
        <is>
          <t>Rosa Fire — wildfire, 1 acres, Broome (Schoharie Co.)</t>
        </is>
      </c>
      <c r="H466" s="12" t="inlineStr">
        <is>
          <t>Broome, Schoharie County; Private Property</t>
        </is>
      </c>
      <c r="I466" s="12" t="inlineStr">
        <is>
          <t>1 acres; cause Debris Burning; fuel 1 - Grass - Light</t>
        </is>
      </c>
      <c r="J466" s="12" t="inlineStr">
        <is>
          <t>42.51717, -74.25680</t>
        </is>
      </c>
      <c r="K466" s="12" t="inlineStr">
        <is>
          <t>No losses reported</t>
        </is>
      </c>
      <c r="L466" s="12" t="inlineStr">
        <is>
          <t>NYSDEC Forest Ranger Wildland Fire Reporting Database (Beginning 2008), data.ny.gov export 2026-09-28</t>
        </is>
      </c>
      <c r="M466" s="12" t="inlineStr">
        <is>
          <t>https://data.ny.gov/</t>
        </is>
      </c>
      <c r="N466" s="12" t="inlineStr">
        <is>
          <t>A</t>
        </is>
      </c>
      <c r="O466" s="12" t="inlineStr">
        <is>
          <t>Y</t>
        </is>
      </c>
      <c r="P466" s="12" t="inlineStr">
        <is>
          <t>2026-09-28 (v970, atlas session): bulk ingest per Laurie; fire number NYS-2008-0099; matching 🔥 pin on Natural History.</t>
        </is>
      </c>
      <c r="Q466" s="12" t="inlineStr">
        <is>
          <t>2008-04-17</t>
        </is>
      </c>
      <c r="R466" s="12">
        <f>VALUE(LEFT(Q466,4))</f>
        <v/>
      </c>
      <c r="S466" s="12">
        <f>VALUE(MID(Q466,6,2))</f>
        <v/>
      </c>
      <c r="T466" s="12">
        <f>VALUE(RIGHT(Q466,2))</f>
        <v/>
      </c>
      <c r="U466" s="12" t="inlineStr">
        <is>
          <t>day</t>
        </is>
      </c>
      <c r="V466" s="12" t="inlineStr">
        <is>
          <t>Fire start date (DEC report)</t>
        </is>
      </c>
    </row>
    <row r="467">
      <c r="A467" s="12" t="n">
        <v>512</v>
      </c>
      <c r="B467" s="12" t="inlineStr">
        <is>
          <t>2010-08-06</t>
        </is>
      </c>
      <c r="C467" s="12" t="inlineStr">
        <is>
          <t>2010-08-13</t>
        </is>
      </c>
      <c r="D467" s="12">
        <f>VALUE(LEFT(B467,4))</f>
        <v/>
      </c>
      <c r="E467" s="12">
        <f>INT((D467-1)/100)+1</f>
        <v/>
      </c>
      <c r="F467" s="12" t="inlineStr">
        <is>
          <t>Wildfire</t>
        </is>
      </c>
      <c r="G467" s="12" t="inlineStr">
        <is>
          <t>Morgan Stewart Shelter — wildfire, 1.1 acres, Beekman (Dutchess Co.)</t>
        </is>
      </c>
      <c r="H467" s="12" t="inlineStr">
        <is>
          <t>Beekman, Dutchess County; Other Government — Federal Property</t>
        </is>
      </c>
      <c r="I467" s="12" t="inlineStr">
        <is>
          <t>1.1 acres; cause Smoking; fuel 9 - Timber - Medium Hardwood Litter</t>
        </is>
      </c>
      <c r="J467" s="12" t="inlineStr">
        <is>
          <t>41.56239, -73.69474</t>
        </is>
      </c>
      <c r="K467" s="12" t="inlineStr">
        <is>
          <t>No losses reported</t>
        </is>
      </c>
      <c r="L467" s="12" t="inlineStr">
        <is>
          <t>NYSDEC Forest Ranger Wildland Fire Reporting Database (Beginning 2008), data.ny.gov export 2026-09-28</t>
        </is>
      </c>
      <c r="M467" s="12" t="inlineStr">
        <is>
          <t>https://data.ny.gov/</t>
        </is>
      </c>
      <c r="N467" s="12" t="inlineStr">
        <is>
          <t>A</t>
        </is>
      </c>
      <c r="O467" s="12" t="inlineStr">
        <is>
          <t>Y</t>
        </is>
      </c>
      <c r="P467" s="12" t="inlineStr">
        <is>
          <t>2026-09-28 (v970, atlas session): bulk ingest per Laurie; fire number NYS-2010-0135; matching 🔥 pin on Natural History.</t>
        </is>
      </c>
      <c r="Q467" s="12" t="inlineStr">
        <is>
          <t>2010-08-06</t>
        </is>
      </c>
      <c r="R467" s="12">
        <f>VALUE(LEFT(Q467,4))</f>
        <v/>
      </c>
      <c r="S467" s="12">
        <f>VALUE(MID(Q467,6,2))</f>
        <v/>
      </c>
      <c r="T467" s="12">
        <f>VALUE(RIGHT(Q467,2))</f>
        <v/>
      </c>
      <c r="U467" s="12" t="inlineStr">
        <is>
          <t>day</t>
        </is>
      </c>
      <c r="V467" s="12" t="inlineStr">
        <is>
          <t>Fire start date (DEC report)</t>
        </is>
      </c>
    </row>
    <row r="468">
      <c r="A468" s="12" t="n">
        <v>513</v>
      </c>
      <c r="B468" s="12" t="inlineStr">
        <is>
          <t>2014-05-06</t>
        </is>
      </c>
      <c r="C468" s="12" t="inlineStr">
        <is>
          <t>2014-05-08</t>
        </is>
      </c>
      <c r="D468" s="12">
        <f>VALUE(LEFT(B468,4))</f>
        <v/>
      </c>
      <c r="E468" s="12">
        <f>INT((D468-1)/100)+1</f>
        <v/>
      </c>
      <c r="F468" s="12" t="inlineStr">
        <is>
          <t>Wildfire</t>
        </is>
      </c>
      <c r="G468" s="12" t="inlineStr">
        <is>
          <t>Chapin Rd Fire — wildfire, 27 acres, Lumberland (Sullivan Co.)</t>
        </is>
      </c>
      <c r="H468" s="12" t="inlineStr">
        <is>
          <t>Lumberland, Sullivan County; Wildlife Management Area — Mongaup Valley WMA</t>
        </is>
      </c>
      <c r="I468" s="12" t="inlineStr">
        <is>
          <t>27 acres; cause Smoking; fuel 5 - Brush - Continuous but Light</t>
        </is>
      </c>
      <c r="J468" s="12" t="inlineStr">
        <is>
          <t>41.56270, -74.79218</t>
        </is>
      </c>
      <c r="K468" s="12" t="inlineStr">
        <is>
          <t>No losses reported</t>
        </is>
      </c>
      <c r="L468" s="12" t="inlineStr">
        <is>
          <t>NYSDEC Forest Ranger Wildland Fire Reporting Database (Beginning 2008), data.ny.gov export 2026-09-28</t>
        </is>
      </c>
      <c r="M468" s="12" t="inlineStr">
        <is>
          <t>https://data.ny.gov/</t>
        </is>
      </c>
      <c r="N468" s="12" t="inlineStr">
        <is>
          <t>A</t>
        </is>
      </c>
      <c r="O468" s="12" t="inlineStr">
        <is>
          <t>Y</t>
        </is>
      </c>
      <c r="P468" s="12" t="inlineStr">
        <is>
          <t>2026-09-28 (v970, atlas session): bulk ingest per Laurie; fire number NYS-2014-0078; matching 🔥 pin on Natural History.</t>
        </is>
      </c>
      <c r="Q468" s="12" t="inlineStr">
        <is>
          <t>2014-05-06</t>
        </is>
      </c>
      <c r="R468" s="12">
        <f>VALUE(LEFT(Q468,4))</f>
        <v/>
      </c>
      <c r="S468" s="12">
        <f>VALUE(MID(Q468,6,2))</f>
        <v/>
      </c>
      <c r="T468" s="12">
        <f>VALUE(RIGHT(Q468,2))</f>
        <v/>
      </c>
      <c r="U468" s="12" t="inlineStr">
        <is>
          <t>day</t>
        </is>
      </c>
      <c r="V468" s="12" t="inlineStr">
        <is>
          <t>Fire start date (DEC report)</t>
        </is>
      </c>
    </row>
    <row r="469">
      <c r="A469" s="12" t="n">
        <v>514</v>
      </c>
      <c r="B469" s="12" t="inlineStr">
        <is>
          <t>2013-03-31</t>
        </is>
      </c>
      <c r="C469" s="12" t="inlineStr">
        <is>
          <t>2013-03-31</t>
        </is>
      </c>
      <c r="D469" s="12">
        <f>VALUE(LEFT(B469,4))</f>
        <v/>
      </c>
      <c r="E469" s="12">
        <f>INT((D469-1)/100)+1</f>
        <v/>
      </c>
      <c r="F469" s="12" t="inlineStr">
        <is>
          <t>Wildfire</t>
        </is>
      </c>
      <c r="G469" s="12" t="inlineStr">
        <is>
          <t>Esopus Bend Fire — wildfire, 1.3 acres, Saugerties (Ulster Co.)</t>
        </is>
      </c>
      <c r="H469" s="12" t="inlineStr">
        <is>
          <t>Saugerties, Ulster County; Conservation Easement</t>
        </is>
      </c>
      <c r="I469" s="12" t="inlineStr">
        <is>
          <t>1.3 acres; cause Children; fuel 6 - Brush - Mixed/Regeneration</t>
        </is>
      </c>
      <c r="J469" s="12" t="inlineStr">
        <is>
          <t>42.07017, -73.95691</t>
        </is>
      </c>
      <c r="K469" s="12" t="inlineStr">
        <is>
          <t>No losses reported</t>
        </is>
      </c>
      <c r="L469" s="12" t="inlineStr">
        <is>
          <t>NYSDEC Forest Ranger Wildland Fire Reporting Database (Beginning 2008), data.ny.gov export 2026-09-28</t>
        </is>
      </c>
      <c r="M469" s="12" t="inlineStr">
        <is>
          <t>https://data.ny.gov/</t>
        </is>
      </c>
      <c r="N469" s="12" t="inlineStr">
        <is>
          <t>A</t>
        </is>
      </c>
      <c r="O469" s="12" t="inlineStr">
        <is>
          <t>Y</t>
        </is>
      </c>
      <c r="P469" s="12" t="inlineStr">
        <is>
          <t>2026-09-28 (v970, atlas session): bulk ingest per Laurie; fire number NYS-2013-0008; matching 🔥 pin on Natural History.</t>
        </is>
      </c>
      <c r="Q469" s="12" t="inlineStr">
        <is>
          <t>2013-03-31</t>
        </is>
      </c>
      <c r="R469" s="12">
        <f>VALUE(LEFT(Q469,4))</f>
        <v/>
      </c>
      <c r="S469" s="12">
        <f>VALUE(MID(Q469,6,2))</f>
        <v/>
      </c>
      <c r="T469" s="12">
        <f>VALUE(RIGHT(Q469,2))</f>
        <v/>
      </c>
      <c r="U469" s="12" t="inlineStr">
        <is>
          <t>day</t>
        </is>
      </c>
      <c r="V469" s="12" t="inlineStr">
        <is>
          <t>Fire start date (DEC report)</t>
        </is>
      </c>
    </row>
    <row r="470">
      <c r="A470" s="12" t="n">
        <v>518</v>
      </c>
      <c r="B470" s="12" t="inlineStr">
        <is>
          <t>2009-04-25</t>
        </is>
      </c>
      <c r="C470" s="12" t="inlineStr">
        <is>
          <t>2009-05-01</t>
        </is>
      </c>
      <c r="D470" s="12">
        <f>VALUE(LEFT(B470,4))</f>
        <v/>
      </c>
      <c r="E470" s="12">
        <f>INT((D470-1)/100)+1</f>
        <v/>
      </c>
      <c r="F470" s="12" t="inlineStr">
        <is>
          <t>Wildfire</t>
        </is>
      </c>
      <c r="G470" s="12" t="inlineStr">
        <is>
          <t>Pigeon Brook Rd. — wildfire, 63 acres, Denning (Ulster Co.)</t>
        </is>
      </c>
      <c r="H470" s="12" t="inlineStr">
        <is>
          <t>Denning, Ulster County; Private Property — Sundown Wild Forest</t>
        </is>
      </c>
      <c r="I470" s="12" t="inlineStr">
        <is>
          <t>63 acres; cause Campfire; fuel 9 - Timber - Medium Hardwood Litter</t>
        </is>
      </c>
      <c r="J470" s="12" t="inlineStr">
        <is>
          <t>41.89584, -74.42242</t>
        </is>
      </c>
      <c r="K470" s="12" t="inlineStr">
        <is>
          <t>Other Structures Lost: 2</t>
        </is>
      </c>
      <c r="L470" s="12" t="inlineStr">
        <is>
          <t>NYSDEC Forest Ranger Wildland Fire Reporting Database (Beginning 2008), data.ny.gov export 2026-09-28</t>
        </is>
      </c>
      <c r="M470" s="12" t="inlineStr">
        <is>
          <t>https://data.ny.gov/</t>
        </is>
      </c>
      <c r="N470" s="12" t="inlineStr">
        <is>
          <t>A</t>
        </is>
      </c>
      <c r="O470" s="12" t="inlineStr">
        <is>
          <t>Y</t>
        </is>
      </c>
      <c r="P470" s="12" t="inlineStr">
        <is>
          <t>2026-09-28 (v970, atlas session): bulk ingest per Laurie; fire number NYS-2009-0103; matching 🔥 pin on Natural History.</t>
        </is>
      </c>
      <c r="Q470" s="12" t="inlineStr">
        <is>
          <t>2009-04-25</t>
        </is>
      </c>
      <c r="R470" s="12">
        <f>VALUE(LEFT(Q470,4))</f>
        <v/>
      </c>
      <c r="S470" s="12">
        <f>VALUE(MID(Q470,6,2))</f>
        <v/>
      </c>
      <c r="T470" s="12">
        <f>VALUE(RIGHT(Q470,2))</f>
        <v/>
      </c>
      <c r="U470" s="12" t="inlineStr">
        <is>
          <t>day</t>
        </is>
      </c>
      <c r="V470" s="12" t="inlineStr">
        <is>
          <t>Fire start date (DEC report)</t>
        </is>
      </c>
    </row>
    <row r="471">
      <c r="A471" s="12" t="n">
        <v>519</v>
      </c>
      <c r="B471" s="12" t="inlineStr">
        <is>
          <t>2022-08-27</t>
        </is>
      </c>
      <c r="C471" s="12" t="inlineStr">
        <is>
          <t>2022-09-12</t>
        </is>
      </c>
      <c r="D471" s="12">
        <f>VALUE(LEFT(B471,4))</f>
        <v/>
      </c>
      <c r="E471" s="12">
        <f>INT((D471-1)/100)+1</f>
        <v/>
      </c>
      <c r="F471" s="12" t="inlineStr">
        <is>
          <t>Wildfire</t>
        </is>
      </c>
      <c r="G471" s="12" t="inlineStr">
        <is>
          <t>Naponoch Point Fire — wildfire, 150 acres, Wawarsing (Ulster Co.)</t>
        </is>
      </c>
      <c r="H471" s="12" t="inlineStr">
        <is>
          <t>Wawarsing, Ulster County; OPR&amp;HP (State Parks) — Minnewaska SP/Witch's Hole SF</t>
        </is>
      </c>
      <c r="I471" s="12" t="inlineStr">
        <is>
          <t>150 acres; cause Lightning; fuel 4 - Brush - Heavy/Volatile</t>
        </is>
      </c>
      <c r="J471" s="12" t="inlineStr">
        <is>
          <t>41.72151, -74.35891</t>
        </is>
      </c>
      <c r="K471" s="12" t="inlineStr">
        <is>
          <t>No losses reported</t>
        </is>
      </c>
      <c r="L471" s="12" t="inlineStr">
        <is>
          <t>NYSDEC Forest Ranger Wildland Fire Reporting Database (Beginning 2008), data.ny.gov export 2026-09-28</t>
        </is>
      </c>
      <c r="M471" s="12" t="inlineStr">
        <is>
          <t>https://data.ny.gov/</t>
        </is>
      </c>
      <c r="N471" s="12" t="inlineStr">
        <is>
          <t>A</t>
        </is>
      </c>
      <c r="O471" s="12" t="inlineStr">
        <is>
          <t>Y</t>
        </is>
      </c>
      <c r="P471" s="12" t="inlineStr">
        <is>
          <t>2026-09-28 (v970, atlas session): bulk ingest per Laurie; fire number NYS-2022-0160; matching 🔥 pin on Natural History.</t>
        </is>
      </c>
      <c r="Q471" s="12" t="inlineStr">
        <is>
          <t>2022-08-27</t>
        </is>
      </c>
      <c r="R471" s="12">
        <f>VALUE(LEFT(Q471,4))</f>
        <v/>
      </c>
      <c r="S471" s="12">
        <f>VALUE(MID(Q471,6,2))</f>
        <v/>
      </c>
      <c r="T471" s="12">
        <f>VALUE(RIGHT(Q471,2))</f>
        <v/>
      </c>
      <c r="U471" s="12" t="inlineStr">
        <is>
          <t>day</t>
        </is>
      </c>
      <c r="V471" s="12" t="inlineStr">
        <is>
          <t>Fire start date (DEC report)</t>
        </is>
      </c>
    </row>
    <row r="472">
      <c r="A472" s="12" t="n">
        <v>520</v>
      </c>
      <c r="B472" s="12" t="inlineStr">
        <is>
          <t>2012-04-08</t>
        </is>
      </c>
      <c r="C472" s="12" t="inlineStr">
        <is>
          <t>2012-04-09</t>
        </is>
      </c>
      <c r="D472" s="12">
        <f>VALUE(LEFT(B472,4))</f>
        <v/>
      </c>
      <c r="E472" s="12">
        <f>INT((D472-1)/100)+1</f>
        <v/>
      </c>
      <c r="F472" s="12" t="inlineStr">
        <is>
          <t>Wildfire</t>
        </is>
      </c>
      <c r="G472" s="12" t="inlineStr">
        <is>
          <t>Pecka Fire — wildfire, 3.4 acres, Conklin (Broome Co.)</t>
        </is>
      </c>
      <c r="H472" s="12" t="inlineStr">
        <is>
          <t>Conklin, Broome County; Private Property</t>
        </is>
      </c>
      <c r="I472" s="12" t="inlineStr">
        <is>
          <t>3.4 acres; cause Children; fuel 9 - Timber - Medium Hardwood Litter</t>
        </is>
      </c>
      <c r="J472" s="12" t="inlineStr">
        <is>
          <t>42.01786, -75.86916</t>
        </is>
      </c>
      <c r="K472" s="12" t="inlineStr">
        <is>
          <t>No losses reported</t>
        </is>
      </c>
      <c r="L472" s="12" t="inlineStr">
        <is>
          <t>NYSDEC Forest Ranger Wildland Fire Reporting Database (Beginning 2008), data.ny.gov export 2026-09-28</t>
        </is>
      </c>
      <c r="M472" s="12" t="inlineStr">
        <is>
          <t>https://data.ny.gov/</t>
        </is>
      </c>
      <c r="N472" s="12" t="inlineStr">
        <is>
          <t>A</t>
        </is>
      </c>
      <c r="O472" s="12" t="inlineStr">
        <is>
          <t>Y</t>
        </is>
      </c>
      <c r="P472" s="12" t="inlineStr">
        <is>
          <t>2026-09-28 (v970, atlas session): bulk ingest per Laurie; fire number NYS-2012-0070; matching 🔥 pin on Natural History.</t>
        </is>
      </c>
      <c r="Q472" s="12" t="inlineStr">
        <is>
          <t>2012-04-08</t>
        </is>
      </c>
      <c r="R472" s="12">
        <f>VALUE(LEFT(Q472,4))</f>
        <v/>
      </c>
      <c r="S472" s="12">
        <f>VALUE(MID(Q472,6,2))</f>
        <v/>
      </c>
      <c r="T472" s="12">
        <f>VALUE(RIGHT(Q472,2))</f>
        <v/>
      </c>
      <c r="U472" s="12" t="inlineStr">
        <is>
          <t>day</t>
        </is>
      </c>
      <c r="V472" s="12" t="inlineStr">
        <is>
          <t>Fire start date (DEC report)</t>
        </is>
      </c>
    </row>
    <row r="473">
      <c r="A473" s="12" t="n">
        <v>521</v>
      </c>
      <c r="B473" s="12" t="inlineStr">
        <is>
          <t>2022-05-09</t>
        </is>
      </c>
      <c r="C473" s="12" t="inlineStr">
        <is>
          <t>2022-05-09</t>
        </is>
      </c>
      <c r="D473" s="12">
        <f>VALUE(LEFT(B473,4))</f>
        <v/>
      </c>
      <c r="E473" s="12">
        <f>INT((D473-1)/100)+1</f>
        <v/>
      </c>
      <c r="F473" s="12" t="inlineStr">
        <is>
          <t>Wildfire</t>
        </is>
      </c>
      <c r="G473" s="12" t="inlineStr">
        <is>
          <t>Brotzman Fire — wildfire, 0.3 acres, Chenango (Broome Co.)</t>
        </is>
      </c>
      <c r="H473" s="12" t="inlineStr">
        <is>
          <t>Chenango, Broome County; Private Property</t>
        </is>
      </c>
      <c r="I473" s="12" t="inlineStr">
        <is>
          <t>0.3 acres; cause Miscellaneous; fuel 8 - Timber - Light Hardwood Litter</t>
        </is>
      </c>
      <c r="J473" s="12" t="inlineStr">
        <is>
          <t>42.22560, -75.89649</t>
        </is>
      </c>
      <c r="K473" s="12" t="inlineStr">
        <is>
          <t>No losses reported</t>
        </is>
      </c>
      <c r="L473" s="12" t="inlineStr">
        <is>
          <t>NYSDEC Forest Ranger Wildland Fire Reporting Database (Beginning 2008), data.ny.gov export 2026-09-28</t>
        </is>
      </c>
      <c r="M473" s="12" t="inlineStr">
        <is>
          <t>https://data.ny.gov/</t>
        </is>
      </c>
      <c r="N473" s="12" t="inlineStr">
        <is>
          <t>A</t>
        </is>
      </c>
      <c r="O473" s="12" t="inlineStr">
        <is>
          <t>Y</t>
        </is>
      </c>
      <c r="P473" s="12" t="inlineStr">
        <is>
          <t>2026-09-28 (v970, atlas session): bulk ingest per Laurie; fire number NYS-2022-0067; matching 🔥 pin on Natural History.</t>
        </is>
      </c>
      <c r="Q473" s="12" t="inlineStr">
        <is>
          <t>2022-05-09</t>
        </is>
      </c>
      <c r="R473" s="12">
        <f>VALUE(LEFT(Q473,4))</f>
        <v/>
      </c>
      <c r="S473" s="12">
        <f>VALUE(MID(Q473,6,2))</f>
        <v/>
      </c>
      <c r="T473" s="12">
        <f>VALUE(RIGHT(Q473,2))</f>
        <v/>
      </c>
      <c r="U473" s="12" t="inlineStr">
        <is>
          <t>day</t>
        </is>
      </c>
      <c r="V473" s="12" t="inlineStr">
        <is>
          <t>Fire start date (DEC report)</t>
        </is>
      </c>
    </row>
    <row r="474">
      <c r="A474" s="12" t="n">
        <v>522</v>
      </c>
      <c r="B474" s="12" t="inlineStr">
        <is>
          <t>2017-04-10</t>
        </is>
      </c>
      <c r="C474" s="12" t="inlineStr">
        <is>
          <t>2017-04-10</t>
        </is>
      </c>
      <c r="D474" s="12">
        <f>VALUE(LEFT(B474,4))</f>
        <v/>
      </c>
      <c r="E474" s="12">
        <f>INT((D474-1)/100)+1</f>
        <v/>
      </c>
      <c r="F474" s="12" t="inlineStr">
        <is>
          <t>Wildfire</t>
        </is>
      </c>
      <c r="G474" s="12" t="inlineStr">
        <is>
          <t>Bloomingburg Fire — wildfire, 0.1 acres, Mamakating (Sullivan Co.)</t>
        </is>
      </c>
      <c r="H474" s="12" t="inlineStr">
        <is>
          <t>Mamakating, Sullivan County; Private Property</t>
        </is>
      </c>
      <c r="I474" s="12" t="inlineStr">
        <is>
          <t>0.1 acres; cause Debris Burning; fuel 1 - Grass - Light</t>
        </is>
      </c>
      <c r="J474" s="12" t="inlineStr">
        <is>
          <t>41.53409, -74.45753</t>
        </is>
      </c>
      <c r="K474" s="12" t="inlineStr">
        <is>
          <t>No losses reported</t>
        </is>
      </c>
      <c r="L474" s="12" t="inlineStr">
        <is>
          <t>NYSDEC Forest Ranger Wildland Fire Reporting Database (Beginning 2008), data.ny.gov export 2026-09-28</t>
        </is>
      </c>
      <c r="M474" s="12" t="inlineStr">
        <is>
          <t>https://data.ny.gov/</t>
        </is>
      </c>
      <c r="N474" s="12" t="inlineStr">
        <is>
          <t>A</t>
        </is>
      </c>
      <c r="O474" s="12" t="inlineStr">
        <is>
          <t>Y</t>
        </is>
      </c>
      <c r="P474" s="12" t="inlineStr">
        <is>
          <t>2026-09-28 (v970, atlas session): bulk ingest per Laurie; fire number NYS-2017-0017; matching 🔥 pin on Natural History.</t>
        </is>
      </c>
      <c r="Q474" s="12" t="inlineStr">
        <is>
          <t>2017-04-10</t>
        </is>
      </c>
      <c r="R474" s="12">
        <f>VALUE(LEFT(Q474,4))</f>
        <v/>
      </c>
      <c r="S474" s="12">
        <f>VALUE(MID(Q474,6,2))</f>
        <v/>
      </c>
      <c r="T474" s="12">
        <f>VALUE(RIGHT(Q474,2))</f>
        <v/>
      </c>
      <c r="U474" s="12" t="inlineStr">
        <is>
          <t>day</t>
        </is>
      </c>
      <c r="V474" s="12" t="inlineStr">
        <is>
          <t>Fire start date (DEC report)</t>
        </is>
      </c>
    </row>
    <row r="475">
      <c r="A475" s="12" t="n">
        <v>525</v>
      </c>
      <c r="B475" s="12" t="inlineStr">
        <is>
          <t>2023-04-10</t>
        </is>
      </c>
      <c r="C475" s="12" t="inlineStr">
        <is>
          <t>2023-04-15</t>
        </is>
      </c>
      <c r="D475" s="12">
        <f>VALUE(LEFT(B475,4))</f>
        <v/>
      </c>
      <c r="E475" s="12">
        <f>INT((D475-1)/100)+1</f>
        <v/>
      </c>
      <c r="F475" s="12" t="inlineStr">
        <is>
          <t>Wildfire</t>
        </is>
      </c>
      <c r="G475" s="12" t="inlineStr">
        <is>
          <t>Hargrave Fire — wildfire, 10 acres, Windsor (Broome Co.)</t>
        </is>
      </c>
      <c r="H475" s="12" t="inlineStr">
        <is>
          <t>Windsor, Broome County; Private Property</t>
        </is>
      </c>
      <c r="I475" s="12" t="inlineStr">
        <is>
          <t>10 acres; cause Equipment; fuel 9 - Timber - Medium Hardwood Litter</t>
        </is>
      </c>
      <c r="J475" s="12" t="inlineStr">
        <is>
          <t>42.02309, -75.67934</t>
        </is>
      </c>
      <c r="K475" s="12" t="inlineStr">
        <is>
          <t>No losses reported</t>
        </is>
      </c>
      <c r="L475" s="12" t="inlineStr">
        <is>
          <t>NYSDEC Forest Ranger Wildland Fire Reporting Database (Beginning 2008), data.ny.gov export 2026-09-28</t>
        </is>
      </c>
      <c r="M475" s="12" t="inlineStr">
        <is>
          <t>https://data.ny.gov/</t>
        </is>
      </c>
      <c r="N475" s="12" t="inlineStr">
        <is>
          <t>A</t>
        </is>
      </c>
      <c r="O475" s="12" t="inlineStr">
        <is>
          <t>Y</t>
        </is>
      </c>
      <c r="P475" s="12" t="inlineStr">
        <is>
          <t>2026-09-28 (v970, atlas session): bulk ingest per Laurie; fire number NYS-2023-0033; matching 🔥 pin on Natural History.</t>
        </is>
      </c>
      <c r="Q475" s="12" t="inlineStr">
        <is>
          <t>2023-04-10</t>
        </is>
      </c>
      <c r="R475" s="12">
        <f>VALUE(LEFT(Q475,4))</f>
        <v/>
      </c>
      <c r="S475" s="12">
        <f>VALUE(MID(Q475,6,2))</f>
        <v/>
      </c>
      <c r="T475" s="12">
        <f>VALUE(RIGHT(Q475,2))</f>
        <v/>
      </c>
      <c r="U475" s="12" t="inlineStr">
        <is>
          <t>day</t>
        </is>
      </c>
      <c r="V475" s="12" t="inlineStr">
        <is>
          <t>Fire start date (DEC report)</t>
        </is>
      </c>
    </row>
    <row r="476">
      <c r="A476" s="12" t="n">
        <v>527</v>
      </c>
      <c r="B476" s="12" t="inlineStr">
        <is>
          <t>2010-04-14</t>
        </is>
      </c>
      <c r="C476" s="12" t="inlineStr">
        <is>
          <t>2010-04-15</t>
        </is>
      </c>
      <c r="D476" s="12">
        <f>VALUE(LEFT(B476,4))</f>
        <v/>
      </c>
      <c r="E476" s="12">
        <f>INT((D476-1)/100)+1</f>
        <v/>
      </c>
      <c r="F476" s="12" t="inlineStr">
        <is>
          <t>Wildfire</t>
        </is>
      </c>
      <c r="G476" s="12" t="inlineStr">
        <is>
          <t>Tinkley Hollow — wildfire, 1 acres, Middleburgh (Schoharie Co.)</t>
        </is>
      </c>
      <c r="H476" s="12" t="inlineStr">
        <is>
          <t>Middleburgh, Schoharie County; Private Property</t>
        </is>
      </c>
      <c r="I476" s="12" t="inlineStr">
        <is>
          <t>1 acres; cause Incendiary; fuel 9 - Timber - Medium Hardwood Litter</t>
        </is>
      </c>
      <c r="J476" s="12" t="inlineStr">
        <is>
          <t>42.62834, -74.41224</t>
        </is>
      </c>
      <c r="K476" s="12" t="inlineStr">
        <is>
          <t>No losses reported</t>
        </is>
      </c>
      <c r="L476" s="12" t="inlineStr">
        <is>
          <t>NYSDEC Forest Ranger Wildland Fire Reporting Database (Beginning 2008), data.ny.gov export 2026-09-28</t>
        </is>
      </c>
      <c r="M476" s="12" t="inlineStr">
        <is>
          <t>https://data.ny.gov/</t>
        </is>
      </c>
      <c r="N476" s="12" t="inlineStr">
        <is>
          <t>A</t>
        </is>
      </c>
      <c r="O476" s="12" t="inlineStr">
        <is>
          <t>Y</t>
        </is>
      </c>
      <c r="P476" s="12" t="inlineStr">
        <is>
          <t>2026-09-28 (v970, atlas session): bulk ingest per Laurie; fire number NYS-2010-0064; matching 🔥 pin on Natural History.</t>
        </is>
      </c>
      <c r="Q476" s="12" t="inlineStr">
        <is>
          <t>2010-04-14</t>
        </is>
      </c>
      <c r="R476" s="12">
        <f>VALUE(LEFT(Q476,4))</f>
        <v/>
      </c>
      <c r="S476" s="12">
        <f>VALUE(MID(Q476,6,2))</f>
        <v/>
      </c>
      <c r="T476" s="12">
        <f>VALUE(RIGHT(Q476,2))</f>
        <v/>
      </c>
      <c r="U476" s="12" t="inlineStr">
        <is>
          <t>day</t>
        </is>
      </c>
      <c r="V476" s="12" t="inlineStr">
        <is>
          <t>Fire start date (DEC report)</t>
        </is>
      </c>
    </row>
    <row r="477">
      <c r="A477" s="12" t="n">
        <v>528</v>
      </c>
      <c r="B477" s="12" t="inlineStr">
        <is>
          <t>2014-04-21</t>
        </is>
      </c>
      <c r="C477" s="12" t="inlineStr">
        <is>
          <t>2014-04-21</t>
        </is>
      </c>
      <c r="D477" s="12">
        <f>VALUE(LEFT(B477,4))</f>
        <v/>
      </c>
      <c r="E477" s="12">
        <f>INT((D477-1)/100)+1</f>
        <v/>
      </c>
      <c r="F477" s="12" t="inlineStr">
        <is>
          <t>Wildfire</t>
        </is>
      </c>
      <c r="G477" s="12" t="inlineStr">
        <is>
          <t>Madison Ext. Yellow Trail #2 — wildfire, 1.2 acres, Guilderland (Albany Co.)</t>
        </is>
      </c>
      <c r="H477" s="12" t="inlineStr">
        <is>
          <t>Guilderland, Albany County; Forest Preserve</t>
        </is>
      </c>
      <c r="I477" s="12" t="inlineStr">
        <is>
          <t>1.2 acres; cause Incendiary; fuel 2 - Grass - Understory</t>
        </is>
      </c>
      <c r="J477" s="12" t="inlineStr">
        <is>
          <t>42.71858, -73.87883</t>
        </is>
      </c>
      <c r="K477" s="12" t="inlineStr">
        <is>
          <t>No losses reported</t>
        </is>
      </c>
      <c r="L477" s="12" t="inlineStr">
        <is>
          <t>NYSDEC Forest Ranger Wildland Fire Reporting Database (Beginning 2008), data.ny.gov export 2026-09-28</t>
        </is>
      </c>
      <c r="M477" s="12" t="inlineStr">
        <is>
          <t>https://data.ny.gov/</t>
        </is>
      </c>
      <c r="N477" s="12" t="inlineStr">
        <is>
          <t>A</t>
        </is>
      </c>
      <c r="O477" s="12" t="inlineStr">
        <is>
          <t>Y</t>
        </is>
      </c>
      <c r="P477" s="12" t="inlineStr">
        <is>
          <t>2026-09-28 (v970, atlas session): bulk ingest per Laurie; fire number NYS-2014-0085; matching 🔥 pin on Natural History.</t>
        </is>
      </c>
      <c r="Q477" s="12" t="inlineStr">
        <is>
          <t>2014-04-21</t>
        </is>
      </c>
      <c r="R477" s="12">
        <f>VALUE(LEFT(Q477,4))</f>
        <v/>
      </c>
      <c r="S477" s="12">
        <f>VALUE(MID(Q477,6,2))</f>
        <v/>
      </c>
      <c r="T477" s="12">
        <f>VALUE(RIGHT(Q477,2))</f>
        <v/>
      </c>
      <c r="U477" s="12" t="inlineStr">
        <is>
          <t>day</t>
        </is>
      </c>
      <c r="V477" s="12" t="inlineStr">
        <is>
          <t>Fire start date (DEC report)</t>
        </is>
      </c>
    </row>
    <row r="478">
      <c r="A478" s="12" t="n">
        <v>529</v>
      </c>
      <c r="B478" s="12" t="inlineStr">
        <is>
          <t>2022-09-03</t>
        </is>
      </c>
      <c r="C478" s="12" t="inlineStr">
        <is>
          <t>2022-09-08</t>
        </is>
      </c>
      <c r="D478" s="12">
        <f>VALUE(LEFT(B478,4))</f>
        <v/>
      </c>
      <c r="E478" s="12">
        <f>INT((D478-1)/100)+1</f>
        <v/>
      </c>
      <c r="F478" s="12" t="inlineStr">
        <is>
          <t>Wildfire</t>
        </is>
      </c>
      <c r="G478" s="12" t="inlineStr">
        <is>
          <t>South Brace — wildfire, 0.3 acres, Northeast (Dutchess Co.)</t>
        </is>
      </c>
      <c r="H478" s="12" t="inlineStr">
        <is>
          <t>Northeast, Dutchess County; OPR&amp;HP (State Parks) — Taconic State Park</t>
        </is>
      </c>
      <c r="I478" s="12" t="inlineStr">
        <is>
          <t>0.3 acres; cause Lightning; fuel 8 - Timber - Light Hardwood Litter</t>
        </is>
      </c>
      <c r="J478" s="12" t="inlineStr">
        <is>
          <t>42.03632, -73.49462</t>
        </is>
      </c>
      <c r="K478" s="12" t="inlineStr">
        <is>
          <t>No losses reported</t>
        </is>
      </c>
      <c r="L478" s="12" t="inlineStr">
        <is>
          <t>NYSDEC Forest Ranger Wildland Fire Reporting Database (Beginning 2008), data.ny.gov export 2026-09-28</t>
        </is>
      </c>
      <c r="M478" s="12" t="inlineStr">
        <is>
          <t>https://data.ny.gov/</t>
        </is>
      </c>
      <c r="N478" s="12" t="inlineStr">
        <is>
          <t>A</t>
        </is>
      </c>
      <c r="O478" s="12" t="inlineStr">
        <is>
          <t>Y</t>
        </is>
      </c>
      <c r="P478" s="12" t="inlineStr">
        <is>
          <t>2026-09-28 (v970, atlas session): bulk ingest per Laurie; fire number NYS-2022-0165; matching 🔥 pin on Natural History.</t>
        </is>
      </c>
      <c r="Q478" s="12" t="inlineStr">
        <is>
          <t>2022-09-03</t>
        </is>
      </c>
      <c r="R478" s="12">
        <f>VALUE(LEFT(Q478,4))</f>
        <v/>
      </c>
      <c r="S478" s="12">
        <f>VALUE(MID(Q478,6,2))</f>
        <v/>
      </c>
      <c r="T478" s="12">
        <f>VALUE(RIGHT(Q478,2))</f>
        <v/>
      </c>
      <c r="U478" s="12" t="inlineStr">
        <is>
          <t>day</t>
        </is>
      </c>
      <c r="V478" s="12" t="inlineStr">
        <is>
          <t>Fire start date (DEC report)</t>
        </is>
      </c>
    </row>
    <row r="479">
      <c r="A479" s="12" t="n">
        <v>531</v>
      </c>
      <c r="B479" s="12" t="inlineStr">
        <is>
          <t>2017-03-02</t>
        </is>
      </c>
      <c r="C479" s="12" t="inlineStr">
        <is>
          <t>2017-03-03</t>
        </is>
      </c>
      <c r="D479" s="12">
        <f>VALUE(LEFT(B479,4))</f>
        <v/>
      </c>
      <c r="E479" s="12">
        <f>INT((D479-1)/100)+1</f>
        <v/>
      </c>
      <c r="F479" s="12" t="inlineStr">
        <is>
          <t>Wildfire</t>
        </is>
      </c>
      <c r="G479" s="12" t="inlineStr">
        <is>
          <t>Rosa Fire — wildfire, 0.8 acres, Lloyd (Ulster Co.)</t>
        </is>
      </c>
      <c r="H479" s="12" t="inlineStr">
        <is>
          <t>Lloyd, Ulster County; Other Government</t>
        </is>
      </c>
      <c r="I479" s="12" t="inlineStr">
        <is>
          <t>0.8 acres; cause Debris Burning; fuel 9 - Timber - Medium Hardwood Litter</t>
        </is>
      </c>
      <c r="J479" s="12" t="inlineStr">
        <is>
          <t>41.72516, -73.98017</t>
        </is>
      </c>
      <c r="K479" s="12" t="inlineStr">
        <is>
          <t>No losses reported</t>
        </is>
      </c>
      <c r="L479" s="12" t="inlineStr">
        <is>
          <t>NYSDEC Forest Ranger Wildland Fire Reporting Database (Beginning 2008), data.ny.gov export 2026-09-28</t>
        </is>
      </c>
      <c r="M479" s="12" t="inlineStr">
        <is>
          <t>https://data.ny.gov/</t>
        </is>
      </c>
      <c r="N479" s="12" t="inlineStr">
        <is>
          <t>A</t>
        </is>
      </c>
      <c r="O479" s="12" t="inlineStr">
        <is>
          <t>Y</t>
        </is>
      </c>
      <c r="P479" s="12" t="inlineStr">
        <is>
          <t>2026-09-28 (v970, atlas session): bulk ingest per Laurie; fire number NYS-2017-0002; matching 🔥 pin on Natural History.</t>
        </is>
      </c>
      <c r="Q479" s="12" t="inlineStr">
        <is>
          <t>2017-03-02</t>
        </is>
      </c>
      <c r="R479" s="12">
        <f>VALUE(LEFT(Q479,4))</f>
        <v/>
      </c>
      <c r="S479" s="12">
        <f>VALUE(MID(Q479,6,2))</f>
        <v/>
      </c>
      <c r="T479" s="12">
        <f>VALUE(RIGHT(Q479,2))</f>
        <v/>
      </c>
      <c r="U479" s="12" t="inlineStr">
        <is>
          <t>day</t>
        </is>
      </c>
      <c r="V479" s="12" t="inlineStr">
        <is>
          <t>Fire start date (DEC report)</t>
        </is>
      </c>
    </row>
    <row r="480">
      <c r="A480" s="12" t="n">
        <v>533</v>
      </c>
      <c r="B480" s="12" t="inlineStr">
        <is>
          <t>2015-04-28</t>
        </is>
      </c>
      <c r="C480" s="12" t="inlineStr">
        <is>
          <t>2015-04-28</t>
        </is>
      </c>
      <c r="D480" s="12">
        <f>VALUE(LEFT(B480,4))</f>
        <v/>
      </c>
      <c r="E480" s="12">
        <f>INT((D480-1)/100)+1</f>
        <v/>
      </c>
      <c r="F480" s="12" t="inlineStr">
        <is>
          <t>Wildfire</t>
        </is>
      </c>
      <c r="G480" s="12" t="inlineStr">
        <is>
          <t>SwisshillRdN — wildfire, 0.3 acres, Delaware (Sullivan Co.)</t>
        </is>
      </c>
      <c r="H480" s="12" t="inlineStr">
        <is>
          <t>Delaware, Sullivan County; Private Property</t>
        </is>
      </c>
      <c r="I480" s="12" t="inlineStr">
        <is>
          <t>0.3 acres; cause Power line; fuel 2 - Grass - Understory</t>
        </is>
      </c>
      <c r="J480" s="12" t="inlineStr">
        <is>
          <t>41.74358, -74.94526</t>
        </is>
      </c>
      <c r="K480" s="12" t="inlineStr">
        <is>
          <t>No losses reported</t>
        </is>
      </c>
      <c r="L480" s="12" t="inlineStr">
        <is>
          <t>NYSDEC Forest Ranger Wildland Fire Reporting Database (Beginning 2008), data.ny.gov export 2026-09-28</t>
        </is>
      </c>
      <c r="M480" s="12" t="inlineStr">
        <is>
          <t>https://data.ny.gov/</t>
        </is>
      </c>
      <c r="N480" s="12" t="inlineStr">
        <is>
          <t>A</t>
        </is>
      </c>
      <c r="O480" s="12" t="inlineStr">
        <is>
          <t>Y</t>
        </is>
      </c>
      <c r="P480" s="12" t="inlineStr">
        <is>
          <t>2026-09-28 (v970, atlas session): bulk ingest per Laurie; fire number NYS-2015-0058; matching 🔥 pin on Natural History.</t>
        </is>
      </c>
      <c r="Q480" s="12" t="inlineStr">
        <is>
          <t>2015-04-28</t>
        </is>
      </c>
      <c r="R480" s="12">
        <f>VALUE(LEFT(Q480,4))</f>
        <v/>
      </c>
      <c r="S480" s="12">
        <f>VALUE(MID(Q480,6,2))</f>
        <v/>
      </c>
      <c r="T480" s="12">
        <f>VALUE(RIGHT(Q480,2))</f>
        <v/>
      </c>
      <c r="U480" s="12" t="inlineStr">
        <is>
          <t>day</t>
        </is>
      </c>
      <c r="V480" s="12" t="inlineStr">
        <is>
          <t>Fire start date (DEC report)</t>
        </is>
      </c>
    </row>
    <row r="481">
      <c r="A481" s="12" t="n">
        <v>534</v>
      </c>
      <c r="B481" s="12" t="inlineStr">
        <is>
          <t>2022-04-15</t>
        </is>
      </c>
      <c r="C481" s="12" t="inlineStr">
        <is>
          <t>2022-04-16</t>
        </is>
      </c>
      <c r="D481" s="12">
        <f>VALUE(LEFT(B481,4))</f>
        <v/>
      </c>
      <c r="E481" s="12">
        <f>INT((D481-1)/100)+1</f>
        <v/>
      </c>
      <c r="F481" s="12" t="inlineStr">
        <is>
          <t>Wildfire</t>
        </is>
      </c>
      <c r="G481" s="12" t="inlineStr">
        <is>
          <t>Wawarsing Fire — wildfire, 12 acres, Wawarsing (Ulster Co.)</t>
        </is>
      </c>
      <c r="H481" s="12" t="inlineStr">
        <is>
          <t>Wawarsing, Ulster County; Private Property</t>
        </is>
      </c>
      <c r="I481" s="12" t="inlineStr">
        <is>
          <t>12 acres; cause Smoking; fuel 8 - Timber - Light Hardwood Litter</t>
        </is>
      </c>
      <c r="J481" s="12" t="inlineStr">
        <is>
          <t>41.75519, -74.34319</t>
        </is>
      </c>
      <c r="K481" s="12" t="inlineStr">
        <is>
          <t>No losses reported</t>
        </is>
      </c>
      <c r="L481" s="12" t="inlineStr">
        <is>
          <t>NYSDEC Forest Ranger Wildland Fire Reporting Database (Beginning 2008), data.ny.gov export 2026-09-28</t>
        </is>
      </c>
      <c r="M481" s="12" t="inlineStr">
        <is>
          <t>https://data.ny.gov/</t>
        </is>
      </c>
      <c r="N481" s="12" t="inlineStr">
        <is>
          <t>A</t>
        </is>
      </c>
      <c r="O481" s="12" t="inlineStr">
        <is>
          <t>Y</t>
        </is>
      </c>
      <c r="P481" s="12" t="inlineStr">
        <is>
          <t>2026-09-28 (v970, atlas session): bulk ingest per Laurie; fire number NYS-2022-0030; matching 🔥 pin on Natural History.</t>
        </is>
      </c>
      <c r="Q481" s="12" t="inlineStr">
        <is>
          <t>2022-04-15</t>
        </is>
      </c>
      <c r="R481" s="12">
        <f>VALUE(LEFT(Q481,4))</f>
        <v/>
      </c>
      <c r="S481" s="12">
        <f>VALUE(MID(Q481,6,2))</f>
        <v/>
      </c>
      <c r="T481" s="12">
        <f>VALUE(RIGHT(Q481,2))</f>
        <v/>
      </c>
      <c r="U481" s="12" t="inlineStr">
        <is>
          <t>day</t>
        </is>
      </c>
      <c r="V481" s="12" t="inlineStr">
        <is>
          <t>Fire start date (DEC report)</t>
        </is>
      </c>
    </row>
    <row r="482">
      <c r="A482" s="12" t="n">
        <v>535</v>
      </c>
      <c r="B482" s="12" t="inlineStr">
        <is>
          <t>2010-09-18</t>
        </is>
      </c>
      <c r="C482" s="12" t="inlineStr">
        <is>
          <t>2010-09-19</t>
        </is>
      </c>
      <c r="D482" s="12">
        <f>VALUE(LEFT(B482,4))</f>
        <v/>
      </c>
      <c r="E482" s="12">
        <f>INT((D482-1)/100)+1</f>
        <v/>
      </c>
      <c r="F482" s="12" t="inlineStr">
        <is>
          <t>Wildfire</t>
        </is>
      </c>
      <c r="G482" s="12" t="inlineStr">
        <is>
          <t>Wittenberg Fire — wildfire, 0.1 acres, Shandaken (Ulster Co.)</t>
        </is>
      </c>
      <c r="H482" s="12" t="inlineStr">
        <is>
          <t>Shandaken, Ulster County; Forest Preserve — Slide Mountain WA</t>
        </is>
      </c>
      <c r="I482" s="12" t="inlineStr">
        <is>
          <t>0.1 acres; cause Campfire; fuel 8 - Timber - Light Hardwood Litter</t>
        </is>
      </c>
      <c r="J482" s="12" t="inlineStr">
        <is>
          <t>42.02684, -74.35792</t>
        </is>
      </c>
      <c r="K482" s="12" t="inlineStr">
        <is>
          <t>No losses reported</t>
        </is>
      </c>
      <c r="L482" s="12" t="inlineStr">
        <is>
          <t>NYSDEC Forest Ranger Wildland Fire Reporting Database (Beginning 2008), data.ny.gov export 2026-09-28</t>
        </is>
      </c>
      <c r="M482" s="12" t="inlineStr">
        <is>
          <t>https://data.ny.gov/</t>
        </is>
      </c>
      <c r="N482" s="12" t="inlineStr">
        <is>
          <t>A</t>
        </is>
      </c>
      <c r="O482" s="12" t="inlineStr">
        <is>
          <t>Y</t>
        </is>
      </c>
      <c r="P482" s="12" t="inlineStr">
        <is>
          <t>2026-09-28 (v970, atlas session): bulk ingest per Laurie; fire number NYS-2010-0164; matching 🔥 pin on Natural History.</t>
        </is>
      </c>
      <c r="Q482" s="12" t="inlineStr">
        <is>
          <t>2010-09-18</t>
        </is>
      </c>
      <c r="R482" s="12">
        <f>VALUE(LEFT(Q482,4))</f>
        <v/>
      </c>
      <c r="S482" s="12">
        <f>VALUE(MID(Q482,6,2))</f>
        <v/>
      </c>
      <c r="T482" s="12">
        <f>VALUE(RIGHT(Q482,2))</f>
        <v/>
      </c>
      <c r="U482" s="12" t="inlineStr">
        <is>
          <t>day</t>
        </is>
      </c>
      <c r="V482" s="12" t="inlineStr">
        <is>
          <t>Fire start date (DEC report)</t>
        </is>
      </c>
    </row>
    <row r="483">
      <c r="A483" s="12" t="n">
        <v>536</v>
      </c>
      <c r="B483" s="12" t="inlineStr">
        <is>
          <t>2022-05-11</t>
        </is>
      </c>
      <c r="C483" s="12" t="inlineStr">
        <is>
          <t>2022-05-11</t>
        </is>
      </c>
      <c r="D483" s="12">
        <f>VALUE(LEFT(B483,4))</f>
        <v/>
      </c>
      <c r="E483" s="12">
        <f>INT((D483-1)/100)+1</f>
        <v/>
      </c>
      <c r="F483" s="12" t="inlineStr">
        <is>
          <t>Wildfire</t>
        </is>
      </c>
      <c r="G483" s="12" t="inlineStr">
        <is>
          <t>Sowden St. — wildfire, 1 acres, Dickinson (Broome Co.)</t>
        </is>
      </c>
      <c r="H483" s="12" t="inlineStr">
        <is>
          <t>Dickinson, Broome County; Other Government</t>
        </is>
      </c>
      <c r="I483" s="12" t="inlineStr">
        <is>
          <t>1 acres; cause Campfire; fuel 9 - Timber - Medium Hardwood Litter</t>
        </is>
      </c>
      <c r="J483" s="12" t="inlineStr">
        <is>
          <t>42.11879, -75.93212</t>
        </is>
      </c>
      <c r="K483" s="12" t="inlineStr">
        <is>
          <t>No losses reported</t>
        </is>
      </c>
      <c r="L483" s="12" t="inlineStr">
        <is>
          <t>NYSDEC Forest Ranger Wildland Fire Reporting Database (Beginning 2008), data.ny.gov export 2026-09-28</t>
        </is>
      </c>
      <c r="M483" s="12" t="inlineStr">
        <is>
          <t>https://data.ny.gov/</t>
        </is>
      </c>
      <c r="N483" s="12" t="inlineStr">
        <is>
          <t>A</t>
        </is>
      </c>
      <c r="O483" s="12" t="inlineStr">
        <is>
          <t>Y</t>
        </is>
      </c>
      <c r="P483" s="12" t="inlineStr">
        <is>
          <t>2026-09-28 (v970, atlas session): bulk ingest per Laurie; fire number NYS-2022-0082; matching 🔥 pin on Natural History.</t>
        </is>
      </c>
      <c r="Q483" s="12" t="inlineStr">
        <is>
          <t>2022-05-11</t>
        </is>
      </c>
      <c r="R483" s="12">
        <f>VALUE(LEFT(Q483,4))</f>
        <v/>
      </c>
      <c r="S483" s="12">
        <f>VALUE(MID(Q483,6,2))</f>
        <v/>
      </c>
      <c r="T483" s="12">
        <f>VALUE(RIGHT(Q483,2))</f>
        <v/>
      </c>
      <c r="U483" s="12" t="inlineStr">
        <is>
          <t>day</t>
        </is>
      </c>
      <c r="V483" s="12" t="inlineStr">
        <is>
          <t>Fire start date (DEC report)</t>
        </is>
      </c>
    </row>
    <row r="484">
      <c r="A484" s="12" t="n">
        <v>537</v>
      </c>
      <c r="B484" s="12" t="inlineStr">
        <is>
          <t>2009-03-25</t>
        </is>
      </c>
      <c r="C484" s="12" t="inlineStr">
        <is>
          <t>2009-03-26</t>
        </is>
      </c>
      <c r="D484" s="12">
        <f>VALUE(LEFT(B484,4))</f>
        <v/>
      </c>
      <c r="E484" s="12">
        <f>INT((D484-1)/100)+1</f>
        <v/>
      </c>
      <c r="F484" s="12" t="inlineStr">
        <is>
          <t>Wildfire</t>
        </is>
      </c>
      <c r="G484" s="12" t="inlineStr">
        <is>
          <t>Arnold Fire — wildfire, 25 acres, Lisle (Broome Co.)</t>
        </is>
      </c>
      <c r="H484" s="12" t="inlineStr">
        <is>
          <t>Lisle, Broome County; Private Property</t>
        </is>
      </c>
      <c r="I484" s="12" t="inlineStr">
        <is>
          <t>25 acres; cause Debris Burning; fuel 1 - Grass - Light</t>
        </is>
      </c>
      <c r="J484" s="12" t="inlineStr">
        <is>
          <t>42.31314, -76.05565</t>
        </is>
      </c>
      <c r="K484" s="12" t="inlineStr">
        <is>
          <t>No losses reported</t>
        </is>
      </c>
      <c r="L484" s="12" t="inlineStr">
        <is>
          <t>NYSDEC Forest Ranger Wildland Fire Reporting Database (Beginning 2008), data.ny.gov export 2026-09-28</t>
        </is>
      </c>
      <c r="M484" s="12" t="inlineStr">
        <is>
          <t>https://data.ny.gov/</t>
        </is>
      </c>
      <c r="N484" s="12" t="inlineStr">
        <is>
          <t>A</t>
        </is>
      </c>
      <c r="O484" s="12" t="inlineStr">
        <is>
          <t>Y</t>
        </is>
      </c>
      <c r="P484" s="12" t="inlineStr">
        <is>
          <t>2026-09-28 (v970, atlas session): bulk ingest per Laurie; fire number NYS-2009-0029; matching 🔥 pin on Natural History.</t>
        </is>
      </c>
      <c r="Q484" s="12" t="inlineStr">
        <is>
          <t>2009-03-25</t>
        </is>
      </c>
      <c r="R484" s="12">
        <f>VALUE(LEFT(Q484,4))</f>
        <v/>
      </c>
      <c r="S484" s="12">
        <f>VALUE(MID(Q484,6,2))</f>
        <v/>
      </c>
      <c r="T484" s="12">
        <f>VALUE(RIGHT(Q484,2))</f>
        <v/>
      </c>
      <c r="U484" s="12" t="inlineStr">
        <is>
          <t>day</t>
        </is>
      </c>
      <c r="V484" s="12" t="inlineStr">
        <is>
          <t>Fire start date (DEC report)</t>
        </is>
      </c>
    </row>
    <row r="485">
      <c r="A485" s="12" t="n">
        <v>538</v>
      </c>
      <c r="B485" s="12" t="inlineStr">
        <is>
          <t>2009-04-29</t>
        </is>
      </c>
      <c r="C485" s="12" t="inlineStr">
        <is>
          <t>2009-04-30</t>
        </is>
      </c>
      <c r="D485" s="12">
        <f>VALUE(LEFT(B485,4))</f>
        <v/>
      </c>
      <c r="E485" s="12">
        <f>INT((D485-1)/100)+1</f>
        <v/>
      </c>
      <c r="F485" s="12" t="inlineStr">
        <is>
          <t>Wildfire</t>
        </is>
      </c>
      <c r="G485" s="12" t="inlineStr">
        <is>
          <t>Tunnel Hill Fire — wildfire, 1.1 acres, Canaan (Columbia Co.)</t>
        </is>
      </c>
      <c r="H485" s="12" t="inlineStr">
        <is>
          <t>Canaan, Columbia County; Private Property</t>
        </is>
      </c>
      <c r="I485" s="12" t="inlineStr">
        <is>
          <t>1.1 acres; cause Railroad; fuel 8 - Timber - Light Hardwood Litter</t>
        </is>
      </c>
      <c r="J485" s="12" t="inlineStr">
        <is>
          <t>42.37566, -73.43182</t>
        </is>
      </c>
      <c r="K485" s="12" t="inlineStr">
        <is>
          <t>No losses reported</t>
        </is>
      </c>
      <c r="L485" s="12" t="inlineStr">
        <is>
          <t>NYSDEC Forest Ranger Wildland Fire Reporting Database (Beginning 2008), data.ny.gov export 2026-09-28</t>
        </is>
      </c>
      <c r="M485" s="12" t="inlineStr">
        <is>
          <t>https://data.ny.gov/</t>
        </is>
      </c>
      <c r="N485" s="12" t="inlineStr">
        <is>
          <t>A</t>
        </is>
      </c>
      <c r="O485" s="12" t="inlineStr">
        <is>
          <t>Y</t>
        </is>
      </c>
      <c r="P485" s="12" t="inlineStr">
        <is>
          <t>2026-09-28 (v970, atlas session): bulk ingest per Laurie; fire number NYS-2009-0131; matching 🔥 pin on Natural History.</t>
        </is>
      </c>
      <c r="Q485" s="12" t="inlineStr">
        <is>
          <t>2009-04-29</t>
        </is>
      </c>
      <c r="R485" s="12">
        <f>VALUE(LEFT(Q485,4))</f>
        <v/>
      </c>
      <c r="S485" s="12">
        <f>VALUE(MID(Q485,6,2))</f>
        <v/>
      </c>
      <c r="T485" s="12">
        <f>VALUE(RIGHT(Q485,2))</f>
        <v/>
      </c>
      <c r="U485" s="12" t="inlineStr">
        <is>
          <t>day</t>
        </is>
      </c>
      <c r="V485" s="12" t="inlineStr">
        <is>
          <t>Fire start date (DEC report)</t>
        </is>
      </c>
    </row>
    <row r="486">
      <c r="A486" s="12" t="n">
        <v>540</v>
      </c>
      <c r="B486" s="12" t="inlineStr">
        <is>
          <t>2015-04-16</t>
        </is>
      </c>
      <c r="C486" s="12" t="inlineStr">
        <is>
          <t>2015-04-16</t>
        </is>
      </c>
      <c r="D486" s="12">
        <f>VALUE(LEFT(B486,4))</f>
        <v/>
      </c>
      <c r="E486" s="12">
        <f>INT((D486-1)/100)+1</f>
        <v/>
      </c>
      <c r="F486" s="12" t="inlineStr">
        <is>
          <t>Wildfire</t>
        </is>
      </c>
      <c r="G486" s="12" t="inlineStr">
        <is>
          <t>Wurtsboro Fire 5 — wildfire, 0.3 acres, Mamakating (Sullivan Co.)</t>
        </is>
      </c>
      <c r="H486" s="12" t="inlineStr">
        <is>
          <t>Mamakating, Sullivan County; Private Property</t>
        </is>
      </c>
      <c r="I486" s="12" t="inlineStr">
        <is>
          <t>0.3 acres; cause Incendiary; fuel 7 - Brush - Understory</t>
        </is>
      </c>
      <c r="J486" s="12" t="inlineStr">
        <is>
          <t>41.60881, -74.55152</t>
        </is>
      </c>
      <c r="K486" s="12" t="inlineStr">
        <is>
          <t>No losses reported</t>
        </is>
      </c>
      <c r="L486" s="12" t="inlineStr">
        <is>
          <t>NYSDEC Forest Ranger Wildland Fire Reporting Database (Beginning 2008), data.ny.gov export 2026-09-28</t>
        </is>
      </c>
      <c r="M486" s="12" t="inlineStr">
        <is>
          <t>https://data.ny.gov/</t>
        </is>
      </c>
      <c r="N486" s="12" t="inlineStr">
        <is>
          <t>A</t>
        </is>
      </c>
      <c r="O486" s="12" t="inlineStr">
        <is>
          <t>Y</t>
        </is>
      </c>
      <c r="P486" s="12" t="inlineStr">
        <is>
          <t>2026-09-28 (v970, atlas session): bulk ingest per Laurie; fire number NYS-2015-0028; matching 🔥 pin on Natural History.</t>
        </is>
      </c>
      <c r="Q486" s="12" t="inlineStr">
        <is>
          <t>2015-04-16</t>
        </is>
      </c>
      <c r="R486" s="12">
        <f>VALUE(LEFT(Q486,4))</f>
        <v/>
      </c>
      <c r="S486" s="12">
        <f>VALUE(MID(Q486,6,2))</f>
        <v/>
      </c>
      <c r="T486" s="12">
        <f>VALUE(RIGHT(Q486,2))</f>
        <v/>
      </c>
      <c r="U486" s="12" t="inlineStr">
        <is>
          <t>day</t>
        </is>
      </c>
      <c r="V486" s="12" t="inlineStr">
        <is>
          <t>Fire start date (DEC report)</t>
        </is>
      </c>
    </row>
    <row r="487">
      <c r="A487" s="12" t="n">
        <v>541</v>
      </c>
      <c r="B487" s="12" t="inlineStr">
        <is>
          <t>2008-03-24</t>
        </is>
      </c>
      <c r="C487" s="12" t="inlineStr">
        <is>
          <t>2008-03-24</t>
        </is>
      </c>
      <c r="D487" s="12">
        <f>VALUE(LEFT(B487,4))</f>
        <v/>
      </c>
      <c r="E487" s="12">
        <f>INT((D487-1)/100)+1</f>
        <v/>
      </c>
      <c r="F487" s="12" t="inlineStr">
        <is>
          <t>Wildfire</t>
        </is>
      </c>
      <c r="G487" s="12" t="inlineStr">
        <is>
          <t>Brown Fire — wildfire, 1 acres, Schoharie (Schoharie Co.)</t>
        </is>
      </c>
      <c r="H487" s="12" t="inlineStr">
        <is>
          <t>Schoharie, Schoharie County; Private Property</t>
        </is>
      </c>
      <c r="I487" s="12" t="inlineStr">
        <is>
          <t>1 acres; cause Debris Burning; fuel 1 - Grass - Light</t>
        </is>
      </c>
      <c r="J487" s="12" t="inlineStr">
        <is>
          <t>42.69700, -74.25700</t>
        </is>
      </c>
      <c r="K487" s="12" t="inlineStr">
        <is>
          <t>No losses reported</t>
        </is>
      </c>
      <c r="L487" s="12" t="inlineStr">
        <is>
          <t>NYSDEC Forest Ranger Wildland Fire Reporting Database (Beginning 2008), data.ny.gov export 2026-09-28</t>
        </is>
      </c>
      <c r="M487" s="12" t="inlineStr">
        <is>
          <t>https://data.ny.gov/</t>
        </is>
      </c>
      <c r="N487" s="12" t="inlineStr">
        <is>
          <t>A</t>
        </is>
      </c>
      <c r="O487" s="12" t="inlineStr">
        <is>
          <t>Y</t>
        </is>
      </c>
      <c r="P487" s="12" t="inlineStr">
        <is>
          <t>2026-09-28 (v970, atlas session): bulk ingest per Laurie; fire number NYS-2008-0007; matching 🔥 pin on Natural History.</t>
        </is>
      </c>
      <c r="Q487" s="12" t="inlineStr">
        <is>
          <t>2008-03-24</t>
        </is>
      </c>
      <c r="R487" s="12">
        <f>VALUE(LEFT(Q487,4))</f>
        <v/>
      </c>
      <c r="S487" s="12">
        <f>VALUE(MID(Q487,6,2))</f>
        <v/>
      </c>
      <c r="T487" s="12">
        <f>VALUE(RIGHT(Q487,2))</f>
        <v/>
      </c>
      <c r="U487" s="12" t="inlineStr">
        <is>
          <t>day</t>
        </is>
      </c>
      <c r="V487" s="12" t="inlineStr">
        <is>
          <t>Fire start date (DEC report)</t>
        </is>
      </c>
    </row>
    <row r="488">
      <c r="A488" s="12" t="n">
        <v>542</v>
      </c>
      <c r="B488" s="12" t="inlineStr">
        <is>
          <t>2014-04-14</t>
        </is>
      </c>
      <c r="C488" s="12" t="inlineStr">
        <is>
          <t>2014-04-14</t>
        </is>
      </c>
      <c r="D488" s="12">
        <f>VALUE(LEFT(B488,4))</f>
        <v/>
      </c>
      <c r="E488" s="12">
        <f>INT((D488-1)/100)+1</f>
        <v/>
      </c>
      <c r="F488" s="12" t="inlineStr">
        <is>
          <t>Wildfire</t>
        </is>
      </c>
      <c r="G488" s="12" t="inlineStr">
        <is>
          <t>Myers Rd fire — wildfire, 0.2 acres, Cobleskill (Schoharie Co.)</t>
        </is>
      </c>
      <c r="H488" s="12" t="inlineStr">
        <is>
          <t>Cobleskill, Schoharie County; Private Property</t>
        </is>
      </c>
      <c r="I488" s="12" t="inlineStr">
        <is>
          <t>0.2 acres; cause Debris Burning; fuel 1 - Grass - Light</t>
        </is>
      </c>
      <c r="J488" s="12" t="inlineStr">
        <is>
          <t>42.41931, -74.26408</t>
        </is>
      </c>
      <c r="K488" s="12" t="inlineStr">
        <is>
          <t>No losses reported</t>
        </is>
      </c>
      <c r="L488" s="12" t="inlineStr">
        <is>
          <t>NYSDEC Forest Ranger Wildland Fire Reporting Database (Beginning 2008), data.ny.gov export 2026-09-28</t>
        </is>
      </c>
      <c r="M488" s="12" t="inlineStr">
        <is>
          <t>https://data.ny.gov/</t>
        </is>
      </c>
      <c r="N488" s="12" t="inlineStr">
        <is>
          <t>A</t>
        </is>
      </c>
      <c r="O488" s="12" t="inlineStr">
        <is>
          <t>Y</t>
        </is>
      </c>
      <c r="P488" s="12" t="inlineStr">
        <is>
          <t>2026-09-28 (v970, atlas session): bulk ingest per Laurie; fire number NYS-2014-0039; matching 🔥 pin on Natural History.</t>
        </is>
      </c>
      <c r="Q488" s="12" t="inlineStr">
        <is>
          <t>2014-04-14</t>
        </is>
      </c>
      <c r="R488" s="12">
        <f>VALUE(LEFT(Q488,4))</f>
        <v/>
      </c>
      <c r="S488" s="12">
        <f>VALUE(MID(Q488,6,2))</f>
        <v/>
      </c>
      <c r="T488" s="12">
        <f>VALUE(RIGHT(Q488,2))</f>
        <v/>
      </c>
      <c r="U488" s="12" t="inlineStr">
        <is>
          <t>day</t>
        </is>
      </c>
      <c r="V488" s="12" t="inlineStr">
        <is>
          <t>Fire start date (DEC report)</t>
        </is>
      </c>
    </row>
    <row r="489">
      <c r="A489" s="12" t="n">
        <v>543</v>
      </c>
      <c r="B489" s="12" t="inlineStr">
        <is>
          <t>2010-05-07</t>
        </is>
      </c>
      <c r="C489" s="12" t="inlineStr">
        <is>
          <t>2010-05-08</t>
        </is>
      </c>
      <c r="D489" s="12">
        <f>VALUE(LEFT(B489,4))</f>
        <v/>
      </c>
      <c r="E489" s="12">
        <f>INT((D489-1)/100)+1</f>
        <v/>
      </c>
      <c r="F489" s="12" t="inlineStr">
        <is>
          <t>Wildfire</t>
        </is>
      </c>
      <c r="G489" s="12" t="inlineStr">
        <is>
          <t>Red Rock Fire — wildfire, 2 acres, Austerlitz (Columbia Co.)</t>
        </is>
      </c>
      <c r="H489" s="12" t="inlineStr">
        <is>
          <t>Austerlitz, Columbia County; State Forest/RF Area</t>
        </is>
      </c>
      <c r="I489" s="12" t="inlineStr">
        <is>
          <t>2 acres; cause Power line; fuel 8 - Timber - Light Hardwood Litter</t>
        </is>
      </c>
      <c r="J489" s="12" t="inlineStr">
        <is>
          <t>42.34840, -73.48078</t>
        </is>
      </c>
      <c r="K489" s="12" t="inlineStr">
        <is>
          <t>No losses reported</t>
        </is>
      </c>
      <c r="L489" s="12" t="inlineStr">
        <is>
          <t>NYSDEC Forest Ranger Wildland Fire Reporting Database (Beginning 2008), data.ny.gov export 2026-09-28</t>
        </is>
      </c>
      <c r="M489" s="12" t="inlineStr">
        <is>
          <t>https://data.ny.gov/</t>
        </is>
      </c>
      <c r="N489" s="12" t="inlineStr">
        <is>
          <t>A</t>
        </is>
      </c>
      <c r="O489" s="12" t="inlineStr">
        <is>
          <t>Y</t>
        </is>
      </c>
      <c r="P489" s="12" t="inlineStr">
        <is>
          <t>2026-09-28 (v970, atlas session): bulk ingest per Laurie; fire number NYS-2010-0092; matching 🔥 pin on Natural History.</t>
        </is>
      </c>
      <c r="Q489" s="12" t="inlineStr">
        <is>
          <t>2010-05-07</t>
        </is>
      </c>
      <c r="R489" s="12">
        <f>VALUE(LEFT(Q489,4))</f>
        <v/>
      </c>
      <c r="S489" s="12">
        <f>VALUE(MID(Q489,6,2))</f>
        <v/>
      </c>
      <c r="T489" s="12">
        <f>VALUE(RIGHT(Q489,2))</f>
        <v/>
      </c>
      <c r="U489" s="12" t="inlineStr">
        <is>
          <t>day</t>
        </is>
      </c>
      <c r="V489" s="12" t="inlineStr">
        <is>
          <t>Fire start date (DEC report)</t>
        </is>
      </c>
    </row>
    <row r="490">
      <c r="A490" s="12" t="n">
        <v>544</v>
      </c>
      <c r="B490" s="12" t="inlineStr">
        <is>
          <t>2011-07-17</t>
        </is>
      </c>
      <c r="C490" s="12" t="inlineStr">
        <is>
          <t>2011-07-19</t>
        </is>
      </c>
      <c r="D490" s="12">
        <f>VALUE(LEFT(B490,4))</f>
        <v/>
      </c>
      <c r="E490" s="12">
        <f>INT((D490-1)/100)+1</f>
        <v/>
      </c>
      <c r="F490" s="12" t="inlineStr">
        <is>
          <t>Wildfire</t>
        </is>
      </c>
      <c r="G490" s="12" t="inlineStr">
        <is>
          <t>Pitcairn Fire — wildfire, 0.7 acres, Olive (Ulster Co.)</t>
        </is>
      </c>
      <c r="H490" s="12" t="inlineStr">
        <is>
          <t>Olive, Ulster County; Private Property</t>
        </is>
      </c>
      <c r="I490" s="12" t="inlineStr">
        <is>
          <t>0.7 acres; cause Power line; fuel 8 - Timber - Light Hardwood Litter</t>
        </is>
      </c>
      <c r="J490" s="12" t="inlineStr">
        <is>
          <t>42.00019, -74.19032</t>
        </is>
      </c>
      <c r="K490" s="12" t="inlineStr">
        <is>
          <t>No losses reported</t>
        </is>
      </c>
      <c r="L490" s="12" t="inlineStr">
        <is>
          <t>NYSDEC Forest Ranger Wildland Fire Reporting Database (Beginning 2008), data.ny.gov export 2026-09-28</t>
        </is>
      </c>
      <c r="M490" s="12" t="inlineStr">
        <is>
          <t>https://data.ny.gov/</t>
        </is>
      </c>
      <c r="N490" s="12" t="inlineStr">
        <is>
          <t>A</t>
        </is>
      </c>
      <c r="O490" s="12" t="inlineStr">
        <is>
          <t>Y</t>
        </is>
      </c>
      <c r="P490" s="12" t="inlineStr">
        <is>
          <t>2026-09-28 (v970, atlas session): bulk ingest per Laurie; fire number NYS-2011-0031; matching 🔥 pin on Natural History.</t>
        </is>
      </c>
      <c r="Q490" s="12" t="inlineStr">
        <is>
          <t>2011-07-17</t>
        </is>
      </c>
      <c r="R490" s="12">
        <f>VALUE(LEFT(Q490,4))</f>
        <v/>
      </c>
      <c r="S490" s="12">
        <f>VALUE(MID(Q490,6,2))</f>
        <v/>
      </c>
      <c r="T490" s="12">
        <f>VALUE(RIGHT(Q490,2))</f>
        <v/>
      </c>
      <c r="U490" s="12" t="inlineStr">
        <is>
          <t>day</t>
        </is>
      </c>
      <c r="V490" s="12" t="inlineStr">
        <is>
          <t>Fire start date (DEC report)</t>
        </is>
      </c>
    </row>
    <row r="491">
      <c r="A491" s="12" t="n">
        <v>545</v>
      </c>
      <c r="B491" s="12" t="inlineStr">
        <is>
          <t>2023-04-09</t>
        </is>
      </c>
      <c r="C491" s="12" t="inlineStr">
        <is>
          <t>2023-04-10</t>
        </is>
      </c>
      <c r="D491" s="12">
        <f>VALUE(LEFT(B491,4))</f>
        <v/>
      </c>
      <c r="E491" s="12">
        <f>INT((D491-1)/100)+1</f>
        <v/>
      </c>
      <c r="F491" s="12" t="inlineStr">
        <is>
          <t>Wildfire</t>
        </is>
      </c>
      <c r="G491" s="12" t="inlineStr">
        <is>
          <t>Austerlitz Tower Fire — wildfire, 6 acres, Austerlitz (Columbia Co.)</t>
        </is>
      </c>
      <c r="H491" s="12" t="inlineStr">
        <is>
          <t>Austerlitz, Columbia County; Private Property</t>
        </is>
      </c>
      <c r="I491" s="12" t="inlineStr">
        <is>
          <t>6 acres; cause Power line; fuel 10 - Timber - Heavy Litter/Downed Fuels</t>
        </is>
      </c>
      <c r="J491" s="12" t="inlineStr">
        <is>
          <t>42.30175, -73.48967</t>
        </is>
      </c>
      <c r="K491" s="12" t="inlineStr">
        <is>
          <t>No losses reported</t>
        </is>
      </c>
      <c r="L491" s="12" t="inlineStr">
        <is>
          <t>NYSDEC Forest Ranger Wildland Fire Reporting Database (Beginning 2008), data.ny.gov export 2026-09-28</t>
        </is>
      </c>
      <c r="M491" s="12" t="inlineStr">
        <is>
          <t>https://data.ny.gov/</t>
        </is>
      </c>
      <c r="N491" s="12" t="inlineStr">
        <is>
          <t>A</t>
        </is>
      </c>
      <c r="O491" s="12" t="inlineStr">
        <is>
          <t>Y</t>
        </is>
      </c>
      <c r="P491" s="12" t="inlineStr">
        <is>
          <t>2026-09-28 (v970, atlas session): bulk ingest per Laurie; fire number NYS-2023-0026; matching 🔥 pin on Natural History.</t>
        </is>
      </c>
      <c r="Q491" s="12" t="inlineStr">
        <is>
          <t>2023-04-09</t>
        </is>
      </c>
      <c r="R491" s="12">
        <f>VALUE(LEFT(Q491,4))</f>
        <v/>
      </c>
      <c r="S491" s="12">
        <f>VALUE(MID(Q491,6,2))</f>
        <v/>
      </c>
      <c r="T491" s="12">
        <f>VALUE(RIGHT(Q491,2))</f>
        <v/>
      </c>
      <c r="U491" s="12" t="inlineStr">
        <is>
          <t>day</t>
        </is>
      </c>
      <c r="V491" s="12" t="inlineStr">
        <is>
          <t>Fire start date (DEC report)</t>
        </is>
      </c>
    </row>
    <row r="492">
      <c r="A492" s="12" t="n">
        <v>547</v>
      </c>
      <c r="B492" s="12" t="inlineStr">
        <is>
          <t>2015-05-09</t>
        </is>
      </c>
      <c r="C492" s="12" t="inlineStr">
        <is>
          <t>2015-05-12</t>
        </is>
      </c>
      <c r="D492" s="12">
        <f>VALUE(LEFT(B492,4))</f>
        <v/>
      </c>
      <c r="E492" s="12">
        <f>INT((D492-1)/100)+1</f>
        <v/>
      </c>
      <c r="F492" s="12" t="inlineStr">
        <is>
          <t>Wildfire</t>
        </is>
      </c>
      <c r="G492" s="12" t="inlineStr">
        <is>
          <t>Crocker Hill Fire — wildfire, 53.4 acres, Fenton (Broome Co.)</t>
        </is>
      </c>
      <c r="H492" s="12" t="inlineStr">
        <is>
          <t>Fenton, Broome County; Private Property</t>
        </is>
      </c>
      <c r="I492" s="12" t="inlineStr">
        <is>
          <t>53.4 acres; cause Railroad; fuel 9 - Timber - Medium Hardwood Litter</t>
        </is>
      </c>
      <c r="J492" s="12" t="inlineStr">
        <is>
          <t>42.15624, -75.87039</t>
        </is>
      </c>
      <c r="K492" s="12" t="inlineStr">
        <is>
          <t>No losses reported</t>
        </is>
      </c>
      <c r="L492" s="12" t="inlineStr">
        <is>
          <t>NYSDEC Forest Ranger Wildland Fire Reporting Database (Beginning 2008), data.ny.gov export 2026-09-28</t>
        </is>
      </c>
      <c r="M492" s="12" t="inlineStr">
        <is>
          <t>https://data.ny.gov/</t>
        </is>
      </c>
      <c r="N492" s="12" t="inlineStr">
        <is>
          <t>A</t>
        </is>
      </c>
      <c r="O492" s="12" t="inlineStr">
        <is>
          <t>Y</t>
        </is>
      </c>
      <c r="P492" s="12" t="inlineStr">
        <is>
          <t>2026-09-28 (v970, atlas session): bulk ingest per Laurie; fire number NYS-2015-0107; matching 🔥 pin on Natural History.</t>
        </is>
      </c>
      <c r="Q492" s="12" t="inlineStr">
        <is>
          <t>2015-05-09</t>
        </is>
      </c>
      <c r="R492" s="12">
        <f>VALUE(LEFT(Q492,4))</f>
        <v/>
      </c>
      <c r="S492" s="12">
        <f>VALUE(MID(Q492,6,2))</f>
        <v/>
      </c>
      <c r="T492" s="12">
        <f>VALUE(RIGHT(Q492,2))</f>
        <v/>
      </c>
      <c r="U492" s="12" t="inlineStr">
        <is>
          <t>day</t>
        </is>
      </c>
      <c r="V492" s="12" t="inlineStr">
        <is>
          <t>Fire start date (DEC report)</t>
        </is>
      </c>
    </row>
    <row r="493">
      <c r="A493" s="12" t="n">
        <v>548</v>
      </c>
      <c r="B493" s="12" t="inlineStr">
        <is>
          <t>2009-04-13</t>
        </is>
      </c>
      <c r="C493" s="12" t="inlineStr">
        <is>
          <t>2009-04-13</t>
        </is>
      </c>
      <c r="D493" s="12">
        <f>VALUE(LEFT(B493,4))</f>
        <v/>
      </c>
      <c r="E493" s="12">
        <f>INT((D493-1)/100)+1</f>
        <v/>
      </c>
      <c r="F493" s="12" t="inlineStr">
        <is>
          <t>Wildfire</t>
        </is>
      </c>
      <c r="G493" s="12" t="inlineStr">
        <is>
          <t>Grand Terrace Fire — wildfire, 1.2 acres, Wawarsing (Ulster Co.)</t>
        </is>
      </c>
      <c r="H493" s="12" t="inlineStr">
        <is>
          <t>Wawarsing, Ulster County; Private Property</t>
        </is>
      </c>
      <c r="I493" s="12" t="inlineStr">
        <is>
          <t>1.2 acres; cause Miscellaneous; fuel 9 - Timber - Medium Hardwood Litter</t>
        </is>
      </c>
      <c r="J493" s="12" t="inlineStr">
        <is>
          <t>41.74469, -74.28346</t>
        </is>
      </c>
      <c r="K493" s="12" t="inlineStr">
        <is>
          <t>No losses reported</t>
        </is>
      </c>
      <c r="L493" s="12" t="inlineStr">
        <is>
          <t>NYSDEC Forest Ranger Wildland Fire Reporting Database (Beginning 2008), data.ny.gov export 2026-09-28</t>
        </is>
      </c>
      <c r="M493" s="12" t="inlineStr">
        <is>
          <t>https://data.ny.gov/</t>
        </is>
      </c>
      <c r="N493" s="12" t="inlineStr">
        <is>
          <t>A</t>
        </is>
      </c>
      <c r="O493" s="12" t="inlineStr">
        <is>
          <t>Y</t>
        </is>
      </c>
      <c r="P493" s="12" t="inlineStr">
        <is>
          <t>2026-09-28 (v970, atlas session): bulk ingest per Laurie; fire number NYS-2009-0043; matching 🔥 pin on Natural History.</t>
        </is>
      </c>
      <c r="Q493" s="12" t="inlineStr">
        <is>
          <t>2009-04-13</t>
        </is>
      </c>
      <c r="R493" s="12">
        <f>VALUE(LEFT(Q493,4))</f>
        <v/>
      </c>
      <c r="S493" s="12">
        <f>VALUE(MID(Q493,6,2))</f>
        <v/>
      </c>
      <c r="T493" s="12">
        <f>VALUE(RIGHT(Q493,2))</f>
        <v/>
      </c>
      <c r="U493" s="12" t="inlineStr">
        <is>
          <t>day</t>
        </is>
      </c>
      <c r="V493" s="12" t="inlineStr">
        <is>
          <t>Fire start date (DEC report)</t>
        </is>
      </c>
    </row>
    <row r="494">
      <c r="A494" s="12" t="n">
        <v>549</v>
      </c>
      <c r="B494" s="12" t="inlineStr">
        <is>
          <t>2022-06-20</t>
        </is>
      </c>
      <c r="C494" s="12" t="inlineStr">
        <is>
          <t>2022-06-21</t>
        </is>
      </c>
      <c r="D494" s="12">
        <f>VALUE(LEFT(B494,4))</f>
        <v/>
      </c>
      <c r="E494" s="12">
        <f>INT((D494-1)/100)+1</f>
        <v/>
      </c>
      <c r="F494" s="12" t="inlineStr">
        <is>
          <t>Wildfire</t>
        </is>
      </c>
      <c r="G494" s="12" t="inlineStr">
        <is>
          <t>Cole Hill SF Fire — wildfire, 0.2 acres, Berne (Albany Co.)</t>
        </is>
      </c>
      <c r="H494" s="12" t="inlineStr">
        <is>
          <t>Berne, Albany County; State Forest/RF Area — Cole Hill SF</t>
        </is>
      </c>
      <c r="I494" s="12" t="inlineStr">
        <is>
          <t>0.2 acres; cause Miscellaneous; fuel 9 - Timber - Medium Hardwood Litter</t>
        </is>
      </c>
      <c r="J494" s="12" t="inlineStr">
        <is>
          <t>42.59760, -74.09230</t>
        </is>
      </c>
      <c r="K494" s="12" t="inlineStr">
        <is>
          <t>No losses reported</t>
        </is>
      </c>
      <c r="L494" s="12" t="inlineStr">
        <is>
          <t>NYSDEC Forest Ranger Wildland Fire Reporting Database (Beginning 2008), data.ny.gov export 2026-09-28</t>
        </is>
      </c>
      <c r="M494" s="12" t="inlineStr">
        <is>
          <t>https://data.ny.gov/</t>
        </is>
      </c>
      <c r="N494" s="12" t="inlineStr">
        <is>
          <t>A</t>
        </is>
      </c>
      <c r="O494" s="12" t="inlineStr">
        <is>
          <t>Y</t>
        </is>
      </c>
      <c r="P494" s="12" t="inlineStr">
        <is>
          <t>2026-09-28 (v970, atlas session): bulk ingest per Laurie; fire number NYS-2022-0110; matching 🔥 pin on Natural History.</t>
        </is>
      </c>
      <c r="Q494" s="12" t="inlineStr">
        <is>
          <t>2022-06-20</t>
        </is>
      </c>
      <c r="R494" s="12">
        <f>VALUE(LEFT(Q494,4))</f>
        <v/>
      </c>
      <c r="S494" s="12">
        <f>VALUE(MID(Q494,6,2))</f>
        <v/>
      </c>
      <c r="T494" s="12">
        <f>VALUE(RIGHT(Q494,2))</f>
        <v/>
      </c>
      <c r="U494" s="12" t="inlineStr">
        <is>
          <t>day</t>
        </is>
      </c>
      <c r="V494" s="12" t="inlineStr">
        <is>
          <t>Fire start date (DEC report)</t>
        </is>
      </c>
    </row>
    <row r="495">
      <c r="A495" s="12" t="n">
        <v>550</v>
      </c>
      <c r="B495" s="12" t="inlineStr">
        <is>
          <t>2022-11-04</t>
        </is>
      </c>
      <c r="C495" s="12" t="inlineStr">
        <is>
          <t>2022-11-04</t>
        </is>
      </c>
      <c r="D495" s="12">
        <f>VALUE(LEFT(B495,4))</f>
        <v/>
      </c>
      <c r="E495" s="12">
        <f>INT((D495-1)/100)+1</f>
        <v/>
      </c>
      <c r="F495" s="12" t="inlineStr">
        <is>
          <t>Wildfire</t>
        </is>
      </c>
      <c r="G495" s="12" t="inlineStr">
        <is>
          <t>Tennessee Pipeline — wildfire, 0.4 acres, Chatham (Columbia Co.)</t>
        </is>
      </c>
      <c r="H495" s="12" t="inlineStr">
        <is>
          <t>Chatham, Columbia County; Private Property</t>
        </is>
      </c>
      <c r="I495" s="12" t="inlineStr">
        <is>
          <t>0.4 acres; cause Power line; fuel 8 - Timber - Light Hardwood Litter</t>
        </is>
      </c>
      <c r="J495" s="12" t="inlineStr">
        <is>
          <t>42.47920, -73.54855</t>
        </is>
      </c>
      <c r="K495" s="12" t="inlineStr">
        <is>
          <t>No losses reported</t>
        </is>
      </c>
      <c r="L495" s="12" t="inlineStr">
        <is>
          <t>NYSDEC Forest Ranger Wildland Fire Reporting Database (Beginning 2008), data.ny.gov export 2026-09-28</t>
        </is>
      </c>
      <c r="M495" s="12" t="inlineStr">
        <is>
          <t>https://data.ny.gov/</t>
        </is>
      </c>
      <c r="N495" s="12" t="inlineStr">
        <is>
          <t>A</t>
        </is>
      </c>
      <c r="O495" s="12" t="inlineStr">
        <is>
          <t>Y</t>
        </is>
      </c>
      <c r="P495" s="12" t="inlineStr">
        <is>
          <t>2026-09-28 (v970, atlas session): bulk ingest per Laurie; fire number NYS-2022-0186; matching 🔥 pin on Natural History.</t>
        </is>
      </c>
      <c r="Q495" s="12" t="inlineStr">
        <is>
          <t>2022-11-04</t>
        </is>
      </c>
      <c r="R495" s="12">
        <f>VALUE(LEFT(Q495,4))</f>
        <v/>
      </c>
      <c r="S495" s="12">
        <f>VALUE(MID(Q495,6,2))</f>
        <v/>
      </c>
      <c r="T495" s="12">
        <f>VALUE(RIGHT(Q495,2))</f>
        <v/>
      </c>
      <c r="U495" s="12" t="inlineStr">
        <is>
          <t>day</t>
        </is>
      </c>
      <c r="V495" s="12" t="inlineStr">
        <is>
          <t>Fire start date (DEC report)</t>
        </is>
      </c>
    </row>
    <row r="496">
      <c r="A496" s="12" t="n">
        <v>551</v>
      </c>
      <c r="B496" s="12" t="inlineStr">
        <is>
          <t>2008-04-24</t>
        </is>
      </c>
      <c r="C496" s="12" t="inlineStr">
        <is>
          <t>2008-04-24</t>
        </is>
      </c>
      <c r="D496" s="12">
        <f>VALUE(LEFT(B496,4))</f>
        <v/>
      </c>
      <c r="E496" s="12">
        <f>INT((D496-1)/100)+1</f>
        <v/>
      </c>
      <c r="F496" s="12" t="inlineStr">
        <is>
          <t>Wildfire</t>
        </is>
      </c>
      <c r="G496" s="12" t="inlineStr">
        <is>
          <t>Berger Fire #2 — wildfire, 0.4 acres, Fallsburgh (Sullivan Co.)</t>
        </is>
      </c>
      <c r="H496" s="12" t="inlineStr">
        <is>
          <t>Fallsburgh, Sullivan County; Private Property</t>
        </is>
      </c>
      <c r="I496" s="12" t="inlineStr">
        <is>
          <t>0.4 acres; cause Debris Burning; fuel 5 - Brush - Continuous but Light</t>
        </is>
      </c>
      <c r="J496" s="12" t="inlineStr">
        <is>
          <t>41.68054, -74.56853</t>
        </is>
      </c>
      <c r="K496" s="12" t="inlineStr">
        <is>
          <t>No losses reported</t>
        </is>
      </c>
      <c r="L496" s="12" t="inlineStr">
        <is>
          <t>NYSDEC Forest Ranger Wildland Fire Reporting Database (Beginning 2008), data.ny.gov export 2026-09-28</t>
        </is>
      </c>
      <c r="M496" s="12" t="inlineStr">
        <is>
          <t>https://data.ny.gov/</t>
        </is>
      </c>
      <c r="N496" s="12" t="inlineStr">
        <is>
          <t>A</t>
        </is>
      </c>
      <c r="O496" s="12" t="inlineStr">
        <is>
          <t>Y</t>
        </is>
      </c>
      <c r="P496" s="12" t="inlineStr">
        <is>
          <t>2026-09-28 (v970, atlas session): bulk ingest per Laurie; fire number NYS-2008-0122; matching 🔥 pin on Natural History.</t>
        </is>
      </c>
      <c r="Q496" s="12" t="inlineStr">
        <is>
          <t>2008-04-24</t>
        </is>
      </c>
      <c r="R496" s="12">
        <f>VALUE(LEFT(Q496,4))</f>
        <v/>
      </c>
      <c r="S496" s="12">
        <f>VALUE(MID(Q496,6,2))</f>
        <v/>
      </c>
      <c r="T496" s="12">
        <f>VALUE(RIGHT(Q496,2))</f>
        <v/>
      </c>
      <c r="U496" s="12" t="inlineStr">
        <is>
          <t>day</t>
        </is>
      </c>
      <c r="V496" s="12" t="inlineStr">
        <is>
          <t>Fire start date (DEC report)</t>
        </is>
      </c>
    </row>
    <row r="497">
      <c r="A497" s="12" t="n">
        <v>552</v>
      </c>
      <c r="B497" s="12" t="inlineStr">
        <is>
          <t>2015-04-15</t>
        </is>
      </c>
      <c r="C497" s="12" t="inlineStr">
        <is>
          <t>2015-04-16</t>
        </is>
      </c>
      <c r="D497" s="12">
        <f>VALUE(LEFT(B497,4))</f>
        <v/>
      </c>
      <c r="E497" s="12">
        <f>INT((D497-1)/100)+1</f>
        <v/>
      </c>
      <c r="F497" s="12" t="inlineStr">
        <is>
          <t>Wildfire</t>
        </is>
      </c>
      <c r="G497" s="12" t="inlineStr">
        <is>
          <t>Sprout Creek Fire — wildfire, 9.3 acres, Wappinger (Dutchess Co.)</t>
        </is>
      </c>
      <c r="H497" s="12" t="inlineStr">
        <is>
          <t>Wappinger, Dutchess County; Private Property</t>
        </is>
      </c>
      <c r="I497" s="12" t="inlineStr">
        <is>
          <t>9.3 acres; cause Incendiary; fuel 8 - Timber - Light Hardwood Litter</t>
        </is>
      </c>
      <c r="J497" s="12" t="inlineStr">
        <is>
          <t>41.61612, -73.84000</t>
        </is>
      </c>
      <c r="K497" s="12" t="inlineStr">
        <is>
          <t>No losses reported</t>
        </is>
      </c>
      <c r="L497" s="12" t="inlineStr">
        <is>
          <t>NYSDEC Forest Ranger Wildland Fire Reporting Database (Beginning 2008), data.ny.gov export 2026-09-28</t>
        </is>
      </c>
      <c r="M497" s="12" t="inlineStr">
        <is>
          <t>https://data.ny.gov/</t>
        </is>
      </c>
      <c r="N497" s="12" t="inlineStr">
        <is>
          <t>A</t>
        </is>
      </c>
      <c r="O497" s="12" t="inlineStr">
        <is>
          <t>Y</t>
        </is>
      </c>
      <c r="P497" s="12" t="inlineStr">
        <is>
          <t>2026-09-28 (v970, atlas session): bulk ingest per Laurie; fire number NYS-2015-0021; matching 🔥 pin on Natural History.</t>
        </is>
      </c>
      <c r="Q497" s="12" t="inlineStr">
        <is>
          <t>2015-04-15</t>
        </is>
      </c>
      <c r="R497" s="12">
        <f>VALUE(LEFT(Q497,4))</f>
        <v/>
      </c>
      <c r="S497" s="12">
        <f>VALUE(MID(Q497,6,2))</f>
        <v/>
      </c>
      <c r="T497" s="12">
        <f>VALUE(RIGHT(Q497,2))</f>
        <v/>
      </c>
      <c r="U497" s="12" t="inlineStr">
        <is>
          <t>day</t>
        </is>
      </c>
      <c r="V497" s="12" t="inlineStr">
        <is>
          <t>Fire start date (DEC report)</t>
        </is>
      </c>
    </row>
    <row r="498">
      <c r="A498" s="12" t="n">
        <v>554</v>
      </c>
      <c r="B498" s="12" t="inlineStr">
        <is>
          <t>2023-04-12</t>
        </is>
      </c>
      <c r="C498" s="12" t="inlineStr">
        <is>
          <t>2023-04-18</t>
        </is>
      </c>
      <c r="D498" s="12">
        <f>VALUE(LEFT(B498,4))</f>
        <v/>
      </c>
      <c r="E498" s="12">
        <f>INT((D498-1)/100)+1</f>
        <v/>
      </c>
      <c r="F498" s="12" t="inlineStr">
        <is>
          <t>Wildfire</t>
        </is>
      </c>
      <c r="G498" s="12" t="inlineStr">
        <is>
          <t>Richmond Railroad Fire — wildfire, 241 acres, Richmondville (Schoharie Co.)</t>
        </is>
      </c>
      <c r="H498" s="12" t="inlineStr">
        <is>
          <t>Richmondville, Schoharie County; Private Property</t>
        </is>
      </c>
      <c r="I498" s="12" t="inlineStr">
        <is>
          <t>241 acres; cause Railroad; fuel 8 - Timber - Light Hardwood Litter</t>
        </is>
      </c>
      <c r="J498" s="12" t="inlineStr">
        <is>
          <t>42.95163, -74.63913</t>
        </is>
      </c>
      <c r="K498" s="12" t="inlineStr">
        <is>
          <t>No losses reported</t>
        </is>
      </c>
      <c r="L498" s="12" t="inlineStr">
        <is>
          <t>NYSDEC Forest Ranger Wildland Fire Reporting Database (Beginning 2008), data.ny.gov export 2026-09-28</t>
        </is>
      </c>
      <c r="M498" s="12" t="inlineStr">
        <is>
          <t>https://data.ny.gov/</t>
        </is>
      </c>
      <c r="N498" s="12" t="inlineStr">
        <is>
          <t>A</t>
        </is>
      </c>
      <c r="O498" s="12" t="inlineStr">
        <is>
          <t>Y</t>
        </is>
      </c>
      <c r="P498" s="12" t="inlineStr">
        <is>
          <t>2026-09-28 (v970, atlas session): bulk ingest per Laurie; fire number NYS-2023-0045; matching 🔥 pin on Natural History.</t>
        </is>
      </c>
      <c r="Q498" s="12" t="inlineStr">
        <is>
          <t>2023-04-12</t>
        </is>
      </c>
      <c r="R498" s="12">
        <f>VALUE(LEFT(Q498,4))</f>
        <v/>
      </c>
      <c r="S498" s="12">
        <f>VALUE(MID(Q498,6,2))</f>
        <v/>
      </c>
      <c r="T498" s="12">
        <f>VALUE(RIGHT(Q498,2))</f>
        <v/>
      </c>
      <c r="U498" s="12" t="inlineStr">
        <is>
          <t>day</t>
        </is>
      </c>
      <c r="V498" s="12" t="inlineStr">
        <is>
          <t>Fire start date (DEC report)</t>
        </is>
      </c>
    </row>
    <row r="499">
      <c r="A499" s="12" t="n">
        <v>555</v>
      </c>
      <c r="B499" s="12" t="inlineStr">
        <is>
          <t>2014-11-22</t>
        </is>
      </c>
      <c r="C499" s="12" t="inlineStr">
        <is>
          <t>2014-11-24</t>
        </is>
      </c>
      <c r="D499" s="12">
        <f>VALUE(LEFT(B499,4))</f>
        <v/>
      </c>
      <c r="E499" s="12">
        <f>INT((D499-1)/100)+1</f>
        <v/>
      </c>
      <c r="F499" s="12" t="inlineStr">
        <is>
          <t>Wildfire</t>
        </is>
      </c>
      <c r="G499" s="12" t="inlineStr">
        <is>
          <t>27 Cranberry Hill Rd Fire — wildfire, 35 acres, Fallsburgh (Sullivan Co.)</t>
        </is>
      </c>
      <c r="H499" s="12" t="inlineStr">
        <is>
          <t>Fallsburgh, Sullivan County; Private Property</t>
        </is>
      </c>
      <c r="I499" s="12" t="inlineStr">
        <is>
          <t>35 acres; cause Debris Burning; fuel 9 - Timber - Medium Hardwood Litter</t>
        </is>
      </c>
      <c r="J499" s="12" t="inlineStr">
        <is>
          <t>41.70555, -74.51195</t>
        </is>
      </c>
      <c r="K499" s="12" t="inlineStr">
        <is>
          <t>Other Structures Lost: 2</t>
        </is>
      </c>
      <c r="L499" s="12" t="inlineStr">
        <is>
          <t>NYSDEC Forest Ranger Wildland Fire Reporting Database (Beginning 2008), data.ny.gov export 2026-09-28</t>
        </is>
      </c>
      <c r="M499" s="12" t="inlineStr">
        <is>
          <t>https://data.ny.gov/</t>
        </is>
      </c>
      <c r="N499" s="12" t="inlineStr">
        <is>
          <t>A</t>
        </is>
      </c>
      <c r="O499" s="12" t="inlineStr">
        <is>
          <t>Y</t>
        </is>
      </c>
      <c r="P499" s="12" t="inlineStr">
        <is>
          <t>2026-09-28 (v970, atlas session): bulk ingest per Laurie; fire number NYS-2014-0145; matching 🔥 pin on Natural History.</t>
        </is>
      </c>
      <c r="Q499" s="12" t="inlineStr">
        <is>
          <t>2014-11-22</t>
        </is>
      </c>
      <c r="R499" s="12">
        <f>VALUE(LEFT(Q499,4))</f>
        <v/>
      </c>
      <c r="S499" s="12">
        <f>VALUE(MID(Q499,6,2))</f>
        <v/>
      </c>
      <c r="T499" s="12">
        <f>VALUE(RIGHT(Q499,2))</f>
        <v/>
      </c>
      <c r="U499" s="12" t="inlineStr">
        <is>
          <t>day</t>
        </is>
      </c>
      <c r="V499" s="12" t="inlineStr">
        <is>
          <t>Fire start date (DEC report)</t>
        </is>
      </c>
    </row>
    <row r="500">
      <c r="A500" s="12" t="n">
        <v>556</v>
      </c>
      <c r="B500" s="12" t="inlineStr">
        <is>
          <t>2015-05-07</t>
        </is>
      </c>
      <c r="C500" s="12" t="inlineStr">
        <is>
          <t>2015-05-09</t>
        </is>
      </c>
      <c r="D500" s="12">
        <f>VALUE(LEFT(B500,4))</f>
        <v/>
      </c>
      <c r="E500" s="12">
        <f>INT((D500-1)/100)+1</f>
        <v/>
      </c>
      <c r="F500" s="12" t="inlineStr">
        <is>
          <t>Wildfire</t>
        </is>
      </c>
      <c r="G500" s="12" t="inlineStr">
        <is>
          <t>Canary Hill Fire — wildfire, 0.5 acres, Marbletown (Ulster Co.)</t>
        </is>
      </c>
      <c r="H500" s="12" t="inlineStr">
        <is>
          <t>Marbletown, Ulster County; Private Property</t>
        </is>
      </c>
      <c r="I500" s="12" t="inlineStr">
        <is>
          <t>0.5 acres; cause Smoking; fuel 10 - Timber - Heavy Litter/Downed Fuels</t>
        </is>
      </c>
      <c r="J500" s="12" t="inlineStr">
        <is>
          <t>41.90941, -74.10080</t>
        </is>
      </c>
      <c r="K500" s="12" t="inlineStr">
        <is>
          <t>No losses reported</t>
        </is>
      </c>
      <c r="L500" s="12" t="inlineStr">
        <is>
          <t>NYSDEC Forest Ranger Wildland Fire Reporting Database (Beginning 2008), data.ny.gov export 2026-09-28</t>
        </is>
      </c>
      <c r="M500" s="12" t="inlineStr">
        <is>
          <t>https://data.ny.gov/</t>
        </is>
      </c>
      <c r="N500" s="12" t="inlineStr">
        <is>
          <t>A</t>
        </is>
      </c>
      <c r="O500" s="12" t="inlineStr">
        <is>
          <t>Y</t>
        </is>
      </c>
      <c r="P500" s="12" t="inlineStr">
        <is>
          <t>2026-09-28 (v970, atlas session): bulk ingest per Laurie; fire number NYS-2015-0117; matching 🔥 pin on Natural History.</t>
        </is>
      </c>
      <c r="Q500" s="12" t="inlineStr">
        <is>
          <t>2015-05-07</t>
        </is>
      </c>
      <c r="R500" s="12">
        <f>VALUE(LEFT(Q500,4))</f>
        <v/>
      </c>
      <c r="S500" s="12">
        <f>VALUE(MID(Q500,6,2))</f>
        <v/>
      </c>
      <c r="T500" s="12">
        <f>VALUE(RIGHT(Q500,2))</f>
        <v/>
      </c>
      <c r="U500" s="12" t="inlineStr">
        <is>
          <t>day</t>
        </is>
      </c>
      <c r="V500" s="12" t="inlineStr">
        <is>
          <t>Fire start date (DEC report)</t>
        </is>
      </c>
    </row>
    <row r="501">
      <c r="A501" s="12" t="n">
        <v>558</v>
      </c>
      <c r="B501" s="12" t="inlineStr">
        <is>
          <t>2024-11-08</t>
        </is>
      </c>
      <c r="C501" s="12" t="inlineStr">
        <is>
          <t>2024-11-09</t>
        </is>
      </c>
      <c r="D501" s="12">
        <f>VALUE(LEFT(B501,4))</f>
        <v/>
      </c>
      <c r="E501" s="12">
        <f>INT((D501-1)/100)+1</f>
        <v/>
      </c>
      <c r="F501" s="12" t="inlineStr">
        <is>
          <t>Wildfire</t>
        </is>
      </c>
      <c r="G501" s="12" t="inlineStr">
        <is>
          <t>Oak Hill Fire — wildfire, 2 acres, Chenango (Broome Co.)</t>
        </is>
      </c>
      <c r="H501" s="12" t="inlineStr">
        <is>
          <t>Chenango, Broome County; Private Property</t>
        </is>
      </c>
      <c r="I501" s="12" t="inlineStr">
        <is>
          <t>2 acres; cause Debris Burning; fuel 8 - Timber - Light Hardwood Litter</t>
        </is>
      </c>
      <c r="J501" s="12" t="inlineStr">
        <is>
          <t>42.20694, -75.85808</t>
        </is>
      </c>
      <c r="K501" s="12" t="inlineStr">
        <is>
          <t>No losses reported</t>
        </is>
      </c>
      <c r="L501" s="12" t="inlineStr">
        <is>
          <t>NYSDEC Forest Ranger Wildland Fire Reporting Database (Beginning 2008), data.ny.gov export 2026-09-28</t>
        </is>
      </c>
      <c r="M501" s="12" t="inlineStr">
        <is>
          <t>https://data.ny.gov/</t>
        </is>
      </c>
      <c r="N501" s="12" t="inlineStr">
        <is>
          <t>A</t>
        </is>
      </c>
      <c r="O501" s="12" t="inlineStr">
        <is>
          <t>Y</t>
        </is>
      </c>
      <c r="P501" s="12" t="inlineStr">
        <is>
          <t>2026-09-28 (v970, atlas session): bulk ingest per Laurie; fire number NYS-2024-0174; matching 🔥 pin on Natural History.</t>
        </is>
      </c>
      <c r="Q501" s="12" t="inlineStr">
        <is>
          <t>2024-11-08</t>
        </is>
      </c>
      <c r="R501" s="12">
        <f>VALUE(LEFT(Q501,4))</f>
        <v/>
      </c>
      <c r="S501" s="12">
        <f>VALUE(MID(Q501,6,2))</f>
        <v/>
      </c>
      <c r="T501" s="12">
        <f>VALUE(RIGHT(Q501,2))</f>
        <v/>
      </c>
      <c r="U501" s="12" t="inlineStr">
        <is>
          <t>day</t>
        </is>
      </c>
      <c r="V501" s="12" t="inlineStr">
        <is>
          <t>Fire start date (DEC report)</t>
        </is>
      </c>
    </row>
    <row r="502">
      <c r="A502" s="12" t="n">
        <v>560</v>
      </c>
      <c r="B502" s="12" t="inlineStr">
        <is>
          <t>2013-11-12</t>
        </is>
      </c>
      <c r="C502" s="12" t="inlineStr">
        <is>
          <t>2013-11-15</t>
        </is>
      </c>
      <c r="D502" s="12">
        <f>VALUE(LEFT(B502,4))</f>
        <v/>
      </c>
      <c r="E502" s="12">
        <f>INT((D502-1)/100)+1</f>
        <v/>
      </c>
      <c r="F502" s="12" t="inlineStr">
        <is>
          <t>Wildfire</t>
        </is>
      </c>
      <c r="G502" s="12" t="inlineStr">
        <is>
          <t>Blue Point Road Fire — wildfire, 3 acres, Lloyd (Ulster Co.)</t>
        </is>
      </c>
      <c r="H502" s="12" t="inlineStr">
        <is>
          <t>Lloyd, Ulster County; Other Not Classified</t>
        </is>
      </c>
      <c r="I502" s="12" t="inlineStr">
        <is>
          <t>3 acres; cause Railroad; fuel 8 - Timber - Light Hardwood Litter</t>
        </is>
      </c>
      <c r="J502" s="12" t="inlineStr">
        <is>
          <t>41.69271, -73.95128</t>
        </is>
      </c>
      <c r="K502" s="12" t="inlineStr">
        <is>
          <t>No losses reported</t>
        </is>
      </c>
      <c r="L502" s="12" t="inlineStr">
        <is>
          <t>NYSDEC Forest Ranger Wildland Fire Reporting Database (Beginning 2008), data.ny.gov export 2026-09-28</t>
        </is>
      </c>
      <c r="M502" s="12" t="inlineStr">
        <is>
          <t>https://data.ny.gov/</t>
        </is>
      </c>
      <c r="N502" s="12" t="inlineStr">
        <is>
          <t>A</t>
        </is>
      </c>
      <c r="O502" s="12" t="inlineStr">
        <is>
          <t>Y</t>
        </is>
      </c>
      <c r="P502" s="12" t="inlineStr">
        <is>
          <t>2026-09-28 (v970, atlas session): bulk ingest per Laurie; fire number NYS-2013-0140; matching 🔥 pin on Natural History.</t>
        </is>
      </c>
      <c r="Q502" s="12" t="inlineStr">
        <is>
          <t>2013-11-12</t>
        </is>
      </c>
      <c r="R502" s="12">
        <f>VALUE(LEFT(Q502,4))</f>
        <v/>
      </c>
      <c r="S502" s="12">
        <f>VALUE(MID(Q502,6,2))</f>
        <v/>
      </c>
      <c r="T502" s="12">
        <f>VALUE(RIGHT(Q502,2))</f>
        <v/>
      </c>
      <c r="U502" s="12" t="inlineStr">
        <is>
          <t>day</t>
        </is>
      </c>
      <c r="V502" s="12" t="inlineStr">
        <is>
          <t>Fire start date (DEC report)</t>
        </is>
      </c>
    </row>
    <row r="503">
      <c r="A503" s="12" t="n">
        <v>562</v>
      </c>
      <c r="B503" s="12" t="inlineStr">
        <is>
          <t>2009-04-28</t>
        </is>
      </c>
      <c r="C503" s="12" t="inlineStr">
        <is>
          <t>2009-04-28</t>
        </is>
      </c>
      <c r="D503" s="12">
        <f>VALUE(LEFT(B503,4))</f>
        <v/>
      </c>
      <c r="E503" s="12">
        <f>INT((D503-1)/100)+1</f>
        <v/>
      </c>
      <c r="F503" s="12" t="inlineStr">
        <is>
          <t>Wildfire</t>
        </is>
      </c>
      <c r="G503" s="12" t="inlineStr">
        <is>
          <t>Barton Hill Rd Fire — wildfire, 5 acres, Wright (Schoharie Co.)</t>
        </is>
      </c>
      <c r="H503" s="12" t="inlineStr">
        <is>
          <t>Wright, Schoharie County; Private Property</t>
        </is>
      </c>
      <c r="I503" s="12" t="inlineStr">
        <is>
          <t>5 acres; cause Incendiary; fuel 9 - Timber - Medium Hardwood Litter</t>
        </is>
      </c>
      <c r="J503" s="12" t="inlineStr">
        <is>
          <t>42.70626, -74.22851</t>
        </is>
      </c>
      <c r="K503" s="12" t="inlineStr">
        <is>
          <t>No losses reported</t>
        </is>
      </c>
      <c r="L503" s="12" t="inlineStr">
        <is>
          <t>NYSDEC Forest Ranger Wildland Fire Reporting Database (Beginning 2008), data.ny.gov export 2026-09-28</t>
        </is>
      </c>
      <c r="M503" s="12" t="inlineStr">
        <is>
          <t>https://data.ny.gov/</t>
        </is>
      </c>
      <c r="N503" s="12" t="inlineStr">
        <is>
          <t>A</t>
        </is>
      </c>
      <c r="O503" s="12" t="inlineStr">
        <is>
          <t>Y</t>
        </is>
      </c>
      <c r="P503" s="12" t="inlineStr">
        <is>
          <t>2026-09-28 (v970, atlas session): bulk ingest per Laurie; fire number NYS-2009-0126; matching 🔥 pin on Natural History.</t>
        </is>
      </c>
      <c r="Q503" s="12" t="inlineStr">
        <is>
          <t>2009-04-28</t>
        </is>
      </c>
      <c r="R503" s="12">
        <f>VALUE(LEFT(Q503,4))</f>
        <v/>
      </c>
      <c r="S503" s="12">
        <f>VALUE(MID(Q503,6,2))</f>
        <v/>
      </c>
      <c r="T503" s="12">
        <f>VALUE(RIGHT(Q503,2))</f>
        <v/>
      </c>
      <c r="U503" s="12" t="inlineStr">
        <is>
          <t>day</t>
        </is>
      </c>
      <c r="V503" s="12" t="inlineStr">
        <is>
          <t>Fire start date (DEC report)</t>
        </is>
      </c>
    </row>
    <row r="504">
      <c r="A504" s="12" t="n">
        <v>563</v>
      </c>
      <c r="B504" s="12" t="inlineStr">
        <is>
          <t>2015-05-03</t>
        </is>
      </c>
      <c r="C504" s="12" t="inlineStr">
        <is>
          <t>2015-05-03</t>
        </is>
      </c>
      <c r="D504" s="12">
        <f>VALUE(LEFT(B504,4))</f>
        <v/>
      </c>
      <c r="E504" s="12">
        <f>INT((D504-1)/100)+1</f>
        <v/>
      </c>
      <c r="F504" s="12" t="inlineStr">
        <is>
          <t>Wildfire</t>
        </is>
      </c>
      <c r="G504" s="12" t="inlineStr">
        <is>
          <t>Triangle Fire — wildfire, 0.6 acres, Triangle (Broome Co.)</t>
        </is>
      </c>
      <c r="H504" s="12" t="inlineStr">
        <is>
          <t>Triangle, Broome County; State Forest/RF Area — Triangle State Forest</t>
        </is>
      </c>
      <c r="I504" s="12" t="inlineStr">
        <is>
          <t>0.6 acres; cause Campfire; fuel 8 - Timber - Light Hardwood Litter</t>
        </is>
      </c>
      <c r="J504" s="12" t="inlineStr">
        <is>
          <t>42.38578, -75.87325</t>
        </is>
      </c>
      <c r="K504" s="12" t="inlineStr">
        <is>
          <t>No losses reported</t>
        </is>
      </c>
      <c r="L504" s="12" t="inlineStr">
        <is>
          <t>NYSDEC Forest Ranger Wildland Fire Reporting Database (Beginning 2008), data.ny.gov export 2026-09-28</t>
        </is>
      </c>
      <c r="M504" s="12" t="inlineStr">
        <is>
          <t>https://data.ny.gov/</t>
        </is>
      </c>
      <c r="N504" s="12" t="inlineStr">
        <is>
          <t>A</t>
        </is>
      </c>
      <c r="O504" s="12" t="inlineStr">
        <is>
          <t>Y</t>
        </is>
      </c>
      <c r="P504" s="12" t="inlineStr">
        <is>
          <t>2026-09-28 (v970, atlas session): bulk ingest per Laurie; fire number NYS-2015-0077; matching 🔥 pin on Natural History.</t>
        </is>
      </c>
      <c r="Q504" s="12" t="inlineStr">
        <is>
          <t>2015-05-03</t>
        </is>
      </c>
      <c r="R504" s="12">
        <f>VALUE(LEFT(Q504,4))</f>
        <v/>
      </c>
      <c r="S504" s="12">
        <f>VALUE(MID(Q504,6,2))</f>
        <v/>
      </c>
      <c r="T504" s="12">
        <f>VALUE(RIGHT(Q504,2))</f>
        <v/>
      </c>
      <c r="U504" s="12" t="inlineStr">
        <is>
          <t>day</t>
        </is>
      </c>
      <c r="V504" s="12" t="inlineStr">
        <is>
          <t>Fire start date (DEC report)</t>
        </is>
      </c>
    </row>
    <row r="505">
      <c r="A505" s="12" t="n">
        <v>565</v>
      </c>
      <c r="B505" s="12" t="inlineStr">
        <is>
          <t>2008-04-17</t>
        </is>
      </c>
      <c r="C505" s="12" t="inlineStr">
        <is>
          <t>2008-04-17</t>
        </is>
      </c>
      <c r="D505" s="12">
        <f>VALUE(LEFT(B505,4))</f>
        <v/>
      </c>
      <c r="E505" s="12">
        <f>INT((D505-1)/100)+1</f>
        <v/>
      </c>
      <c r="F505" s="12" t="inlineStr">
        <is>
          <t>Wildfire</t>
        </is>
      </c>
      <c r="G505" s="12" t="inlineStr">
        <is>
          <t>Berme Road Fire — wildfire, 1 acres, Wawarsing (Ulster Co.)</t>
        </is>
      </c>
      <c r="H505" s="12" t="inlineStr">
        <is>
          <t>Wawarsing, Ulster County; Private Property</t>
        </is>
      </c>
      <c r="I505" s="12" t="inlineStr">
        <is>
          <t>1 acres; cause Equipment; fuel 9 - Timber - Medium Hardwood Litter</t>
        </is>
      </c>
      <c r="J505" s="12" t="inlineStr">
        <is>
          <t>41.75745, -74.42621</t>
        </is>
      </c>
      <c r="K505" s="12" t="inlineStr">
        <is>
          <t>No losses reported</t>
        </is>
      </c>
      <c r="L505" s="12" t="inlineStr">
        <is>
          <t>NYSDEC Forest Ranger Wildland Fire Reporting Database (Beginning 2008), data.ny.gov export 2026-09-28</t>
        </is>
      </c>
      <c r="M505" s="12" t="inlineStr">
        <is>
          <t>https://data.ny.gov/</t>
        </is>
      </c>
      <c r="N505" s="12" t="inlineStr">
        <is>
          <t>A</t>
        </is>
      </c>
      <c r="O505" s="12" t="inlineStr">
        <is>
          <t>Y</t>
        </is>
      </c>
      <c r="P505" s="12" t="inlineStr">
        <is>
          <t>2026-09-28 (v970, atlas session): bulk ingest per Laurie; fire number NYS-2008-0044; matching 🔥 pin on Natural History.</t>
        </is>
      </c>
      <c r="Q505" s="12" t="inlineStr">
        <is>
          <t>2008-04-17</t>
        </is>
      </c>
      <c r="R505" s="12">
        <f>VALUE(LEFT(Q505,4))</f>
        <v/>
      </c>
      <c r="S505" s="12">
        <f>VALUE(MID(Q505,6,2))</f>
        <v/>
      </c>
      <c r="T505" s="12">
        <f>VALUE(RIGHT(Q505,2))</f>
        <v/>
      </c>
      <c r="U505" s="12" t="inlineStr">
        <is>
          <t>day</t>
        </is>
      </c>
      <c r="V505" s="12" t="inlineStr">
        <is>
          <t>Fire start date (DEC report)</t>
        </is>
      </c>
    </row>
    <row r="506">
      <c r="A506" s="12" t="n">
        <v>566</v>
      </c>
      <c r="B506" s="12" t="inlineStr">
        <is>
          <t>2022-04-14</t>
        </is>
      </c>
      <c r="C506" s="12" t="inlineStr">
        <is>
          <t>2022-04-16</t>
        </is>
      </c>
      <c r="D506" s="12">
        <f>VALUE(LEFT(B506,4))</f>
        <v/>
      </c>
      <c r="E506" s="12">
        <f>INT((D506-1)/100)+1</f>
        <v/>
      </c>
      <c r="F506" s="12" t="inlineStr">
        <is>
          <t>Wildfire</t>
        </is>
      </c>
      <c r="G506" s="12" t="inlineStr">
        <is>
          <t>Valley Farm Rd Fire — wildfire, 38 acres, Washington (Dutchess Co.)</t>
        </is>
      </c>
      <c r="H506" s="12" t="inlineStr">
        <is>
          <t>Washington, Dutchess County; Private Property</t>
        </is>
      </c>
      <c r="I506" s="12" t="inlineStr">
        <is>
          <t>38 acres; cause Debris Burning; fuel 8 - Timber - Light Hardwood Litter</t>
        </is>
      </c>
      <c r="J506" s="12" t="inlineStr">
        <is>
          <t>41.82291, -73.70341</t>
        </is>
      </c>
      <c r="K506" s="12" t="inlineStr">
        <is>
          <t>No losses reported</t>
        </is>
      </c>
      <c r="L506" s="12" t="inlineStr">
        <is>
          <t>NYSDEC Forest Ranger Wildland Fire Reporting Database (Beginning 2008), data.ny.gov export 2026-09-28</t>
        </is>
      </c>
      <c r="M506" s="12" t="inlineStr">
        <is>
          <t>https://data.ny.gov/</t>
        </is>
      </c>
      <c r="N506" s="12" t="inlineStr">
        <is>
          <t>A</t>
        </is>
      </c>
      <c r="O506" s="12" t="inlineStr">
        <is>
          <t>Y</t>
        </is>
      </c>
      <c r="P506" s="12" t="inlineStr">
        <is>
          <t>2026-09-28 (v970, atlas session): bulk ingest per Laurie; fire number NYS-2022-0023; matching 🔥 pin on Natural History.</t>
        </is>
      </c>
      <c r="Q506" s="12" t="inlineStr">
        <is>
          <t>2022-04-14</t>
        </is>
      </c>
      <c r="R506" s="12">
        <f>VALUE(LEFT(Q506,4))</f>
        <v/>
      </c>
      <c r="S506" s="12">
        <f>VALUE(MID(Q506,6,2))</f>
        <v/>
      </c>
      <c r="T506" s="12">
        <f>VALUE(RIGHT(Q506,2))</f>
        <v/>
      </c>
      <c r="U506" s="12" t="inlineStr">
        <is>
          <t>day</t>
        </is>
      </c>
      <c r="V506" s="12" t="inlineStr">
        <is>
          <t>Fire start date (DEC report)</t>
        </is>
      </c>
    </row>
    <row r="507">
      <c r="A507" s="12" t="n">
        <v>567</v>
      </c>
      <c r="B507" s="12" t="inlineStr">
        <is>
          <t>2009-04-25</t>
        </is>
      </c>
      <c r="C507" s="12" t="inlineStr">
        <is>
          <t>2009-04-25</t>
        </is>
      </c>
      <c r="D507" s="12">
        <f>VALUE(LEFT(B507,4))</f>
        <v/>
      </c>
      <c r="E507" s="12">
        <f>INT((D507-1)/100)+1</f>
        <v/>
      </c>
      <c r="F507" s="12" t="inlineStr">
        <is>
          <t>Wildfire</t>
        </is>
      </c>
      <c r="G507" s="12" t="inlineStr">
        <is>
          <t>Texas Hill Fire — wildfire, 1.5 acres, Hillsdale (Columbia Co.)</t>
        </is>
      </c>
      <c r="H507" s="12" t="inlineStr">
        <is>
          <t>Hillsdale, Columbia County; Private Property</t>
        </is>
      </c>
      <c r="I507" s="12" t="inlineStr">
        <is>
          <t>1.5 acres; cause Debris Burning; fuel 8 - Timber - Light Hardwood Litter</t>
        </is>
      </c>
      <c r="J507" s="12" t="inlineStr">
        <is>
          <t>42.19291, -73.58419</t>
        </is>
      </c>
      <c r="K507" s="12" t="inlineStr">
        <is>
          <t>No losses reported</t>
        </is>
      </c>
      <c r="L507" s="12" t="inlineStr">
        <is>
          <t>NYSDEC Forest Ranger Wildland Fire Reporting Database (Beginning 2008), data.ny.gov export 2026-09-28</t>
        </is>
      </c>
      <c r="M507" s="12" t="inlineStr">
        <is>
          <t>https://data.ny.gov/</t>
        </is>
      </c>
      <c r="N507" s="12" t="inlineStr">
        <is>
          <t>A</t>
        </is>
      </c>
      <c r="O507" s="12" t="inlineStr">
        <is>
          <t>Y</t>
        </is>
      </c>
      <c r="P507" s="12" t="inlineStr">
        <is>
          <t>2026-09-28 (v970, atlas session): bulk ingest per Laurie; fire number NYS-2009-0121; matching 🔥 pin on Natural History.</t>
        </is>
      </c>
      <c r="Q507" s="12" t="inlineStr">
        <is>
          <t>2009-04-25</t>
        </is>
      </c>
      <c r="R507" s="12">
        <f>VALUE(LEFT(Q507,4))</f>
        <v/>
      </c>
      <c r="S507" s="12">
        <f>VALUE(MID(Q507,6,2))</f>
        <v/>
      </c>
      <c r="T507" s="12">
        <f>VALUE(RIGHT(Q507,2))</f>
        <v/>
      </c>
      <c r="U507" s="12" t="inlineStr">
        <is>
          <t>day</t>
        </is>
      </c>
      <c r="V507" s="12" t="inlineStr">
        <is>
          <t>Fire start date (DEC report)</t>
        </is>
      </c>
    </row>
    <row r="508">
      <c r="A508" s="12" t="n">
        <v>568</v>
      </c>
      <c r="B508" s="12" t="inlineStr">
        <is>
          <t>2010-04-22</t>
        </is>
      </c>
      <c r="C508" s="12" t="inlineStr">
        <is>
          <t>2010-04-22</t>
        </is>
      </c>
      <c r="D508" s="12">
        <f>VALUE(LEFT(B508,4))</f>
        <v/>
      </c>
      <c r="E508" s="12">
        <f>INT((D508-1)/100)+1</f>
        <v/>
      </c>
      <c r="F508" s="12" t="inlineStr">
        <is>
          <t>Wildfire</t>
        </is>
      </c>
      <c r="G508" s="12" t="inlineStr">
        <is>
          <t>Rapp Rd Railway Fire — wildfire, 2.5 acres, Kinderhook (Columbia Co.)</t>
        </is>
      </c>
      <c r="H508" s="12" t="inlineStr">
        <is>
          <t>Kinderhook, Columbia County; Private Property</t>
        </is>
      </c>
      <c r="I508" s="12" t="inlineStr">
        <is>
          <t>2.5 acres; cause Railroad; fuel 8 - Timber - Light Hardwood Litter</t>
        </is>
      </c>
      <c r="J508" s="12" t="inlineStr">
        <is>
          <t>42.46556, -73.68323</t>
        </is>
      </c>
      <c r="K508" s="12" t="inlineStr">
        <is>
          <t>No losses reported</t>
        </is>
      </c>
      <c r="L508" s="12" t="inlineStr">
        <is>
          <t>NYSDEC Forest Ranger Wildland Fire Reporting Database (Beginning 2008), data.ny.gov export 2026-09-28</t>
        </is>
      </c>
      <c r="M508" s="12" t="inlineStr">
        <is>
          <t>https://data.ny.gov/</t>
        </is>
      </c>
      <c r="N508" s="12" t="inlineStr">
        <is>
          <t>A</t>
        </is>
      </c>
      <c r="O508" s="12" t="inlineStr">
        <is>
          <t>Y</t>
        </is>
      </c>
      <c r="P508" s="12" t="inlineStr">
        <is>
          <t>2026-09-28 (v970, atlas session): bulk ingest per Laurie; fire number NYS-2010-0077; matching 🔥 pin on Natural History.</t>
        </is>
      </c>
      <c r="Q508" s="12" t="inlineStr">
        <is>
          <t>2010-04-22</t>
        </is>
      </c>
      <c r="R508" s="12">
        <f>VALUE(LEFT(Q508,4))</f>
        <v/>
      </c>
      <c r="S508" s="12">
        <f>VALUE(MID(Q508,6,2))</f>
        <v/>
      </c>
      <c r="T508" s="12">
        <f>VALUE(RIGHT(Q508,2))</f>
        <v/>
      </c>
      <c r="U508" s="12" t="inlineStr">
        <is>
          <t>day</t>
        </is>
      </c>
      <c r="V508" s="12" t="inlineStr">
        <is>
          <t>Fire start date (DEC report)</t>
        </is>
      </c>
    </row>
    <row r="509">
      <c r="A509" s="12" t="n">
        <v>569</v>
      </c>
      <c r="B509" s="12" t="inlineStr">
        <is>
          <t>2012-04-07</t>
        </is>
      </c>
      <c r="C509" s="12" t="inlineStr">
        <is>
          <t>2012-04-10</t>
        </is>
      </c>
      <c r="D509" s="12">
        <f>VALUE(LEFT(B509,4))</f>
        <v/>
      </c>
      <c r="E509" s="12">
        <f>INT((D509-1)/100)+1</f>
        <v/>
      </c>
      <c r="F509" s="12" t="inlineStr">
        <is>
          <t>Wildfire</t>
        </is>
      </c>
      <c r="G509" s="12" t="inlineStr">
        <is>
          <t>Tamarack Fire — wildfire, 52 acres, Wawarsing (Ulster Co.)</t>
        </is>
      </c>
      <c r="H509" s="12" t="inlineStr">
        <is>
          <t>Wawarsing, Ulster County; Private Property</t>
        </is>
      </c>
      <c r="I509" s="12" t="inlineStr">
        <is>
          <t>52 acres; cause Debris Burning; fuel 9 - Timber - Medium Hardwood Litter</t>
        </is>
      </c>
      <c r="J509" s="12" t="inlineStr">
        <is>
          <t>41.73130, -74.49957</t>
        </is>
      </c>
      <c r="K509" s="12" t="inlineStr">
        <is>
          <t>Homes Lost: 3; Other Structures Lost: 39; Other Structures Threatened: 2</t>
        </is>
      </c>
      <c r="L509" s="12" t="inlineStr">
        <is>
          <t>NYSDEC Forest Ranger Wildland Fire Reporting Database (Beginning 2008), data.ny.gov export 2026-09-28</t>
        </is>
      </c>
      <c r="M509" s="12" t="inlineStr">
        <is>
          <t>https://data.ny.gov/</t>
        </is>
      </c>
      <c r="N509" s="12" t="inlineStr">
        <is>
          <t>A</t>
        </is>
      </c>
      <c r="O509" s="12" t="inlineStr">
        <is>
          <t>Y</t>
        </is>
      </c>
      <c r="P509" s="12" t="inlineStr">
        <is>
          <t>2026-09-28 (v970, atlas session): bulk ingest per Laurie; fire number NYS-2012-0066; matching 🔥 pin on Natural History.</t>
        </is>
      </c>
      <c r="Q509" s="12" t="inlineStr">
        <is>
          <t>2012-04-07</t>
        </is>
      </c>
      <c r="R509" s="12">
        <f>VALUE(LEFT(Q509,4))</f>
        <v/>
      </c>
      <c r="S509" s="12">
        <f>VALUE(MID(Q509,6,2))</f>
        <v/>
      </c>
      <c r="T509" s="12">
        <f>VALUE(RIGHT(Q509,2))</f>
        <v/>
      </c>
      <c r="U509" s="12" t="inlineStr">
        <is>
          <t>day</t>
        </is>
      </c>
      <c r="V509" s="12" t="inlineStr">
        <is>
          <t>Fire start date (DEC report)</t>
        </is>
      </c>
    </row>
    <row r="510">
      <c r="A510" s="12" t="n">
        <v>570</v>
      </c>
      <c r="B510" s="12" t="inlineStr">
        <is>
          <t>2021-04-23</t>
        </is>
      </c>
      <c r="C510" s="12" t="inlineStr">
        <is>
          <t>2021-04-24</t>
        </is>
      </c>
      <c r="D510" s="12">
        <f>VALUE(LEFT(B510,4))</f>
        <v/>
      </c>
      <c r="E510" s="12">
        <f>INT((D510-1)/100)+1</f>
        <v/>
      </c>
      <c r="F510" s="12" t="inlineStr">
        <is>
          <t>Wildfire</t>
        </is>
      </c>
      <c r="G510" s="12" t="inlineStr">
        <is>
          <t>Banadics Road Fire — wildfire, 1.5 acres, Wawarsing (Ulster Co.)</t>
        </is>
      </c>
      <c r="H510" s="12" t="inlineStr">
        <is>
          <t>Wawarsing, Ulster County; Private Property</t>
        </is>
      </c>
      <c r="I510" s="12" t="inlineStr">
        <is>
          <t>1.5 acres; cause Power line; fuel 8 - Timber - Light Hardwood Litter</t>
        </is>
      </c>
      <c r="J510" s="12" t="inlineStr">
        <is>
          <t>41.70211, -74.41619</t>
        </is>
      </c>
      <c r="K510" s="12" t="inlineStr">
        <is>
          <t>No losses reported</t>
        </is>
      </c>
      <c r="L510" s="12" t="inlineStr">
        <is>
          <t>NYSDEC Forest Ranger Wildland Fire Reporting Database (Beginning 2008), data.ny.gov export 2026-09-28</t>
        </is>
      </c>
      <c r="M510" s="12" t="inlineStr">
        <is>
          <t>https://data.ny.gov/</t>
        </is>
      </c>
      <c r="N510" s="12" t="inlineStr">
        <is>
          <t>A</t>
        </is>
      </c>
      <c r="O510" s="12" t="inlineStr">
        <is>
          <t>Y</t>
        </is>
      </c>
      <c r="P510" s="12" t="inlineStr">
        <is>
          <t>2026-09-28 (v970, atlas session): bulk ingest per Laurie; fire number NYS-2021-0086; matching 🔥 pin on Natural History.</t>
        </is>
      </c>
      <c r="Q510" s="12" t="inlineStr">
        <is>
          <t>2021-04-23</t>
        </is>
      </c>
      <c r="R510" s="12">
        <f>VALUE(LEFT(Q510,4))</f>
        <v/>
      </c>
      <c r="S510" s="12">
        <f>VALUE(MID(Q510,6,2))</f>
        <v/>
      </c>
      <c r="T510" s="12">
        <f>VALUE(RIGHT(Q510,2))</f>
        <v/>
      </c>
      <c r="U510" s="12" t="inlineStr">
        <is>
          <t>day</t>
        </is>
      </c>
      <c r="V510" s="12" t="inlineStr">
        <is>
          <t>Fire start date (DEC report)</t>
        </is>
      </c>
    </row>
    <row r="511">
      <c r="A511" s="12" t="n">
        <v>571</v>
      </c>
      <c r="B511" s="12" t="inlineStr">
        <is>
          <t>2008-04-16</t>
        </is>
      </c>
      <c r="C511" s="12" t="inlineStr">
        <is>
          <t>2008-04-17</t>
        </is>
      </c>
      <c r="D511" s="12">
        <f>VALUE(LEFT(B511,4))</f>
        <v/>
      </c>
      <c r="E511" s="12">
        <f>INT((D511-1)/100)+1</f>
        <v/>
      </c>
      <c r="F511" s="12" t="inlineStr">
        <is>
          <t>Wildfire</t>
        </is>
      </c>
      <c r="G511" s="12" t="inlineStr">
        <is>
          <t>Wemple Road Fire — wildfire, 5.8 acres, Bethlehem (Albany Co.)</t>
        </is>
      </c>
      <c r="H511" s="12" t="inlineStr">
        <is>
          <t>Bethlehem, Albany County; Private Property</t>
        </is>
      </c>
      <c r="I511" s="12" t="inlineStr">
        <is>
          <t>5.8 acres; cause Railroad; fuel 7 - Brush - Understory</t>
        </is>
      </c>
      <c r="J511" s="12" t="inlineStr">
        <is>
          <t>42.56510, -73.77813</t>
        </is>
      </c>
      <c r="K511" s="12" t="inlineStr">
        <is>
          <t>Injuries: 1</t>
        </is>
      </c>
      <c r="L511" s="12" t="inlineStr">
        <is>
          <t>NYSDEC Forest Ranger Wildland Fire Reporting Database (Beginning 2008), data.ny.gov export 2026-09-28</t>
        </is>
      </c>
      <c r="M511" s="12" t="inlineStr">
        <is>
          <t>https://data.ny.gov/</t>
        </is>
      </c>
      <c r="N511" s="12" t="inlineStr">
        <is>
          <t>A</t>
        </is>
      </c>
      <c r="O511" s="12" t="inlineStr">
        <is>
          <t>Y</t>
        </is>
      </c>
      <c r="P511" s="12" t="inlineStr">
        <is>
          <t>2026-09-28 (v970, atlas session): bulk ingest per Laurie; fire number NYS-2008-0038; matching 🔥 pin on Natural History.</t>
        </is>
      </c>
      <c r="Q511" s="12" t="inlineStr">
        <is>
          <t>2008-04-16</t>
        </is>
      </c>
      <c r="R511" s="12">
        <f>VALUE(LEFT(Q511,4))</f>
        <v/>
      </c>
      <c r="S511" s="12">
        <f>VALUE(MID(Q511,6,2))</f>
        <v/>
      </c>
      <c r="T511" s="12">
        <f>VALUE(RIGHT(Q511,2))</f>
        <v/>
      </c>
      <c r="U511" s="12" t="inlineStr">
        <is>
          <t>day</t>
        </is>
      </c>
      <c r="V511" s="12" t="inlineStr">
        <is>
          <t>Fire start date (DEC report)</t>
        </is>
      </c>
    </row>
    <row r="512">
      <c r="A512" s="12" t="n">
        <v>572</v>
      </c>
      <c r="B512" s="12" t="inlineStr">
        <is>
          <t>2016-03-07</t>
        </is>
      </c>
      <c r="C512" s="12" t="inlineStr">
        <is>
          <t>2016-03-07</t>
        </is>
      </c>
      <c r="D512" s="12">
        <f>VALUE(LEFT(B512,4))</f>
        <v/>
      </c>
      <c r="E512" s="12">
        <f>INT((D512-1)/100)+1</f>
        <v/>
      </c>
      <c r="F512" s="12" t="inlineStr">
        <is>
          <t>Wildfire</t>
        </is>
      </c>
      <c r="G512" s="12" t="inlineStr">
        <is>
          <t>Caldwell Hill Fire — wildfire, 20.5 acres, Nanticoke (Broome Co.)</t>
        </is>
      </c>
      <c r="H512" s="12" t="inlineStr">
        <is>
          <t>Nanticoke, Broome County; Private Property</t>
        </is>
      </c>
      <c r="I512" s="12" t="inlineStr">
        <is>
          <t>20.5 acres; cause Debris Burning; fuel 3 - Grass - Heavy</t>
        </is>
      </c>
      <c r="J512" s="12" t="inlineStr">
        <is>
          <t>42.28080, -76.06146</t>
        </is>
      </c>
      <c r="K512" s="12" t="inlineStr">
        <is>
          <t>Injuries: 1</t>
        </is>
      </c>
      <c r="L512" s="12" t="inlineStr">
        <is>
          <t>NYSDEC Forest Ranger Wildland Fire Reporting Database (Beginning 2008), data.ny.gov export 2026-09-28</t>
        </is>
      </c>
      <c r="M512" s="12" t="inlineStr">
        <is>
          <t>https://data.ny.gov/</t>
        </is>
      </c>
      <c r="N512" s="12" t="inlineStr">
        <is>
          <t>A</t>
        </is>
      </c>
      <c r="O512" s="12" t="inlineStr">
        <is>
          <t>Y</t>
        </is>
      </c>
      <c r="P512" s="12" t="inlineStr">
        <is>
          <t>2026-09-28 (v970, atlas session): bulk ingest per Laurie; fire number NYS-2016-0005; matching 🔥 pin on Natural History.</t>
        </is>
      </c>
      <c r="Q512" s="12" t="inlineStr">
        <is>
          <t>2016-03-07</t>
        </is>
      </c>
      <c r="R512" s="12">
        <f>VALUE(LEFT(Q512,4))</f>
        <v/>
      </c>
      <c r="S512" s="12">
        <f>VALUE(MID(Q512,6,2))</f>
        <v/>
      </c>
      <c r="T512" s="12">
        <f>VALUE(RIGHT(Q512,2))</f>
        <v/>
      </c>
      <c r="U512" s="12" t="inlineStr">
        <is>
          <t>day</t>
        </is>
      </c>
      <c r="V512" s="12" t="inlineStr">
        <is>
          <t>Fire start date (DEC report)</t>
        </is>
      </c>
    </row>
    <row r="513">
      <c r="A513" s="12" t="n">
        <v>573</v>
      </c>
      <c r="B513" s="12" t="inlineStr">
        <is>
          <t>2014-04-06</t>
        </is>
      </c>
      <c r="C513" s="12" t="inlineStr">
        <is>
          <t>2014-04-06</t>
        </is>
      </c>
      <c r="D513" s="12">
        <f>VALUE(LEFT(B513,4))</f>
        <v/>
      </c>
      <c r="E513" s="12">
        <f>INT((D513-1)/100)+1</f>
        <v/>
      </c>
      <c r="F513" s="12" t="inlineStr">
        <is>
          <t>Wildfire</t>
        </is>
      </c>
      <c r="G513" s="12" t="inlineStr">
        <is>
          <t>Woodland Ave — wildfire, 1 acres, Wawarsing (Ulster Co.)</t>
        </is>
      </c>
      <c r="H513" s="12" t="inlineStr">
        <is>
          <t>Wawarsing, Ulster County; Private Property</t>
        </is>
      </c>
      <c r="I513" s="12" t="inlineStr">
        <is>
          <t>1 acres; cause Debris Burning; fuel 8 - Timber - Light Hardwood Litter</t>
        </is>
      </c>
      <c r="J513" s="12" t="inlineStr">
        <is>
          <t>41.75279, -74.37198</t>
        </is>
      </c>
      <c r="K513" s="12" t="inlineStr">
        <is>
          <t>No losses reported</t>
        </is>
      </c>
      <c r="L513" s="12" t="inlineStr">
        <is>
          <t>NYSDEC Forest Ranger Wildland Fire Reporting Database (Beginning 2008), data.ny.gov export 2026-09-28</t>
        </is>
      </c>
      <c r="M513" s="12" t="inlineStr">
        <is>
          <t>https://data.ny.gov/</t>
        </is>
      </c>
      <c r="N513" s="12" t="inlineStr">
        <is>
          <t>A</t>
        </is>
      </c>
      <c r="O513" s="12" t="inlineStr">
        <is>
          <t>Y</t>
        </is>
      </c>
      <c r="P513" s="12" t="inlineStr">
        <is>
          <t>2026-09-28 (v970, atlas session): bulk ingest per Laurie; fire number NYS-2014-0013; matching 🔥 pin on Natural History.</t>
        </is>
      </c>
      <c r="Q513" s="12" t="inlineStr">
        <is>
          <t>2014-04-06</t>
        </is>
      </c>
      <c r="R513" s="12">
        <f>VALUE(LEFT(Q513,4))</f>
        <v/>
      </c>
      <c r="S513" s="12">
        <f>VALUE(MID(Q513,6,2))</f>
        <v/>
      </c>
      <c r="T513" s="12">
        <f>VALUE(RIGHT(Q513,2))</f>
        <v/>
      </c>
      <c r="U513" s="12" t="inlineStr">
        <is>
          <t>day</t>
        </is>
      </c>
      <c r="V513" s="12" t="inlineStr">
        <is>
          <t>Fire start date (DEC report)</t>
        </is>
      </c>
    </row>
    <row r="514">
      <c r="A514" s="12" t="n">
        <v>574</v>
      </c>
      <c r="B514" s="12" t="inlineStr">
        <is>
          <t>2023-05-15</t>
        </is>
      </c>
      <c r="C514" s="12" t="inlineStr">
        <is>
          <t>2023-05-15</t>
        </is>
      </c>
      <c r="D514" s="12">
        <f>VALUE(LEFT(B514,4))</f>
        <v/>
      </c>
      <c r="E514" s="12">
        <f>INT((D514-1)/100)+1</f>
        <v/>
      </c>
      <c r="F514" s="12" t="inlineStr">
        <is>
          <t>Wildfire</t>
        </is>
      </c>
      <c r="G514" s="12" t="inlineStr">
        <is>
          <t>Conesville Fire — wildfire, 1 acres, Conesville (Schoharie Co.)</t>
        </is>
      </c>
      <c r="H514" s="12" t="inlineStr">
        <is>
          <t>Conesville, Schoharie County; Private Property</t>
        </is>
      </c>
      <c r="I514" s="12" t="inlineStr">
        <is>
          <t>1 acres; cause Debris Burning; fuel 10 - Timber - Heavy Litter/Downed Fuels</t>
        </is>
      </c>
      <c r="J514" s="12" t="inlineStr">
        <is>
          <t>42.37776, -74.41155</t>
        </is>
      </c>
      <c r="K514" s="12" t="inlineStr">
        <is>
          <t>No losses reported</t>
        </is>
      </c>
      <c r="L514" s="12" t="inlineStr">
        <is>
          <t>NYSDEC Forest Ranger Wildland Fire Reporting Database (Beginning 2008), data.ny.gov export 2026-09-28</t>
        </is>
      </c>
      <c r="M514" s="12" t="inlineStr">
        <is>
          <t>https://data.ny.gov/</t>
        </is>
      </c>
      <c r="N514" s="12" t="inlineStr">
        <is>
          <t>A</t>
        </is>
      </c>
      <c r="O514" s="12" t="inlineStr">
        <is>
          <t>Y</t>
        </is>
      </c>
      <c r="P514" s="12" t="inlineStr">
        <is>
          <t>2026-09-28 (v970, atlas session): bulk ingest per Laurie; fire number NYS-2023-0111; matching 🔥 pin on Natural History.</t>
        </is>
      </c>
      <c r="Q514" s="12" t="inlineStr">
        <is>
          <t>2023-05-15</t>
        </is>
      </c>
      <c r="R514" s="12">
        <f>VALUE(LEFT(Q514,4))</f>
        <v/>
      </c>
      <c r="S514" s="12">
        <f>VALUE(MID(Q514,6,2))</f>
        <v/>
      </c>
      <c r="T514" s="12">
        <f>VALUE(RIGHT(Q514,2))</f>
        <v/>
      </c>
      <c r="U514" s="12" t="inlineStr">
        <is>
          <t>day</t>
        </is>
      </c>
      <c r="V514" s="12" t="inlineStr">
        <is>
          <t>Fire start date (DEC report)</t>
        </is>
      </c>
    </row>
    <row r="515">
      <c r="A515" s="12" t="n">
        <v>576</v>
      </c>
      <c r="B515" s="12" t="inlineStr">
        <is>
          <t>2014-10-14</t>
        </is>
      </c>
      <c r="C515" s="12" t="inlineStr">
        <is>
          <t>2014-10-15</t>
        </is>
      </c>
      <c r="D515" s="12">
        <f>VALUE(LEFT(B515,4))</f>
        <v/>
      </c>
      <c r="E515" s="12">
        <f>INT((D515-1)/100)+1</f>
        <v/>
      </c>
      <c r="F515" s="12" t="inlineStr">
        <is>
          <t>Wildfire</t>
        </is>
      </c>
      <c r="G515" s="12" t="inlineStr">
        <is>
          <t>Struble Fire — wildfire, 1.7 acres, Union (Broome Co.)</t>
        </is>
      </c>
      <c r="H515" s="12" t="inlineStr">
        <is>
          <t>Union, Broome County; Private Property</t>
        </is>
      </c>
      <c r="I515" s="12" t="inlineStr">
        <is>
          <t>1.7 acres; cause Campfire; fuel 12 - Slash - Medium</t>
        </is>
      </c>
      <c r="J515" s="12" t="inlineStr">
        <is>
          <t>42.13856, -76.01799</t>
        </is>
      </c>
      <c r="K515" s="12" t="inlineStr">
        <is>
          <t>No losses reported</t>
        </is>
      </c>
      <c r="L515" s="12" t="inlineStr">
        <is>
          <t>NYSDEC Forest Ranger Wildland Fire Reporting Database (Beginning 2008), data.ny.gov export 2026-09-28</t>
        </is>
      </c>
      <c r="M515" s="12" t="inlineStr">
        <is>
          <t>https://data.ny.gov/</t>
        </is>
      </c>
      <c r="N515" s="12" t="inlineStr">
        <is>
          <t>A</t>
        </is>
      </c>
      <c r="O515" s="12" t="inlineStr">
        <is>
          <t>Y</t>
        </is>
      </c>
      <c r="P515" s="12" t="inlineStr">
        <is>
          <t>2026-09-28 (v970, atlas session): bulk ingest per Laurie; fire number NYS-2014-0130; matching 🔥 pin on Natural History.</t>
        </is>
      </c>
      <c r="Q515" s="12" t="inlineStr">
        <is>
          <t>2014-10-14</t>
        </is>
      </c>
      <c r="R515" s="12">
        <f>VALUE(LEFT(Q515,4))</f>
        <v/>
      </c>
      <c r="S515" s="12">
        <f>VALUE(MID(Q515,6,2))</f>
        <v/>
      </c>
      <c r="T515" s="12">
        <f>VALUE(RIGHT(Q515,2))</f>
        <v/>
      </c>
      <c r="U515" s="12" t="inlineStr">
        <is>
          <t>day</t>
        </is>
      </c>
      <c r="V515" s="12" t="inlineStr">
        <is>
          <t>Fire start date (DEC report)</t>
        </is>
      </c>
    </row>
    <row r="516">
      <c r="A516" s="12" t="n">
        <v>577</v>
      </c>
      <c r="B516" s="12" t="inlineStr">
        <is>
          <t>2020-06-21</t>
        </is>
      </c>
      <c r="C516" s="12" t="inlineStr">
        <is>
          <t>2020-06-21</t>
        </is>
      </c>
      <c r="D516" s="12">
        <f>VALUE(LEFT(B516,4))</f>
        <v/>
      </c>
      <c r="E516" s="12">
        <f>INT((D516-1)/100)+1</f>
        <v/>
      </c>
      <c r="F516" s="12" t="inlineStr">
        <is>
          <t>Wildfire</t>
        </is>
      </c>
      <c r="G516" s="12" t="inlineStr">
        <is>
          <t>Illing Dr Fire — wildfire, 0.3 acres, Fallsburgh (Sullivan Co.)</t>
        </is>
      </c>
      <c r="H516" s="12" t="inlineStr">
        <is>
          <t>Fallsburgh, Sullivan County; Private Property</t>
        </is>
      </c>
      <c r="I516" s="12" t="inlineStr">
        <is>
          <t>0.3 acres; cause Debris Burning; fuel 12 - Slash - Medium</t>
        </is>
      </c>
      <c r="J516" s="12" t="inlineStr">
        <is>
          <t>41.79540, -74.61680</t>
        </is>
      </c>
      <c r="K516" s="12" t="inlineStr">
        <is>
          <t>No losses reported</t>
        </is>
      </c>
      <c r="L516" s="12" t="inlineStr">
        <is>
          <t>NYSDEC Forest Ranger Wildland Fire Reporting Database (Beginning 2008), data.ny.gov export 2026-09-28</t>
        </is>
      </c>
      <c r="M516" s="12" t="inlineStr">
        <is>
          <t>https://data.ny.gov/</t>
        </is>
      </c>
      <c r="N516" s="12" t="inlineStr">
        <is>
          <t>A</t>
        </is>
      </c>
      <c r="O516" s="12" t="inlineStr">
        <is>
          <t>Y</t>
        </is>
      </c>
      <c r="P516" s="12" t="inlineStr">
        <is>
          <t>2026-09-28 (v970, atlas session): bulk ingest per Laurie; fire number NYS-2020-0094; matching 🔥 pin on Natural History.</t>
        </is>
      </c>
      <c r="Q516" s="12" t="inlineStr">
        <is>
          <t>2020-06-21</t>
        </is>
      </c>
      <c r="R516" s="12">
        <f>VALUE(LEFT(Q516,4))</f>
        <v/>
      </c>
      <c r="S516" s="12">
        <f>VALUE(MID(Q516,6,2))</f>
        <v/>
      </c>
      <c r="T516" s="12">
        <f>VALUE(RIGHT(Q516,2))</f>
        <v/>
      </c>
      <c r="U516" s="12" t="inlineStr">
        <is>
          <t>day</t>
        </is>
      </c>
      <c r="V516" s="12" t="inlineStr">
        <is>
          <t>Fire start date (DEC report)</t>
        </is>
      </c>
    </row>
    <row r="517">
      <c r="A517" s="12" t="n">
        <v>578</v>
      </c>
      <c r="B517" s="12" t="inlineStr">
        <is>
          <t>2009-03-25</t>
        </is>
      </c>
      <c r="C517" s="12" t="inlineStr">
        <is>
          <t>2009-03-25</t>
        </is>
      </c>
      <c r="D517" s="12">
        <f>VALUE(LEFT(B517,4))</f>
        <v/>
      </c>
      <c r="E517" s="12">
        <f>INT((D517-1)/100)+1</f>
        <v/>
      </c>
      <c r="F517" s="12" t="inlineStr">
        <is>
          <t>Wildfire</t>
        </is>
      </c>
      <c r="G517" s="12" t="inlineStr">
        <is>
          <t>Callicoon — wildfire, 5.5 acres, Bethel (Sullivan Co.)</t>
        </is>
      </c>
      <c r="H517" s="12" t="inlineStr">
        <is>
          <t>Bethel, Sullivan County; Private Property</t>
        </is>
      </c>
      <c r="I517" s="12" t="inlineStr">
        <is>
          <t>5.5 acres; cause Debris Burning; fuel 8 - Timber - Light Hardwood Litter</t>
        </is>
      </c>
      <c r="J517" s="12" t="inlineStr">
        <is>
          <t>41.69164, -74.90998</t>
        </is>
      </c>
      <c r="K517" s="12" t="inlineStr">
        <is>
          <t>No losses reported</t>
        </is>
      </c>
      <c r="L517" s="12" t="inlineStr">
        <is>
          <t>NYSDEC Forest Ranger Wildland Fire Reporting Database (Beginning 2008), data.ny.gov export 2026-09-28</t>
        </is>
      </c>
      <c r="M517" s="12" t="inlineStr">
        <is>
          <t>https://data.ny.gov/</t>
        </is>
      </c>
      <c r="N517" s="12" t="inlineStr">
        <is>
          <t>A</t>
        </is>
      </c>
      <c r="O517" s="12" t="inlineStr">
        <is>
          <t>Y</t>
        </is>
      </c>
      <c r="P517" s="12" t="inlineStr">
        <is>
          <t>2026-09-28 (v970, atlas session): bulk ingest per Laurie; fire number NYS-2009-0020; matching 🔥 pin on Natural History.</t>
        </is>
      </c>
      <c r="Q517" s="12" t="inlineStr">
        <is>
          <t>2009-03-25</t>
        </is>
      </c>
      <c r="R517" s="12">
        <f>VALUE(LEFT(Q517,4))</f>
        <v/>
      </c>
      <c r="S517" s="12">
        <f>VALUE(MID(Q517,6,2))</f>
        <v/>
      </c>
      <c r="T517" s="12">
        <f>VALUE(RIGHT(Q517,2))</f>
        <v/>
      </c>
      <c r="U517" s="12" t="inlineStr">
        <is>
          <t>day</t>
        </is>
      </c>
      <c r="V517" s="12" t="inlineStr">
        <is>
          <t>Fire start date (DEC report)</t>
        </is>
      </c>
    </row>
    <row r="518">
      <c r="A518" s="12" t="n">
        <v>580</v>
      </c>
      <c r="B518" s="12" t="inlineStr">
        <is>
          <t>2008-04-19</t>
        </is>
      </c>
      <c r="C518" s="12" t="inlineStr">
        <is>
          <t>2008-04-20</t>
        </is>
      </c>
      <c r="D518" s="12">
        <f>VALUE(LEFT(B518,4))</f>
        <v/>
      </c>
      <c r="E518" s="12">
        <f>INT((D518-1)/100)+1</f>
        <v/>
      </c>
      <c r="F518" s="12" t="inlineStr">
        <is>
          <t>Wildfire</t>
        </is>
      </c>
      <c r="G518" s="12" t="inlineStr">
        <is>
          <t>Bloomingburg — wildfire, 14.8 acres, Mamakating (Sullivan Co.)</t>
        </is>
      </c>
      <c r="H518" s="12" t="inlineStr">
        <is>
          <t>Mamakating, Sullivan County; Private Property</t>
        </is>
      </c>
      <c r="I518" s="12" t="inlineStr">
        <is>
          <t>14.8 acres; cause Debris Burning; fuel 2 - Grass - Understory</t>
        </is>
      </c>
      <c r="J518" s="12" t="inlineStr">
        <is>
          <t>41.57640, -74.45658</t>
        </is>
      </c>
      <c r="K518" s="12" t="inlineStr">
        <is>
          <t>No losses reported</t>
        </is>
      </c>
      <c r="L518" s="12" t="inlineStr">
        <is>
          <t>NYSDEC Forest Ranger Wildland Fire Reporting Database (Beginning 2008), data.ny.gov export 2026-09-28</t>
        </is>
      </c>
      <c r="M518" s="12" t="inlineStr">
        <is>
          <t>https://data.ny.gov/</t>
        </is>
      </c>
      <c r="N518" s="12" t="inlineStr">
        <is>
          <t>A</t>
        </is>
      </c>
      <c r="O518" s="12" t="inlineStr">
        <is>
          <t>Y</t>
        </is>
      </c>
      <c r="P518" s="12" t="inlineStr">
        <is>
          <t>2026-09-28 (v970, atlas session): bulk ingest per Laurie; fire number NYS-2008-0074; matching 🔥 pin on Natural History.</t>
        </is>
      </c>
      <c r="Q518" s="12" t="inlineStr">
        <is>
          <t>2008-04-19</t>
        </is>
      </c>
      <c r="R518" s="12">
        <f>VALUE(LEFT(Q518,4))</f>
        <v/>
      </c>
      <c r="S518" s="12">
        <f>VALUE(MID(Q518,6,2))</f>
        <v/>
      </c>
      <c r="T518" s="12">
        <f>VALUE(RIGHT(Q518,2))</f>
        <v/>
      </c>
      <c r="U518" s="12" t="inlineStr">
        <is>
          <t>day</t>
        </is>
      </c>
      <c r="V518" s="12" t="inlineStr">
        <is>
          <t>Fire start date (DEC report)</t>
        </is>
      </c>
    </row>
    <row r="519">
      <c r="A519" s="12" t="n">
        <v>582</v>
      </c>
      <c r="B519" s="12" t="inlineStr">
        <is>
          <t>2023-05-28</t>
        </is>
      </c>
      <c r="C519" s="12" t="inlineStr">
        <is>
          <t>2023-05-28</t>
        </is>
      </c>
      <c r="D519" s="12">
        <f>VALUE(LEFT(B519,4))</f>
        <v/>
      </c>
      <c r="E519" s="12">
        <f>INT((D519-1)/100)+1</f>
        <v/>
      </c>
      <c r="F519" s="12" t="inlineStr">
        <is>
          <t>Wildfire</t>
        </is>
      </c>
      <c r="G519" s="12" t="inlineStr">
        <is>
          <t>Rose Mt Big Indian fire — wildfire, 0.8 acres, Shandaken (Ulster Co.)</t>
        </is>
      </c>
      <c r="H519" s="12" t="inlineStr">
        <is>
          <t>Shandaken, Ulster County; Private Property</t>
        </is>
      </c>
      <c r="I519" s="12" t="inlineStr">
        <is>
          <t>0.8 acres; cause Power line; fuel 8 - Timber - Light Hardwood Litter</t>
        </is>
      </c>
      <c r="J519" s="12" t="inlineStr">
        <is>
          <t>42.13088, -74.46370</t>
        </is>
      </c>
      <c r="K519" s="12" t="inlineStr">
        <is>
          <t>No losses reported</t>
        </is>
      </c>
      <c r="L519" s="12" t="inlineStr">
        <is>
          <t>NYSDEC Forest Ranger Wildland Fire Reporting Database (Beginning 2008), data.ny.gov export 2026-09-28</t>
        </is>
      </c>
      <c r="M519" s="12" t="inlineStr">
        <is>
          <t>https://data.ny.gov/</t>
        </is>
      </c>
      <c r="N519" s="12" t="inlineStr">
        <is>
          <t>A</t>
        </is>
      </c>
      <c r="O519" s="12" t="inlineStr">
        <is>
          <t>Y</t>
        </is>
      </c>
      <c r="P519" s="12" t="inlineStr">
        <is>
          <t>2026-09-28 (v970, atlas session): bulk ingest per Laurie; fire number NYS-2023-0144; matching 🔥 pin on Natural History.</t>
        </is>
      </c>
      <c r="Q519" s="12" t="inlineStr">
        <is>
          <t>2023-05-28</t>
        </is>
      </c>
      <c r="R519" s="12">
        <f>VALUE(LEFT(Q519,4))</f>
        <v/>
      </c>
      <c r="S519" s="12">
        <f>VALUE(MID(Q519,6,2))</f>
        <v/>
      </c>
      <c r="T519" s="12">
        <f>VALUE(RIGHT(Q519,2))</f>
        <v/>
      </c>
      <c r="U519" s="12" t="inlineStr">
        <is>
          <t>day</t>
        </is>
      </c>
      <c r="V519" s="12" t="inlineStr">
        <is>
          <t>Fire start date (DEC report)</t>
        </is>
      </c>
    </row>
    <row r="520">
      <c r="A520" s="12" t="n">
        <v>585</v>
      </c>
      <c r="B520" s="12" t="inlineStr">
        <is>
          <t>2015-05-11</t>
        </is>
      </c>
      <c r="C520" s="12" t="inlineStr">
        <is>
          <t>2015-05-11</t>
        </is>
      </c>
      <c r="D520" s="12">
        <f>VALUE(LEFT(B520,4))</f>
        <v/>
      </c>
      <c r="E520" s="12">
        <f>INT((D520-1)/100)+1</f>
        <v/>
      </c>
      <c r="F520" s="12" t="inlineStr">
        <is>
          <t>Wildfire</t>
        </is>
      </c>
      <c r="G520" s="12" t="inlineStr">
        <is>
          <t>D&amp;H — wildfire, 0.3 acres, Mamakating (Sullivan Co.)</t>
        </is>
      </c>
      <c r="H520" s="12" t="inlineStr">
        <is>
          <t>Mamakating, Sullivan County; Other Government</t>
        </is>
      </c>
      <c r="I520" s="12" t="inlineStr">
        <is>
          <t>0.3 acres; cause Incendiary; fuel 9 - Timber - Medium Hardwood Litter</t>
        </is>
      </c>
      <c r="J520" s="12" t="inlineStr">
        <is>
          <t>41.57912, -74.47643</t>
        </is>
      </c>
      <c r="K520" s="12" t="inlineStr">
        <is>
          <t>No losses reported</t>
        </is>
      </c>
      <c r="L520" s="12" t="inlineStr">
        <is>
          <t>NYSDEC Forest Ranger Wildland Fire Reporting Database (Beginning 2008), data.ny.gov export 2026-09-28</t>
        </is>
      </c>
      <c r="M520" s="12" t="inlineStr">
        <is>
          <t>https://data.ny.gov/</t>
        </is>
      </c>
      <c r="N520" s="12" t="inlineStr">
        <is>
          <t>A</t>
        </is>
      </c>
      <c r="O520" s="12" t="inlineStr">
        <is>
          <t>Y</t>
        </is>
      </c>
      <c r="P520" s="12" t="inlineStr">
        <is>
          <t>2026-09-28 (v970, atlas session): bulk ingest per Laurie; fire number NYS-2015-0113; matching 🔥 pin on Natural History.</t>
        </is>
      </c>
      <c r="Q520" s="12" t="inlineStr">
        <is>
          <t>2015-05-11</t>
        </is>
      </c>
      <c r="R520" s="12">
        <f>VALUE(LEFT(Q520,4))</f>
        <v/>
      </c>
      <c r="S520" s="12">
        <f>VALUE(MID(Q520,6,2))</f>
        <v/>
      </c>
      <c r="T520" s="12">
        <f>VALUE(RIGHT(Q520,2))</f>
        <v/>
      </c>
      <c r="U520" s="12" t="inlineStr">
        <is>
          <t>day</t>
        </is>
      </c>
      <c r="V520" s="12" t="inlineStr">
        <is>
          <t>Fire start date (DEC report)</t>
        </is>
      </c>
    </row>
    <row r="521">
      <c r="A521" s="12" t="n">
        <v>586</v>
      </c>
      <c r="B521" s="12" t="inlineStr">
        <is>
          <t>2010-07-03</t>
        </is>
      </c>
      <c r="C521" s="12" t="inlineStr">
        <is>
          <t>2010-07-05</t>
        </is>
      </c>
      <c r="D521" s="12">
        <f>VALUE(LEFT(B521,4))</f>
        <v/>
      </c>
      <c r="E521" s="12">
        <f>INT((D521-1)/100)+1</f>
        <v/>
      </c>
      <c r="F521" s="12" t="inlineStr">
        <is>
          <t>Wildfire</t>
        </is>
      </c>
      <c r="G521" s="12" t="inlineStr">
        <is>
          <t>Echo Hill Road Fire — wildfire, 0.5 acres, Saugerties (Ulster Co.)</t>
        </is>
      </c>
      <c r="H521" s="12" t="inlineStr">
        <is>
          <t>Saugerties, Ulster County; Private Property</t>
        </is>
      </c>
      <c r="I521" s="12" t="inlineStr">
        <is>
          <t>0.5 acres; cause Fireworks; fuel 8 - Timber - Light Hardwood Litter</t>
        </is>
      </c>
      <c r="J521" s="12" t="inlineStr">
        <is>
          <t>42.05937, -73.99382</t>
        </is>
      </c>
      <c r="K521" s="12" t="inlineStr">
        <is>
          <t>No losses reported</t>
        </is>
      </c>
      <c r="L521" s="12" t="inlineStr">
        <is>
          <t>NYSDEC Forest Ranger Wildland Fire Reporting Database (Beginning 2008), data.ny.gov export 2026-09-28</t>
        </is>
      </c>
      <c r="M521" s="12" t="inlineStr">
        <is>
          <t>https://data.ny.gov/</t>
        </is>
      </c>
      <c r="N521" s="12" t="inlineStr">
        <is>
          <t>A</t>
        </is>
      </c>
      <c r="O521" s="12" t="inlineStr">
        <is>
          <t>Y</t>
        </is>
      </c>
      <c r="P521" s="12" t="inlineStr">
        <is>
          <t>2026-09-28 (v970, atlas session): bulk ingest per Laurie; fire number NYS-2010-0115; matching 🔥 pin on Natural History.</t>
        </is>
      </c>
      <c r="Q521" s="12" t="inlineStr">
        <is>
          <t>2010-07-03</t>
        </is>
      </c>
      <c r="R521" s="12">
        <f>VALUE(LEFT(Q521,4))</f>
        <v/>
      </c>
      <c r="S521" s="12">
        <f>VALUE(MID(Q521,6,2))</f>
        <v/>
      </c>
      <c r="T521" s="12">
        <f>VALUE(RIGHT(Q521,2))</f>
        <v/>
      </c>
      <c r="U521" s="12" t="inlineStr">
        <is>
          <t>day</t>
        </is>
      </c>
      <c r="V521" s="12" t="inlineStr">
        <is>
          <t>Fire start date (DEC report)</t>
        </is>
      </c>
    </row>
    <row r="522">
      <c r="A522" s="12" t="n">
        <v>587</v>
      </c>
      <c r="B522" s="12" t="inlineStr">
        <is>
          <t>2022-11-09</t>
        </is>
      </c>
      <c r="C522" s="12" t="inlineStr">
        <is>
          <t>2022-11-12</t>
        </is>
      </c>
      <c r="D522" s="12">
        <f>VALUE(LEFT(B522,4))</f>
        <v/>
      </c>
      <c r="E522" s="12">
        <f>INT((D522-1)/100)+1</f>
        <v/>
      </c>
      <c r="F522" s="12" t="inlineStr">
        <is>
          <t>Wildfire</t>
        </is>
      </c>
      <c r="G522" s="12" t="inlineStr">
        <is>
          <t>Pigeon Brook Fire — wildfire, 6.9 acres, Denning (Ulster Co.)</t>
        </is>
      </c>
      <c r="H522" s="12" t="inlineStr">
        <is>
          <t>Denning, Ulster County; Private Property — Sundown Wild Forest</t>
        </is>
      </c>
      <c r="I522" s="12" t="inlineStr">
        <is>
          <t>6.9 acres; cause Debris Burning; fuel 9 - Timber - Medium Hardwood Litter</t>
        </is>
      </c>
      <c r="J522" s="12" t="inlineStr">
        <is>
          <t>41.88569, -74.41875</t>
        </is>
      </c>
      <c r="K522" s="12" t="inlineStr">
        <is>
          <t>No losses reported</t>
        </is>
      </c>
      <c r="L522" s="12" t="inlineStr">
        <is>
          <t>NYSDEC Forest Ranger Wildland Fire Reporting Database (Beginning 2008), data.ny.gov export 2026-09-28</t>
        </is>
      </c>
      <c r="M522" s="12" t="inlineStr">
        <is>
          <t>https://data.ny.gov/</t>
        </is>
      </c>
      <c r="N522" s="12" t="inlineStr">
        <is>
          <t>A</t>
        </is>
      </c>
      <c r="O522" s="12" t="inlineStr">
        <is>
          <t>Y</t>
        </is>
      </c>
      <c r="P522" s="12" t="inlineStr">
        <is>
          <t>2026-09-28 (v970, atlas session): bulk ingest per Laurie; fire number NYS-2022-0206; matching 🔥 pin on Natural History.</t>
        </is>
      </c>
      <c r="Q522" s="12" t="inlineStr">
        <is>
          <t>2022-11-09</t>
        </is>
      </c>
      <c r="R522" s="12">
        <f>VALUE(LEFT(Q522,4))</f>
        <v/>
      </c>
      <c r="S522" s="12">
        <f>VALUE(MID(Q522,6,2))</f>
        <v/>
      </c>
      <c r="T522" s="12">
        <f>VALUE(RIGHT(Q522,2))</f>
        <v/>
      </c>
      <c r="U522" s="12" t="inlineStr">
        <is>
          <t>day</t>
        </is>
      </c>
      <c r="V522" s="12" t="inlineStr">
        <is>
          <t>Fire start date (DEC report)</t>
        </is>
      </c>
    </row>
    <row r="523">
      <c r="A523" s="12" t="n">
        <v>588</v>
      </c>
      <c r="B523" s="12" t="inlineStr">
        <is>
          <t>2023-02-20</t>
        </is>
      </c>
      <c r="C523" s="12" t="inlineStr">
        <is>
          <t>2023-02-20</t>
        </is>
      </c>
      <c r="D523" s="12">
        <f>VALUE(LEFT(B523,4))</f>
        <v/>
      </c>
      <c r="E523" s="12">
        <f>INT((D523-1)/100)+1</f>
        <v/>
      </c>
      <c r="F523" s="12" t="inlineStr">
        <is>
          <t>Wildfire</t>
        </is>
      </c>
      <c r="G523" s="12" t="inlineStr">
        <is>
          <t>Snyder Road — wildfire, 0.3 acres, Cobleskill (Schoharie Co.)</t>
        </is>
      </c>
      <c r="H523" s="12" t="inlineStr">
        <is>
          <t>Cobleskill, Schoharie County; Private Property</t>
        </is>
      </c>
      <c r="I523" s="12" t="inlineStr">
        <is>
          <t>0.3 acres; cause Debris Burning; fuel 1 - Grass - Light</t>
        </is>
      </c>
      <c r="J523" s="12" t="inlineStr">
        <is>
          <t>42.73349, -74.46365</t>
        </is>
      </c>
      <c r="K523" s="12" t="inlineStr">
        <is>
          <t>No losses reported</t>
        </is>
      </c>
      <c r="L523" s="12" t="inlineStr">
        <is>
          <t>NYSDEC Forest Ranger Wildland Fire Reporting Database (Beginning 2008), data.ny.gov export 2026-09-28</t>
        </is>
      </c>
      <c r="M523" s="12" t="inlineStr">
        <is>
          <t>https://data.ny.gov/</t>
        </is>
      </c>
      <c r="N523" s="12" t="inlineStr">
        <is>
          <t>A</t>
        </is>
      </c>
      <c r="O523" s="12" t="inlineStr">
        <is>
          <t>Y</t>
        </is>
      </c>
      <c r="P523" s="12" t="inlineStr">
        <is>
          <t>2026-09-28 (v970, atlas session): bulk ingest per Laurie; fire number NYS-2023-0007; matching 🔥 pin on Natural History.</t>
        </is>
      </c>
      <c r="Q523" s="12" t="inlineStr">
        <is>
          <t>2023-02-20</t>
        </is>
      </c>
      <c r="R523" s="12">
        <f>VALUE(LEFT(Q523,4))</f>
        <v/>
      </c>
      <c r="S523" s="12">
        <f>VALUE(MID(Q523,6,2))</f>
        <v/>
      </c>
      <c r="T523" s="12">
        <f>VALUE(RIGHT(Q523,2))</f>
        <v/>
      </c>
      <c r="U523" s="12" t="inlineStr">
        <is>
          <t>day</t>
        </is>
      </c>
      <c r="V523" s="12" t="inlineStr">
        <is>
          <t>Fire start date (DEC report)</t>
        </is>
      </c>
    </row>
    <row r="524">
      <c r="A524" s="12" t="n">
        <v>589</v>
      </c>
      <c r="B524" s="12" t="inlineStr">
        <is>
          <t>2012-07-01</t>
        </is>
      </c>
      <c r="C524" s="12" t="inlineStr">
        <is>
          <t>2012-07-01</t>
        </is>
      </c>
      <c r="D524" s="12">
        <f>VALUE(LEFT(B524,4))</f>
        <v/>
      </c>
      <c r="E524" s="12">
        <f>INT((D524-1)/100)+1</f>
        <v/>
      </c>
      <c r="F524" s="12" t="inlineStr">
        <is>
          <t>Wildfire</t>
        </is>
      </c>
      <c r="G524" s="12" t="inlineStr">
        <is>
          <t>Seward fire — wildfire, 0.7 acres, Richmondville (Schoharie Co.)</t>
        </is>
      </c>
      <c r="H524" s="12" t="inlineStr">
        <is>
          <t>Richmondville, Schoharie County; Private Property</t>
        </is>
      </c>
      <c r="I524" s="12" t="inlineStr">
        <is>
          <t>0.7 acres; cause Campfire; fuel 9 - Timber - Medium Hardwood Litter</t>
        </is>
      </c>
      <c r="J524" s="12" t="inlineStr">
        <is>
          <t>42.68026, -74.52577</t>
        </is>
      </c>
      <c r="K524" s="12" t="inlineStr">
        <is>
          <t>No losses reported</t>
        </is>
      </c>
      <c r="L524" s="12" t="inlineStr">
        <is>
          <t>NYSDEC Forest Ranger Wildland Fire Reporting Database (Beginning 2008), data.ny.gov export 2026-09-28</t>
        </is>
      </c>
      <c r="M524" s="12" t="inlineStr">
        <is>
          <t>https://data.ny.gov/</t>
        </is>
      </c>
      <c r="N524" s="12" t="inlineStr">
        <is>
          <t>A</t>
        </is>
      </c>
      <c r="O524" s="12" t="inlineStr">
        <is>
          <t>Y</t>
        </is>
      </c>
      <c r="P524" s="12" t="inlineStr">
        <is>
          <t>2026-09-28 (v970, atlas session): bulk ingest per Laurie; fire number NYS-2012-0118; matching 🔥 pin on Natural History.</t>
        </is>
      </c>
      <c r="Q524" s="12" t="inlineStr">
        <is>
          <t>2012-07-01</t>
        </is>
      </c>
      <c r="R524" s="12">
        <f>VALUE(LEFT(Q524,4))</f>
        <v/>
      </c>
      <c r="S524" s="12">
        <f>VALUE(MID(Q524,6,2))</f>
        <v/>
      </c>
      <c r="T524" s="12">
        <f>VALUE(RIGHT(Q524,2))</f>
        <v/>
      </c>
      <c r="U524" s="12" t="inlineStr">
        <is>
          <t>day</t>
        </is>
      </c>
      <c r="V524" s="12" t="inlineStr">
        <is>
          <t>Fire start date (DEC report)</t>
        </is>
      </c>
    </row>
    <row r="525">
      <c r="A525" s="12" t="n">
        <v>590</v>
      </c>
      <c r="B525" s="12" t="inlineStr">
        <is>
          <t>2023-02-15</t>
        </is>
      </c>
      <c r="C525" s="12" t="inlineStr">
        <is>
          <t>2023-02-15</t>
        </is>
      </c>
      <c r="D525" s="12">
        <f>VALUE(LEFT(B525,4))</f>
        <v/>
      </c>
      <c r="E525" s="12">
        <f>INT((D525-1)/100)+1</f>
        <v/>
      </c>
      <c r="F525" s="12" t="inlineStr">
        <is>
          <t>Wildfire</t>
        </is>
      </c>
      <c r="G525" s="12" t="inlineStr">
        <is>
          <t>Bayer Rd Fire — wildfire, 1.1 acres, Callicoon (Sullivan Co.)</t>
        </is>
      </c>
      <c r="H525" s="12" t="inlineStr">
        <is>
          <t>Callicoon, Sullivan County; Private Property</t>
        </is>
      </c>
      <c r="I525" s="12" t="inlineStr">
        <is>
          <t>1.1 acres; cause Miscellaneous; fuel 8 - Timber - Light Hardwood Litter</t>
        </is>
      </c>
      <c r="J525" s="12" t="inlineStr">
        <is>
          <t>41.81857, -74.98581</t>
        </is>
      </c>
      <c r="K525" s="12" t="inlineStr">
        <is>
          <t>No losses reported</t>
        </is>
      </c>
      <c r="L525" s="12" t="inlineStr">
        <is>
          <t>NYSDEC Forest Ranger Wildland Fire Reporting Database (Beginning 2008), data.ny.gov export 2026-09-28</t>
        </is>
      </c>
      <c r="M525" s="12" t="inlineStr">
        <is>
          <t>https://data.ny.gov/</t>
        </is>
      </c>
      <c r="N525" s="12" t="inlineStr">
        <is>
          <t>A</t>
        </is>
      </c>
      <c r="O525" s="12" t="inlineStr">
        <is>
          <t>Y</t>
        </is>
      </c>
      <c r="P525" s="12" t="inlineStr">
        <is>
          <t>2026-09-28 (v970, atlas session): bulk ingest per Laurie; fire number NYS-2023-0005; matching 🔥 pin on Natural History.</t>
        </is>
      </c>
      <c r="Q525" s="12" t="inlineStr">
        <is>
          <t>2023-02-15</t>
        </is>
      </c>
      <c r="R525" s="12">
        <f>VALUE(LEFT(Q525,4))</f>
        <v/>
      </c>
      <c r="S525" s="12">
        <f>VALUE(MID(Q525,6,2))</f>
        <v/>
      </c>
      <c r="T525" s="12">
        <f>VALUE(RIGHT(Q525,2))</f>
        <v/>
      </c>
      <c r="U525" s="12" t="inlineStr">
        <is>
          <t>day</t>
        </is>
      </c>
      <c r="V525" s="12" t="inlineStr">
        <is>
          <t>Fire start date (DEC report)</t>
        </is>
      </c>
    </row>
    <row r="526">
      <c r="A526" s="12" t="n">
        <v>592</v>
      </c>
      <c r="B526" s="12" t="inlineStr">
        <is>
          <t>2016-04-19</t>
        </is>
      </c>
      <c r="C526" s="12" t="inlineStr">
        <is>
          <t>2016-04-22</t>
        </is>
      </c>
      <c r="D526" s="12">
        <f>VALUE(LEFT(B526,4))</f>
        <v/>
      </c>
      <c r="E526" s="12">
        <f>INT((D526-1)/100)+1</f>
        <v/>
      </c>
      <c r="F526" s="12" t="inlineStr">
        <is>
          <t>Wildfire</t>
        </is>
      </c>
      <c r="G526" s="12" t="inlineStr">
        <is>
          <t>Dingle Daisy — wildfire, 21 acres, Thompson (Sullivan Co.)</t>
        </is>
      </c>
      <c r="H526" s="12" t="inlineStr">
        <is>
          <t>Thompson, Sullivan County; Private Property</t>
        </is>
      </c>
      <c r="I526" s="12" t="inlineStr">
        <is>
          <t>21 acres; cause Debris Burning; fuel 8 - Timber - Light Hardwood Litter</t>
        </is>
      </c>
      <c r="J526" s="12" t="inlineStr">
        <is>
          <t>41.60708, -74.72815</t>
        </is>
      </c>
      <c r="K526" s="12" t="inlineStr">
        <is>
          <t>No losses reported</t>
        </is>
      </c>
      <c r="L526" s="12" t="inlineStr">
        <is>
          <t>NYSDEC Forest Ranger Wildland Fire Reporting Database (Beginning 2008), data.ny.gov export 2026-09-28</t>
        </is>
      </c>
      <c r="M526" s="12" t="inlineStr">
        <is>
          <t>https://data.ny.gov/</t>
        </is>
      </c>
      <c r="N526" s="12" t="inlineStr">
        <is>
          <t>A</t>
        </is>
      </c>
      <c r="O526" s="12" t="inlineStr">
        <is>
          <t>Y</t>
        </is>
      </c>
      <c r="P526" s="12" t="inlineStr">
        <is>
          <t>2026-09-28 (v970, atlas session): bulk ingest per Laurie; fire number NYS-2016-0058; matching 🔥 pin on Natural History.</t>
        </is>
      </c>
      <c r="Q526" s="12" t="inlineStr">
        <is>
          <t>2016-04-19</t>
        </is>
      </c>
      <c r="R526" s="12">
        <f>VALUE(LEFT(Q526,4))</f>
        <v/>
      </c>
      <c r="S526" s="12">
        <f>VALUE(MID(Q526,6,2))</f>
        <v/>
      </c>
      <c r="T526" s="12">
        <f>VALUE(RIGHT(Q526,2))</f>
        <v/>
      </c>
      <c r="U526" s="12" t="inlineStr">
        <is>
          <t>day</t>
        </is>
      </c>
      <c r="V526" s="12" t="inlineStr">
        <is>
          <t>Fire start date (DEC report)</t>
        </is>
      </c>
    </row>
    <row r="527">
      <c r="A527" s="12" t="n">
        <v>593</v>
      </c>
      <c r="B527" s="12" t="inlineStr">
        <is>
          <t>2014-04-25</t>
        </is>
      </c>
      <c r="C527" s="12" t="inlineStr">
        <is>
          <t>2014-04-25</t>
        </is>
      </c>
      <c r="D527" s="12">
        <f>VALUE(LEFT(B527,4))</f>
        <v/>
      </c>
      <c r="E527" s="12">
        <f>INT((D527-1)/100)+1</f>
        <v/>
      </c>
      <c r="F527" s="12" t="inlineStr">
        <is>
          <t>Wildfire</t>
        </is>
      </c>
      <c r="G527" s="12" t="inlineStr">
        <is>
          <t>32 Roe Fire — wildfire, 0.2 acres, Mamakating (Sullivan Co.)</t>
        </is>
      </c>
      <c r="H527" s="12" t="inlineStr">
        <is>
          <t>Mamakating, Sullivan County; Private Property</t>
        </is>
      </c>
      <c r="I527" s="12" t="inlineStr">
        <is>
          <t>0.2 acres; cause Debris Burning; fuel 1 - Grass - Light</t>
        </is>
      </c>
      <c r="J527" s="12" t="inlineStr">
        <is>
          <t>41.58656, -74.40880</t>
        </is>
      </c>
      <c r="K527" s="12" t="inlineStr">
        <is>
          <t>No losses reported</t>
        </is>
      </c>
      <c r="L527" s="12" t="inlineStr">
        <is>
          <t>NYSDEC Forest Ranger Wildland Fire Reporting Database (Beginning 2008), data.ny.gov export 2026-09-28</t>
        </is>
      </c>
      <c r="M527" s="12" t="inlineStr">
        <is>
          <t>https://data.ny.gov/</t>
        </is>
      </c>
      <c r="N527" s="12" t="inlineStr">
        <is>
          <t>A</t>
        </is>
      </c>
      <c r="O527" s="12" t="inlineStr">
        <is>
          <t>Y</t>
        </is>
      </c>
      <c r="P527" s="12" t="inlineStr">
        <is>
          <t>2026-09-28 (v970, atlas session): bulk ingest per Laurie; fire number NYS-2014-0071; matching 🔥 pin on Natural History.</t>
        </is>
      </c>
      <c r="Q527" s="12" t="inlineStr">
        <is>
          <t>2014-04-25</t>
        </is>
      </c>
      <c r="R527" s="12">
        <f>VALUE(LEFT(Q527,4))</f>
        <v/>
      </c>
      <c r="S527" s="12">
        <f>VALUE(MID(Q527,6,2))</f>
        <v/>
      </c>
      <c r="T527" s="12">
        <f>VALUE(RIGHT(Q527,2))</f>
        <v/>
      </c>
      <c r="U527" s="12" t="inlineStr">
        <is>
          <t>day</t>
        </is>
      </c>
      <c r="V527" s="12" t="inlineStr">
        <is>
          <t>Fire start date (DEC report)</t>
        </is>
      </c>
    </row>
    <row r="528">
      <c r="A528" s="12" t="n">
        <v>594</v>
      </c>
      <c r="B528" s="12" t="inlineStr">
        <is>
          <t>2022-07-23</t>
        </is>
      </c>
      <c r="C528" s="12" t="inlineStr">
        <is>
          <t>2022-07-27</t>
        </is>
      </c>
      <c r="D528" s="12">
        <f>VALUE(LEFT(B528,4))</f>
        <v/>
      </c>
      <c r="E528" s="12">
        <f>INT((D528-1)/100)+1</f>
        <v/>
      </c>
      <c r="F528" s="12" t="inlineStr">
        <is>
          <t>Wildfire</t>
        </is>
      </c>
      <c r="G528" s="12" t="inlineStr">
        <is>
          <t>Village Green Fire — wildfire, 0.8 acres, Mamakating (Sullivan Co.)</t>
        </is>
      </c>
      <c r="H528" s="12" t="inlineStr">
        <is>
          <t>Mamakating, Sullivan County; Private Property</t>
        </is>
      </c>
      <c r="I528" s="12" t="inlineStr">
        <is>
          <t>0.8 acres; cause Campfire; fuel 9 - Timber - Medium Hardwood Litter</t>
        </is>
      </c>
      <c r="J528" s="12" t="inlineStr">
        <is>
          <t>41.58320, -74.48512</t>
        </is>
      </c>
      <c r="K528" s="12" t="inlineStr">
        <is>
          <t>No losses reported</t>
        </is>
      </c>
      <c r="L528" s="12" t="inlineStr">
        <is>
          <t>NYSDEC Forest Ranger Wildland Fire Reporting Database (Beginning 2008), data.ny.gov export 2026-09-28</t>
        </is>
      </c>
      <c r="M528" s="12" t="inlineStr">
        <is>
          <t>https://data.ny.gov/</t>
        </is>
      </c>
      <c r="N528" s="12" t="inlineStr">
        <is>
          <t>A</t>
        </is>
      </c>
      <c r="O528" s="12" t="inlineStr">
        <is>
          <t>Y</t>
        </is>
      </c>
      <c r="P528" s="12" t="inlineStr">
        <is>
          <t>2026-09-28 (v970, atlas session): bulk ingest per Laurie; fire number NYS-2022-0123; matching 🔥 pin on Natural History.</t>
        </is>
      </c>
      <c r="Q528" s="12" t="inlineStr">
        <is>
          <t>2022-07-23</t>
        </is>
      </c>
      <c r="R528" s="12">
        <f>VALUE(LEFT(Q528,4))</f>
        <v/>
      </c>
      <c r="S528" s="12">
        <f>VALUE(MID(Q528,6,2))</f>
        <v/>
      </c>
      <c r="T528" s="12">
        <f>VALUE(RIGHT(Q528,2))</f>
        <v/>
      </c>
      <c r="U528" s="12" t="inlineStr">
        <is>
          <t>day</t>
        </is>
      </c>
      <c r="V528" s="12" t="inlineStr">
        <is>
          <t>Fire start date (DEC report)</t>
        </is>
      </c>
    </row>
    <row r="529">
      <c r="A529" s="12" t="n">
        <v>595</v>
      </c>
      <c r="B529" s="12" t="inlineStr">
        <is>
          <t>2016-06-25</t>
        </is>
      </c>
      <c r="C529" s="12" t="inlineStr">
        <is>
          <t>2016-07-03</t>
        </is>
      </c>
      <c r="D529" s="12">
        <f>VALUE(LEFT(B529,4))</f>
        <v/>
      </c>
      <c r="E529" s="12">
        <f>INT((D529-1)/100)+1</f>
        <v/>
      </c>
      <c r="F529" s="12" t="inlineStr">
        <is>
          <t>Wildfire</t>
        </is>
      </c>
      <c r="G529" s="12" t="inlineStr">
        <is>
          <t>Minnewaska 16 — wildfire, 26 acres, Rochester (Ulster Co.)</t>
        </is>
      </c>
      <c r="H529" s="12" t="inlineStr">
        <is>
          <t>Rochester, Ulster County; OPR&amp;HP (State Parks) — Minnewaska State Park</t>
        </is>
      </c>
      <c r="I529" s="12" t="inlineStr">
        <is>
          <t>26 acres; cause Campfire; fuel 6 - Brush - Mixed/Regeneration</t>
        </is>
      </c>
      <c r="J529" s="12" t="inlineStr">
        <is>
          <t>41.74483, -74.27081</t>
        </is>
      </c>
      <c r="K529" s="12" t="inlineStr">
        <is>
          <t>No losses reported</t>
        </is>
      </c>
      <c r="L529" s="12" t="inlineStr">
        <is>
          <t>NYSDEC Forest Ranger Wildland Fire Reporting Database (Beginning 2008), data.ny.gov export 2026-09-28</t>
        </is>
      </c>
      <c r="M529" s="12" t="inlineStr">
        <is>
          <t>https://data.ny.gov/</t>
        </is>
      </c>
      <c r="N529" s="12" t="inlineStr">
        <is>
          <t>A</t>
        </is>
      </c>
      <c r="O529" s="12" t="inlineStr">
        <is>
          <t>Y</t>
        </is>
      </c>
      <c r="P529" s="12" t="inlineStr">
        <is>
          <t>2026-09-28 (v970, atlas session): bulk ingest per Laurie; fire number NYS-2016-0118; matching 🔥 pin on Natural History.</t>
        </is>
      </c>
      <c r="Q529" s="12" t="inlineStr">
        <is>
          <t>2016-06-25</t>
        </is>
      </c>
      <c r="R529" s="12">
        <f>VALUE(LEFT(Q529,4))</f>
        <v/>
      </c>
      <c r="S529" s="12">
        <f>VALUE(MID(Q529,6,2))</f>
        <v/>
      </c>
      <c r="T529" s="12">
        <f>VALUE(RIGHT(Q529,2))</f>
        <v/>
      </c>
      <c r="U529" s="12" t="inlineStr">
        <is>
          <t>day</t>
        </is>
      </c>
      <c r="V529" s="12" t="inlineStr">
        <is>
          <t>Fire start date (DEC report)</t>
        </is>
      </c>
    </row>
    <row r="530">
      <c r="A530" s="12" t="n">
        <v>597</v>
      </c>
      <c r="B530" s="12" t="inlineStr">
        <is>
          <t>2021-03-30</t>
        </is>
      </c>
      <c r="C530" s="12" t="inlineStr">
        <is>
          <t>2021-03-30</t>
        </is>
      </c>
      <c r="D530" s="12">
        <f>VALUE(LEFT(B530,4))</f>
        <v/>
      </c>
      <c r="E530" s="12">
        <f>INT((D530-1)/100)+1</f>
        <v/>
      </c>
      <c r="F530" s="12" t="inlineStr">
        <is>
          <t>Wildfire</t>
        </is>
      </c>
      <c r="G530" s="12" t="inlineStr">
        <is>
          <t>Wyok Road Fire — wildfire, 0.5 acres, Maine (Broome Co.)</t>
        </is>
      </c>
      <c r="H530" s="12" t="inlineStr">
        <is>
          <t>Maine, Broome County; Private Property</t>
        </is>
      </c>
      <c r="I530" s="12" t="inlineStr">
        <is>
          <t>0.5 acres; cause Debris Burning; fuel 8 - Timber - Light Hardwood Litter</t>
        </is>
      </c>
      <c r="J530" s="12" t="inlineStr">
        <is>
          <t>42.19773, -76.03056</t>
        </is>
      </c>
      <c r="K530" s="12" t="inlineStr">
        <is>
          <t>No losses reported</t>
        </is>
      </c>
      <c r="L530" s="12" t="inlineStr">
        <is>
          <t>NYSDEC Forest Ranger Wildland Fire Reporting Database (Beginning 2008), data.ny.gov export 2026-09-28</t>
        </is>
      </c>
      <c r="M530" s="12" t="inlineStr">
        <is>
          <t>https://data.ny.gov/</t>
        </is>
      </c>
      <c r="N530" s="12" t="inlineStr">
        <is>
          <t>A</t>
        </is>
      </c>
      <c r="O530" s="12" t="inlineStr">
        <is>
          <t>Y</t>
        </is>
      </c>
      <c r="P530" s="12" t="inlineStr">
        <is>
          <t>2026-09-28 (v970, atlas session): bulk ingest per Laurie; fire number NYS-2021-0036; matching 🔥 pin on Natural History.</t>
        </is>
      </c>
      <c r="Q530" s="12" t="inlineStr">
        <is>
          <t>2021-03-30</t>
        </is>
      </c>
      <c r="R530" s="12">
        <f>VALUE(LEFT(Q530,4))</f>
        <v/>
      </c>
      <c r="S530" s="12">
        <f>VALUE(MID(Q530,6,2))</f>
        <v/>
      </c>
      <c r="T530" s="12">
        <f>VALUE(RIGHT(Q530,2))</f>
        <v/>
      </c>
      <c r="U530" s="12" t="inlineStr">
        <is>
          <t>day</t>
        </is>
      </c>
      <c r="V530" s="12" t="inlineStr">
        <is>
          <t>Fire start date (DEC report)</t>
        </is>
      </c>
    </row>
    <row r="531">
      <c r="A531" s="12" t="n">
        <v>599</v>
      </c>
      <c r="B531" s="12" t="inlineStr">
        <is>
          <t>2015-05-05</t>
        </is>
      </c>
      <c r="C531" s="12" t="inlineStr">
        <is>
          <t>2015-05-05</t>
        </is>
      </c>
      <c r="D531" s="12">
        <f>VALUE(LEFT(B531,4))</f>
        <v/>
      </c>
      <c r="E531" s="12">
        <f>INT((D531-1)/100)+1</f>
        <v/>
      </c>
      <c r="F531" s="12" t="inlineStr">
        <is>
          <t>Wildfire</t>
        </is>
      </c>
      <c r="G531" s="12" t="inlineStr">
        <is>
          <t>Elm Fire — wildfire, 1 acres, Greenville (Greene Co.)</t>
        </is>
      </c>
      <c r="H531" s="12" t="inlineStr">
        <is>
          <t>Greenville, Greene County; Private Property</t>
        </is>
      </c>
      <c r="I531" s="12" t="inlineStr">
        <is>
          <t>1 acres; cause Debris Burning; fuel 8 - Timber - Light Hardwood Litter</t>
        </is>
      </c>
      <c r="J531" s="12" t="inlineStr">
        <is>
          <t>42.42717, -74.05966</t>
        </is>
      </c>
      <c r="K531" s="12" t="inlineStr">
        <is>
          <t>No losses reported</t>
        </is>
      </c>
      <c r="L531" s="12" t="inlineStr">
        <is>
          <t>NYSDEC Forest Ranger Wildland Fire Reporting Database (Beginning 2008), data.ny.gov export 2026-09-28</t>
        </is>
      </c>
      <c r="M531" s="12" t="inlineStr">
        <is>
          <t>https://data.ny.gov/</t>
        </is>
      </c>
      <c r="N531" s="12" t="inlineStr">
        <is>
          <t>A</t>
        </is>
      </c>
      <c r="O531" s="12" t="inlineStr">
        <is>
          <t>Y</t>
        </is>
      </c>
      <c r="P531" s="12" t="inlineStr">
        <is>
          <t>2026-09-28 (v970, atlas session): bulk ingest per Laurie; fire number NYS-2015-0097; matching 🔥 pin on Natural History.</t>
        </is>
      </c>
      <c r="Q531" s="12" t="inlineStr">
        <is>
          <t>2015-05-05</t>
        </is>
      </c>
      <c r="R531" s="12">
        <f>VALUE(LEFT(Q531,4))</f>
        <v/>
      </c>
      <c r="S531" s="12">
        <f>VALUE(MID(Q531,6,2))</f>
        <v/>
      </c>
      <c r="T531" s="12">
        <f>VALUE(RIGHT(Q531,2))</f>
        <v/>
      </c>
      <c r="U531" s="12" t="inlineStr">
        <is>
          <t>day</t>
        </is>
      </c>
      <c r="V531" s="12" t="inlineStr">
        <is>
          <t>Fire start date (DEC report)</t>
        </is>
      </c>
    </row>
    <row r="532">
      <c r="A532" s="12" t="n">
        <v>601</v>
      </c>
      <c r="B532" s="12" t="inlineStr">
        <is>
          <t>2020-03-09</t>
        </is>
      </c>
      <c r="C532" s="12" t="inlineStr">
        <is>
          <t>2020-03-12</t>
        </is>
      </c>
      <c r="D532" s="12">
        <f>VALUE(LEFT(B532,4))</f>
        <v/>
      </c>
      <c r="E532" s="12">
        <f>INT((D532-1)/100)+1</f>
        <v/>
      </c>
      <c r="F532" s="12" t="inlineStr">
        <is>
          <t>Wildfire</t>
        </is>
      </c>
      <c r="G532" s="12" t="inlineStr">
        <is>
          <t>Beacon Mtn Fire, Breakneck — wildfire, 277 acres, Fishkill (Dutchess Co.)</t>
        </is>
      </c>
      <c r="H532" s="12" t="inlineStr">
        <is>
          <t>Fishkill, Dutchess County; OPR&amp;HP (State Parks) — Hudson Highlands State Park</t>
        </is>
      </c>
      <c r="I532" s="12" t="inlineStr">
        <is>
          <t>277 acres; cause Railroad; fuel 9 - Timber - Medium Hardwood Litter</t>
        </is>
      </c>
      <c r="J532" s="12" t="inlineStr">
        <is>
          <t>41.44380, -73.97762</t>
        </is>
      </c>
      <c r="K532" s="12" t="inlineStr">
        <is>
          <t>No losses reported</t>
        </is>
      </c>
      <c r="L532" s="12" t="inlineStr">
        <is>
          <t>NYSDEC Forest Ranger Wildland Fire Reporting Database (Beginning 2008), data.ny.gov export 2026-09-28</t>
        </is>
      </c>
      <c r="M532" s="12" t="inlineStr">
        <is>
          <t>https://data.ny.gov/</t>
        </is>
      </c>
      <c r="N532" s="12" t="inlineStr">
        <is>
          <t>A</t>
        </is>
      </c>
      <c r="O532" s="12" t="inlineStr">
        <is>
          <t>Y</t>
        </is>
      </c>
      <c r="P532" s="12" t="inlineStr">
        <is>
          <t>2026-09-28 (v970, atlas session): bulk ingest per Laurie; fire number NYS-2020-0015; matching 🔥 pin on Natural History.</t>
        </is>
      </c>
      <c r="Q532" s="12" t="inlineStr">
        <is>
          <t>2020-03-09</t>
        </is>
      </c>
      <c r="R532" s="12">
        <f>VALUE(LEFT(Q532,4))</f>
        <v/>
      </c>
      <c r="S532" s="12">
        <f>VALUE(MID(Q532,6,2))</f>
        <v/>
      </c>
      <c r="T532" s="12">
        <f>VALUE(RIGHT(Q532,2))</f>
        <v/>
      </c>
      <c r="U532" s="12" t="inlineStr">
        <is>
          <t>day</t>
        </is>
      </c>
      <c r="V532" s="12" t="inlineStr">
        <is>
          <t>Fire start date (DEC report)</t>
        </is>
      </c>
    </row>
    <row r="533">
      <c r="A533" s="12" t="n">
        <v>602</v>
      </c>
      <c r="B533" s="12" t="inlineStr">
        <is>
          <t>2024-10-30</t>
        </is>
      </c>
      <c r="C533" s="12" t="inlineStr">
        <is>
          <t>2024-11-01</t>
        </is>
      </c>
      <c r="D533" s="12">
        <f>VALUE(LEFT(B533,4))</f>
        <v/>
      </c>
      <c r="E533" s="12">
        <f>INT((D533-1)/100)+1</f>
        <v/>
      </c>
      <c r="F533" s="12" t="inlineStr">
        <is>
          <t>Wildfire</t>
        </is>
      </c>
      <c r="G533" s="12" t="inlineStr">
        <is>
          <t>Nauvoo Road Fire — wildfire, 0.6 acres, Windham (Greene Co.)</t>
        </is>
      </c>
      <c r="H533" s="12" t="inlineStr">
        <is>
          <t>Windham, Greene County; Forest Preserve — Elm Ridge Wild Forest</t>
        </is>
      </c>
      <c r="I533" s="12" t="inlineStr">
        <is>
          <t>0.6 acres; cause Debris Burning; fuel 8 - Timber - Light Hardwood Litter</t>
        </is>
      </c>
      <c r="J533" s="12" t="inlineStr">
        <is>
          <t>42.34092, -74.21927</t>
        </is>
      </c>
      <c r="K533" s="12" t="inlineStr">
        <is>
          <t>No losses reported</t>
        </is>
      </c>
      <c r="L533" s="12" t="inlineStr">
        <is>
          <t>NYSDEC Forest Ranger Wildland Fire Reporting Database (Beginning 2008), data.ny.gov export 2026-09-28</t>
        </is>
      </c>
      <c r="M533" s="12" t="inlineStr">
        <is>
          <t>https://data.ny.gov/</t>
        </is>
      </c>
      <c r="N533" s="12" t="inlineStr">
        <is>
          <t>A</t>
        </is>
      </c>
      <c r="O533" s="12" t="inlineStr">
        <is>
          <t>Y</t>
        </is>
      </c>
      <c r="P533" s="12" t="inlineStr">
        <is>
          <t>2026-09-28 (v970, atlas session): bulk ingest per Laurie; fire number NYS-2024-0154; matching 🔥 pin on Natural History.</t>
        </is>
      </c>
      <c r="Q533" s="12" t="inlineStr">
        <is>
          <t>2024-10-30</t>
        </is>
      </c>
      <c r="R533" s="12">
        <f>VALUE(LEFT(Q533,4))</f>
        <v/>
      </c>
      <c r="S533" s="12">
        <f>VALUE(MID(Q533,6,2))</f>
        <v/>
      </c>
      <c r="T533" s="12">
        <f>VALUE(RIGHT(Q533,2))</f>
        <v/>
      </c>
      <c r="U533" s="12" t="inlineStr">
        <is>
          <t>day</t>
        </is>
      </c>
      <c r="V533" s="12" t="inlineStr">
        <is>
          <t>Fire start date (DEC report)</t>
        </is>
      </c>
    </row>
    <row r="534">
      <c r="A534" s="12" t="n">
        <v>603</v>
      </c>
      <c r="B534" s="12" t="inlineStr">
        <is>
          <t>2020-05-21</t>
        </is>
      </c>
      <c r="C534" s="12" t="inlineStr">
        <is>
          <t>2020-05-22</t>
        </is>
      </c>
      <c r="D534" s="12">
        <f>VALUE(LEFT(B534,4))</f>
        <v/>
      </c>
      <c r="E534" s="12">
        <f>INT((D534-1)/100)+1</f>
        <v/>
      </c>
      <c r="F534" s="12" t="inlineStr">
        <is>
          <t>Wildfire</t>
        </is>
      </c>
      <c r="G534" s="12" t="inlineStr">
        <is>
          <t>Elk Point Fire — wildfire, 11 acres, Liberty (Sullivan Co.)</t>
        </is>
      </c>
      <c r="H534" s="12" t="inlineStr">
        <is>
          <t>Liberty, Sullivan County; Private Property</t>
        </is>
      </c>
      <c r="I534" s="12" t="inlineStr">
        <is>
          <t>11 acres; cause Equipment; fuel 8 - Timber - Light Hardwood Litter</t>
        </is>
      </c>
      <c r="J534" s="12" t="inlineStr">
        <is>
          <t>41.80581, -74.78423</t>
        </is>
      </c>
      <c r="K534" s="12" t="inlineStr">
        <is>
          <t>No losses reported</t>
        </is>
      </c>
      <c r="L534" s="12" t="inlineStr">
        <is>
          <t>NYSDEC Forest Ranger Wildland Fire Reporting Database (Beginning 2008), data.ny.gov export 2026-09-28</t>
        </is>
      </c>
      <c r="M534" s="12" t="inlineStr">
        <is>
          <t>https://data.ny.gov/</t>
        </is>
      </c>
      <c r="N534" s="12" t="inlineStr">
        <is>
          <t>A</t>
        </is>
      </c>
      <c r="O534" s="12" t="inlineStr">
        <is>
          <t>Y</t>
        </is>
      </c>
      <c r="P534" s="12" t="inlineStr">
        <is>
          <t>2026-09-28 (v970, atlas session): bulk ingest per Laurie; fire number NYS-2020-0059; matching 🔥 pin on Natural History.</t>
        </is>
      </c>
      <c r="Q534" s="12" t="inlineStr">
        <is>
          <t>2020-05-21</t>
        </is>
      </c>
      <c r="R534" s="12">
        <f>VALUE(LEFT(Q534,4))</f>
        <v/>
      </c>
      <c r="S534" s="12">
        <f>VALUE(MID(Q534,6,2))</f>
        <v/>
      </c>
      <c r="T534" s="12">
        <f>VALUE(RIGHT(Q534,2))</f>
        <v/>
      </c>
      <c r="U534" s="12" t="inlineStr">
        <is>
          <t>day</t>
        </is>
      </c>
      <c r="V534" s="12" t="inlineStr">
        <is>
          <t>Fire start date (DEC report)</t>
        </is>
      </c>
    </row>
    <row r="535">
      <c r="A535" s="12" t="n">
        <v>604</v>
      </c>
      <c r="B535" s="12" t="inlineStr">
        <is>
          <t>2015-04-15</t>
        </is>
      </c>
      <c r="C535" s="12" t="inlineStr">
        <is>
          <t>2015-04-15</t>
        </is>
      </c>
      <c r="D535" s="12">
        <f>VALUE(LEFT(B535,4))</f>
        <v/>
      </c>
      <c r="E535" s="12">
        <f>INT((D535-1)/100)+1</f>
        <v/>
      </c>
      <c r="F535" s="12" t="inlineStr">
        <is>
          <t>Wildfire</t>
        </is>
      </c>
      <c r="G535" s="12" t="inlineStr">
        <is>
          <t>Wurtsboro Fire 3 — wildfire, 0.3 acres, Mamakating (Sullivan Co.)</t>
        </is>
      </c>
      <c r="H535" s="12" t="inlineStr">
        <is>
          <t>Mamakating, Sullivan County; Wildlife Management Area</t>
        </is>
      </c>
      <c r="I535" s="12" t="inlineStr">
        <is>
          <t>0.3 acres; cause Incendiary; fuel 1 - Grass - Light</t>
        </is>
      </c>
      <c r="J535" s="12" t="inlineStr">
        <is>
          <t>41.54191, -74.50179</t>
        </is>
      </c>
      <c r="K535" s="12" t="inlineStr">
        <is>
          <t>No losses reported</t>
        </is>
      </c>
      <c r="L535" s="12" t="inlineStr">
        <is>
          <t>NYSDEC Forest Ranger Wildland Fire Reporting Database (Beginning 2008), data.ny.gov export 2026-09-28</t>
        </is>
      </c>
      <c r="M535" s="12" t="inlineStr">
        <is>
          <t>https://data.ny.gov/</t>
        </is>
      </c>
      <c r="N535" s="12" t="inlineStr">
        <is>
          <t>A</t>
        </is>
      </c>
      <c r="O535" s="12" t="inlineStr">
        <is>
          <t>Y</t>
        </is>
      </c>
      <c r="P535" s="12" t="inlineStr">
        <is>
          <t>2026-09-28 (v970, atlas session): bulk ingest per Laurie; fire number NYS-2015-0018; matching 🔥 pin on Natural History.</t>
        </is>
      </c>
      <c r="Q535" s="12" t="inlineStr">
        <is>
          <t>2015-04-15</t>
        </is>
      </c>
      <c r="R535" s="12">
        <f>VALUE(LEFT(Q535,4))</f>
        <v/>
      </c>
      <c r="S535" s="12">
        <f>VALUE(MID(Q535,6,2))</f>
        <v/>
      </c>
      <c r="T535" s="12">
        <f>VALUE(RIGHT(Q535,2))</f>
        <v/>
      </c>
      <c r="U535" s="12" t="inlineStr">
        <is>
          <t>day</t>
        </is>
      </c>
      <c r="V535" s="12" t="inlineStr">
        <is>
          <t>Fire start date (DEC report)</t>
        </is>
      </c>
    </row>
    <row r="536">
      <c r="A536" s="12" t="n">
        <v>605</v>
      </c>
      <c r="B536" s="12" t="inlineStr">
        <is>
          <t>2024-11-10</t>
        </is>
      </c>
      <c r="C536" s="12" t="inlineStr">
        <is>
          <t>2024-11-11</t>
        </is>
      </c>
      <c r="D536" s="12">
        <f>VALUE(LEFT(B536,4))</f>
        <v/>
      </c>
      <c r="E536" s="12">
        <f>INT((D536-1)/100)+1</f>
        <v/>
      </c>
      <c r="F536" s="12" t="inlineStr">
        <is>
          <t>Wildfire</t>
        </is>
      </c>
      <c r="G536" s="12" t="inlineStr">
        <is>
          <t>Weatherwax Fire — wildfire, 2.5 acres, Glenville (Schenectady Co.)</t>
        </is>
      </c>
      <c r="H536" s="12" t="inlineStr">
        <is>
          <t>Glenville, Schenectady County; Private Property</t>
        </is>
      </c>
      <c r="I536" s="12" t="inlineStr">
        <is>
          <t>2.5 acres; cause Miscellaneous; fuel 9 - Timber - Medium Hardwood Litter</t>
        </is>
      </c>
      <c r="J536" s="12" t="inlineStr">
        <is>
          <t>42.91093, -74.03999</t>
        </is>
      </c>
      <c r="K536" s="12" t="inlineStr">
        <is>
          <t>No losses reported</t>
        </is>
      </c>
      <c r="L536" s="12" t="inlineStr">
        <is>
          <t>NYSDEC Forest Ranger Wildland Fire Reporting Database (Beginning 2008), data.ny.gov export 2026-09-28</t>
        </is>
      </c>
      <c r="M536" s="12" t="inlineStr">
        <is>
          <t>https://data.ny.gov/</t>
        </is>
      </c>
      <c r="N536" s="12" t="inlineStr">
        <is>
          <t>A</t>
        </is>
      </c>
      <c r="O536" s="12" t="inlineStr">
        <is>
          <t>Y</t>
        </is>
      </c>
      <c r="P536" s="12" t="inlineStr">
        <is>
          <t>2026-09-28 (v970, atlas session): bulk ingest per Laurie; fire number NYS-2024-0178; matching 🔥 pin on Natural History.</t>
        </is>
      </c>
      <c r="Q536" s="12" t="inlineStr">
        <is>
          <t>2024-11-10</t>
        </is>
      </c>
      <c r="R536" s="12">
        <f>VALUE(LEFT(Q536,4))</f>
        <v/>
      </c>
      <c r="S536" s="12">
        <f>VALUE(MID(Q536,6,2))</f>
        <v/>
      </c>
      <c r="T536" s="12">
        <f>VALUE(RIGHT(Q536,2))</f>
        <v/>
      </c>
      <c r="U536" s="12" t="inlineStr">
        <is>
          <t>day</t>
        </is>
      </c>
      <c r="V536" s="12" t="inlineStr">
        <is>
          <t>Fire start date (DEC report)</t>
        </is>
      </c>
    </row>
    <row r="537">
      <c r="A537" s="12" t="n">
        <v>606</v>
      </c>
      <c r="B537" s="12" t="inlineStr">
        <is>
          <t>2012-08-09</t>
        </is>
      </c>
      <c r="C537" s="12" t="inlineStr">
        <is>
          <t>2012-08-09</t>
        </is>
      </c>
      <c r="D537" s="12">
        <f>VALUE(LEFT(B537,4))</f>
        <v/>
      </c>
      <c r="E537" s="12">
        <f>INT((D537-1)/100)+1</f>
        <v/>
      </c>
      <c r="F537" s="12" t="inlineStr">
        <is>
          <t>Wildfire</t>
        </is>
      </c>
      <c r="G537" s="12" t="inlineStr">
        <is>
          <t>Summit hay bales — wildfire, 0.1 acres, Fulton (Schoharie Co.)</t>
        </is>
      </c>
      <c r="H537" s="12" t="inlineStr">
        <is>
          <t>Fulton, Schoharie County; Private Property</t>
        </is>
      </c>
      <c r="I537" s="12" t="inlineStr">
        <is>
          <t>0.1 acres; cause Equipment; fuel 8 - Timber - Light Hardwood Litter</t>
        </is>
      </c>
      <c r="J537" s="12" t="inlineStr">
        <is>
          <t>42.57404, -74.54713</t>
        </is>
      </c>
      <c r="K537" s="12" t="inlineStr">
        <is>
          <t>No losses reported</t>
        </is>
      </c>
      <c r="L537" s="12" t="inlineStr">
        <is>
          <t>NYSDEC Forest Ranger Wildland Fire Reporting Database (Beginning 2008), data.ny.gov export 2026-09-28</t>
        </is>
      </c>
      <c r="M537" s="12" t="inlineStr">
        <is>
          <t>https://data.ny.gov/</t>
        </is>
      </c>
      <c r="N537" s="12" t="inlineStr">
        <is>
          <t>A</t>
        </is>
      </c>
      <c r="O537" s="12" t="inlineStr">
        <is>
          <t>Y</t>
        </is>
      </c>
      <c r="P537" s="12" t="inlineStr">
        <is>
          <t>2026-09-28 (v970, atlas session): bulk ingest per Laurie; fire number NYS-2012-0161; matching 🔥 pin on Natural History.</t>
        </is>
      </c>
      <c r="Q537" s="12" t="inlineStr">
        <is>
          <t>2012-08-09</t>
        </is>
      </c>
      <c r="R537" s="12">
        <f>VALUE(LEFT(Q537,4))</f>
        <v/>
      </c>
      <c r="S537" s="12">
        <f>VALUE(MID(Q537,6,2))</f>
        <v/>
      </c>
      <c r="T537" s="12">
        <f>VALUE(RIGHT(Q537,2))</f>
        <v/>
      </c>
      <c r="U537" s="12" t="inlineStr">
        <is>
          <t>day</t>
        </is>
      </c>
      <c r="V537" s="12" t="inlineStr">
        <is>
          <t>Fire start date (DEC report)</t>
        </is>
      </c>
    </row>
    <row r="538">
      <c r="A538" s="12" t="n">
        <v>607</v>
      </c>
      <c r="B538" s="12" t="inlineStr">
        <is>
          <t>2010-04-07</t>
        </is>
      </c>
      <c r="C538" s="12" t="inlineStr">
        <is>
          <t>2010-04-07</t>
        </is>
      </c>
      <c r="D538" s="12">
        <f>VALUE(LEFT(B538,4))</f>
        <v/>
      </c>
      <c r="E538" s="12">
        <f>INT((D538-1)/100)+1</f>
        <v/>
      </c>
      <c r="F538" s="12" t="inlineStr">
        <is>
          <t>Wildfire</t>
        </is>
      </c>
      <c r="G538" s="12" t="inlineStr">
        <is>
          <t>Cedar Knolls Fire — wildfire, 3.9 acres, Pine Plains (Dutchess Co.)</t>
        </is>
      </c>
      <c r="H538" s="12" t="inlineStr">
        <is>
          <t>Pine Plains, Dutchess County; Private Property</t>
        </is>
      </c>
      <c r="I538" s="12" t="inlineStr">
        <is>
          <t>3.9 acres; cause Debris Burning; fuel 5 - Brush - Continuous but Light</t>
        </is>
      </c>
      <c r="J538" s="12" t="inlineStr">
        <is>
          <t>41.98893, -73.67809</t>
        </is>
      </c>
      <c r="K538" s="12" t="inlineStr">
        <is>
          <t>No losses reported</t>
        </is>
      </c>
      <c r="L538" s="12" t="inlineStr">
        <is>
          <t>NYSDEC Forest Ranger Wildland Fire Reporting Database (Beginning 2008), data.ny.gov export 2026-09-28</t>
        </is>
      </c>
      <c r="M538" s="12" t="inlineStr">
        <is>
          <t>https://data.ny.gov/</t>
        </is>
      </c>
      <c r="N538" s="12" t="inlineStr">
        <is>
          <t>A</t>
        </is>
      </c>
      <c r="O538" s="12" t="inlineStr">
        <is>
          <t>Y</t>
        </is>
      </c>
      <c r="P538" s="12" t="inlineStr">
        <is>
          <t>2026-09-28 (v970, atlas session): bulk ingest per Laurie; fire number NYS-2010-0055; matching 🔥 pin on Natural History.</t>
        </is>
      </c>
      <c r="Q538" s="12" t="inlineStr">
        <is>
          <t>2010-04-07</t>
        </is>
      </c>
      <c r="R538" s="12">
        <f>VALUE(LEFT(Q538,4))</f>
        <v/>
      </c>
      <c r="S538" s="12">
        <f>VALUE(MID(Q538,6,2))</f>
        <v/>
      </c>
      <c r="T538" s="12">
        <f>VALUE(RIGHT(Q538,2))</f>
        <v/>
      </c>
      <c r="U538" s="12" t="inlineStr">
        <is>
          <t>day</t>
        </is>
      </c>
      <c r="V538" s="12" t="inlineStr">
        <is>
          <t>Fire start date (DEC report)</t>
        </is>
      </c>
    </row>
    <row r="539">
      <c r="A539" s="12" t="n">
        <v>609</v>
      </c>
      <c r="B539" s="12" t="inlineStr">
        <is>
          <t>2009-03-14</t>
        </is>
      </c>
      <c r="C539" s="12" t="inlineStr">
        <is>
          <t>2009-03-14</t>
        </is>
      </c>
      <c r="D539" s="12">
        <f>VALUE(LEFT(B539,4))</f>
        <v/>
      </c>
      <c r="E539" s="12">
        <f>INT((D539-1)/100)+1</f>
        <v/>
      </c>
      <c r="F539" s="12" t="inlineStr">
        <is>
          <t>Wildfire</t>
        </is>
      </c>
      <c r="G539" s="12" t="inlineStr">
        <is>
          <t>Turon Road Fire — wildfire, 2 acres, Greenville (Greene Co.)</t>
        </is>
      </c>
      <c r="H539" s="12" t="inlineStr">
        <is>
          <t>Greenville, Greene County; Private Property</t>
        </is>
      </c>
      <c r="I539" s="12" t="inlineStr">
        <is>
          <t>2 acres; cause Miscellaneous; fuel 1 - Grass - Light</t>
        </is>
      </c>
      <c r="J539" s="12" t="inlineStr">
        <is>
          <t>42.41743, -74.00902</t>
        </is>
      </c>
      <c r="K539" s="12" t="inlineStr">
        <is>
          <t>No losses reported</t>
        </is>
      </c>
      <c r="L539" s="12" t="inlineStr">
        <is>
          <t>NYSDEC Forest Ranger Wildland Fire Reporting Database (Beginning 2008), data.ny.gov export 2026-09-28</t>
        </is>
      </c>
      <c r="M539" s="12" t="inlineStr">
        <is>
          <t>https://data.ny.gov/</t>
        </is>
      </c>
      <c r="N539" s="12" t="inlineStr">
        <is>
          <t>A</t>
        </is>
      </c>
      <c r="O539" s="12" t="inlineStr">
        <is>
          <t>Y</t>
        </is>
      </c>
      <c r="P539" s="12" t="inlineStr">
        <is>
          <t>2026-09-28 (v970, atlas session): bulk ingest per Laurie; fire number NYS-2009-0011; matching 🔥 pin on Natural History.</t>
        </is>
      </c>
      <c r="Q539" s="12" t="inlineStr">
        <is>
          <t>2009-03-14</t>
        </is>
      </c>
      <c r="R539" s="12">
        <f>VALUE(LEFT(Q539,4))</f>
        <v/>
      </c>
      <c r="S539" s="12">
        <f>VALUE(MID(Q539,6,2))</f>
        <v/>
      </c>
      <c r="T539" s="12">
        <f>VALUE(RIGHT(Q539,2))</f>
        <v/>
      </c>
      <c r="U539" s="12" t="inlineStr">
        <is>
          <t>day</t>
        </is>
      </c>
      <c r="V539" s="12" t="inlineStr">
        <is>
          <t>Fire start date (DEC report)</t>
        </is>
      </c>
    </row>
    <row r="540">
      <c r="A540" s="12" t="n">
        <v>610</v>
      </c>
      <c r="B540" s="12" t="inlineStr">
        <is>
          <t>2014-06-23</t>
        </is>
      </c>
      <c r="C540" s="12" t="inlineStr">
        <is>
          <t>2014-06-23</t>
        </is>
      </c>
      <c r="D540" s="12">
        <f>VALUE(LEFT(B540,4))</f>
        <v/>
      </c>
      <c r="E540" s="12">
        <f>INT((D540-1)/100)+1</f>
        <v/>
      </c>
      <c r="F540" s="12" t="inlineStr">
        <is>
          <t>Wildfire</t>
        </is>
      </c>
      <c r="G540" s="12" t="inlineStr">
        <is>
          <t>Harvey Mountain Fire — wildfire, 0.1 acres, Austerlitz (Columbia Co.)</t>
        </is>
      </c>
      <c r="H540" s="12" t="inlineStr">
        <is>
          <t>Austerlitz, Columbia County; State Forest/RF Area — Harvey Mountain State Forest</t>
        </is>
      </c>
      <c r="I540" s="12" t="inlineStr">
        <is>
          <t>0.1 acres; cause Incendiary; fuel 5 - Brush - Continuous but Light</t>
        </is>
      </c>
      <c r="J540" s="12" t="inlineStr">
        <is>
          <t>42.31344, -73.42582</t>
        </is>
      </c>
      <c r="K540" s="12" t="inlineStr">
        <is>
          <t>No losses reported</t>
        </is>
      </c>
      <c r="L540" s="12" t="inlineStr">
        <is>
          <t>NYSDEC Forest Ranger Wildland Fire Reporting Database (Beginning 2008), data.ny.gov export 2026-09-28</t>
        </is>
      </c>
      <c r="M540" s="12" t="inlineStr">
        <is>
          <t>https://data.ny.gov/</t>
        </is>
      </c>
      <c r="N540" s="12" t="inlineStr">
        <is>
          <t>A</t>
        </is>
      </c>
      <c r="O540" s="12" t="inlineStr">
        <is>
          <t>Y</t>
        </is>
      </c>
      <c r="P540" s="12" t="inlineStr">
        <is>
          <t>2026-09-28 (v970, atlas session): bulk ingest per Laurie; fire number NYS-2014-0104; matching 🔥 pin on Natural History.</t>
        </is>
      </c>
      <c r="Q540" s="12" t="inlineStr">
        <is>
          <t>2014-06-23</t>
        </is>
      </c>
      <c r="R540" s="12">
        <f>VALUE(LEFT(Q540,4))</f>
        <v/>
      </c>
      <c r="S540" s="12">
        <f>VALUE(MID(Q540,6,2))</f>
        <v/>
      </c>
      <c r="T540" s="12">
        <f>VALUE(RIGHT(Q540,2))</f>
        <v/>
      </c>
      <c r="U540" s="12" t="inlineStr">
        <is>
          <t>day</t>
        </is>
      </c>
      <c r="V540" s="12" t="inlineStr">
        <is>
          <t>Fire start date (DEC report)</t>
        </is>
      </c>
    </row>
    <row r="541">
      <c r="A541" s="12" t="n">
        <v>611</v>
      </c>
      <c r="B541" s="12" t="inlineStr">
        <is>
          <t>2015-05-03</t>
        </is>
      </c>
      <c r="C541" s="12" t="inlineStr">
        <is>
          <t>2015-05-03</t>
        </is>
      </c>
      <c r="D541" s="12">
        <f>VALUE(LEFT(B541,4))</f>
        <v/>
      </c>
      <c r="E541" s="12">
        <f>INT((D541-1)/100)+1</f>
        <v/>
      </c>
      <c r="F541" s="12" t="inlineStr">
        <is>
          <t>Wildfire</t>
        </is>
      </c>
      <c r="G541" s="12" t="inlineStr">
        <is>
          <t>Brooklyn Hunting Club Fire — wildfire, 0.3 acres, Lumberland (Sullivan Co.)</t>
        </is>
      </c>
      <c r="H541" s="12" t="inlineStr">
        <is>
          <t>Lumberland, Sullivan County; Private Property</t>
        </is>
      </c>
      <c r="I541" s="12" t="inlineStr">
        <is>
          <t>0.3 acres; cause Debris Burning; fuel 7 - Brush - Understory</t>
        </is>
      </c>
      <c r="J541" s="12" t="inlineStr">
        <is>
          <t>41.54271, -74.80030</t>
        </is>
      </c>
      <c r="K541" s="12" t="inlineStr">
        <is>
          <t>No losses reported</t>
        </is>
      </c>
      <c r="L541" s="12" t="inlineStr">
        <is>
          <t>NYSDEC Forest Ranger Wildland Fire Reporting Database (Beginning 2008), data.ny.gov export 2026-09-28</t>
        </is>
      </c>
      <c r="M541" s="12" t="inlineStr">
        <is>
          <t>https://data.ny.gov/</t>
        </is>
      </c>
      <c r="N541" s="12" t="inlineStr">
        <is>
          <t>A</t>
        </is>
      </c>
      <c r="O541" s="12" t="inlineStr">
        <is>
          <t>Y</t>
        </is>
      </c>
      <c r="P541" s="12" t="inlineStr">
        <is>
          <t>2026-09-28 (v970, atlas session): bulk ingest per Laurie; fire number NYS-2015-0072; matching 🔥 pin on Natural History.</t>
        </is>
      </c>
      <c r="Q541" s="12" t="inlineStr">
        <is>
          <t>2015-05-03</t>
        </is>
      </c>
      <c r="R541" s="12">
        <f>VALUE(LEFT(Q541,4))</f>
        <v/>
      </c>
      <c r="S541" s="12">
        <f>VALUE(MID(Q541,6,2))</f>
        <v/>
      </c>
      <c r="T541" s="12">
        <f>VALUE(RIGHT(Q541,2))</f>
        <v/>
      </c>
      <c r="U541" s="12" t="inlineStr">
        <is>
          <t>day</t>
        </is>
      </c>
      <c r="V541" s="12" t="inlineStr">
        <is>
          <t>Fire start date (DEC report)</t>
        </is>
      </c>
    </row>
    <row r="542">
      <c r="A542" s="12" t="n">
        <v>612</v>
      </c>
      <c r="B542" s="12" t="inlineStr">
        <is>
          <t>2014-05-04</t>
        </is>
      </c>
      <c r="C542" s="12" t="inlineStr">
        <is>
          <t>2014-05-04</t>
        </is>
      </c>
      <c r="D542" s="12">
        <f>VALUE(LEFT(B542,4))</f>
        <v/>
      </c>
      <c r="E542" s="12">
        <f>INT((D542-1)/100)+1</f>
        <v/>
      </c>
      <c r="F542" s="12" t="inlineStr">
        <is>
          <t>Wildfire</t>
        </is>
      </c>
      <c r="G542" s="12" t="inlineStr">
        <is>
          <t>Madison Ext. Yellow Trail #3 — wildfire, 1.2 acres, Albany (Albany Co.)</t>
        </is>
      </c>
      <c r="H542" s="12" t="inlineStr">
        <is>
          <t>Albany, Albany County; Forest Preserve</t>
        </is>
      </c>
      <c r="I542" s="12" t="inlineStr">
        <is>
          <t>1.2 acres; cause Incendiary; fuel 2 - Grass - Understory</t>
        </is>
      </c>
      <c r="J542" s="12" t="inlineStr">
        <is>
          <t>42.71743, -73.88067</t>
        </is>
      </c>
      <c r="K542" s="12" t="inlineStr">
        <is>
          <t>No losses reported</t>
        </is>
      </c>
      <c r="L542" s="12" t="inlineStr">
        <is>
          <t>NYSDEC Forest Ranger Wildland Fire Reporting Database (Beginning 2008), data.ny.gov export 2026-09-28</t>
        </is>
      </c>
      <c r="M542" s="12" t="inlineStr">
        <is>
          <t>https://data.ny.gov/</t>
        </is>
      </c>
      <c r="N542" s="12" t="inlineStr">
        <is>
          <t>A</t>
        </is>
      </c>
      <c r="O542" s="12" t="inlineStr">
        <is>
          <t>Y</t>
        </is>
      </c>
      <c r="P542" s="12" t="inlineStr">
        <is>
          <t>2026-09-28 (v970, atlas session): bulk ingest per Laurie; fire number NYS-2014-0086; matching 🔥 pin on Natural History.</t>
        </is>
      </c>
      <c r="Q542" s="12" t="inlineStr">
        <is>
          <t>2014-05-04</t>
        </is>
      </c>
      <c r="R542" s="12">
        <f>VALUE(LEFT(Q542,4))</f>
        <v/>
      </c>
      <c r="S542" s="12">
        <f>VALUE(MID(Q542,6,2))</f>
        <v/>
      </c>
      <c r="T542" s="12">
        <f>VALUE(RIGHT(Q542,2))</f>
        <v/>
      </c>
      <c r="U542" s="12" t="inlineStr">
        <is>
          <t>day</t>
        </is>
      </c>
      <c r="V542" s="12" t="inlineStr">
        <is>
          <t>Fire start date (DEC report)</t>
        </is>
      </c>
    </row>
    <row r="543">
      <c r="A543" s="12" t="n">
        <v>613</v>
      </c>
      <c r="B543" s="12" t="inlineStr">
        <is>
          <t>2018-05-09</t>
        </is>
      </c>
      <c r="C543" s="12" t="inlineStr">
        <is>
          <t>2018-05-11</t>
        </is>
      </c>
      <c r="D543" s="12">
        <f>VALUE(LEFT(B543,4))</f>
        <v/>
      </c>
      <c r="E543" s="12">
        <f>INT((D543-1)/100)+1</f>
        <v/>
      </c>
      <c r="F543" s="12" t="inlineStr">
        <is>
          <t>Wildfire</t>
        </is>
      </c>
      <c r="G543" s="12" t="inlineStr">
        <is>
          <t>Froner's Rd 1 — wildfire, 0.5 acres, Hurley (Ulster Co.)</t>
        </is>
      </c>
      <c r="H543" s="12" t="inlineStr">
        <is>
          <t>Hurley, Ulster County; Private Property</t>
        </is>
      </c>
      <c r="I543" s="12" t="inlineStr">
        <is>
          <t>0.5 acres; cause Incendiary; fuel 9 - Timber - Medium Hardwood Litter</t>
        </is>
      </c>
      <c r="J543" s="12" t="inlineStr">
        <is>
          <t>41.96001, -74.11190</t>
        </is>
      </c>
      <c r="K543" s="12" t="inlineStr">
        <is>
          <t>No losses reported</t>
        </is>
      </c>
      <c r="L543" s="12" t="inlineStr">
        <is>
          <t>NYSDEC Forest Ranger Wildland Fire Reporting Database (Beginning 2008), data.ny.gov export 2026-09-28</t>
        </is>
      </c>
      <c r="M543" s="12" t="inlineStr">
        <is>
          <t>https://data.ny.gov/</t>
        </is>
      </c>
      <c r="N543" s="12" t="inlineStr">
        <is>
          <t>A</t>
        </is>
      </c>
      <c r="O543" s="12" t="inlineStr">
        <is>
          <t>Y</t>
        </is>
      </c>
      <c r="P543" s="12" t="inlineStr">
        <is>
          <t>2026-09-28 (v970, atlas session): bulk ingest per Laurie; fire number NYS-2018-0053; matching 🔥 pin on Natural History.</t>
        </is>
      </c>
      <c r="Q543" s="12" t="inlineStr">
        <is>
          <t>2018-05-09</t>
        </is>
      </c>
      <c r="R543" s="12">
        <f>VALUE(LEFT(Q543,4))</f>
        <v/>
      </c>
      <c r="S543" s="12">
        <f>VALUE(MID(Q543,6,2))</f>
        <v/>
      </c>
      <c r="T543" s="12">
        <f>VALUE(RIGHT(Q543,2))</f>
        <v/>
      </c>
      <c r="U543" s="12" t="inlineStr">
        <is>
          <t>day</t>
        </is>
      </c>
      <c r="V543" s="12" t="inlineStr">
        <is>
          <t>Fire start date (DEC report)</t>
        </is>
      </c>
    </row>
    <row r="544">
      <c r="A544" s="12" t="n">
        <v>614</v>
      </c>
      <c r="B544" s="12" t="inlineStr">
        <is>
          <t>2023-05-18</t>
        </is>
      </c>
      <c r="C544" s="12" t="inlineStr">
        <is>
          <t>2023-05-19</t>
        </is>
      </c>
      <c r="D544" s="12">
        <f>VALUE(LEFT(B544,4))</f>
        <v/>
      </c>
      <c r="E544" s="12">
        <f>INT((D544-1)/100)+1</f>
        <v/>
      </c>
      <c r="F544" s="12" t="inlineStr">
        <is>
          <t>Wildfire</t>
        </is>
      </c>
      <c r="G544" s="12" t="inlineStr">
        <is>
          <t>Duanesburg Fire — wildfire, 0.7 acres, Duanesburg (Schenectady Co.)</t>
        </is>
      </c>
      <c r="H544" s="12" t="inlineStr">
        <is>
          <t>Duanesburg, Schenectady County; Other Not Classified</t>
        </is>
      </c>
      <c r="I544" s="12" t="inlineStr">
        <is>
          <t>0.7 acres; cause Railroad; fuel 7 - Brush - Understory</t>
        </is>
      </c>
      <c r="J544" s="12" t="inlineStr">
        <is>
          <t>42.75425, -74.17487</t>
        </is>
      </c>
      <c r="K544" s="12" t="inlineStr">
        <is>
          <t>No losses reported</t>
        </is>
      </c>
      <c r="L544" s="12" t="inlineStr">
        <is>
          <t>NYSDEC Forest Ranger Wildland Fire Reporting Database (Beginning 2008), data.ny.gov export 2026-09-28</t>
        </is>
      </c>
      <c r="M544" s="12" t="inlineStr">
        <is>
          <t>https://data.ny.gov/</t>
        </is>
      </c>
      <c r="N544" s="12" t="inlineStr">
        <is>
          <t>A</t>
        </is>
      </c>
      <c r="O544" s="12" t="inlineStr">
        <is>
          <t>Y</t>
        </is>
      </c>
      <c r="P544" s="12" t="inlineStr">
        <is>
          <t>2026-09-28 (v970, atlas session): bulk ingest per Laurie; fire number NYS-2023-0126; matching 🔥 pin on Natural History.</t>
        </is>
      </c>
      <c r="Q544" s="12" t="inlineStr">
        <is>
          <t>2023-05-18</t>
        </is>
      </c>
      <c r="R544" s="12">
        <f>VALUE(LEFT(Q544,4))</f>
        <v/>
      </c>
      <c r="S544" s="12">
        <f>VALUE(MID(Q544,6,2))</f>
        <v/>
      </c>
      <c r="T544" s="12">
        <f>VALUE(RIGHT(Q544,2))</f>
        <v/>
      </c>
      <c r="U544" s="12" t="inlineStr">
        <is>
          <t>day</t>
        </is>
      </c>
      <c r="V544" s="12" t="inlineStr">
        <is>
          <t>Fire start date (DEC report)</t>
        </is>
      </c>
    </row>
    <row r="545">
      <c r="A545" s="12" t="n">
        <v>616</v>
      </c>
      <c r="B545" s="12" t="inlineStr">
        <is>
          <t>2013-10-28</t>
        </is>
      </c>
      <c r="C545" s="12" t="inlineStr">
        <is>
          <t>2013-10-30</t>
        </is>
      </c>
      <c r="D545" s="12">
        <f>VALUE(LEFT(B545,4))</f>
        <v/>
      </c>
      <c r="E545" s="12">
        <f>INT((D545-1)/100)+1</f>
        <v/>
      </c>
      <c r="F545" s="12" t="inlineStr">
        <is>
          <t>Wildfire</t>
        </is>
      </c>
      <c r="G545" s="12" t="inlineStr">
        <is>
          <t>Biers Rd Fire — wildfire, 12.7 acres, Coeymans (Albany Co.)</t>
        </is>
      </c>
      <c r="H545" s="12" t="inlineStr">
        <is>
          <t>Coeymans, Albany County; Private Property</t>
        </is>
      </c>
      <c r="I545" s="12" t="inlineStr">
        <is>
          <t>12.7 acres; cause Debris Burning; fuel 8 - Timber - Light Hardwood Litter</t>
        </is>
      </c>
      <c r="J545" s="12" t="inlineStr">
        <is>
          <t>42.52060, -73.90508</t>
        </is>
      </c>
      <c r="K545" s="12" t="inlineStr">
        <is>
          <t>No losses reported</t>
        </is>
      </c>
      <c r="L545" s="12" t="inlineStr">
        <is>
          <t>NYSDEC Forest Ranger Wildland Fire Reporting Database (Beginning 2008), data.ny.gov export 2026-09-28</t>
        </is>
      </c>
      <c r="M545" s="12" t="inlineStr">
        <is>
          <t>https://data.ny.gov/</t>
        </is>
      </c>
      <c r="N545" s="12" t="inlineStr">
        <is>
          <t>A</t>
        </is>
      </c>
      <c r="O545" s="12" t="inlineStr">
        <is>
          <t>Y</t>
        </is>
      </c>
      <c r="P545" s="12" t="inlineStr">
        <is>
          <t>2026-09-28 (v970, atlas session): bulk ingest per Laurie; fire number NYS-2013-0130; matching 🔥 pin on Natural History.</t>
        </is>
      </c>
      <c r="Q545" s="12" t="inlineStr">
        <is>
          <t>2013-10-28</t>
        </is>
      </c>
      <c r="R545" s="12">
        <f>VALUE(LEFT(Q545,4))</f>
        <v/>
      </c>
      <c r="S545" s="12">
        <f>VALUE(MID(Q545,6,2))</f>
        <v/>
      </c>
      <c r="T545" s="12">
        <f>VALUE(RIGHT(Q545,2))</f>
        <v/>
      </c>
      <c r="U545" s="12" t="inlineStr">
        <is>
          <t>day</t>
        </is>
      </c>
      <c r="V545" s="12" t="inlineStr">
        <is>
          <t>Fire start date (DEC report)</t>
        </is>
      </c>
    </row>
    <row r="546">
      <c r="A546" s="12" t="n">
        <v>617</v>
      </c>
      <c r="B546" s="12" t="inlineStr">
        <is>
          <t>2021-04-10</t>
        </is>
      </c>
      <c r="C546" s="12" t="inlineStr">
        <is>
          <t>2021-04-10</t>
        </is>
      </c>
      <c r="D546" s="12">
        <f>VALUE(LEFT(B546,4))</f>
        <v/>
      </c>
      <c r="E546" s="12">
        <f>INT((D546-1)/100)+1</f>
        <v/>
      </c>
      <c r="F546" s="12" t="inlineStr">
        <is>
          <t>Wildfire</t>
        </is>
      </c>
      <c r="G546" s="12" t="inlineStr">
        <is>
          <t>Mt Pleasant Fire — wildfire, 2 acres, Shandaken (Ulster Co.)</t>
        </is>
      </c>
      <c r="H546" s="12" t="inlineStr">
        <is>
          <t>Shandaken, Ulster County; Forest Preserve — Slide Wilderness</t>
        </is>
      </c>
      <c r="I546" s="12" t="inlineStr">
        <is>
          <t>2 acres; cause Power line; fuel 8 - Timber - Light Hardwood Litter</t>
        </is>
      </c>
      <c r="J546" s="12" t="inlineStr">
        <is>
          <t>42.05645, -74.30074</t>
        </is>
      </c>
      <c r="K546" s="12" t="inlineStr">
        <is>
          <t>No losses reported</t>
        </is>
      </c>
      <c r="L546" s="12" t="inlineStr">
        <is>
          <t>NYSDEC Forest Ranger Wildland Fire Reporting Database (Beginning 2008), data.ny.gov export 2026-09-28</t>
        </is>
      </c>
      <c r="M546" s="12" t="inlineStr">
        <is>
          <t>https://data.ny.gov/</t>
        </is>
      </c>
      <c r="N546" s="12" t="inlineStr">
        <is>
          <t>A</t>
        </is>
      </c>
      <c r="O546" s="12" t="inlineStr">
        <is>
          <t>Y</t>
        </is>
      </c>
      <c r="P546" s="12" t="inlineStr">
        <is>
          <t>2026-09-28 (v970, atlas session): bulk ingest per Laurie; fire number NYS-2021-0076; matching 🔥 pin on Natural History.</t>
        </is>
      </c>
      <c r="Q546" s="12" t="inlineStr">
        <is>
          <t>2021-04-10</t>
        </is>
      </c>
      <c r="R546" s="12">
        <f>VALUE(LEFT(Q546,4))</f>
        <v/>
      </c>
      <c r="S546" s="12">
        <f>VALUE(MID(Q546,6,2))</f>
        <v/>
      </c>
      <c r="T546" s="12">
        <f>VALUE(RIGHT(Q546,2))</f>
        <v/>
      </c>
      <c r="U546" s="12" t="inlineStr">
        <is>
          <t>day</t>
        </is>
      </c>
      <c r="V546" s="12" t="inlineStr">
        <is>
          <t>Fire start date (DEC report)</t>
        </is>
      </c>
    </row>
    <row r="547">
      <c r="A547" s="12" t="n">
        <v>619</v>
      </c>
      <c r="B547" s="12" t="inlineStr">
        <is>
          <t>2021-03-22</t>
        </is>
      </c>
      <c r="C547" s="12" t="inlineStr">
        <is>
          <t>2021-03-22</t>
        </is>
      </c>
      <c r="D547" s="12">
        <f>VALUE(LEFT(B547,4))</f>
        <v/>
      </c>
      <c r="E547" s="12">
        <f>INT((D547-1)/100)+1</f>
        <v/>
      </c>
      <c r="F547" s="12" t="inlineStr">
        <is>
          <t>Wildfire</t>
        </is>
      </c>
      <c r="G547" s="12" t="inlineStr">
        <is>
          <t>Comino Fire — wildfire, 0.1 acres, Colesville (Broome Co.)</t>
        </is>
      </c>
      <c r="H547" s="12" t="inlineStr">
        <is>
          <t>Colesville, Broome County; Private Property</t>
        </is>
      </c>
      <c r="I547" s="12" t="inlineStr">
        <is>
          <t>0.1 acres; cause Debris Burning; fuel 1 - Grass - Light</t>
        </is>
      </c>
      <c r="J547" s="12" t="inlineStr">
        <is>
          <t>42.16737, -75.55039</t>
        </is>
      </c>
      <c r="K547" s="12" t="inlineStr">
        <is>
          <t>Injuries: 1</t>
        </is>
      </c>
      <c r="L547" s="12" t="inlineStr">
        <is>
          <t>NYSDEC Forest Ranger Wildland Fire Reporting Database (Beginning 2008), data.ny.gov export 2026-09-28</t>
        </is>
      </c>
      <c r="M547" s="12" t="inlineStr">
        <is>
          <t>https://data.ny.gov/</t>
        </is>
      </c>
      <c r="N547" s="12" t="inlineStr">
        <is>
          <t>A</t>
        </is>
      </c>
      <c r="O547" s="12" t="inlineStr">
        <is>
          <t>Y</t>
        </is>
      </c>
      <c r="P547" s="12" t="inlineStr">
        <is>
          <t>2026-09-28 (v970, atlas session): bulk ingest per Laurie; fire number NYS-2021-0017; matching 🔥 pin on Natural History.</t>
        </is>
      </c>
      <c r="Q547" s="12" t="inlineStr">
        <is>
          <t>2021-03-22</t>
        </is>
      </c>
      <c r="R547" s="12">
        <f>VALUE(LEFT(Q547,4))</f>
        <v/>
      </c>
      <c r="S547" s="12">
        <f>VALUE(MID(Q547,6,2))</f>
        <v/>
      </c>
      <c r="T547" s="12">
        <f>VALUE(RIGHT(Q547,2))</f>
        <v/>
      </c>
      <c r="U547" s="12" t="inlineStr">
        <is>
          <t>day</t>
        </is>
      </c>
      <c r="V547" s="12" t="inlineStr">
        <is>
          <t>Fire start date (DEC report)</t>
        </is>
      </c>
    </row>
    <row r="548">
      <c r="A548" s="12" t="n">
        <v>620</v>
      </c>
      <c r="B548" s="12" t="inlineStr">
        <is>
          <t>2020-11-08</t>
        </is>
      </c>
      <c r="C548" s="12" t="inlineStr">
        <is>
          <t>2020-11-09</t>
        </is>
      </c>
      <c r="D548" s="12">
        <f>VALUE(LEFT(B548,4))</f>
        <v/>
      </c>
      <c r="E548" s="12">
        <f>INT((D548-1)/100)+1</f>
        <v/>
      </c>
      <c r="F548" s="12" t="inlineStr">
        <is>
          <t>Wildfire</t>
        </is>
      </c>
      <c r="G548" s="12" t="inlineStr">
        <is>
          <t>Cork Screw Rd Fire — wildfire, 0.6 acres, Highland (Sullivan Co.)</t>
        </is>
      </c>
      <c r="H548" s="12" t="inlineStr">
        <is>
          <t>Highland, Sullivan County; Private Property</t>
        </is>
      </c>
      <c r="I548" s="12" t="inlineStr">
        <is>
          <t>0.6 acres; cause Fireworks; fuel 12 - Slash - Medium</t>
        </is>
      </c>
      <c r="J548" s="12" t="inlineStr">
        <is>
          <t>41.49313, -74.93148</t>
        </is>
      </c>
      <c r="K548" s="12" t="inlineStr">
        <is>
          <t>No losses reported</t>
        </is>
      </c>
      <c r="L548" s="12" t="inlineStr">
        <is>
          <t>NYSDEC Forest Ranger Wildland Fire Reporting Database (Beginning 2008), data.ny.gov export 2026-09-28</t>
        </is>
      </c>
      <c r="M548" s="12" t="inlineStr">
        <is>
          <t>https://data.ny.gov/</t>
        </is>
      </c>
      <c r="N548" s="12" t="inlineStr">
        <is>
          <t>A</t>
        </is>
      </c>
      <c r="O548" s="12" t="inlineStr">
        <is>
          <t>Y</t>
        </is>
      </c>
      <c r="P548" s="12" t="inlineStr">
        <is>
          <t>2026-09-28 (v970, atlas session): bulk ingest per Laurie; fire number NYS-2020-0201; matching 🔥 pin on Natural History.</t>
        </is>
      </c>
      <c r="Q548" s="12" t="inlineStr">
        <is>
          <t>2020-11-08</t>
        </is>
      </c>
      <c r="R548" s="12">
        <f>VALUE(LEFT(Q548,4))</f>
        <v/>
      </c>
      <c r="S548" s="12">
        <f>VALUE(MID(Q548,6,2))</f>
        <v/>
      </c>
      <c r="T548" s="12">
        <f>VALUE(RIGHT(Q548,2))</f>
        <v/>
      </c>
      <c r="U548" s="12" t="inlineStr">
        <is>
          <t>day</t>
        </is>
      </c>
      <c r="V548" s="12" t="inlineStr">
        <is>
          <t>Fire start date (DEC report)</t>
        </is>
      </c>
    </row>
    <row r="549">
      <c r="A549" s="12" t="n">
        <v>621</v>
      </c>
      <c r="B549" s="12" t="inlineStr">
        <is>
          <t>2009-04-15</t>
        </is>
      </c>
      <c r="C549" s="12" t="inlineStr">
        <is>
          <t>2009-04-15</t>
        </is>
      </c>
      <c r="D549" s="12">
        <f>VALUE(LEFT(B549,4))</f>
        <v/>
      </c>
      <c r="E549" s="12">
        <f>INT((D549-1)/100)+1</f>
        <v/>
      </c>
      <c r="F549" s="12" t="inlineStr">
        <is>
          <t>Wildfire</t>
        </is>
      </c>
      <c r="G549" s="12" t="inlineStr">
        <is>
          <t>Simard Fire — wildfire, 1 acres, Hillsdale (Columbia Co.)</t>
        </is>
      </c>
      <c r="H549" s="12" t="inlineStr">
        <is>
          <t>Hillsdale, Columbia County; Private Property</t>
        </is>
      </c>
      <c r="I549" s="12" t="inlineStr">
        <is>
          <t>1 acres; cause Equipment; fuel 8 - Timber - Light Hardwood Litter</t>
        </is>
      </c>
      <c r="J549" s="12" t="inlineStr">
        <is>
          <t>42.26617, -73.54728</t>
        </is>
      </c>
      <c r="K549" s="12" t="inlineStr">
        <is>
          <t>Homes Threatened: 2; Other Structures Threatened: 1</t>
        </is>
      </c>
      <c r="L549" s="12" t="inlineStr">
        <is>
          <t>NYSDEC Forest Ranger Wildland Fire Reporting Database (Beginning 2008), data.ny.gov export 2026-09-28</t>
        </is>
      </c>
      <c r="M549" s="12" t="inlineStr">
        <is>
          <t>https://data.ny.gov/</t>
        </is>
      </c>
      <c r="N549" s="12" t="inlineStr">
        <is>
          <t>A</t>
        </is>
      </c>
      <c r="O549" s="12" t="inlineStr">
        <is>
          <t>Y</t>
        </is>
      </c>
      <c r="P549" s="12" t="inlineStr">
        <is>
          <t>2026-09-28 (v970, atlas session): bulk ingest per Laurie; fire number NYS-2009-0048; matching 🔥 pin on Natural History.</t>
        </is>
      </c>
      <c r="Q549" s="12" t="inlineStr">
        <is>
          <t>2009-04-15</t>
        </is>
      </c>
      <c r="R549" s="12">
        <f>VALUE(LEFT(Q549,4))</f>
        <v/>
      </c>
      <c r="S549" s="12">
        <f>VALUE(MID(Q549,6,2))</f>
        <v/>
      </c>
      <c r="T549" s="12">
        <f>VALUE(RIGHT(Q549,2))</f>
        <v/>
      </c>
      <c r="U549" s="12" t="inlineStr">
        <is>
          <t>day</t>
        </is>
      </c>
      <c r="V549" s="12" t="inlineStr">
        <is>
          <t>Fire start date (DEC report)</t>
        </is>
      </c>
    </row>
    <row r="550">
      <c r="A550" s="12" t="n">
        <v>622</v>
      </c>
      <c r="B550" s="12" t="inlineStr">
        <is>
          <t>2022-11-08</t>
        </is>
      </c>
      <c r="C550" s="12" t="inlineStr">
        <is>
          <t>2022-11-09</t>
        </is>
      </c>
      <c r="D550" s="12">
        <f>VALUE(LEFT(B550,4))</f>
        <v/>
      </c>
      <c r="E550" s="12">
        <f>INT((D550-1)/100)+1</f>
        <v/>
      </c>
      <c r="F550" s="12" t="inlineStr">
        <is>
          <t>Wildfire</t>
        </is>
      </c>
      <c r="G550" s="12" t="inlineStr">
        <is>
          <t>Rokeby Rd Fire — wildfire, 2.2 acres, Red Hook (Dutchess Co.)</t>
        </is>
      </c>
      <c r="H550" s="12" t="inlineStr">
        <is>
          <t>Red Hook, Dutchess County; Private Property</t>
        </is>
      </c>
      <c r="I550" s="12" t="inlineStr">
        <is>
          <t>2.2 acres; cause Debris Burning; fuel 6 - Brush - Mixed/Regeneration</t>
        </is>
      </c>
      <c r="J550" s="12" t="inlineStr">
        <is>
          <t>41.98612, -73.90024</t>
        </is>
      </c>
      <c r="K550" s="12" t="inlineStr">
        <is>
          <t>No losses reported</t>
        </is>
      </c>
      <c r="L550" s="12" t="inlineStr">
        <is>
          <t>NYSDEC Forest Ranger Wildland Fire Reporting Database (Beginning 2008), data.ny.gov export 2026-09-28</t>
        </is>
      </c>
      <c r="M550" s="12" t="inlineStr">
        <is>
          <t>https://data.ny.gov/</t>
        </is>
      </c>
      <c r="N550" s="12" t="inlineStr">
        <is>
          <t>A</t>
        </is>
      </c>
      <c r="O550" s="12" t="inlineStr">
        <is>
          <t>Y</t>
        </is>
      </c>
      <c r="P550" s="12" t="inlineStr">
        <is>
          <t>2026-09-28 (v970, atlas session): bulk ingest per Laurie; fire number NYS-2022-0202; matching 🔥 pin on Natural History.</t>
        </is>
      </c>
      <c r="Q550" s="12" t="inlineStr">
        <is>
          <t>2022-11-08</t>
        </is>
      </c>
      <c r="R550" s="12">
        <f>VALUE(LEFT(Q550,4))</f>
        <v/>
      </c>
      <c r="S550" s="12">
        <f>VALUE(MID(Q550,6,2))</f>
        <v/>
      </c>
      <c r="T550" s="12">
        <f>VALUE(RIGHT(Q550,2))</f>
        <v/>
      </c>
      <c r="U550" s="12" t="inlineStr">
        <is>
          <t>day</t>
        </is>
      </c>
      <c r="V550" s="12" t="inlineStr">
        <is>
          <t>Fire start date (DEC report)</t>
        </is>
      </c>
    </row>
    <row r="551">
      <c r="A551" s="12" t="n">
        <v>624</v>
      </c>
      <c r="B551" s="12" t="inlineStr">
        <is>
          <t>2015-04-16</t>
        </is>
      </c>
      <c r="C551" s="12" t="inlineStr">
        <is>
          <t>2015-04-16</t>
        </is>
      </c>
      <c r="D551" s="12">
        <f>VALUE(LEFT(B551,4))</f>
        <v/>
      </c>
      <c r="E551" s="12">
        <f>INT((D551-1)/100)+1</f>
        <v/>
      </c>
      <c r="F551" s="12" t="inlineStr">
        <is>
          <t>Wildfire</t>
        </is>
      </c>
      <c r="G551" s="12" t="inlineStr">
        <is>
          <t>Wyckoff Fire — wildfire, 0.6 acres, Greenville (Greene Co.)</t>
        </is>
      </c>
      <c r="H551" s="12" t="inlineStr">
        <is>
          <t>Greenville, Greene County; Private Property</t>
        </is>
      </c>
      <c r="I551" s="12" t="inlineStr">
        <is>
          <t>0.6 acres; cause Debris Burning; fuel 8 - Timber - Light Hardwood Litter</t>
        </is>
      </c>
      <c r="J551" s="12" t="inlineStr">
        <is>
          <t>42.37558, -74.04868</t>
        </is>
      </c>
      <c r="K551" s="12" t="inlineStr">
        <is>
          <t>No losses reported</t>
        </is>
      </c>
      <c r="L551" s="12" t="inlineStr">
        <is>
          <t>NYSDEC Forest Ranger Wildland Fire Reporting Database (Beginning 2008), data.ny.gov export 2026-09-28</t>
        </is>
      </c>
      <c r="M551" s="12" t="inlineStr">
        <is>
          <t>https://data.ny.gov/</t>
        </is>
      </c>
      <c r="N551" s="12" t="inlineStr">
        <is>
          <t>A</t>
        </is>
      </c>
      <c r="O551" s="12" t="inlineStr">
        <is>
          <t>Y</t>
        </is>
      </c>
      <c r="P551" s="12" t="inlineStr">
        <is>
          <t>2026-09-28 (v970, atlas session): bulk ingest per Laurie; fire number NYS-2015-0029; matching 🔥 pin on Natural History.</t>
        </is>
      </c>
      <c r="Q551" s="12" t="inlineStr">
        <is>
          <t>2015-04-16</t>
        </is>
      </c>
      <c r="R551" s="12">
        <f>VALUE(LEFT(Q551,4))</f>
        <v/>
      </c>
      <c r="S551" s="12">
        <f>VALUE(MID(Q551,6,2))</f>
        <v/>
      </c>
      <c r="T551" s="12">
        <f>VALUE(RIGHT(Q551,2))</f>
        <v/>
      </c>
      <c r="U551" s="12" t="inlineStr">
        <is>
          <t>day</t>
        </is>
      </c>
      <c r="V551" s="12" t="inlineStr">
        <is>
          <t>Fire start date (DEC report)</t>
        </is>
      </c>
    </row>
    <row r="552">
      <c r="A552" s="12" t="n">
        <v>626</v>
      </c>
      <c r="B552" s="12" t="inlineStr">
        <is>
          <t>2023-05-17</t>
        </is>
      </c>
      <c r="C552" s="12" t="inlineStr">
        <is>
          <t>2023-05-18</t>
        </is>
      </c>
      <c r="D552" s="12">
        <f>VALUE(LEFT(B552,4))</f>
        <v/>
      </c>
      <c r="E552" s="12">
        <f>INT((D552-1)/100)+1</f>
        <v/>
      </c>
      <c r="F552" s="12" t="inlineStr">
        <is>
          <t>Wildfire</t>
        </is>
      </c>
      <c r="G552" s="12" t="inlineStr">
        <is>
          <t>Rocky Hill Fire — wildfire, 0.2 acres, Neversink (Sullivan Co.)</t>
        </is>
      </c>
      <c r="H552" s="12" t="inlineStr">
        <is>
          <t>Neversink, Sullivan County; Other Government</t>
        </is>
      </c>
      <c r="I552" s="12" t="inlineStr">
        <is>
          <t>0.2 acres; cause Power line; fuel 4 - Brush - Heavy/Volatile</t>
        </is>
      </c>
      <c r="J552" s="12" t="inlineStr">
        <is>
          <t>41.85355, -74.52847</t>
        </is>
      </c>
      <c r="K552" s="12" t="inlineStr">
        <is>
          <t>No losses reported</t>
        </is>
      </c>
      <c r="L552" s="12" t="inlineStr">
        <is>
          <t>NYSDEC Forest Ranger Wildland Fire Reporting Database (Beginning 2008), data.ny.gov export 2026-09-28</t>
        </is>
      </c>
      <c r="M552" s="12" t="inlineStr">
        <is>
          <t>https://data.ny.gov/</t>
        </is>
      </c>
      <c r="N552" s="12" t="inlineStr">
        <is>
          <t>A</t>
        </is>
      </c>
      <c r="O552" s="12" t="inlineStr">
        <is>
          <t>Y</t>
        </is>
      </c>
      <c r="P552" s="12" t="inlineStr">
        <is>
          <t>2026-09-28 (v970, atlas session): bulk ingest per Laurie; fire number NYS-2023-0121; matching 🔥 pin on Natural History.</t>
        </is>
      </c>
      <c r="Q552" s="12" t="inlineStr">
        <is>
          <t>2023-05-17</t>
        </is>
      </c>
      <c r="R552" s="12">
        <f>VALUE(LEFT(Q552,4))</f>
        <v/>
      </c>
      <c r="S552" s="12">
        <f>VALUE(MID(Q552,6,2))</f>
        <v/>
      </c>
      <c r="T552" s="12">
        <f>VALUE(RIGHT(Q552,2))</f>
        <v/>
      </c>
      <c r="U552" s="12" t="inlineStr">
        <is>
          <t>day</t>
        </is>
      </c>
      <c r="V552" s="12" t="inlineStr">
        <is>
          <t>Fire start date (DEC report)</t>
        </is>
      </c>
    </row>
    <row r="553">
      <c r="A553" s="12" t="n">
        <v>628</v>
      </c>
      <c r="B553" s="12" t="inlineStr">
        <is>
          <t>2021-05-13</t>
        </is>
      </c>
      <c r="C553" s="12" t="inlineStr">
        <is>
          <t>2021-05-13</t>
        </is>
      </c>
      <c r="D553" s="12">
        <f>VALUE(LEFT(B553,4))</f>
        <v/>
      </c>
      <c r="E553" s="12">
        <f>INT((D553-1)/100)+1</f>
        <v/>
      </c>
      <c r="F553" s="12" t="inlineStr">
        <is>
          <t>Wildfire</t>
        </is>
      </c>
      <c r="G553" s="12" t="inlineStr">
        <is>
          <t>Cole Hill SF Wildfire — wildfire, 1.1 acres, Berne (Albany Co.)</t>
        </is>
      </c>
      <c r="H553" s="12" t="inlineStr">
        <is>
          <t>Berne, Albany County; State Forest/RF Area — Cole Hill State Forest</t>
        </is>
      </c>
      <c r="I553" s="12" t="inlineStr">
        <is>
          <t>1.1 acres; cause Miscellaneous; fuel 9 - Timber - Medium Hardwood Litter</t>
        </is>
      </c>
      <c r="J553" s="12" t="inlineStr">
        <is>
          <t>42.59745, -74.09214</t>
        </is>
      </c>
      <c r="K553" s="12" t="inlineStr">
        <is>
          <t>No losses reported</t>
        </is>
      </c>
      <c r="L553" s="12" t="inlineStr">
        <is>
          <t>NYSDEC Forest Ranger Wildland Fire Reporting Database (Beginning 2008), data.ny.gov export 2026-09-28</t>
        </is>
      </c>
      <c r="M553" s="12" t="inlineStr">
        <is>
          <t>https://data.ny.gov/</t>
        </is>
      </c>
      <c r="N553" s="12" t="inlineStr">
        <is>
          <t>A</t>
        </is>
      </c>
      <c r="O553" s="12" t="inlineStr">
        <is>
          <t>Y</t>
        </is>
      </c>
      <c r="P553" s="12" t="inlineStr">
        <is>
          <t>2026-09-28 (v970, atlas session): bulk ingest per Laurie; fire number NYS-2021-0108; matching 🔥 pin on Natural History.</t>
        </is>
      </c>
      <c r="Q553" s="12" t="inlineStr">
        <is>
          <t>2021-05-13</t>
        </is>
      </c>
      <c r="R553" s="12">
        <f>VALUE(LEFT(Q553,4))</f>
        <v/>
      </c>
      <c r="S553" s="12">
        <f>VALUE(MID(Q553,6,2))</f>
        <v/>
      </c>
      <c r="T553" s="12">
        <f>VALUE(RIGHT(Q553,2))</f>
        <v/>
      </c>
      <c r="U553" s="12" t="inlineStr">
        <is>
          <t>day</t>
        </is>
      </c>
      <c r="V553" s="12" t="inlineStr">
        <is>
          <t>Fire start date (DEC report)</t>
        </is>
      </c>
    </row>
    <row r="554">
      <c r="A554" s="12" t="n">
        <v>630</v>
      </c>
      <c r="B554" s="12" t="inlineStr">
        <is>
          <t>2022-11-06</t>
        </is>
      </c>
      <c r="C554" s="12" t="inlineStr">
        <is>
          <t>2022-11-07</t>
        </is>
      </c>
      <c r="D554" s="12">
        <f>VALUE(LEFT(B554,4))</f>
        <v/>
      </c>
      <c r="E554" s="12">
        <f>INT((D554-1)/100)+1</f>
        <v/>
      </c>
      <c r="F554" s="12" t="inlineStr">
        <is>
          <t>Wildfire</t>
        </is>
      </c>
      <c r="G554" s="12" t="inlineStr">
        <is>
          <t>Marks Road Fire — wildfire, 1.8 acres, Lisle (Broome Co.)</t>
        </is>
      </c>
      <c r="H554" s="12" t="inlineStr">
        <is>
          <t>Lisle, Broome County; Private Property</t>
        </is>
      </c>
      <c r="I554" s="12" t="inlineStr">
        <is>
          <t>1.8 acres; cause Power line; fuel 9 - Timber - Medium Hardwood Litter</t>
        </is>
      </c>
      <c r="J554" s="12" t="inlineStr">
        <is>
          <t>42.31660, -76.03776</t>
        </is>
      </c>
      <c r="K554" s="12" t="inlineStr">
        <is>
          <t>No losses reported</t>
        </is>
      </c>
      <c r="L554" s="12" t="inlineStr">
        <is>
          <t>NYSDEC Forest Ranger Wildland Fire Reporting Database (Beginning 2008), data.ny.gov export 2026-09-28</t>
        </is>
      </c>
      <c r="M554" s="12" t="inlineStr">
        <is>
          <t>https://data.ny.gov/</t>
        </is>
      </c>
      <c r="N554" s="12" t="inlineStr">
        <is>
          <t>A</t>
        </is>
      </c>
      <c r="O554" s="12" t="inlineStr">
        <is>
          <t>Y</t>
        </is>
      </c>
      <c r="P554" s="12" t="inlineStr">
        <is>
          <t>2026-09-28 (v970, atlas session): bulk ingest per Laurie; fire number NYS-2022-0196; matching 🔥 pin on Natural History.</t>
        </is>
      </c>
      <c r="Q554" s="12" t="inlineStr">
        <is>
          <t>2022-11-06</t>
        </is>
      </c>
      <c r="R554" s="12">
        <f>VALUE(LEFT(Q554,4))</f>
        <v/>
      </c>
      <c r="S554" s="12">
        <f>VALUE(MID(Q554,6,2))</f>
        <v/>
      </c>
      <c r="T554" s="12">
        <f>VALUE(RIGHT(Q554,2))</f>
        <v/>
      </c>
      <c r="U554" s="12" t="inlineStr">
        <is>
          <t>day</t>
        </is>
      </c>
      <c r="V554" s="12" t="inlineStr">
        <is>
          <t>Fire start date (DEC report)</t>
        </is>
      </c>
    </row>
    <row r="555">
      <c r="A555" s="12" t="n">
        <v>631</v>
      </c>
      <c r="B555" s="12" t="inlineStr">
        <is>
          <t>2023-05-26</t>
        </is>
      </c>
      <c r="C555" s="12" t="inlineStr">
        <is>
          <t>2023-05-26</t>
        </is>
      </c>
      <c r="D555" s="12">
        <f>VALUE(LEFT(B555,4))</f>
        <v/>
      </c>
      <c r="E555" s="12">
        <f>INT((D555-1)/100)+1</f>
        <v/>
      </c>
      <c r="F555" s="12" t="inlineStr">
        <is>
          <t>Wildfire</t>
        </is>
      </c>
      <c r="G555" s="12" t="inlineStr">
        <is>
          <t>Wey Road Fire — wildfire, 0.3 acres, Rhinebeck (Dutchess Co.)</t>
        </is>
      </c>
      <c r="H555" s="12" t="inlineStr">
        <is>
          <t>Rhinebeck, Dutchess County; Private Property</t>
        </is>
      </c>
      <c r="I555" s="12" t="inlineStr">
        <is>
          <t>0.3 acres; cause Debris Burning; fuel 7 - Brush - Understory</t>
        </is>
      </c>
      <c r="J555" s="12" t="inlineStr">
        <is>
          <t>41.95221, -73.88092</t>
        </is>
      </c>
      <c r="K555" s="12" t="inlineStr">
        <is>
          <t>No losses reported</t>
        </is>
      </c>
      <c r="L555" s="12" t="inlineStr">
        <is>
          <t>NYSDEC Forest Ranger Wildland Fire Reporting Database (Beginning 2008), data.ny.gov export 2026-09-28</t>
        </is>
      </c>
      <c r="M555" s="12" t="inlineStr">
        <is>
          <t>https://data.ny.gov/</t>
        </is>
      </c>
      <c r="N555" s="12" t="inlineStr">
        <is>
          <t>A</t>
        </is>
      </c>
      <c r="O555" s="12" t="inlineStr">
        <is>
          <t>Y</t>
        </is>
      </c>
      <c r="P555" s="12" t="inlineStr">
        <is>
          <t>2026-09-28 (v970, atlas session): bulk ingest per Laurie; fire number NYS-2023-0172; matching 🔥 pin on Natural History.</t>
        </is>
      </c>
      <c r="Q555" s="12" t="inlineStr">
        <is>
          <t>2023-05-26</t>
        </is>
      </c>
      <c r="R555" s="12">
        <f>VALUE(LEFT(Q555,4))</f>
        <v/>
      </c>
      <c r="S555" s="12">
        <f>VALUE(MID(Q555,6,2))</f>
        <v/>
      </c>
      <c r="T555" s="12">
        <f>VALUE(RIGHT(Q555,2))</f>
        <v/>
      </c>
      <c r="U555" s="12" t="inlineStr">
        <is>
          <t>day</t>
        </is>
      </c>
      <c r="V555" s="12" t="inlineStr">
        <is>
          <t>Fire start date (DEC report)</t>
        </is>
      </c>
    </row>
    <row r="556">
      <c r="A556" s="12" t="n">
        <v>632</v>
      </c>
      <c r="B556" s="12" t="inlineStr">
        <is>
          <t>2010-04-05</t>
        </is>
      </c>
      <c r="C556" s="12" t="inlineStr">
        <is>
          <t>2010-04-06</t>
        </is>
      </c>
      <c r="D556" s="12">
        <f>VALUE(LEFT(B556,4))</f>
        <v/>
      </c>
      <c r="E556" s="12">
        <f>INT((D556-1)/100)+1</f>
        <v/>
      </c>
      <c r="F556" s="12" t="inlineStr">
        <is>
          <t>Wildfire</t>
        </is>
      </c>
      <c r="G556" s="12" t="inlineStr">
        <is>
          <t>Darren Rd Fire — wildfire, 9 acres, Union Vale (Dutchess Co.)</t>
        </is>
      </c>
      <c r="H556" s="12" t="inlineStr">
        <is>
          <t>Union Vale, Dutchess County; Private Property</t>
        </is>
      </c>
      <c r="I556" s="12" t="inlineStr">
        <is>
          <t>9 acres; cause Debris Burning; fuel 9 - Timber - Medium Hardwood Litter</t>
        </is>
      </c>
      <c r="J556" s="12" t="inlineStr">
        <is>
          <t>41.67835, -73.70522</t>
        </is>
      </c>
      <c r="K556" s="12" t="inlineStr">
        <is>
          <t>No losses reported</t>
        </is>
      </c>
      <c r="L556" s="12" t="inlineStr">
        <is>
          <t>NYSDEC Forest Ranger Wildland Fire Reporting Database (Beginning 2008), data.ny.gov export 2026-09-28</t>
        </is>
      </c>
      <c r="M556" s="12" t="inlineStr">
        <is>
          <t>https://data.ny.gov/</t>
        </is>
      </c>
      <c r="N556" s="12" t="inlineStr">
        <is>
          <t>A</t>
        </is>
      </c>
      <c r="O556" s="12" t="inlineStr">
        <is>
          <t>Y</t>
        </is>
      </c>
      <c r="P556" s="12" t="inlineStr">
        <is>
          <t>2026-09-28 (v970, atlas session): bulk ingest per Laurie; fire number NYS-2010-0045; matching 🔥 pin on Natural History.</t>
        </is>
      </c>
      <c r="Q556" s="12" t="inlineStr">
        <is>
          <t>2010-04-05</t>
        </is>
      </c>
      <c r="R556" s="12">
        <f>VALUE(LEFT(Q556,4))</f>
        <v/>
      </c>
      <c r="S556" s="12">
        <f>VALUE(MID(Q556,6,2))</f>
        <v/>
      </c>
      <c r="T556" s="12">
        <f>VALUE(RIGHT(Q556,2))</f>
        <v/>
      </c>
      <c r="U556" s="12" t="inlineStr">
        <is>
          <t>day</t>
        </is>
      </c>
      <c r="V556" s="12" t="inlineStr">
        <is>
          <t>Fire start date (DEC report)</t>
        </is>
      </c>
    </row>
    <row r="557">
      <c r="A557" s="12" t="n">
        <v>633</v>
      </c>
      <c r="B557" s="12" t="inlineStr">
        <is>
          <t>2023-05-16</t>
        </is>
      </c>
      <c r="C557" s="12" t="inlineStr">
        <is>
          <t>2023-05-16</t>
        </is>
      </c>
      <c r="D557" s="12">
        <f>VALUE(LEFT(B557,4))</f>
        <v/>
      </c>
      <c r="E557" s="12">
        <f>INT((D557-1)/100)+1</f>
        <v/>
      </c>
      <c r="F557" s="12" t="inlineStr">
        <is>
          <t>Wildfire</t>
        </is>
      </c>
      <c r="G557" s="12" t="inlineStr">
        <is>
          <t>Tower Hill Fire — wildfire, 0.5 acres, Washington (Dutchess Co.)</t>
        </is>
      </c>
      <c r="H557" s="12" t="inlineStr">
        <is>
          <t>Washington, Dutchess County; Private Property</t>
        </is>
      </c>
      <c r="I557" s="12" t="inlineStr">
        <is>
          <t>0.5 acres; cause Debris Burning; fuel 8 - Timber - Light Hardwood Litter</t>
        </is>
      </c>
      <c r="J557" s="12" t="inlineStr">
        <is>
          <t>41.81878, -73.61692</t>
        </is>
      </c>
      <c r="K557" s="12" t="inlineStr">
        <is>
          <t>No losses reported</t>
        </is>
      </c>
      <c r="L557" s="12" t="inlineStr">
        <is>
          <t>NYSDEC Forest Ranger Wildland Fire Reporting Database (Beginning 2008), data.ny.gov export 2026-09-28</t>
        </is>
      </c>
      <c r="M557" s="12" t="inlineStr">
        <is>
          <t>https://data.ny.gov/</t>
        </is>
      </c>
      <c r="N557" s="12" t="inlineStr">
        <is>
          <t>A</t>
        </is>
      </c>
      <c r="O557" s="12" t="inlineStr">
        <is>
          <t>Y</t>
        </is>
      </c>
      <c r="P557" s="12" t="inlineStr">
        <is>
          <t>2026-09-28 (v970, atlas session): bulk ingest per Laurie; fire number NYS-2023-0116; matching 🔥 pin on Natural History.</t>
        </is>
      </c>
      <c r="Q557" s="12" t="inlineStr">
        <is>
          <t>2023-05-16</t>
        </is>
      </c>
      <c r="R557" s="12">
        <f>VALUE(LEFT(Q557,4))</f>
        <v/>
      </c>
      <c r="S557" s="12">
        <f>VALUE(MID(Q557,6,2))</f>
        <v/>
      </c>
      <c r="T557" s="12">
        <f>VALUE(RIGHT(Q557,2))</f>
        <v/>
      </c>
      <c r="U557" s="12" t="inlineStr">
        <is>
          <t>day</t>
        </is>
      </c>
      <c r="V557" s="12" t="inlineStr">
        <is>
          <t>Fire start date (DEC report)</t>
        </is>
      </c>
    </row>
    <row r="558">
      <c r="A558" s="12" t="n">
        <v>634</v>
      </c>
      <c r="B558" s="12" t="inlineStr">
        <is>
          <t>2022-01-26</t>
        </is>
      </c>
      <c r="C558" s="12" t="inlineStr">
        <is>
          <t>2022-01-27</t>
        </is>
      </c>
      <c r="D558" s="12">
        <f>VALUE(LEFT(B558,4))</f>
        <v/>
      </c>
      <c r="E558" s="12">
        <f>INT((D558-1)/100)+1</f>
        <v/>
      </c>
      <c r="F558" s="12" t="inlineStr">
        <is>
          <t>Wildfire</t>
        </is>
      </c>
      <c r="G558" s="12" t="inlineStr">
        <is>
          <t>Clapp Hill Fire — wildfire, 0.1 acres, Beekman (Dutchess Co.)</t>
        </is>
      </c>
      <c r="H558" s="12" t="inlineStr">
        <is>
          <t>Beekman, Dutchess County; Private Property</t>
        </is>
      </c>
      <c r="I558" s="12" t="inlineStr">
        <is>
          <t>0.1 acres; cause Debris Burning; fuel 9 - Timber - Medium Hardwood Litter</t>
        </is>
      </c>
      <c r="J558" s="12" t="inlineStr">
        <is>
          <t>41.62854, -73.75409</t>
        </is>
      </c>
      <c r="K558" s="12" t="inlineStr">
        <is>
          <t>No losses reported</t>
        </is>
      </c>
      <c r="L558" s="12" t="inlineStr">
        <is>
          <t>NYSDEC Forest Ranger Wildland Fire Reporting Database (Beginning 2008), data.ny.gov export 2026-09-28</t>
        </is>
      </c>
      <c r="M558" s="12" t="inlineStr">
        <is>
          <t>https://data.ny.gov/</t>
        </is>
      </c>
      <c r="N558" s="12" t="inlineStr">
        <is>
          <t>A</t>
        </is>
      </c>
      <c r="O558" s="12" t="inlineStr">
        <is>
          <t>Y</t>
        </is>
      </c>
      <c r="P558" s="12" t="inlineStr">
        <is>
          <t>2026-09-28 (v970, atlas session): bulk ingest per Laurie; fire number NYS-2022-0001; matching 🔥 pin on Natural History.</t>
        </is>
      </c>
      <c r="Q558" s="12" t="inlineStr">
        <is>
          <t>2022-01-26</t>
        </is>
      </c>
      <c r="R558" s="12">
        <f>VALUE(LEFT(Q558,4))</f>
        <v/>
      </c>
      <c r="S558" s="12">
        <f>VALUE(MID(Q558,6,2))</f>
        <v/>
      </c>
      <c r="T558" s="12">
        <f>VALUE(RIGHT(Q558,2))</f>
        <v/>
      </c>
      <c r="U558" s="12" t="inlineStr">
        <is>
          <t>day</t>
        </is>
      </c>
      <c r="V558" s="12" t="inlineStr">
        <is>
          <t>Fire start date (DEC report)</t>
        </is>
      </c>
    </row>
    <row r="559">
      <c r="A559" s="12" t="n">
        <v>635</v>
      </c>
      <c r="B559" s="12" t="inlineStr">
        <is>
          <t>2016-03-19</t>
        </is>
      </c>
      <c r="C559" s="12" t="inlineStr">
        <is>
          <t>2016-03-19</t>
        </is>
      </c>
      <c r="D559" s="12">
        <f>VALUE(LEFT(B559,4))</f>
        <v/>
      </c>
      <c r="E559" s="12">
        <f>INT((D559-1)/100)+1</f>
        <v/>
      </c>
      <c r="F559" s="12" t="inlineStr">
        <is>
          <t>Wildfire</t>
        </is>
      </c>
      <c r="G559" s="12" t="inlineStr">
        <is>
          <t>Calicoon Creek Fire — wildfire, 3 acres, Fremont (Sullivan Co.)</t>
        </is>
      </c>
      <c r="H559" s="12" t="inlineStr">
        <is>
          <t>Fremont, Sullivan County; Private Property</t>
        </is>
      </c>
      <c r="I559" s="12" t="inlineStr">
        <is>
          <t>3 acres; cause Campfire; fuel 3 - Grass - Heavy</t>
        </is>
      </c>
      <c r="J559" s="12" t="inlineStr">
        <is>
          <t>41.81463, -75.08235</t>
        </is>
      </c>
      <c r="K559" s="12" t="inlineStr">
        <is>
          <t>No losses reported</t>
        </is>
      </c>
      <c r="L559" s="12" t="inlineStr">
        <is>
          <t>NYSDEC Forest Ranger Wildland Fire Reporting Database (Beginning 2008), data.ny.gov export 2026-09-28</t>
        </is>
      </c>
      <c r="M559" s="12" t="inlineStr">
        <is>
          <t>https://data.ny.gov/</t>
        </is>
      </c>
      <c r="N559" s="12" t="inlineStr">
        <is>
          <t>A</t>
        </is>
      </c>
      <c r="O559" s="12" t="inlineStr">
        <is>
          <t>Y</t>
        </is>
      </c>
      <c r="P559" s="12" t="inlineStr">
        <is>
          <t>2026-09-28 (v970, atlas session): bulk ingest per Laurie; fire number NYS-2016-0016; matching 🔥 pin on Natural History.</t>
        </is>
      </c>
      <c r="Q559" s="12" t="inlineStr">
        <is>
          <t>2016-03-19</t>
        </is>
      </c>
      <c r="R559" s="12">
        <f>VALUE(LEFT(Q559,4))</f>
        <v/>
      </c>
      <c r="S559" s="12">
        <f>VALUE(MID(Q559,6,2))</f>
        <v/>
      </c>
      <c r="T559" s="12">
        <f>VALUE(RIGHT(Q559,2))</f>
        <v/>
      </c>
      <c r="U559" s="12" t="inlineStr">
        <is>
          <t>day</t>
        </is>
      </c>
      <c r="V559" s="12" t="inlineStr">
        <is>
          <t>Fire start date (DEC report)</t>
        </is>
      </c>
    </row>
    <row r="560">
      <c r="A560" s="12" t="n">
        <v>637</v>
      </c>
      <c r="B560" s="12" t="inlineStr">
        <is>
          <t>2024-10-28</t>
        </is>
      </c>
      <c r="C560" s="12" t="inlineStr">
        <is>
          <t>2024-10-28</t>
        </is>
      </c>
      <c r="D560" s="12">
        <f>VALUE(LEFT(B560,4))</f>
        <v/>
      </c>
      <c r="E560" s="12">
        <f>INT((D560-1)/100)+1</f>
        <v/>
      </c>
      <c r="F560" s="12" t="inlineStr">
        <is>
          <t>Wildfire</t>
        </is>
      </c>
      <c r="G560" s="12" t="inlineStr">
        <is>
          <t>Mt. Pisgah Fire — wildfire, 0.5 acres, Windham (Greene Co.)</t>
        </is>
      </c>
      <c r="H560" s="12" t="inlineStr">
        <is>
          <t>Windham, Greene County; Private Property</t>
        </is>
      </c>
      <c r="I560" s="12" t="inlineStr">
        <is>
          <t>0.5 acres; cause Debris Burning; fuel 8 - Timber - Light Hardwood Litter</t>
        </is>
      </c>
      <c r="J560" s="12" t="inlineStr">
        <is>
          <t>42.37470, -74.25270</t>
        </is>
      </c>
      <c r="K560" s="12" t="inlineStr">
        <is>
          <t>No losses reported</t>
        </is>
      </c>
      <c r="L560" s="12" t="inlineStr">
        <is>
          <t>NYSDEC Forest Ranger Wildland Fire Reporting Database (Beginning 2008), data.ny.gov export 2026-09-28</t>
        </is>
      </c>
      <c r="M560" s="12" t="inlineStr">
        <is>
          <t>https://data.ny.gov/</t>
        </is>
      </c>
      <c r="N560" s="12" t="inlineStr">
        <is>
          <t>A</t>
        </is>
      </c>
      <c r="O560" s="12" t="inlineStr">
        <is>
          <t>Y</t>
        </is>
      </c>
      <c r="P560" s="12" t="inlineStr">
        <is>
          <t>2026-09-28 (v970, atlas session): bulk ingest per Laurie; fire number NYS-2024-0150; matching 🔥 pin on Natural History.</t>
        </is>
      </c>
      <c r="Q560" s="12" t="inlineStr">
        <is>
          <t>2024-10-28</t>
        </is>
      </c>
      <c r="R560" s="12">
        <f>VALUE(LEFT(Q560,4))</f>
        <v/>
      </c>
      <c r="S560" s="12">
        <f>VALUE(MID(Q560,6,2))</f>
        <v/>
      </c>
      <c r="T560" s="12">
        <f>VALUE(RIGHT(Q560,2))</f>
        <v/>
      </c>
      <c r="U560" s="12" t="inlineStr">
        <is>
          <t>day</t>
        </is>
      </c>
      <c r="V560" s="12" t="inlineStr">
        <is>
          <t>Fire start date (DEC report)</t>
        </is>
      </c>
    </row>
    <row r="561">
      <c r="A561" s="12" t="n">
        <v>638</v>
      </c>
      <c r="B561" s="12" t="inlineStr">
        <is>
          <t>2017-04-14</t>
        </is>
      </c>
      <c r="C561" s="12" t="inlineStr">
        <is>
          <t>2017-04-14</t>
        </is>
      </c>
      <c r="D561" s="12">
        <f>VALUE(LEFT(B561,4))</f>
        <v/>
      </c>
      <c r="E561" s="12">
        <f>INT((D561-1)/100)+1</f>
        <v/>
      </c>
      <c r="F561" s="12" t="inlineStr">
        <is>
          <t>Wildfire</t>
        </is>
      </c>
      <c r="G561" s="12" t="inlineStr">
        <is>
          <t>Strong Road Fire — wildfire, 0.7 acres, Durham (Greene Co.)</t>
        </is>
      </c>
      <c r="H561" s="12" t="inlineStr">
        <is>
          <t>Durham, Greene County; Private Property</t>
        </is>
      </c>
      <c r="I561" s="12" t="inlineStr">
        <is>
          <t>0.7 acres; cause Debris Burning; fuel 8 - Timber - Light Hardwood Litter</t>
        </is>
      </c>
      <c r="J561" s="12" t="inlineStr">
        <is>
          <t>42.36118, -74.14634</t>
        </is>
      </c>
      <c r="K561" s="12" t="inlineStr">
        <is>
          <t>No losses reported</t>
        </is>
      </c>
      <c r="L561" s="12" t="inlineStr">
        <is>
          <t>NYSDEC Forest Ranger Wildland Fire Reporting Database (Beginning 2008), data.ny.gov export 2026-09-28</t>
        </is>
      </c>
      <c r="M561" s="12" t="inlineStr">
        <is>
          <t>https://data.ny.gov/</t>
        </is>
      </c>
      <c r="N561" s="12" t="inlineStr">
        <is>
          <t>A</t>
        </is>
      </c>
      <c r="O561" s="12" t="inlineStr">
        <is>
          <t>Y</t>
        </is>
      </c>
      <c r="P561" s="12" t="inlineStr">
        <is>
          <t>2026-09-28 (v970, atlas session): bulk ingest per Laurie; fire number NYS-2017-0027; matching 🔥 pin on Natural History.</t>
        </is>
      </c>
      <c r="Q561" s="12" t="inlineStr">
        <is>
          <t>2017-04-14</t>
        </is>
      </c>
      <c r="R561" s="12">
        <f>VALUE(LEFT(Q561,4))</f>
        <v/>
      </c>
      <c r="S561" s="12">
        <f>VALUE(MID(Q561,6,2))</f>
        <v/>
      </c>
      <c r="T561" s="12">
        <f>VALUE(RIGHT(Q561,2))</f>
        <v/>
      </c>
      <c r="U561" s="12" t="inlineStr">
        <is>
          <t>day</t>
        </is>
      </c>
      <c r="V561" s="12" t="inlineStr">
        <is>
          <t>Fire start date (DEC report)</t>
        </is>
      </c>
    </row>
    <row r="562">
      <c r="A562" s="12" t="n">
        <v>639</v>
      </c>
      <c r="B562" s="12" t="inlineStr">
        <is>
          <t>2012-04-14</t>
        </is>
      </c>
      <c r="C562" s="12" t="inlineStr">
        <is>
          <t>2012-04-18</t>
        </is>
      </c>
      <c r="D562" s="12">
        <f>VALUE(LEFT(B562,4))</f>
        <v/>
      </c>
      <c r="E562" s="12">
        <f>INT((D562-1)/100)+1</f>
        <v/>
      </c>
      <c r="F562" s="12" t="inlineStr">
        <is>
          <t>Wildfire</t>
        </is>
      </c>
      <c r="G562" s="12" t="inlineStr">
        <is>
          <t>Cruger Island Fire — wildfire, 1.1 acres, Red Hook (Dutchess Co.)</t>
        </is>
      </c>
      <c r="H562" s="12" t="inlineStr">
        <is>
          <t>Red Hook, Dutchess County; Wildlife Management Area — Tivoli Bay WMA</t>
        </is>
      </c>
      <c r="I562" s="12" t="inlineStr">
        <is>
          <t>1.1 acres; cause Campfire; fuel 9 - Timber - Medium Hardwood Litter</t>
        </is>
      </c>
      <c r="J562" s="12" t="inlineStr">
        <is>
          <t>42.03531, -73.92686</t>
        </is>
      </c>
      <c r="K562" s="12" t="inlineStr">
        <is>
          <t>No losses reported</t>
        </is>
      </c>
      <c r="L562" s="12" t="inlineStr">
        <is>
          <t>NYSDEC Forest Ranger Wildland Fire Reporting Database (Beginning 2008), data.ny.gov export 2026-09-28</t>
        </is>
      </c>
      <c r="M562" s="12" t="inlineStr">
        <is>
          <t>https://data.ny.gov/</t>
        </is>
      </c>
      <c r="N562" s="12" t="inlineStr">
        <is>
          <t>A</t>
        </is>
      </c>
      <c r="O562" s="12" t="inlineStr">
        <is>
          <t>Y</t>
        </is>
      </c>
      <c r="P562" s="12" t="inlineStr">
        <is>
          <t>2026-09-28 (v970, atlas session): bulk ingest per Laurie; fire number NYS-2012-0090; matching 🔥 pin on Natural History.</t>
        </is>
      </c>
      <c r="Q562" s="12" t="inlineStr">
        <is>
          <t>2012-04-14</t>
        </is>
      </c>
      <c r="R562" s="12">
        <f>VALUE(LEFT(Q562,4))</f>
        <v/>
      </c>
      <c r="S562" s="12">
        <f>VALUE(MID(Q562,6,2))</f>
        <v/>
      </c>
      <c r="T562" s="12">
        <f>VALUE(RIGHT(Q562,2))</f>
        <v/>
      </c>
      <c r="U562" s="12" t="inlineStr">
        <is>
          <t>day</t>
        </is>
      </c>
      <c r="V562" s="12" t="inlineStr">
        <is>
          <t>Fire start date (DEC report)</t>
        </is>
      </c>
    </row>
    <row r="563">
      <c r="A563" s="12" t="n">
        <v>640</v>
      </c>
      <c r="B563" s="12" t="inlineStr">
        <is>
          <t>2019-04-03</t>
        </is>
      </c>
      <c r="C563" s="12" t="inlineStr">
        <is>
          <t>2019-04-03</t>
        </is>
      </c>
      <c r="D563" s="12">
        <f>VALUE(LEFT(B563,4))</f>
        <v/>
      </c>
      <c r="E563" s="12">
        <f>INT((D563-1)/100)+1</f>
        <v/>
      </c>
      <c r="F563" s="12" t="inlineStr">
        <is>
          <t>Wildfire</t>
        </is>
      </c>
      <c r="G563" s="12" t="inlineStr">
        <is>
          <t>Fallsburg Fire — wildfire, 0.6 acres, Fallsburgh (Sullivan Co.)</t>
        </is>
      </c>
      <c r="H563" s="12" t="inlineStr">
        <is>
          <t>Fallsburgh, Sullivan County; Private Property</t>
        </is>
      </c>
      <c r="I563" s="12" t="inlineStr">
        <is>
          <t>0.6 acres; cause Power line; fuel 7 - Brush - Understory</t>
        </is>
      </c>
      <c r="J563" s="12" t="inlineStr">
        <is>
          <t>41.71428, -74.56678</t>
        </is>
      </c>
      <c r="K563" s="12" t="inlineStr">
        <is>
          <t>No losses reported</t>
        </is>
      </c>
      <c r="L563" s="12" t="inlineStr">
        <is>
          <t>NYSDEC Forest Ranger Wildland Fire Reporting Database (Beginning 2008), data.ny.gov export 2026-09-28</t>
        </is>
      </c>
      <c r="M563" s="12" t="inlineStr">
        <is>
          <t>https://data.ny.gov/</t>
        </is>
      </c>
      <c r="N563" s="12" t="inlineStr">
        <is>
          <t>A</t>
        </is>
      </c>
      <c r="O563" s="12" t="inlineStr">
        <is>
          <t>Y</t>
        </is>
      </c>
      <c r="P563" s="12" t="inlineStr">
        <is>
          <t>2026-09-28 (v970, atlas session): bulk ingest per Laurie; fire number NYS-2019-0024; matching 🔥 pin on Natural History.</t>
        </is>
      </c>
      <c r="Q563" s="12" t="inlineStr">
        <is>
          <t>2019-04-03</t>
        </is>
      </c>
      <c r="R563" s="12">
        <f>VALUE(LEFT(Q563,4))</f>
        <v/>
      </c>
      <c r="S563" s="12">
        <f>VALUE(MID(Q563,6,2))</f>
        <v/>
      </c>
      <c r="T563" s="12">
        <f>VALUE(RIGHT(Q563,2))</f>
        <v/>
      </c>
      <c r="U563" s="12" t="inlineStr">
        <is>
          <t>day</t>
        </is>
      </c>
      <c r="V563" s="12" t="inlineStr">
        <is>
          <t>Fire start date (DEC report)</t>
        </is>
      </c>
    </row>
    <row r="564">
      <c r="A564" s="12" t="n">
        <v>644</v>
      </c>
      <c r="B564" s="12" t="inlineStr">
        <is>
          <t>2020-07-28</t>
        </is>
      </c>
      <c r="C564" s="12" t="inlineStr">
        <is>
          <t>2020-07-29</t>
        </is>
      </c>
      <c r="D564" s="12">
        <f>VALUE(LEFT(B564,4))</f>
        <v/>
      </c>
      <c r="E564" s="12">
        <f>INT((D564-1)/100)+1</f>
        <v/>
      </c>
      <c r="F564" s="12" t="inlineStr">
        <is>
          <t>Wildfire</t>
        </is>
      </c>
      <c r="G564" s="12" t="inlineStr">
        <is>
          <t>Badman Cave Fire — wildfire, 0.1 acres, Catskill (Greene Co.)</t>
        </is>
      </c>
      <c r="H564" s="12" t="inlineStr">
        <is>
          <t>Catskill, Greene County; Forest Preserve — Windham Blackhead Ranger</t>
        </is>
      </c>
      <c r="I564" s="12" t="inlineStr">
        <is>
          <t>0.1 acres; cause Campfire; fuel 10 - Timber - Heavy Litter/Downed Fuels</t>
        </is>
      </c>
      <c r="J564" s="12" t="inlineStr">
        <is>
          <t>42.21555, -74.03583</t>
        </is>
      </c>
      <c r="K564" s="12" t="inlineStr">
        <is>
          <t>No losses reported</t>
        </is>
      </c>
      <c r="L564" s="12" t="inlineStr">
        <is>
          <t>NYSDEC Forest Ranger Wildland Fire Reporting Database (Beginning 2008), data.ny.gov export 2026-09-28</t>
        </is>
      </c>
      <c r="M564" s="12" t="inlineStr">
        <is>
          <t>https://data.ny.gov/</t>
        </is>
      </c>
      <c r="N564" s="12" t="inlineStr">
        <is>
          <t>A</t>
        </is>
      </c>
      <c r="O564" s="12" t="inlineStr">
        <is>
          <t>Y</t>
        </is>
      </c>
      <c r="P564" s="12" t="inlineStr">
        <is>
          <t>2026-09-28 (v970, atlas session): bulk ingest per Laurie; fire number NYS-2020-0132; matching 🔥 pin on Natural History.</t>
        </is>
      </c>
      <c r="Q564" s="12" t="inlineStr">
        <is>
          <t>2020-07-28</t>
        </is>
      </c>
      <c r="R564" s="12">
        <f>VALUE(LEFT(Q564,4))</f>
        <v/>
      </c>
      <c r="S564" s="12">
        <f>VALUE(MID(Q564,6,2))</f>
        <v/>
      </c>
      <c r="T564" s="12">
        <f>VALUE(RIGHT(Q564,2))</f>
        <v/>
      </c>
      <c r="U564" s="12" t="inlineStr">
        <is>
          <t>day</t>
        </is>
      </c>
      <c r="V564" s="12" t="inlineStr">
        <is>
          <t>Fire start date (DEC report)</t>
        </is>
      </c>
    </row>
    <row r="565">
      <c r="A565" s="12" t="n">
        <v>645</v>
      </c>
      <c r="B565" s="12" t="inlineStr">
        <is>
          <t>2016-03-12</t>
        </is>
      </c>
      <c r="C565" s="12" t="inlineStr">
        <is>
          <t>2016-03-12</t>
        </is>
      </c>
      <c r="D565" s="12">
        <f>VALUE(LEFT(B565,4))</f>
        <v/>
      </c>
      <c r="E565" s="12">
        <f>INT((D565-1)/100)+1</f>
        <v/>
      </c>
      <c r="F565" s="12" t="inlineStr">
        <is>
          <t>Wildfire</t>
        </is>
      </c>
      <c r="G565" s="12" t="inlineStr">
        <is>
          <t>Behr Road — wildfire, 0.5 acres, Bethel (Sullivan Co.)</t>
        </is>
      </c>
      <c r="H565" s="12" t="inlineStr">
        <is>
          <t>Bethel, Sullivan County; Private Property</t>
        </is>
      </c>
      <c r="I565" s="12" t="inlineStr">
        <is>
          <t>0.5 acres; cause Smoking; fuel 1 - Grass - Light</t>
        </is>
      </c>
      <c r="J565" s="12" t="inlineStr">
        <is>
          <t>41.74920, -74.89842</t>
        </is>
      </c>
      <c r="K565" s="12" t="inlineStr">
        <is>
          <t>No losses reported</t>
        </is>
      </c>
      <c r="L565" s="12" t="inlineStr">
        <is>
          <t>NYSDEC Forest Ranger Wildland Fire Reporting Database (Beginning 2008), data.ny.gov export 2026-09-28</t>
        </is>
      </c>
      <c r="M565" s="12" t="inlineStr">
        <is>
          <t>https://data.ny.gov/</t>
        </is>
      </c>
      <c r="N565" s="12" t="inlineStr">
        <is>
          <t>A</t>
        </is>
      </c>
      <c r="O565" s="12" t="inlineStr">
        <is>
          <t>Y</t>
        </is>
      </c>
      <c r="P565" s="12" t="inlineStr">
        <is>
          <t>2026-09-28 (v970, atlas session): bulk ingest per Laurie; fire number NYS-2016-0013; matching 🔥 pin on Natural History.</t>
        </is>
      </c>
      <c r="Q565" s="12" t="inlineStr">
        <is>
          <t>2016-03-12</t>
        </is>
      </c>
      <c r="R565" s="12">
        <f>VALUE(LEFT(Q565,4))</f>
        <v/>
      </c>
      <c r="S565" s="12">
        <f>VALUE(MID(Q565,6,2))</f>
        <v/>
      </c>
      <c r="T565" s="12">
        <f>VALUE(RIGHT(Q565,2))</f>
        <v/>
      </c>
      <c r="U565" s="12" t="inlineStr">
        <is>
          <t>day</t>
        </is>
      </c>
      <c r="V565" s="12" t="inlineStr">
        <is>
          <t>Fire start date (DEC report)</t>
        </is>
      </c>
    </row>
    <row r="566">
      <c r="A566" s="12" t="n">
        <v>646</v>
      </c>
      <c r="B566" s="12" t="inlineStr">
        <is>
          <t>2013-04-07</t>
        </is>
      </c>
      <c r="C566" s="12" t="inlineStr">
        <is>
          <t>2013-04-08</t>
        </is>
      </c>
      <c r="D566" s="12">
        <f>VALUE(LEFT(B566,4))</f>
        <v/>
      </c>
      <c r="E566" s="12">
        <f>INT((D566-1)/100)+1</f>
        <v/>
      </c>
      <c r="F566" s="12" t="inlineStr">
        <is>
          <t>Wildfire</t>
        </is>
      </c>
      <c r="G566" s="12" t="inlineStr">
        <is>
          <t>Claverack Fire — wildfire, 21.2 acres, Claverack (Columbia Co.)</t>
        </is>
      </c>
      <c r="H566" s="12" t="inlineStr">
        <is>
          <t>Claverack, Columbia County; Private Property</t>
        </is>
      </c>
      <c r="I566" s="12" t="inlineStr">
        <is>
          <t>21.2 acres; cause Equipment; fuel 1 - Grass - Light</t>
        </is>
      </c>
      <c r="J566" s="12" t="inlineStr">
        <is>
          <t>42.26334, -73.74068</t>
        </is>
      </c>
      <c r="K566" s="12" t="inlineStr">
        <is>
          <t>Homes Threatened: 1; Other Structures Threatened: 1</t>
        </is>
      </c>
      <c r="L566" s="12" t="inlineStr">
        <is>
          <t>NYSDEC Forest Ranger Wildland Fire Reporting Database (Beginning 2008), data.ny.gov export 2026-09-28</t>
        </is>
      </c>
      <c r="M566" s="12" t="inlineStr">
        <is>
          <t>https://data.ny.gov/</t>
        </is>
      </c>
      <c r="N566" s="12" t="inlineStr">
        <is>
          <t>A</t>
        </is>
      </c>
      <c r="O566" s="12" t="inlineStr">
        <is>
          <t>Y</t>
        </is>
      </c>
      <c r="P566" s="12" t="inlineStr">
        <is>
          <t>2026-09-28 (v970, atlas session): bulk ingest per Laurie; fire number NYS-2013-0021; matching 🔥 pin on Natural History.</t>
        </is>
      </c>
      <c r="Q566" s="12" t="inlineStr">
        <is>
          <t>2013-04-07</t>
        </is>
      </c>
      <c r="R566" s="12">
        <f>VALUE(LEFT(Q566,4))</f>
        <v/>
      </c>
      <c r="S566" s="12">
        <f>VALUE(MID(Q566,6,2))</f>
        <v/>
      </c>
      <c r="T566" s="12">
        <f>VALUE(RIGHT(Q566,2))</f>
        <v/>
      </c>
      <c r="U566" s="12" t="inlineStr">
        <is>
          <t>day</t>
        </is>
      </c>
      <c r="V566" s="12" t="inlineStr">
        <is>
          <t>Fire start date (DEC report)</t>
        </is>
      </c>
    </row>
    <row r="567">
      <c r="A567" s="12" t="n">
        <v>647</v>
      </c>
      <c r="B567" s="12" t="inlineStr">
        <is>
          <t>2010-04-02</t>
        </is>
      </c>
      <c r="C567" s="12" t="inlineStr">
        <is>
          <t>2010-04-05</t>
        </is>
      </c>
      <c r="D567" s="12">
        <f>VALUE(LEFT(B567,4))</f>
        <v/>
      </c>
      <c r="E567" s="12">
        <f>INT((D567-1)/100)+1</f>
        <v/>
      </c>
      <c r="F567" s="12" t="inlineStr">
        <is>
          <t>Wildfire</t>
        </is>
      </c>
      <c r="G567" s="12" t="inlineStr">
        <is>
          <t>Stissing Mtn Fire — wildfire, 2 acres, Pine Plains (Dutchess Co.)</t>
        </is>
      </c>
      <c r="H567" s="12" t="inlineStr">
        <is>
          <t>Pine Plains, Dutchess County; Private Property</t>
        </is>
      </c>
      <c r="I567" s="12" t="inlineStr">
        <is>
          <t>2 acres; cause Incendiary; fuel 8 - Timber - Light Hardwood Litter</t>
        </is>
      </c>
      <c r="J567" s="12" t="inlineStr">
        <is>
          <t>41.95569, -73.69683</t>
        </is>
      </c>
      <c r="K567" s="12" t="inlineStr">
        <is>
          <t>No losses reported</t>
        </is>
      </c>
      <c r="L567" s="12" t="inlineStr">
        <is>
          <t>NYSDEC Forest Ranger Wildland Fire Reporting Database (Beginning 2008), data.ny.gov export 2026-09-28</t>
        </is>
      </c>
      <c r="M567" s="12" t="inlineStr">
        <is>
          <t>https://data.ny.gov/</t>
        </is>
      </c>
      <c r="N567" s="12" t="inlineStr">
        <is>
          <t>A</t>
        </is>
      </c>
      <c r="O567" s="12" t="inlineStr">
        <is>
          <t>Y</t>
        </is>
      </c>
      <c r="P567" s="12" t="inlineStr">
        <is>
          <t>2026-09-28 (v970, atlas session): bulk ingest per Laurie; fire number NYS-2010-0021; matching 🔥 pin on Natural History.</t>
        </is>
      </c>
      <c r="Q567" s="12" t="inlineStr">
        <is>
          <t>2010-04-02</t>
        </is>
      </c>
      <c r="R567" s="12">
        <f>VALUE(LEFT(Q567,4))</f>
        <v/>
      </c>
      <c r="S567" s="12">
        <f>VALUE(MID(Q567,6,2))</f>
        <v/>
      </c>
      <c r="T567" s="12">
        <f>VALUE(RIGHT(Q567,2))</f>
        <v/>
      </c>
      <c r="U567" s="12" t="inlineStr">
        <is>
          <t>day</t>
        </is>
      </c>
      <c r="V567" s="12" t="inlineStr">
        <is>
          <t>Fire start date (DEC report)</t>
        </is>
      </c>
    </row>
    <row r="568">
      <c r="A568" s="12" t="n">
        <v>649</v>
      </c>
      <c r="B568" s="12" t="inlineStr">
        <is>
          <t>2009-11-13</t>
        </is>
      </c>
      <c r="C568" s="12" t="inlineStr">
        <is>
          <t>2009-11-13</t>
        </is>
      </c>
      <c r="D568" s="12">
        <f>VALUE(LEFT(B568,4))</f>
        <v/>
      </c>
      <c r="E568" s="12">
        <f>INT((D568-1)/100)+1</f>
        <v/>
      </c>
      <c r="F568" s="12" t="inlineStr">
        <is>
          <t>Wildfire</t>
        </is>
      </c>
      <c r="G568" s="12" t="inlineStr">
        <is>
          <t>Lynn Fire — wildfire, 1.5 acres, Colesville (Broome Co.)</t>
        </is>
      </c>
      <c r="H568" s="12" t="inlineStr">
        <is>
          <t>Colesville, Broome County; Private Property</t>
        </is>
      </c>
      <c r="I568" s="12" t="inlineStr">
        <is>
          <t>1.5 acres; cause Debris Burning; fuel 8 - Timber - Light Hardwood Litter</t>
        </is>
      </c>
      <c r="J568" s="12" t="inlineStr">
        <is>
          <t>42.23167, -75.66767</t>
        </is>
      </c>
      <c r="K568" s="12" t="inlineStr">
        <is>
          <t>No losses reported</t>
        </is>
      </c>
      <c r="L568" s="12" t="inlineStr">
        <is>
          <t>NYSDEC Forest Ranger Wildland Fire Reporting Database (Beginning 2008), data.ny.gov export 2026-09-28</t>
        </is>
      </c>
      <c r="M568" s="12" t="inlineStr">
        <is>
          <t>https://data.ny.gov/</t>
        </is>
      </c>
      <c r="N568" s="12" t="inlineStr">
        <is>
          <t>A</t>
        </is>
      </c>
      <c r="O568" s="12" t="inlineStr">
        <is>
          <t>Y</t>
        </is>
      </c>
      <c r="P568" s="12" t="inlineStr">
        <is>
          <t>2026-09-28 (v970, atlas session): bulk ingest per Laurie; fire number NYS-2009-0167; matching 🔥 pin on Natural History.</t>
        </is>
      </c>
      <c r="Q568" s="12" t="inlineStr">
        <is>
          <t>2009-11-13</t>
        </is>
      </c>
      <c r="R568" s="12">
        <f>VALUE(LEFT(Q568,4))</f>
        <v/>
      </c>
      <c r="S568" s="12">
        <f>VALUE(MID(Q568,6,2))</f>
        <v/>
      </c>
      <c r="T568" s="12">
        <f>VALUE(RIGHT(Q568,2))</f>
        <v/>
      </c>
      <c r="U568" s="12" t="inlineStr">
        <is>
          <t>day</t>
        </is>
      </c>
      <c r="V568" s="12" t="inlineStr">
        <is>
          <t>Fire start date (DEC report)</t>
        </is>
      </c>
    </row>
    <row r="569">
      <c r="A569" s="12" t="n">
        <v>650</v>
      </c>
      <c r="B569" s="12" t="inlineStr">
        <is>
          <t>2009-04-15</t>
        </is>
      </c>
      <c r="C569" s="12" t="inlineStr">
        <is>
          <t>2009-04-15</t>
        </is>
      </c>
      <c r="D569" s="12">
        <f>VALUE(LEFT(B569,4))</f>
        <v/>
      </c>
      <c r="E569" s="12">
        <f>INT((D569-1)/100)+1</f>
        <v/>
      </c>
      <c r="F569" s="12" t="inlineStr">
        <is>
          <t>Wildfire</t>
        </is>
      </c>
      <c r="G569" s="12" t="inlineStr">
        <is>
          <t>Ulster Heights Fire — wildfire, 1 acres, Wawarsing (Ulster Co.)</t>
        </is>
      </c>
      <c r="H569" s="12" t="inlineStr">
        <is>
          <t>Wawarsing, Ulster County; Private Property</t>
        </is>
      </c>
      <c r="I569" s="12" t="inlineStr">
        <is>
          <t>1 acres; cause Campfire; fuel 2 - Grass - Understory</t>
        </is>
      </c>
      <c r="J569" s="12" t="inlineStr">
        <is>
          <t>41.77509, -74.50737</t>
        </is>
      </c>
      <c r="K569" s="12" t="inlineStr">
        <is>
          <t>No losses reported</t>
        </is>
      </c>
      <c r="L569" s="12" t="inlineStr">
        <is>
          <t>NYSDEC Forest Ranger Wildland Fire Reporting Database (Beginning 2008), data.ny.gov export 2026-09-28</t>
        </is>
      </c>
      <c r="M569" s="12" t="inlineStr">
        <is>
          <t>https://data.ny.gov/</t>
        </is>
      </c>
      <c r="N569" s="12" t="inlineStr">
        <is>
          <t>A</t>
        </is>
      </c>
      <c r="O569" s="12" t="inlineStr">
        <is>
          <t>Y</t>
        </is>
      </c>
      <c r="P569" s="12" t="inlineStr">
        <is>
          <t>2026-09-28 (v970, atlas session): bulk ingest per Laurie; fire number NYS-2009-0060; matching 🔥 pin on Natural History.</t>
        </is>
      </c>
      <c r="Q569" s="12" t="inlineStr">
        <is>
          <t>2009-04-15</t>
        </is>
      </c>
      <c r="R569" s="12">
        <f>VALUE(LEFT(Q569,4))</f>
        <v/>
      </c>
      <c r="S569" s="12">
        <f>VALUE(MID(Q569,6,2))</f>
        <v/>
      </c>
      <c r="T569" s="12">
        <f>VALUE(RIGHT(Q569,2))</f>
        <v/>
      </c>
      <c r="U569" s="12" t="inlineStr">
        <is>
          <t>day</t>
        </is>
      </c>
      <c r="V569" s="12" t="inlineStr">
        <is>
          <t>Fire start date (DEC report)</t>
        </is>
      </c>
    </row>
    <row r="570">
      <c r="A570" s="12" t="n">
        <v>651</v>
      </c>
      <c r="B570" s="12" t="inlineStr">
        <is>
          <t>2016-05-11</t>
        </is>
      </c>
      <c r="C570" s="12" t="inlineStr">
        <is>
          <t>2016-05-12</t>
        </is>
      </c>
      <c r="D570" s="12">
        <f>VALUE(LEFT(B570,4))</f>
        <v/>
      </c>
      <c r="E570" s="12">
        <f>INT((D570-1)/100)+1</f>
        <v/>
      </c>
      <c r="F570" s="12" t="inlineStr">
        <is>
          <t>Wildfire</t>
        </is>
      </c>
      <c r="G570" s="12" t="inlineStr">
        <is>
          <t>Split Rock — wildfire, 3 acres, Highland (Sullivan Co.)</t>
        </is>
      </c>
      <c r="H570" s="12" t="inlineStr">
        <is>
          <t>Highland, Sullivan County; Private Property</t>
        </is>
      </c>
      <c r="I570" s="12" t="inlineStr">
        <is>
          <t>3 acres; cause Incendiary; fuel 10 - Timber - Heavy Litter/Downed Fuels</t>
        </is>
      </c>
      <c r="J570" s="12" t="inlineStr">
        <is>
          <t>41.48706, -74.89068</t>
        </is>
      </c>
      <c r="K570" s="12" t="inlineStr">
        <is>
          <t>No losses reported</t>
        </is>
      </c>
      <c r="L570" s="12" t="inlineStr">
        <is>
          <t>NYSDEC Forest Ranger Wildland Fire Reporting Database (Beginning 2008), data.ny.gov export 2026-09-28</t>
        </is>
      </c>
      <c r="M570" s="12" t="inlineStr">
        <is>
          <t>https://data.ny.gov/</t>
        </is>
      </c>
      <c r="N570" s="12" t="inlineStr">
        <is>
          <t>A</t>
        </is>
      </c>
      <c r="O570" s="12" t="inlineStr">
        <is>
          <t>Y</t>
        </is>
      </c>
      <c r="P570" s="12" t="inlineStr">
        <is>
          <t>2026-09-28 (v970, atlas session): bulk ingest per Laurie; fire number NYS-2016-0085; matching 🔥 pin on Natural History.</t>
        </is>
      </c>
      <c r="Q570" s="12" t="inlineStr">
        <is>
          <t>2016-05-11</t>
        </is>
      </c>
      <c r="R570" s="12">
        <f>VALUE(LEFT(Q570,4))</f>
        <v/>
      </c>
      <c r="S570" s="12">
        <f>VALUE(MID(Q570,6,2))</f>
        <v/>
      </c>
      <c r="T570" s="12">
        <f>VALUE(RIGHT(Q570,2))</f>
        <v/>
      </c>
      <c r="U570" s="12" t="inlineStr">
        <is>
          <t>day</t>
        </is>
      </c>
      <c r="V570" s="12" t="inlineStr">
        <is>
          <t>Fire start date (DEC report)</t>
        </is>
      </c>
    </row>
    <row r="571">
      <c r="A571" s="12" t="n">
        <v>652</v>
      </c>
      <c r="B571" s="12" t="inlineStr">
        <is>
          <t>2008-04-24</t>
        </is>
      </c>
      <c r="C571" s="12" t="inlineStr">
        <is>
          <t>2008-04-28</t>
        </is>
      </c>
      <c r="D571" s="12">
        <f>VALUE(LEFT(B571,4))</f>
        <v/>
      </c>
      <c r="E571" s="12">
        <f>INT((D571-1)/100)+1</f>
        <v/>
      </c>
      <c r="F571" s="12" t="inlineStr">
        <is>
          <t>Wildfire</t>
        </is>
      </c>
      <c r="G571" s="12" t="inlineStr">
        <is>
          <t>Ronandale Fire — wildfire, 18.3 acres, Copake (Columbia Co.)</t>
        </is>
      </c>
      <c r="H571" s="12" t="inlineStr">
        <is>
          <t>Copake, Columbia County; Private Property</t>
        </is>
      </c>
      <c r="I571" s="12" t="inlineStr">
        <is>
          <t>18.3 acres; cause Debris Burning; fuel 9 - Timber - Medium Hardwood Litter</t>
        </is>
      </c>
      <c r="J571" s="12" t="inlineStr">
        <is>
          <t>42.17285, -73.55490</t>
        </is>
      </c>
      <c r="K571" s="12" t="inlineStr">
        <is>
          <t>No losses reported</t>
        </is>
      </c>
      <c r="L571" s="12" t="inlineStr">
        <is>
          <t>NYSDEC Forest Ranger Wildland Fire Reporting Database (Beginning 2008), data.ny.gov export 2026-09-28</t>
        </is>
      </c>
      <c r="M571" s="12" t="inlineStr">
        <is>
          <t>https://data.ny.gov/</t>
        </is>
      </c>
      <c r="N571" s="12" t="inlineStr">
        <is>
          <t>A</t>
        </is>
      </c>
      <c r="O571" s="12" t="inlineStr">
        <is>
          <t>Y</t>
        </is>
      </c>
      <c r="P571" s="12" t="inlineStr">
        <is>
          <t>2026-09-28 (v970, atlas session): bulk ingest per Laurie; fire number NYS-2008-0125; matching 🔥 pin on Natural History.</t>
        </is>
      </c>
      <c r="Q571" s="12" t="inlineStr">
        <is>
          <t>2008-04-24</t>
        </is>
      </c>
      <c r="R571" s="12">
        <f>VALUE(LEFT(Q571,4))</f>
        <v/>
      </c>
      <c r="S571" s="12">
        <f>VALUE(MID(Q571,6,2))</f>
        <v/>
      </c>
      <c r="T571" s="12">
        <f>VALUE(RIGHT(Q571,2))</f>
        <v/>
      </c>
      <c r="U571" s="12" t="inlineStr">
        <is>
          <t>day</t>
        </is>
      </c>
      <c r="V571" s="12" t="inlineStr">
        <is>
          <t>Fire start date (DEC report)</t>
        </is>
      </c>
    </row>
    <row r="572">
      <c r="A572" s="12" t="n">
        <v>653</v>
      </c>
      <c r="B572" s="12" t="inlineStr">
        <is>
          <t>2016-03-09</t>
        </is>
      </c>
      <c r="C572" s="12" t="inlineStr">
        <is>
          <t>2016-03-12</t>
        </is>
      </c>
      <c r="D572" s="12">
        <f>VALUE(LEFT(B572,4))</f>
        <v/>
      </c>
      <c r="E572" s="12">
        <f>INT((D572-1)/100)+1</f>
        <v/>
      </c>
      <c r="F572" s="12" t="inlineStr">
        <is>
          <t>Wildfire</t>
        </is>
      </c>
      <c r="G572" s="12" t="inlineStr">
        <is>
          <t>Mountaindale Fire — wildfire, 15 acres, Fallsburgh (Sullivan Co.)</t>
        </is>
      </c>
      <c r="H572" s="12" t="inlineStr">
        <is>
          <t>Fallsburgh, Sullivan County; Private Property</t>
        </is>
      </c>
      <c r="I572" s="12" t="inlineStr">
        <is>
          <t>15 acres; cause Debris Burning; fuel 8 - Timber - Light Hardwood Litter</t>
        </is>
      </c>
      <c r="J572" s="12" t="inlineStr">
        <is>
          <t>41.69287, -74.53196</t>
        </is>
      </c>
      <c r="K572" s="12" t="inlineStr">
        <is>
          <t>No losses reported</t>
        </is>
      </c>
      <c r="L572" s="12" t="inlineStr">
        <is>
          <t>NYSDEC Forest Ranger Wildland Fire Reporting Database (Beginning 2008), data.ny.gov export 2026-09-28</t>
        </is>
      </c>
      <c r="M572" s="12" t="inlineStr">
        <is>
          <t>https://data.ny.gov/</t>
        </is>
      </c>
      <c r="N572" s="12" t="inlineStr">
        <is>
          <t>A</t>
        </is>
      </c>
      <c r="O572" s="12" t="inlineStr">
        <is>
          <t>Y</t>
        </is>
      </c>
      <c r="P572" s="12" t="inlineStr">
        <is>
          <t>2026-09-28 (v970, atlas session): bulk ingest per Laurie; fire number NYS-2016-0008; matching 🔥 pin on Natural History.</t>
        </is>
      </c>
      <c r="Q572" s="12" t="inlineStr">
        <is>
          <t>2016-03-09</t>
        </is>
      </c>
      <c r="R572" s="12">
        <f>VALUE(LEFT(Q572,4))</f>
        <v/>
      </c>
      <c r="S572" s="12">
        <f>VALUE(MID(Q572,6,2))</f>
        <v/>
      </c>
      <c r="T572" s="12">
        <f>VALUE(RIGHT(Q572,2))</f>
        <v/>
      </c>
      <c r="U572" s="12" t="inlineStr">
        <is>
          <t>day</t>
        </is>
      </c>
      <c r="V572" s="12" t="inlineStr">
        <is>
          <t>Fire start date (DEC report)</t>
        </is>
      </c>
    </row>
    <row r="573">
      <c r="A573" s="12" t="n">
        <v>654</v>
      </c>
      <c r="B573" s="12" t="inlineStr">
        <is>
          <t>2010-09-20</t>
        </is>
      </c>
      <c r="C573" s="12" t="inlineStr">
        <is>
          <t>2010-09-25</t>
        </is>
      </c>
      <c r="D573" s="12">
        <f>VALUE(LEFT(B573,4))</f>
        <v/>
      </c>
      <c r="E573" s="12">
        <f>INT((D573-1)/100)+1</f>
        <v/>
      </c>
      <c r="F573" s="12" t="inlineStr">
        <is>
          <t>Wildfire</t>
        </is>
      </c>
      <c r="G573" s="12" t="inlineStr">
        <is>
          <t>Taconic Park Fire — wildfire, 0.3 acres, Copake (Columbia Co.)</t>
        </is>
      </c>
      <c r="H573" s="12" t="inlineStr">
        <is>
          <t>Copake, Columbia County; OPR&amp;HP (State Parks) — Taconic State Park</t>
        </is>
      </c>
      <c r="I573" s="12" t="inlineStr">
        <is>
          <t>0.3 acres; cause Incendiary; fuel 7 - Brush - Understory</t>
        </is>
      </c>
      <c r="J573" s="12" t="inlineStr">
        <is>
          <t>42.11256, -73.50067</t>
        </is>
      </c>
      <c r="K573" s="12" t="inlineStr">
        <is>
          <t>No losses reported</t>
        </is>
      </c>
      <c r="L573" s="12" t="inlineStr">
        <is>
          <t>NYSDEC Forest Ranger Wildland Fire Reporting Database (Beginning 2008), data.ny.gov export 2026-09-28</t>
        </is>
      </c>
      <c r="M573" s="12" t="inlineStr">
        <is>
          <t>https://data.ny.gov/</t>
        </is>
      </c>
      <c r="N573" s="12" t="inlineStr">
        <is>
          <t>A</t>
        </is>
      </c>
      <c r="O573" s="12" t="inlineStr">
        <is>
          <t>Y</t>
        </is>
      </c>
      <c r="P573" s="12" t="inlineStr">
        <is>
          <t>2026-09-28 (v970, atlas session): bulk ingest per Laurie; fire number NYS-2010-0165; matching 🔥 pin on Natural History.</t>
        </is>
      </c>
      <c r="Q573" s="12" t="inlineStr">
        <is>
          <t>2010-09-20</t>
        </is>
      </c>
      <c r="R573" s="12">
        <f>VALUE(LEFT(Q573,4))</f>
        <v/>
      </c>
      <c r="S573" s="12">
        <f>VALUE(MID(Q573,6,2))</f>
        <v/>
      </c>
      <c r="T573" s="12">
        <f>VALUE(RIGHT(Q573,2))</f>
        <v/>
      </c>
      <c r="U573" s="12" t="inlineStr">
        <is>
          <t>day</t>
        </is>
      </c>
      <c r="V573" s="12" t="inlineStr">
        <is>
          <t>Fire start date (DEC report)</t>
        </is>
      </c>
    </row>
    <row r="574">
      <c r="A574" s="12" t="n">
        <v>655</v>
      </c>
      <c r="B574" s="12" t="inlineStr">
        <is>
          <t>2009-05-01</t>
        </is>
      </c>
      <c r="C574" s="12" t="inlineStr">
        <is>
          <t>2009-05-03</t>
        </is>
      </c>
      <c r="D574" s="12">
        <f>VALUE(LEFT(B574,4))</f>
        <v/>
      </c>
      <c r="E574" s="12">
        <f>INT((D574-1)/100)+1</f>
        <v/>
      </c>
      <c r="F574" s="12" t="inlineStr">
        <is>
          <t>Wildfire</t>
        </is>
      </c>
      <c r="G574" s="12" t="inlineStr">
        <is>
          <t>Vromans Nose Mtn Fire — wildfire, 2 acres, Fulton (Schoharie Co.)</t>
        </is>
      </c>
      <c r="H574" s="12" t="inlineStr">
        <is>
          <t>Fulton, Schoharie County; Private Property</t>
        </is>
      </c>
      <c r="I574" s="12" t="inlineStr">
        <is>
          <t>2 acres; cause Campfire; fuel 9 - Timber - Medium Hardwood Litter</t>
        </is>
      </c>
      <c r="J574" s="12" t="inlineStr">
        <is>
          <t>42.58949, -74.35948</t>
        </is>
      </c>
      <c r="K574" s="12" t="inlineStr">
        <is>
          <t>Injuries: 1</t>
        </is>
      </c>
      <c r="L574" s="12" t="inlineStr">
        <is>
          <t>NYSDEC Forest Ranger Wildland Fire Reporting Database (Beginning 2008), data.ny.gov export 2026-09-28</t>
        </is>
      </c>
      <c r="M574" s="12" t="inlineStr">
        <is>
          <t>https://data.ny.gov/</t>
        </is>
      </c>
      <c r="N574" s="12" t="inlineStr">
        <is>
          <t>A</t>
        </is>
      </c>
      <c r="O574" s="12" t="inlineStr">
        <is>
          <t>Y</t>
        </is>
      </c>
      <c r="P574" s="12" t="inlineStr">
        <is>
          <t>2026-09-28 (v970, atlas session): bulk ingest per Laurie; fire number NYS-2009-0135; matching 🔥 pin on Natural History.</t>
        </is>
      </c>
      <c r="Q574" s="12" t="inlineStr">
        <is>
          <t>2009-05-01</t>
        </is>
      </c>
      <c r="R574" s="12">
        <f>VALUE(LEFT(Q574,4))</f>
        <v/>
      </c>
      <c r="S574" s="12">
        <f>VALUE(MID(Q574,6,2))</f>
        <v/>
      </c>
      <c r="T574" s="12">
        <f>VALUE(RIGHT(Q574,2))</f>
        <v/>
      </c>
      <c r="U574" s="12" t="inlineStr">
        <is>
          <t>day</t>
        </is>
      </c>
      <c r="V574" s="12" t="inlineStr">
        <is>
          <t>Fire start date (DEC report)</t>
        </is>
      </c>
    </row>
    <row r="575">
      <c r="A575" s="12" t="n">
        <v>656</v>
      </c>
      <c r="B575" s="12" t="inlineStr">
        <is>
          <t>2012-04-16</t>
        </is>
      </c>
      <c r="C575" s="12" t="inlineStr">
        <is>
          <t>2012-04-21</t>
        </is>
      </c>
      <c r="D575" s="12">
        <f>VALUE(LEFT(B575,4))</f>
        <v/>
      </c>
      <c r="E575" s="12">
        <f>INT((D575-1)/100)+1</f>
        <v/>
      </c>
      <c r="F575" s="12" t="inlineStr">
        <is>
          <t>Wildfire</t>
        </is>
      </c>
      <c r="G575" s="12" t="inlineStr">
        <is>
          <t>Boy Scout Fire — wildfire, 27.6 acres, Tusten (Sullivan Co.)</t>
        </is>
      </c>
      <c r="H575" s="12" t="inlineStr">
        <is>
          <t>Tusten, Sullivan County; Private Property</t>
        </is>
      </c>
      <c r="I575" s="12" t="inlineStr">
        <is>
          <t>27.6 acres; cause Power line; fuel 4 - Brush - Heavy/Volatile</t>
        </is>
      </c>
      <c r="J575" s="12" t="inlineStr">
        <is>
          <t>41.55135, -74.99625</t>
        </is>
      </c>
      <c r="K575" s="12" t="inlineStr">
        <is>
          <t>No losses reported</t>
        </is>
      </c>
      <c r="L575" s="12" t="inlineStr">
        <is>
          <t>NYSDEC Forest Ranger Wildland Fire Reporting Database (Beginning 2008), data.ny.gov export 2026-09-28</t>
        </is>
      </c>
      <c r="M575" s="12" t="inlineStr">
        <is>
          <t>https://data.ny.gov/</t>
        </is>
      </c>
      <c r="N575" s="12" t="inlineStr">
        <is>
          <t>A</t>
        </is>
      </c>
      <c r="O575" s="12" t="inlineStr">
        <is>
          <t>Y</t>
        </is>
      </c>
      <c r="P575" s="12" t="inlineStr">
        <is>
          <t>2026-09-28 (v970, atlas session): bulk ingest per Laurie; fire number NYS-2012-0093; matching 🔥 pin on Natural History.</t>
        </is>
      </c>
      <c r="Q575" s="12" t="inlineStr">
        <is>
          <t>2012-04-16</t>
        </is>
      </c>
      <c r="R575" s="12">
        <f>VALUE(LEFT(Q575,4))</f>
        <v/>
      </c>
      <c r="S575" s="12">
        <f>VALUE(MID(Q575,6,2))</f>
        <v/>
      </c>
      <c r="T575" s="12">
        <f>VALUE(RIGHT(Q575,2))</f>
        <v/>
      </c>
      <c r="U575" s="12" t="inlineStr">
        <is>
          <t>day</t>
        </is>
      </c>
      <c r="V575" s="12" t="inlineStr">
        <is>
          <t>Fire start date (DEC report)</t>
        </is>
      </c>
    </row>
    <row r="576">
      <c r="A576" s="12" t="n">
        <v>658</v>
      </c>
      <c r="B576" s="12" t="inlineStr">
        <is>
          <t>2021-05-21</t>
        </is>
      </c>
      <c r="C576" s="12" t="inlineStr">
        <is>
          <t>2021-05-21</t>
        </is>
      </c>
      <c r="D576" s="12">
        <f>VALUE(LEFT(B576,4))</f>
        <v/>
      </c>
      <c r="E576" s="12">
        <f>INT((D576-1)/100)+1</f>
        <v/>
      </c>
      <c r="F576" s="12" t="inlineStr">
        <is>
          <t>Wildfire</t>
        </is>
      </c>
      <c r="G576" s="12" t="inlineStr">
        <is>
          <t>Buck Brook Road Fire — wildfire, 0.6 acres, Callicoon (Sullivan Co.)</t>
        </is>
      </c>
      <c r="H576" s="12" t="inlineStr">
        <is>
          <t>Callicoon, Sullivan County; Private Property</t>
        </is>
      </c>
      <c r="I576" s="12" t="inlineStr">
        <is>
          <t>0.6 acres; cause Debris Burning; fuel 8 - Timber - Light Hardwood Litter</t>
        </is>
      </c>
      <c r="J576" s="12" t="inlineStr">
        <is>
          <t>41.82745, -74.98402</t>
        </is>
      </c>
      <c r="K576" s="12" t="inlineStr">
        <is>
          <t>No losses reported</t>
        </is>
      </c>
      <c r="L576" s="12" t="inlineStr">
        <is>
          <t>NYSDEC Forest Ranger Wildland Fire Reporting Database (Beginning 2008), data.ny.gov export 2026-09-28</t>
        </is>
      </c>
      <c r="M576" s="12" t="inlineStr">
        <is>
          <t>https://data.ny.gov/</t>
        </is>
      </c>
      <c r="N576" s="12" t="inlineStr">
        <is>
          <t>A</t>
        </is>
      </c>
      <c r="O576" s="12" t="inlineStr">
        <is>
          <t>Y</t>
        </is>
      </c>
      <c r="P576" s="12" t="inlineStr">
        <is>
          <t>2026-09-28 (v970, atlas session): bulk ingest per Laurie; fire number NYS-2021-0131; matching 🔥 pin on Natural History.</t>
        </is>
      </c>
      <c r="Q576" s="12" t="inlineStr">
        <is>
          <t>2021-05-21</t>
        </is>
      </c>
      <c r="R576" s="12">
        <f>VALUE(LEFT(Q576,4))</f>
        <v/>
      </c>
      <c r="S576" s="12">
        <f>VALUE(MID(Q576,6,2))</f>
        <v/>
      </c>
      <c r="T576" s="12">
        <f>VALUE(RIGHT(Q576,2))</f>
        <v/>
      </c>
      <c r="U576" s="12" t="inlineStr">
        <is>
          <t>day</t>
        </is>
      </c>
      <c r="V576" s="12" t="inlineStr">
        <is>
          <t>Fire start date (DEC report)</t>
        </is>
      </c>
    </row>
    <row r="577">
      <c r="A577" s="12" t="n">
        <v>661</v>
      </c>
      <c r="B577" s="12" t="inlineStr">
        <is>
          <t>2015-04-16</t>
        </is>
      </c>
      <c r="C577" s="12" t="inlineStr">
        <is>
          <t>2015-04-16</t>
        </is>
      </c>
      <c r="D577" s="12">
        <f>VALUE(LEFT(B577,4))</f>
        <v/>
      </c>
      <c r="E577" s="12">
        <f>INT((D577-1)/100)+1</f>
        <v/>
      </c>
      <c r="F577" s="12" t="inlineStr">
        <is>
          <t>Wildfire</t>
        </is>
      </c>
      <c r="G577" s="12" t="inlineStr">
        <is>
          <t>Thacher State Park Fire — wildfire, 0.8 acres, New Scotland (Albany Co.)</t>
        </is>
      </c>
      <c r="H577" s="12" t="inlineStr">
        <is>
          <t>New Scotland, Albany County; OPR&amp;HP (State Parks) — John Boyd Thacher State Park</t>
        </is>
      </c>
      <c r="I577" s="12" t="inlineStr">
        <is>
          <t>0.8 acres; cause Miscellaneous; fuel 8 - Timber - Light Hardwood Litter</t>
        </is>
      </c>
      <c r="J577" s="12" t="inlineStr">
        <is>
          <t>42.63847, -74.01238</t>
        </is>
      </c>
      <c r="K577" s="12" t="inlineStr">
        <is>
          <t>No losses reported</t>
        </is>
      </c>
      <c r="L577" s="12" t="inlineStr">
        <is>
          <t>NYSDEC Forest Ranger Wildland Fire Reporting Database (Beginning 2008), data.ny.gov export 2026-09-28</t>
        </is>
      </c>
      <c r="M577" s="12" t="inlineStr">
        <is>
          <t>https://data.ny.gov/</t>
        </is>
      </c>
      <c r="N577" s="12" t="inlineStr">
        <is>
          <t>A</t>
        </is>
      </c>
      <c r="O577" s="12" t="inlineStr">
        <is>
          <t>Y</t>
        </is>
      </c>
      <c r="P577" s="12" t="inlineStr">
        <is>
          <t>2026-09-28 (v970, atlas session): bulk ingest per Laurie; fire number NYS-2015-0025; matching 🔥 pin on Natural History.</t>
        </is>
      </c>
      <c r="Q577" s="12" t="inlineStr">
        <is>
          <t>2015-04-16</t>
        </is>
      </c>
      <c r="R577" s="12">
        <f>VALUE(LEFT(Q577,4))</f>
        <v/>
      </c>
      <c r="S577" s="12">
        <f>VALUE(MID(Q577,6,2))</f>
        <v/>
      </c>
      <c r="T577" s="12">
        <f>VALUE(RIGHT(Q577,2))</f>
        <v/>
      </c>
      <c r="U577" s="12" t="inlineStr">
        <is>
          <t>day</t>
        </is>
      </c>
      <c r="V577" s="12" t="inlineStr">
        <is>
          <t>Fire start date (DEC report)</t>
        </is>
      </c>
    </row>
    <row r="578">
      <c r="A578" s="12" t="n">
        <v>662</v>
      </c>
      <c r="B578" s="12" t="inlineStr">
        <is>
          <t>2012-05-12</t>
        </is>
      </c>
      <c r="C578" s="12" t="inlineStr">
        <is>
          <t>2012-05-14</t>
        </is>
      </c>
      <c r="D578" s="12">
        <f>VALUE(LEFT(B578,4))</f>
        <v/>
      </c>
      <c r="E578" s="12">
        <f>INT((D578-1)/100)+1</f>
        <v/>
      </c>
      <c r="F578" s="12" t="inlineStr">
        <is>
          <t>Wildfire</t>
        </is>
      </c>
      <c r="G578" s="12" t="inlineStr">
        <is>
          <t>Ivy Lane Fire — wildfire, 1.5 acres, East Fishkill (Dutchess Co.)</t>
        </is>
      </c>
      <c r="H578" s="12" t="inlineStr">
        <is>
          <t>East Fishkill, Dutchess County; Private Property</t>
        </is>
      </c>
      <c r="I578" s="12" t="inlineStr">
        <is>
          <t>1.5 acres; cause Incendiary; fuel 7 - Brush - Understory</t>
        </is>
      </c>
      <c r="J578" s="12" t="inlineStr">
        <is>
          <t>41.53904, -73.74966</t>
        </is>
      </c>
      <c r="K578" s="12" t="inlineStr">
        <is>
          <t>No losses reported</t>
        </is>
      </c>
      <c r="L578" s="12" t="inlineStr">
        <is>
          <t>NYSDEC Forest Ranger Wildland Fire Reporting Database (Beginning 2008), data.ny.gov export 2026-09-28</t>
        </is>
      </c>
      <c r="M578" s="12" t="inlineStr">
        <is>
          <t>https://data.ny.gov/</t>
        </is>
      </c>
      <c r="N578" s="12" t="inlineStr">
        <is>
          <t>A</t>
        </is>
      </c>
      <c r="O578" s="12" t="inlineStr">
        <is>
          <t>Y</t>
        </is>
      </c>
      <c r="P578" s="12" t="inlineStr">
        <is>
          <t>2026-09-28 (v970, atlas session): bulk ingest per Laurie; fire number NYS-2012-0110; matching 🔥 pin on Natural History.</t>
        </is>
      </c>
      <c r="Q578" s="12" t="inlineStr">
        <is>
          <t>2012-05-12</t>
        </is>
      </c>
      <c r="R578" s="12">
        <f>VALUE(LEFT(Q578,4))</f>
        <v/>
      </c>
      <c r="S578" s="12">
        <f>VALUE(MID(Q578,6,2))</f>
        <v/>
      </c>
      <c r="T578" s="12">
        <f>VALUE(RIGHT(Q578,2))</f>
        <v/>
      </c>
      <c r="U578" s="12" t="inlineStr">
        <is>
          <t>day</t>
        </is>
      </c>
      <c r="V578" s="12" t="inlineStr">
        <is>
          <t>Fire start date (DEC report)</t>
        </is>
      </c>
    </row>
    <row r="579">
      <c r="A579" s="12" t="n">
        <v>663</v>
      </c>
      <c r="B579" s="12" t="inlineStr">
        <is>
          <t>2023-04-15</t>
        </is>
      </c>
      <c r="C579" s="12" t="inlineStr">
        <is>
          <t>2023-04-15</t>
        </is>
      </c>
      <c r="D579" s="12">
        <f>VALUE(LEFT(B579,4))</f>
        <v/>
      </c>
      <c r="E579" s="12">
        <f>INT((D579-1)/100)+1</f>
        <v/>
      </c>
      <c r="F579" s="12" t="inlineStr">
        <is>
          <t>Wildfire</t>
        </is>
      </c>
      <c r="G579" s="12" t="inlineStr">
        <is>
          <t>Crestview fire — wildfire, 1.3 acres, Union (Broome Co.)</t>
        </is>
      </c>
      <c r="H579" s="12" t="inlineStr">
        <is>
          <t>Union, Broome County; Private Property</t>
        </is>
      </c>
      <c r="I579" s="12" t="inlineStr">
        <is>
          <t>1.3 acres; cause Campfire; fuel 8 - Timber - Light Hardwood Litter</t>
        </is>
      </c>
      <c r="J579" s="12" t="inlineStr">
        <is>
          <t>42.10915, -76.08508</t>
        </is>
      </c>
      <c r="K579" s="12" t="inlineStr">
        <is>
          <t>No losses reported</t>
        </is>
      </c>
      <c r="L579" s="12" t="inlineStr">
        <is>
          <t>NYSDEC Forest Ranger Wildland Fire Reporting Database (Beginning 2008), data.ny.gov export 2026-09-28</t>
        </is>
      </c>
      <c r="M579" s="12" t="inlineStr">
        <is>
          <t>https://data.ny.gov/</t>
        </is>
      </c>
      <c r="N579" s="12" t="inlineStr">
        <is>
          <t>A</t>
        </is>
      </c>
      <c r="O579" s="12" t="inlineStr">
        <is>
          <t>Y</t>
        </is>
      </c>
      <c r="P579" s="12" t="inlineStr">
        <is>
          <t>2026-09-28 (v970, atlas session): bulk ingest per Laurie; fire number NYS-2023-0074; matching 🔥 pin on Natural History.</t>
        </is>
      </c>
      <c r="Q579" s="12" t="inlineStr">
        <is>
          <t>2023-04-15</t>
        </is>
      </c>
      <c r="R579" s="12">
        <f>VALUE(LEFT(Q579,4))</f>
        <v/>
      </c>
      <c r="S579" s="12">
        <f>VALUE(MID(Q579,6,2))</f>
        <v/>
      </c>
      <c r="T579" s="12">
        <f>VALUE(RIGHT(Q579,2))</f>
        <v/>
      </c>
      <c r="U579" s="12" t="inlineStr">
        <is>
          <t>day</t>
        </is>
      </c>
      <c r="V579" s="12" t="inlineStr">
        <is>
          <t>Fire start date (DEC report)</t>
        </is>
      </c>
    </row>
    <row r="580">
      <c r="A580" s="12" t="n">
        <v>665</v>
      </c>
      <c r="B580" s="12" t="inlineStr">
        <is>
          <t>2015-05-15</t>
        </is>
      </c>
      <c r="C580" s="12" t="inlineStr">
        <is>
          <t>2015-05-15</t>
        </is>
      </c>
      <c r="D580" s="12">
        <f>VALUE(LEFT(B580,4))</f>
        <v/>
      </c>
      <c r="E580" s="12">
        <f>INT((D580-1)/100)+1</f>
        <v/>
      </c>
      <c r="F580" s="12" t="inlineStr">
        <is>
          <t>Wildfire</t>
        </is>
      </c>
      <c r="G580" s="12" t="inlineStr">
        <is>
          <t>Boxwood Fire — wildfire, 1 acres, Hyde Park (Dutchess Co.)</t>
        </is>
      </c>
      <c r="H580" s="12" t="inlineStr">
        <is>
          <t>Hyde Park, Dutchess County; Private Property</t>
        </is>
      </c>
      <c r="I580" s="12" t="inlineStr">
        <is>
          <t>1 acres; cause Children; fuel 7 - Brush - Understory</t>
        </is>
      </c>
      <c r="J580" s="12" t="inlineStr">
        <is>
          <t>41.76609, -73.86934</t>
        </is>
      </c>
      <c r="K580" s="12" t="inlineStr">
        <is>
          <t>No losses reported</t>
        </is>
      </c>
      <c r="L580" s="12" t="inlineStr">
        <is>
          <t>NYSDEC Forest Ranger Wildland Fire Reporting Database (Beginning 2008), data.ny.gov export 2026-09-28</t>
        </is>
      </c>
      <c r="M580" s="12" t="inlineStr">
        <is>
          <t>https://data.ny.gov/</t>
        </is>
      </c>
      <c r="N580" s="12" t="inlineStr">
        <is>
          <t>A</t>
        </is>
      </c>
      <c r="O580" s="12" t="inlineStr">
        <is>
          <t>Y</t>
        </is>
      </c>
      <c r="P580" s="12" t="inlineStr">
        <is>
          <t>2026-09-28 (v970, atlas session): bulk ingest per Laurie; fire number NYS-2015-0121; matching 🔥 pin on Natural History.</t>
        </is>
      </c>
      <c r="Q580" s="12" t="inlineStr">
        <is>
          <t>2015-05-15</t>
        </is>
      </c>
      <c r="R580" s="12">
        <f>VALUE(LEFT(Q580,4))</f>
        <v/>
      </c>
      <c r="S580" s="12">
        <f>VALUE(MID(Q580,6,2))</f>
        <v/>
      </c>
      <c r="T580" s="12">
        <f>VALUE(RIGHT(Q580,2))</f>
        <v/>
      </c>
      <c r="U580" s="12" t="inlineStr">
        <is>
          <t>day</t>
        </is>
      </c>
      <c r="V580" s="12" t="inlineStr">
        <is>
          <t>Fire start date (DEC report)</t>
        </is>
      </c>
    </row>
    <row r="581">
      <c r="A581" s="12" t="n">
        <v>668</v>
      </c>
      <c r="B581" s="12" t="inlineStr">
        <is>
          <t>2012-03-18</t>
        </is>
      </c>
      <c r="C581" s="12" t="inlineStr">
        <is>
          <t>2012-03-18</t>
        </is>
      </c>
      <c r="D581" s="12">
        <f>VALUE(LEFT(B581,4))</f>
        <v/>
      </c>
      <c r="E581" s="12">
        <f>INT((D581-1)/100)+1</f>
        <v/>
      </c>
      <c r="F581" s="12" t="inlineStr">
        <is>
          <t>Wildfire</t>
        </is>
      </c>
      <c r="G581" s="12" t="inlineStr">
        <is>
          <t>Crommie Road — wildfire, 3 acres, Carlisle (Schoharie Co.)</t>
        </is>
      </c>
      <c r="H581" s="12" t="inlineStr">
        <is>
          <t>Carlisle, Schoharie County; Private Property</t>
        </is>
      </c>
      <c r="I581" s="12" t="inlineStr">
        <is>
          <t>3 acres; cause Incendiary; fuel 1 - Grass - Light</t>
        </is>
      </c>
      <c r="J581" s="12" t="inlineStr">
        <is>
          <t>42.74356, -74.44206</t>
        </is>
      </c>
      <c r="K581" s="12" t="inlineStr">
        <is>
          <t>No losses reported</t>
        </is>
      </c>
      <c r="L581" s="12" t="inlineStr">
        <is>
          <t>NYSDEC Forest Ranger Wildland Fire Reporting Database (Beginning 2008), data.ny.gov export 2026-09-28</t>
        </is>
      </c>
      <c r="M581" s="12" t="inlineStr">
        <is>
          <t>https://data.ny.gov/</t>
        </is>
      </c>
      <c r="N581" s="12" t="inlineStr">
        <is>
          <t>A</t>
        </is>
      </c>
      <c r="O581" s="12" t="inlineStr">
        <is>
          <t>Y</t>
        </is>
      </c>
      <c r="P581" s="12" t="inlineStr">
        <is>
          <t>2026-09-28 (v970, atlas session): bulk ingest per Laurie; fire number NYS-2012-0019; matching 🔥 pin on Natural History.</t>
        </is>
      </c>
      <c r="Q581" s="12" t="inlineStr">
        <is>
          <t>2012-03-18</t>
        </is>
      </c>
      <c r="R581" s="12">
        <f>VALUE(LEFT(Q581,4))</f>
        <v/>
      </c>
      <c r="S581" s="12">
        <f>VALUE(MID(Q581,6,2))</f>
        <v/>
      </c>
      <c r="T581" s="12">
        <f>VALUE(RIGHT(Q581,2))</f>
        <v/>
      </c>
      <c r="U581" s="12" t="inlineStr">
        <is>
          <t>day</t>
        </is>
      </c>
      <c r="V581" s="12" t="inlineStr">
        <is>
          <t>Fire start date (DEC report)</t>
        </is>
      </c>
    </row>
    <row r="582">
      <c r="A582" s="12" t="n">
        <v>670</v>
      </c>
      <c r="B582" s="12" t="inlineStr">
        <is>
          <t>2021-04-05</t>
        </is>
      </c>
      <c r="C582" s="12" t="inlineStr">
        <is>
          <t>2021-04-05</t>
        </is>
      </c>
      <c r="D582" s="12">
        <f>VALUE(LEFT(B582,4))</f>
        <v/>
      </c>
      <c r="E582" s="12">
        <f>INT((D582-1)/100)+1</f>
        <v/>
      </c>
      <c r="F582" s="12" t="inlineStr">
        <is>
          <t>Wildfire</t>
        </is>
      </c>
      <c r="G582" s="12" t="inlineStr">
        <is>
          <t>Shale Road — wildfire, 0.5 acres, Dover (Dutchess Co.)</t>
        </is>
      </c>
      <c r="H582" s="12" t="inlineStr">
        <is>
          <t>Dover, Dutchess County; Private Property</t>
        </is>
      </c>
      <c r="I582" s="12" t="inlineStr">
        <is>
          <t>0.5 acres; cause Debris Burning; fuel 8 - Timber - Light Hardwood Litter</t>
        </is>
      </c>
      <c r="J582" s="12" t="inlineStr">
        <is>
          <t>41.82971, -73.72236</t>
        </is>
      </c>
      <c r="K582" s="12" t="inlineStr">
        <is>
          <t>No losses reported</t>
        </is>
      </c>
      <c r="L582" s="12" t="inlineStr">
        <is>
          <t>NYSDEC Forest Ranger Wildland Fire Reporting Database (Beginning 2008), data.ny.gov export 2026-09-28</t>
        </is>
      </c>
      <c r="M582" s="12" t="inlineStr">
        <is>
          <t>https://data.ny.gov/</t>
        </is>
      </c>
      <c r="N582" s="12" t="inlineStr">
        <is>
          <t>A</t>
        </is>
      </c>
      <c r="O582" s="12" t="inlineStr">
        <is>
          <t>Y</t>
        </is>
      </c>
      <c r="P582" s="12" t="inlineStr">
        <is>
          <t>2026-09-28 (v970, atlas session): bulk ingest per Laurie; fire number NYS-2021-0049; matching 🔥 pin on Natural History.</t>
        </is>
      </c>
      <c r="Q582" s="12" t="inlineStr">
        <is>
          <t>2021-04-05</t>
        </is>
      </c>
      <c r="R582" s="12">
        <f>VALUE(LEFT(Q582,4))</f>
        <v/>
      </c>
      <c r="S582" s="12">
        <f>VALUE(MID(Q582,6,2))</f>
        <v/>
      </c>
      <c r="T582" s="12">
        <f>VALUE(RIGHT(Q582,2))</f>
        <v/>
      </c>
      <c r="U582" s="12" t="inlineStr">
        <is>
          <t>day</t>
        </is>
      </c>
      <c r="V582" s="12" t="inlineStr">
        <is>
          <t>Fire start date (DEC report)</t>
        </is>
      </c>
    </row>
    <row r="583">
      <c r="A583" s="12" t="n">
        <v>672</v>
      </c>
      <c r="B583" s="12" t="inlineStr">
        <is>
          <t>2013-10-29</t>
        </is>
      </c>
      <c r="C583" s="12" t="inlineStr">
        <is>
          <t>2013-10-31</t>
        </is>
      </c>
      <c r="D583" s="12">
        <f>VALUE(LEFT(B583,4))</f>
        <v/>
      </c>
      <c r="E583" s="12">
        <f>INT((D583-1)/100)+1</f>
        <v/>
      </c>
      <c r="F583" s="12" t="inlineStr">
        <is>
          <t>Wildfire</t>
        </is>
      </c>
      <c r="G583" s="12" t="inlineStr">
        <is>
          <t>Old Post Road Fire — wildfire, 11.8 acres, Esopus (Ulster Co.)</t>
        </is>
      </c>
      <c r="H583" s="12" t="inlineStr">
        <is>
          <t>Esopus, Ulster County; Private Property</t>
        </is>
      </c>
      <c r="I583" s="12" t="inlineStr">
        <is>
          <t>11.8 acres; cause Smoking; fuel 8 - Timber - Light Hardwood Litter</t>
        </is>
      </c>
      <c r="J583" s="12" t="inlineStr">
        <is>
          <t>41.82291, -74.02596</t>
        </is>
      </c>
      <c r="K583" s="12" t="inlineStr">
        <is>
          <t>No losses reported</t>
        </is>
      </c>
      <c r="L583" s="12" t="inlineStr">
        <is>
          <t>NYSDEC Forest Ranger Wildland Fire Reporting Database (Beginning 2008), data.ny.gov export 2026-09-28</t>
        </is>
      </c>
      <c r="M583" s="12" t="inlineStr">
        <is>
          <t>https://data.ny.gov/</t>
        </is>
      </c>
      <c r="N583" s="12" t="inlineStr">
        <is>
          <t>A</t>
        </is>
      </c>
      <c r="O583" s="12" t="inlineStr">
        <is>
          <t>Y</t>
        </is>
      </c>
      <c r="P583" s="12" t="inlineStr">
        <is>
          <t>2026-09-28 (v970, atlas session): bulk ingest per Laurie; fire number NYS-2013-0134; matching 🔥 pin on Natural History.</t>
        </is>
      </c>
      <c r="Q583" s="12" t="inlineStr">
        <is>
          <t>2013-10-29</t>
        </is>
      </c>
      <c r="R583" s="12">
        <f>VALUE(LEFT(Q583,4))</f>
        <v/>
      </c>
      <c r="S583" s="12">
        <f>VALUE(MID(Q583,6,2))</f>
        <v/>
      </c>
      <c r="T583" s="12">
        <f>VALUE(RIGHT(Q583,2))</f>
        <v/>
      </c>
      <c r="U583" s="12" t="inlineStr">
        <is>
          <t>day</t>
        </is>
      </c>
      <c r="V583" s="12" t="inlineStr">
        <is>
          <t>Fire start date (DEC report)</t>
        </is>
      </c>
    </row>
    <row r="584">
      <c r="A584" s="12" t="n">
        <v>674</v>
      </c>
      <c r="B584" s="12" t="inlineStr">
        <is>
          <t>2014-03-22</t>
        </is>
      </c>
      <c r="C584" s="12" t="inlineStr">
        <is>
          <t>2014-03-23</t>
        </is>
      </c>
      <c r="D584" s="12">
        <f>VALUE(LEFT(B584,4))</f>
        <v/>
      </c>
      <c r="E584" s="12">
        <f>INT((D584-1)/100)+1</f>
        <v/>
      </c>
      <c r="F584" s="12" t="inlineStr">
        <is>
          <t>Wildfire</t>
        </is>
      </c>
      <c r="G584" s="12" t="inlineStr">
        <is>
          <t>Pocket Rd Fire — wildfire, 2 acres, Fishkill (Dutchess Co.)</t>
        </is>
      </c>
      <c r="H584" s="12" t="inlineStr">
        <is>
          <t>Fishkill, Dutchess County; Private Property</t>
        </is>
      </c>
      <c r="I584" s="12" t="inlineStr">
        <is>
          <t>2 acres; cause Smoking; fuel 8 - Timber - Light Hardwood Litter</t>
        </is>
      </c>
      <c r="J584" s="12" t="inlineStr">
        <is>
          <t>41.49655, -73.94694</t>
        </is>
      </c>
      <c r="K584" s="12" t="inlineStr">
        <is>
          <t>No losses reported</t>
        </is>
      </c>
      <c r="L584" s="12" t="inlineStr">
        <is>
          <t>NYSDEC Forest Ranger Wildland Fire Reporting Database (Beginning 2008), data.ny.gov export 2026-09-28</t>
        </is>
      </c>
      <c r="M584" s="12" t="inlineStr">
        <is>
          <t>https://data.ny.gov/</t>
        </is>
      </c>
      <c r="N584" s="12" t="inlineStr">
        <is>
          <t>A</t>
        </is>
      </c>
      <c r="O584" s="12" t="inlineStr">
        <is>
          <t>Y</t>
        </is>
      </c>
      <c r="P584" s="12" t="inlineStr">
        <is>
          <t>2026-09-28 (v970, atlas session): bulk ingest per Laurie; fire number NYS-2014-0003; matching 🔥 pin on Natural History.</t>
        </is>
      </c>
      <c r="Q584" s="12" t="inlineStr">
        <is>
          <t>2014-03-22</t>
        </is>
      </c>
      <c r="R584" s="12">
        <f>VALUE(LEFT(Q584,4))</f>
        <v/>
      </c>
      <c r="S584" s="12">
        <f>VALUE(MID(Q584,6,2))</f>
        <v/>
      </c>
      <c r="T584" s="12">
        <f>VALUE(RIGHT(Q584,2))</f>
        <v/>
      </c>
      <c r="U584" s="12" t="inlineStr">
        <is>
          <t>day</t>
        </is>
      </c>
      <c r="V584" s="12" t="inlineStr">
        <is>
          <t>Fire start date (DEC report)</t>
        </is>
      </c>
    </row>
    <row r="585">
      <c r="A585" s="12" t="n">
        <v>675</v>
      </c>
      <c r="B585" s="12" t="inlineStr">
        <is>
          <t>2019-03-26</t>
        </is>
      </c>
      <c r="C585" s="12" t="inlineStr">
        <is>
          <t>2019-03-26</t>
        </is>
      </c>
      <c r="D585" s="12">
        <f>VALUE(LEFT(B585,4))</f>
        <v/>
      </c>
      <c r="E585" s="12">
        <f>INT((D585-1)/100)+1</f>
        <v/>
      </c>
      <c r="F585" s="12" t="inlineStr">
        <is>
          <t>Wildfire</t>
        </is>
      </c>
      <c r="G585" s="12" t="inlineStr">
        <is>
          <t>Rhinebeck Brush Fire — wildfire, 0.3 acres, Rhinebeck (Dutchess Co.)</t>
        </is>
      </c>
      <c r="H585" s="12" t="inlineStr">
        <is>
          <t>Rhinebeck, Dutchess County; Private Property</t>
        </is>
      </c>
      <c r="I585" s="12" t="inlineStr">
        <is>
          <t>0.3 acres; cause Debris Burning; fuel 1 - Grass - Light</t>
        </is>
      </c>
      <c r="J585" s="12" t="inlineStr">
        <is>
          <t>41.89700, -73.87160</t>
        </is>
      </c>
      <c r="K585" s="12" t="inlineStr">
        <is>
          <t>No losses reported</t>
        </is>
      </c>
      <c r="L585" s="12" t="inlineStr">
        <is>
          <t>NYSDEC Forest Ranger Wildland Fire Reporting Database (Beginning 2008), data.ny.gov export 2026-09-28</t>
        </is>
      </c>
      <c r="M585" s="12" t="inlineStr">
        <is>
          <t>https://data.ny.gov/</t>
        </is>
      </c>
      <c r="N585" s="12" t="inlineStr">
        <is>
          <t>A</t>
        </is>
      </c>
      <c r="O585" s="12" t="inlineStr">
        <is>
          <t>Y</t>
        </is>
      </c>
      <c r="P585" s="12" t="inlineStr">
        <is>
          <t>2026-09-28 (v970, atlas session): bulk ingest per Laurie; fire number NYS-2019-0004; matching 🔥 pin on Natural History.</t>
        </is>
      </c>
      <c r="Q585" s="12" t="inlineStr">
        <is>
          <t>2019-03-26</t>
        </is>
      </c>
      <c r="R585" s="12">
        <f>VALUE(LEFT(Q585,4))</f>
        <v/>
      </c>
      <c r="S585" s="12">
        <f>VALUE(MID(Q585,6,2))</f>
        <v/>
      </c>
      <c r="T585" s="12">
        <f>VALUE(RIGHT(Q585,2))</f>
        <v/>
      </c>
      <c r="U585" s="12" t="inlineStr">
        <is>
          <t>day</t>
        </is>
      </c>
      <c r="V585" s="12" t="inlineStr">
        <is>
          <t>Fire start date (DEC report)</t>
        </is>
      </c>
    </row>
    <row r="586">
      <c r="A586" s="12" t="n">
        <v>676</v>
      </c>
      <c r="B586" s="12" t="inlineStr">
        <is>
          <t>2021-04-06</t>
        </is>
      </c>
      <c r="C586" s="12" t="inlineStr">
        <is>
          <t>2021-04-06</t>
        </is>
      </c>
      <c r="D586" s="12">
        <f>VALUE(LEFT(B586,4))</f>
        <v/>
      </c>
      <c r="E586" s="12">
        <f>INT((D586-1)/100)+1</f>
        <v/>
      </c>
      <c r="F586" s="12" t="inlineStr">
        <is>
          <t>Wildfire</t>
        </is>
      </c>
      <c r="G586" s="12" t="inlineStr">
        <is>
          <t>Ravenwood Fire — wildfire, 0.2 acres, Rochester (Ulster Co.)</t>
        </is>
      </c>
      <c r="H586" s="12" t="inlineStr">
        <is>
          <t>Rochester, Ulster County; Private Property</t>
        </is>
      </c>
      <c r="I586" s="12" t="inlineStr">
        <is>
          <t>0.2 acres; cause Debris Burning; fuel 1 - Grass - Light</t>
        </is>
      </c>
      <c r="J586" s="12" t="inlineStr">
        <is>
          <t>41.83080, -74.30399</t>
        </is>
      </c>
      <c r="K586" s="12" t="inlineStr">
        <is>
          <t>No losses reported</t>
        </is>
      </c>
      <c r="L586" s="12" t="inlineStr">
        <is>
          <t>NYSDEC Forest Ranger Wildland Fire Reporting Database (Beginning 2008), data.ny.gov export 2026-09-28</t>
        </is>
      </c>
      <c r="M586" s="12" t="inlineStr">
        <is>
          <t>https://data.ny.gov/</t>
        </is>
      </c>
      <c r="N586" s="12" t="inlineStr">
        <is>
          <t>A</t>
        </is>
      </c>
      <c r="O586" s="12" t="inlineStr">
        <is>
          <t>Y</t>
        </is>
      </c>
      <c r="P586" s="12" t="inlineStr">
        <is>
          <t>2026-09-28 (v970, atlas session): bulk ingest per Laurie; fire number NYS-2021-0054; matching 🔥 pin on Natural History.</t>
        </is>
      </c>
      <c r="Q586" s="12" t="inlineStr">
        <is>
          <t>2021-04-06</t>
        </is>
      </c>
      <c r="R586" s="12">
        <f>VALUE(LEFT(Q586,4))</f>
        <v/>
      </c>
      <c r="S586" s="12">
        <f>VALUE(MID(Q586,6,2))</f>
        <v/>
      </c>
      <c r="T586" s="12">
        <f>VALUE(RIGHT(Q586,2))</f>
        <v/>
      </c>
      <c r="U586" s="12" t="inlineStr">
        <is>
          <t>day</t>
        </is>
      </c>
      <c r="V586" s="12" t="inlineStr">
        <is>
          <t>Fire start date (DEC report)</t>
        </is>
      </c>
    </row>
    <row r="587">
      <c r="A587" s="12" t="n">
        <v>677</v>
      </c>
      <c r="B587" s="12" t="inlineStr">
        <is>
          <t>2014-04-24</t>
        </is>
      </c>
      <c r="C587" s="12" t="inlineStr">
        <is>
          <t>2014-04-24</t>
        </is>
      </c>
      <c r="D587" s="12">
        <f>VALUE(LEFT(B587,4))</f>
        <v/>
      </c>
      <c r="E587" s="12">
        <f>INT((D587-1)/100)+1</f>
        <v/>
      </c>
      <c r="F587" s="12" t="inlineStr">
        <is>
          <t>Wildfire</t>
        </is>
      </c>
      <c r="G587" s="12" t="inlineStr">
        <is>
          <t>Forestburg 42 — wildfire, 0.4 acres, Forestburgh (Sullivan Co.)</t>
        </is>
      </c>
      <c r="H587" s="12" t="inlineStr">
        <is>
          <t>Forestburgh, Sullivan County; Private Property</t>
        </is>
      </c>
      <c r="I587" s="12" t="inlineStr">
        <is>
          <t>0.4 acres; cause Power line; fuel 3 - Grass - Heavy</t>
        </is>
      </c>
      <c r="J587" s="12" t="inlineStr">
        <is>
          <t>41.54979, -74.75056</t>
        </is>
      </c>
      <c r="K587" s="12" t="inlineStr">
        <is>
          <t>No losses reported</t>
        </is>
      </c>
      <c r="L587" s="12" t="inlineStr">
        <is>
          <t>NYSDEC Forest Ranger Wildland Fire Reporting Database (Beginning 2008), data.ny.gov export 2026-09-28</t>
        </is>
      </c>
      <c r="M587" s="12" t="inlineStr">
        <is>
          <t>https://data.ny.gov/</t>
        </is>
      </c>
      <c r="N587" s="12" t="inlineStr">
        <is>
          <t>A</t>
        </is>
      </c>
      <c r="O587" s="12" t="inlineStr">
        <is>
          <t>Y</t>
        </is>
      </c>
      <c r="P587" s="12" t="inlineStr">
        <is>
          <t>2026-09-28 (v970, atlas session): bulk ingest per Laurie; fire number NYS-2014-0062; matching 🔥 pin on Natural History.</t>
        </is>
      </c>
      <c r="Q587" s="12" t="inlineStr">
        <is>
          <t>2014-04-24</t>
        </is>
      </c>
      <c r="R587" s="12">
        <f>VALUE(LEFT(Q587,4))</f>
        <v/>
      </c>
      <c r="S587" s="12">
        <f>VALUE(MID(Q587,6,2))</f>
        <v/>
      </c>
      <c r="T587" s="12">
        <f>VALUE(RIGHT(Q587,2))</f>
        <v/>
      </c>
      <c r="U587" s="12" t="inlineStr">
        <is>
          <t>day</t>
        </is>
      </c>
      <c r="V587" s="12" t="inlineStr">
        <is>
          <t>Fire start date (DEC report)</t>
        </is>
      </c>
    </row>
    <row r="588">
      <c r="A588" s="12" t="n">
        <v>679</v>
      </c>
      <c r="B588" s="12" t="inlineStr">
        <is>
          <t>2022-04-29</t>
        </is>
      </c>
      <c r="C588" s="12" t="inlineStr">
        <is>
          <t>2022-04-30</t>
        </is>
      </c>
      <c r="D588" s="12">
        <f>VALUE(LEFT(B588,4))</f>
        <v/>
      </c>
      <c r="E588" s="12">
        <f>INT((D588-1)/100)+1</f>
        <v/>
      </c>
      <c r="F588" s="12" t="inlineStr">
        <is>
          <t>Wildfire</t>
        </is>
      </c>
      <c r="G588" s="12" t="inlineStr">
        <is>
          <t>Gallatin #1 — wildfire, 13.9 acres, Gallatin (Columbia Co.)</t>
        </is>
      </c>
      <c r="H588" s="12" t="inlineStr">
        <is>
          <t>Gallatin, Columbia County; Private Property</t>
        </is>
      </c>
      <c r="I588" s="12" t="inlineStr">
        <is>
          <t>13.9 acres; cause Equipment; fuel 9 - Timber - Medium Hardwood Litter</t>
        </is>
      </c>
      <c r="J588" s="12" t="inlineStr">
        <is>
          <t>42.09239, -73.68307</t>
        </is>
      </c>
      <c r="K588" s="12" t="inlineStr">
        <is>
          <t>No losses reported</t>
        </is>
      </c>
      <c r="L588" s="12" t="inlineStr">
        <is>
          <t>NYSDEC Forest Ranger Wildland Fire Reporting Database (Beginning 2008), data.ny.gov export 2026-09-28</t>
        </is>
      </c>
      <c r="M588" s="12" t="inlineStr">
        <is>
          <t>https://data.ny.gov/</t>
        </is>
      </c>
      <c r="N588" s="12" t="inlineStr">
        <is>
          <t>A</t>
        </is>
      </c>
      <c r="O588" s="12" t="inlineStr">
        <is>
          <t>Y</t>
        </is>
      </c>
      <c r="P588" s="12" t="inlineStr">
        <is>
          <t>2026-09-28 (v970, atlas session): bulk ingest per Laurie; fire number NYS-2022-0052; matching 🔥 pin on Natural History.</t>
        </is>
      </c>
      <c r="Q588" s="12" t="inlineStr">
        <is>
          <t>2022-04-29</t>
        </is>
      </c>
      <c r="R588" s="12">
        <f>VALUE(LEFT(Q588,4))</f>
        <v/>
      </c>
      <c r="S588" s="12">
        <f>VALUE(MID(Q588,6,2))</f>
        <v/>
      </c>
      <c r="T588" s="12">
        <f>VALUE(RIGHT(Q588,2))</f>
        <v/>
      </c>
      <c r="U588" s="12" t="inlineStr">
        <is>
          <t>day</t>
        </is>
      </c>
      <c r="V588" s="12" t="inlineStr">
        <is>
          <t>Fire start date (DEC report)</t>
        </is>
      </c>
    </row>
    <row r="589">
      <c r="A589" s="12" t="n">
        <v>680</v>
      </c>
      <c r="B589" s="12" t="inlineStr">
        <is>
          <t>2015-05-07</t>
        </is>
      </c>
      <c r="C589" s="12" t="inlineStr">
        <is>
          <t>2015-05-18</t>
        </is>
      </c>
      <c r="D589" s="12">
        <f>VALUE(LEFT(B589,4))</f>
        <v/>
      </c>
      <c r="E589" s="12">
        <f>INT((D589-1)/100)+1</f>
        <v/>
      </c>
      <c r="F589" s="12" t="inlineStr">
        <is>
          <t>Wildfire</t>
        </is>
      </c>
      <c r="G589" s="12" t="inlineStr">
        <is>
          <t>Heavenly Valley Fire — wildfire, 146 acres, Hunter (Greene Co.)</t>
        </is>
      </c>
      <c r="H589" s="12" t="inlineStr">
        <is>
          <t>Hunter, Greene County; Forest Preserve — Hunter-West Kill Wilderness Area</t>
        </is>
      </c>
      <c r="I589" s="12" t="inlineStr">
        <is>
          <t>146 acres; cause Power line; fuel 9 - Timber - Medium Hardwood Litter</t>
        </is>
      </c>
      <c r="J589" s="12" t="inlineStr">
        <is>
          <t>42.13264, -74.23713</t>
        </is>
      </c>
      <c r="K589" s="12" t="inlineStr">
        <is>
          <t>Homes Threatened: 2; Other Structures Threatened: 2</t>
        </is>
      </c>
      <c r="L589" s="12" t="inlineStr">
        <is>
          <t>NYSDEC Forest Ranger Wildland Fire Reporting Database (Beginning 2008), data.ny.gov export 2026-09-28</t>
        </is>
      </c>
      <c r="M589" s="12" t="inlineStr">
        <is>
          <t>https://data.ny.gov/</t>
        </is>
      </c>
      <c r="N589" s="12" t="inlineStr">
        <is>
          <t>A</t>
        </is>
      </c>
      <c r="O589" s="12" t="inlineStr">
        <is>
          <t>Y</t>
        </is>
      </c>
      <c r="P589" s="12" t="inlineStr">
        <is>
          <t>2026-09-28 (v970, atlas session): bulk ingest per Laurie; fire number NYS-2015-0100; matching 🔥 pin on Natural History.</t>
        </is>
      </c>
      <c r="Q589" s="12" t="inlineStr">
        <is>
          <t>2015-05-07</t>
        </is>
      </c>
      <c r="R589" s="12">
        <f>VALUE(LEFT(Q589,4))</f>
        <v/>
      </c>
      <c r="S589" s="12">
        <f>VALUE(MID(Q589,6,2))</f>
        <v/>
      </c>
      <c r="T589" s="12">
        <f>VALUE(RIGHT(Q589,2))</f>
        <v/>
      </c>
      <c r="U589" s="12" t="inlineStr">
        <is>
          <t>day</t>
        </is>
      </c>
      <c r="V589" s="12" t="inlineStr">
        <is>
          <t>Fire start date (DEC report)</t>
        </is>
      </c>
    </row>
    <row r="590">
      <c r="A590" s="12" t="n">
        <v>683</v>
      </c>
      <c r="B590" s="12" t="inlineStr">
        <is>
          <t>2022-08-08</t>
        </is>
      </c>
      <c r="C590" s="12" t="inlineStr">
        <is>
          <t>2022-08-08</t>
        </is>
      </c>
      <c r="D590" s="12">
        <f>VALUE(LEFT(B590,4))</f>
        <v/>
      </c>
      <c r="E590" s="12">
        <f>INT((D590-1)/100)+1</f>
        <v/>
      </c>
      <c r="F590" s="12" t="inlineStr">
        <is>
          <t>Wildfire</t>
        </is>
      </c>
      <c r="G590" s="12" t="inlineStr">
        <is>
          <t>Cole Hill State Forest — wildfire, 0.1 acres, Berne (Albany Co.)</t>
        </is>
      </c>
      <c r="H590" s="12" t="inlineStr">
        <is>
          <t>Berne, Albany County; State Forest/RF Area — Cole Hill State Forest</t>
        </is>
      </c>
      <c r="I590" s="12" t="inlineStr">
        <is>
          <t>0.1 acres; cause Miscellaneous; fuel 6 - Brush - Mixed/Regeneration</t>
        </is>
      </c>
      <c r="J590" s="12" t="inlineStr">
        <is>
          <t>42.59756, -74.09286</t>
        </is>
      </c>
      <c r="K590" s="12" t="inlineStr">
        <is>
          <t>No losses reported</t>
        </is>
      </c>
      <c r="L590" s="12" t="inlineStr">
        <is>
          <t>NYSDEC Forest Ranger Wildland Fire Reporting Database (Beginning 2008), data.ny.gov export 2026-09-28</t>
        </is>
      </c>
      <c r="M590" s="12" t="inlineStr">
        <is>
          <t>https://data.ny.gov/</t>
        </is>
      </c>
      <c r="N590" s="12" t="inlineStr">
        <is>
          <t>A</t>
        </is>
      </c>
      <c r="O590" s="12" t="inlineStr">
        <is>
          <t>Y</t>
        </is>
      </c>
      <c r="P590" s="12" t="inlineStr">
        <is>
          <t>2026-09-28 (v970, atlas session): bulk ingest per Laurie; fire number NYS-2022-0131; matching 🔥 pin on Natural History.</t>
        </is>
      </c>
      <c r="Q590" s="12" t="inlineStr">
        <is>
          <t>2022-08-08</t>
        </is>
      </c>
      <c r="R590" s="12">
        <f>VALUE(LEFT(Q590,4))</f>
        <v/>
      </c>
      <c r="S590" s="12">
        <f>VALUE(MID(Q590,6,2))</f>
        <v/>
      </c>
      <c r="T590" s="12">
        <f>VALUE(RIGHT(Q590,2))</f>
        <v/>
      </c>
      <c r="U590" s="12" t="inlineStr">
        <is>
          <t>day</t>
        </is>
      </c>
      <c r="V590" s="12" t="inlineStr">
        <is>
          <t>Fire start date (DEC report)</t>
        </is>
      </c>
    </row>
    <row r="591">
      <c r="A591" s="12" t="n">
        <v>684</v>
      </c>
      <c r="B591" s="12" t="inlineStr">
        <is>
          <t>2016-04-17</t>
        </is>
      </c>
      <c r="C591" s="12" t="inlineStr">
        <is>
          <t>2016-04-19</t>
        </is>
      </c>
      <c r="D591" s="12">
        <f>VALUE(LEFT(B591,4))</f>
        <v/>
      </c>
      <c r="E591" s="12">
        <f>INT((D591-1)/100)+1</f>
        <v/>
      </c>
      <c r="F591" s="12" t="inlineStr">
        <is>
          <t>Wildfire</t>
        </is>
      </c>
      <c r="G591" s="12" t="inlineStr">
        <is>
          <t>Watersnake Creek Fire — wildfire, 22.5 acres, Colesville (Broome Co.)</t>
        </is>
      </c>
      <c r="H591" s="12" t="inlineStr">
        <is>
          <t>Colesville, Broome County; Private Property</t>
        </is>
      </c>
      <c r="I591" s="12" t="inlineStr">
        <is>
          <t>22.5 acres; cause Equipment; fuel 8 - Timber - Light Hardwood Litter</t>
        </is>
      </c>
      <c r="J591" s="12" t="inlineStr">
        <is>
          <t>42.13574, -75.60893</t>
        </is>
      </c>
      <c r="K591" s="12" t="inlineStr">
        <is>
          <t>No losses reported</t>
        </is>
      </c>
      <c r="L591" s="12" t="inlineStr">
        <is>
          <t>NYSDEC Forest Ranger Wildland Fire Reporting Database (Beginning 2008), data.ny.gov export 2026-09-28</t>
        </is>
      </c>
      <c r="M591" s="12" t="inlineStr">
        <is>
          <t>https://data.ny.gov/</t>
        </is>
      </c>
      <c r="N591" s="12" t="inlineStr">
        <is>
          <t>A</t>
        </is>
      </c>
      <c r="O591" s="12" t="inlineStr">
        <is>
          <t>Y</t>
        </is>
      </c>
      <c r="P591" s="12" t="inlineStr">
        <is>
          <t>2026-09-28 (v970, atlas session): bulk ingest per Laurie; fire number NYS-2016-0040; matching 🔥 pin on Natural History.</t>
        </is>
      </c>
      <c r="Q591" s="12" t="inlineStr">
        <is>
          <t>2016-04-17</t>
        </is>
      </c>
      <c r="R591" s="12">
        <f>VALUE(LEFT(Q591,4))</f>
        <v/>
      </c>
      <c r="S591" s="12">
        <f>VALUE(MID(Q591,6,2))</f>
        <v/>
      </c>
      <c r="T591" s="12">
        <f>VALUE(RIGHT(Q591,2))</f>
        <v/>
      </c>
      <c r="U591" s="12" t="inlineStr">
        <is>
          <t>day</t>
        </is>
      </c>
      <c r="V591" s="12" t="inlineStr">
        <is>
          <t>Fire start date (DEC report)</t>
        </is>
      </c>
    </row>
    <row r="592">
      <c r="A592" s="12" t="n">
        <v>685</v>
      </c>
      <c r="B592" s="12" t="inlineStr">
        <is>
          <t>2008-04-17</t>
        </is>
      </c>
      <c r="C592" s="12" t="inlineStr">
        <is>
          <t>2008-04-17</t>
        </is>
      </c>
      <c r="D592" s="12">
        <f>VALUE(LEFT(B592,4))</f>
        <v/>
      </c>
      <c r="E592" s="12">
        <f>INT((D592-1)/100)+1</f>
        <v/>
      </c>
      <c r="F592" s="12" t="inlineStr">
        <is>
          <t>Wildfire</t>
        </is>
      </c>
      <c r="G592" s="12" t="inlineStr">
        <is>
          <t>Fremont Fire — wildfire, 3.5 acres, Tusten (Sullivan Co.)</t>
        </is>
      </c>
      <c r="H592" s="12" t="inlineStr">
        <is>
          <t>Tusten, Sullivan County; Private Property</t>
        </is>
      </c>
      <c r="I592" s="12" t="inlineStr">
        <is>
          <t>3.5 acres; cause Equipment; fuel 1 - Grass - Light</t>
        </is>
      </c>
      <c r="J592" s="12" t="inlineStr">
        <is>
          <t>41.53646, -75.02141</t>
        </is>
      </c>
      <c r="K592" s="12" t="inlineStr">
        <is>
          <t>No losses reported</t>
        </is>
      </c>
      <c r="L592" s="12" t="inlineStr">
        <is>
          <t>NYSDEC Forest Ranger Wildland Fire Reporting Database (Beginning 2008), data.ny.gov export 2026-09-28</t>
        </is>
      </c>
      <c r="M592" s="12" t="inlineStr">
        <is>
          <t>https://data.ny.gov/</t>
        </is>
      </c>
      <c r="N592" s="12" t="inlineStr">
        <is>
          <t>A</t>
        </is>
      </c>
      <c r="O592" s="12" t="inlineStr">
        <is>
          <t>Y</t>
        </is>
      </c>
      <c r="P592" s="12" t="inlineStr">
        <is>
          <t>2026-09-28 (v970, atlas session): bulk ingest per Laurie; fire number NYS-2008-0052; matching 🔥 pin on Natural History.</t>
        </is>
      </c>
      <c r="Q592" s="12" t="inlineStr">
        <is>
          <t>2008-04-17</t>
        </is>
      </c>
      <c r="R592" s="12">
        <f>VALUE(LEFT(Q592,4))</f>
        <v/>
      </c>
      <c r="S592" s="12">
        <f>VALUE(MID(Q592,6,2))</f>
        <v/>
      </c>
      <c r="T592" s="12">
        <f>VALUE(RIGHT(Q592,2))</f>
        <v/>
      </c>
      <c r="U592" s="12" t="inlineStr">
        <is>
          <t>day</t>
        </is>
      </c>
      <c r="V592" s="12" t="inlineStr">
        <is>
          <t>Fire start date (DEC report)</t>
        </is>
      </c>
    </row>
    <row r="593">
      <c r="A593" s="12" t="n">
        <v>686</v>
      </c>
      <c r="B593" s="12" t="inlineStr">
        <is>
          <t>2009-04-25</t>
        </is>
      </c>
      <c r="C593" s="12" t="inlineStr">
        <is>
          <t>2009-04-30</t>
        </is>
      </c>
      <c r="D593" s="12">
        <f>VALUE(LEFT(B593,4))</f>
        <v/>
      </c>
      <c r="E593" s="12">
        <f>INT((D593-1)/100)+1</f>
        <v/>
      </c>
      <c r="F593" s="12" t="inlineStr">
        <is>
          <t>Wildfire</t>
        </is>
      </c>
      <c r="G593" s="12" t="inlineStr">
        <is>
          <t>Mountaindale — wildfire, 6.6 acres, Fallsburgh (Sullivan Co.)</t>
        </is>
      </c>
      <c r="H593" s="12" t="inlineStr">
        <is>
          <t>Fallsburgh, Sullivan County; Private Property</t>
        </is>
      </c>
      <c r="I593" s="12" t="inlineStr">
        <is>
          <t>6.6 acres; cause Incendiary; fuel 9 - Timber - Medium Hardwood Litter</t>
        </is>
      </c>
      <c r="J593" s="12" t="inlineStr">
        <is>
          <t>41.68395, -74.52388</t>
        </is>
      </c>
      <c r="K593" s="12" t="inlineStr">
        <is>
          <t>No losses reported</t>
        </is>
      </c>
      <c r="L593" s="12" t="inlineStr">
        <is>
          <t>NYSDEC Forest Ranger Wildland Fire Reporting Database (Beginning 2008), data.ny.gov export 2026-09-28</t>
        </is>
      </c>
      <c r="M593" s="12" t="inlineStr">
        <is>
          <t>https://data.ny.gov/</t>
        </is>
      </c>
      <c r="N593" s="12" t="inlineStr">
        <is>
          <t>A</t>
        </is>
      </c>
      <c r="O593" s="12" t="inlineStr">
        <is>
          <t>Y</t>
        </is>
      </c>
      <c r="P593" s="12" t="inlineStr">
        <is>
          <t>2026-09-28 (v970, atlas session): bulk ingest per Laurie; fire number NYS-2009-0102; matching 🔥 pin on Natural History.</t>
        </is>
      </c>
      <c r="Q593" s="12" t="inlineStr">
        <is>
          <t>2009-04-25</t>
        </is>
      </c>
      <c r="R593" s="12">
        <f>VALUE(LEFT(Q593,4))</f>
        <v/>
      </c>
      <c r="S593" s="12">
        <f>VALUE(MID(Q593,6,2))</f>
        <v/>
      </c>
      <c r="T593" s="12">
        <f>VALUE(RIGHT(Q593,2))</f>
        <v/>
      </c>
      <c r="U593" s="12" t="inlineStr">
        <is>
          <t>day</t>
        </is>
      </c>
      <c r="V593" s="12" t="inlineStr">
        <is>
          <t>Fire start date (DEC report)</t>
        </is>
      </c>
    </row>
    <row r="594">
      <c r="A594" s="12" t="n">
        <v>687</v>
      </c>
      <c r="B594" s="12" t="inlineStr">
        <is>
          <t>2009-04-25</t>
        </is>
      </c>
      <c r="C594" s="12" t="inlineStr">
        <is>
          <t>2009-04-25</t>
        </is>
      </c>
      <c r="D594" s="12">
        <f>VALUE(LEFT(B594,4))</f>
        <v/>
      </c>
      <c r="E594" s="12">
        <f>INT((D594-1)/100)+1</f>
        <v/>
      </c>
      <c r="F594" s="12" t="inlineStr">
        <is>
          <t>Wildfire</t>
        </is>
      </c>
      <c r="G594" s="12" t="inlineStr">
        <is>
          <t>Caso Ln Fire — wildfire, 0.5 acres, Hillsdale (Columbia Co.)</t>
        </is>
      </c>
      <c r="H594" s="12" t="inlineStr">
        <is>
          <t>Hillsdale, Columbia County; Private Property</t>
        </is>
      </c>
      <c r="I594" s="12" t="inlineStr">
        <is>
          <t>0.5 acres; cause Miscellaneous; fuel 8 - Timber - Light Hardwood Litter</t>
        </is>
      </c>
      <c r="J594" s="12" t="inlineStr">
        <is>
          <t>42.25591, -73.54078</t>
        </is>
      </c>
      <c r="K594" s="12" t="inlineStr">
        <is>
          <t>No losses reported</t>
        </is>
      </c>
      <c r="L594" s="12" t="inlineStr">
        <is>
          <t>NYSDEC Forest Ranger Wildland Fire Reporting Database (Beginning 2008), data.ny.gov export 2026-09-28</t>
        </is>
      </c>
      <c r="M594" s="12" t="inlineStr">
        <is>
          <t>https://data.ny.gov/</t>
        </is>
      </c>
      <c r="N594" s="12" t="inlineStr">
        <is>
          <t>A</t>
        </is>
      </c>
      <c r="O594" s="12" t="inlineStr">
        <is>
          <t>Y</t>
        </is>
      </c>
      <c r="P594" s="12" t="inlineStr">
        <is>
          <t>2026-09-28 (v970, atlas session): bulk ingest per Laurie; fire number NYS-2009-0120; matching 🔥 pin on Natural History.</t>
        </is>
      </c>
      <c r="Q594" s="12" t="inlineStr">
        <is>
          <t>2009-04-25</t>
        </is>
      </c>
      <c r="R594" s="12">
        <f>VALUE(LEFT(Q594,4))</f>
        <v/>
      </c>
      <c r="S594" s="12">
        <f>VALUE(MID(Q594,6,2))</f>
        <v/>
      </c>
      <c r="T594" s="12">
        <f>VALUE(RIGHT(Q594,2))</f>
        <v/>
      </c>
      <c r="U594" s="12" t="inlineStr">
        <is>
          <t>day</t>
        </is>
      </c>
      <c r="V594" s="12" t="inlineStr">
        <is>
          <t>Fire start date (DEC report)</t>
        </is>
      </c>
    </row>
    <row r="595">
      <c r="A595" s="12" t="n">
        <v>688</v>
      </c>
      <c r="B595" s="12" t="inlineStr">
        <is>
          <t>2010-04-21</t>
        </is>
      </c>
      <c r="C595" s="12" t="inlineStr">
        <is>
          <t>2010-04-23</t>
        </is>
      </c>
      <c r="D595" s="12">
        <f>VALUE(LEFT(B595,4))</f>
        <v/>
      </c>
      <c r="E595" s="12">
        <f>INT((D595-1)/100)+1</f>
        <v/>
      </c>
      <c r="F595" s="12" t="inlineStr">
        <is>
          <t>Wildfire</t>
        </is>
      </c>
      <c r="G595" s="12" t="inlineStr">
        <is>
          <t>Mtn Lake Camps Fire — wildfire, 49 acres, Mamakating (Sullivan Co.)</t>
        </is>
      </c>
      <c r="H595" s="12" t="inlineStr">
        <is>
          <t>Mamakating, Sullivan County; Private Property</t>
        </is>
      </c>
      <c r="I595" s="12" t="inlineStr">
        <is>
          <t>49 acres; cause Campfire; fuel 10 - Timber - Heavy Litter/Downed Fuels</t>
        </is>
      </c>
      <c r="J595" s="12" t="inlineStr">
        <is>
          <t>41.60303, -74.51185</t>
        </is>
      </c>
      <c r="K595" s="12" t="inlineStr">
        <is>
          <t>No losses reported</t>
        </is>
      </c>
      <c r="L595" s="12" t="inlineStr">
        <is>
          <t>NYSDEC Forest Ranger Wildland Fire Reporting Database (Beginning 2008), data.ny.gov export 2026-09-28</t>
        </is>
      </c>
      <c r="M595" s="12" t="inlineStr">
        <is>
          <t>https://data.ny.gov/</t>
        </is>
      </c>
      <c r="N595" s="12" t="inlineStr">
        <is>
          <t>A</t>
        </is>
      </c>
      <c r="O595" s="12" t="inlineStr">
        <is>
          <t>Y</t>
        </is>
      </c>
      <c r="P595" s="12" t="inlineStr">
        <is>
          <t>2026-09-28 (v970, atlas session): bulk ingest per Laurie; fire number NYS-2010-0076; matching 🔥 pin on Natural History.</t>
        </is>
      </c>
      <c r="Q595" s="12" t="inlineStr">
        <is>
          <t>2010-04-21</t>
        </is>
      </c>
      <c r="R595" s="12">
        <f>VALUE(LEFT(Q595,4))</f>
        <v/>
      </c>
      <c r="S595" s="12">
        <f>VALUE(MID(Q595,6,2))</f>
        <v/>
      </c>
      <c r="T595" s="12">
        <f>VALUE(RIGHT(Q595,2))</f>
        <v/>
      </c>
      <c r="U595" s="12" t="inlineStr">
        <is>
          <t>day</t>
        </is>
      </c>
      <c r="V595" s="12" t="inlineStr">
        <is>
          <t>Fire start date (DEC report)</t>
        </is>
      </c>
    </row>
    <row r="596">
      <c r="A596" s="12" t="n">
        <v>689</v>
      </c>
      <c r="B596" s="12" t="inlineStr">
        <is>
          <t>2009-03-23</t>
        </is>
      </c>
      <c r="C596" s="12" t="inlineStr">
        <is>
          <t>2009-04-24</t>
        </is>
      </c>
      <c r="D596" s="12">
        <f>VALUE(LEFT(B596,4))</f>
        <v/>
      </c>
      <c r="E596" s="12">
        <f>INT((D596-1)/100)+1</f>
        <v/>
      </c>
      <c r="F596" s="12" t="inlineStr">
        <is>
          <t>Wildfire</t>
        </is>
      </c>
      <c r="G596" s="12" t="inlineStr">
        <is>
          <t>James Baird Fire — wildfire, 7 acres, La Grange (Dutchess Co.)</t>
        </is>
      </c>
      <c r="H596" s="12" t="inlineStr">
        <is>
          <t>La Grange, Dutchess County; OPR&amp;HP (State Parks) — James Baird SP</t>
        </is>
      </c>
      <c r="I596" s="12" t="inlineStr">
        <is>
          <t>7 acres; cause Campfire; fuel 8 - Timber - Light Hardwood Litter</t>
        </is>
      </c>
      <c r="J596" s="12" t="inlineStr">
        <is>
          <t>41.68249, -73.79105</t>
        </is>
      </c>
      <c r="K596" s="12" t="inlineStr">
        <is>
          <t>No losses reported</t>
        </is>
      </c>
      <c r="L596" s="12" t="inlineStr">
        <is>
          <t>NYSDEC Forest Ranger Wildland Fire Reporting Database (Beginning 2008), data.ny.gov export 2026-09-28</t>
        </is>
      </c>
      <c r="M596" s="12" t="inlineStr">
        <is>
          <t>https://data.ny.gov/</t>
        </is>
      </c>
      <c r="N596" s="12" t="inlineStr">
        <is>
          <t>A</t>
        </is>
      </c>
      <c r="O596" s="12" t="inlineStr">
        <is>
          <t>Y</t>
        </is>
      </c>
      <c r="P596" s="12" t="inlineStr">
        <is>
          <t>2026-09-28 (v970, atlas session): bulk ingest per Laurie; fire number NYS-2009-0014; matching 🔥 pin on Natural History.</t>
        </is>
      </c>
      <c r="Q596" s="12" t="inlineStr">
        <is>
          <t>2009-03-23</t>
        </is>
      </c>
      <c r="R596" s="12">
        <f>VALUE(LEFT(Q596,4))</f>
        <v/>
      </c>
      <c r="S596" s="12">
        <f>VALUE(MID(Q596,6,2))</f>
        <v/>
      </c>
      <c r="T596" s="12">
        <f>VALUE(RIGHT(Q596,2))</f>
        <v/>
      </c>
      <c r="U596" s="12" t="inlineStr">
        <is>
          <t>day</t>
        </is>
      </c>
      <c r="V596" s="12" t="inlineStr">
        <is>
          <t>Fire start date (DEC report)</t>
        </is>
      </c>
    </row>
    <row r="597">
      <c r="A597" s="12" t="n">
        <v>693</v>
      </c>
      <c r="B597" s="12" t="inlineStr">
        <is>
          <t>2012-02-13</t>
        </is>
      </c>
      <c r="C597" s="12" t="inlineStr">
        <is>
          <t>2012-02-13</t>
        </is>
      </c>
      <c r="D597" s="12">
        <f>VALUE(LEFT(B597,4))</f>
        <v/>
      </c>
      <c r="E597" s="12">
        <f>INT((D597-1)/100)+1</f>
        <v/>
      </c>
      <c r="F597" s="12" t="inlineStr">
        <is>
          <t>Wildfire</t>
        </is>
      </c>
      <c r="G597" s="12" t="inlineStr">
        <is>
          <t>Smith Rd Fire — wildfire, 1 acres, Saugerties (Ulster Co.)</t>
        </is>
      </c>
      <c r="H597" s="12" t="inlineStr">
        <is>
          <t>Saugerties, Ulster County; Private Property</t>
        </is>
      </c>
      <c r="I597" s="12" t="inlineStr">
        <is>
          <t>1 acres; cause Miscellaneous; fuel 1 - Grass - Light</t>
        </is>
      </c>
      <c r="J597" s="12" t="inlineStr">
        <is>
          <t>42.05252, -74.05642</t>
        </is>
      </c>
      <c r="K597" s="12" t="inlineStr">
        <is>
          <t>No losses reported</t>
        </is>
      </c>
      <c r="L597" s="12" t="inlineStr">
        <is>
          <t>NYSDEC Forest Ranger Wildland Fire Reporting Database (Beginning 2008), data.ny.gov export 2026-09-28</t>
        </is>
      </c>
      <c r="M597" s="12" t="inlineStr">
        <is>
          <t>https://data.ny.gov/</t>
        </is>
      </c>
      <c r="N597" s="12" t="inlineStr">
        <is>
          <t>A</t>
        </is>
      </c>
      <c r="O597" s="12" t="inlineStr">
        <is>
          <t>Y</t>
        </is>
      </c>
      <c r="P597" s="12" t="inlineStr">
        <is>
          <t>2026-09-28 (v970, atlas session): bulk ingest per Laurie; fire number NYS-2012-0009; matching 🔥 pin on Natural History.</t>
        </is>
      </c>
      <c r="Q597" s="12" t="inlineStr">
        <is>
          <t>2012-02-13</t>
        </is>
      </c>
      <c r="R597" s="12">
        <f>VALUE(LEFT(Q597,4))</f>
        <v/>
      </c>
      <c r="S597" s="12">
        <f>VALUE(MID(Q597,6,2))</f>
        <v/>
      </c>
      <c r="T597" s="12">
        <f>VALUE(RIGHT(Q597,2))</f>
        <v/>
      </c>
      <c r="U597" s="12" t="inlineStr">
        <is>
          <t>day</t>
        </is>
      </c>
      <c r="V597" s="12" t="inlineStr">
        <is>
          <t>Fire start date (DEC report)</t>
        </is>
      </c>
    </row>
    <row r="598">
      <c r="A598" s="12" t="n">
        <v>694</v>
      </c>
      <c r="B598" s="12" t="inlineStr">
        <is>
          <t>2018-04-23</t>
        </is>
      </c>
      <c r="C598" s="12" t="inlineStr">
        <is>
          <t>2018-04-25</t>
        </is>
      </c>
      <c r="D598" s="12">
        <f>VALUE(LEFT(B598,4))</f>
        <v/>
      </c>
      <c r="E598" s="12">
        <f>INT((D598-1)/100)+1</f>
        <v/>
      </c>
      <c r="F598" s="12" t="inlineStr">
        <is>
          <t>Wildfire</t>
        </is>
      </c>
      <c r="G598" s="12" t="inlineStr">
        <is>
          <t>Pipeline Fire — wildfire, 4.9 acres, Fremont (Sullivan Co.)</t>
        </is>
      </c>
      <c r="H598" s="12" t="inlineStr">
        <is>
          <t>Fremont, Sullivan County; Private Property</t>
        </is>
      </c>
      <c r="I598" s="12" t="inlineStr">
        <is>
          <t>4.9 acres; cause Campfire; fuel 8 - Timber - Light Hardwood Litter</t>
        </is>
      </c>
      <c r="J598" s="12" t="inlineStr">
        <is>
          <t>41.86030, -75.10574</t>
        </is>
      </c>
      <c r="K598" s="12" t="inlineStr">
        <is>
          <t>No losses reported</t>
        </is>
      </c>
      <c r="L598" s="12" t="inlineStr">
        <is>
          <t>NYSDEC Forest Ranger Wildland Fire Reporting Database (Beginning 2008), data.ny.gov export 2026-09-28</t>
        </is>
      </c>
      <c r="M598" s="12" t="inlineStr">
        <is>
          <t>https://data.ny.gov/</t>
        </is>
      </c>
      <c r="N598" s="12" t="inlineStr">
        <is>
          <t>A</t>
        </is>
      </c>
      <c r="O598" s="12" t="inlineStr">
        <is>
          <t>Y</t>
        </is>
      </c>
      <c r="P598" s="12" t="inlineStr">
        <is>
          <t>2026-09-28 (v970, atlas session): bulk ingest per Laurie; fire number NYS-2018-0021; matching 🔥 pin on Natural History.</t>
        </is>
      </c>
      <c r="Q598" s="12" t="inlineStr">
        <is>
          <t>2018-04-23</t>
        </is>
      </c>
      <c r="R598" s="12">
        <f>VALUE(LEFT(Q598,4))</f>
        <v/>
      </c>
      <c r="S598" s="12">
        <f>VALUE(MID(Q598,6,2))</f>
        <v/>
      </c>
      <c r="T598" s="12">
        <f>VALUE(RIGHT(Q598,2))</f>
        <v/>
      </c>
      <c r="U598" s="12" t="inlineStr">
        <is>
          <t>day</t>
        </is>
      </c>
      <c r="V598" s="12" t="inlineStr">
        <is>
          <t>Fire start date (DEC report)</t>
        </is>
      </c>
    </row>
    <row r="599">
      <c r="A599" s="12" t="n">
        <v>695</v>
      </c>
      <c r="B599" s="12" t="inlineStr">
        <is>
          <t>2008-04-26</t>
        </is>
      </c>
      <c r="C599" s="12" t="inlineStr">
        <is>
          <t>2008-04-27</t>
        </is>
      </c>
      <c r="D599" s="12">
        <f>VALUE(LEFT(B599,4))</f>
        <v/>
      </c>
      <c r="E599" s="12">
        <f>INT((D599-1)/100)+1</f>
        <v/>
      </c>
      <c r="F599" s="12" t="inlineStr">
        <is>
          <t>Wildfire</t>
        </is>
      </c>
      <c r="G599" s="12" t="inlineStr">
        <is>
          <t>Ulster Heights Fire — wildfire, 1.1 acres, Wawarsing (Ulster Co.)</t>
        </is>
      </c>
      <c r="H599" s="12" t="inlineStr">
        <is>
          <t>Wawarsing, Ulster County; Private Property</t>
        </is>
      </c>
      <c r="I599" s="12" t="inlineStr">
        <is>
          <t>1.1 acres; cause Children; fuel 9 - Timber - Medium Hardwood Litter</t>
        </is>
      </c>
      <c r="J599" s="12" t="inlineStr">
        <is>
          <t>41.75745, -74.42621</t>
        </is>
      </c>
      <c r="K599" s="12" t="inlineStr">
        <is>
          <t>Injuries: 2</t>
        </is>
      </c>
      <c r="L599" s="12" t="inlineStr">
        <is>
          <t>NYSDEC Forest Ranger Wildland Fire Reporting Database (Beginning 2008), data.ny.gov export 2026-09-28</t>
        </is>
      </c>
      <c r="M599" s="12" t="inlineStr">
        <is>
          <t>https://data.ny.gov/</t>
        </is>
      </c>
      <c r="N599" s="12" t="inlineStr">
        <is>
          <t>A</t>
        </is>
      </c>
      <c r="O599" s="12" t="inlineStr">
        <is>
          <t>Y</t>
        </is>
      </c>
      <c r="P599" s="12" t="inlineStr">
        <is>
          <t>2026-09-28 (v970, atlas session): bulk ingest per Laurie; fire number NYS-2008-0141; matching 🔥 pin on Natural History.</t>
        </is>
      </c>
      <c r="Q599" s="12" t="inlineStr">
        <is>
          <t>2008-04-26</t>
        </is>
      </c>
      <c r="R599" s="12">
        <f>VALUE(LEFT(Q599,4))</f>
        <v/>
      </c>
      <c r="S599" s="12">
        <f>VALUE(MID(Q599,6,2))</f>
        <v/>
      </c>
      <c r="T599" s="12">
        <f>VALUE(RIGHT(Q599,2))</f>
        <v/>
      </c>
      <c r="U599" s="12" t="inlineStr">
        <is>
          <t>day</t>
        </is>
      </c>
      <c r="V599" s="12" t="inlineStr">
        <is>
          <t>Fire start date (DEC report)</t>
        </is>
      </c>
    </row>
    <row r="600">
      <c r="A600" s="12" t="n">
        <v>697</v>
      </c>
      <c r="B600" s="12" t="inlineStr">
        <is>
          <t>2024-11-17</t>
        </is>
      </c>
      <c r="C600" s="12" t="inlineStr">
        <is>
          <t>2024-11-23</t>
        </is>
      </c>
      <c r="D600" s="12">
        <f>VALUE(LEFT(B600,4))</f>
        <v/>
      </c>
      <c r="E600" s="12">
        <f>INT((D600-1)/100)+1</f>
        <v/>
      </c>
      <c r="F600" s="12" t="inlineStr">
        <is>
          <t>Wildfire</t>
        </is>
      </c>
      <c r="G600" s="12" t="inlineStr">
        <is>
          <t>Pople Hill Fire — wildfire, 17 acres, Rochester (Ulster Co.)</t>
        </is>
      </c>
      <c r="H600" s="12" t="inlineStr">
        <is>
          <t>Rochester, Ulster County; Forest Preserve — Sundown Wild Forest</t>
        </is>
      </c>
      <c r="I600" s="12" t="inlineStr">
        <is>
          <t>17 acres; cause Miscellaneous; fuel 7 - Brush - Understory</t>
        </is>
      </c>
      <c r="J600" s="12" t="inlineStr">
        <is>
          <t>41.88598, -74.36643</t>
        </is>
      </c>
      <c r="K600" s="12" t="inlineStr">
        <is>
          <t>No losses reported</t>
        </is>
      </c>
      <c r="L600" s="12" t="inlineStr">
        <is>
          <t>NYSDEC Forest Ranger Wildland Fire Reporting Database (Beginning 2008), data.ny.gov export 2026-09-28</t>
        </is>
      </c>
      <c r="M600" s="12" t="inlineStr">
        <is>
          <t>https://data.ny.gov/</t>
        </is>
      </c>
      <c r="N600" s="12" t="inlineStr">
        <is>
          <t>A</t>
        </is>
      </c>
      <c r="O600" s="12" t="inlineStr">
        <is>
          <t>Y</t>
        </is>
      </c>
      <c r="P600" s="12" t="inlineStr">
        <is>
          <t>2026-09-28 (v970, atlas session): bulk ingest per Laurie; fire number NYS-2024-0186; matching 🔥 pin on Natural History.</t>
        </is>
      </c>
      <c r="Q600" s="12" t="inlineStr">
        <is>
          <t>2024-11-17</t>
        </is>
      </c>
      <c r="R600" s="12">
        <f>VALUE(LEFT(Q600,4))</f>
        <v/>
      </c>
      <c r="S600" s="12">
        <f>VALUE(MID(Q600,6,2))</f>
        <v/>
      </c>
      <c r="T600" s="12">
        <f>VALUE(RIGHT(Q600,2))</f>
        <v/>
      </c>
      <c r="U600" s="12" t="inlineStr">
        <is>
          <t>day</t>
        </is>
      </c>
      <c r="V600" s="12" t="inlineStr">
        <is>
          <t>Fire start date (DEC report)</t>
        </is>
      </c>
    </row>
    <row r="601">
      <c r="A601" s="12" t="n">
        <v>699</v>
      </c>
      <c r="B601" s="12" t="inlineStr">
        <is>
          <t>2008-04-16</t>
        </is>
      </c>
      <c r="C601" s="12" t="inlineStr">
        <is>
          <t>2008-04-17</t>
        </is>
      </c>
      <c r="D601" s="12">
        <f>VALUE(LEFT(B601,4))</f>
        <v/>
      </c>
      <c r="E601" s="12">
        <f>INT((D601-1)/100)+1</f>
        <v/>
      </c>
      <c r="F601" s="12" t="inlineStr">
        <is>
          <t>Wildfire</t>
        </is>
      </c>
      <c r="G601" s="12" t="inlineStr">
        <is>
          <t>Plattekill Fire — wildfire, 15 acres, Plattekill (Ulster Co.)</t>
        </is>
      </c>
      <c r="H601" s="12" t="inlineStr">
        <is>
          <t>Plattekill, Ulster County; Other Government</t>
        </is>
      </c>
      <c r="I601" s="12" t="inlineStr">
        <is>
          <t>15 acres; cause Power line; fuel 9 - Timber - Medium Hardwood Litter</t>
        </is>
      </c>
      <c r="J601" s="12" t="inlineStr">
        <is>
          <t>41.61077, -74.03539</t>
        </is>
      </c>
      <c r="K601" s="12" t="inlineStr">
        <is>
          <t>No losses reported</t>
        </is>
      </c>
      <c r="L601" s="12" t="inlineStr">
        <is>
          <t>NYSDEC Forest Ranger Wildland Fire Reporting Database (Beginning 2008), data.ny.gov export 2026-09-28</t>
        </is>
      </c>
      <c r="M601" s="12" t="inlineStr">
        <is>
          <t>https://data.ny.gov/</t>
        </is>
      </c>
      <c r="N601" s="12" t="inlineStr">
        <is>
          <t>A</t>
        </is>
      </c>
      <c r="O601" s="12" t="inlineStr">
        <is>
          <t>Y</t>
        </is>
      </c>
      <c r="P601" s="12" t="inlineStr">
        <is>
          <t>2026-09-28 (v970, atlas session): bulk ingest per Laurie; fire number NYS-2008-0030; matching 🔥 pin on Natural History.</t>
        </is>
      </c>
      <c r="Q601" s="12" t="inlineStr">
        <is>
          <t>2008-04-16</t>
        </is>
      </c>
      <c r="R601" s="12">
        <f>VALUE(LEFT(Q601,4))</f>
        <v/>
      </c>
      <c r="S601" s="12">
        <f>VALUE(MID(Q601,6,2))</f>
        <v/>
      </c>
      <c r="T601" s="12">
        <f>VALUE(RIGHT(Q601,2))</f>
        <v/>
      </c>
      <c r="U601" s="12" t="inlineStr">
        <is>
          <t>day</t>
        </is>
      </c>
      <c r="V601" s="12" t="inlineStr">
        <is>
          <t>Fire start date (DEC report)</t>
        </is>
      </c>
    </row>
    <row r="602">
      <c r="A602" s="12" t="n">
        <v>700</v>
      </c>
      <c r="B602" s="12" t="inlineStr">
        <is>
          <t>2012-04-08</t>
        </is>
      </c>
      <c r="C602" s="12" t="inlineStr">
        <is>
          <t>2012-04-10</t>
        </is>
      </c>
      <c r="D602" s="12">
        <f>VALUE(LEFT(B602,4))</f>
        <v/>
      </c>
      <c r="E602" s="12">
        <f>INT((D602-1)/100)+1</f>
        <v/>
      </c>
      <c r="F602" s="12" t="inlineStr">
        <is>
          <t>Wildfire</t>
        </is>
      </c>
      <c r="G602" s="12" t="inlineStr">
        <is>
          <t>Davos Fire — wildfire, 3.1 acres, Fallsburgh (Sullivan Co.)</t>
        </is>
      </c>
      <c r="H602" s="12" t="inlineStr">
        <is>
          <t>Fallsburgh, Sullivan County; Private Property</t>
        </is>
      </c>
      <c r="I602" s="12" t="inlineStr">
        <is>
          <t>3.1 acres; cause Miscellaneous; fuel 8 - Timber - Light Hardwood Litter</t>
        </is>
      </c>
      <c r="J602" s="12" t="inlineStr">
        <is>
          <t>41.69533, -74.58403</t>
        </is>
      </c>
      <c r="K602" s="12" t="inlineStr">
        <is>
          <t>Other Structures Lost: 1</t>
        </is>
      </c>
      <c r="L602" s="12" t="inlineStr">
        <is>
          <t>NYSDEC Forest Ranger Wildland Fire Reporting Database (Beginning 2008), data.ny.gov export 2026-09-28</t>
        </is>
      </c>
      <c r="M602" s="12" t="inlineStr">
        <is>
          <t>https://data.ny.gov/</t>
        </is>
      </c>
      <c r="N602" s="12" t="inlineStr">
        <is>
          <t>A</t>
        </is>
      </c>
      <c r="O602" s="12" t="inlineStr">
        <is>
          <t>Y</t>
        </is>
      </c>
      <c r="P602" s="12" t="inlineStr">
        <is>
          <t>2026-09-28 (v970, atlas session): bulk ingest per Laurie; fire number NYS-2012-0077; matching 🔥 pin on Natural History.</t>
        </is>
      </c>
      <c r="Q602" s="12" t="inlineStr">
        <is>
          <t>2012-04-08</t>
        </is>
      </c>
      <c r="R602" s="12">
        <f>VALUE(LEFT(Q602,4))</f>
        <v/>
      </c>
      <c r="S602" s="12">
        <f>VALUE(MID(Q602,6,2))</f>
        <v/>
      </c>
      <c r="T602" s="12">
        <f>VALUE(RIGHT(Q602,2))</f>
        <v/>
      </c>
      <c r="U602" s="12" t="inlineStr">
        <is>
          <t>day</t>
        </is>
      </c>
      <c r="V602" s="12" t="inlineStr">
        <is>
          <t>Fire start date (DEC report)</t>
        </is>
      </c>
    </row>
    <row r="603">
      <c r="A603" s="12" t="n">
        <v>701</v>
      </c>
      <c r="B603" s="12" t="inlineStr">
        <is>
          <t>2010-04-05</t>
        </is>
      </c>
      <c r="C603" s="12" t="inlineStr">
        <is>
          <t>2010-04-05</t>
        </is>
      </c>
      <c r="D603" s="12">
        <f>VALUE(LEFT(B603,4))</f>
        <v/>
      </c>
      <c r="E603" s="12">
        <f>INT((D603-1)/100)+1</f>
        <v/>
      </c>
      <c r="F603" s="12" t="inlineStr">
        <is>
          <t>Wildfire</t>
        </is>
      </c>
      <c r="G603" s="12" t="inlineStr">
        <is>
          <t>Route 32 Fire — wildfire, 3 acres, Saugerties (Ulster Co.)</t>
        </is>
      </c>
      <c r="H603" s="12" t="inlineStr">
        <is>
          <t>Saugerties, Ulster County; Private Property</t>
        </is>
      </c>
      <c r="I603" s="12" t="inlineStr">
        <is>
          <t>3 acres; cause Incendiary; fuel 5 - Brush - Continuous but Light</t>
        </is>
      </c>
      <c r="J603" s="12" t="inlineStr">
        <is>
          <t>42.10345, -73.96549</t>
        </is>
      </c>
      <c r="K603" s="12" t="inlineStr">
        <is>
          <t>No losses reported</t>
        </is>
      </c>
      <c r="L603" s="12" t="inlineStr">
        <is>
          <t>NYSDEC Forest Ranger Wildland Fire Reporting Database (Beginning 2008), data.ny.gov export 2026-09-28</t>
        </is>
      </c>
      <c r="M603" s="12" t="inlineStr">
        <is>
          <t>https://data.ny.gov/</t>
        </is>
      </c>
      <c r="N603" s="12" t="inlineStr">
        <is>
          <t>A</t>
        </is>
      </c>
      <c r="O603" s="12" t="inlineStr">
        <is>
          <t>Y</t>
        </is>
      </c>
      <c r="P603" s="12" t="inlineStr">
        <is>
          <t>2026-09-28 (v970, atlas session): bulk ingest per Laurie; fire number NYS-2010-0043; matching 🔥 pin on Natural History.</t>
        </is>
      </c>
      <c r="Q603" s="12" t="inlineStr">
        <is>
          <t>2010-04-05</t>
        </is>
      </c>
      <c r="R603" s="12">
        <f>VALUE(LEFT(Q603,4))</f>
        <v/>
      </c>
      <c r="S603" s="12">
        <f>VALUE(MID(Q603,6,2))</f>
        <v/>
      </c>
      <c r="T603" s="12">
        <f>VALUE(RIGHT(Q603,2))</f>
        <v/>
      </c>
      <c r="U603" s="12" t="inlineStr">
        <is>
          <t>day</t>
        </is>
      </c>
      <c r="V603" s="12" t="inlineStr">
        <is>
          <t>Fire start date (DEC report)</t>
        </is>
      </c>
    </row>
    <row r="604">
      <c r="A604" s="12" t="n">
        <v>702</v>
      </c>
      <c r="B604" s="12" t="inlineStr">
        <is>
          <t>2008-04-09</t>
        </is>
      </c>
      <c r="C604" s="12" t="inlineStr">
        <is>
          <t>2008-04-10</t>
        </is>
      </c>
      <c r="D604" s="12">
        <f>VALUE(LEFT(B604,4))</f>
        <v/>
      </c>
      <c r="E604" s="12">
        <f>INT((D604-1)/100)+1</f>
        <v/>
      </c>
      <c r="F604" s="12" t="inlineStr">
        <is>
          <t>Wildfire</t>
        </is>
      </c>
      <c r="G604" s="12" t="inlineStr">
        <is>
          <t>LaFayetteville MUA Fire — wildfire, 45.9 acres, Milan (Dutchess Co.)</t>
        </is>
      </c>
      <c r="H604" s="12" t="inlineStr">
        <is>
          <t>Milan, Dutchess County; State Forest/RF Area — LaFayetteville MUA</t>
        </is>
      </c>
      <c r="I604" s="12" t="inlineStr">
        <is>
          <t>45.9 acres; cause Debris Burning; fuel 9 - Timber - Medium Hardwood Litter</t>
        </is>
      </c>
      <c r="J604" s="12" t="inlineStr">
        <is>
          <t>41.97197, -73.74590</t>
        </is>
      </c>
      <c r="K604" s="12" t="inlineStr">
        <is>
          <t>No losses reported</t>
        </is>
      </c>
      <c r="L604" s="12" t="inlineStr">
        <is>
          <t>NYSDEC Forest Ranger Wildland Fire Reporting Database (Beginning 2008), data.ny.gov export 2026-09-28</t>
        </is>
      </c>
      <c r="M604" s="12" t="inlineStr">
        <is>
          <t>https://data.ny.gov/</t>
        </is>
      </c>
      <c r="N604" s="12" t="inlineStr">
        <is>
          <t>A</t>
        </is>
      </c>
      <c r="O604" s="12" t="inlineStr">
        <is>
          <t>Y</t>
        </is>
      </c>
      <c r="P604" s="12" t="inlineStr">
        <is>
          <t>2026-09-28 (v970, atlas session): bulk ingest per Laurie; fire number NYS-2008-0015; matching 🔥 pin on Natural History.</t>
        </is>
      </c>
      <c r="Q604" s="12" t="inlineStr">
        <is>
          <t>2008-04-09</t>
        </is>
      </c>
      <c r="R604" s="12">
        <f>VALUE(LEFT(Q604,4))</f>
        <v/>
      </c>
      <c r="S604" s="12">
        <f>VALUE(MID(Q604,6,2))</f>
        <v/>
      </c>
      <c r="T604" s="12">
        <f>VALUE(RIGHT(Q604,2))</f>
        <v/>
      </c>
      <c r="U604" s="12" t="inlineStr">
        <is>
          <t>day</t>
        </is>
      </c>
      <c r="V604" s="12" t="inlineStr">
        <is>
          <t>Fire start date (DEC report)</t>
        </is>
      </c>
    </row>
    <row r="605">
      <c r="A605" s="12" t="n">
        <v>703</v>
      </c>
      <c r="B605" s="12" t="inlineStr">
        <is>
          <t>2019-04-03</t>
        </is>
      </c>
      <c r="C605" s="12" t="inlineStr">
        <is>
          <t>2019-04-04</t>
        </is>
      </c>
      <c r="D605" s="12">
        <f>VALUE(LEFT(B605,4))</f>
        <v/>
      </c>
      <c r="E605" s="12">
        <f>INT((D605-1)/100)+1</f>
        <v/>
      </c>
      <c r="F605" s="12" t="inlineStr">
        <is>
          <t>Wildfire</t>
        </is>
      </c>
      <c r="G605" s="12" t="inlineStr">
        <is>
          <t>Cole Hollow Fire — wildfire, 17.5 acres, Blenheim (Schoharie Co.)</t>
        </is>
      </c>
      <c r="H605" s="12" t="inlineStr">
        <is>
          <t>Blenheim, Schoharie County; Private Property</t>
        </is>
      </c>
      <c r="I605" s="12" t="inlineStr">
        <is>
          <t>17.5 acres; cause Structure; fuel 9 - Timber - Medium Hardwood Litter</t>
        </is>
      </c>
      <c r="J605" s="12" t="inlineStr">
        <is>
          <t>42.51387, -74.46133</t>
        </is>
      </c>
      <c r="K605" s="12" t="inlineStr">
        <is>
          <t>Homes Threatened: 1; Other Structures Lost: 1</t>
        </is>
      </c>
      <c r="L605" s="12" t="inlineStr">
        <is>
          <t>NYSDEC Forest Ranger Wildland Fire Reporting Database (Beginning 2008), data.ny.gov export 2026-09-28</t>
        </is>
      </c>
      <c r="M605" s="12" t="inlineStr">
        <is>
          <t>https://data.ny.gov/</t>
        </is>
      </c>
      <c r="N605" s="12" t="inlineStr">
        <is>
          <t>A</t>
        </is>
      </c>
      <c r="O605" s="12" t="inlineStr">
        <is>
          <t>Y</t>
        </is>
      </c>
      <c r="P605" s="12" t="inlineStr">
        <is>
          <t>2026-09-28 (v970, atlas session): bulk ingest per Laurie; fire number NYS-2019-0025; matching 🔥 pin on Natural History.</t>
        </is>
      </c>
      <c r="Q605" s="12" t="inlineStr">
        <is>
          <t>2019-04-03</t>
        </is>
      </c>
      <c r="R605" s="12">
        <f>VALUE(LEFT(Q605,4))</f>
        <v/>
      </c>
      <c r="S605" s="12">
        <f>VALUE(MID(Q605,6,2))</f>
        <v/>
      </c>
      <c r="T605" s="12">
        <f>VALUE(RIGHT(Q605,2))</f>
        <v/>
      </c>
      <c r="U605" s="12" t="inlineStr">
        <is>
          <t>day</t>
        </is>
      </c>
      <c r="V605" s="12" t="inlineStr">
        <is>
          <t>Fire start date (DEC report)</t>
        </is>
      </c>
    </row>
    <row r="606">
      <c r="A606" s="12" t="n">
        <v>704</v>
      </c>
      <c r="B606" s="12" t="inlineStr">
        <is>
          <t>2008-04-18</t>
        </is>
      </c>
      <c r="C606" s="12" t="inlineStr">
        <is>
          <t>2008-04-18</t>
        </is>
      </c>
      <c r="D606" s="12">
        <f>VALUE(LEFT(B606,4))</f>
        <v/>
      </c>
      <c r="E606" s="12">
        <f>INT((D606-1)/100)+1</f>
        <v/>
      </c>
      <c r="F606" s="12" t="inlineStr">
        <is>
          <t>Wildfire</t>
        </is>
      </c>
      <c r="G606" s="12" t="inlineStr">
        <is>
          <t>Union Vale — wildfire, 0.1 acres, Union Vale (Dutchess Co.)</t>
        </is>
      </c>
      <c r="H606" s="12" t="inlineStr">
        <is>
          <t>Union Vale, Dutchess County; Other Not Classified</t>
        </is>
      </c>
      <c r="I606" s="12" t="inlineStr">
        <is>
          <t>0.1 acres; cause Equipment; fuel 1 - Grass - Light</t>
        </is>
      </c>
      <c r="J606" s="12" t="inlineStr">
        <is>
          <t>41.72495, -73.73302</t>
        </is>
      </c>
      <c r="K606" s="12" t="inlineStr">
        <is>
          <t>No losses reported</t>
        </is>
      </c>
      <c r="L606" s="12" t="inlineStr">
        <is>
          <t>NYSDEC Forest Ranger Wildland Fire Reporting Database (Beginning 2008), data.ny.gov export 2026-09-28</t>
        </is>
      </c>
      <c r="M606" s="12" t="inlineStr">
        <is>
          <t>https://data.ny.gov/</t>
        </is>
      </c>
      <c r="N606" s="12" t="inlineStr">
        <is>
          <t>A</t>
        </is>
      </c>
      <c r="O606" s="12" t="inlineStr">
        <is>
          <t>Y</t>
        </is>
      </c>
      <c r="P606" s="12" t="inlineStr">
        <is>
          <t>2026-09-28 (v970, atlas session): bulk ingest per Laurie; fire number NYS-2008-0061; matching 🔥 pin on Natural History.</t>
        </is>
      </c>
      <c r="Q606" s="12" t="inlineStr">
        <is>
          <t>2008-04-18</t>
        </is>
      </c>
      <c r="R606" s="12">
        <f>VALUE(LEFT(Q606,4))</f>
        <v/>
      </c>
      <c r="S606" s="12">
        <f>VALUE(MID(Q606,6,2))</f>
        <v/>
      </c>
      <c r="T606" s="12">
        <f>VALUE(RIGHT(Q606,2))</f>
        <v/>
      </c>
      <c r="U606" s="12" t="inlineStr">
        <is>
          <t>day</t>
        </is>
      </c>
      <c r="V606" s="12" t="inlineStr">
        <is>
          <t>Fire start date (DEC report)</t>
        </is>
      </c>
    </row>
    <row r="607">
      <c r="A607" s="12" t="n">
        <v>707</v>
      </c>
      <c r="B607" s="12" t="inlineStr">
        <is>
          <t>2015-04-13</t>
        </is>
      </c>
      <c r="C607" s="12" t="inlineStr">
        <is>
          <t>2015-04-13</t>
        </is>
      </c>
      <c r="D607" s="12">
        <f>VALUE(LEFT(B607,4))</f>
        <v/>
      </c>
      <c r="E607" s="12">
        <f>INT((D607-1)/100)+1</f>
        <v/>
      </c>
      <c r="F607" s="12" t="inlineStr">
        <is>
          <t>Wildfire</t>
        </is>
      </c>
      <c r="G607" s="12" t="inlineStr">
        <is>
          <t>Yard fire — wildfire, 3.5 acres, Gardiner (Ulster Co.)</t>
        </is>
      </c>
      <c r="H607" s="12" t="inlineStr">
        <is>
          <t>Gardiner, Ulster County; Private Property</t>
        </is>
      </c>
      <c r="I607" s="12" t="inlineStr">
        <is>
          <t>3.5 acres; cause Debris Burning; fuel 7 - Brush - Understory</t>
        </is>
      </c>
      <c r="J607" s="12" t="inlineStr">
        <is>
          <t>41.65065, -74.16692</t>
        </is>
      </c>
      <c r="K607" s="12" t="inlineStr">
        <is>
          <t>No losses reported</t>
        </is>
      </c>
      <c r="L607" s="12" t="inlineStr">
        <is>
          <t>NYSDEC Forest Ranger Wildland Fire Reporting Database (Beginning 2008), data.ny.gov export 2026-09-28</t>
        </is>
      </c>
      <c r="M607" s="12" t="inlineStr">
        <is>
          <t>https://data.ny.gov/</t>
        </is>
      </c>
      <c r="N607" s="12" t="inlineStr">
        <is>
          <t>A</t>
        </is>
      </c>
      <c r="O607" s="12" t="inlineStr">
        <is>
          <t>Y</t>
        </is>
      </c>
      <c r="P607" s="12" t="inlineStr">
        <is>
          <t>2026-09-28 (v970, atlas session): bulk ingest per Laurie; fire number NYS-2015-0011; matching 🔥 pin on Natural History.</t>
        </is>
      </c>
      <c r="Q607" s="12" t="inlineStr">
        <is>
          <t>2015-04-13</t>
        </is>
      </c>
      <c r="R607" s="12">
        <f>VALUE(LEFT(Q607,4))</f>
        <v/>
      </c>
      <c r="S607" s="12">
        <f>VALUE(MID(Q607,6,2))</f>
        <v/>
      </c>
      <c r="T607" s="12">
        <f>VALUE(RIGHT(Q607,2))</f>
        <v/>
      </c>
      <c r="U607" s="12" t="inlineStr">
        <is>
          <t>day</t>
        </is>
      </c>
      <c r="V607" s="12" t="inlineStr">
        <is>
          <t>Fire start date (DEC report)</t>
        </is>
      </c>
    </row>
    <row r="608">
      <c r="A608" s="12" t="n">
        <v>708</v>
      </c>
      <c r="B608" s="12" t="inlineStr">
        <is>
          <t>2021-04-05</t>
        </is>
      </c>
      <c r="C608" s="12" t="inlineStr">
        <is>
          <t>2021-04-06</t>
        </is>
      </c>
      <c r="D608" s="12">
        <f>VALUE(LEFT(B608,4))</f>
        <v/>
      </c>
      <c r="E608" s="12">
        <f>INT((D608-1)/100)+1</f>
        <v/>
      </c>
      <c r="F608" s="12" t="inlineStr">
        <is>
          <t>Wildfire</t>
        </is>
      </c>
      <c r="G608" s="12" t="inlineStr">
        <is>
          <t>Pine Kill Rd Fire — wildfire, 10.9 acres, Mamakating (Sullivan Co.)</t>
        </is>
      </c>
      <c r="H608" s="12" t="inlineStr">
        <is>
          <t>Mamakating, Sullivan County; Private Property</t>
        </is>
      </c>
      <c r="I608" s="12" t="inlineStr">
        <is>
          <t>10.9 acres; cause Debris Burning; fuel 8 - Timber - Light Hardwood Litter</t>
        </is>
      </c>
      <c r="J608" s="12" t="inlineStr">
        <is>
          <t>41.52050, -74.57983</t>
        </is>
      </c>
      <c r="K608" s="12" t="inlineStr">
        <is>
          <t>No losses reported</t>
        </is>
      </c>
      <c r="L608" s="12" t="inlineStr">
        <is>
          <t>NYSDEC Forest Ranger Wildland Fire Reporting Database (Beginning 2008), data.ny.gov export 2026-09-28</t>
        </is>
      </c>
      <c r="M608" s="12" t="inlineStr">
        <is>
          <t>https://data.ny.gov/</t>
        </is>
      </c>
      <c r="N608" s="12" t="inlineStr">
        <is>
          <t>A</t>
        </is>
      </c>
      <c r="O608" s="12" t="inlineStr">
        <is>
          <t>Y</t>
        </is>
      </c>
      <c r="P608" s="12" t="inlineStr">
        <is>
          <t>2026-09-28 (v970, atlas session): bulk ingest per Laurie; fire number NYS-2021-0050; matching 🔥 pin on Natural History.</t>
        </is>
      </c>
      <c r="Q608" s="12" t="inlineStr">
        <is>
          <t>2021-04-05</t>
        </is>
      </c>
      <c r="R608" s="12">
        <f>VALUE(LEFT(Q608,4))</f>
        <v/>
      </c>
      <c r="S608" s="12">
        <f>VALUE(MID(Q608,6,2))</f>
        <v/>
      </c>
      <c r="T608" s="12">
        <f>VALUE(RIGHT(Q608,2))</f>
        <v/>
      </c>
      <c r="U608" s="12" t="inlineStr">
        <is>
          <t>day</t>
        </is>
      </c>
      <c r="V608" s="12" t="inlineStr">
        <is>
          <t>Fire start date (DEC report)</t>
        </is>
      </c>
    </row>
    <row r="609">
      <c r="A609" s="12" t="n">
        <v>709</v>
      </c>
      <c r="B609" s="12" t="inlineStr">
        <is>
          <t>2023-05-13</t>
        </is>
      </c>
      <c r="C609" s="12" t="inlineStr">
        <is>
          <t>2023-05-17</t>
        </is>
      </c>
      <c r="D609" s="12">
        <f>VALUE(LEFT(B609,4))</f>
        <v/>
      </c>
      <c r="E609" s="12">
        <f>INT((D609-1)/100)+1</f>
        <v/>
      </c>
      <c r="F609" s="12" t="inlineStr">
        <is>
          <t>Wildfire</t>
        </is>
      </c>
      <c r="G609" s="12" t="inlineStr">
        <is>
          <t>Fulton Wildfire — wildfire, 9 acres, Fulton (Schoharie Co.)</t>
        </is>
      </c>
      <c r="H609" s="12" t="inlineStr">
        <is>
          <t>Fulton, Schoharie County; Private Property</t>
        </is>
      </c>
      <c r="I609" s="12" t="inlineStr">
        <is>
          <t>9 acres; cause Debris Burning; fuel 9 - Timber - Medium Hardwood Litter</t>
        </is>
      </c>
      <c r="J609" s="12" t="inlineStr">
        <is>
          <t>42.59679, -74.47602</t>
        </is>
      </c>
      <c r="K609" s="12" t="inlineStr">
        <is>
          <t>No losses reported</t>
        </is>
      </c>
      <c r="L609" s="12" t="inlineStr">
        <is>
          <t>NYSDEC Forest Ranger Wildland Fire Reporting Database (Beginning 2008), data.ny.gov export 2026-09-28</t>
        </is>
      </c>
      <c r="M609" s="12" t="inlineStr">
        <is>
          <t>https://data.ny.gov/</t>
        </is>
      </c>
      <c r="N609" s="12" t="inlineStr">
        <is>
          <t>A</t>
        </is>
      </c>
      <c r="O609" s="12" t="inlineStr">
        <is>
          <t>Y</t>
        </is>
      </c>
      <c r="P609" s="12" t="inlineStr">
        <is>
          <t>2026-09-28 (v970, atlas session): bulk ingest per Laurie; fire number NYS-2023-0108; matching 🔥 pin on Natural History.</t>
        </is>
      </c>
      <c r="Q609" s="12" t="inlineStr">
        <is>
          <t>2023-05-13</t>
        </is>
      </c>
      <c r="R609" s="12">
        <f>VALUE(LEFT(Q609,4))</f>
        <v/>
      </c>
      <c r="S609" s="12">
        <f>VALUE(MID(Q609,6,2))</f>
        <v/>
      </c>
      <c r="T609" s="12">
        <f>VALUE(RIGHT(Q609,2))</f>
        <v/>
      </c>
      <c r="U609" s="12" t="inlineStr">
        <is>
          <t>day</t>
        </is>
      </c>
      <c r="V609" s="12" t="inlineStr">
        <is>
          <t>Fire start date (DEC report)</t>
        </is>
      </c>
    </row>
    <row r="610">
      <c r="A610" s="12" t="n">
        <v>710</v>
      </c>
      <c r="B610" s="12" t="inlineStr">
        <is>
          <t>2024-11-08</t>
        </is>
      </c>
      <c r="C610" s="12" t="inlineStr">
        <is>
          <t>2024-11-12</t>
        </is>
      </c>
      <c r="D610" s="12">
        <f>VALUE(LEFT(B610,4))</f>
        <v/>
      </c>
      <c r="E610" s="12">
        <f>INT((D610-1)/100)+1</f>
        <v/>
      </c>
      <c r="F610" s="12" t="inlineStr">
        <is>
          <t>Wildfire</t>
        </is>
      </c>
      <c r="G610" s="12" t="inlineStr">
        <is>
          <t>Hemlock Rd. Fire — wildfire, 1.6 acres, Austerlitz (Columbia Co.)</t>
        </is>
      </c>
      <c r="H610" s="12" t="inlineStr">
        <is>
          <t>Austerlitz, Columbia County; Private Property</t>
        </is>
      </c>
      <c r="I610" s="12" t="inlineStr">
        <is>
          <t>1.6 acres; cause Power line; fuel 8 - Timber - Light Hardwood Litter</t>
        </is>
      </c>
      <c r="J610" s="12" t="inlineStr">
        <is>
          <t>42.32073, -73.51035</t>
        </is>
      </c>
      <c r="K610" s="12" t="inlineStr">
        <is>
          <t>No losses reported</t>
        </is>
      </c>
      <c r="L610" s="12" t="inlineStr">
        <is>
          <t>NYSDEC Forest Ranger Wildland Fire Reporting Database (Beginning 2008), data.ny.gov export 2026-09-28</t>
        </is>
      </c>
      <c r="M610" s="12" t="inlineStr">
        <is>
          <t>https://data.ny.gov/</t>
        </is>
      </c>
      <c r="N610" s="12" t="inlineStr">
        <is>
          <t>A</t>
        </is>
      </c>
      <c r="O610" s="12" t="inlineStr">
        <is>
          <t>Y</t>
        </is>
      </c>
      <c r="P610" s="12" t="inlineStr">
        <is>
          <t>2026-09-28 (v970, atlas session): bulk ingest per Laurie; fire number NYS-2024-0175; matching 🔥 pin on Natural History.</t>
        </is>
      </c>
      <c r="Q610" s="12" t="inlineStr">
        <is>
          <t>2024-11-08</t>
        </is>
      </c>
      <c r="R610" s="12">
        <f>VALUE(LEFT(Q610,4))</f>
        <v/>
      </c>
      <c r="S610" s="12">
        <f>VALUE(MID(Q610,6,2))</f>
        <v/>
      </c>
      <c r="T610" s="12">
        <f>VALUE(RIGHT(Q610,2))</f>
        <v/>
      </c>
      <c r="U610" s="12" t="inlineStr">
        <is>
          <t>day</t>
        </is>
      </c>
      <c r="V610" s="12" t="inlineStr">
        <is>
          <t>Fire start date (DEC report)</t>
        </is>
      </c>
    </row>
    <row r="611">
      <c r="A611" s="12" t="n">
        <v>711</v>
      </c>
      <c r="B611" s="12" t="inlineStr">
        <is>
          <t>2022-04-24</t>
        </is>
      </c>
      <c r="C611" s="12" t="inlineStr">
        <is>
          <t>2022-04-24</t>
        </is>
      </c>
      <c r="D611" s="12">
        <f>VALUE(LEFT(B611,4))</f>
        <v/>
      </c>
      <c r="E611" s="12">
        <f>INT((D611-1)/100)+1</f>
        <v/>
      </c>
      <c r="F611" s="12" t="inlineStr">
        <is>
          <t>Wildfire</t>
        </is>
      </c>
      <c r="G611" s="12" t="inlineStr">
        <is>
          <t>Sweetwater Wildfire — wildfire, 1 acres, Catskill (Greene Co.)</t>
        </is>
      </c>
      <c r="H611" s="12" t="inlineStr">
        <is>
          <t>Catskill, Greene County; Private Property — n/a</t>
        </is>
      </c>
      <c r="I611" s="12" t="inlineStr">
        <is>
          <t>1 acres; cause Structure; fuel 8 - Timber - Light Hardwood Litter</t>
        </is>
      </c>
      <c r="J611" s="12" t="inlineStr">
        <is>
          <t>42.24697, -73.99352</t>
        </is>
      </c>
      <c r="K611" s="12" t="inlineStr">
        <is>
          <t>No losses reported</t>
        </is>
      </c>
      <c r="L611" s="12" t="inlineStr">
        <is>
          <t>NYSDEC Forest Ranger Wildland Fire Reporting Database (Beginning 2008), data.ny.gov export 2026-09-28</t>
        </is>
      </c>
      <c r="M611" s="12" t="inlineStr">
        <is>
          <t>https://data.ny.gov/</t>
        </is>
      </c>
      <c r="N611" s="12" t="inlineStr">
        <is>
          <t>A</t>
        </is>
      </c>
      <c r="O611" s="12" t="inlineStr">
        <is>
          <t>Y</t>
        </is>
      </c>
      <c r="P611" s="12" t="inlineStr">
        <is>
          <t>2026-09-28 (v970, atlas session): bulk ingest per Laurie; fire number NYS-2022-0042; matching 🔥 pin on Natural History.</t>
        </is>
      </c>
      <c r="Q611" s="12" t="inlineStr">
        <is>
          <t>2022-04-24</t>
        </is>
      </c>
      <c r="R611" s="12">
        <f>VALUE(LEFT(Q611,4))</f>
        <v/>
      </c>
      <c r="S611" s="12">
        <f>VALUE(MID(Q611,6,2))</f>
        <v/>
      </c>
      <c r="T611" s="12">
        <f>VALUE(RIGHT(Q611,2))</f>
        <v/>
      </c>
      <c r="U611" s="12" t="inlineStr">
        <is>
          <t>day</t>
        </is>
      </c>
      <c r="V611" s="12" t="inlineStr">
        <is>
          <t>Fire start date (DEC report)</t>
        </is>
      </c>
    </row>
    <row r="612">
      <c r="A612" s="12" t="n">
        <v>713</v>
      </c>
      <c r="B612" s="12" t="inlineStr">
        <is>
          <t>2016-03-26</t>
        </is>
      </c>
      <c r="C612" s="12" t="inlineStr">
        <is>
          <t>2016-03-26</t>
        </is>
      </c>
      <c r="D612" s="12">
        <f>VALUE(LEFT(B612,4))</f>
        <v/>
      </c>
      <c r="E612" s="12">
        <f>INT((D612-1)/100)+1</f>
        <v/>
      </c>
      <c r="F612" s="12" t="inlineStr">
        <is>
          <t>Wildfire</t>
        </is>
      </c>
      <c r="G612" s="12" t="inlineStr">
        <is>
          <t>Bear Swamp Fire — wildfire, 21 acres, Windsor (Broome Co.)</t>
        </is>
      </c>
      <c r="H612" s="12" t="inlineStr">
        <is>
          <t>Windsor, Broome County; Private Property</t>
        </is>
      </c>
      <c r="I612" s="12" t="inlineStr">
        <is>
          <t>21 acres; cause Equipment; fuel 1 - Grass - Light</t>
        </is>
      </c>
      <c r="J612" s="12" t="inlineStr">
        <is>
          <t>41.99882, -75.61143</t>
        </is>
      </c>
      <c r="K612" s="12" t="inlineStr">
        <is>
          <t>No losses reported</t>
        </is>
      </c>
      <c r="L612" s="12" t="inlineStr">
        <is>
          <t>NYSDEC Forest Ranger Wildland Fire Reporting Database (Beginning 2008), data.ny.gov export 2026-09-28</t>
        </is>
      </c>
      <c r="M612" s="12" t="inlineStr">
        <is>
          <t>https://data.ny.gov/</t>
        </is>
      </c>
      <c r="N612" s="12" t="inlineStr">
        <is>
          <t>A</t>
        </is>
      </c>
      <c r="O612" s="12" t="inlineStr">
        <is>
          <t>Y</t>
        </is>
      </c>
      <c r="P612" s="12" t="inlineStr">
        <is>
          <t>2026-09-28 (v970, atlas session): bulk ingest per Laurie; fire number NYS-2016-0025; matching 🔥 pin on Natural History.</t>
        </is>
      </c>
      <c r="Q612" s="12" t="inlineStr">
        <is>
          <t>2016-03-26</t>
        </is>
      </c>
      <c r="R612" s="12">
        <f>VALUE(LEFT(Q612,4))</f>
        <v/>
      </c>
      <c r="S612" s="12">
        <f>VALUE(MID(Q612,6,2))</f>
        <v/>
      </c>
      <c r="T612" s="12">
        <f>VALUE(RIGHT(Q612,2))</f>
        <v/>
      </c>
      <c r="U612" s="12" t="inlineStr">
        <is>
          <t>day</t>
        </is>
      </c>
      <c r="V612" s="12" t="inlineStr">
        <is>
          <t>Fire start date (DEC report)</t>
        </is>
      </c>
    </row>
    <row r="613">
      <c r="A613" s="12" t="n">
        <v>714</v>
      </c>
      <c r="B613" s="12" t="inlineStr">
        <is>
          <t>2014-04-19</t>
        </is>
      </c>
      <c r="C613" s="12" t="inlineStr">
        <is>
          <t>2014-04-19</t>
        </is>
      </c>
      <c r="D613" s="12">
        <f>VALUE(LEFT(B613,4))</f>
        <v/>
      </c>
      <c r="E613" s="12">
        <f>INT((D613-1)/100)+1</f>
        <v/>
      </c>
      <c r="F613" s="12" t="inlineStr">
        <is>
          <t>Wildfire</t>
        </is>
      </c>
      <c r="G613" s="12" t="inlineStr">
        <is>
          <t>183dillrd — wildfire, 1 acres, Forestburgh (Sullivan Co.)</t>
        </is>
      </c>
      <c r="H613" s="12" t="inlineStr">
        <is>
          <t>Forestburgh, Sullivan County; Private Property</t>
        </is>
      </c>
      <c r="I613" s="12" t="inlineStr">
        <is>
          <t>1 acres; cause Debris Burning; fuel 1 - Grass - Light</t>
        </is>
      </c>
      <c r="J613" s="12" t="inlineStr">
        <is>
          <t>41.59551, -74.73080</t>
        </is>
      </c>
      <c r="K613" s="12" t="inlineStr">
        <is>
          <t>No losses reported</t>
        </is>
      </c>
      <c r="L613" s="12" t="inlineStr">
        <is>
          <t>NYSDEC Forest Ranger Wildland Fire Reporting Database (Beginning 2008), data.ny.gov export 2026-09-28</t>
        </is>
      </c>
      <c r="M613" s="12" t="inlineStr">
        <is>
          <t>https://data.ny.gov/</t>
        </is>
      </c>
      <c r="N613" s="12" t="inlineStr">
        <is>
          <t>A</t>
        </is>
      </c>
      <c r="O613" s="12" t="inlineStr">
        <is>
          <t>Y</t>
        </is>
      </c>
      <c r="P613" s="12" t="inlineStr">
        <is>
          <t>2026-09-28 (v970, atlas session): bulk ingest per Laurie; fire number NYS-2014-0044; matching 🔥 pin on Natural History.</t>
        </is>
      </c>
      <c r="Q613" s="12" t="inlineStr">
        <is>
          <t>2014-04-19</t>
        </is>
      </c>
      <c r="R613" s="12">
        <f>VALUE(LEFT(Q613,4))</f>
        <v/>
      </c>
      <c r="S613" s="12">
        <f>VALUE(MID(Q613,6,2))</f>
        <v/>
      </c>
      <c r="T613" s="12">
        <f>VALUE(RIGHT(Q613,2))</f>
        <v/>
      </c>
      <c r="U613" s="12" t="inlineStr">
        <is>
          <t>day</t>
        </is>
      </c>
      <c r="V613" s="12" t="inlineStr">
        <is>
          <t>Fire start date (DEC report)</t>
        </is>
      </c>
    </row>
    <row r="614">
      <c r="A614" s="12" t="n">
        <v>715</v>
      </c>
      <c r="B614" s="12" t="inlineStr">
        <is>
          <t>2022-04-15</t>
        </is>
      </c>
      <c r="C614" s="12" t="inlineStr">
        <is>
          <t>2022-04-16</t>
        </is>
      </c>
      <c r="D614" s="12">
        <f>VALUE(LEFT(B614,4))</f>
        <v/>
      </c>
      <c r="E614" s="12">
        <f>INT((D614-1)/100)+1</f>
        <v/>
      </c>
      <c r="F614" s="12" t="inlineStr">
        <is>
          <t>Wildfire</t>
        </is>
      </c>
      <c r="G614" s="12" t="inlineStr">
        <is>
          <t>Samsonville — wildfire, 4 acres, Olive (Ulster Co.)</t>
        </is>
      </c>
      <c r="H614" s="12" t="inlineStr">
        <is>
          <t>Olive, Ulster County; Private Property</t>
        </is>
      </c>
      <c r="I614" s="12" t="inlineStr">
        <is>
          <t>4 acres; cause Power line; fuel 8 - Timber - Light Hardwood Litter</t>
        </is>
      </c>
      <c r="J614" s="12" t="inlineStr">
        <is>
          <t>41.89088, -74.24655</t>
        </is>
      </c>
      <c r="K614" s="12" t="inlineStr">
        <is>
          <t>No losses reported</t>
        </is>
      </c>
      <c r="L614" s="12" t="inlineStr">
        <is>
          <t>NYSDEC Forest Ranger Wildland Fire Reporting Database (Beginning 2008), data.ny.gov export 2026-09-28</t>
        </is>
      </c>
      <c r="M614" s="12" t="inlineStr">
        <is>
          <t>https://data.ny.gov/</t>
        </is>
      </c>
      <c r="N614" s="12" t="inlineStr">
        <is>
          <t>A</t>
        </is>
      </c>
      <c r="O614" s="12" t="inlineStr">
        <is>
          <t>Y</t>
        </is>
      </c>
      <c r="P614" s="12" t="inlineStr">
        <is>
          <t>2026-09-28 (v970, atlas session): bulk ingest per Laurie; fire number NYS-2022-0024; matching 🔥 pin on Natural History.</t>
        </is>
      </c>
      <c r="Q614" s="12" t="inlineStr">
        <is>
          <t>2022-04-15</t>
        </is>
      </c>
      <c r="R614" s="12">
        <f>VALUE(LEFT(Q614,4))</f>
        <v/>
      </c>
      <c r="S614" s="12">
        <f>VALUE(MID(Q614,6,2))</f>
        <v/>
      </c>
      <c r="T614" s="12">
        <f>VALUE(RIGHT(Q614,2))</f>
        <v/>
      </c>
      <c r="U614" s="12" t="inlineStr">
        <is>
          <t>day</t>
        </is>
      </c>
      <c r="V614" s="12" t="inlineStr">
        <is>
          <t>Fire start date (DEC report)</t>
        </is>
      </c>
    </row>
    <row r="615">
      <c r="A615" s="12" t="n">
        <v>716</v>
      </c>
      <c r="B615" s="12" t="inlineStr">
        <is>
          <t>2022-11-06</t>
        </is>
      </c>
      <c r="C615" s="12" t="inlineStr">
        <is>
          <t>2022-11-07</t>
        </is>
      </c>
      <c r="D615" s="12">
        <f>VALUE(LEFT(B615,4))</f>
        <v/>
      </c>
      <c r="E615" s="12">
        <f>INT((D615-1)/100)+1</f>
        <v/>
      </c>
      <c r="F615" s="12" t="inlineStr">
        <is>
          <t>Wildfire</t>
        </is>
      </c>
      <c r="G615" s="12" t="inlineStr">
        <is>
          <t>Elka Park Fire — wildfire, 2.8 acres, Hunter (Greene Co.)</t>
        </is>
      </c>
      <c r="H615" s="12" t="inlineStr">
        <is>
          <t>Hunter, Greene County; Private Property</t>
        </is>
      </c>
      <c r="I615" s="12" t="inlineStr">
        <is>
          <t>2.8 acres; cause Campfire; fuel 8 - Timber - Light Hardwood Litter</t>
        </is>
      </c>
      <c r="J615" s="12" t="inlineStr">
        <is>
          <t>42.17771, -74.11727</t>
        </is>
      </c>
      <c r="K615" s="12" t="inlineStr">
        <is>
          <t>No losses reported</t>
        </is>
      </c>
      <c r="L615" s="12" t="inlineStr">
        <is>
          <t>NYSDEC Forest Ranger Wildland Fire Reporting Database (Beginning 2008), data.ny.gov export 2026-09-28</t>
        </is>
      </c>
      <c r="M615" s="12" t="inlineStr">
        <is>
          <t>https://data.ny.gov/</t>
        </is>
      </c>
      <c r="N615" s="12" t="inlineStr">
        <is>
          <t>A</t>
        </is>
      </c>
      <c r="O615" s="12" t="inlineStr">
        <is>
          <t>Y</t>
        </is>
      </c>
      <c r="P615" s="12" t="inlineStr">
        <is>
          <t>2026-09-28 (v970, atlas session): bulk ingest per Laurie; fire number NYS-2022-0198; matching 🔥 pin on Natural History.</t>
        </is>
      </c>
      <c r="Q615" s="12" t="inlineStr">
        <is>
          <t>2022-11-06</t>
        </is>
      </c>
      <c r="R615" s="12">
        <f>VALUE(LEFT(Q615,4))</f>
        <v/>
      </c>
      <c r="S615" s="12">
        <f>VALUE(MID(Q615,6,2))</f>
        <v/>
      </c>
      <c r="T615" s="12">
        <f>VALUE(RIGHT(Q615,2))</f>
        <v/>
      </c>
      <c r="U615" s="12" t="inlineStr">
        <is>
          <t>day</t>
        </is>
      </c>
      <c r="V615" s="12" t="inlineStr">
        <is>
          <t>Fire start date (DEC report)</t>
        </is>
      </c>
    </row>
    <row r="616">
      <c r="A616" s="12" t="n">
        <v>717</v>
      </c>
      <c r="B616" s="12" t="inlineStr">
        <is>
          <t>2016-07-02</t>
        </is>
      </c>
      <c r="C616" s="12" t="inlineStr">
        <is>
          <t>2016-07-05</t>
        </is>
      </c>
      <c r="D616" s="12">
        <f>VALUE(LEFT(B616,4))</f>
        <v/>
      </c>
      <c r="E616" s="12">
        <f>INT((D616-1)/100)+1</f>
        <v/>
      </c>
      <c r="F616" s="12" t="inlineStr">
        <is>
          <t>Wildfire</t>
        </is>
      </c>
      <c r="G616" s="12" t="inlineStr">
        <is>
          <t>Brook St Fire — wildfire, 1 acres, Wawarsing (Ulster Co.)</t>
        </is>
      </c>
      <c r="H616" s="12" t="inlineStr">
        <is>
          <t>Wawarsing, Ulster County; Private Property</t>
        </is>
      </c>
      <c r="I616" s="12" t="inlineStr">
        <is>
          <t>1 acres; cause Lightning; fuel 6 - Brush - Mixed/Regeneration</t>
        </is>
      </c>
      <c r="J616" s="12" t="inlineStr">
        <is>
          <t>41.73248, -74.40097</t>
        </is>
      </c>
      <c r="K616" s="12" t="inlineStr">
        <is>
          <t>No losses reported</t>
        </is>
      </c>
      <c r="L616" s="12" t="inlineStr">
        <is>
          <t>NYSDEC Forest Ranger Wildland Fire Reporting Database (Beginning 2008), data.ny.gov export 2026-09-28</t>
        </is>
      </c>
      <c r="M616" s="12" t="inlineStr">
        <is>
          <t>https://data.ny.gov/</t>
        </is>
      </c>
      <c r="N616" s="12" t="inlineStr">
        <is>
          <t>A</t>
        </is>
      </c>
      <c r="O616" s="12" t="inlineStr">
        <is>
          <t>Y</t>
        </is>
      </c>
      <c r="P616" s="12" t="inlineStr">
        <is>
          <t>2026-09-28 (v970, atlas session): bulk ingest per Laurie; fire number NYS-2016-0124; matching 🔥 pin on Natural History.</t>
        </is>
      </c>
      <c r="Q616" s="12" t="inlineStr">
        <is>
          <t>2016-07-02</t>
        </is>
      </c>
      <c r="R616" s="12">
        <f>VALUE(LEFT(Q616,4))</f>
        <v/>
      </c>
      <c r="S616" s="12">
        <f>VALUE(MID(Q616,6,2))</f>
        <v/>
      </c>
      <c r="T616" s="12">
        <f>VALUE(RIGHT(Q616,2))</f>
        <v/>
      </c>
      <c r="U616" s="12" t="inlineStr">
        <is>
          <t>day</t>
        </is>
      </c>
      <c r="V616" s="12" t="inlineStr">
        <is>
          <t>Fire start date (DEC report)</t>
        </is>
      </c>
    </row>
    <row r="617">
      <c r="A617" s="12" t="n">
        <v>719</v>
      </c>
      <c r="B617" s="12" t="inlineStr">
        <is>
          <t>2014-05-04</t>
        </is>
      </c>
      <c r="C617" s="12" t="inlineStr">
        <is>
          <t>2014-05-06</t>
        </is>
      </c>
      <c r="D617" s="12">
        <f>VALUE(LEFT(B617,4))</f>
        <v/>
      </c>
      <c r="E617" s="12">
        <f>INT((D617-1)/100)+1</f>
        <v/>
      </c>
      <c r="F617" s="12" t="inlineStr">
        <is>
          <t>Wildfire</t>
        </is>
      </c>
      <c r="G617" s="12" t="inlineStr">
        <is>
          <t>Peekamoose Fire — wildfire, 9.8 acres, Denning (Ulster Co.)</t>
        </is>
      </c>
      <c r="H617" s="12" t="inlineStr">
        <is>
          <t>Denning, Ulster County; Forest Preserve — Sundown Wild Forest</t>
        </is>
      </c>
      <c r="I617" s="12" t="inlineStr">
        <is>
          <t>9.8 acres; cause Campfire; fuel 9 - Timber - Medium Hardwood Litter</t>
        </is>
      </c>
      <c r="J617" s="12" t="inlineStr">
        <is>
          <t>41.92453, -74.41316</t>
        </is>
      </c>
      <c r="K617" s="12" t="inlineStr">
        <is>
          <t>No losses reported</t>
        </is>
      </c>
      <c r="L617" s="12" t="inlineStr">
        <is>
          <t>NYSDEC Forest Ranger Wildland Fire Reporting Database (Beginning 2008), data.ny.gov export 2026-09-28</t>
        </is>
      </c>
      <c r="M617" s="12" t="inlineStr">
        <is>
          <t>https://data.ny.gov/</t>
        </is>
      </c>
      <c r="N617" s="12" t="inlineStr">
        <is>
          <t>A</t>
        </is>
      </c>
      <c r="O617" s="12" t="inlineStr">
        <is>
          <t>Y</t>
        </is>
      </c>
      <c r="P617" s="12" t="inlineStr">
        <is>
          <t>2026-09-28 (v970, atlas session): bulk ingest per Laurie; fire number NYS-2014-0076; matching 🔥 pin on Natural History.</t>
        </is>
      </c>
      <c r="Q617" s="12" t="inlineStr">
        <is>
          <t>2014-05-04</t>
        </is>
      </c>
      <c r="R617" s="12">
        <f>VALUE(LEFT(Q617,4))</f>
        <v/>
      </c>
      <c r="S617" s="12">
        <f>VALUE(MID(Q617,6,2))</f>
        <v/>
      </c>
      <c r="T617" s="12">
        <f>VALUE(RIGHT(Q617,2))</f>
        <v/>
      </c>
      <c r="U617" s="12" t="inlineStr">
        <is>
          <t>day</t>
        </is>
      </c>
      <c r="V617" s="12" t="inlineStr">
        <is>
          <t>Fire start date (DEC report)</t>
        </is>
      </c>
    </row>
    <row r="618">
      <c r="A618" s="12" t="n">
        <v>720</v>
      </c>
      <c r="B618" s="12" t="inlineStr">
        <is>
          <t>2022-11-05</t>
        </is>
      </c>
      <c r="C618" s="12" t="inlineStr">
        <is>
          <t>2022-11-11</t>
        </is>
      </c>
      <c r="D618" s="12">
        <f>VALUE(LEFT(B618,4))</f>
        <v/>
      </c>
      <c r="E618" s="12">
        <f>INT((D618-1)/100)+1</f>
        <v/>
      </c>
      <c r="F618" s="12" t="inlineStr">
        <is>
          <t>Wildfire</t>
        </is>
      </c>
      <c r="G618" s="12" t="inlineStr">
        <is>
          <t>JANSEN FIRE — wildfire, 8.5 acres, East Fishkill (Dutchess Co.)</t>
        </is>
      </c>
      <c r="H618" s="12" t="inlineStr">
        <is>
          <t>East Fishkill, Dutchess County; Private Property</t>
        </is>
      </c>
      <c r="I618" s="12" t="inlineStr">
        <is>
          <t>8.5 acres; cause Debris Burning; fuel 8 - Timber - Light Hardwood Litter</t>
        </is>
      </c>
      <c r="J618" s="12" t="inlineStr">
        <is>
          <t>41.51647, -73.67671</t>
        </is>
      </c>
      <c r="K618" s="12" t="inlineStr">
        <is>
          <t>No losses reported</t>
        </is>
      </c>
      <c r="L618" s="12" t="inlineStr">
        <is>
          <t>NYSDEC Forest Ranger Wildland Fire Reporting Database (Beginning 2008), data.ny.gov export 2026-09-28</t>
        </is>
      </c>
      <c r="M618" s="12" t="inlineStr">
        <is>
          <t>https://data.ny.gov/</t>
        </is>
      </c>
      <c r="N618" s="12" t="inlineStr">
        <is>
          <t>A</t>
        </is>
      </c>
      <c r="O618" s="12" t="inlineStr">
        <is>
          <t>Y</t>
        </is>
      </c>
      <c r="P618" s="12" t="inlineStr">
        <is>
          <t>2026-09-28 (v970, atlas session): bulk ingest per Laurie; fire number NYS-2022-0190; matching 🔥 pin on Natural History.</t>
        </is>
      </c>
      <c r="Q618" s="12" t="inlineStr">
        <is>
          <t>2022-11-05</t>
        </is>
      </c>
      <c r="R618" s="12">
        <f>VALUE(LEFT(Q618,4))</f>
        <v/>
      </c>
      <c r="S618" s="12">
        <f>VALUE(MID(Q618,6,2))</f>
        <v/>
      </c>
      <c r="T618" s="12">
        <f>VALUE(RIGHT(Q618,2))</f>
        <v/>
      </c>
      <c r="U618" s="12" t="inlineStr">
        <is>
          <t>day</t>
        </is>
      </c>
      <c r="V618" s="12" t="inlineStr">
        <is>
          <t>Fire start date (DEC report)</t>
        </is>
      </c>
    </row>
    <row r="619">
      <c r="A619" s="12" t="n">
        <v>721</v>
      </c>
      <c r="B619" s="12" t="inlineStr">
        <is>
          <t>2009-03-21</t>
        </is>
      </c>
      <c r="C619" s="12" t="inlineStr">
        <is>
          <t>2009-03-21</t>
        </is>
      </c>
      <c r="D619" s="12">
        <f>VALUE(LEFT(B619,4))</f>
        <v/>
      </c>
      <c r="E619" s="12">
        <f>INT((D619-1)/100)+1</f>
        <v/>
      </c>
      <c r="F619" s="12" t="inlineStr">
        <is>
          <t>Wildfire</t>
        </is>
      </c>
      <c r="G619" s="12" t="inlineStr">
        <is>
          <t>Drift Hill Road Fire — wildfire, 12.8 acres, Summit (Schoharie Co.)</t>
        </is>
      </c>
      <c r="H619" s="12" t="inlineStr">
        <is>
          <t>Summit, Schoharie County; Private Property</t>
        </is>
      </c>
      <c r="I619" s="12" t="inlineStr">
        <is>
          <t>12.8 acres; cause Incendiary; fuel 1 - Grass - Light</t>
        </is>
      </c>
      <c r="J619" s="12" t="inlineStr">
        <is>
          <t>42.57087, -74.64881</t>
        </is>
      </c>
      <c r="K619" s="12" t="inlineStr">
        <is>
          <t>No losses reported</t>
        </is>
      </c>
      <c r="L619" s="12" t="inlineStr">
        <is>
          <t>NYSDEC Forest Ranger Wildland Fire Reporting Database (Beginning 2008), data.ny.gov export 2026-09-28</t>
        </is>
      </c>
      <c r="M619" s="12" t="inlineStr">
        <is>
          <t>https://data.ny.gov/</t>
        </is>
      </c>
      <c r="N619" s="12" t="inlineStr">
        <is>
          <t>A</t>
        </is>
      </c>
      <c r="O619" s="12" t="inlineStr">
        <is>
          <t>Y</t>
        </is>
      </c>
      <c r="P619" s="12" t="inlineStr">
        <is>
          <t>2026-09-28 (v970, atlas session): bulk ingest per Laurie; fire number NYS-2009-0010; matching 🔥 pin on Natural History.</t>
        </is>
      </c>
      <c r="Q619" s="12" t="inlineStr">
        <is>
          <t>2009-03-21</t>
        </is>
      </c>
      <c r="R619" s="12">
        <f>VALUE(LEFT(Q619,4))</f>
        <v/>
      </c>
      <c r="S619" s="12">
        <f>VALUE(MID(Q619,6,2))</f>
        <v/>
      </c>
      <c r="T619" s="12">
        <f>VALUE(RIGHT(Q619,2))</f>
        <v/>
      </c>
      <c r="U619" s="12" t="inlineStr">
        <is>
          <t>day</t>
        </is>
      </c>
      <c r="V619" s="12" t="inlineStr">
        <is>
          <t>Fire start date (DEC report)</t>
        </is>
      </c>
    </row>
    <row r="620">
      <c r="A620" s="12" t="n">
        <v>722</v>
      </c>
      <c r="B620" s="12" t="inlineStr">
        <is>
          <t>2013-05-05</t>
        </is>
      </c>
      <c r="C620" s="12" t="inlineStr">
        <is>
          <t>2013-05-06</t>
        </is>
      </c>
      <c r="D620" s="12">
        <f>VALUE(LEFT(B620,4))</f>
        <v/>
      </c>
      <c r="E620" s="12">
        <f>INT((D620-1)/100)+1</f>
        <v/>
      </c>
      <c r="F620" s="12" t="inlineStr">
        <is>
          <t>Wildfire</t>
        </is>
      </c>
      <c r="G620" s="12" t="inlineStr">
        <is>
          <t>Greene 29 Fire — wildfire, 0.3 acres, New Baltimore (Greene Co.)</t>
        </is>
      </c>
      <c r="H620" s="12" t="inlineStr">
        <is>
          <t>New Baltimore, Greene County; Forest Preserve — Greene 29</t>
        </is>
      </c>
      <c r="I620" s="12" t="inlineStr">
        <is>
          <t>0.3 acres; cause Campfire; fuel 9 - Timber - Medium Hardwood Litter</t>
        </is>
      </c>
      <c r="J620" s="12" t="inlineStr">
        <is>
          <t>42.38111, -73.80874</t>
        </is>
      </c>
      <c r="K620" s="12" t="inlineStr">
        <is>
          <t>No losses reported</t>
        </is>
      </c>
      <c r="L620" s="12" t="inlineStr">
        <is>
          <t>NYSDEC Forest Ranger Wildland Fire Reporting Database (Beginning 2008), data.ny.gov export 2026-09-28</t>
        </is>
      </c>
      <c r="M620" s="12" t="inlineStr">
        <is>
          <t>https://data.ny.gov/</t>
        </is>
      </c>
      <c r="N620" s="12" t="inlineStr">
        <is>
          <t>A</t>
        </is>
      </c>
      <c r="O620" s="12" t="inlineStr">
        <is>
          <t>Y</t>
        </is>
      </c>
      <c r="P620" s="12" t="inlineStr">
        <is>
          <t>2026-09-28 (v970, atlas session): bulk ingest per Laurie; fire number NYS-2013-0075; matching 🔥 pin on Natural History.</t>
        </is>
      </c>
      <c r="Q620" s="12" t="inlineStr">
        <is>
          <t>2013-05-05</t>
        </is>
      </c>
      <c r="R620" s="12">
        <f>VALUE(LEFT(Q620,4))</f>
        <v/>
      </c>
      <c r="S620" s="12">
        <f>VALUE(MID(Q620,6,2))</f>
        <v/>
      </c>
      <c r="T620" s="12">
        <f>VALUE(RIGHT(Q620,2))</f>
        <v/>
      </c>
      <c r="U620" s="12" t="inlineStr">
        <is>
          <t>day</t>
        </is>
      </c>
      <c r="V620" s="12" t="inlineStr">
        <is>
          <t>Fire start date (DEC report)</t>
        </is>
      </c>
    </row>
    <row r="621">
      <c r="A621" s="12" t="n">
        <v>723</v>
      </c>
      <c r="B621" s="12" t="inlineStr">
        <is>
          <t>2023-05-29</t>
        </is>
      </c>
      <c r="C621" s="12" t="inlineStr">
        <is>
          <t>2023-06-01</t>
        </is>
      </c>
      <c r="D621" s="12">
        <f>VALUE(LEFT(B621,4))</f>
        <v/>
      </c>
      <c r="E621" s="12">
        <f>INT((D621-1)/100)+1</f>
        <v/>
      </c>
      <c r="F621" s="12" t="inlineStr">
        <is>
          <t>Wildfire</t>
        </is>
      </c>
      <c r="G621" s="12" t="inlineStr">
        <is>
          <t>Seward Fire — wildfire, 5.7 acres, Seward (Schoharie Co.)</t>
        </is>
      </c>
      <c r="H621" s="12" t="inlineStr">
        <is>
          <t>Seward, Schoharie County; Private Property</t>
        </is>
      </c>
      <c r="I621" s="12" t="inlineStr">
        <is>
          <t>5.7 acres; cause Debris Burning; fuel 9 - Timber - Medium Hardwood Litter</t>
        </is>
      </c>
      <c r="J621" s="12" t="inlineStr">
        <is>
          <t>42.71600, -74.64591</t>
        </is>
      </c>
      <c r="K621" s="12" t="inlineStr">
        <is>
          <t>No losses reported</t>
        </is>
      </c>
      <c r="L621" s="12" t="inlineStr">
        <is>
          <t>NYSDEC Forest Ranger Wildland Fire Reporting Database (Beginning 2008), data.ny.gov export 2026-09-28</t>
        </is>
      </c>
      <c r="M621" s="12" t="inlineStr">
        <is>
          <t>https://data.ny.gov/</t>
        </is>
      </c>
      <c r="N621" s="12" t="inlineStr">
        <is>
          <t>A</t>
        </is>
      </c>
      <c r="O621" s="12" t="inlineStr">
        <is>
          <t>Y</t>
        </is>
      </c>
      <c r="P621" s="12" t="inlineStr">
        <is>
          <t>2026-09-28 (v970, atlas session): bulk ingest per Laurie; fire number NYS-2023-0145; matching 🔥 pin on Natural History.</t>
        </is>
      </c>
      <c r="Q621" s="12" t="inlineStr">
        <is>
          <t>2023-05-29</t>
        </is>
      </c>
      <c r="R621" s="12">
        <f>VALUE(LEFT(Q621,4))</f>
        <v/>
      </c>
      <c r="S621" s="12">
        <f>VALUE(MID(Q621,6,2))</f>
        <v/>
      </c>
      <c r="T621" s="12">
        <f>VALUE(RIGHT(Q621,2))</f>
        <v/>
      </c>
      <c r="U621" s="12" t="inlineStr">
        <is>
          <t>day</t>
        </is>
      </c>
      <c r="V621" s="12" t="inlineStr">
        <is>
          <t>Fire start date (DEC report)</t>
        </is>
      </c>
    </row>
    <row r="622">
      <c r="A622" s="12" t="n">
        <v>724</v>
      </c>
      <c r="B622" s="12" t="inlineStr">
        <is>
          <t>2009-04-13</t>
        </is>
      </c>
      <c r="C622" s="12" t="inlineStr">
        <is>
          <t>2009-04-13</t>
        </is>
      </c>
      <c r="D622" s="12">
        <f>VALUE(LEFT(B622,4))</f>
        <v/>
      </c>
      <c r="E622" s="12">
        <f>INT((D622-1)/100)+1</f>
        <v/>
      </c>
      <c r="F622" s="12" t="inlineStr">
        <is>
          <t>Wildfire</t>
        </is>
      </c>
      <c r="G622" s="12" t="inlineStr">
        <is>
          <t>Trim — wildfire, 10.4 acres, Windsor (Broome Co.)</t>
        </is>
      </c>
      <c r="H622" s="12" t="inlineStr">
        <is>
          <t>Windsor, Broome County; Private Property</t>
        </is>
      </c>
      <c r="I622" s="12" t="inlineStr">
        <is>
          <t>10.4 acres; cause Debris Burning; fuel 1 - Grass - Light</t>
        </is>
      </c>
      <c r="J622" s="12" t="inlineStr">
        <is>
          <t>42.07581, -75.74542</t>
        </is>
      </c>
      <c r="K622" s="12" t="inlineStr">
        <is>
          <t>No losses reported</t>
        </is>
      </c>
      <c r="L622" s="12" t="inlineStr">
        <is>
          <t>NYSDEC Forest Ranger Wildland Fire Reporting Database (Beginning 2008), data.ny.gov export 2026-09-28</t>
        </is>
      </c>
      <c r="M622" s="12" t="inlineStr">
        <is>
          <t>https://data.ny.gov/</t>
        </is>
      </c>
      <c r="N622" s="12" t="inlineStr">
        <is>
          <t>A</t>
        </is>
      </c>
      <c r="O622" s="12" t="inlineStr">
        <is>
          <t>Y</t>
        </is>
      </c>
      <c r="P622" s="12" t="inlineStr">
        <is>
          <t>2026-09-28 (v970, atlas session): bulk ingest per Laurie; fire number NYS-2009-0042; matching 🔥 pin on Natural History.</t>
        </is>
      </c>
      <c r="Q622" s="12" t="inlineStr">
        <is>
          <t>2009-04-13</t>
        </is>
      </c>
      <c r="R622" s="12">
        <f>VALUE(LEFT(Q622,4))</f>
        <v/>
      </c>
      <c r="S622" s="12">
        <f>VALUE(MID(Q622,6,2))</f>
        <v/>
      </c>
      <c r="T622" s="12">
        <f>VALUE(RIGHT(Q622,2))</f>
        <v/>
      </c>
      <c r="U622" s="12" t="inlineStr">
        <is>
          <t>day</t>
        </is>
      </c>
      <c r="V622" s="12" t="inlineStr">
        <is>
          <t>Fire start date (DEC report)</t>
        </is>
      </c>
    </row>
    <row r="623">
      <c r="A623" s="12" t="n">
        <v>725</v>
      </c>
      <c r="B623" s="12" t="inlineStr">
        <is>
          <t>2015-05-03</t>
        </is>
      </c>
      <c r="C623" s="12" t="inlineStr">
        <is>
          <t>2015-05-11</t>
        </is>
      </c>
      <c r="D623" s="12">
        <f>VALUE(LEFT(B623,4))</f>
        <v/>
      </c>
      <c r="E623" s="12">
        <f>INT((D623-1)/100)+1</f>
        <v/>
      </c>
      <c r="F623" s="12" t="inlineStr">
        <is>
          <t>Wildfire</t>
        </is>
      </c>
      <c r="G623" s="12" t="inlineStr">
        <is>
          <t>Roosa Gap Fire — wildfire, 2759 acres, Mamakating (Sullivan Co.)</t>
        </is>
      </c>
      <c r="H623" s="12" t="inlineStr">
        <is>
          <t>Mamakating, Sullivan County; State Forest/RF Area — Wurstboro Ridge</t>
        </is>
      </c>
      <c r="I623" s="12" t="inlineStr">
        <is>
          <t>2759 acres; cause Debris Burning; fuel 9 - Timber - Medium Hardwood Litter</t>
        </is>
      </c>
      <c r="J623" s="12" t="inlineStr">
        <is>
          <t>41.61360, -74.43591</t>
        </is>
      </c>
      <c r="K623" s="12" t="inlineStr">
        <is>
          <t>Injuries: 3; Homes Threatened: 89</t>
        </is>
      </c>
      <c r="L623" s="12" t="inlineStr">
        <is>
          <t>NYSDEC Forest Ranger Wildland Fire Reporting Database (Beginning 2008), data.ny.gov export 2026-09-28</t>
        </is>
      </c>
      <c r="M623" s="12" t="inlineStr">
        <is>
          <t>https://data.ny.gov/</t>
        </is>
      </c>
      <c r="N623" s="12" t="inlineStr">
        <is>
          <t>A</t>
        </is>
      </c>
      <c r="O623" s="12" t="inlineStr">
        <is>
          <t>Y</t>
        </is>
      </c>
      <c r="P623" s="12" t="inlineStr">
        <is>
          <t>2026-09-28 (v970, atlas session): bulk ingest per Laurie; fire number NYS-2015-0071; matching 🔥 pin on Natural History.</t>
        </is>
      </c>
      <c r="Q623" s="12" t="inlineStr">
        <is>
          <t>2015-05-03</t>
        </is>
      </c>
      <c r="R623" s="12">
        <f>VALUE(LEFT(Q623,4))</f>
        <v/>
      </c>
      <c r="S623" s="12">
        <f>VALUE(MID(Q623,6,2))</f>
        <v/>
      </c>
      <c r="T623" s="12">
        <f>VALUE(RIGHT(Q623,2))</f>
        <v/>
      </c>
      <c r="U623" s="12" t="inlineStr">
        <is>
          <t>day</t>
        </is>
      </c>
      <c r="V623" s="12" t="inlineStr">
        <is>
          <t>Fire start date (DEC report)</t>
        </is>
      </c>
    </row>
    <row r="624">
      <c r="A624" s="12" t="n">
        <v>729</v>
      </c>
      <c r="B624" s="12" t="inlineStr">
        <is>
          <t>2020-03-27</t>
        </is>
      </c>
      <c r="C624" s="12" t="inlineStr">
        <is>
          <t>2020-03-27</t>
        </is>
      </c>
      <c r="D624" s="12">
        <f>VALUE(LEFT(B624,4))</f>
        <v/>
      </c>
      <c r="E624" s="12">
        <f>INT((D624-1)/100)+1</f>
        <v/>
      </c>
      <c r="F624" s="12" t="inlineStr">
        <is>
          <t>Wildfire</t>
        </is>
      </c>
      <c r="G624" s="12" t="inlineStr">
        <is>
          <t>Mapes Rd Fire — wildfire, 0.1 acres, Lumberland (Sullivan Co.)</t>
        </is>
      </c>
      <c r="H624" s="12" t="inlineStr">
        <is>
          <t>Lumberland, Sullivan County; Private Property</t>
        </is>
      </c>
      <c r="I624" s="12" t="inlineStr">
        <is>
          <t>0.1 acres; cause Smoking; fuel 9 - Timber - Medium Hardwood Litter</t>
        </is>
      </c>
      <c r="J624" s="12" t="inlineStr">
        <is>
          <t>41.47838, -74.86095</t>
        </is>
      </c>
      <c r="K624" s="12" t="inlineStr">
        <is>
          <t>No losses reported</t>
        </is>
      </c>
      <c r="L624" s="12" t="inlineStr">
        <is>
          <t>NYSDEC Forest Ranger Wildland Fire Reporting Database (Beginning 2008), data.ny.gov export 2026-09-28</t>
        </is>
      </c>
      <c r="M624" s="12" t="inlineStr">
        <is>
          <t>https://data.ny.gov/</t>
        </is>
      </c>
      <c r="N624" s="12" t="inlineStr">
        <is>
          <t>A</t>
        </is>
      </c>
      <c r="O624" s="12" t="inlineStr">
        <is>
          <t>Y</t>
        </is>
      </c>
      <c r="P624" s="12" t="inlineStr">
        <is>
          <t>2026-09-28 (v970, atlas session): bulk ingest per Laurie; fire number NYS-2020-0025; matching 🔥 pin on Natural History.</t>
        </is>
      </c>
      <c r="Q624" s="12" t="inlineStr">
        <is>
          <t>2020-03-27</t>
        </is>
      </c>
      <c r="R624" s="12">
        <f>VALUE(LEFT(Q624,4))</f>
        <v/>
      </c>
      <c r="S624" s="12">
        <f>VALUE(MID(Q624,6,2))</f>
        <v/>
      </c>
      <c r="T624" s="12">
        <f>VALUE(RIGHT(Q624,2))</f>
        <v/>
      </c>
      <c r="U624" s="12" t="inlineStr">
        <is>
          <t>day</t>
        </is>
      </c>
      <c r="V624" s="12" t="inlineStr">
        <is>
          <t>Fire start date (DEC report)</t>
        </is>
      </c>
    </row>
    <row r="625">
      <c r="A625" s="12" t="n">
        <v>730</v>
      </c>
      <c r="B625" s="12" t="inlineStr">
        <is>
          <t>2009-04-18</t>
        </is>
      </c>
      <c r="C625" s="12" t="inlineStr">
        <is>
          <t>2009-04-23</t>
        </is>
      </c>
      <c r="D625" s="12">
        <f>VALUE(LEFT(B625,4))</f>
        <v/>
      </c>
      <c r="E625" s="12">
        <f>INT((D625-1)/100)+1</f>
        <v/>
      </c>
      <c r="F625" s="12" t="inlineStr">
        <is>
          <t>Wildfire</t>
        </is>
      </c>
      <c r="G625" s="12" t="inlineStr">
        <is>
          <t>Red Star Fire — wildfire, 9.2 acres, Wawarsing (Ulster Co.)</t>
        </is>
      </c>
      <c r="H625" s="12" t="inlineStr">
        <is>
          <t>Wawarsing, Ulster County; Other Not Classified</t>
        </is>
      </c>
      <c r="I625" s="12" t="inlineStr">
        <is>
          <t>9.2 acres; cause Miscellaneous; fuel 9 - Timber - Medium Hardwood Litter</t>
        </is>
      </c>
      <c r="J625" s="12" t="inlineStr">
        <is>
          <t>41.71397, -74.47878</t>
        </is>
      </c>
      <c r="K625" s="12" t="inlineStr">
        <is>
          <t>No losses reported</t>
        </is>
      </c>
      <c r="L625" s="12" t="inlineStr">
        <is>
          <t>NYSDEC Forest Ranger Wildland Fire Reporting Database (Beginning 2008), data.ny.gov export 2026-09-28</t>
        </is>
      </c>
      <c r="M625" s="12" t="inlineStr">
        <is>
          <t>https://data.ny.gov/</t>
        </is>
      </c>
      <c r="N625" s="12" t="inlineStr">
        <is>
          <t>A</t>
        </is>
      </c>
      <c r="O625" s="12" t="inlineStr">
        <is>
          <t>Y</t>
        </is>
      </c>
      <c r="P625" s="12" t="inlineStr">
        <is>
          <t>2026-09-28 (v970, atlas session): bulk ingest per Laurie; fire number NYS-2009-0142; matching 🔥 pin on Natural History.</t>
        </is>
      </c>
      <c r="Q625" s="12" t="inlineStr">
        <is>
          <t>2009-04-18</t>
        </is>
      </c>
      <c r="R625" s="12">
        <f>VALUE(LEFT(Q625,4))</f>
        <v/>
      </c>
      <c r="S625" s="12">
        <f>VALUE(MID(Q625,6,2))</f>
        <v/>
      </c>
      <c r="T625" s="12">
        <f>VALUE(RIGHT(Q625,2))</f>
        <v/>
      </c>
      <c r="U625" s="12" t="inlineStr">
        <is>
          <t>day</t>
        </is>
      </c>
      <c r="V625" s="12" t="inlineStr">
        <is>
          <t>Fire start date (DEC report)</t>
        </is>
      </c>
    </row>
    <row r="626">
      <c r="A626" s="12" t="n">
        <v>731</v>
      </c>
      <c r="B626" s="12" t="inlineStr">
        <is>
          <t>2008-04-17</t>
        </is>
      </c>
      <c r="C626" s="12" t="inlineStr">
        <is>
          <t>2008-04-18</t>
        </is>
      </c>
      <c r="D626" s="12">
        <f>VALUE(LEFT(B626,4))</f>
        <v/>
      </c>
      <c r="E626" s="12">
        <f>INT((D626-1)/100)+1</f>
        <v/>
      </c>
      <c r="F626" s="12" t="inlineStr">
        <is>
          <t>Wildfire</t>
        </is>
      </c>
      <c r="G626" s="12" t="inlineStr">
        <is>
          <t>Hale Road Fire — wildfire, 46.7 acres, Rensselaerville (Albany Co.)</t>
        </is>
      </c>
      <c r="H626" s="12" t="inlineStr">
        <is>
          <t>Rensselaerville, Albany County; Private Property</t>
        </is>
      </c>
      <c r="I626" s="12" t="inlineStr">
        <is>
          <t>46.7 acres; cause Debris Burning; fuel 9 - Timber - Medium Hardwood Litter</t>
        </is>
      </c>
      <c r="J626" s="12" t="inlineStr">
        <is>
          <t>42.48770, -74.13807</t>
        </is>
      </c>
      <c r="K626" s="12" t="inlineStr">
        <is>
          <t>Injuries: 1; Homes Threatened: 4</t>
        </is>
      </c>
      <c r="L626" s="12" t="inlineStr">
        <is>
          <t>NYSDEC Forest Ranger Wildland Fire Reporting Database (Beginning 2008), data.ny.gov export 2026-09-28</t>
        </is>
      </c>
      <c r="M626" s="12" t="inlineStr">
        <is>
          <t>https://data.ny.gov/</t>
        </is>
      </c>
      <c r="N626" s="12" t="inlineStr">
        <is>
          <t>A</t>
        </is>
      </c>
      <c r="O626" s="12" t="inlineStr">
        <is>
          <t>Y</t>
        </is>
      </c>
      <c r="P626" s="12" t="inlineStr">
        <is>
          <t>2026-09-28 (v970, atlas session): bulk ingest per Laurie; fire number NYS-2008-0046; matching 🔥 pin on Natural History.</t>
        </is>
      </c>
      <c r="Q626" s="12" t="inlineStr">
        <is>
          <t>2008-04-17</t>
        </is>
      </c>
      <c r="R626" s="12">
        <f>VALUE(LEFT(Q626,4))</f>
        <v/>
      </c>
      <c r="S626" s="12">
        <f>VALUE(MID(Q626,6,2))</f>
        <v/>
      </c>
      <c r="T626" s="12">
        <f>VALUE(RIGHT(Q626,2))</f>
        <v/>
      </c>
      <c r="U626" s="12" t="inlineStr">
        <is>
          <t>day</t>
        </is>
      </c>
      <c r="V626" s="12" t="inlineStr">
        <is>
          <t>Fire start date (DEC report)</t>
        </is>
      </c>
    </row>
    <row r="627">
      <c r="A627" s="12" t="n">
        <v>732</v>
      </c>
      <c r="B627" s="12" t="inlineStr">
        <is>
          <t>2010-04-29</t>
        </is>
      </c>
      <c r="C627" s="12" t="inlineStr">
        <is>
          <t>2010-04-30</t>
        </is>
      </c>
      <c r="D627" s="12">
        <f>VALUE(LEFT(B627,4))</f>
        <v/>
      </c>
      <c r="E627" s="12">
        <f>INT((D627-1)/100)+1</f>
        <v/>
      </c>
      <c r="F627" s="12" t="inlineStr">
        <is>
          <t>Wildfire</t>
        </is>
      </c>
      <c r="G627" s="12" t="inlineStr">
        <is>
          <t>Ten Mile Fire — wildfire, 9.4 acres, Bethel (Sullivan Co.)</t>
        </is>
      </c>
      <c r="H627" s="12" t="inlineStr">
        <is>
          <t>Bethel, Sullivan County; Private Property</t>
        </is>
      </c>
      <c r="I627" s="12" t="inlineStr">
        <is>
          <t>9.4 acres; cause Incendiary; fuel 8 - Timber - Light Hardwood Litter</t>
        </is>
      </c>
      <c r="J627" s="12" t="inlineStr">
        <is>
          <t>41.62565, -74.93143</t>
        </is>
      </c>
      <c r="K627" s="12" t="inlineStr">
        <is>
          <t>No losses reported</t>
        </is>
      </c>
      <c r="L627" s="12" t="inlineStr">
        <is>
          <t>NYSDEC Forest Ranger Wildland Fire Reporting Database (Beginning 2008), data.ny.gov export 2026-09-28</t>
        </is>
      </c>
      <c r="M627" s="12" t="inlineStr">
        <is>
          <t>https://data.ny.gov/</t>
        </is>
      </c>
      <c r="N627" s="12" t="inlineStr">
        <is>
          <t>A</t>
        </is>
      </c>
      <c r="O627" s="12" t="inlineStr">
        <is>
          <t>Y</t>
        </is>
      </c>
      <c r="P627" s="12" t="inlineStr">
        <is>
          <t>2026-09-28 (v970, atlas session): bulk ingest per Laurie; fire number NYS-2010-0087; matching 🔥 pin on Natural History.</t>
        </is>
      </c>
      <c r="Q627" s="12" t="inlineStr">
        <is>
          <t>2010-04-29</t>
        </is>
      </c>
      <c r="R627" s="12">
        <f>VALUE(LEFT(Q627,4))</f>
        <v/>
      </c>
      <c r="S627" s="12">
        <f>VALUE(MID(Q627,6,2))</f>
        <v/>
      </c>
      <c r="T627" s="12">
        <f>VALUE(RIGHT(Q627,2))</f>
        <v/>
      </c>
      <c r="U627" s="12" t="inlineStr">
        <is>
          <t>day</t>
        </is>
      </c>
      <c r="V627" s="12" t="inlineStr">
        <is>
          <t>Fire start date (DEC report)</t>
        </is>
      </c>
    </row>
    <row r="628">
      <c r="A628" s="12" t="n">
        <v>734</v>
      </c>
      <c r="B628" s="12" t="inlineStr">
        <is>
          <t>2016-04-23</t>
        </is>
      </c>
      <c r="C628" s="12" t="inlineStr">
        <is>
          <t>2016-05-02</t>
        </is>
      </c>
      <c r="D628" s="12">
        <f>VALUE(LEFT(B628,4))</f>
        <v/>
      </c>
      <c r="E628" s="12">
        <f>INT((D628-1)/100)+1</f>
        <v/>
      </c>
      <c r="F628" s="12" t="inlineStr">
        <is>
          <t>Wildfire</t>
        </is>
      </c>
      <c r="G628" s="12" t="inlineStr">
        <is>
          <t>Sam's Point Fire — wildfire, 2028 acres, Wawarsing (Ulster Co.)</t>
        </is>
      </c>
      <c r="H628" s="12" t="inlineStr">
        <is>
          <t>Wawarsing, Ulster County; OPR&amp;HP (State Parks) — Sam's Point Preserve</t>
        </is>
      </c>
      <c r="I628" s="12" t="inlineStr">
        <is>
          <t>2028 acres; cause Incendiary; fuel 4 - Brush - Heavy/Volatile</t>
        </is>
      </c>
      <c r="J628" s="12" t="inlineStr">
        <is>
          <t>41.67448, -74.35117</t>
        </is>
      </c>
      <c r="K628" s="12" t="inlineStr">
        <is>
          <t>Injuries: 3</t>
        </is>
      </c>
      <c r="L628" s="12" t="inlineStr">
        <is>
          <t>NYSDEC Forest Ranger Wildland Fire Reporting Database (Beginning 2008), data.ny.gov export 2026-09-28</t>
        </is>
      </c>
      <c r="M628" s="12" t="inlineStr">
        <is>
          <t>https://data.ny.gov/</t>
        </is>
      </c>
      <c r="N628" s="12" t="inlineStr">
        <is>
          <t>A</t>
        </is>
      </c>
      <c r="O628" s="12" t="inlineStr">
        <is>
          <t>Y</t>
        </is>
      </c>
      <c r="P628" s="12" t="inlineStr">
        <is>
          <t>2026-09-28 (v970, atlas session): bulk ingest per Laurie; fire number NYS-2016-0074; matching 🔥 pin on Natural History.</t>
        </is>
      </c>
      <c r="Q628" s="12" t="inlineStr">
        <is>
          <t>2016-04-23</t>
        </is>
      </c>
      <c r="R628" s="12">
        <f>VALUE(LEFT(Q628,4))</f>
        <v/>
      </c>
      <c r="S628" s="12">
        <f>VALUE(MID(Q628,6,2))</f>
        <v/>
      </c>
      <c r="T628" s="12">
        <f>VALUE(RIGHT(Q628,2))</f>
        <v/>
      </c>
      <c r="U628" s="12" t="inlineStr">
        <is>
          <t>day</t>
        </is>
      </c>
      <c r="V628" s="12" t="inlineStr">
        <is>
          <t>Fire start date (DEC report)</t>
        </is>
      </c>
    </row>
    <row r="629">
      <c r="A629" s="12" t="n">
        <v>738</v>
      </c>
      <c r="B629" s="12" t="inlineStr">
        <is>
          <t>2024-05-02</t>
        </is>
      </c>
      <c r="C629" s="12" t="inlineStr">
        <is>
          <t>2024-05-04</t>
        </is>
      </c>
      <c r="D629" s="12">
        <f>VALUE(LEFT(B629,4))</f>
        <v/>
      </c>
      <c r="E629" s="12">
        <f>INT((D629-1)/100)+1</f>
        <v/>
      </c>
      <c r="F629" s="12" t="inlineStr">
        <is>
          <t>Wildfire</t>
        </is>
      </c>
      <c r="G629" s="12" t="inlineStr">
        <is>
          <t>Spring Glen Road Fire — wildfire, 4 acres, Fallsburgh (Sullivan Co.)</t>
        </is>
      </c>
      <c r="H629" s="12" t="inlineStr">
        <is>
          <t>Fallsburgh, Sullivan County; Private Property</t>
        </is>
      </c>
      <c r="I629" s="12" t="inlineStr">
        <is>
          <t>4 acres; cause Power line; fuel 9 - Timber - Medium Hardwood Litter</t>
        </is>
      </c>
      <c r="J629" s="12" t="inlineStr">
        <is>
          <t>41.68823, -74.52230</t>
        </is>
      </c>
      <c r="K629" s="12" t="inlineStr">
        <is>
          <t>No losses reported</t>
        </is>
      </c>
      <c r="L629" s="12" t="inlineStr">
        <is>
          <t>NYSDEC Forest Ranger Wildland Fire Reporting Database (Beginning 2008), data.ny.gov export 2026-09-28</t>
        </is>
      </c>
      <c r="M629" s="12" t="inlineStr">
        <is>
          <t>https://data.ny.gov/</t>
        </is>
      </c>
      <c r="N629" s="12" t="inlineStr">
        <is>
          <t>A</t>
        </is>
      </c>
      <c r="O629" s="12" t="inlineStr">
        <is>
          <t>Y</t>
        </is>
      </c>
      <c r="P629" s="12" t="inlineStr">
        <is>
          <t>2026-09-28 (v970, atlas session): bulk ingest per Laurie; fire number NYS-2024-0077; matching 🔥 pin on Natural History.</t>
        </is>
      </c>
      <c r="Q629" s="12" t="inlineStr">
        <is>
          <t>2024-05-02</t>
        </is>
      </c>
      <c r="R629" s="12">
        <f>VALUE(LEFT(Q629,4))</f>
        <v/>
      </c>
      <c r="S629" s="12">
        <f>VALUE(MID(Q629,6,2))</f>
        <v/>
      </c>
      <c r="T629" s="12">
        <f>VALUE(RIGHT(Q629,2))</f>
        <v/>
      </c>
      <c r="U629" s="12" t="inlineStr">
        <is>
          <t>day</t>
        </is>
      </c>
      <c r="V629" s="12" t="inlineStr">
        <is>
          <t>Fire start date (DEC report)</t>
        </is>
      </c>
    </row>
    <row r="630">
      <c r="A630" s="12" t="n">
        <v>740</v>
      </c>
      <c r="B630" s="12" t="inlineStr">
        <is>
          <t>2018-05-02</t>
        </is>
      </c>
      <c r="C630" s="12" t="inlineStr">
        <is>
          <t>2018-05-03</t>
        </is>
      </c>
      <c r="D630" s="12">
        <f>VALUE(LEFT(B630,4))</f>
        <v/>
      </c>
      <c r="E630" s="12">
        <f>INT((D630-1)/100)+1</f>
        <v/>
      </c>
      <c r="F630" s="12" t="inlineStr">
        <is>
          <t>Wildfire</t>
        </is>
      </c>
      <c r="G630" s="12" t="inlineStr">
        <is>
          <t>Campbell Rd Fire — wildfire, 1 acres, Wawarsing (Ulster Co.)</t>
        </is>
      </c>
      <c r="H630" s="12" t="inlineStr">
        <is>
          <t>Wawarsing, Ulster County; Private Property — none</t>
        </is>
      </c>
      <c r="I630" s="12" t="inlineStr">
        <is>
          <t>1 acres; cause Miscellaneous; fuel 6 - Brush - Mixed/Regeneration</t>
        </is>
      </c>
      <c r="J630" s="12" t="inlineStr">
        <is>
          <t>41.85198, -74.45948</t>
        </is>
      </c>
      <c r="K630" s="12" t="inlineStr">
        <is>
          <t>No losses reported</t>
        </is>
      </c>
      <c r="L630" s="12" t="inlineStr">
        <is>
          <t>NYSDEC Forest Ranger Wildland Fire Reporting Database (Beginning 2008), data.ny.gov export 2026-09-28</t>
        </is>
      </c>
      <c r="M630" s="12" t="inlineStr">
        <is>
          <t>https://data.ny.gov/</t>
        </is>
      </c>
      <c r="N630" s="12" t="inlineStr">
        <is>
          <t>A</t>
        </is>
      </c>
      <c r="O630" s="12" t="inlineStr">
        <is>
          <t>Y</t>
        </is>
      </c>
      <c r="P630" s="12" t="inlineStr">
        <is>
          <t>2026-09-28 (v970, atlas session): bulk ingest per Laurie; fire number NYS-2018-0043; matching 🔥 pin on Natural History.</t>
        </is>
      </c>
      <c r="Q630" s="12" t="inlineStr">
        <is>
          <t>2018-05-02</t>
        </is>
      </c>
      <c r="R630" s="12">
        <f>VALUE(LEFT(Q630,4))</f>
        <v/>
      </c>
      <c r="S630" s="12">
        <f>VALUE(MID(Q630,6,2))</f>
        <v/>
      </c>
      <c r="T630" s="12">
        <f>VALUE(RIGHT(Q630,2))</f>
        <v/>
      </c>
      <c r="U630" s="12" t="inlineStr">
        <is>
          <t>day</t>
        </is>
      </c>
      <c r="V630" s="12" t="inlineStr">
        <is>
          <t>Fire start date (DEC report)</t>
        </is>
      </c>
    </row>
    <row r="631">
      <c r="A631" s="12" t="n">
        <v>742</v>
      </c>
      <c r="B631" s="12" t="inlineStr">
        <is>
          <t>2008-04-24</t>
        </is>
      </c>
      <c r="C631" s="12" t="inlineStr">
        <is>
          <t>2008-04-24</t>
        </is>
      </c>
      <c r="D631" s="12">
        <f>VALUE(LEFT(B631,4))</f>
        <v/>
      </c>
      <c r="E631" s="12">
        <f>INT((D631-1)/100)+1</f>
        <v/>
      </c>
      <c r="F631" s="12" t="inlineStr">
        <is>
          <t>Wildfire</t>
        </is>
      </c>
      <c r="G631" s="12" t="inlineStr">
        <is>
          <t>Stawarz — wildfire, 1.6 acres, Mamakating (Sullivan Co.)</t>
        </is>
      </c>
      <c r="H631" s="12" t="inlineStr">
        <is>
          <t>Mamakating, Sullivan County; Private Property</t>
        </is>
      </c>
      <c r="I631" s="12" t="inlineStr">
        <is>
          <t>1.6 acres; cause Debris Burning; fuel 7 - Brush - Understory</t>
        </is>
      </c>
      <c r="J631" s="12" t="inlineStr">
        <is>
          <t>41.57579, -74.56731</t>
        </is>
      </c>
      <c r="K631" s="12" t="inlineStr">
        <is>
          <t>No losses reported</t>
        </is>
      </c>
      <c r="L631" s="12" t="inlineStr">
        <is>
          <t>NYSDEC Forest Ranger Wildland Fire Reporting Database (Beginning 2008), data.ny.gov export 2026-09-28</t>
        </is>
      </c>
      <c r="M631" s="12" t="inlineStr">
        <is>
          <t>https://data.ny.gov/</t>
        </is>
      </c>
      <c r="N631" s="12" t="inlineStr">
        <is>
          <t>A</t>
        </is>
      </c>
      <c r="O631" s="12" t="inlineStr">
        <is>
          <t>Y</t>
        </is>
      </c>
      <c r="P631" s="12" t="inlineStr">
        <is>
          <t>2026-09-28 (v970, atlas session): bulk ingest per Laurie; fire number NYS-2008-0123; matching 🔥 pin on Natural History.</t>
        </is>
      </c>
      <c r="Q631" s="12" t="inlineStr">
        <is>
          <t>2008-04-24</t>
        </is>
      </c>
      <c r="R631" s="12">
        <f>VALUE(LEFT(Q631,4))</f>
        <v/>
      </c>
      <c r="S631" s="12">
        <f>VALUE(MID(Q631,6,2))</f>
        <v/>
      </c>
      <c r="T631" s="12">
        <f>VALUE(RIGHT(Q631,2))</f>
        <v/>
      </c>
      <c r="U631" s="12" t="inlineStr">
        <is>
          <t>day</t>
        </is>
      </c>
      <c r="V631" s="12" t="inlineStr">
        <is>
          <t>Fire start date (DEC report)</t>
        </is>
      </c>
    </row>
    <row r="632">
      <c r="A632" s="12" t="n">
        <v>743</v>
      </c>
      <c r="B632" s="12" t="inlineStr">
        <is>
          <t>2022-08-19</t>
        </is>
      </c>
      <c r="C632" s="12" t="inlineStr">
        <is>
          <t>2022-08-24</t>
        </is>
      </c>
      <c r="D632" s="12">
        <f>VALUE(LEFT(B632,4))</f>
        <v/>
      </c>
      <c r="E632" s="12">
        <f>INT((D632-1)/100)+1</f>
        <v/>
      </c>
      <c r="F632" s="12" t="inlineStr">
        <is>
          <t>Wildfire</t>
        </is>
      </c>
      <c r="G632" s="12" t="inlineStr">
        <is>
          <t>Silver Lake Fire — wildfire, 1 acres, Fallsburgh (Sullivan Co.)</t>
        </is>
      </c>
      <c r="H632" s="12" t="inlineStr">
        <is>
          <t>Fallsburgh, Sullivan County; Private Property</t>
        </is>
      </c>
      <c r="I632" s="12" t="inlineStr">
        <is>
          <t>1 acres; cause Campfire; fuel 9 - Timber - Medium Hardwood Litter</t>
        </is>
      </c>
      <c r="J632" s="12" t="inlineStr">
        <is>
          <t>41.71283, -74.55566</t>
        </is>
      </c>
      <c r="K632" s="12" t="inlineStr">
        <is>
          <t>No losses reported</t>
        </is>
      </c>
      <c r="L632" s="12" t="inlineStr">
        <is>
          <t>NYSDEC Forest Ranger Wildland Fire Reporting Database (Beginning 2008), data.ny.gov export 2026-09-28</t>
        </is>
      </c>
      <c r="M632" s="12" t="inlineStr">
        <is>
          <t>https://data.ny.gov/</t>
        </is>
      </c>
      <c r="N632" s="12" t="inlineStr">
        <is>
          <t>A</t>
        </is>
      </c>
      <c r="O632" s="12" t="inlineStr">
        <is>
          <t>Y</t>
        </is>
      </c>
      <c r="P632" s="12" t="inlineStr">
        <is>
          <t>2026-09-28 (v970, atlas session): bulk ingest per Laurie; fire number NYS-2022-0146; matching 🔥 pin on Natural History.</t>
        </is>
      </c>
      <c r="Q632" s="12" t="inlineStr">
        <is>
          <t>2022-08-19</t>
        </is>
      </c>
      <c r="R632" s="12">
        <f>VALUE(LEFT(Q632,4))</f>
        <v/>
      </c>
      <c r="S632" s="12">
        <f>VALUE(MID(Q632,6,2))</f>
        <v/>
      </c>
      <c r="T632" s="12">
        <f>VALUE(RIGHT(Q632,2))</f>
        <v/>
      </c>
      <c r="U632" s="12" t="inlineStr">
        <is>
          <t>day</t>
        </is>
      </c>
      <c r="V632" s="12" t="inlineStr">
        <is>
          <t>Fire start date (DEC report)</t>
        </is>
      </c>
    </row>
    <row r="633">
      <c r="A633" s="12" t="n">
        <v>744</v>
      </c>
      <c r="B633" s="12" t="inlineStr">
        <is>
          <t>2009-04-02</t>
        </is>
      </c>
      <c r="C633" s="12" t="inlineStr">
        <is>
          <t>2009-04-02</t>
        </is>
      </c>
      <c r="D633" s="12">
        <f>VALUE(LEFT(B633,4))</f>
        <v/>
      </c>
      <c r="E633" s="12">
        <f>INT((D633-1)/100)+1</f>
        <v/>
      </c>
      <c r="F633" s="12" t="inlineStr">
        <is>
          <t>Wildfire</t>
        </is>
      </c>
      <c r="G633" s="12" t="inlineStr">
        <is>
          <t>Frogley Fire — wildfire, 0.5 acres, Middleburgh (Schoharie Co.)</t>
        </is>
      </c>
      <c r="H633" s="12" t="inlineStr">
        <is>
          <t>Middleburgh, Schoharie County; Private Property</t>
        </is>
      </c>
      <c r="I633" s="12" t="inlineStr">
        <is>
          <t>0.5 acres; cause Debris Burning; fuel 1 - Grass - Light</t>
        </is>
      </c>
      <c r="J633" s="12" t="inlineStr">
        <is>
          <t>42.36139, -74.22161</t>
        </is>
      </c>
      <c r="K633" s="12" t="inlineStr">
        <is>
          <t>No losses reported</t>
        </is>
      </c>
      <c r="L633" s="12" t="inlineStr">
        <is>
          <t>NYSDEC Forest Ranger Wildland Fire Reporting Database (Beginning 2008), data.ny.gov export 2026-09-28</t>
        </is>
      </c>
      <c r="M633" s="12" t="inlineStr">
        <is>
          <t>https://data.ny.gov/</t>
        </is>
      </c>
      <c r="N633" s="12" t="inlineStr">
        <is>
          <t>A</t>
        </is>
      </c>
      <c r="O633" s="12" t="inlineStr">
        <is>
          <t>Y</t>
        </is>
      </c>
      <c r="P633" s="12" t="inlineStr">
        <is>
          <t>2026-09-28 (v970, atlas session): bulk ingest per Laurie; fire number NYS-2009-0036; matching 🔥 pin on Natural History.</t>
        </is>
      </c>
      <c r="Q633" s="12" t="inlineStr">
        <is>
          <t>2009-04-02</t>
        </is>
      </c>
      <c r="R633" s="12">
        <f>VALUE(LEFT(Q633,4))</f>
        <v/>
      </c>
      <c r="S633" s="12">
        <f>VALUE(MID(Q633,6,2))</f>
        <v/>
      </c>
      <c r="T633" s="12">
        <f>VALUE(RIGHT(Q633,2))</f>
        <v/>
      </c>
      <c r="U633" s="12" t="inlineStr">
        <is>
          <t>day</t>
        </is>
      </c>
      <c r="V633" s="12" t="inlineStr">
        <is>
          <t>Fire start date (DEC report)</t>
        </is>
      </c>
    </row>
    <row r="634">
      <c r="A634" s="12" t="n">
        <v>745</v>
      </c>
      <c r="B634" s="12" t="inlineStr">
        <is>
          <t>2015-05-12</t>
        </is>
      </c>
      <c r="C634" s="12" t="inlineStr">
        <is>
          <t>2015-05-12</t>
        </is>
      </c>
      <c r="D634" s="12">
        <f>VALUE(LEFT(B634,4))</f>
        <v/>
      </c>
      <c r="E634" s="12">
        <f>INT((D634-1)/100)+1</f>
        <v/>
      </c>
      <c r="F634" s="12" t="inlineStr">
        <is>
          <t>Wildfire</t>
        </is>
      </c>
      <c r="G634" s="12" t="inlineStr">
        <is>
          <t>Pleasant Hill Fire — wildfire, 0.5 acres, Fenton (Broome Co.)</t>
        </is>
      </c>
      <c r="H634" s="12" t="inlineStr">
        <is>
          <t>Fenton, Broome County; Private Property — none</t>
        </is>
      </c>
      <c r="I634" s="12" t="inlineStr">
        <is>
          <t>0.5 acres; cause Power line; fuel 7 - Brush - Understory</t>
        </is>
      </c>
      <c r="J634" s="12" t="inlineStr">
        <is>
          <t>42.16370, -75.80796</t>
        </is>
      </c>
      <c r="K634" s="12" t="inlineStr">
        <is>
          <t>No losses reported</t>
        </is>
      </c>
      <c r="L634" s="12" t="inlineStr">
        <is>
          <t>NYSDEC Forest Ranger Wildland Fire Reporting Database (Beginning 2008), data.ny.gov export 2026-09-28</t>
        </is>
      </c>
      <c r="M634" s="12" t="inlineStr">
        <is>
          <t>https://data.ny.gov/</t>
        </is>
      </c>
      <c r="N634" s="12" t="inlineStr">
        <is>
          <t>A</t>
        </is>
      </c>
      <c r="O634" s="12" t="inlineStr">
        <is>
          <t>Y</t>
        </is>
      </c>
      <c r="P634" s="12" t="inlineStr">
        <is>
          <t>2026-09-28 (v970, atlas session): bulk ingest per Laurie; fire number NYS-2015-0116; matching 🔥 pin on Natural History.</t>
        </is>
      </c>
      <c r="Q634" s="12" t="inlineStr">
        <is>
          <t>2015-05-12</t>
        </is>
      </c>
      <c r="R634" s="12">
        <f>VALUE(LEFT(Q634,4))</f>
        <v/>
      </c>
      <c r="S634" s="12">
        <f>VALUE(MID(Q634,6,2))</f>
        <v/>
      </c>
      <c r="T634" s="12">
        <f>VALUE(RIGHT(Q634,2))</f>
        <v/>
      </c>
      <c r="U634" s="12" t="inlineStr">
        <is>
          <t>day</t>
        </is>
      </c>
      <c r="V634" s="12" t="inlineStr">
        <is>
          <t>Fire start date (DEC report)</t>
        </is>
      </c>
    </row>
    <row r="635">
      <c r="A635" s="12" t="n">
        <v>746</v>
      </c>
      <c r="B635" s="12" t="inlineStr">
        <is>
          <t>2009-04-17</t>
        </is>
      </c>
      <c r="C635" s="12" t="inlineStr">
        <is>
          <t>2009-04-18</t>
        </is>
      </c>
      <c r="D635" s="12">
        <f>VALUE(LEFT(B635,4))</f>
        <v/>
      </c>
      <c r="E635" s="12">
        <f>INT((D635-1)/100)+1</f>
        <v/>
      </c>
      <c r="F635" s="12" t="inlineStr">
        <is>
          <t>Wildfire</t>
        </is>
      </c>
      <c r="G635" s="12" t="inlineStr">
        <is>
          <t>Cook Fire — wildfire, 0.5 acres, Wright (Schoharie Co.)</t>
        </is>
      </c>
      <c r="H635" s="12" t="inlineStr">
        <is>
          <t>Wright, Schoharie County; Private Property</t>
        </is>
      </c>
      <c r="I635" s="12" t="inlineStr">
        <is>
          <t>0.5 acres; cause Debris Burning; fuel 1 - Grass - Light</t>
        </is>
      </c>
      <c r="J635" s="12" t="inlineStr">
        <is>
          <t>42.68228, -74.23934</t>
        </is>
      </c>
      <c r="K635" s="12" t="inlineStr">
        <is>
          <t>No losses reported</t>
        </is>
      </c>
      <c r="L635" s="12" t="inlineStr">
        <is>
          <t>NYSDEC Forest Ranger Wildland Fire Reporting Database (Beginning 2008), data.ny.gov export 2026-09-28</t>
        </is>
      </c>
      <c r="M635" s="12" t="inlineStr">
        <is>
          <t>https://data.ny.gov/</t>
        </is>
      </c>
      <c r="N635" s="12" t="inlineStr">
        <is>
          <t>A</t>
        </is>
      </c>
      <c r="O635" s="12" t="inlineStr">
        <is>
          <t>Y</t>
        </is>
      </c>
      <c r="P635" s="12" t="inlineStr">
        <is>
          <t>2026-09-28 (v970, atlas session): bulk ingest per Laurie; fire number NYS-2009-0074; matching 🔥 pin on Natural History.</t>
        </is>
      </c>
      <c r="Q635" s="12" t="inlineStr">
        <is>
          <t>2009-04-17</t>
        </is>
      </c>
      <c r="R635" s="12">
        <f>VALUE(LEFT(Q635,4))</f>
        <v/>
      </c>
      <c r="S635" s="12">
        <f>VALUE(MID(Q635,6,2))</f>
        <v/>
      </c>
      <c r="T635" s="12">
        <f>VALUE(RIGHT(Q635,2))</f>
        <v/>
      </c>
      <c r="U635" s="12" t="inlineStr">
        <is>
          <t>day</t>
        </is>
      </c>
      <c r="V635" s="12" t="inlineStr">
        <is>
          <t>Fire start date (DEC report)</t>
        </is>
      </c>
    </row>
    <row r="636">
      <c r="A636" s="12" t="n">
        <v>747</v>
      </c>
      <c r="B636" s="12" t="inlineStr">
        <is>
          <t>2012-04-06</t>
        </is>
      </c>
      <c r="C636" s="12" t="inlineStr">
        <is>
          <t>2012-04-06</t>
        </is>
      </c>
      <c r="D636" s="12">
        <f>VALUE(LEFT(B636,4))</f>
        <v/>
      </c>
      <c r="E636" s="12">
        <f>INT((D636-1)/100)+1</f>
        <v/>
      </c>
      <c r="F636" s="12" t="inlineStr">
        <is>
          <t>Wildfire</t>
        </is>
      </c>
      <c r="G636" s="12" t="inlineStr">
        <is>
          <t>Progy Fire — wildfire, 2 acres, Binghamton (Broome Co.)</t>
        </is>
      </c>
      <c r="H636" s="12" t="inlineStr">
        <is>
          <t>Binghamton, Broome County; Private Property</t>
        </is>
      </c>
      <c r="I636" s="12" t="inlineStr">
        <is>
          <t>2 acres; cause Miscellaneous; fuel 8 - Timber - Light Hardwood Litter</t>
        </is>
      </c>
      <c r="J636" s="12" t="inlineStr">
        <is>
          <t>42.00877, -75.89952</t>
        </is>
      </c>
      <c r="K636" s="12" t="inlineStr">
        <is>
          <t>Other Structures Lost: 1</t>
        </is>
      </c>
      <c r="L636" s="12" t="inlineStr">
        <is>
          <t>NYSDEC Forest Ranger Wildland Fire Reporting Database (Beginning 2008), data.ny.gov export 2026-09-28</t>
        </is>
      </c>
      <c r="M636" s="12" t="inlineStr">
        <is>
          <t>https://data.ny.gov/</t>
        </is>
      </c>
      <c r="N636" s="12" t="inlineStr">
        <is>
          <t>A</t>
        </is>
      </c>
      <c r="O636" s="12" t="inlineStr">
        <is>
          <t>Y</t>
        </is>
      </c>
      <c r="P636" s="12" t="inlineStr">
        <is>
          <t>2026-09-28 (v970, atlas session): bulk ingest per Laurie; fire number NYS-2012-0062; matching 🔥 pin on Natural History.</t>
        </is>
      </c>
      <c r="Q636" s="12" t="inlineStr">
        <is>
          <t>2012-04-06</t>
        </is>
      </c>
      <c r="R636" s="12">
        <f>VALUE(LEFT(Q636,4))</f>
        <v/>
      </c>
      <c r="S636" s="12">
        <f>VALUE(MID(Q636,6,2))</f>
        <v/>
      </c>
      <c r="T636" s="12">
        <f>VALUE(RIGHT(Q636,2))</f>
        <v/>
      </c>
      <c r="U636" s="12" t="inlineStr">
        <is>
          <t>day</t>
        </is>
      </c>
      <c r="V636" s="12" t="inlineStr">
        <is>
          <t>Fire start date (DEC report)</t>
        </is>
      </c>
    </row>
    <row r="637">
      <c r="A637" s="12" t="n">
        <v>748</v>
      </c>
      <c r="B637" s="12" t="inlineStr">
        <is>
          <t>2016-04-18</t>
        </is>
      </c>
      <c r="C637" s="12" t="inlineStr">
        <is>
          <t>2016-04-18</t>
        </is>
      </c>
      <c r="D637" s="12">
        <f>VALUE(LEFT(B637,4))</f>
        <v/>
      </c>
      <c r="E637" s="12">
        <f>INT((D637-1)/100)+1</f>
        <v/>
      </c>
      <c r="F637" s="12" t="inlineStr">
        <is>
          <t>Wildfire</t>
        </is>
      </c>
      <c r="G637" s="12" t="inlineStr">
        <is>
          <t>Stone Ledge Rd Fire — wildfire, 1.6 acres, Hillsdale (Columbia Co.)</t>
        </is>
      </c>
      <c r="H637" s="12" t="inlineStr">
        <is>
          <t>Hillsdale, Columbia County; Private Property</t>
        </is>
      </c>
      <c r="I637" s="12" t="inlineStr">
        <is>
          <t>1.6 acres; cause Children; fuel 8 - Timber - Light Hardwood Litter</t>
        </is>
      </c>
      <c r="J637" s="12" t="inlineStr">
        <is>
          <t>42.25003, -73.46570</t>
        </is>
      </c>
      <c r="K637" s="12" t="inlineStr">
        <is>
          <t>No losses reported</t>
        </is>
      </c>
      <c r="L637" s="12" t="inlineStr">
        <is>
          <t>NYSDEC Forest Ranger Wildland Fire Reporting Database (Beginning 2008), data.ny.gov export 2026-09-28</t>
        </is>
      </c>
      <c r="M637" s="12" t="inlineStr">
        <is>
          <t>https://data.ny.gov/</t>
        </is>
      </c>
      <c r="N637" s="12" t="inlineStr">
        <is>
          <t>A</t>
        </is>
      </c>
      <c r="O637" s="12" t="inlineStr">
        <is>
          <t>Y</t>
        </is>
      </c>
      <c r="P637" s="12" t="inlineStr">
        <is>
          <t>2026-09-28 (v970, atlas session): bulk ingest per Laurie; fire number NYS-2016-0060; matching 🔥 pin on Natural History.</t>
        </is>
      </c>
      <c r="Q637" s="12" t="inlineStr">
        <is>
          <t>2016-04-18</t>
        </is>
      </c>
      <c r="R637" s="12">
        <f>VALUE(LEFT(Q637,4))</f>
        <v/>
      </c>
      <c r="S637" s="12">
        <f>VALUE(MID(Q637,6,2))</f>
        <v/>
      </c>
      <c r="T637" s="12">
        <f>VALUE(RIGHT(Q637,2))</f>
        <v/>
      </c>
      <c r="U637" s="12" t="inlineStr">
        <is>
          <t>day</t>
        </is>
      </c>
      <c r="V637" s="12" t="inlineStr">
        <is>
          <t>Fire start date (DEC report)</t>
        </is>
      </c>
    </row>
    <row r="638">
      <c r="A638" s="12" t="n">
        <v>749</v>
      </c>
      <c r="B638" s="12" t="inlineStr">
        <is>
          <t>2009-03-25</t>
        </is>
      </c>
      <c r="C638" s="12" t="inlineStr">
        <is>
          <t>2009-03-25</t>
        </is>
      </c>
      <c r="D638" s="12">
        <f>VALUE(LEFT(B638,4))</f>
        <v/>
      </c>
      <c r="E638" s="12">
        <f>INT((D638-1)/100)+1</f>
        <v/>
      </c>
      <c r="F638" s="12" t="inlineStr">
        <is>
          <t>Wildfire</t>
        </is>
      </c>
      <c r="G638" s="12" t="inlineStr">
        <is>
          <t>Monticello — wildfire, 3 acres, Thompson (Sullivan Co.)</t>
        </is>
      </c>
      <c r="H638" s="12" t="inlineStr">
        <is>
          <t>Thompson, Sullivan County; Private Property</t>
        </is>
      </c>
      <c r="I638" s="12" t="inlineStr">
        <is>
          <t>3 acres; cause Debris Burning; fuel 9 - Timber - Medium Hardwood Litter</t>
        </is>
      </c>
      <c r="J638" s="12" t="inlineStr">
        <is>
          <t>41.69450, -74.70100</t>
        </is>
      </c>
      <c r="K638" s="12" t="inlineStr">
        <is>
          <t>No losses reported</t>
        </is>
      </c>
      <c r="L638" s="12" t="inlineStr">
        <is>
          <t>NYSDEC Forest Ranger Wildland Fire Reporting Database (Beginning 2008), data.ny.gov export 2026-09-28</t>
        </is>
      </c>
      <c r="M638" s="12" t="inlineStr">
        <is>
          <t>https://data.ny.gov/</t>
        </is>
      </c>
      <c r="N638" s="12" t="inlineStr">
        <is>
          <t>A</t>
        </is>
      </c>
      <c r="O638" s="12" t="inlineStr">
        <is>
          <t>Y</t>
        </is>
      </c>
      <c r="P638" s="12" t="inlineStr">
        <is>
          <t>2026-09-28 (v970, atlas session): bulk ingest per Laurie; fire number NYS-2009-0021; matching 🔥 pin on Natural History.</t>
        </is>
      </c>
      <c r="Q638" s="12" t="inlineStr">
        <is>
          <t>2009-03-25</t>
        </is>
      </c>
      <c r="R638" s="12">
        <f>VALUE(LEFT(Q638,4))</f>
        <v/>
      </c>
      <c r="S638" s="12">
        <f>VALUE(MID(Q638,6,2))</f>
        <v/>
      </c>
      <c r="T638" s="12">
        <f>VALUE(RIGHT(Q638,2))</f>
        <v/>
      </c>
      <c r="U638" s="12" t="inlineStr">
        <is>
          <t>day</t>
        </is>
      </c>
      <c r="V638" s="12" t="inlineStr">
        <is>
          <t>Fire start date (DEC report)</t>
        </is>
      </c>
    </row>
    <row r="639">
      <c r="A639" s="12" t="n">
        <v>750</v>
      </c>
      <c r="B639" s="12" t="inlineStr">
        <is>
          <t>2015-04-13</t>
        </is>
      </c>
      <c r="C639" s="12" t="inlineStr">
        <is>
          <t>2015-04-13</t>
        </is>
      </c>
      <c r="D639" s="12">
        <f>VALUE(LEFT(B639,4))</f>
        <v/>
      </c>
      <c r="E639" s="12">
        <f>INT((D639-1)/100)+1</f>
        <v/>
      </c>
      <c r="F639" s="12" t="inlineStr">
        <is>
          <t>Wildfire</t>
        </is>
      </c>
      <c r="G639" s="12" t="inlineStr">
        <is>
          <t>Mule Fire — wildfire, 8.7 acres, Fulton (Schoharie Co.)</t>
        </is>
      </c>
      <c r="H639" s="12" t="inlineStr">
        <is>
          <t>Fulton, Schoharie County; Private Property</t>
        </is>
      </c>
      <c r="I639" s="12" t="inlineStr">
        <is>
          <t>8.7 acres; cause Equipment; fuel 9 - Timber - Medium Hardwood Litter</t>
        </is>
      </c>
      <c r="J639" s="12" t="inlineStr">
        <is>
          <t>42.60783, -74.46555</t>
        </is>
      </c>
      <c r="K639" s="12" t="inlineStr">
        <is>
          <t>Other Structures Lost: 1</t>
        </is>
      </c>
      <c r="L639" s="12" t="inlineStr">
        <is>
          <t>NYSDEC Forest Ranger Wildland Fire Reporting Database (Beginning 2008), data.ny.gov export 2026-09-28</t>
        </is>
      </c>
      <c r="M639" s="12" t="inlineStr">
        <is>
          <t>https://data.ny.gov/</t>
        </is>
      </c>
      <c r="N639" s="12" t="inlineStr">
        <is>
          <t>A</t>
        </is>
      </c>
      <c r="O639" s="12" t="inlineStr">
        <is>
          <t>Y</t>
        </is>
      </c>
      <c r="P639" s="12" t="inlineStr">
        <is>
          <t>2026-09-28 (v970, atlas session): bulk ingest per Laurie; fire number NYS-2015-0015; matching 🔥 pin on Natural History.</t>
        </is>
      </c>
      <c r="Q639" s="12" t="inlineStr">
        <is>
          <t>2015-04-13</t>
        </is>
      </c>
      <c r="R639" s="12">
        <f>VALUE(LEFT(Q639,4))</f>
        <v/>
      </c>
      <c r="S639" s="12">
        <f>VALUE(MID(Q639,6,2))</f>
        <v/>
      </c>
      <c r="T639" s="12">
        <f>VALUE(RIGHT(Q639,2))</f>
        <v/>
      </c>
      <c r="U639" s="12" t="inlineStr">
        <is>
          <t>day</t>
        </is>
      </c>
      <c r="V639" s="12" t="inlineStr">
        <is>
          <t>Fire start date (DEC report)</t>
        </is>
      </c>
    </row>
    <row r="640">
      <c r="A640" s="12" t="n">
        <v>751</v>
      </c>
      <c r="B640" s="12" t="inlineStr">
        <is>
          <t>2021-03-12</t>
        </is>
      </c>
      <c r="C640" s="12" t="inlineStr">
        <is>
          <t>2021-03-13</t>
        </is>
      </c>
      <c r="D640" s="12">
        <f>VALUE(LEFT(B640,4))</f>
        <v/>
      </c>
      <c r="E640" s="12">
        <f>INT((D640-1)/100)+1</f>
        <v/>
      </c>
      <c r="F640" s="12" t="inlineStr">
        <is>
          <t>Wildfire</t>
        </is>
      </c>
      <c r="G640" s="12" t="inlineStr">
        <is>
          <t>Hillsdale — wildfire, 1.2 acres, Hillsdale (Columbia Co.)</t>
        </is>
      </c>
      <c r="H640" s="12" t="inlineStr">
        <is>
          <t>Hillsdale, Columbia County; Private Property</t>
        </is>
      </c>
      <c r="I640" s="12" t="inlineStr">
        <is>
          <t>1.2 acres; cause Power line; fuel 8 - Timber - Light Hardwood Litter</t>
        </is>
      </c>
      <c r="J640" s="12" t="inlineStr">
        <is>
          <t>42.14181, -73.50613</t>
        </is>
      </c>
      <c r="K640" s="12" t="inlineStr">
        <is>
          <t>No losses reported</t>
        </is>
      </c>
      <c r="L640" s="12" t="inlineStr">
        <is>
          <t>NYSDEC Forest Ranger Wildland Fire Reporting Database (Beginning 2008), data.ny.gov export 2026-09-28</t>
        </is>
      </c>
      <c r="M640" s="12" t="inlineStr">
        <is>
          <t>https://data.ny.gov/</t>
        </is>
      </c>
      <c r="N640" s="12" t="inlineStr">
        <is>
          <t>A</t>
        </is>
      </c>
      <c r="O640" s="12" t="inlineStr">
        <is>
          <t>Y</t>
        </is>
      </c>
      <c r="P640" s="12" t="inlineStr">
        <is>
          <t>2026-09-28 (v970, atlas session): bulk ingest per Laurie; fire number NYS-2021-0005; matching 🔥 pin on Natural History.</t>
        </is>
      </c>
      <c r="Q640" s="12" t="inlineStr">
        <is>
          <t>2021-03-12</t>
        </is>
      </c>
      <c r="R640" s="12">
        <f>VALUE(LEFT(Q640,4))</f>
        <v/>
      </c>
      <c r="S640" s="12">
        <f>VALUE(MID(Q640,6,2))</f>
        <v/>
      </c>
      <c r="T640" s="12">
        <f>VALUE(RIGHT(Q640,2))</f>
        <v/>
      </c>
      <c r="U640" s="12" t="inlineStr">
        <is>
          <t>day</t>
        </is>
      </c>
      <c r="V640" s="12" t="inlineStr">
        <is>
          <t>Fire start date (DEC report)</t>
        </is>
      </c>
    </row>
    <row r="641">
      <c r="A641" s="12" t="n">
        <v>753</v>
      </c>
      <c r="B641" s="12" t="inlineStr">
        <is>
          <t>2011-04-11</t>
        </is>
      </c>
      <c r="C641" s="12" t="inlineStr">
        <is>
          <t>2011-04-11</t>
        </is>
      </c>
      <c r="D641" s="12">
        <f>VALUE(LEFT(B641,4))</f>
        <v/>
      </c>
      <c r="E641" s="12">
        <f>INT((D641-1)/100)+1</f>
        <v/>
      </c>
      <c r="F641" s="12" t="inlineStr">
        <is>
          <t>Wildfire</t>
        </is>
      </c>
      <c r="G641" s="12" t="inlineStr">
        <is>
          <t>I88 — wildfire, 0.8 acres, Duanesburg (Schenectady Co.)</t>
        </is>
      </c>
      <c r="H641" s="12" t="inlineStr">
        <is>
          <t>Duanesburg, Schenectady County; Other Government</t>
        </is>
      </c>
      <c r="I641" s="12" t="inlineStr">
        <is>
          <t>0.8 acres; cause Equipment; fuel 1 - Grass - Light</t>
        </is>
      </c>
      <c r="J641" s="12" t="inlineStr">
        <is>
          <t>42.71655, -74.26160</t>
        </is>
      </c>
      <c r="K641" s="12" t="inlineStr">
        <is>
          <t>No losses reported</t>
        </is>
      </c>
      <c r="L641" s="12" t="inlineStr">
        <is>
          <t>NYSDEC Forest Ranger Wildland Fire Reporting Database (Beginning 2008), data.ny.gov export 2026-09-28</t>
        </is>
      </c>
      <c r="M641" s="12" t="inlineStr">
        <is>
          <t>https://data.ny.gov/</t>
        </is>
      </c>
      <c r="N641" s="12" t="inlineStr">
        <is>
          <t>A</t>
        </is>
      </c>
      <c r="O641" s="12" t="inlineStr">
        <is>
          <t>Y</t>
        </is>
      </c>
      <c r="P641" s="12" t="inlineStr">
        <is>
          <t>2026-09-28 (v970, atlas session): bulk ingest per Laurie; fire number NYS-2011-0006; matching 🔥 pin on Natural History.</t>
        </is>
      </c>
      <c r="Q641" s="12" t="inlineStr">
        <is>
          <t>2011-04-11</t>
        </is>
      </c>
      <c r="R641" s="12">
        <f>VALUE(LEFT(Q641,4))</f>
        <v/>
      </c>
      <c r="S641" s="12">
        <f>VALUE(MID(Q641,6,2))</f>
        <v/>
      </c>
      <c r="T641" s="12">
        <f>VALUE(RIGHT(Q641,2))</f>
        <v/>
      </c>
      <c r="U641" s="12" t="inlineStr">
        <is>
          <t>day</t>
        </is>
      </c>
      <c r="V641" s="12" t="inlineStr">
        <is>
          <t>Fire start date (DEC report)</t>
        </is>
      </c>
    </row>
    <row r="642">
      <c r="A642" s="12" t="n">
        <v>756</v>
      </c>
      <c r="B642" s="12" t="inlineStr">
        <is>
          <t>2023-04-14</t>
        </is>
      </c>
      <c r="C642" s="12" t="inlineStr">
        <is>
          <t>2023-04-14</t>
        </is>
      </c>
      <c r="D642" s="12">
        <f>VALUE(LEFT(B642,4))</f>
        <v/>
      </c>
      <c r="E642" s="12">
        <f>INT((D642-1)/100)+1</f>
        <v/>
      </c>
      <c r="F642" s="12" t="inlineStr">
        <is>
          <t>Wildfire</t>
        </is>
      </c>
      <c r="G642" s="12" t="inlineStr">
        <is>
          <t>Fairview Cemetery Fire — wildfire, 2 acres, Beacon (Dutchess Co.)</t>
        </is>
      </c>
      <c r="H642" s="12" t="inlineStr">
        <is>
          <t>Beacon, Dutchess County; Other Not Classified</t>
        </is>
      </c>
      <c r="I642" s="12" t="inlineStr">
        <is>
          <t>2 acres; cause Incendiary; fuel 8 - Timber - Light Hardwood Litter</t>
        </is>
      </c>
      <c r="J642" s="12" t="inlineStr">
        <is>
          <t>41.51033, -73.94165</t>
        </is>
      </c>
      <c r="K642" s="12" t="inlineStr">
        <is>
          <t>No losses reported</t>
        </is>
      </c>
      <c r="L642" s="12" t="inlineStr">
        <is>
          <t>NYSDEC Forest Ranger Wildland Fire Reporting Database (Beginning 2008), data.ny.gov export 2026-09-28</t>
        </is>
      </c>
      <c r="M642" s="12" t="inlineStr">
        <is>
          <t>https://data.ny.gov/</t>
        </is>
      </c>
      <c r="N642" s="12" t="inlineStr">
        <is>
          <t>A</t>
        </is>
      </c>
      <c r="O642" s="12" t="inlineStr">
        <is>
          <t>Y</t>
        </is>
      </c>
      <c r="P642" s="12" t="inlineStr">
        <is>
          <t>2026-09-28 (v970, atlas session): bulk ingest per Laurie; fire number NYS-2023-0066; matching 🔥 pin on Natural History.</t>
        </is>
      </c>
      <c r="Q642" s="12" t="inlineStr">
        <is>
          <t>2023-04-14</t>
        </is>
      </c>
      <c r="R642" s="12">
        <f>VALUE(LEFT(Q642,4))</f>
        <v/>
      </c>
      <c r="S642" s="12">
        <f>VALUE(MID(Q642,6,2))</f>
        <v/>
      </c>
      <c r="T642" s="12">
        <f>VALUE(RIGHT(Q642,2))</f>
        <v/>
      </c>
      <c r="U642" s="12" t="inlineStr">
        <is>
          <t>day</t>
        </is>
      </c>
      <c r="V642" s="12" t="inlineStr">
        <is>
          <t>Fire start date (DEC report)</t>
        </is>
      </c>
    </row>
    <row r="643">
      <c r="A643" s="12" t="n">
        <v>758</v>
      </c>
      <c r="B643" s="12" t="inlineStr">
        <is>
          <t>2024-02-27</t>
        </is>
      </c>
      <c r="C643" s="12" t="inlineStr">
        <is>
          <t>2024-02-28</t>
        </is>
      </c>
      <c r="D643" s="12">
        <f>VALUE(LEFT(B643,4))</f>
        <v/>
      </c>
      <c r="E643" s="12">
        <f>INT((D643-1)/100)+1</f>
        <v/>
      </c>
      <c r="F643" s="12" t="inlineStr">
        <is>
          <t>Wildfire</t>
        </is>
      </c>
      <c r="G643" s="12" t="inlineStr">
        <is>
          <t>Jersey Lane Fire — wildfire, 11.6 acres, Seward (Schoharie Co.)</t>
        </is>
      </c>
      <c r="H643" s="12" t="inlineStr">
        <is>
          <t>Seward, Schoharie County; Private Property</t>
        </is>
      </c>
      <c r="I643" s="12" t="inlineStr">
        <is>
          <t>11.6 acres; cause Miscellaneous; fuel 3 - Grass - Heavy</t>
        </is>
      </c>
      <c r="J643" s="12" t="inlineStr">
        <is>
          <t>42.74047, -74.51887</t>
        </is>
      </c>
      <c r="K643" s="12" t="inlineStr">
        <is>
          <t>No losses reported</t>
        </is>
      </c>
      <c r="L643" s="12" t="inlineStr">
        <is>
          <t>NYSDEC Forest Ranger Wildland Fire Reporting Database (Beginning 2008), data.ny.gov export 2026-09-28</t>
        </is>
      </c>
      <c r="M643" s="12" t="inlineStr">
        <is>
          <t>https://data.ny.gov/</t>
        </is>
      </c>
      <c r="N643" s="12" t="inlineStr">
        <is>
          <t>A</t>
        </is>
      </c>
      <c r="O643" s="12" t="inlineStr">
        <is>
          <t>Y</t>
        </is>
      </c>
      <c r="P643" s="12" t="inlineStr">
        <is>
          <t>2026-09-28 (v970, atlas session): bulk ingest per Laurie; fire number NYS-2024-0013; matching 🔥 pin on Natural History.</t>
        </is>
      </c>
      <c r="Q643" s="12" t="inlineStr">
        <is>
          <t>2024-02-27</t>
        </is>
      </c>
      <c r="R643" s="12">
        <f>VALUE(LEFT(Q643,4))</f>
        <v/>
      </c>
      <c r="S643" s="12">
        <f>VALUE(MID(Q643,6,2))</f>
        <v/>
      </c>
      <c r="T643" s="12">
        <f>VALUE(RIGHT(Q643,2))</f>
        <v/>
      </c>
      <c r="U643" s="12" t="inlineStr">
        <is>
          <t>day</t>
        </is>
      </c>
      <c r="V643" s="12" t="inlineStr">
        <is>
          <t>Fire start date (DEC report)</t>
        </is>
      </c>
    </row>
    <row r="644">
      <c r="A644" s="12" t="n">
        <v>759</v>
      </c>
      <c r="B644" s="12" t="inlineStr">
        <is>
          <t>2016-03-09</t>
        </is>
      </c>
      <c r="C644" s="12" t="inlineStr">
        <is>
          <t>2016-03-09</t>
        </is>
      </c>
      <c r="D644" s="12">
        <f>VALUE(LEFT(B644,4))</f>
        <v/>
      </c>
      <c r="E644" s="12">
        <f>INT((D644-1)/100)+1</f>
        <v/>
      </c>
      <c r="F644" s="12" t="inlineStr">
        <is>
          <t>Wildfire</t>
        </is>
      </c>
      <c r="G644" s="12" t="inlineStr">
        <is>
          <t>Petkovich Fire — wildfire, 0.8 acres, Ancram (Columbia Co.)</t>
        </is>
      </c>
      <c r="H644" s="12" t="inlineStr">
        <is>
          <t>Ancram, Columbia County; Private Property</t>
        </is>
      </c>
      <c r="I644" s="12" t="inlineStr">
        <is>
          <t>0.8 acres; cause Debris Burning; fuel 9 - Timber - Medium Hardwood Litter</t>
        </is>
      </c>
      <c r="J644" s="12" t="inlineStr">
        <is>
          <t>42.02782, -73.64239</t>
        </is>
      </c>
      <c r="K644" s="12" t="inlineStr">
        <is>
          <t>No losses reported</t>
        </is>
      </c>
      <c r="L644" s="12" t="inlineStr">
        <is>
          <t>NYSDEC Forest Ranger Wildland Fire Reporting Database (Beginning 2008), data.ny.gov export 2026-09-28</t>
        </is>
      </c>
      <c r="M644" s="12" t="inlineStr">
        <is>
          <t>https://data.ny.gov/</t>
        </is>
      </c>
      <c r="N644" s="12" t="inlineStr">
        <is>
          <t>A</t>
        </is>
      </c>
      <c r="O644" s="12" t="inlineStr">
        <is>
          <t>Y</t>
        </is>
      </c>
      <c r="P644" s="12" t="inlineStr">
        <is>
          <t>2026-09-28 (v970, atlas session): bulk ingest per Laurie; fire number NYS-2016-0012; matching 🔥 pin on Natural History.</t>
        </is>
      </c>
      <c r="Q644" s="12" t="inlineStr">
        <is>
          <t>2016-03-09</t>
        </is>
      </c>
      <c r="R644" s="12">
        <f>VALUE(LEFT(Q644,4))</f>
        <v/>
      </c>
      <c r="S644" s="12">
        <f>VALUE(MID(Q644,6,2))</f>
        <v/>
      </c>
      <c r="T644" s="12">
        <f>VALUE(RIGHT(Q644,2))</f>
        <v/>
      </c>
      <c r="U644" s="12" t="inlineStr">
        <is>
          <t>day</t>
        </is>
      </c>
      <c r="V644" s="12" t="inlineStr">
        <is>
          <t>Fire start date (DEC report)</t>
        </is>
      </c>
    </row>
    <row r="645">
      <c r="A645" s="12" t="n">
        <v>760</v>
      </c>
      <c r="B645" s="12" t="inlineStr">
        <is>
          <t>2018-04-14</t>
        </is>
      </c>
      <c r="C645" s="12" t="inlineStr">
        <is>
          <t>2018-04-14</t>
        </is>
      </c>
      <c r="D645" s="12">
        <f>VALUE(LEFT(B645,4))</f>
        <v/>
      </c>
      <c r="E645" s="12">
        <f>INT((D645-1)/100)+1</f>
        <v/>
      </c>
      <c r="F645" s="12" t="inlineStr">
        <is>
          <t>Wildfire</t>
        </is>
      </c>
      <c r="G645" s="12" t="inlineStr">
        <is>
          <t>Perry Fire — wildfire, 1.5 acres, Bethel (Sullivan Co.)</t>
        </is>
      </c>
      <c r="H645" s="12" t="inlineStr">
        <is>
          <t>Bethel, Sullivan County; Private Property</t>
        </is>
      </c>
      <c r="I645" s="12" t="inlineStr">
        <is>
          <t>1.5 acres; cause Debris Burning; fuel 1 - Grass - Light</t>
        </is>
      </c>
      <c r="J645" s="12" t="inlineStr">
        <is>
          <t>41.72720, -74.89121</t>
        </is>
      </c>
      <c r="K645" s="12" t="inlineStr">
        <is>
          <t>No losses reported</t>
        </is>
      </c>
      <c r="L645" s="12" t="inlineStr">
        <is>
          <t>NYSDEC Forest Ranger Wildland Fire Reporting Database (Beginning 2008), data.ny.gov export 2026-09-28</t>
        </is>
      </c>
      <c r="M645" s="12" t="inlineStr">
        <is>
          <t>https://data.ny.gov/</t>
        </is>
      </c>
      <c r="N645" s="12" t="inlineStr">
        <is>
          <t>A</t>
        </is>
      </c>
      <c r="O645" s="12" t="inlineStr">
        <is>
          <t>Y</t>
        </is>
      </c>
      <c r="P645" s="12" t="inlineStr">
        <is>
          <t>2026-09-28 (v970, atlas session): bulk ingest per Laurie; fire number NYS-2018-0013; matching 🔥 pin on Natural History.</t>
        </is>
      </c>
      <c r="Q645" s="12" t="inlineStr">
        <is>
          <t>2018-04-14</t>
        </is>
      </c>
      <c r="R645" s="12">
        <f>VALUE(LEFT(Q645,4))</f>
        <v/>
      </c>
      <c r="S645" s="12">
        <f>VALUE(MID(Q645,6,2))</f>
        <v/>
      </c>
      <c r="T645" s="12">
        <f>VALUE(RIGHT(Q645,2))</f>
        <v/>
      </c>
      <c r="U645" s="12" t="inlineStr">
        <is>
          <t>day</t>
        </is>
      </c>
      <c r="V645" s="12" t="inlineStr">
        <is>
          <t>Fire start date (DEC report)</t>
        </is>
      </c>
    </row>
    <row r="646">
      <c r="A646" s="12" t="n">
        <v>761</v>
      </c>
      <c r="B646" s="12" t="inlineStr">
        <is>
          <t>2013-04-08</t>
        </is>
      </c>
      <c r="C646" s="12" t="inlineStr">
        <is>
          <t>2013-04-08</t>
        </is>
      </c>
      <c r="D646" s="12">
        <f>VALUE(LEFT(B646,4))</f>
        <v/>
      </c>
      <c r="E646" s="12">
        <f>INT((D646-1)/100)+1</f>
        <v/>
      </c>
      <c r="F646" s="12" t="inlineStr">
        <is>
          <t>Wildfire</t>
        </is>
      </c>
      <c r="G646" s="12" t="inlineStr">
        <is>
          <t>Wildwood Fire — wildfire, 1.3 acres, Fallsburgh (Sullivan Co.)</t>
        </is>
      </c>
      <c r="H646" s="12" t="inlineStr">
        <is>
          <t>Fallsburgh, Sullivan County; Private Property</t>
        </is>
      </c>
      <c r="I646" s="12" t="inlineStr">
        <is>
          <t>1.3 acres; cause Campfire; fuel 8 - Timber - Light Hardwood Litter</t>
        </is>
      </c>
      <c r="J646" s="12" t="inlineStr">
        <is>
          <t>41.69330, -74.62191</t>
        </is>
      </c>
      <c r="K646" s="12" t="inlineStr">
        <is>
          <t>No losses reported</t>
        </is>
      </c>
      <c r="L646" s="12" t="inlineStr">
        <is>
          <t>NYSDEC Forest Ranger Wildland Fire Reporting Database (Beginning 2008), data.ny.gov export 2026-09-28</t>
        </is>
      </c>
      <c r="M646" s="12" t="inlineStr">
        <is>
          <t>https://data.ny.gov/</t>
        </is>
      </c>
      <c r="N646" s="12" t="inlineStr">
        <is>
          <t>A</t>
        </is>
      </c>
      <c r="O646" s="12" t="inlineStr">
        <is>
          <t>Y</t>
        </is>
      </c>
      <c r="P646" s="12" t="inlineStr">
        <is>
          <t>2026-09-28 (v970, atlas session): bulk ingest per Laurie; fire number NYS-2013-0022; matching 🔥 pin on Natural History.</t>
        </is>
      </c>
      <c r="Q646" s="12" t="inlineStr">
        <is>
          <t>2013-04-08</t>
        </is>
      </c>
      <c r="R646" s="12">
        <f>VALUE(LEFT(Q646,4))</f>
        <v/>
      </c>
      <c r="S646" s="12">
        <f>VALUE(MID(Q646,6,2))</f>
        <v/>
      </c>
      <c r="T646" s="12">
        <f>VALUE(RIGHT(Q646,2))</f>
        <v/>
      </c>
      <c r="U646" s="12" t="inlineStr">
        <is>
          <t>day</t>
        </is>
      </c>
      <c r="V646" s="12" t="inlineStr">
        <is>
          <t>Fire start date (DEC report)</t>
        </is>
      </c>
    </row>
    <row r="647">
      <c r="A647" s="12" t="n">
        <v>762</v>
      </c>
      <c r="B647" s="12" t="inlineStr">
        <is>
          <t>2015-05-25</t>
        </is>
      </c>
      <c r="C647" s="12" t="inlineStr">
        <is>
          <t>2015-05-25</t>
        </is>
      </c>
      <c r="D647" s="12">
        <f>VALUE(LEFT(B647,4))</f>
        <v/>
      </c>
      <c r="E647" s="12">
        <f>INT((D647-1)/100)+1</f>
        <v/>
      </c>
      <c r="F647" s="12" t="inlineStr">
        <is>
          <t>Wildfire</t>
        </is>
      </c>
      <c r="G647" s="12" t="inlineStr">
        <is>
          <t>Alamillo Fire — wildfire, 0.5 acres, Kinderhook (Columbia Co.)</t>
        </is>
      </c>
      <c r="H647" s="12" t="inlineStr">
        <is>
          <t>Kinderhook, Columbia County; Private Property — none</t>
        </is>
      </c>
      <c r="I647" s="12" t="inlineStr">
        <is>
          <t>0.5 acres; cause Debris Burning; fuel 6 - Brush - Mixed/Regeneration</t>
        </is>
      </c>
      <c r="J647" s="12" t="inlineStr">
        <is>
          <t>42.42096, -73.70434</t>
        </is>
      </c>
      <c r="K647" s="12" t="inlineStr">
        <is>
          <t>No losses reported</t>
        </is>
      </c>
      <c r="L647" s="12" t="inlineStr">
        <is>
          <t>NYSDEC Forest Ranger Wildland Fire Reporting Database (Beginning 2008), data.ny.gov export 2026-09-28</t>
        </is>
      </c>
      <c r="M647" s="12" t="inlineStr">
        <is>
          <t>https://data.ny.gov/</t>
        </is>
      </c>
      <c r="N647" s="12" t="inlineStr">
        <is>
          <t>A</t>
        </is>
      </c>
      <c r="O647" s="12" t="inlineStr">
        <is>
          <t>Y</t>
        </is>
      </c>
      <c r="P647" s="12" t="inlineStr">
        <is>
          <t>2026-09-28 (v970, atlas session): bulk ingest per Laurie; fire number NYS-2015-0130; matching 🔥 pin on Natural History.</t>
        </is>
      </c>
      <c r="Q647" s="12" t="inlineStr">
        <is>
          <t>2015-05-25</t>
        </is>
      </c>
      <c r="R647" s="12">
        <f>VALUE(LEFT(Q647,4))</f>
        <v/>
      </c>
      <c r="S647" s="12">
        <f>VALUE(MID(Q647,6,2))</f>
        <v/>
      </c>
      <c r="T647" s="12">
        <f>VALUE(RIGHT(Q647,2))</f>
        <v/>
      </c>
      <c r="U647" s="12" t="inlineStr">
        <is>
          <t>day</t>
        </is>
      </c>
      <c r="V647" s="12" t="inlineStr">
        <is>
          <t>Fire start date (DEC report)</t>
        </is>
      </c>
    </row>
    <row r="648">
      <c r="A648" s="12" t="n">
        <v>763</v>
      </c>
      <c r="B648" s="12" t="inlineStr">
        <is>
          <t>2009-04-13</t>
        </is>
      </c>
      <c r="C648" s="12" t="inlineStr">
        <is>
          <t>2009-04-13</t>
        </is>
      </c>
      <c r="D648" s="12">
        <f>VALUE(LEFT(B648,4))</f>
        <v/>
      </c>
      <c r="E648" s="12">
        <f>INT((D648-1)/100)+1</f>
        <v/>
      </c>
      <c r="F648" s="12" t="inlineStr">
        <is>
          <t>Wildfire</t>
        </is>
      </c>
      <c r="G648" s="12" t="inlineStr">
        <is>
          <t>Seitter — wildfire, 2.5 acres, Mamakating (Sullivan Co.)</t>
        </is>
      </c>
      <c r="H648" s="12" t="inlineStr">
        <is>
          <t>Mamakating, Sullivan County; Private Property</t>
        </is>
      </c>
      <c r="I648" s="12" t="inlineStr">
        <is>
          <t>2.5 acres; cause Debris Burning; fuel 8 - Timber - Light Hardwood Litter</t>
        </is>
      </c>
      <c r="J648" s="12" t="inlineStr">
        <is>
          <t>41.62831, -74.47569</t>
        </is>
      </c>
      <c r="K648" s="12" t="inlineStr">
        <is>
          <t>No losses reported</t>
        </is>
      </c>
      <c r="L648" s="12" t="inlineStr">
        <is>
          <t>NYSDEC Forest Ranger Wildland Fire Reporting Database (Beginning 2008), data.ny.gov export 2026-09-28</t>
        </is>
      </c>
      <c r="M648" s="12" t="inlineStr">
        <is>
          <t>https://data.ny.gov/</t>
        </is>
      </c>
      <c r="N648" s="12" t="inlineStr">
        <is>
          <t>A</t>
        </is>
      </c>
      <c r="O648" s="12" t="inlineStr">
        <is>
          <t>Y</t>
        </is>
      </c>
      <c r="P648" s="12" t="inlineStr">
        <is>
          <t>2026-09-28 (v970, atlas session): bulk ingest per Laurie; fire number NYS-2009-0046; matching 🔥 pin on Natural History.</t>
        </is>
      </c>
      <c r="Q648" s="12" t="inlineStr">
        <is>
          <t>2009-04-13</t>
        </is>
      </c>
      <c r="R648" s="12">
        <f>VALUE(LEFT(Q648,4))</f>
        <v/>
      </c>
      <c r="S648" s="12">
        <f>VALUE(MID(Q648,6,2))</f>
        <v/>
      </c>
      <c r="T648" s="12">
        <f>VALUE(RIGHT(Q648,2))</f>
        <v/>
      </c>
      <c r="U648" s="12" t="inlineStr">
        <is>
          <t>day</t>
        </is>
      </c>
      <c r="V648" s="12" t="inlineStr">
        <is>
          <t>Fire start date (DEC report)</t>
        </is>
      </c>
    </row>
    <row r="649">
      <c r="A649" s="12" t="n">
        <v>764</v>
      </c>
      <c r="B649" s="12" t="inlineStr">
        <is>
          <t>2015-05-02</t>
        </is>
      </c>
      <c r="C649" s="12" t="inlineStr">
        <is>
          <t>2015-05-04</t>
        </is>
      </c>
      <c r="D649" s="12">
        <f>VALUE(LEFT(B649,4))</f>
        <v/>
      </c>
      <c r="E649" s="12">
        <f>INT((D649-1)/100)+1</f>
        <v/>
      </c>
      <c r="F649" s="12" t="inlineStr">
        <is>
          <t>Wildfire</t>
        </is>
      </c>
      <c r="G649" s="12" t="inlineStr">
        <is>
          <t>Hurley — wildfire, 7 acres, Windsor (Broome Co.)</t>
        </is>
      </c>
      <c r="H649" s="12" t="inlineStr">
        <is>
          <t>Windsor, Broome County; Private Property</t>
        </is>
      </c>
      <c r="I649" s="12" t="inlineStr">
        <is>
          <t>7 acres; cause Debris Burning; fuel 8 - Timber - Light Hardwood Litter</t>
        </is>
      </c>
      <c r="J649" s="12" t="inlineStr">
        <is>
          <t>42.03256, -75.72401</t>
        </is>
      </c>
      <c r="K649" s="12" t="inlineStr">
        <is>
          <t>No losses reported</t>
        </is>
      </c>
      <c r="L649" s="12" t="inlineStr">
        <is>
          <t>NYSDEC Forest Ranger Wildland Fire Reporting Database (Beginning 2008), data.ny.gov export 2026-09-28</t>
        </is>
      </c>
      <c r="M649" s="12" t="inlineStr">
        <is>
          <t>https://data.ny.gov/</t>
        </is>
      </c>
      <c r="N649" s="12" t="inlineStr">
        <is>
          <t>A</t>
        </is>
      </c>
      <c r="O649" s="12" t="inlineStr">
        <is>
          <t>Y</t>
        </is>
      </c>
      <c r="P649" s="12" t="inlineStr">
        <is>
          <t>2026-09-28 (v970, atlas session): bulk ingest per Laurie; fire number NYS-2015-0067; matching 🔥 pin on Natural History.</t>
        </is>
      </c>
      <c r="Q649" s="12" t="inlineStr">
        <is>
          <t>2015-05-02</t>
        </is>
      </c>
      <c r="R649" s="12">
        <f>VALUE(LEFT(Q649,4))</f>
        <v/>
      </c>
      <c r="S649" s="12">
        <f>VALUE(MID(Q649,6,2))</f>
        <v/>
      </c>
      <c r="T649" s="12">
        <f>VALUE(RIGHT(Q649,2))</f>
        <v/>
      </c>
      <c r="U649" s="12" t="inlineStr">
        <is>
          <t>day</t>
        </is>
      </c>
      <c r="V649" s="12" t="inlineStr">
        <is>
          <t>Fire start date (DEC report)</t>
        </is>
      </c>
    </row>
    <row r="650">
      <c r="A650" s="12" t="n">
        <v>767</v>
      </c>
      <c r="B650" s="12" t="inlineStr">
        <is>
          <t>2008-03-22</t>
        </is>
      </c>
      <c r="C650" s="12" t="inlineStr">
        <is>
          <t>2008-03-22</t>
        </is>
      </c>
      <c r="D650" s="12">
        <f>VALUE(LEFT(B650,4))</f>
        <v/>
      </c>
      <c r="E650" s="12">
        <f>INT((D650-1)/100)+1</f>
        <v/>
      </c>
      <c r="F650" s="12" t="inlineStr">
        <is>
          <t>Wildfire</t>
        </is>
      </c>
      <c r="G650" s="12" t="inlineStr">
        <is>
          <t>Quadt Fire — wildfire, 0.2 acres, Schoharie (Schoharie Co.)</t>
        </is>
      </c>
      <c r="H650" s="12" t="inlineStr">
        <is>
          <t>Schoharie, Schoharie County; Private Property</t>
        </is>
      </c>
      <c r="I650" s="12" t="inlineStr">
        <is>
          <t>0.2 acres; cause Miscellaneous; fuel 1 - Grass - Light</t>
        </is>
      </c>
      <c r="J650" s="12" t="inlineStr">
        <is>
          <t>42.65000, -74.32000</t>
        </is>
      </c>
      <c r="K650" s="12" t="inlineStr">
        <is>
          <t>No losses reported</t>
        </is>
      </c>
      <c r="L650" s="12" t="inlineStr">
        <is>
          <t>NYSDEC Forest Ranger Wildland Fire Reporting Database (Beginning 2008), data.ny.gov export 2026-09-28</t>
        </is>
      </c>
      <c r="M650" s="12" t="inlineStr">
        <is>
          <t>https://data.ny.gov/</t>
        </is>
      </c>
      <c r="N650" s="12" t="inlineStr">
        <is>
          <t>A</t>
        </is>
      </c>
      <c r="O650" s="12" t="inlineStr">
        <is>
          <t>Y</t>
        </is>
      </c>
      <c r="P650" s="12" t="inlineStr">
        <is>
          <t>2026-09-28 (v970, atlas session): bulk ingest per Laurie; fire number NYS-2008-0004; matching 🔥 pin on Natural History.</t>
        </is>
      </c>
      <c r="Q650" s="12" t="inlineStr">
        <is>
          <t>2008-03-22</t>
        </is>
      </c>
      <c r="R650" s="12">
        <f>VALUE(LEFT(Q650,4))</f>
        <v/>
      </c>
      <c r="S650" s="12">
        <f>VALUE(MID(Q650,6,2))</f>
        <v/>
      </c>
      <c r="T650" s="12">
        <f>VALUE(RIGHT(Q650,2))</f>
        <v/>
      </c>
      <c r="U650" s="12" t="inlineStr">
        <is>
          <t>day</t>
        </is>
      </c>
      <c r="V650" s="12" t="inlineStr">
        <is>
          <t>Fire start date (DEC report)</t>
        </is>
      </c>
    </row>
    <row r="651">
      <c r="A651" s="12" t="n">
        <v>769</v>
      </c>
      <c r="B651" s="12" t="inlineStr">
        <is>
          <t>2009-04-18</t>
        </is>
      </c>
      <c r="C651" s="12" t="inlineStr">
        <is>
          <t>2009-04-24</t>
        </is>
      </c>
      <c r="D651" s="12">
        <f>VALUE(LEFT(B651,4))</f>
        <v/>
      </c>
      <c r="E651" s="12">
        <f>INT((D651-1)/100)+1</f>
        <v/>
      </c>
      <c r="F651" s="12" t="inlineStr">
        <is>
          <t>Wildfire</t>
        </is>
      </c>
      <c r="G651" s="12" t="inlineStr">
        <is>
          <t>Wurtsboro Ridge — wildfire, 300 acres, Mamakating (Sullivan Co.)</t>
        </is>
      </c>
      <c r="H651" s="12" t="inlineStr">
        <is>
          <t>Mamakating, Sullivan County; State Forest/RF Area — Wurtsboro Ridge State Forest</t>
        </is>
      </c>
      <c r="I651" s="12" t="inlineStr">
        <is>
          <t>300 acres; cause Incendiary; fuel 9 - Timber - Medium Hardwood Litter</t>
        </is>
      </c>
      <c r="J651" s="12" t="inlineStr">
        <is>
          <t>41.59000, -74.45000</t>
        </is>
      </c>
      <c r="K651" s="12" t="inlineStr">
        <is>
          <t>No losses reported</t>
        </is>
      </c>
      <c r="L651" s="12" t="inlineStr">
        <is>
          <t>NYSDEC Forest Ranger Wildland Fire Reporting Database (Beginning 2008), data.ny.gov export 2026-09-28</t>
        </is>
      </c>
      <c r="M651" s="12" t="inlineStr">
        <is>
          <t>https://data.ny.gov/</t>
        </is>
      </c>
      <c r="N651" s="12" t="inlineStr">
        <is>
          <t>A</t>
        </is>
      </c>
      <c r="O651" s="12" t="inlineStr">
        <is>
          <t>Y</t>
        </is>
      </c>
      <c r="P651" s="12" t="inlineStr">
        <is>
          <t>2026-09-28 (v970, atlas session): bulk ingest per Laurie; fire number NYS-2009-0090; matching 🔥 pin on Natural History.</t>
        </is>
      </c>
      <c r="Q651" s="12" t="inlineStr">
        <is>
          <t>2009-04-18</t>
        </is>
      </c>
      <c r="R651" s="12">
        <f>VALUE(LEFT(Q651,4))</f>
        <v/>
      </c>
      <c r="S651" s="12">
        <f>VALUE(MID(Q651,6,2))</f>
        <v/>
      </c>
      <c r="T651" s="12">
        <f>VALUE(RIGHT(Q651,2))</f>
        <v/>
      </c>
      <c r="U651" s="12" t="inlineStr">
        <is>
          <t>day</t>
        </is>
      </c>
      <c r="V651" s="12" t="inlineStr">
        <is>
          <t>Fire start date (DEC report)</t>
        </is>
      </c>
    </row>
    <row r="652">
      <c r="A652" s="12" t="n">
        <v>771</v>
      </c>
      <c r="B652" s="12" t="inlineStr">
        <is>
          <t>2012-04-14</t>
        </is>
      </c>
      <c r="C652" s="12" t="inlineStr">
        <is>
          <t>2012-04-18</t>
        </is>
      </c>
      <c r="D652" s="12">
        <f>VALUE(LEFT(B652,4))</f>
        <v/>
      </c>
      <c r="E652" s="12">
        <f>INT((D652-1)/100)+1</f>
        <v/>
      </c>
      <c r="F652" s="12" t="inlineStr">
        <is>
          <t>Wildfire</t>
        </is>
      </c>
      <c r="G652" s="12" t="inlineStr">
        <is>
          <t>Grandview Fire — wildfire, 19.4 acres, Fallsburgh (Sullivan Co.)</t>
        </is>
      </c>
      <c r="H652" s="12" t="inlineStr">
        <is>
          <t>Fallsburgh, Sullivan County; Private Property</t>
        </is>
      </c>
      <c r="I652" s="12" t="inlineStr">
        <is>
          <t>19.4 acres; cause Structure; fuel 7 - Brush - Understory</t>
        </is>
      </c>
      <c r="J652" s="12" t="inlineStr">
        <is>
          <t>41.78041, -74.68294</t>
        </is>
      </c>
      <c r="K652" s="12" t="inlineStr">
        <is>
          <t>Homes Threatened: 65; Other Structures Lost: 5</t>
        </is>
      </c>
      <c r="L652" s="12" t="inlineStr">
        <is>
          <t>NYSDEC Forest Ranger Wildland Fire Reporting Database (Beginning 2008), data.ny.gov export 2026-09-28</t>
        </is>
      </c>
      <c r="M652" s="12" t="inlineStr">
        <is>
          <t>https://data.ny.gov/</t>
        </is>
      </c>
      <c r="N652" s="12" t="inlineStr">
        <is>
          <t>A</t>
        </is>
      </c>
      <c r="O652" s="12" t="inlineStr">
        <is>
          <t>Y</t>
        </is>
      </c>
      <c r="P652" s="12" t="inlineStr">
        <is>
          <t>2026-09-28 (v970, atlas session): bulk ingest per Laurie; fire number NYS-2012-0089; matching 🔥 pin on Natural History.</t>
        </is>
      </c>
      <c r="Q652" s="12" t="inlineStr">
        <is>
          <t>2012-04-14</t>
        </is>
      </c>
      <c r="R652" s="12">
        <f>VALUE(LEFT(Q652,4))</f>
        <v/>
      </c>
      <c r="S652" s="12">
        <f>VALUE(MID(Q652,6,2))</f>
        <v/>
      </c>
      <c r="T652" s="12">
        <f>VALUE(RIGHT(Q652,2))</f>
        <v/>
      </c>
      <c r="U652" s="12" t="inlineStr">
        <is>
          <t>day</t>
        </is>
      </c>
      <c r="V652" s="12" t="inlineStr">
        <is>
          <t>Fire start date (DEC report)</t>
        </is>
      </c>
    </row>
    <row r="653">
      <c r="A653" s="12" t="n">
        <v>772</v>
      </c>
      <c r="B653" s="12" t="inlineStr">
        <is>
          <t>2012-04-16</t>
        </is>
      </c>
      <c r="C653" s="12" t="inlineStr">
        <is>
          <t>2012-04-16</t>
        </is>
      </c>
      <c r="D653" s="12">
        <f>VALUE(LEFT(B653,4))</f>
        <v/>
      </c>
      <c r="E653" s="12">
        <f>INT((D653-1)/100)+1</f>
        <v/>
      </c>
      <c r="F653" s="12" t="inlineStr">
        <is>
          <t>Wildfire</t>
        </is>
      </c>
      <c r="G653" s="12" t="inlineStr">
        <is>
          <t>Leahy Fire — wildfire, 1.8 acres, Triangle (Broome Co.)</t>
        </is>
      </c>
      <c r="H653" s="12" t="inlineStr">
        <is>
          <t>Triangle, Broome County; Private Property</t>
        </is>
      </c>
      <c r="I653" s="12" t="inlineStr">
        <is>
          <t>1.8 acres; cause Smoking; fuel 9 - Timber - Medium Hardwood Litter</t>
        </is>
      </c>
      <c r="J653" s="12" t="inlineStr">
        <is>
          <t>42.36491, -75.96400</t>
        </is>
      </c>
      <c r="K653" s="12" t="inlineStr">
        <is>
          <t>No losses reported</t>
        </is>
      </c>
      <c r="L653" s="12" t="inlineStr">
        <is>
          <t>NYSDEC Forest Ranger Wildland Fire Reporting Database (Beginning 2008), data.ny.gov export 2026-09-28</t>
        </is>
      </c>
      <c r="M653" s="12" t="inlineStr">
        <is>
          <t>https://data.ny.gov/</t>
        </is>
      </c>
      <c r="N653" s="12" t="inlineStr">
        <is>
          <t>A</t>
        </is>
      </c>
      <c r="O653" s="12" t="inlineStr">
        <is>
          <t>Y</t>
        </is>
      </c>
      <c r="P653" s="12" t="inlineStr">
        <is>
          <t>2026-09-28 (v970, atlas session): bulk ingest per Laurie; fire number NYS-2012-0094; matching 🔥 pin on Natural History.</t>
        </is>
      </c>
      <c r="Q653" s="12" t="inlineStr">
        <is>
          <t>2012-04-16</t>
        </is>
      </c>
      <c r="R653" s="12">
        <f>VALUE(LEFT(Q653,4))</f>
        <v/>
      </c>
      <c r="S653" s="12">
        <f>VALUE(MID(Q653,6,2))</f>
        <v/>
      </c>
      <c r="T653" s="12">
        <f>VALUE(RIGHT(Q653,2))</f>
        <v/>
      </c>
      <c r="U653" s="12" t="inlineStr">
        <is>
          <t>day</t>
        </is>
      </c>
      <c r="V653" s="12" t="inlineStr">
        <is>
          <t>Fire start date (DEC report)</t>
        </is>
      </c>
    </row>
    <row r="654">
      <c r="A654" s="12" t="n">
        <v>775</v>
      </c>
      <c r="B654" s="12" t="inlineStr">
        <is>
          <t>2021-03-09</t>
        </is>
      </c>
      <c r="C654" s="12" t="inlineStr">
        <is>
          <t>2021-03-10</t>
        </is>
      </c>
      <c r="D654" s="12">
        <f>VALUE(LEFT(B654,4))</f>
        <v/>
      </c>
      <c r="E654" s="12">
        <f>INT((D654-1)/100)+1</f>
        <v/>
      </c>
      <c r="F654" s="12" t="inlineStr">
        <is>
          <t>Wildfire</t>
        </is>
      </c>
      <c r="G654" s="12" t="inlineStr">
        <is>
          <t>Ferguson Road Fire — wildfire, 0.3 acres, Mamakating (Sullivan Co.)</t>
        </is>
      </c>
      <c r="H654" s="12" t="inlineStr">
        <is>
          <t>Mamakating, Sullivan County; State Forest/RF Area — Roosa Gap State Forest</t>
        </is>
      </c>
      <c r="I654" s="12" t="inlineStr">
        <is>
          <t>0.3 acres; cause Incendiary; fuel 7 - Brush - Understory</t>
        </is>
      </c>
      <c r="J654" s="12" t="inlineStr">
        <is>
          <t>41.61157, -74.43306</t>
        </is>
      </c>
      <c r="K654" s="12" t="inlineStr">
        <is>
          <t>No losses reported</t>
        </is>
      </c>
      <c r="L654" s="12" t="inlineStr">
        <is>
          <t>NYSDEC Forest Ranger Wildland Fire Reporting Database (Beginning 2008), data.ny.gov export 2026-09-28</t>
        </is>
      </c>
      <c r="M654" s="12" t="inlineStr">
        <is>
          <t>https://data.ny.gov/</t>
        </is>
      </c>
      <c r="N654" s="12" t="inlineStr">
        <is>
          <t>A</t>
        </is>
      </c>
      <c r="O654" s="12" t="inlineStr">
        <is>
          <t>Y</t>
        </is>
      </c>
      <c r="P654" s="12" t="inlineStr">
        <is>
          <t>2026-09-28 (v970, atlas session): bulk ingest per Laurie; fire number NYS-2021-0001; matching 🔥 pin on Natural History.</t>
        </is>
      </c>
      <c r="Q654" s="12" t="inlineStr">
        <is>
          <t>2021-03-09</t>
        </is>
      </c>
      <c r="R654" s="12">
        <f>VALUE(LEFT(Q654,4))</f>
        <v/>
      </c>
      <c r="S654" s="12">
        <f>VALUE(MID(Q654,6,2))</f>
        <v/>
      </c>
      <c r="T654" s="12">
        <f>VALUE(RIGHT(Q654,2))</f>
        <v/>
      </c>
      <c r="U654" s="12" t="inlineStr">
        <is>
          <t>day</t>
        </is>
      </c>
      <c r="V654" s="12" t="inlineStr">
        <is>
          <t>Fire start date (DEC report)</t>
        </is>
      </c>
    </row>
    <row r="655">
      <c r="A655" s="12" t="n">
        <v>777</v>
      </c>
      <c r="B655" s="12" t="inlineStr">
        <is>
          <t>2020-05-24</t>
        </is>
      </c>
      <c r="C655" s="12" t="inlineStr">
        <is>
          <t>2020-05-24</t>
        </is>
      </c>
      <c r="D655" s="12">
        <f>VALUE(LEFT(B655,4))</f>
        <v/>
      </c>
      <c r="E655" s="12">
        <f>INT((D655-1)/100)+1</f>
        <v/>
      </c>
      <c r="F655" s="12" t="inlineStr">
        <is>
          <t>Wildfire</t>
        </is>
      </c>
      <c r="G655" s="12" t="inlineStr">
        <is>
          <t>Harvey Mountain Fire — wildfire, 1.8 acres, Austerlitz (Columbia Co.)</t>
        </is>
      </c>
      <c r="H655" s="12" t="inlineStr">
        <is>
          <t>Austerlitz, Columbia County; State Forest/RF Area — Harvey Mountain SF</t>
        </is>
      </c>
      <c r="I655" s="12" t="inlineStr">
        <is>
          <t>1.8 acres; cause Campfire; fuel 8 - Timber - Light Hardwood Litter</t>
        </is>
      </c>
      <c r="J655" s="12" t="inlineStr">
        <is>
          <t>42.32431, -73.43893</t>
        </is>
      </c>
      <c r="K655" s="12" t="inlineStr">
        <is>
          <t>No losses reported</t>
        </is>
      </c>
      <c r="L655" s="12" t="inlineStr">
        <is>
          <t>NYSDEC Forest Ranger Wildland Fire Reporting Database (Beginning 2008), data.ny.gov export 2026-09-28</t>
        </is>
      </c>
      <c r="M655" s="12" t="inlineStr">
        <is>
          <t>https://data.ny.gov/</t>
        </is>
      </c>
      <c r="N655" s="12" t="inlineStr">
        <is>
          <t>A</t>
        </is>
      </c>
      <c r="O655" s="12" t="inlineStr">
        <is>
          <t>Y</t>
        </is>
      </c>
      <c r="P655" s="12" t="inlineStr">
        <is>
          <t>2026-09-28 (v970, atlas session): bulk ingest per Laurie; fire number NYS-2020-0064; matching 🔥 pin on Natural History.</t>
        </is>
      </c>
      <c r="Q655" s="12" t="inlineStr">
        <is>
          <t>2020-05-24</t>
        </is>
      </c>
      <c r="R655" s="12">
        <f>VALUE(LEFT(Q655,4))</f>
        <v/>
      </c>
      <c r="S655" s="12">
        <f>VALUE(MID(Q655,6,2))</f>
        <v/>
      </c>
      <c r="T655" s="12">
        <f>VALUE(RIGHT(Q655,2))</f>
        <v/>
      </c>
      <c r="U655" s="12" t="inlineStr">
        <is>
          <t>day</t>
        </is>
      </c>
      <c r="V655" s="12" t="inlineStr">
        <is>
          <t>Fire start date (DEC report)</t>
        </is>
      </c>
    </row>
    <row r="656">
      <c r="A656" s="12" t="n">
        <v>779</v>
      </c>
      <c r="B656" s="12" t="inlineStr">
        <is>
          <t>2008-04-25</t>
        </is>
      </c>
      <c r="C656" s="12" t="inlineStr">
        <is>
          <t>2008-04-25</t>
        </is>
      </c>
      <c r="D656" s="12">
        <f>VALUE(LEFT(B656,4))</f>
        <v/>
      </c>
      <c r="E656" s="12">
        <f>INT((D656-1)/100)+1</f>
        <v/>
      </c>
      <c r="F656" s="12" t="inlineStr">
        <is>
          <t>Wildfire</t>
        </is>
      </c>
      <c r="G656" s="12" t="inlineStr">
        <is>
          <t>Bennett — wildfire, 1.5 acres, Windsor (Broome Co.)</t>
        </is>
      </c>
      <c r="H656" s="12" t="inlineStr">
        <is>
          <t>Windsor, Broome County; Private Property</t>
        </is>
      </c>
      <c r="I656" s="12" t="inlineStr">
        <is>
          <t>1.5 acres; cause Debris Burning; fuel 8 - Timber - Light Hardwood Litter</t>
        </is>
      </c>
      <c r="J656" s="12" t="inlineStr">
        <is>
          <t>42.11896, -75.75542</t>
        </is>
      </c>
      <c r="K656" s="12" t="inlineStr">
        <is>
          <t>No losses reported</t>
        </is>
      </c>
      <c r="L656" s="12" t="inlineStr">
        <is>
          <t>NYSDEC Forest Ranger Wildland Fire Reporting Database (Beginning 2008), data.ny.gov export 2026-09-28</t>
        </is>
      </c>
      <c r="M656" s="12" t="inlineStr">
        <is>
          <t>https://data.ny.gov/</t>
        </is>
      </c>
      <c r="N656" s="12" t="inlineStr">
        <is>
          <t>A</t>
        </is>
      </c>
      <c r="O656" s="12" t="inlineStr">
        <is>
          <t>Y</t>
        </is>
      </c>
      <c r="P656" s="12" t="inlineStr">
        <is>
          <t>2026-09-28 (v970, atlas session): bulk ingest per Laurie; fire number NYS-2008-0133; matching 🔥 pin on Natural History.</t>
        </is>
      </c>
      <c r="Q656" s="12" t="inlineStr">
        <is>
          <t>2008-04-25</t>
        </is>
      </c>
      <c r="R656" s="12">
        <f>VALUE(LEFT(Q656,4))</f>
        <v/>
      </c>
      <c r="S656" s="12">
        <f>VALUE(MID(Q656,6,2))</f>
        <v/>
      </c>
      <c r="T656" s="12">
        <f>VALUE(RIGHT(Q656,2))</f>
        <v/>
      </c>
      <c r="U656" s="12" t="inlineStr">
        <is>
          <t>day</t>
        </is>
      </c>
      <c r="V656" s="12" t="inlineStr">
        <is>
          <t>Fire start date (DEC report)</t>
        </is>
      </c>
    </row>
    <row r="657">
      <c r="A657" s="12" t="n">
        <v>780</v>
      </c>
      <c r="B657" s="12" t="inlineStr">
        <is>
          <t>2013-05-03</t>
        </is>
      </c>
      <c r="C657" s="12" t="inlineStr">
        <is>
          <t>2013-05-04</t>
        </is>
      </c>
      <c r="D657" s="12">
        <f>VALUE(LEFT(B657,4))</f>
        <v/>
      </c>
      <c r="E657" s="12">
        <f>INT((D657-1)/100)+1</f>
        <v/>
      </c>
      <c r="F657" s="12" t="inlineStr">
        <is>
          <t>Wildfire</t>
        </is>
      </c>
      <c r="G657" s="12" t="inlineStr">
        <is>
          <t>Hawthorn Valley Fire — wildfire, 1 acres, Hillsdale (Columbia Co.)</t>
        </is>
      </c>
      <c r="H657" s="12" t="inlineStr">
        <is>
          <t>Hillsdale, Columbia County; Private Property</t>
        </is>
      </c>
      <c r="I657" s="12" t="inlineStr">
        <is>
          <t>1 acres; cause Smoking; fuel 8 - Timber - Light Hardwood Litter</t>
        </is>
      </c>
      <c r="J657" s="12" t="inlineStr">
        <is>
          <t>42.26826, -73.59048</t>
        </is>
      </c>
      <c r="K657" s="12" t="inlineStr">
        <is>
          <t>No losses reported</t>
        </is>
      </c>
      <c r="L657" s="12" t="inlineStr">
        <is>
          <t>NYSDEC Forest Ranger Wildland Fire Reporting Database (Beginning 2008), data.ny.gov export 2026-09-28</t>
        </is>
      </c>
      <c r="M657" s="12" t="inlineStr">
        <is>
          <t>https://data.ny.gov/</t>
        </is>
      </c>
      <c r="N657" s="12" t="inlineStr">
        <is>
          <t>A</t>
        </is>
      </c>
      <c r="O657" s="12" t="inlineStr">
        <is>
          <t>Y</t>
        </is>
      </c>
      <c r="P657" s="12" t="inlineStr">
        <is>
          <t>2026-09-28 (v970, atlas session): bulk ingest per Laurie; fire number NYS-2013-0055; matching 🔥 pin on Natural History.</t>
        </is>
      </c>
      <c r="Q657" s="12" t="inlineStr">
        <is>
          <t>2013-05-03</t>
        </is>
      </c>
      <c r="R657" s="12">
        <f>VALUE(LEFT(Q657,4))</f>
        <v/>
      </c>
      <c r="S657" s="12">
        <f>VALUE(MID(Q657,6,2))</f>
        <v/>
      </c>
      <c r="T657" s="12">
        <f>VALUE(RIGHT(Q657,2))</f>
        <v/>
      </c>
      <c r="U657" s="12" t="inlineStr">
        <is>
          <t>day</t>
        </is>
      </c>
      <c r="V657" s="12" t="inlineStr">
        <is>
          <t>Fire start date (DEC report)</t>
        </is>
      </c>
    </row>
    <row r="658">
      <c r="A658" s="12" t="n">
        <v>783</v>
      </c>
      <c r="B658" s="12" t="inlineStr">
        <is>
          <t>2021-03-26</t>
        </is>
      </c>
      <c r="C658" s="12" t="inlineStr">
        <is>
          <t>2021-03-26</t>
        </is>
      </c>
      <c r="D658" s="12">
        <f>VALUE(LEFT(B658,4))</f>
        <v/>
      </c>
      <c r="E658" s="12">
        <f>INT((D658-1)/100)+1</f>
        <v/>
      </c>
      <c r="F658" s="12" t="inlineStr">
        <is>
          <t>Wildfire</t>
        </is>
      </c>
      <c r="G658" s="12" t="inlineStr">
        <is>
          <t>Wilburt Flats Rd Fire — wildfire, 0.2 acres, Milan (Dutchess Co.)</t>
        </is>
      </c>
      <c r="H658" s="12" t="inlineStr">
        <is>
          <t>Milan, Dutchess County; State Forest/RF Area — Lafayetteville MUA</t>
        </is>
      </c>
      <c r="I658" s="12" t="inlineStr">
        <is>
          <t>0.2 acres; cause Miscellaneous; fuel 1 - Grass - Light</t>
        </is>
      </c>
      <c r="J658" s="12" t="inlineStr">
        <is>
          <t>41.97528, -73.73485</t>
        </is>
      </c>
      <c r="K658" s="12" t="inlineStr">
        <is>
          <t>No losses reported</t>
        </is>
      </c>
      <c r="L658" s="12" t="inlineStr">
        <is>
          <t>NYSDEC Forest Ranger Wildland Fire Reporting Database (Beginning 2008), data.ny.gov export 2026-09-28</t>
        </is>
      </c>
      <c r="M658" s="12" t="inlineStr">
        <is>
          <t>https://data.ny.gov/</t>
        </is>
      </c>
      <c r="N658" s="12" t="inlineStr">
        <is>
          <t>A</t>
        </is>
      </c>
      <c r="O658" s="12" t="inlineStr">
        <is>
          <t>Y</t>
        </is>
      </c>
      <c r="P658" s="12" t="inlineStr">
        <is>
          <t>2026-09-28 (v970, atlas session): bulk ingest per Laurie; fire number NYS-2021-0043; matching 🔥 pin on Natural History.</t>
        </is>
      </c>
      <c r="Q658" s="12" t="inlineStr">
        <is>
          <t>2021-03-26</t>
        </is>
      </c>
      <c r="R658" s="12">
        <f>VALUE(LEFT(Q658,4))</f>
        <v/>
      </c>
      <c r="S658" s="12">
        <f>VALUE(MID(Q658,6,2))</f>
        <v/>
      </c>
      <c r="T658" s="12">
        <f>VALUE(RIGHT(Q658,2))</f>
        <v/>
      </c>
      <c r="U658" s="12" t="inlineStr">
        <is>
          <t>day</t>
        </is>
      </c>
      <c r="V658" s="12" t="inlineStr">
        <is>
          <t>Fire start date (DEC report)</t>
        </is>
      </c>
    </row>
    <row r="659">
      <c r="A659" s="12" t="n">
        <v>784</v>
      </c>
      <c r="B659" s="12" t="inlineStr">
        <is>
          <t>2022-05-11</t>
        </is>
      </c>
      <c r="C659" s="12" t="inlineStr">
        <is>
          <t>2022-05-14</t>
        </is>
      </c>
      <c r="D659" s="12">
        <f>VALUE(LEFT(B659,4))</f>
        <v/>
      </c>
      <c r="E659" s="12">
        <f>INT((D659-1)/100)+1</f>
        <v/>
      </c>
      <c r="F659" s="12" t="inlineStr">
        <is>
          <t>Wildfire</t>
        </is>
      </c>
      <c r="G659" s="12" t="inlineStr">
        <is>
          <t>Walling Road — wildfire, 10.5 acres, Colesville (Broome Co.)</t>
        </is>
      </c>
      <c r="H659" s="12" t="inlineStr">
        <is>
          <t>Colesville, Broome County; Private Property</t>
        </is>
      </c>
      <c r="I659" s="12" t="inlineStr">
        <is>
          <t>10.5 acres; cause Equipment; fuel 9 - Timber - Medium Hardwood Litter</t>
        </is>
      </c>
      <c r="J659" s="12" t="inlineStr">
        <is>
          <t>42.21783, -75.71100</t>
        </is>
      </c>
      <c r="K659" s="12" t="inlineStr">
        <is>
          <t>No losses reported</t>
        </is>
      </c>
      <c r="L659" s="12" t="inlineStr">
        <is>
          <t>NYSDEC Forest Ranger Wildland Fire Reporting Database (Beginning 2008), data.ny.gov export 2026-09-28</t>
        </is>
      </c>
      <c r="M659" s="12" t="inlineStr">
        <is>
          <t>https://data.ny.gov/</t>
        </is>
      </c>
      <c r="N659" s="12" t="inlineStr">
        <is>
          <t>A</t>
        </is>
      </c>
      <c r="O659" s="12" t="inlineStr">
        <is>
          <t>Y</t>
        </is>
      </c>
      <c r="P659" s="12" t="inlineStr">
        <is>
          <t>2026-09-28 (v970, atlas session): bulk ingest per Laurie; fire number NYS-2022-0079; matching 🔥 pin on Natural History.</t>
        </is>
      </c>
      <c r="Q659" s="12" t="inlineStr">
        <is>
          <t>2022-05-11</t>
        </is>
      </c>
      <c r="R659" s="12">
        <f>VALUE(LEFT(Q659,4))</f>
        <v/>
      </c>
      <c r="S659" s="12">
        <f>VALUE(MID(Q659,6,2))</f>
        <v/>
      </c>
      <c r="T659" s="12">
        <f>VALUE(RIGHT(Q659,2))</f>
        <v/>
      </c>
      <c r="U659" s="12" t="inlineStr">
        <is>
          <t>day</t>
        </is>
      </c>
      <c r="V659" s="12" t="inlineStr">
        <is>
          <t>Fire start date (DEC report)</t>
        </is>
      </c>
    </row>
    <row r="660">
      <c r="A660" s="12" t="n">
        <v>785</v>
      </c>
      <c r="B660" s="12" t="inlineStr">
        <is>
          <t>2014-04-14</t>
        </is>
      </c>
      <c r="C660" s="12" t="inlineStr">
        <is>
          <t>2014-04-14</t>
        </is>
      </c>
      <c r="D660" s="12">
        <f>VALUE(LEFT(B660,4))</f>
        <v/>
      </c>
      <c r="E660" s="12">
        <f>INT((D660-1)/100)+1</f>
        <v/>
      </c>
      <c r="F660" s="12" t="inlineStr">
        <is>
          <t>Wildfire</t>
        </is>
      </c>
      <c r="G660" s="12" t="inlineStr">
        <is>
          <t>Runyon Fire — wildfire, 15.3 acres, Claverack (Columbia Co.)</t>
        </is>
      </c>
      <c r="H660" s="12" t="inlineStr">
        <is>
          <t>Claverack, Columbia County; Private Property</t>
        </is>
      </c>
      <c r="I660" s="12" t="inlineStr">
        <is>
          <t>15.3 acres; cause Incendiary; fuel 4 - Brush - Heavy/Volatile</t>
        </is>
      </c>
      <c r="J660" s="12" t="inlineStr">
        <is>
          <t>42.22732, -73.71089</t>
        </is>
      </c>
      <c r="K660" s="12" t="inlineStr">
        <is>
          <t>No losses reported</t>
        </is>
      </c>
      <c r="L660" s="12" t="inlineStr">
        <is>
          <t>NYSDEC Forest Ranger Wildland Fire Reporting Database (Beginning 2008), data.ny.gov export 2026-09-28</t>
        </is>
      </c>
      <c r="M660" s="12" t="inlineStr">
        <is>
          <t>https://data.ny.gov/</t>
        </is>
      </c>
      <c r="N660" s="12" t="inlineStr">
        <is>
          <t>A</t>
        </is>
      </c>
      <c r="O660" s="12" t="inlineStr">
        <is>
          <t>Y</t>
        </is>
      </c>
      <c r="P660" s="12" t="inlineStr">
        <is>
          <t>2026-09-28 (v970, atlas session): bulk ingest per Laurie; fire number NYS-2014-0036; matching 🔥 pin on Natural History.</t>
        </is>
      </c>
      <c r="Q660" s="12" t="inlineStr">
        <is>
          <t>2014-04-14</t>
        </is>
      </c>
      <c r="R660" s="12">
        <f>VALUE(LEFT(Q660,4))</f>
        <v/>
      </c>
      <c r="S660" s="12">
        <f>VALUE(MID(Q660,6,2))</f>
        <v/>
      </c>
      <c r="T660" s="12">
        <f>VALUE(RIGHT(Q660,2))</f>
        <v/>
      </c>
      <c r="U660" s="12" t="inlineStr">
        <is>
          <t>day</t>
        </is>
      </c>
      <c r="V660" s="12" t="inlineStr">
        <is>
          <t>Fire start date (DEC report)</t>
        </is>
      </c>
    </row>
    <row r="661">
      <c r="A661" s="12" t="n">
        <v>788</v>
      </c>
      <c r="B661" s="12" t="inlineStr">
        <is>
          <t>2009-03-24</t>
        </is>
      </c>
      <c r="C661" s="12" t="inlineStr">
        <is>
          <t>2009-03-24</t>
        </is>
      </c>
      <c r="D661" s="12">
        <f>VALUE(LEFT(B661,4))</f>
        <v/>
      </c>
      <c r="E661" s="12">
        <f>INT((D661-1)/100)+1</f>
        <v/>
      </c>
      <c r="F661" s="12" t="inlineStr">
        <is>
          <t>Wildfire</t>
        </is>
      </c>
      <c r="G661" s="12" t="inlineStr">
        <is>
          <t>College lane Fire — wildfire, 0.3 acres, Washington (Dutchess Co.)</t>
        </is>
      </c>
      <c r="H661" s="12" t="inlineStr">
        <is>
          <t>Washington, Dutchess County; Private Property</t>
        </is>
      </c>
      <c r="I661" s="12" t="inlineStr">
        <is>
          <t>0.3 acres; cause Debris Burning; fuel 9 - Timber - Medium Hardwood Litter</t>
        </is>
      </c>
      <c r="J661" s="12" t="inlineStr">
        <is>
          <t>41.76924, -73.70797</t>
        </is>
      </c>
      <c r="K661" s="12" t="inlineStr">
        <is>
          <t>Other Structures Lost: 1</t>
        </is>
      </c>
      <c r="L661" s="12" t="inlineStr">
        <is>
          <t>NYSDEC Forest Ranger Wildland Fire Reporting Database (Beginning 2008), data.ny.gov export 2026-09-28</t>
        </is>
      </c>
      <c r="M661" s="12" t="inlineStr">
        <is>
          <t>https://data.ny.gov/</t>
        </is>
      </c>
      <c r="N661" s="12" t="inlineStr">
        <is>
          <t>A</t>
        </is>
      </c>
      <c r="O661" s="12" t="inlineStr">
        <is>
          <t>Y</t>
        </is>
      </c>
      <c r="P661" s="12" t="inlineStr">
        <is>
          <t>2026-09-28 (v970, atlas session): bulk ingest per Laurie; fire number NYS-2009-0017; matching 🔥 pin on Natural History.</t>
        </is>
      </c>
      <c r="Q661" s="12" t="inlineStr">
        <is>
          <t>2009-03-24</t>
        </is>
      </c>
      <c r="R661" s="12">
        <f>VALUE(LEFT(Q661,4))</f>
        <v/>
      </c>
      <c r="S661" s="12">
        <f>VALUE(MID(Q661,6,2))</f>
        <v/>
      </c>
      <c r="T661" s="12">
        <f>VALUE(RIGHT(Q661,2))</f>
        <v/>
      </c>
      <c r="U661" s="12" t="inlineStr">
        <is>
          <t>day</t>
        </is>
      </c>
      <c r="V661" s="12" t="inlineStr">
        <is>
          <t>Fire start date (DEC report)</t>
        </is>
      </c>
    </row>
    <row r="662">
      <c r="A662" s="12" t="n">
        <v>789</v>
      </c>
      <c r="B662" s="12" t="inlineStr">
        <is>
          <t>2015-04-02</t>
        </is>
      </c>
      <c r="C662" s="12" t="inlineStr">
        <is>
          <t>2015-04-03</t>
        </is>
      </c>
      <c r="D662" s="12">
        <f>VALUE(LEFT(B662,4))</f>
        <v/>
      </c>
      <c r="E662" s="12">
        <f>INT((D662-1)/100)+1</f>
        <v/>
      </c>
      <c r="F662" s="12" t="inlineStr">
        <is>
          <t>Wildfire</t>
        </is>
      </c>
      <c r="G662" s="12" t="inlineStr">
        <is>
          <t>Timmerman Hill Fire — wildfire, 16.2 acres, Catskill (Greene Co.)</t>
        </is>
      </c>
      <c r="H662" s="12" t="inlineStr">
        <is>
          <t>Catskill, Greene County; Private Property</t>
        </is>
      </c>
      <c r="I662" s="12" t="inlineStr">
        <is>
          <t>16.2 acres; cause Debris Burning; fuel 9 - Timber - Medium Hardwood Litter</t>
        </is>
      </c>
      <c r="J662" s="12" t="inlineStr">
        <is>
          <t>42.18828, -73.94631</t>
        </is>
      </c>
      <c r="K662" s="12" t="inlineStr">
        <is>
          <t>Homes Threatened: 1</t>
        </is>
      </c>
      <c r="L662" s="12" t="inlineStr">
        <is>
          <t>NYSDEC Forest Ranger Wildland Fire Reporting Database (Beginning 2008), data.ny.gov export 2026-09-28</t>
        </is>
      </c>
      <c r="M662" s="12" t="inlineStr">
        <is>
          <t>https://data.ny.gov/</t>
        </is>
      </c>
      <c r="N662" s="12" t="inlineStr">
        <is>
          <t>A</t>
        </is>
      </c>
      <c r="O662" s="12" t="inlineStr">
        <is>
          <t>Y</t>
        </is>
      </c>
      <c r="P662" s="12" t="inlineStr">
        <is>
          <t>2026-09-28 (v970, atlas session): bulk ingest per Laurie; fire number NYS-2015-0002; matching 🔥 pin on Natural History.</t>
        </is>
      </c>
      <c r="Q662" s="12" t="inlineStr">
        <is>
          <t>2015-04-02</t>
        </is>
      </c>
      <c r="R662" s="12">
        <f>VALUE(LEFT(Q662,4))</f>
        <v/>
      </c>
      <c r="S662" s="12">
        <f>VALUE(MID(Q662,6,2))</f>
        <v/>
      </c>
      <c r="T662" s="12">
        <f>VALUE(RIGHT(Q662,2))</f>
        <v/>
      </c>
      <c r="U662" s="12" t="inlineStr">
        <is>
          <t>day</t>
        </is>
      </c>
      <c r="V662" s="12" t="inlineStr">
        <is>
          <t>Fire start date (DEC report)</t>
        </is>
      </c>
    </row>
    <row r="663">
      <c r="A663" s="12" t="n">
        <v>790</v>
      </c>
      <c r="B663" s="12" t="inlineStr">
        <is>
          <t>2011-04-22</t>
        </is>
      </c>
      <c r="C663" s="12" t="inlineStr">
        <is>
          <t>2011-04-22</t>
        </is>
      </c>
      <c r="D663" s="12">
        <f>VALUE(LEFT(B663,4))</f>
        <v/>
      </c>
      <c r="E663" s="12">
        <f>INT((D663-1)/100)+1</f>
        <v/>
      </c>
      <c r="F663" s="12" t="inlineStr">
        <is>
          <t>Wildfire</t>
        </is>
      </c>
      <c r="G663" s="12" t="inlineStr">
        <is>
          <t>Parker — wildfire, 0.3 acres, Triangle (Broome Co.)</t>
        </is>
      </c>
      <c r="H663" s="12" t="inlineStr">
        <is>
          <t>Triangle, Broome County; Private Property</t>
        </is>
      </c>
      <c r="I663" s="12" t="inlineStr">
        <is>
          <t>0.3 acres; cause Incendiary; fuel 1 - Grass - Light</t>
        </is>
      </c>
      <c r="J663" s="12" t="inlineStr">
        <is>
          <t>42.34370, -75.86086</t>
        </is>
      </c>
      <c r="K663" s="12" t="inlineStr">
        <is>
          <t>No losses reported</t>
        </is>
      </c>
      <c r="L663" s="12" t="inlineStr">
        <is>
          <t>NYSDEC Forest Ranger Wildland Fire Reporting Database (Beginning 2008), data.ny.gov export 2026-09-28</t>
        </is>
      </c>
      <c r="M663" s="12" t="inlineStr">
        <is>
          <t>https://data.ny.gov/</t>
        </is>
      </c>
      <c r="N663" s="12" t="inlineStr">
        <is>
          <t>A</t>
        </is>
      </c>
      <c r="O663" s="12" t="inlineStr">
        <is>
          <t>Y</t>
        </is>
      </c>
      <c r="P663" s="12" t="inlineStr">
        <is>
          <t>2026-09-28 (v970, atlas session): bulk ingest per Laurie; fire number NYS-2011-0010; matching 🔥 pin on Natural History.</t>
        </is>
      </c>
      <c r="Q663" s="12" t="inlineStr">
        <is>
          <t>2011-04-22</t>
        </is>
      </c>
      <c r="R663" s="12">
        <f>VALUE(LEFT(Q663,4))</f>
        <v/>
      </c>
      <c r="S663" s="12">
        <f>VALUE(MID(Q663,6,2))</f>
        <v/>
      </c>
      <c r="T663" s="12">
        <f>VALUE(RIGHT(Q663,2))</f>
        <v/>
      </c>
      <c r="U663" s="12" t="inlineStr">
        <is>
          <t>day</t>
        </is>
      </c>
      <c r="V663" s="12" t="inlineStr">
        <is>
          <t>Fire start date (DEC report)</t>
        </is>
      </c>
    </row>
    <row r="664">
      <c r="A664" s="12" t="n">
        <v>791</v>
      </c>
      <c r="B664" s="12" t="inlineStr">
        <is>
          <t>2020-03-27</t>
        </is>
      </c>
      <c r="C664" s="12" t="inlineStr">
        <is>
          <t>2020-03-27</t>
        </is>
      </c>
      <c r="D664" s="12">
        <f>VALUE(LEFT(B664,4))</f>
        <v/>
      </c>
      <c r="E664" s="12">
        <f>INT((D664-1)/100)+1</f>
        <v/>
      </c>
      <c r="F664" s="12" t="inlineStr">
        <is>
          <t>Wildfire</t>
        </is>
      </c>
      <c r="G664" s="12" t="inlineStr">
        <is>
          <t>Barryville-Yulan Rd Fire — wildfire, 1 acres, Highland (Sullivan Co.)</t>
        </is>
      </c>
      <c r="H664" s="12" t="inlineStr">
        <is>
          <t>Highland, Sullivan County; Private Property</t>
        </is>
      </c>
      <c r="I664" s="12" t="inlineStr">
        <is>
          <t>1 acres; cause Power line; fuel 9 - Timber - Medium Hardwood Litter</t>
        </is>
      </c>
      <c r="J664" s="12" t="inlineStr">
        <is>
          <t>41.48202, -74.92923</t>
        </is>
      </c>
      <c r="K664" s="12" t="inlineStr">
        <is>
          <t>No losses reported</t>
        </is>
      </c>
      <c r="L664" s="12" t="inlineStr">
        <is>
          <t>NYSDEC Forest Ranger Wildland Fire Reporting Database (Beginning 2008), data.ny.gov export 2026-09-28</t>
        </is>
      </c>
      <c r="M664" s="12" t="inlineStr">
        <is>
          <t>https://data.ny.gov/</t>
        </is>
      </c>
      <c r="N664" s="12" t="inlineStr">
        <is>
          <t>A</t>
        </is>
      </c>
      <c r="O664" s="12" t="inlineStr">
        <is>
          <t>Y</t>
        </is>
      </c>
      <c r="P664" s="12" t="inlineStr">
        <is>
          <t>2026-09-28 (v970, atlas session): bulk ingest per Laurie; fire number NYS-2020-0024; matching 🔥 pin on Natural History.</t>
        </is>
      </c>
      <c r="Q664" s="12" t="inlineStr">
        <is>
          <t>2020-03-27</t>
        </is>
      </c>
      <c r="R664" s="12">
        <f>VALUE(LEFT(Q664,4))</f>
        <v/>
      </c>
      <c r="S664" s="12">
        <f>VALUE(MID(Q664,6,2))</f>
        <v/>
      </c>
      <c r="T664" s="12">
        <f>VALUE(RIGHT(Q664,2))</f>
        <v/>
      </c>
      <c r="U664" s="12" t="inlineStr">
        <is>
          <t>day</t>
        </is>
      </c>
      <c r="V664" s="12" t="inlineStr">
        <is>
          <t>Fire start date (DEC report)</t>
        </is>
      </c>
    </row>
    <row r="665">
      <c r="A665" s="12" t="n">
        <v>793</v>
      </c>
      <c r="B665" s="12" t="inlineStr">
        <is>
          <t>2008-04-15</t>
        </is>
      </c>
      <c r="C665" s="12" t="inlineStr">
        <is>
          <t>2008-04-15</t>
        </is>
      </c>
      <c r="D665" s="12">
        <f>VALUE(LEFT(B665,4))</f>
        <v/>
      </c>
      <c r="E665" s="12">
        <f>INT((D665-1)/100)+1</f>
        <v/>
      </c>
      <c r="F665" s="12" t="inlineStr">
        <is>
          <t>Wildfire</t>
        </is>
      </c>
      <c r="G665" s="12" t="inlineStr">
        <is>
          <t>Catskill Resort Fire — wildfire, 1 acres, Catskill (Greene Co.)</t>
        </is>
      </c>
      <c r="H665" s="12" t="inlineStr">
        <is>
          <t>Catskill, Greene County; Private Property</t>
        </is>
      </c>
      <c r="I665" s="12" t="inlineStr">
        <is>
          <t>1 acres; cause Debris Burning; fuel 9 - Timber - Medium Hardwood Litter</t>
        </is>
      </c>
      <c r="J665" s="12" t="inlineStr">
        <is>
          <t>42.17623, -74.02845</t>
        </is>
      </c>
      <c r="K665" s="12" t="inlineStr">
        <is>
          <t>Homes Lost: 1; Homes Threatened: 1; Other Structures Threatened: 1</t>
        </is>
      </c>
      <c r="L665" s="12" t="inlineStr">
        <is>
          <t>NYSDEC Forest Ranger Wildland Fire Reporting Database (Beginning 2008), data.ny.gov export 2026-09-28</t>
        </is>
      </c>
      <c r="M665" s="12" t="inlineStr">
        <is>
          <t>https://data.ny.gov/</t>
        </is>
      </c>
      <c r="N665" s="12" t="inlineStr">
        <is>
          <t>A</t>
        </is>
      </c>
      <c r="O665" s="12" t="inlineStr">
        <is>
          <t>Y</t>
        </is>
      </c>
      <c r="P665" s="12" t="inlineStr">
        <is>
          <t>2026-09-28 (v970, atlas session): bulk ingest per Laurie; fire number NYS-2008-0021; matching 🔥 pin on Natural History.</t>
        </is>
      </c>
      <c r="Q665" s="12" t="inlineStr">
        <is>
          <t>2008-04-15</t>
        </is>
      </c>
      <c r="R665" s="12">
        <f>VALUE(LEFT(Q665,4))</f>
        <v/>
      </c>
      <c r="S665" s="12">
        <f>VALUE(MID(Q665,6,2))</f>
        <v/>
      </c>
      <c r="T665" s="12">
        <f>VALUE(RIGHT(Q665,2))</f>
        <v/>
      </c>
      <c r="U665" s="12" t="inlineStr">
        <is>
          <t>day</t>
        </is>
      </c>
      <c r="V665" s="12" t="inlineStr">
        <is>
          <t>Fire start date (DEC report)</t>
        </is>
      </c>
    </row>
    <row r="666">
      <c r="A666" s="12" t="n">
        <v>794</v>
      </c>
      <c r="B666" s="12" t="inlineStr">
        <is>
          <t>2015-04-16</t>
        </is>
      </c>
      <c r="C666" s="12" t="inlineStr">
        <is>
          <t>2015-04-17</t>
        </is>
      </c>
      <c r="D666" s="12">
        <f>VALUE(LEFT(B666,4))</f>
        <v/>
      </c>
      <c r="E666" s="12">
        <f>INT((D666-1)/100)+1</f>
        <v/>
      </c>
      <c r="F666" s="12" t="inlineStr">
        <is>
          <t>Wildfire</t>
        </is>
      </c>
      <c r="G666" s="12" t="inlineStr">
        <is>
          <t>Sack's Lodge Fire — wildfire, 6 acres, Saugerties (Ulster Co.)</t>
        </is>
      </c>
      <c r="H666" s="12" t="inlineStr">
        <is>
          <t>Saugerties, Ulster County; Private Property</t>
        </is>
      </c>
      <c r="I666" s="12" t="inlineStr">
        <is>
          <t>6 acres; cause Miscellaneous; fuel 9 - Timber - Medium Hardwood Litter</t>
        </is>
      </c>
      <c r="J666" s="12" t="inlineStr">
        <is>
          <t>42.13105, -73.97474</t>
        </is>
      </c>
      <c r="K666" s="12" t="inlineStr">
        <is>
          <t>No losses reported</t>
        </is>
      </c>
      <c r="L666" s="12" t="inlineStr">
        <is>
          <t>NYSDEC Forest Ranger Wildland Fire Reporting Database (Beginning 2008), data.ny.gov export 2026-09-28</t>
        </is>
      </c>
      <c r="M666" s="12" t="inlineStr">
        <is>
          <t>https://data.ny.gov/</t>
        </is>
      </c>
      <c r="N666" s="12" t="inlineStr">
        <is>
          <t>A</t>
        </is>
      </c>
      <c r="O666" s="12" t="inlineStr">
        <is>
          <t>Y</t>
        </is>
      </c>
      <c r="P666" s="12" t="inlineStr">
        <is>
          <t>2026-09-28 (v970, atlas session): bulk ingest per Laurie; fire number NYS-2015-0024; matching 🔥 pin on Natural History.</t>
        </is>
      </c>
      <c r="Q666" s="12" t="inlineStr">
        <is>
          <t>2015-04-16</t>
        </is>
      </c>
      <c r="R666" s="12">
        <f>VALUE(LEFT(Q666,4))</f>
        <v/>
      </c>
      <c r="S666" s="12">
        <f>VALUE(MID(Q666,6,2))</f>
        <v/>
      </c>
      <c r="T666" s="12">
        <f>VALUE(RIGHT(Q666,2))</f>
        <v/>
      </c>
      <c r="U666" s="12" t="inlineStr">
        <is>
          <t>day</t>
        </is>
      </c>
      <c r="V666" s="12" t="inlineStr">
        <is>
          <t>Fire start date (DEC report)</t>
        </is>
      </c>
    </row>
    <row r="667">
      <c r="A667" s="12" t="n">
        <v>795</v>
      </c>
      <c r="B667" s="12" t="inlineStr">
        <is>
          <t>2012-07-19</t>
        </is>
      </c>
      <c r="C667" s="12" t="inlineStr">
        <is>
          <t>2012-07-23</t>
        </is>
      </c>
      <c r="D667" s="12">
        <f>VALUE(LEFT(B667,4))</f>
        <v/>
      </c>
      <c r="E667" s="12">
        <f>INT((D667-1)/100)+1</f>
        <v/>
      </c>
      <c r="F667" s="12" t="inlineStr">
        <is>
          <t>Wildfire</t>
        </is>
      </c>
      <c r="G667" s="12" t="inlineStr">
        <is>
          <t>Harrington Rd Fire — wildfire, 1.5 acres, Austerlitz (Columbia Co.)</t>
        </is>
      </c>
      <c r="H667" s="12" t="inlineStr">
        <is>
          <t>Austerlitz, Columbia County; Private Property</t>
        </is>
      </c>
      <c r="I667" s="12" t="inlineStr">
        <is>
          <t>1.5 acres; cause Equipment; fuel 8 - Timber - Light Hardwood Litter</t>
        </is>
      </c>
      <c r="J667" s="12" t="inlineStr">
        <is>
          <t>42.29564, -73.47497</t>
        </is>
      </c>
      <c r="K667" s="12" t="inlineStr">
        <is>
          <t>No losses reported</t>
        </is>
      </c>
      <c r="L667" s="12" t="inlineStr">
        <is>
          <t>NYSDEC Forest Ranger Wildland Fire Reporting Database (Beginning 2008), data.ny.gov export 2026-09-28</t>
        </is>
      </c>
      <c r="M667" s="12" t="inlineStr">
        <is>
          <t>https://data.ny.gov/</t>
        </is>
      </c>
      <c r="N667" s="12" t="inlineStr">
        <is>
          <t>A</t>
        </is>
      </c>
      <c r="O667" s="12" t="inlineStr">
        <is>
          <t>Y</t>
        </is>
      </c>
      <c r="P667" s="12" t="inlineStr">
        <is>
          <t>2026-09-28 (v970, atlas session): bulk ingest per Laurie; fire number NYS-2012-0141; matching 🔥 pin on Natural History.</t>
        </is>
      </c>
      <c r="Q667" s="12" t="inlineStr">
        <is>
          <t>2012-07-19</t>
        </is>
      </c>
      <c r="R667" s="12">
        <f>VALUE(LEFT(Q667,4))</f>
        <v/>
      </c>
      <c r="S667" s="12">
        <f>VALUE(MID(Q667,6,2))</f>
        <v/>
      </c>
      <c r="T667" s="12">
        <f>VALUE(RIGHT(Q667,2))</f>
        <v/>
      </c>
      <c r="U667" s="12" t="inlineStr">
        <is>
          <t>day</t>
        </is>
      </c>
      <c r="V667" s="12" t="inlineStr">
        <is>
          <t>Fire start date (DEC report)</t>
        </is>
      </c>
    </row>
    <row r="668">
      <c r="A668" s="12" t="n">
        <v>796</v>
      </c>
      <c r="B668" s="12" t="inlineStr">
        <is>
          <t>2019-09-27</t>
        </is>
      </c>
      <c r="C668" s="12" t="inlineStr">
        <is>
          <t>2019-09-29</t>
        </is>
      </c>
      <c r="D668" s="12">
        <f>VALUE(LEFT(B668,4))</f>
        <v/>
      </c>
      <c r="E668" s="12">
        <f>INT((D668-1)/100)+1</f>
        <v/>
      </c>
      <c r="F668" s="12" t="inlineStr">
        <is>
          <t>Wildfire</t>
        </is>
      </c>
      <c r="G668" s="12" t="inlineStr">
        <is>
          <t>Yellowjacket Fire — wildfire, 0.3 acres, Cairo (Greene Co.)</t>
        </is>
      </c>
      <c r="H668" s="12" t="inlineStr">
        <is>
          <t>Cairo, Greene County; Forest Preserve — Windham Blackhead WA</t>
        </is>
      </c>
      <c r="I668" s="12" t="inlineStr">
        <is>
          <t>0.3 acres; cause Campfire; fuel 9 - Timber - Medium Hardwood Litter</t>
        </is>
      </c>
      <c r="J668" s="12" t="inlineStr">
        <is>
          <t>42.26957, -74.09964</t>
        </is>
      </c>
      <c r="K668" s="12" t="inlineStr">
        <is>
          <t>No losses reported</t>
        </is>
      </c>
      <c r="L668" s="12" t="inlineStr">
        <is>
          <t>NYSDEC Forest Ranger Wildland Fire Reporting Database (Beginning 2008), data.ny.gov export 2026-09-28</t>
        </is>
      </c>
      <c r="M668" s="12" t="inlineStr">
        <is>
          <t>https://data.ny.gov/</t>
        </is>
      </c>
      <c r="N668" s="12" t="inlineStr">
        <is>
          <t>A</t>
        </is>
      </c>
      <c r="O668" s="12" t="inlineStr">
        <is>
          <t>Y</t>
        </is>
      </c>
      <c r="P668" s="12" t="inlineStr">
        <is>
          <t>2026-09-28 (v970, atlas session): bulk ingest per Laurie; fire number NYS-2019-0099; matching 🔥 pin on Natural History.</t>
        </is>
      </c>
      <c r="Q668" s="12" t="inlineStr">
        <is>
          <t>2019-09-27</t>
        </is>
      </c>
      <c r="R668" s="12">
        <f>VALUE(LEFT(Q668,4))</f>
        <v/>
      </c>
      <c r="S668" s="12">
        <f>VALUE(MID(Q668,6,2))</f>
        <v/>
      </c>
      <c r="T668" s="12">
        <f>VALUE(RIGHT(Q668,2))</f>
        <v/>
      </c>
      <c r="U668" s="12" t="inlineStr">
        <is>
          <t>day</t>
        </is>
      </c>
      <c r="V668" s="12" t="inlineStr">
        <is>
          <t>Fire start date (DEC report)</t>
        </is>
      </c>
    </row>
    <row r="669">
      <c r="A669" s="12" t="n">
        <v>797</v>
      </c>
      <c r="B669" s="12" t="inlineStr">
        <is>
          <t>2008-04-23</t>
        </is>
      </c>
      <c r="C669" s="12" t="inlineStr">
        <is>
          <t>2008-04-29</t>
        </is>
      </c>
      <c r="D669" s="12">
        <f>VALUE(LEFT(B669,4))</f>
        <v/>
      </c>
      <c r="E669" s="12">
        <f>INT((D669-1)/100)+1</f>
        <v/>
      </c>
      <c r="F669" s="12" t="inlineStr">
        <is>
          <t>Wildfire</t>
        </is>
      </c>
      <c r="G669" s="12" t="inlineStr">
        <is>
          <t>Bog Hollow — wildfire, 2 acres, Amenia (Dutchess Co.)</t>
        </is>
      </c>
      <c r="H669" s="12" t="inlineStr">
        <is>
          <t>Amenia, Dutchess County; Private Property</t>
        </is>
      </c>
      <c r="I669" s="12" t="inlineStr">
        <is>
          <t>2 acres; cause Debris Burning; fuel 9 - Timber - Medium Hardwood Litter</t>
        </is>
      </c>
      <c r="J669" s="12" t="inlineStr">
        <is>
          <t>41.77179, -73.51752</t>
        </is>
      </c>
      <c r="K669" s="12" t="inlineStr">
        <is>
          <t>No losses reported</t>
        </is>
      </c>
      <c r="L669" s="12" t="inlineStr">
        <is>
          <t>NYSDEC Forest Ranger Wildland Fire Reporting Database (Beginning 2008), data.ny.gov export 2026-09-28</t>
        </is>
      </c>
      <c r="M669" s="12" t="inlineStr">
        <is>
          <t>https://data.ny.gov/</t>
        </is>
      </c>
      <c r="N669" s="12" t="inlineStr">
        <is>
          <t>A</t>
        </is>
      </c>
      <c r="O669" s="12" t="inlineStr">
        <is>
          <t>Y</t>
        </is>
      </c>
      <c r="P669" s="12" t="inlineStr">
        <is>
          <t>2026-09-28 (v970, atlas session): bulk ingest per Laurie; fire number NYS-2008-0114; matching 🔥 pin on Natural History.</t>
        </is>
      </c>
      <c r="Q669" s="12" t="inlineStr">
        <is>
          <t>2008-04-23</t>
        </is>
      </c>
      <c r="R669" s="12">
        <f>VALUE(LEFT(Q669,4))</f>
        <v/>
      </c>
      <c r="S669" s="12">
        <f>VALUE(MID(Q669,6,2))</f>
        <v/>
      </c>
      <c r="T669" s="12">
        <f>VALUE(RIGHT(Q669,2))</f>
        <v/>
      </c>
      <c r="U669" s="12" t="inlineStr">
        <is>
          <t>day</t>
        </is>
      </c>
      <c r="V669" s="12" t="inlineStr">
        <is>
          <t>Fire start date (DEC report)</t>
        </is>
      </c>
    </row>
    <row r="670">
      <c r="A670" s="12" t="n">
        <v>798</v>
      </c>
      <c r="B670" s="12" t="inlineStr">
        <is>
          <t>2016-03-21</t>
        </is>
      </c>
      <c r="C670" s="12" t="inlineStr">
        <is>
          <t>2016-03-21</t>
        </is>
      </c>
      <c r="D670" s="12">
        <f>VALUE(LEFT(B670,4))</f>
        <v/>
      </c>
      <c r="E670" s="12">
        <f>INT((D670-1)/100)+1</f>
        <v/>
      </c>
      <c r="F670" s="12" t="inlineStr">
        <is>
          <t>Wildfire</t>
        </is>
      </c>
      <c r="G670" s="12" t="inlineStr">
        <is>
          <t>Cragsmoor Rd — wildfire, 1.5 acres, Wawarsing (Ulster Co.)</t>
        </is>
      </c>
      <c r="H670" s="12" t="inlineStr">
        <is>
          <t>Wawarsing, Ulster County; Private Property</t>
        </is>
      </c>
      <c r="I670" s="12" t="inlineStr">
        <is>
          <t>1.5 acres; cause Miscellaneous; fuel 8 - Timber - Light Hardwood Litter</t>
        </is>
      </c>
      <c r="J670" s="12" t="inlineStr">
        <is>
          <t>41.66501, -74.38538</t>
        </is>
      </c>
      <c r="K670" s="12" t="inlineStr">
        <is>
          <t>No losses reported</t>
        </is>
      </c>
      <c r="L670" s="12" t="inlineStr">
        <is>
          <t>NYSDEC Forest Ranger Wildland Fire Reporting Database (Beginning 2008), data.ny.gov export 2026-09-28</t>
        </is>
      </c>
      <c r="M670" s="12" t="inlineStr">
        <is>
          <t>https://data.ny.gov/</t>
        </is>
      </c>
      <c r="N670" s="12" t="inlineStr">
        <is>
          <t>A</t>
        </is>
      </c>
      <c r="O670" s="12" t="inlineStr">
        <is>
          <t>Y</t>
        </is>
      </c>
      <c r="P670" s="12" t="inlineStr">
        <is>
          <t>2026-09-28 (v970, atlas session): bulk ingest per Laurie; fire number NYS-2016-0019; matching 🔥 pin on Natural History.</t>
        </is>
      </c>
      <c r="Q670" s="12" t="inlineStr">
        <is>
          <t>2016-03-21</t>
        </is>
      </c>
      <c r="R670" s="12">
        <f>VALUE(LEFT(Q670,4))</f>
        <v/>
      </c>
      <c r="S670" s="12">
        <f>VALUE(MID(Q670,6,2))</f>
        <v/>
      </c>
      <c r="T670" s="12">
        <f>VALUE(RIGHT(Q670,2))</f>
        <v/>
      </c>
      <c r="U670" s="12" t="inlineStr">
        <is>
          <t>day</t>
        </is>
      </c>
      <c r="V670" s="12" t="inlineStr">
        <is>
          <t>Fire start date (DEC report)</t>
        </is>
      </c>
    </row>
    <row r="671">
      <c r="A671" s="12" t="n">
        <v>799</v>
      </c>
      <c r="B671" s="12" t="inlineStr">
        <is>
          <t>2024-10-28</t>
        </is>
      </c>
      <c r="C671" s="12" t="inlineStr">
        <is>
          <t>2024-11-07</t>
        </is>
      </c>
      <c r="D671" s="12">
        <f>VALUE(LEFT(B671,4))</f>
        <v/>
      </c>
      <c r="E671" s="12">
        <f>INT((D671-1)/100)+1</f>
        <v/>
      </c>
      <c r="F671" s="12" t="inlineStr">
        <is>
          <t>Wildfire</t>
        </is>
      </c>
      <c r="G671" s="12" t="inlineStr">
        <is>
          <t>Route 55 Brook Road Fire — wildfire, 7 acres, Highland (Sullivan Co.)</t>
        </is>
      </c>
      <c r="H671" s="12" t="inlineStr">
        <is>
          <t>Highland, Sullivan County; Private Property — Eldred</t>
        </is>
      </c>
      <c r="I671" s="12" t="inlineStr">
        <is>
          <t>7 acres; cause Children; fuel 5 - Brush - Continuous but Light</t>
        </is>
      </c>
      <c r="J671" s="12" t="inlineStr">
        <is>
          <t>41.50196, -74.88908</t>
        </is>
      </c>
      <c r="K671" s="12" t="inlineStr">
        <is>
          <t>No losses reported</t>
        </is>
      </c>
      <c r="L671" s="12" t="inlineStr">
        <is>
          <t>NYSDEC Forest Ranger Wildland Fire Reporting Database (Beginning 2008), data.ny.gov export 2026-09-28</t>
        </is>
      </c>
      <c r="M671" s="12" t="inlineStr">
        <is>
          <t>https://data.ny.gov/</t>
        </is>
      </c>
      <c r="N671" s="12" t="inlineStr">
        <is>
          <t>A</t>
        </is>
      </c>
      <c r="O671" s="12" t="inlineStr">
        <is>
          <t>Y</t>
        </is>
      </c>
      <c r="P671" s="12" t="inlineStr">
        <is>
          <t>2026-09-28 (v970, atlas session): bulk ingest per Laurie; fire number NYS-2024-0147; matching 🔥 pin on Natural History.</t>
        </is>
      </c>
      <c r="Q671" s="12" t="inlineStr">
        <is>
          <t>2024-10-28</t>
        </is>
      </c>
      <c r="R671" s="12">
        <f>VALUE(LEFT(Q671,4))</f>
        <v/>
      </c>
      <c r="S671" s="12">
        <f>VALUE(MID(Q671,6,2))</f>
        <v/>
      </c>
      <c r="T671" s="12">
        <f>VALUE(RIGHT(Q671,2))</f>
        <v/>
      </c>
      <c r="U671" s="12" t="inlineStr">
        <is>
          <t>day</t>
        </is>
      </c>
      <c r="V671" s="12" t="inlineStr">
        <is>
          <t>Fire start date (DEC report)</t>
        </is>
      </c>
    </row>
    <row r="672">
      <c r="A672" s="12" t="n">
        <v>801</v>
      </c>
      <c r="B672" s="12" t="inlineStr">
        <is>
          <t>2023-04-14</t>
        </is>
      </c>
      <c r="C672" s="12" t="inlineStr">
        <is>
          <t>2023-04-17</t>
        </is>
      </c>
      <c r="D672" s="12">
        <f>VALUE(LEFT(B672,4))</f>
        <v/>
      </c>
      <c r="E672" s="12">
        <f>INT((D672-1)/100)+1</f>
        <v/>
      </c>
      <c r="F672" s="12" t="inlineStr">
        <is>
          <t>Wildfire</t>
        </is>
      </c>
      <c r="G672" s="12" t="inlineStr">
        <is>
          <t>Specht Road Fire — wildfire, 65 acres, Fremont (Sullivan Co.)</t>
        </is>
      </c>
      <c r="H672" s="12" t="inlineStr">
        <is>
          <t>Fremont, Sullivan County; Private Property</t>
        </is>
      </c>
      <c r="I672" s="12" t="inlineStr">
        <is>
          <t>65 acres; cause Power line; fuel 9 - Timber - Medium Hardwood Litter</t>
        </is>
      </c>
      <c r="J672" s="12" t="inlineStr">
        <is>
          <t>41.89892, -75.01463</t>
        </is>
      </c>
      <c r="K672" s="12" t="inlineStr">
        <is>
          <t>No losses reported</t>
        </is>
      </c>
      <c r="L672" s="12" t="inlineStr">
        <is>
          <t>NYSDEC Forest Ranger Wildland Fire Reporting Database (Beginning 2008), data.ny.gov export 2026-09-28</t>
        </is>
      </c>
      <c r="M672" s="12" t="inlineStr">
        <is>
          <t>https://data.ny.gov/</t>
        </is>
      </c>
      <c r="N672" s="12" t="inlineStr">
        <is>
          <t>A</t>
        </is>
      </c>
      <c r="O672" s="12" t="inlineStr">
        <is>
          <t>Y</t>
        </is>
      </c>
      <c r="P672" s="12" t="inlineStr">
        <is>
          <t>2026-09-28 (v970, atlas session): bulk ingest per Laurie; fire number NYS-2023-0072; matching 🔥 pin on Natural History.</t>
        </is>
      </c>
      <c r="Q672" s="12" t="inlineStr">
        <is>
          <t>2023-04-14</t>
        </is>
      </c>
      <c r="R672" s="12">
        <f>VALUE(LEFT(Q672,4))</f>
        <v/>
      </c>
      <c r="S672" s="12">
        <f>VALUE(MID(Q672,6,2))</f>
        <v/>
      </c>
      <c r="T672" s="12">
        <f>VALUE(RIGHT(Q672,2))</f>
        <v/>
      </c>
      <c r="U672" s="12" t="inlineStr">
        <is>
          <t>day</t>
        </is>
      </c>
      <c r="V672" s="12" t="inlineStr">
        <is>
          <t>Fire start date (DEC report)</t>
        </is>
      </c>
    </row>
    <row r="673">
      <c r="A673" s="12" t="n">
        <v>802</v>
      </c>
      <c r="B673" s="12" t="inlineStr">
        <is>
          <t>2018-04-21</t>
        </is>
      </c>
      <c r="C673" s="12" t="inlineStr">
        <is>
          <t>2018-04-23</t>
        </is>
      </c>
      <c r="D673" s="12">
        <f>VALUE(LEFT(B673,4))</f>
        <v/>
      </c>
      <c r="E673" s="12">
        <f>INT((D673-1)/100)+1</f>
        <v/>
      </c>
      <c r="F673" s="12" t="inlineStr">
        <is>
          <t>Wildfire</t>
        </is>
      </c>
      <c r="G673" s="12" t="inlineStr">
        <is>
          <t>Rail Trail Fire — wildfire, 2.7 acres, Fallsburgh (Sullivan Co.)</t>
        </is>
      </c>
      <c r="H673" s="12" t="inlineStr">
        <is>
          <t>Fallsburgh, Sullivan County; Private Property — Private Property</t>
        </is>
      </c>
      <c r="I673" s="12" t="inlineStr">
        <is>
          <t>2.7 acres; cause Smoking; fuel 8 - Timber - Light Hardwood Litter</t>
        </is>
      </c>
      <c r="J673" s="12" t="inlineStr">
        <is>
          <t>41.69481, -74.53432</t>
        </is>
      </c>
      <c r="K673" s="12" t="inlineStr">
        <is>
          <t>No losses reported</t>
        </is>
      </c>
      <c r="L673" s="12" t="inlineStr">
        <is>
          <t>NYSDEC Forest Ranger Wildland Fire Reporting Database (Beginning 2008), data.ny.gov export 2026-09-28</t>
        </is>
      </c>
      <c r="M673" s="12" t="inlineStr">
        <is>
          <t>https://data.ny.gov/</t>
        </is>
      </c>
      <c r="N673" s="12" t="inlineStr">
        <is>
          <t>A</t>
        </is>
      </c>
      <c r="O673" s="12" t="inlineStr">
        <is>
          <t>Y</t>
        </is>
      </c>
      <c r="P673" s="12" t="inlineStr">
        <is>
          <t>2026-09-28 (v970, atlas session): bulk ingest per Laurie; fire number NYS-2018-0017; matching 🔥 pin on Natural History.</t>
        </is>
      </c>
      <c r="Q673" s="12" t="inlineStr">
        <is>
          <t>2018-04-21</t>
        </is>
      </c>
      <c r="R673" s="12">
        <f>VALUE(LEFT(Q673,4))</f>
        <v/>
      </c>
      <c r="S673" s="12">
        <f>VALUE(MID(Q673,6,2))</f>
        <v/>
      </c>
      <c r="T673" s="12">
        <f>VALUE(RIGHT(Q673,2))</f>
        <v/>
      </c>
      <c r="U673" s="12" t="inlineStr">
        <is>
          <t>day</t>
        </is>
      </c>
      <c r="V673" s="12" t="inlineStr">
        <is>
          <t>Fire start date (DEC report)</t>
        </is>
      </c>
    </row>
    <row r="674">
      <c r="A674" s="12" t="n">
        <v>804</v>
      </c>
      <c r="B674" s="12" t="inlineStr">
        <is>
          <t>2022-05-25</t>
        </is>
      </c>
      <c r="C674" s="12" t="inlineStr">
        <is>
          <t>2022-05-25</t>
        </is>
      </c>
      <c r="D674" s="12">
        <f>VALUE(LEFT(B674,4))</f>
        <v/>
      </c>
      <c r="E674" s="12">
        <f>INT((D674-1)/100)+1</f>
        <v/>
      </c>
      <c r="F674" s="12" t="inlineStr">
        <is>
          <t>Wildfire</t>
        </is>
      </c>
      <c r="G674" s="12" t="inlineStr">
        <is>
          <t>OHayo Mt Fire — wildfire, 0.8 acres, Hurley (Ulster Co.)</t>
        </is>
      </c>
      <c r="H674" s="12" t="inlineStr">
        <is>
          <t>Hurley, Ulster County; Private Property</t>
        </is>
      </c>
      <c r="I674" s="12" t="inlineStr">
        <is>
          <t>0.8 acres; cause Debris Burning; fuel 8 - Timber - Light Hardwood Litter</t>
        </is>
      </c>
      <c r="J674" s="12" t="inlineStr">
        <is>
          <t>42.01047, -74.14330</t>
        </is>
      </c>
      <c r="K674" s="12" t="inlineStr">
        <is>
          <t>No losses reported</t>
        </is>
      </c>
      <c r="L674" s="12" t="inlineStr">
        <is>
          <t>NYSDEC Forest Ranger Wildland Fire Reporting Database (Beginning 2008), data.ny.gov export 2026-09-28</t>
        </is>
      </c>
      <c r="M674" s="12" t="inlineStr">
        <is>
          <t>https://data.ny.gov/</t>
        </is>
      </c>
      <c r="N674" s="12" t="inlineStr">
        <is>
          <t>A</t>
        </is>
      </c>
      <c r="O674" s="12" t="inlineStr">
        <is>
          <t>Y</t>
        </is>
      </c>
      <c r="P674" s="12" t="inlineStr">
        <is>
          <t>2026-09-28 (v970, atlas session): bulk ingest per Laurie; fire number NYS-2022-0102; matching 🔥 pin on Natural History.</t>
        </is>
      </c>
      <c r="Q674" s="12" t="inlineStr">
        <is>
          <t>2022-05-25</t>
        </is>
      </c>
      <c r="R674" s="12">
        <f>VALUE(LEFT(Q674,4))</f>
        <v/>
      </c>
      <c r="S674" s="12">
        <f>VALUE(MID(Q674,6,2))</f>
        <v/>
      </c>
      <c r="T674" s="12">
        <f>VALUE(RIGHT(Q674,2))</f>
        <v/>
      </c>
      <c r="U674" s="12" t="inlineStr">
        <is>
          <t>day</t>
        </is>
      </c>
      <c r="V674" s="12" t="inlineStr">
        <is>
          <t>Fire start date (DEC report)</t>
        </is>
      </c>
    </row>
    <row r="675">
      <c r="A675" s="12" t="n">
        <v>805</v>
      </c>
      <c r="B675" s="12" t="inlineStr">
        <is>
          <t>2017-02-28</t>
        </is>
      </c>
      <c r="C675" s="12" t="inlineStr">
        <is>
          <t>2017-02-28</t>
        </is>
      </c>
      <c r="D675" s="12">
        <f>VALUE(LEFT(B675,4))</f>
        <v/>
      </c>
      <c r="E675" s="12">
        <f>INT((D675-1)/100)+1</f>
        <v/>
      </c>
      <c r="F675" s="12" t="inlineStr">
        <is>
          <t>Wildfire</t>
        </is>
      </c>
      <c r="G675" s="12" t="inlineStr">
        <is>
          <t>Wiltsie Bridge Road Fire — wildfire, 3.7 acres, Ancram (Columbia Co.)</t>
        </is>
      </c>
      <c r="H675" s="12" t="inlineStr">
        <is>
          <t>Ancram, Columbia County; Private Property</t>
        </is>
      </c>
      <c r="I675" s="12" t="inlineStr">
        <is>
          <t>3.7 acres; cause Debris Burning; fuel 1 - Grass - Light</t>
        </is>
      </c>
      <c r="J675" s="12" t="inlineStr">
        <is>
          <t>42.06333, -73.59646</t>
        </is>
      </c>
      <c r="K675" s="12" t="inlineStr">
        <is>
          <t>No losses reported</t>
        </is>
      </c>
      <c r="L675" s="12" t="inlineStr">
        <is>
          <t>NYSDEC Forest Ranger Wildland Fire Reporting Database (Beginning 2008), data.ny.gov export 2026-09-28</t>
        </is>
      </c>
      <c r="M675" s="12" t="inlineStr">
        <is>
          <t>https://data.ny.gov/</t>
        </is>
      </c>
      <c r="N675" s="12" t="inlineStr">
        <is>
          <t>A</t>
        </is>
      </c>
      <c r="O675" s="12" t="inlineStr">
        <is>
          <t>Y</t>
        </is>
      </c>
      <c r="P675" s="12" t="inlineStr">
        <is>
          <t>2026-09-28 (v970, atlas session): bulk ingest per Laurie; fire number NYS-2017-0001; matching 🔥 pin on Natural History.</t>
        </is>
      </c>
      <c r="Q675" s="12" t="inlineStr">
        <is>
          <t>2017-02-28</t>
        </is>
      </c>
      <c r="R675" s="12">
        <f>VALUE(LEFT(Q675,4))</f>
        <v/>
      </c>
      <c r="S675" s="12">
        <f>VALUE(MID(Q675,6,2))</f>
        <v/>
      </c>
      <c r="T675" s="12">
        <f>VALUE(RIGHT(Q675,2))</f>
        <v/>
      </c>
      <c r="U675" s="12" t="inlineStr">
        <is>
          <t>day</t>
        </is>
      </c>
      <c r="V675" s="12" t="inlineStr">
        <is>
          <t>Fire start date (DEC report)</t>
        </is>
      </c>
    </row>
    <row r="676">
      <c r="A676" s="12" t="n">
        <v>808</v>
      </c>
      <c r="B676" s="12" t="inlineStr">
        <is>
          <t>2012-07-25</t>
        </is>
      </c>
      <c r="C676" s="12" t="inlineStr">
        <is>
          <t>2012-07-25</t>
        </is>
      </c>
      <c r="D676" s="12">
        <f>VALUE(LEFT(B676,4))</f>
        <v/>
      </c>
      <c r="E676" s="12">
        <f>INT((D676-1)/100)+1</f>
        <v/>
      </c>
      <c r="F676" s="12" t="inlineStr">
        <is>
          <t>Wildfire</t>
        </is>
      </c>
      <c r="G676" s="12" t="inlineStr">
        <is>
          <t>New Forge Fire — wildfire, 0.1 acres, Taghkanic (Columbia Co.)</t>
        </is>
      </c>
      <c r="H676" s="12" t="inlineStr">
        <is>
          <t>Taghkanic, Columbia County; State Forest/RF Area — Columbia 2-New Forge</t>
        </is>
      </c>
      <c r="I676" s="12" t="inlineStr">
        <is>
          <t>0.1 acres; cause Lightning; fuel 8 - Timber - Light Hardwood Litter</t>
        </is>
      </c>
      <c r="J676" s="12" t="inlineStr">
        <is>
          <t>42.10693, -73.67312</t>
        </is>
      </c>
      <c r="K676" s="12" t="inlineStr">
        <is>
          <t>No losses reported</t>
        </is>
      </c>
      <c r="L676" s="12" t="inlineStr">
        <is>
          <t>NYSDEC Forest Ranger Wildland Fire Reporting Database (Beginning 2008), data.ny.gov export 2026-09-28</t>
        </is>
      </c>
      <c r="M676" s="12" t="inlineStr">
        <is>
          <t>https://data.ny.gov/</t>
        </is>
      </c>
      <c r="N676" s="12" t="inlineStr">
        <is>
          <t>A</t>
        </is>
      </c>
      <c r="O676" s="12" t="inlineStr">
        <is>
          <t>Y</t>
        </is>
      </c>
      <c r="P676" s="12" t="inlineStr">
        <is>
          <t>2026-09-28 (v970, atlas session): bulk ingest per Laurie; fire number NYS-2012-0153; matching 🔥 pin on Natural History.</t>
        </is>
      </c>
      <c r="Q676" s="12" t="inlineStr">
        <is>
          <t>2012-07-25</t>
        </is>
      </c>
      <c r="R676" s="12">
        <f>VALUE(LEFT(Q676,4))</f>
        <v/>
      </c>
      <c r="S676" s="12">
        <f>VALUE(MID(Q676,6,2))</f>
        <v/>
      </c>
      <c r="T676" s="12">
        <f>VALUE(RIGHT(Q676,2))</f>
        <v/>
      </c>
      <c r="U676" s="12" t="inlineStr">
        <is>
          <t>day</t>
        </is>
      </c>
      <c r="V676" s="12" t="inlineStr">
        <is>
          <t>Fire start date (DEC report)</t>
        </is>
      </c>
    </row>
    <row r="677">
      <c r="A677" s="12" t="n">
        <v>809</v>
      </c>
      <c r="B677" s="12" t="inlineStr">
        <is>
          <t>2022-08-26</t>
        </is>
      </c>
      <c r="C677" s="12" t="inlineStr">
        <is>
          <t>2022-09-01</t>
        </is>
      </c>
      <c r="D677" s="12">
        <f>VALUE(LEFT(B677,4))</f>
        <v/>
      </c>
      <c r="E677" s="12">
        <f>INT((D677-1)/100)+1</f>
        <v/>
      </c>
      <c r="F677" s="12" t="inlineStr">
        <is>
          <t>Wildfire</t>
        </is>
      </c>
      <c r="G677" s="12" t="inlineStr">
        <is>
          <t>Tonshi Fire — wildfire, 1.6 acres, Olive (Ulster Co.)</t>
        </is>
      </c>
      <c r="H677" s="12" t="inlineStr">
        <is>
          <t>Olive, Ulster County; Private Property</t>
        </is>
      </c>
      <c r="I677" s="12" t="inlineStr">
        <is>
          <t>1.6 acres; cause Power line; fuel 7 - Brush - Understory</t>
        </is>
      </c>
      <c r="J677" s="12" t="inlineStr">
        <is>
          <t>41.99866, -74.19398</t>
        </is>
      </c>
      <c r="K677" s="12" t="inlineStr">
        <is>
          <t>No losses reported</t>
        </is>
      </c>
      <c r="L677" s="12" t="inlineStr">
        <is>
          <t>NYSDEC Forest Ranger Wildland Fire Reporting Database (Beginning 2008), data.ny.gov export 2026-09-28</t>
        </is>
      </c>
      <c r="M677" s="12" t="inlineStr">
        <is>
          <t>https://data.ny.gov/</t>
        </is>
      </c>
      <c r="N677" s="12" t="inlineStr">
        <is>
          <t>A</t>
        </is>
      </c>
      <c r="O677" s="12" t="inlineStr">
        <is>
          <t>Y</t>
        </is>
      </c>
      <c r="P677" s="12" t="inlineStr">
        <is>
          <t>2026-09-28 (v970, atlas session): bulk ingest per Laurie; fire number NYS-2022-0155; matching 🔥 pin on Natural History.</t>
        </is>
      </c>
      <c r="Q677" s="12" t="inlineStr">
        <is>
          <t>2022-08-26</t>
        </is>
      </c>
      <c r="R677" s="12">
        <f>VALUE(LEFT(Q677,4))</f>
        <v/>
      </c>
      <c r="S677" s="12">
        <f>VALUE(MID(Q677,6,2))</f>
        <v/>
      </c>
      <c r="T677" s="12">
        <f>VALUE(RIGHT(Q677,2))</f>
        <v/>
      </c>
      <c r="U677" s="12" t="inlineStr">
        <is>
          <t>day</t>
        </is>
      </c>
      <c r="V677" s="12" t="inlineStr">
        <is>
          <t>Fire start date (DEC report)</t>
        </is>
      </c>
    </row>
    <row r="678">
      <c r="A678" s="12" t="n">
        <v>810</v>
      </c>
      <c r="B678" s="12" t="inlineStr">
        <is>
          <t>2008-05-07</t>
        </is>
      </c>
      <c r="C678" s="12" t="inlineStr">
        <is>
          <t>2008-05-09</t>
        </is>
      </c>
      <c r="D678" s="12">
        <f>VALUE(LEFT(B678,4))</f>
        <v/>
      </c>
      <c r="E678" s="12">
        <f>INT((D678-1)/100)+1</f>
        <v/>
      </c>
      <c r="F678" s="12" t="inlineStr">
        <is>
          <t>Wildfire</t>
        </is>
      </c>
      <c r="G678" s="12" t="inlineStr">
        <is>
          <t>Howell's — wildfire, 64 acres, Mamakating (Sullivan Co.)</t>
        </is>
      </c>
      <c r="H678" s="12" t="inlineStr">
        <is>
          <t>Mamakating, Sullivan County; Private Property</t>
        </is>
      </c>
      <c r="I678" s="12" t="inlineStr">
        <is>
          <t>64 acres; cause Equipment; fuel 7 - Brush - Understory</t>
        </is>
      </c>
      <c r="J678" s="12" t="inlineStr">
        <is>
          <t>41.51923, -74.50189</t>
        </is>
      </c>
      <c r="K678" s="12" t="inlineStr">
        <is>
          <t>No losses reported</t>
        </is>
      </c>
      <c r="L678" s="12" t="inlineStr">
        <is>
          <t>NYSDEC Forest Ranger Wildland Fire Reporting Database (Beginning 2008), data.ny.gov export 2026-09-28</t>
        </is>
      </c>
      <c r="M678" s="12" t="inlineStr">
        <is>
          <t>https://data.ny.gov/</t>
        </is>
      </c>
      <c r="N678" s="12" t="inlineStr">
        <is>
          <t>A</t>
        </is>
      </c>
      <c r="O678" s="12" t="inlineStr">
        <is>
          <t>Y</t>
        </is>
      </c>
      <c r="P678" s="12" t="inlineStr">
        <is>
          <t>2026-09-28 (v970, atlas session): bulk ingest per Laurie; fire number NYS-2008-0153; matching 🔥 pin on Natural History.</t>
        </is>
      </c>
      <c r="Q678" s="12" t="inlineStr">
        <is>
          <t>2008-05-07</t>
        </is>
      </c>
      <c r="R678" s="12">
        <f>VALUE(LEFT(Q678,4))</f>
        <v/>
      </c>
      <c r="S678" s="12">
        <f>VALUE(MID(Q678,6,2))</f>
        <v/>
      </c>
      <c r="T678" s="12">
        <f>VALUE(RIGHT(Q678,2))</f>
        <v/>
      </c>
      <c r="U678" s="12" t="inlineStr">
        <is>
          <t>day</t>
        </is>
      </c>
      <c r="V678" s="12" t="inlineStr">
        <is>
          <t>Fire start date (DEC report)</t>
        </is>
      </c>
    </row>
    <row r="679">
      <c r="A679" s="12" t="n">
        <v>811</v>
      </c>
      <c r="B679" s="12" t="inlineStr">
        <is>
          <t>2016-05-11</t>
        </is>
      </c>
      <c r="C679" s="12" t="inlineStr">
        <is>
          <t>2016-05-12</t>
        </is>
      </c>
      <c r="D679" s="12">
        <f>VALUE(LEFT(B679,4))</f>
        <v/>
      </c>
      <c r="E679" s="12">
        <f>INT((D679-1)/100)+1</f>
        <v/>
      </c>
      <c r="F679" s="12" t="inlineStr">
        <is>
          <t>Wildfire</t>
        </is>
      </c>
      <c r="G679" s="12" t="inlineStr">
        <is>
          <t>Ulster Heights — wildfire, 4 acres, Wawarsing (Ulster Co.)</t>
        </is>
      </c>
      <c r="H679" s="12" t="inlineStr">
        <is>
          <t>Wawarsing, Ulster County; Private Property</t>
        </is>
      </c>
      <c r="I679" s="12" t="inlineStr">
        <is>
          <t>4 acres; cause Debris Burning; fuel 8 - Timber - Light Hardwood Litter</t>
        </is>
      </c>
      <c r="J679" s="12" t="inlineStr">
        <is>
          <t>41.77304, -74.50371</t>
        </is>
      </c>
      <c r="K679" s="12" t="inlineStr">
        <is>
          <t>No losses reported</t>
        </is>
      </c>
      <c r="L679" s="12" t="inlineStr">
        <is>
          <t>NYSDEC Forest Ranger Wildland Fire Reporting Database (Beginning 2008), data.ny.gov export 2026-09-28</t>
        </is>
      </c>
      <c r="M679" s="12" t="inlineStr">
        <is>
          <t>https://data.ny.gov/</t>
        </is>
      </c>
      <c r="N679" s="12" t="inlineStr">
        <is>
          <t>A</t>
        </is>
      </c>
      <c r="O679" s="12" t="inlineStr">
        <is>
          <t>Y</t>
        </is>
      </c>
      <c r="P679" s="12" t="inlineStr">
        <is>
          <t>2026-09-28 (v970, atlas session): bulk ingest per Laurie; fire number NYS-2016-0084; matching 🔥 pin on Natural History.</t>
        </is>
      </c>
      <c r="Q679" s="12" t="inlineStr">
        <is>
          <t>2016-05-11</t>
        </is>
      </c>
      <c r="R679" s="12">
        <f>VALUE(LEFT(Q679,4))</f>
        <v/>
      </c>
      <c r="S679" s="12">
        <f>VALUE(MID(Q679,6,2))</f>
        <v/>
      </c>
      <c r="T679" s="12">
        <f>VALUE(RIGHT(Q679,2))</f>
        <v/>
      </c>
      <c r="U679" s="12" t="inlineStr">
        <is>
          <t>day</t>
        </is>
      </c>
      <c r="V679" s="12" t="inlineStr">
        <is>
          <t>Fire start date (DEC report)</t>
        </is>
      </c>
    </row>
    <row r="680">
      <c r="A680" s="12" t="n">
        <v>812</v>
      </c>
      <c r="B680" s="12" t="inlineStr">
        <is>
          <t>2018-04-23</t>
        </is>
      </c>
      <c r="C680" s="12" t="inlineStr">
        <is>
          <t>2018-04-25</t>
        </is>
      </c>
      <c r="D680" s="12">
        <f>VALUE(LEFT(B680,4))</f>
        <v/>
      </c>
      <c r="E680" s="12">
        <f>INT((D680-1)/100)+1</f>
        <v/>
      </c>
      <c r="F680" s="12" t="inlineStr">
        <is>
          <t>Wildfire</t>
        </is>
      </c>
      <c r="G680" s="12" t="inlineStr">
        <is>
          <t>Pettersen Fire — wildfire, 9.6 acres, Sanford (Broome Co.)</t>
        </is>
      </c>
      <c r="H680" s="12" t="inlineStr">
        <is>
          <t>Sanford, Broome County; Private Property</t>
        </is>
      </c>
      <c r="I680" s="12" t="inlineStr">
        <is>
          <t>9.6 acres; cause Debris Burning; fuel 8 - Timber - Light Hardwood Litter</t>
        </is>
      </c>
      <c r="J680" s="12" t="inlineStr">
        <is>
          <t>42.01316, -75.45074</t>
        </is>
      </c>
      <c r="K680" s="12" t="inlineStr">
        <is>
          <t>No losses reported</t>
        </is>
      </c>
      <c r="L680" s="12" t="inlineStr">
        <is>
          <t>NYSDEC Forest Ranger Wildland Fire Reporting Database (Beginning 2008), data.ny.gov export 2026-09-28</t>
        </is>
      </c>
      <c r="M680" s="12" t="inlineStr">
        <is>
          <t>https://data.ny.gov/</t>
        </is>
      </c>
      <c r="N680" s="12" t="inlineStr">
        <is>
          <t>A</t>
        </is>
      </c>
      <c r="O680" s="12" t="inlineStr">
        <is>
          <t>Y</t>
        </is>
      </c>
      <c r="P680" s="12" t="inlineStr">
        <is>
          <t>2026-09-28 (v970, atlas session): bulk ingest per Laurie; fire number NYS-2018-0024; matching 🔥 pin on Natural History.</t>
        </is>
      </c>
      <c r="Q680" s="12" t="inlineStr">
        <is>
          <t>2018-04-23</t>
        </is>
      </c>
      <c r="R680" s="12">
        <f>VALUE(LEFT(Q680,4))</f>
        <v/>
      </c>
      <c r="S680" s="12">
        <f>VALUE(MID(Q680,6,2))</f>
        <v/>
      </c>
      <c r="T680" s="12">
        <f>VALUE(RIGHT(Q680,2))</f>
        <v/>
      </c>
      <c r="U680" s="12" t="inlineStr">
        <is>
          <t>day</t>
        </is>
      </c>
      <c r="V680" s="12" t="inlineStr">
        <is>
          <t>Fire start date (DEC report)</t>
        </is>
      </c>
    </row>
    <row r="681">
      <c r="A681" s="12" t="n">
        <v>813</v>
      </c>
      <c r="B681" s="12" t="inlineStr">
        <is>
          <t>2024-11-04</t>
        </is>
      </c>
      <c r="C681" s="12" t="inlineStr">
        <is>
          <t>2024-11-04</t>
        </is>
      </c>
      <c r="D681" s="12">
        <f>VALUE(LEFT(B681,4))</f>
        <v/>
      </c>
      <c r="E681" s="12">
        <f>INT((D681-1)/100)+1</f>
        <v/>
      </c>
      <c r="F681" s="12" t="inlineStr">
        <is>
          <t>Wildfire</t>
        </is>
      </c>
      <c r="G681" s="12" t="inlineStr">
        <is>
          <t>Smith Rd. — wildfire, 0.3 acres, Richmondville (Schoharie Co.)</t>
        </is>
      </c>
      <c r="H681" s="12" t="inlineStr">
        <is>
          <t>Richmondville, Schoharie County; Private Property</t>
        </is>
      </c>
      <c r="I681" s="12" t="inlineStr">
        <is>
          <t>0.3 acres; cause Debris Burning; fuel 9 - Timber - Medium Hardwood Litter</t>
        </is>
      </c>
      <c r="J681" s="12" t="inlineStr">
        <is>
          <t>42.64209, -74.62982</t>
        </is>
      </c>
      <c r="K681" s="12" t="inlineStr">
        <is>
          <t>No losses reported</t>
        </is>
      </c>
      <c r="L681" s="12" t="inlineStr">
        <is>
          <t>NYSDEC Forest Ranger Wildland Fire Reporting Database (Beginning 2008), data.ny.gov export 2026-09-28</t>
        </is>
      </c>
      <c r="M681" s="12" t="inlineStr">
        <is>
          <t>https://data.ny.gov/</t>
        </is>
      </c>
      <c r="N681" s="12" t="inlineStr">
        <is>
          <t>A</t>
        </is>
      </c>
      <c r="O681" s="12" t="inlineStr">
        <is>
          <t>Y</t>
        </is>
      </c>
      <c r="P681" s="12" t="inlineStr">
        <is>
          <t>2026-09-28 (v970, atlas session): bulk ingest per Laurie; fire number NYS-2024-0170; matching 🔥 pin on Natural History.</t>
        </is>
      </c>
      <c r="Q681" s="12" t="inlineStr">
        <is>
          <t>2024-11-04</t>
        </is>
      </c>
      <c r="R681" s="12">
        <f>VALUE(LEFT(Q681,4))</f>
        <v/>
      </c>
      <c r="S681" s="12">
        <f>VALUE(MID(Q681,6,2))</f>
        <v/>
      </c>
      <c r="T681" s="12">
        <f>VALUE(RIGHT(Q681,2))</f>
        <v/>
      </c>
      <c r="U681" s="12" t="inlineStr">
        <is>
          <t>day</t>
        </is>
      </c>
      <c r="V681" s="12" t="inlineStr">
        <is>
          <t>Fire start date (DEC report)</t>
        </is>
      </c>
    </row>
    <row r="682">
      <c r="A682" s="12" t="n">
        <v>816</v>
      </c>
      <c r="B682" s="12" t="inlineStr">
        <is>
          <t>2016-04-18</t>
        </is>
      </c>
      <c r="C682" s="12" t="inlineStr">
        <is>
          <t>2016-04-20</t>
        </is>
      </c>
      <c r="D682" s="12">
        <f>VALUE(LEFT(B682,4))</f>
        <v/>
      </c>
      <c r="E682" s="12">
        <f>INT((D682-1)/100)+1</f>
        <v/>
      </c>
      <c r="F682" s="12" t="inlineStr">
        <is>
          <t>Wildfire</t>
        </is>
      </c>
      <c r="G682" s="12" t="inlineStr">
        <is>
          <t>Pond Eddy Fire — wildfire, 0.3 acres, Lumberland (Sullivan Co.)</t>
        </is>
      </c>
      <c r="H682" s="12" t="inlineStr">
        <is>
          <t>Lumberland, Sullivan County; Private Property</t>
        </is>
      </c>
      <c r="I682" s="12" t="inlineStr">
        <is>
          <t>0.3 acres; cause Debris Burning; fuel 7 - Brush - Understory</t>
        </is>
      </c>
      <c r="J682" s="12" t="inlineStr">
        <is>
          <t>41.44059, -74.82410</t>
        </is>
      </c>
      <c r="K682" s="12" t="inlineStr">
        <is>
          <t>No losses reported</t>
        </is>
      </c>
      <c r="L682" s="12" t="inlineStr">
        <is>
          <t>NYSDEC Forest Ranger Wildland Fire Reporting Database (Beginning 2008), data.ny.gov export 2026-09-28</t>
        </is>
      </c>
      <c r="M682" s="12" t="inlineStr">
        <is>
          <t>https://data.ny.gov/</t>
        </is>
      </c>
      <c r="N682" s="12" t="inlineStr">
        <is>
          <t>A</t>
        </is>
      </c>
      <c r="O682" s="12" t="inlineStr">
        <is>
          <t>Y</t>
        </is>
      </c>
      <c r="P682" s="12" t="inlineStr">
        <is>
          <t>2026-09-28 (v970, atlas session): bulk ingest per Laurie; fire number NYS-2016-0052; matching 🔥 pin on Natural History.</t>
        </is>
      </c>
      <c r="Q682" s="12" t="inlineStr">
        <is>
          <t>2016-04-18</t>
        </is>
      </c>
      <c r="R682" s="12">
        <f>VALUE(LEFT(Q682,4))</f>
        <v/>
      </c>
      <c r="S682" s="12">
        <f>VALUE(MID(Q682,6,2))</f>
        <v/>
      </c>
      <c r="T682" s="12">
        <f>VALUE(RIGHT(Q682,2))</f>
        <v/>
      </c>
      <c r="U682" s="12" t="inlineStr">
        <is>
          <t>day</t>
        </is>
      </c>
      <c r="V682" s="12" t="inlineStr">
        <is>
          <t>Fire start date (DEC report)</t>
        </is>
      </c>
    </row>
    <row r="683">
      <c r="A683" s="12" t="n">
        <v>817</v>
      </c>
      <c r="B683" s="12" t="inlineStr">
        <is>
          <t>2019-09-20</t>
        </is>
      </c>
      <c r="C683" s="12" t="inlineStr">
        <is>
          <t>2019-10-07</t>
        </is>
      </c>
      <c r="D683" s="12">
        <f>VALUE(LEFT(B683,4))</f>
        <v/>
      </c>
      <c r="E683" s="12">
        <f>INT((D683-1)/100)+1</f>
        <v/>
      </c>
      <c r="F683" s="12" t="inlineStr">
        <is>
          <t>Wildfire</t>
        </is>
      </c>
      <c r="G683" s="12" t="inlineStr">
        <is>
          <t>Sugarloaf Fire — wildfire, 66 acres, Fishkill (Dutchess Co.)</t>
        </is>
      </c>
      <c r="H683" s="12" t="inlineStr">
        <is>
          <t>Fishkill, Dutchess County; OPR&amp;HP (State Parks) — Hudson Highlands State Park</t>
        </is>
      </c>
      <c r="I683" s="12" t="inlineStr">
        <is>
          <t>66 acres; cause Campfire; fuel 9 - Timber - Medium Hardwood Litter</t>
        </is>
      </c>
      <c r="J683" s="12" t="inlineStr">
        <is>
          <t>41.45851, -73.97527</t>
        </is>
      </c>
      <c r="K683" s="12" t="inlineStr">
        <is>
          <t>No losses reported</t>
        </is>
      </c>
      <c r="L683" s="12" t="inlineStr">
        <is>
          <t>NYSDEC Forest Ranger Wildland Fire Reporting Database (Beginning 2008), data.ny.gov export 2026-09-28</t>
        </is>
      </c>
      <c r="M683" s="12" t="inlineStr">
        <is>
          <t>https://data.ny.gov/</t>
        </is>
      </c>
      <c r="N683" s="12" t="inlineStr">
        <is>
          <t>A</t>
        </is>
      </c>
      <c r="O683" s="12" t="inlineStr">
        <is>
          <t>Y</t>
        </is>
      </c>
      <c r="P683" s="12" t="inlineStr">
        <is>
          <t>2026-09-28 (v970, atlas session): bulk ingest per Laurie; fire number NYS-2019-0094; matching 🔥 pin on Natural History.</t>
        </is>
      </c>
      <c r="Q683" s="12" t="inlineStr">
        <is>
          <t>2019-09-20</t>
        </is>
      </c>
      <c r="R683" s="12">
        <f>VALUE(LEFT(Q683,4))</f>
        <v/>
      </c>
      <c r="S683" s="12">
        <f>VALUE(MID(Q683,6,2))</f>
        <v/>
      </c>
      <c r="T683" s="12">
        <f>VALUE(RIGHT(Q683,2))</f>
        <v/>
      </c>
      <c r="U683" s="12" t="inlineStr">
        <is>
          <t>day</t>
        </is>
      </c>
      <c r="V683" s="12" t="inlineStr">
        <is>
          <t>Fire start date (DEC report)</t>
        </is>
      </c>
    </row>
    <row r="684">
      <c r="A684" s="12" t="n">
        <v>819</v>
      </c>
      <c r="B684" s="12" t="inlineStr">
        <is>
          <t>2014-03-23</t>
        </is>
      </c>
      <c r="C684" s="12" t="inlineStr">
        <is>
          <t>2014-03-23</t>
        </is>
      </c>
      <c r="D684" s="12">
        <f>VALUE(LEFT(B684,4))</f>
        <v/>
      </c>
      <c r="E684" s="12">
        <f>INT((D684-1)/100)+1</f>
        <v/>
      </c>
      <c r="F684" s="12" t="inlineStr">
        <is>
          <t>Wildfire</t>
        </is>
      </c>
      <c r="G684" s="12" t="inlineStr">
        <is>
          <t>BIBLE FIRE — wildfire, 1.1 acres, Dickinson (Broome Co.)</t>
        </is>
      </c>
      <c r="H684" s="12" t="inlineStr">
        <is>
          <t>Dickinson, Broome County; Private Property</t>
        </is>
      </c>
      <c r="I684" s="12" t="inlineStr">
        <is>
          <t>1.1 acres; cause Campfire; fuel 12 - Slash - Medium</t>
        </is>
      </c>
      <c r="J684" s="12" t="inlineStr">
        <is>
          <t>42.12161, -75.88503</t>
        </is>
      </c>
      <c r="K684" s="12" t="inlineStr">
        <is>
          <t>No losses reported</t>
        </is>
      </c>
      <c r="L684" s="12" t="inlineStr">
        <is>
          <t>NYSDEC Forest Ranger Wildland Fire Reporting Database (Beginning 2008), data.ny.gov export 2026-09-28</t>
        </is>
      </c>
      <c r="M684" s="12" t="inlineStr">
        <is>
          <t>https://data.ny.gov/</t>
        </is>
      </c>
      <c r="N684" s="12" t="inlineStr">
        <is>
          <t>A</t>
        </is>
      </c>
      <c r="O684" s="12" t="inlineStr">
        <is>
          <t>Y</t>
        </is>
      </c>
      <c r="P684" s="12" t="inlineStr">
        <is>
          <t>2026-09-28 (v970, atlas session): bulk ingest per Laurie; fire number NYS-2014-0004; matching 🔥 pin on Natural History.</t>
        </is>
      </c>
      <c r="Q684" s="12" t="inlineStr">
        <is>
          <t>2014-03-23</t>
        </is>
      </c>
      <c r="R684" s="12">
        <f>VALUE(LEFT(Q684,4))</f>
        <v/>
      </c>
      <c r="S684" s="12">
        <f>VALUE(MID(Q684,6,2))</f>
        <v/>
      </c>
      <c r="T684" s="12">
        <f>VALUE(RIGHT(Q684,2))</f>
        <v/>
      </c>
      <c r="U684" s="12" t="inlineStr">
        <is>
          <t>day</t>
        </is>
      </c>
      <c r="V684" s="12" t="inlineStr">
        <is>
          <t>Fire start date (DEC report)</t>
        </is>
      </c>
    </row>
    <row r="685">
      <c r="A685" s="12" t="n">
        <v>820</v>
      </c>
      <c r="B685" s="12" t="inlineStr">
        <is>
          <t>2018-04-23</t>
        </is>
      </c>
      <c r="C685" s="12" t="inlineStr">
        <is>
          <t>2018-04-23</t>
        </is>
      </c>
      <c r="D685" s="12">
        <f>VALUE(LEFT(B685,4))</f>
        <v/>
      </c>
      <c r="E685" s="12">
        <f>INT((D685-1)/100)+1</f>
        <v/>
      </c>
      <c r="F685" s="12" t="inlineStr">
        <is>
          <t>Wildfire</t>
        </is>
      </c>
      <c r="G685" s="12" t="inlineStr">
        <is>
          <t>Wilson Hill Fire — wildfire, 3.5 acres, Triangle (Broome Co.)</t>
        </is>
      </c>
      <c r="H685" s="12" t="inlineStr">
        <is>
          <t>Triangle, Broome County; Private Property</t>
        </is>
      </c>
      <c r="I685" s="12" t="inlineStr">
        <is>
          <t>3.5 acres; cause Smoking; fuel 3 - Grass - Heavy</t>
        </is>
      </c>
      <c r="J685" s="12" t="inlineStr">
        <is>
          <t>42.36271, -75.87896</t>
        </is>
      </c>
      <c r="K685" s="12" t="inlineStr">
        <is>
          <t>Other Structures Lost: 1</t>
        </is>
      </c>
      <c r="L685" s="12" t="inlineStr">
        <is>
          <t>NYSDEC Forest Ranger Wildland Fire Reporting Database (Beginning 2008), data.ny.gov export 2026-09-28</t>
        </is>
      </c>
      <c r="M685" s="12" t="inlineStr">
        <is>
          <t>https://data.ny.gov/</t>
        </is>
      </c>
      <c r="N685" s="12" t="inlineStr">
        <is>
          <t>A</t>
        </is>
      </c>
      <c r="O685" s="12" t="inlineStr">
        <is>
          <t>Y</t>
        </is>
      </c>
      <c r="P685" s="12" t="inlineStr">
        <is>
          <t>2026-09-28 (v970, atlas session): bulk ingest per Laurie; fire number NYS-2018-0029; matching 🔥 pin on Natural History.</t>
        </is>
      </c>
      <c r="Q685" s="12" t="inlineStr">
        <is>
          <t>2018-04-23</t>
        </is>
      </c>
      <c r="R685" s="12">
        <f>VALUE(LEFT(Q685,4))</f>
        <v/>
      </c>
      <c r="S685" s="12">
        <f>VALUE(MID(Q685,6,2))</f>
        <v/>
      </c>
      <c r="T685" s="12">
        <f>VALUE(RIGHT(Q685,2))</f>
        <v/>
      </c>
      <c r="U685" s="12" t="inlineStr">
        <is>
          <t>day</t>
        </is>
      </c>
      <c r="V685" s="12" t="inlineStr">
        <is>
          <t>Fire start date (DEC report)</t>
        </is>
      </c>
    </row>
    <row r="686">
      <c r="A686" s="12" t="n">
        <v>821</v>
      </c>
      <c r="B686" s="12" t="inlineStr">
        <is>
          <t>2018-04-23</t>
        </is>
      </c>
      <c r="C686" s="12" t="inlineStr">
        <is>
          <t>2018-04-24</t>
        </is>
      </c>
      <c r="D686" s="12">
        <f>VALUE(LEFT(B686,4))</f>
        <v/>
      </c>
      <c r="E686" s="12">
        <f>INT((D686-1)/100)+1</f>
        <v/>
      </c>
      <c r="F686" s="12" t="inlineStr">
        <is>
          <t>Wildfire</t>
        </is>
      </c>
      <c r="G686" s="12" t="inlineStr">
        <is>
          <t>Never Alone Fire — wildfire, 2 acres, Marbletown (Ulster Co.)</t>
        </is>
      </c>
      <c r="H686" s="12" t="inlineStr">
        <is>
          <t>Marbletown, Ulster County; Private Property</t>
        </is>
      </c>
      <c r="I686" s="12" t="inlineStr">
        <is>
          <t>2 acres; cause Power line; fuel 2 - Grass - Understory</t>
        </is>
      </c>
      <c r="J686" s="12" t="inlineStr">
        <is>
          <t>41.92318, -74.13094</t>
        </is>
      </c>
      <c r="K686" s="12" t="inlineStr">
        <is>
          <t>No losses reported</t>
        </is>
      </c>
      <c r="L686" s="12" t="inlineStr">
        <is>
          <t>NYSDEC Forest Ranger Wildland Fire Reporting Database (Beginning 2008), data.ny.gov export 2026-09-28</t>
        </is>
      </c>
      <c r="M686" s="12" t="inlineStr">
        <is>
          <t>https://data.ny.gov/</t>
        </is>
      </c>
      <c r="N686" s="12" t="inlineStr">
        <is>
          <t>A</t>
        </is>
      </c>
      <c r="O686" s="12" t="inlineStr">
        <is>
          <t>Y</t>
        </is>
      </c>
      <c r="P686" s="12" t="inlineStr">
        <is>
          <t>2026-09-28 (v970, atlas session): bulk ingest per Laurie; fire number NYS-2018-0022; matching 🔥 pin on Natural History.</t>
        </is>
      </c>
      <c r="Q686" s="12" t="inlineStr">
        <is>
          <t>2018-04-23</t>
        </is>
      </c>
      <c r="R686" s="12">
        <f>VALUE(LEFT(Q686,4))</f>
        <v/>
      </c>
      <c r="S686" s="12">
        <f>VALUE(MID(Q686,6,2))</f>
        <v/>
      </c>
      <c r="T686" s="12">
        <f>VALUE(RIGHT(Q686,2))</f>
        <v/>
      </c>
      <c r="U686" s="12" t="inlineStr">
        <is>
          <t>day</t>
        </is>
      </c>
      <c r="V686" s="12" t="inlineStr">
        <is>
          <t>Fire start date (DEC report)</t>
        </is>
      </c>
    </row>
    <row r="687">
      <c r="A687" s="12" t="n">
        <v>822</v>
      </c>
      <c r="B687" s="12" t="inlineStr">
        <is>
          <t>2020-05-21</t>
        </is>
      </c>
      <c r="C687" s="12" t="inlineStr">
        <is>
          <t>2020-05-21</t>
        </is>
      </c>
      <c r="D687" s="12">
        <f>VALUE(LEFT(B687,4))</f>
        <v/>
      </c>
      <c r="E687" s="12">
        <f>INT((D687-1)/100)+1</f>
        <v/>
      </c>
      <c r="F687" s="12" t="inlineStr">
        <is>
          <t>Wildfire</t>
        </is>
      </c>
      <c r="G687" s="12" t="inlineStr">
        <is>
          <t>Red Hill Knolls Fire — wildfire, 1 acres, Denning (Ulster Co.)</t>
        </is>
      </c>
      <c r="H687" s="12" t="inlineStr">
        <is>
          <t>Denning, Ulster County; Private Property</t>
        </is>
      </c>
      <c r="I687" s="12" t="inlineStr">
        <is>
          <t>1 acres; cause Debris Burning; fuel 5 - Brush - Continuous but Light</t>
        </is>
      </c>
      <c r="J687" s="12" t="inlineStr">
        <is>
          <t>41.94327, -74.47546</t>
        </is>
      </c>
      <c r="K687" s="12" t="inlineStr">
        <is>
          <t>No losses reported</t>
        </is>
      </c>
      <c r="L687" s="12" t="inlineStr">
        <is>
          <t>NYSDEC Forest Ranger Wildland Fire Reporting Database (Beginning 2008), data.ny.gov export 2026-09-28</t>
        </is>
      </c>
      <c r="M687" s="12" t="inlineStr">
        <is>
          <t>https://data.ny.gov/</t>
        </is>
      </c>
      <c r="N687" s="12" t="inlineStr">
        <is>
          <t>A</t>
        </is>
      </c>
      <c r="O687" s="12" t="inlineStr">
        <is>
          <t>Y</t>
        </is>
      </c>
      <c r="P687" s="12" t="inlineStr">
        <is>
          <t>2026-09-28 (v970, atlas session): bulk ingest per Laurie; fire number NYS-2020-0057; matching 🔥 pin on Natural History.</t>
        </is>
      </c>
      <c r="Q687" s="12" t="inlineStr">
        <is>
          <t>2020-05-21</t>
        </is>
      </c>
      <c r="R687" s="12">
        <f>VALUE(LEFT(Q687,4))</f>
        <v/>
      </c>
      <c r="S687" s="12">
        <f>VALUE(MID(Q687,6,2))</f>
        <v/>
      </c>
      <c r="T687" s="12">
        <f>VALUE(RIGHT(Q687,2))</f>
        <v/>
      </c>
      <c r="U687" s="12" t="inlineStr">
        <is>
          <t>day</t>
        </is>
      </c>
      <c r="V687" s="12" t="inlineStr">
        <is>
          <t>Fire start date (DEC report)</t>
        </is>
      </c>
    </row>
    <row r="688">
      <c r="A688" s="12" t="n">
        <v>823</v>
      </c>
      <c r="B688" s="12" t="inlineStr">
        <is>
          <t>2014-10-01</t>
        </is>
      </c>
      <c r="C688" s="12" t="inlineStr">
        <is>
          <t>2014-10-02</t>
        </is>
      </c>
      <c r="D688" s="12">
        <f>VALUE(LEFT(B688,4))</f>
        <v/>
      </c>
      <c r="E688" s="12">
        <f>INT((D688-1)/100)+1</f>
        <v/>
      </c>
      <c r="F688" s="12" t="inlineStr">
        <is>
          <t>Wildfire</t>
        </is>
      </c>
      <c r="G688" s="12" t="inlineStr">
        <is>
          <t>Daley's Landscaping — wildfire, 1 acres, Pleasant Valley (Dutchess Co.)</t>
        </is>
      </c>
      <c r="H688" s="12" t="inlineStr">
        <is>
          <t>Pleasant Valley, Dutchess County; Private Property</t>
        </is>
      </c>
      <c r="I688" s="12" t="inlineStr">
        <is>
          <t>1 acres; cause Debris Burning; fuel 5 - Brush - Continuous but Light</t>
        </is>
      </c>
      <c r="J688" s="12" t="inlineStr">
        <is>
          <t>41.75703, -73.80496</t>
        </is>
      </c>
      <c r="K688" s="12" t="inlineStr">
        <is>
          <t>No losses reported</t>
        </is>
      </c>
      <c r="L688" s="12" t="inlineStr">
        <is>
          <t>NYSDEC Forest Ranger Wildland Fire Reporting Database (Beginning 2008), data.ny.gov export 2026-09-28</t>
        </is>
      </c>
      <c r="M688" s="12" t="inlineStr">
        <is>
          <t>https://data.ny.gov/</t>
        </is>
      </c>
      <c r="N688" s="12" t="inlineStr">
        <is>
          <t>A</t>
        </is>
      </c>
      <c r="O688" s="12" t="inlineStr">
        <is>
          <t>Y</t>
        </is>
      </c>
      <c r="P688" s="12" t="inlineStr">
        <is>
          <t>2026-09-28 (v970, atlas session): bulk ingest per Laurie; fire number NYS-2014-0121; matching 🔥 pin on Natural History.</t>
        </is>
      </c>
      <c r="Q688" s="12" t="inlineStr">
        <is>
          <t>2014-10-01</t>
        </is>
      </c>
      <c r="R688" s="12">
        <f>VALUE(LEFT(Q688,4))</f>
        <v/>
      </c>
      <c r="S688" s="12">
        <f>VALUE(MID(Q688,6,2))</f>
        <v/>
      </c>
      <c r="T688" s="12">
        <f>VALUE(RIGHT(Q688,2))</f>
        <v/>
      </c>
      <c r="U688" s="12" t="inlineStr">
        <is>
          <t>day</t>
        </is>
      </c>
      <c r="V688" s="12" t="inlineStr">
        <is>
          <t>Fire start date (DEC report)</t>
        </is>
      </c>
    </row>
    <row r="689">
      <c r="A689" s="12" t="n">
        <v>826</v>
      </c>
      <c r="B689" s="12" t="inlineStr">
        <is>
          <t>2017-10-22</t>
        </is>
      </c>
      <c r="C689" s="12" t="inlineStr">
        <is>
          <t>2017-10-23</t>
        </is>
      </c>
      <c r="D689" s="12">
        <f>VALUE(LEFT(B689,4))</f>
        <v/>
      </c>
      <c r="E689" s="12">
        <f>INT((D689-1)/100)+1</f>
        <v/>
      </c>
      <c r="F689" s="12" t="inlineStr">
        <is>
          <t>Wildfire</t>
        </is>
      </c>
      <c r="G689" s="12" t="inlineStr">
        <is>
          <t>Acra Point Fire — wildfire, 0.1 acres, Windham (Greene Co.)</t>
        </is>
      </c>
      <c r="H689" s="12" t="inlineStr">
        <is>
          <t>Windham, Greene County; Forest Preserve — Windham Blackhead</t>
        </is>
      </c>
      <c r="I689" s="12" t="inlineStr">
        <is>
          <t>0.1 acres; cause Campfire; fuel 9 - Timber - Medium Hardwood Litter</t>
        </is>
      </c>
      <c r="J689" s="12" t="inlineStr">
        <is>
          <t>42.29976, -74.10619</t>
        </is>
      </c>
      <c r="K689" s="12" t="inlineStr">
        <is>
          <t>No losses reported</t>
        </is>
      </c>
      <c r="L689" s="12" t="inlineStr">
        <is>
          <t>NYSDEC Forest Ranger Wildland Fire Reporting Database (Beginning 2008), data.ny.gov export 2026-09-28</t>
        </is>
      </c>
      <c r="M689" s="12" t="inlineStr">
        <is>
          <t>https://data.ny.gov/</t>
        </is>
      </c>
      <c r="N689" s="12" t="inlineStr">
        <is>
          <t>A</t>
        </is>
      </c>
      <c r="O689" s="12" t="inlineStr">
        <is>
          <t>Y</t>
        </is>
      </c>
      <c r="P689" s="12" t="inlineStr">
        <is>
          <t>2026-09-28 (v970, atlas session): bulk ingest per Laurie; fire number NYS-2017-0077; matching 🔥 pin on Natural History.</t>
        </is>
      </c>
      <c r="Q689" s="12" t="inlineStr">
        <is>
          <t>2017-10-22</t>
        </is>
      </c>
      <c r="R689" s="12">
        <f>VALUE(LEFT(Q689,4))</f>
        <v/>
      </c>
      <c r="S689" s="12">
        <f>VALUE(MID(Q689,6,2))</f>
        <v/>
      </c>
      <c r="T689" s="12">
        <f>VALUE(RIGHT(Q689,2))</f>
        <v/>
      </c>
      <c r="U689" s="12" t="inlineStr">
        <is>
          <t>day</t>
        </is>
      </c>
      <c r="V689" s="12" t="inlineStr">
        <is>
          <t>Fire start date (DEC report)</t>
        </is>
      </c>
    </row>
    <row r="690">
      <c r="A690" s="12" t="n">
        <v>827</v>
      </c>
      <c r="B690" s="12" t="inlineStr">
        <is>
          <t>2013-08-05</t>
        </is>
      </c>
      <c r="C690" s="12" t="inlineStr">
        <is>
          <t>2013-08-05</t>
        </is>
      </c>
      <c r="D690" s="12">
        <f>VALUE(LEFT(B690,4))</f>
        <v/>
      </c>
      <c r="E690" s="12">
        <f>INT((D690-1)/100)+1</f>
        <v/>
      </c>
      <c r="F690" s="12" t="inlineStr">
        <is>
          <t>Wildfire</t>
        </is>
      </c>
      <c r="G690" s="12" t="inlineStr">
        <is>
          <t>Kings Road Red Trail — wildfire, 0.1 acres, Colonie (Albany Co.)</t>
        </is>
      </c>
      <c r="H690" s="12" t="inlineStr">
        <is>
          <t>Colonie, Albany County; Other Government — Albany Pine Bush</t>
        </is>
      </c>
      <c r="I690" s="12" t="inlineStr">
        <is>
          <t>0.1 acres; cause Incendiary; fuel 2 - Grass - Understory</t>
        </is>
      </c>
      <c r="J690" s="12" t="inlineStr">
        <is>
          <t>42.73868, -73.88692</t>
        </is>
      </c>
      <c r="K690" s="12" t="inlineStr">
        <is>
          <t>No losses reported</t>
        </is>
      </c>
      <c r="L690" s="12" t="inlineStr">
        <is>
          <t>NYSDEC Forest Ranger Wildland Fire Reporting Database (Beginning 2008), data.ny.gov export 2026-09-28</t>
        </is>
      </c>
      <c r="M690" s="12" t="inlineStr">
        <is>
          <t>https://data.ny.gov/</t>
        </is>
      </c>
      <c r="N690" s="12" t="inlineStr">
        <is>
          <t>A</t>
        </is>
      </c>
      <c r="O690" s="12" t="inlineStr">
        <is>
          <t>Y</t>
        </is>
      </c>
      <c r="P690" s="12" t="inlineStr">
        <is>
          <t>2026-09-28 (v970, atlas session): bulk ingest per Laurie; fire number NYS-2013-0110; matching 🔥 pin on Natural History.</t>
        </is>
      </c>
      <c r="Q690" s="12" t="inlineStr">
        <is>
          <t>2013-08-05</t>
        </is>
      </c>
      <c r="R690" s="12">
        <f>VALUE(LEFT(Q690,4))</f>
        <v/>
      </c>
      <c r="S690" s="12">
        <f>VALUE(MID(Q690,6,2))</f>
        <v/>
      </c>
      <c r="T690" s="12">
        <f>VALUE(RIGHT(Q690,2))</f>
        <v/>
      </c>
      <c r="U690" s="12" t="inlineStr">
        <is>
          <t>day</t>
        </is>
      </c>
      <c r="V690" s="12" t="inlineStr">
        <is>
          <t>Fire start date (DEC report)</t>
        </is>
      </c>
    </row>
    <row r="691">
      <c r="A691" s="12" t="n">
        <v>829</v>
      </c>
      <c r="B691" s="12" t="inlineStr">
        <is>
          <t>2010-04-02</t>
        </is>
      </c>
      <c r="C691" s="12" t="inlineStr">
        <is>
          <t>2010-04-02</t>
        </is>
      </c>
      <c r="D691" s="12">
        <f>VALUE(LEFT(B691,4))</f>
        <v/>
      </c>
      <c r="E691" s="12">
        <f>INT((D691-1)/100)+1</f>
        <v/>
      </c>
      <c r="F691" s="12" t="inlineStr">
        <is>
          <t>Wildfire</t>
        </is>
      </c>
      <c r="G691" s="12" t="inlineStr">
        <is>
          <t>Bammel Fire — wildfire, 0.3 acres, Halcott (Greene Co.)</t>
        </is>
      </c>
      <c r="H691" s="12" t="inlineStr">
        <is>
          <t>Halcott, Greene County; Private Property</t>
        </is>
      </c>
      <c r="I691" s="12" t="inlineStr">
        <is>
          <t>0.3 acres; cause Debris Burning; fuel 1 - Grass - Light</t>
        </is>
      </c>
      <c r="J691" s="12" t="inlineStr">
        <is>
          <t>42.21492, -74.45047</t>
        </is>
      </c>
      <c r="K691" s="12" t="inlineStr">
        <is>
          <t>Fatalities: 1</t>
        </is>
      </c>
      <c r="L691" s="12" t="inlineStr">
        <is>
          <t>NYSDEC Forest Ranger Wildland Fire Reporting Database (Beginning 2008), data.ny.gov export 2026-09-28</t>
        </is>
      </c>
      <c r="M691" s="12" t="inlineStr">
        <is>
          <t>https://data.ny.gov/</t>
        </is>
      </c>
      <c r="N691" s="12" t="inlineStr">
        <is>
          <t>A</t>
        </is>
      </c>
      <c r="O691" s="12" t="inlineStr">
        <is>
          <t>Y</t>
        </is>
      </c>
      <c r="P691" s="12" t="inlineStr">
        <is>
          <t>2026-09-28 (v970, atlas session): bulk ingest per Laurie; fire number NYS-2010-0038; matching 🔥 pin on Natural History.</t>
        </is>
      </c>
      <c r="Q691" s="12" t="inlineStr">
        <is>
          <t>2010-04-02</t>
        </is>
      </c>
      <c r="R691" s="12">
        <f>VALUE(LEFT(Q691,4))</f>
        <v/>
      </c>
      <c r="S691" s="12">
        <f>VALUE(MID(Q691,6,2))</f>
        <v/>
      </c>
      <c r="T691" s="12">
        <f>VALUE(RIGHT(Q691,2))</f>
        <v/>
      </c>
      <c r="U691" s="12" t="inlineStr">
        <is>
          <t>day</t>
        </is>
      </c>
      <c r="V691" s="12" t="inlineStr">
        <is>
          <t>Fire start date (DEC report)</t>
        </is>
      </c>
    </row>
    <row r="692">
      <c r="A692" s="12" t="n">
        <v>830</v>
      </c>
      <c r="B692" s="12" t="inlineStr">
        <is>
          <t>2012-04-04</t>
        </is>
      </c>
      <c r="C692" s="12" t="inlineStr">
        <is>
          <t>2012-04-04</t>
        </is>
      </c>
      <c r="D692" s="12">
        <f>VALUE(LEFT(B692,4))</f>
        <v/>
      </c>
      <c r="E692" s="12">
        <f>INT((D692-1)/100)+1</f>
        <v/>
      </c>
      <c r="F692" s="12" t="inlineStr">
        <is>
          <t>Wildfire</t>
        </is>
      </c>
      <c r="G692" s="12" t="inlineStr">
        <is>
          <t>Amber Lake Fire — wildfire, 2.3 acres, Rockland (Sullivan Co.)</t>
        </is>
      </c>
      <c r="H692" s="12" t="inlineStr">
        <is>
          <t>Rockland, Sullivan County; Private Property</t>
        </is>
      </c>
      <c r="I692" s="12" t="inlineStr">
        <is>
          <t>2.3 acres; cause Power line; fuel 6 - Brush - Mixed/Regeneration</t>
        </is>
      </c>
      <c r="J692" s="12" t="inlineStr">
        <is>
          <t>41.93644, -74.85094</t>
        </is>
      </c>
      <c r="K692" s="12" t="inlineStr">
        <is>
          <t>No losses reported</t>
        </is>
      </c>
      <c r="L692" s="12" t="inlineStr">
        <is>
          <t>NYSDEC Forest Ranger Wildland Fire Reporting Database (Beginning 2008), data.ny.gov export 2026-09-28</t>
        </is>
      </c>
      <c r="M692" s="12" t="inlineStr">
        <is>
          <t>https://data.ny.gov/</t>
        </is>
      </c>
      <c r="N692" s="12" t="inlineStr">
        <is>
          <t>A</t>
        </is>
      </c>
      <c r="O692" s="12" t="inlineStr">
        <is>
          <t>Y</t>
        </is>
      </c>
      <c r="P692" s="12" t="inlineStr">
        <is>
          <t>2026-09-28 (v970, atlas session): bulk ingest per Laurie; fire number NYS-2012-0048; matching 🔥 pin on Natural History.</t>
        </is>
      </c>
      <c r="Q692" s="12" t="inlineStr">
        <is>
          <t>2012-04-04</t>
        </is>
      </c>
      <c r="R692" s="12">
        <f>VALUE(LEFT(Q692,4))</f>
        <v/>
      </c>
      <c r="S692" s="12">
        <f>VALUE(MID(Q692,6,2))</f>
        <v/>
      </c>
      <c r="T692" s="12">
        <f>VALUE(RIGHT(Q692,2))</f>
        <v/>
      </c>
      <c r="U692" s="12" t="inlineStr">
        <is>
          <t>day</t>
        </is>
      </c>
      <c r="V692" s="12" t="inlineStr">
        <is>
          <t>Fire start date (DEC report)</t>
        </is>
      </c>
    </row>
    <row r="693">
      <c r="A693" s="12" t="n">
        <v>831</v>
      </c>
      <c r="B693" s="12" t="inlineStr">
        <is>
          <t>2008-05-29</t>
        </is>
      </c>
      <c r="C693" s="12" t="inlineStr">
        <is>
          <t>2008-05-30</t>
        </is>
      </c>
      <c r="D693" s="12">
        <f>VALUE(LEFT(B693,4))</f>
        <v/>
      </c>
      <c r="E693" s="12">
        <f>INT((D693-1)/100)+1</f>
        <v/>
      </c>
      <c r="F693" s="12" t="inlineStr">
        <is>
          <t>Wildfire</t>
        </is>
      </c>
      <c r="G693" s="12" t="inlineStr">
        <is>
          <t>Gridley Road Fire — wildfire, 2.4 acres, Middleburgh (Schoharie Co.)</t>
        </is>
      </c>
      <c r="H693" s="12" t="inlineStr">
        <is>
          <t>Middleburgh, Schoharie County; Private Property</t>
        </is>
      </c>
      <c r="I693" s="12" t="inlineStr">
        <is>
          <t>2.4 acres; cause Debris Burning; fuel 9 - Timber - Medium Hardwood Litter</t>
        </is>
      </c>
      <c r="J693" s="12" t="inlineStr">
        <is>
          <t>42.34177, -74.19024</t>
        </is>
      </c>
      <c r="K693" s="12" t="inlineStr">
        <is>
          <t>Injuries: 1</t>
        </is>
      </c>
      <c r="L693" s="12" t="inlineStr">
        <is>
          <t>NYSDEC Forest Ranger Wildland Fire Reporting Database (Beginning 2008), data.ny.gov export 2026-09-28</t>
        </is>
      </c>
      <c r="M693" s="12" t="inlineStr">
        <is>
          <t>https://data.ny.gov/</t>
        </is>
      </c>
      <c r="N693" s="12" t="inlineStr">
        <is>
          <t>A</t>
        </is>
      </c>
      <c r="O693" s="12" t="inlineStr">
        <is>
          <t>Y</t>
        </is>
      </c>
      <c r="P693" s="12" t="inlineStr">
        <is>
          <t>2026-09-28 (v970, atlas session): bulk ingest per Laurie; fire number NYS-2008-0171; matching 🔥 pin on Natural History.</t>
        </is>
      </c>
      <c r="Q693" s="12" t="inlineStr">
        <is>
          <t>2008-05-29</t>
        </is>
      </c>
      <c r="R693" s="12">
        <f>VALUE(LEFT(Q693,4))</f>
        <v/>
      </c>
      <c r="S693" s="12">
        <f>VALUE(MID(Q693,6,2))</f>
        <v/>
      </c>
      <c r="T693" s="12">
        <f>VALUE(RIGHT(Q693,2))</f>
        <v/>
      </c>
      <c r="U693" s="12" t="inlineStr">
        <is>
          <t>day</t>
        </is>
      </c>
      <c r="V693" s="12" t="inlineStr">
        <is>
          <t>Fire start date (DEC report)</t>
        </is>
      </c>
    </row>
    <row r="694">
      <c r="A694" s="12" t="n">
        <v>832</v>
      </c>
      <c r="B694" s="12" t="inlineStr">
        <is>
          <t>2008-04-17</t>
        </is>
      </c>
      <c r="C694" s="12" t="inlineStr">
        <is>
          <t>2008-04-17</t>
        </is>
      </c>
      <c r="D694" s="12">
        <f>VALUE(LEFT(B694,4))</f>
        <v/>
      </c>
      <c r="E694" s="12">
        <f>INT((D694-1)/100)+1</f>
        <v/>
      </c>
      <c r="F694" s="12" t="inlineStr">
        <is>
          <t>Wildfire</t>
        </is>
      </c>
      <c r="G694" s="12" t="inlineStr">
        <is>
          <t>Wilty Fire — wildfire, 0.9 acres, Carlisle (Schoharie Co.)</t>
        </is>
      </c>
      <c r="H694" s="12" t="inlineStr">
        <is>
          <t>Carlisle, Schoharie County; Private Property</t>
        </is>
      </c>
      <c r="I694" s="12" t="inlineStr">
        <is>
          <t>0.9 acres; cause Debris Burning; fuel 1 - Grass - Light</t>
        </is>
      </c>
      <c r="J694" s="12" t="inlineStr">
        <is>
          <t>42.72380, -74.42277</t>
        </is>
      </c>
      <c r="K694" s="12" t="inlineStr">
        <is>
          <t>No losses reported</t>
        </is>
      </c>
      <c r="L694" s="12" t="inlineStr">
        <is>
          <t>NYSDEC Forest Ranger Wildland Fire Reporting Database (Beginning 2008), data.ny.gov export 2026-09-28</t>
        </is>
      </c>
      <c r="M694" s="12" t="inlineStr">
        <is>
          <t>https://data.ny.gov/</t>
        </is>
      </c>
      <c r="N694" s="12" t="inlineStr">
        <is>
          <t>A</t>
        </is>
      </c>
      <c r="O694" s="12" t="inlineStr">
        <is>
          <t>Y</t>
        </is>
      </c>
      <c r="P694" s="12" t="inlineStr">
        <is>
          <t>2026-09-28 (v970, atlas session): bulk ingest per Laurie; fire number NYS-2008-0050; matching 🔥 pin on Natural History.</t>
        </is>
      </c>
      <c r="Q694" s="12" t="inlineStr">
        <is>
          <t>2008-04-17</t>
        </is>
      </c>
      <c r="R694" s="12">
        <f>VALUE(LEFT(Q694,4))</f>
        <v/>
      </c>
      <c r="S694" s="12">
        <f>VALUE(MID(Q694,6,2))</f>
        <v/>
      </c>
      <c r="T694" s="12">
        <f>VALUE(RIGHT(Q694,2))</f>
        <v/>
      </c>
      <c r="U694" s="12" t="inlineStr">
        <is>
          <t>day</t>
        </is>
      </c>
      <c r="V694" s="12" t="inlineStr">
        <is>
          <t>Fire start date (DEC report)</t>
        </is>
      </c>
    </row>
    <row r="695">
      <c r="A695" s="12" t="n">
        <v>834</v>
      </c>
      <c r="B695" s="12" t="inlineStr">
        <is>
          <t>2019-04-13</t>
        </is>
      </c>
      <c r="C695" s="12" t="inlineStr">
        <is>
          <t>2019-04-13</t>
        </is>
      </c>
      <c r="D695" s="12">
        <f>VALUE(LEFT(B695,4))</f>
        <v/>
      </c>
      <c r="E695" s="12">
        <f>INT((D695-1)/100)+1</f>
        <v/>
      </c>
      <c r="F695" s="12" t="inlineStr">
        <is>
          <t>Wildfire</t>
        </is>
      </c>
      <c r="G695" s="12" t="inlineStr">
        <is>
          <t>White Road Fire — wildfire, 0.3 acres, Lumberland (Sullivan Co.)</t>
        </is>
      </c>
      <c r="H695" s="12" t="inlineStr">
        <is>
          <t>Lumberland, Sullivan County; Private Property</t>
        </is>
      </c>
      <c r="I695" s="12" t="inlineStr">
        <is>
          <t>0.3 acres; cause Debris Burning; fuel 1 - Grass - Light</t>
        </is>
      </c>
      <c r="J695" s="12" t="inlineStr">
        <is>
          <t>41.45927, -74.78110</t>
        </is>
      </c>
      <c r="K695" s="12" t="inlineStr">
        <is>
          <t>No losses reported</t>
        </is>
      </c>
      <c r="L695" s="12" t="inlineStr">
        <is>
          <t>NYSDEC Forest Ranger Wildland Fire Reporting Database (Beginning 2008), data.ny.gov export 2026-09-28</t>
        </is>
      </c>
      <c r="M695" s="12" t="inlineStr">
        <is>
          <t>https://data.ny.gov/</t>
        </is>
      </c>
      <c r="N695" s="12" t="inlineStr">
        <is>
          <t>A</t>
        </is>
      </c>
      <c r="O695" s="12" t="inlineStr">
        <is>
          <t>Y</t>
        </is>
      </c>
      <c r="P695" s="12" t="inlineStr">
        <is>
          <t>2026-09-28 (v970, atlas session): bulk ingest per Laurie; fire number NYS-2019-0041; matching 🔥 pin on Natural History.</t>
        </is>
      </c>
      <c r="Q695" s="12" t="inlineStr">
        <is>
          <t>2019-04-13</t>
        </is>
      </c>
      <c r="R695" s="12">
        <f>VALUE(LEFT(Q695,4))</f>
        <v/>
      </c>
      <c r="S695" s="12">
        <f>VALUE(MID(Q695,6,2))</f>
        <v/>
      </c>
      <c r="T695" s="12">
        <f>VALUE(RIGHT(Q695,2))</f>
        <v/>
      </c>
      <c r="U695" s="12" t="inlineStr">
        <is>
          <t>day</t>
        </is>
      </c>
      <c r="V695" s="12" t="inlineStr">
        <is>
          <t>Fire start date (DEC report)</t>
        </is>
      </c>
    </row>
    <row r="696">
      <c r="A696" s="12" t="n">
        <v>835</v>
      </c>
      <c r="B696" s="12" t="inlineStr">
        <is>
          <t>2009-03-25</t>
        </is>
      </c>
      <c r="C696" s="12" t="inlineStr">
        <is>
          <t>2009-03-25</t>
        </is>
      </c>
      <c r="D696" s="12">
        <f>VALUE(LEFT(B696,4))</f>
        <v/>
      </c>
      <c r="E696" s="12">
        <f>INT((D696-1)/100)+1</f>
        <v/>
      </c>
      <c r="F696" s="12" t="inlineStr">
        <is>
          <t>Wildfire</t>
        </is>
      </c>
      <c r="G696" s="12" t="inlineStr">
        <is>
          <t>walker valley — wildfire, 4 acres, Shawangunk (Ulster Co.)</t>
        </is>
      </c>
      <c r="H696" s="12" t="inlineStr">
        <is>
          <t>Shawangunk, Ulster County; Private Property</t>
        </is>
      </c>
      <c r="I696" s="12" t="inlineStr">
        <is>
          <t>4 acres; cause Debris Burning; fuel 8 - Timber - Light Hardwood Litter</t>
        </is>
      </c>
      <c r="J696" s="12" t="inlineStr">
        <is>
          <t>41.64735, -74.37456</t>
        </is>
      </c>
      <c r="K696" s="12" t="inlineStr">
        <is>
          <t>No losses reported</t>
        </is>
      </c>
      <c r="L696" s="12" t="inlineStr">
        <is>
          <t>NYSDEC Forest Ranger Wildland Fire Reporting Database (Beginning 2008), data.ny.gov export 2026-09-28</t>
        </is>
      </c>
      <c r="M696" s="12" t="inlineStr">
        <is>
          <t>https://data.ny.gov/</t>
        </is>
      </c>
      <c r="N696" s="12" t="inlineStr">
        <is>
          <t>A</t>
        </is>
      </c>
      <c r="O696" s="12" t="inlineStr">
        <is>
          <t>Y</t>
        </is>
      </c>
      <c r="P696" s="12" t="inlineStr">
        <is>
          <t>2026-09-28 (v970, atlas session): bulk ingest per Laurie; fire number NYS-2009-0026; matching 🔥 pin on Natural History.</t>
        </is>
      </c>
      <c r="Q696" s="12" t="inlineStr">
        <is>
          <t>2009-03-25</t>
        </is>
      </c>
      <c r="R696" s="12">
        <f>VALUE(LEFT(Q696,4))</f>
        <v/>
      </c>
      <c r="S696" s="12">
        <f>VALUE(MID(Q696,6,2))</f>
        <v/>
      </c>
      <c r="T696" s="12">
        <f>VALUE(RIGHT(Q696,2))</f>
        <v/>
      </c>
      <c r="U696" s="12" t="inlineStr">
        <is>
          <t>day</t>
        </is>
      </c>
      <c r="V696" s="12" t="inlineStr">
        <is>
          <t>Fire start date (DEC report)</t>
        </is>
      </c>
    </row>
    <row r="697">
      <c r="A697" s="12" t="n">
        <v>837</v>
      </c>
      <c r="B697" s="12" t="inlineStr">
        <is>
          <t>2022-05-09</t>
        </is>
      </c>
      <c r="C697" s="12" t="inlineStr">
        <is>
          <t>2022-05-11</t>
        </is>
      </c>
      <c r="D697" s="12">
        <f>VALUE(LEFT(B697,4))</f>
        <v/>
      </c>
      <c r="E697" s="12">
        <f>INT((D697-1)/100)+1</f>
        <v/>
      </c>
      <c r="F697" s="12" t="inlineStr">
        <is>
          <t>Wildfire</t>
        </is>
      </c>
      <c r="G697" s="12" t="inlineStr">
        <is>
          <t>Grape Hollow Rd Fire — wildfire, 12 acres, East Fishkill (Dutchess Co.)</t>
        </is>
      </c>
      <c r="H697" s="12" t="inlineStr">
        <is>
          <t>East Fishkill, Dutchess County; Federal Lands — Appalachian Trail Corridor</t>
        </is>
      </c>
      <c r="I697" s="12" t="inlineStr">
        <is>
          <t>12 acres; cause Campfire; fuel 8 - Timber - Light Hardwood Litter</t>
        </is>
      </c>
      <c r="J697" s="12" t="inlineStr">
        <is>
          <t>41.55064, -73.70883</t>
        </is>
      </c>
      <c r="K697" s="12" t="inlineStr">
        <is>
          <t>No losses reported</t>
        </is>
      </c>
      <c r="L697" s="12" t="inlineStr">
        <is>
          <t>NYSDEC Forest Ranger Wildland Fire Reporting Database (Beginning 2008), data.ny.gov export 2026-09-28</t>
        </is>
      </c>
      <c r="M697" s="12" t="inlineStr">
        <is>
          <t>https://data.ny.gov/</t>
        </is>
      </c>
      <c r="N697" s="12" t="inlineStr">
        <is>
          <t>A</t>
        </is>
      </c>
      <c r="O697" s="12" t="inlineStr">
        <is>
          <t>Y</t>
        </is>
      </c>
      <c r="P697" s="12" t="inlineStr">
        <is>
          <t>2026-09-28 (v970, atlas session): bulk ingest per Laurie; fire number NYS-2022-0071; matching 🔥 pin on Natural History.</t>
        </is>
      </c>
      <c r="Q697" s="12" t="inlineStr">
        <is>
          <t>2022-05-09</t>
        </is>
      </c>
      <c r="R697" s="12">
        <f>VALUE(LEFT(Q697,4))</f>
        <v/>
      </c>
      <c r="S697" s="12">
        <f>VALUE(MID(Q697,6,2))</f>
        <v/>
      </c>
      <c r="T697" s="12">
        <f>VALUE(RIGHT(Q697,2))</f>
        <v/>
      </c>
      <c r="U697" s="12" t="inlineStr">
        <is>
          <t>day</t>
        </is>
      </c>
      <c r="V697" s="12" t="inlineStr">
        <is>
          <t>Fire start date (DEC report)</t>
        </is>
      </c>
    </row>
    <row r="698">
      <c r="A698" s="12" t="n">
        <v>838</v>
      </c>
      <c r="B698" s="12" t="inlineStr">
        <is>
          <t>2012-03-08</t>
        </is>
      </c>
      <c r="C698" s="12" t="inlineStr">
        <is>
          <t>2012-03-08</t>
        </is>
      </c>
      <c r="D698" s="12">
        <f>VALUE(LEFT(B698,4))</f>
        <v/>
      </c>
      <c r="E698" s="12">
        <f>INT((D698-1)/100)+1</f>
        <v/>
      </c>
      <c r="F698" s="12" t="inlineStr">
        <is>
          <t>Wildfire</t>
        </is>
      </c>
      <c r="G698" s="12" t="inlineStr">
        <is>
          <t>Rhinebeck Road — wildfire, 0.5 acres, Seward (Schoharie Co.)</t>
        </is>
      </c>
      <c r="H698" s="12" t="inlineStr">
        <is>
          <t>Seward, Schoharie County; Private Property</t>
        </is>
      </c>
      <c r="I698" s="12" t="inlineStr">
        <is>
          <t>0.5 acres; cause Debris Burning; fuel 1 - Grass - Light</t>
        </is>
      </c>
      <c r="J698" s="12" t="inlineStr">
        <is>
          <t>42.71622, -74.54560</t>
        </is>
      </c>
      <c r="K698" s="12" t="inlineStr">
        <is>
          <t>No losses reported</t>
        </is>
      </c>
      <c r="L698" s="12" t="inlineStr">
        <is>
          <t>NYSDEC Forest Ranger Wildland Fire Reporting Database (Beginning 2008), data.ny.gov export 2026-09-28</t>
        </is>
      </c>
      <c r="M698" s="12" t="inlineStr">
        <is>
          <t>https://data.ny.gov/</t>
        </is>
      </c>
      <c r="N698" s="12" t="inlineStr">
        <is>
          <t>A</t>
        </is>
      </c>
      <c r="O698" s="12" t="inlineStr">
        <is>
          <t>Y</t>
        </is>
      </c>
      <c r="P698" s="12" t="inlineStr">
        <is>
          <t>2026-09-28 (v970, atlas session): bulk ingest per Laurie; fire number NYS-2012-0014; matching 🔥 pin on Natural History.</t>
        </is>
      </c>
      <c r="Q698" s="12" t="inlineStr">
        <is>
          <t>2012-03-08</t>
        </is>
      </c>
      <c r="R698" s="12">
        <f>VALUE(LEFT(Q698,4))</f>
        <v/>
      </c>
      <c r="S698" s="12">
        <f>VALUE(MID(Q698,6,2))</f>
        <v/>
      </c>
      <c r="T698" s="12">
        <f>VALUE(RIGHT(Q698,2))</f>
        <v/>
      </c>
      <c r="U698" s="12" t="inlineStr">
        <is>
          <t>day</t>
        </is>
      </c>
      <c r="V698" s="12" t="inlineStr">
        <is>
          <t>Fire start date (DEC report)</t>
        </is>
      </c>
    </row>
    <row r="699">
      <c r="A699" s="12" t="n">
        <v>840</v>
      </c>
      <c r="B699" s="12" t="inlineStr">
        <is>
          <t>2022-11-08</t>
        </is>
      </c>
      <c r="C699" s="12" t="inlineStr">
        <is>
          <t>2022-11-09</t>
        </is>
      </c>
      <c r="D699" s="12">
        <f>VALUE(LEFT(B699,4))</f>
        <v/>
      </c>
      <c r="E699" s="12">
        <f>INT((D699-1)/100)+1</f>
        <v/>
      </c>
      <c r="F699" s="12" t="inlineStr">
        <is>
          <t>Wildfire</t>
        </is>
      </c>
      <c r="G699" s="12" t="inlineStr">
        <is>
          <t>South Mountain Fire — wildfire, 1.5 acres, Windham (Greene Co.)</t>
        </is>
      </c>
      <c r="H699" s="12" t="inlineStr">
        <is>
          <t>Windham, Greene County; State Forest/RF Area — South Mountain State Forest</t>
        </is>
      </c>
      <c r="I699" s="12" t="inlineStr">
        <is>
          <t>1.5 acres; cause Miscellaneous; fuel 11 - Slash - Light</t>
        </is>
      </c>
      <c r="J699" s="12" t="inlineStr">
        <is>
          <t>42.36212, -74.27268</t>
        </is>
      </c>
      <c r="K699" s="12" t="inlineStr">
        <is>
          <t>No losses reported</t>
        </is>
      </c>
      <c r="L699" s="12" t="inlineStr">
        <is>
          <t>NYSDEC Forest Ranger Wildland Fire Reporting Database (Beginning 2008), data.ny.gov export 2026-09-28</t>
        </is>
      </c>
      <c r="M699" s="12" t="inlineStr">
        <is>
          <t>https://data.ny.gov/</t>
        </is>
      </c>
      <c r="N699" s="12" t="inlineStr">
        <is>
          <t>A</t>
        </is>
      </c>
      <c r="O699" s="12" t="inlineStr">
        <is>
          <t>Y</t>
        </is>
      </c>
      <c r="P699" s="12" t="inlineStr">
        <is>
          <t>2026-09-28 (v970, atlas session): bulk ingest per Laurie; fire number NYS-2022-0204; matching 🔥 pin on Natural History.</t>
        </is>
      </c>
      <c r="Q699" s="12" t="inlineStr">
        <is>
          <t>2022-11-08</t>
        </is>
      </c>
      <c r="R699" s="12">
        <f>VALUE(LEFT(Q699,4))</f>
        <v/>
      </c>
      <c r="S699" s="12">
        <f>VALUE(MID(Q699,6,2))</f>
        <v/>
      </c>
      <c r="T699" s="12">
        <f>VALUE(RIGHT(Q699,2))</f>
        <v/>
      </c>
      <c r="U699" s="12" t="inlineStr">
        <is>
          <t>day</t>
        </is>
      </c>
      <c r="V699" s="12" t="inlineStr">
        <is>
          <t>Fire start date (DEC report)</t>
        </is>
      </c>
    </row>
    <row r="700">
      <c r="A700" s="12" t="n">
        <v>842</v>
      </c>
      <c r="B700" s="12" t="inlineStr">
        <is>
          <t>2017-04-10</t>
        </is>
      </c>
      <c r="C700" s="12" t="inlineStr">
        <is>
          <t>2017-04-10</t>
        </is>
      </c>
      <c r="D700" s="12">
        <f>VALUE(LEFT(B700,4))</f>
        <v/>
      </c>
      <c r="E700" s="12">
        <f>INT((D700-1)/100)+1</f>
        <v/>
      </c>
      <c r="F700" s="12" t="inlineStr">
        <is>
          <t>Wildfire</t>
        </is>
      </c>
      <c r="G700" s="12" t="inlineStr">
        <is>
          <t>Lower Birch Creek — wildfire, 1 acres, Shandaken (Ulster Co.)</t>
        </is>
      </c>
      <c r="H700" s="12" t="inlineStr">
        <is>
          <t>Shandaken, Ulster County; Forest Preserve — Shandaken WF</t>
        </is>
      </c>
      <c r="I700" s="12" t="inlineStr">
        <is>
          <t>1 acres; cause Smoking; fuel 1 - Grass - Light</t>
        </is>
      </c>
      <c r="J700" s="12" t="inlineStr">
        <is>
          <t>42.16060, -74.44200</t>
        </is>
      </c>
      <c r="K700" s="12" t="inlineStr">
        <is>
          <t>No losses reported</t>
        </is>
      </c>
      <c r="L700" s="12" t="inlineStr">
        <is>
          <t>NYSDEC Forest Ranger Wildland Fire Reporting Database (Beginning 2008), data.ny.gov export 2026-09-28</t>
        </is>
      </c>
      <c r="M700" s="12" t="inlineStr">
        <is>
          <t>https://data.ny.gov/</t>
        </is>
      </c>
      <c r="N700" s="12" t="inlineStr">
        <is>
          <t>A</t>
        </is>
      </c>
      <c r="O700" s="12" t="inlineStr">
        <is>
          <t>Y</t>
        </is>
      </c>
      <c r="P700" s="12" t="inlineStr">
        <is>
          <t>2026-09-28 (v970, atlas session): bulk ingest per Laurie; fire number NYS-2017-0018; matching 🔥 pin on Natural History.</t>
        </is>
      </c>
      <c r="Q700" s="12" t="inlineStr">
        <is>
          <t>2017-04-10</t>
        </is>
      </c>
      <c r="R700" s="12">
        <f>VALUE(LEFT(Q700,4))</f>
        <v/>
      </c>
      <c r="S700" s="12">
        <f>VALUE(MID(Q700,6,2))</f>
        <v/>
      </c>
      <c r="T700" s="12">
        <f>VALUE(RIGHT(Q700,2))</f>
        <v/>
      </c>
      <c r="U700" s="12" t="inlineStr">
        <is>
          <t>day</t>
        </is>
      </c>
      <c r="V700" s="12" t="inlineStr">
        <is>
          <t>Fire start date (DEC report)</t>
        </is>
      </c>
    </row>
    <row r="701">
      <c r="A701" s="12" t="n">
        <v>843</v>
      </c>
      <c r="B701" s="12" t="inlineStr">
        <is>
          <t>2015-08-03</t>
        </is>
      </c>
      <c r="C701" s="12" t="inlineStr">
        <is>
          <t>2015-08-03</t>
        </is>
      </c>
      <c r="D701" s="12">
        <f>VALUE(LEFT(B701,4))</f>
        <v/>
      </c>
      <c r="E701" s="12">
        <f>INT((D701-1)/100)+1</f>
        <v/>
      </c>
      <c r="F701" s="12" t="inlineStr">
        <is>
          <t>Wildfire</t>
        </is>
      </c>
      <c r="G701" s="12" t="inlineStr">
        <is>
          <t>Poet's Ledge Fire — wildfire, 0.1 acres, Hunter (Greene Co.)</t>
        </is>
      </c>
      <c r="H701" s="12" t="inlineStr">
        <is>
          <t>Hunter, Greene County; Forest Preserve — Kaaterskill Wild Forest</t>
        </is>
      </c>
      <c r="I701" s="12" t="inlineStr">
        <is>
          <t>0.1 acres; cause Smoking; fuel 9 - Timber - Medium Hardwood Litter</t>
        </is>
      </c>
      <c r="J701" s="12" t="inlineStr">
        <is>
          <t>42.17312, -74.05420</t>
        </is>
      </c>
      <c r="K701" s="12" t="inlineStr">
        <is>
          <t>No losses reported</t>
        </is>
      </c>
      <c r="L701" s="12" t="inlineStr">
        <is>
          <t>NYSDEC Forest Ranger Wildland Fire Reporting Database (Beginning 2008), data.ny.gov export 2026-09-28</t>
        </is>
      </c>
      <c r="M701" s="12" t="inlineStr">
        <is>
          <t>https://data.ny.gov/</t>
        </is>
      </c>
      <c r="N701" s="12" t="inlineStr">
        <is>
          <t>A</t>
        </is>
      </c>
      <c r="O701" s="12" t="inlineStr">
        <is>
          <t>Y</t>
        </is>
      </c>
      <c r="P701" s="12" t="inlineStr">
        <is>
          <t>2026-09-28 (v970, atlas session): bulk ingest per Laurie; fire number NYS-2015-0143; matching 🔥 pin on Natural History.</t>
        </is>
      </c>
      <c r="Q701" s="12" t="inlineStr">
        <is>
          <t>2015-08-03</t>
        </is>
      </c>
      <c r="R701" s="12">
        <f>VALUE(LEFT(Q701,4))</f>
        <v/>
      </c>
      <c r="S701" s="12">
        <f>VALUE(MID(Q701,6,2))</f>
        <v/>
      </c>
      <c r="T701" s="12">
        <f>VALUE(RIGHT(Q701,2))</f>
        <v/>
      </c>
      <c r="U701" s="12" t="inlineStr">
        <is>
          <t>day</t>
        </is>
      </c>
      <c r="V701" s="12" t="inlineStr">
        <is>
          <t>Fire start date (DEC report)</t>
        </is>
      </c>
    </row>
    <row r="702">
      <c r="A702" s="12" t="n">
        <v>846</v>
      </c>
      <c r="B702" s="12" t="inlineStr">
        <is>
          <t>2016-04-18</t>
        </is>
      </c>
      <c r="C702" s="12" t="inlineStr">
        <is>
          <t>2016-04-19</t>
        </is>
      </c>
      <c r="D702" s="12">
        <f>VALUE(LEFT(B702,4))</f>
        <v/>
      </c>
      <c r="E702" s="12">
        <f>INT((D702-1)/100)+1</f>
        <v/>
      </c>
      <c r="F702" s="12" t="inlineStr">
        <is>
          <t>Wildfire</t>
        </is>
      </c>
      <c r="G702" s="12" t="inlineStr">
        <is>
          <t>Ellis Fire — wildfire, 4.5 acres, Windsor (Broome Co.)</t>
        </is>
      </c>
      <c r="H702" s="12" t="inlineStr">
        <is>
          <t>Windsor, Broome County; Private Property</t>
        </is>
      </c>
      <c r="I702" s="12" t="inlineStr">
        <is>
          <t>4.5 acres; cause Structure; fuel 9 - Timber - Medium Hardwood Litter</t>
        </is>
      </c>
      <c r="J702" s="12" t="inlineStr">
        <is>
          <t>42.03262, -75.72344</t>
        </is>
      </c>
      <c r="K702" s="12" t="inlineStr">
        <is>
          <t>Other Structures Lost: 1</t>
        </is>
      </c>
      <c r="L702" s="12" t="inlineStr">
        <is>
          <t>NYSDEC Forest Ranger Wildland Fire Reporting Database (Beginning 2008), data.ny.gov export 2026-09-28</t>
        </is>
      </c>
      <c r="M702" s="12" t="inlineStr">
        <is>
          <t>https://data.ny.gov/</t>
        </is>
      </c>
      <c r="N702" s="12" t="inlineStr">
        <is>
          <t>A</t>
        </is>
      </c>
      <c r="O702" s="12" t="inlineStr">
        <is>
          <t>Y</t>
        </is>
      </c>
      <c r="P702" s="12" t="inlineStr">
        <is>
          <t>2026-09-28 (v970, atlas session): bulk ingest per Laurie; fire number NYS-2016-0056; matching 🔥 pin on Natural History.</t>
        </is>
      </c>
      <c r="Q702" s="12" t="inlineStr">
        <is>
          <t>2016-04-18</t>
        </is>
      </c>
      <c r="R702" s="12">
        <f>VALUE(LEFT(Q702,4))</f>
        <v/>
      </c>
      <c r="S702" s="12">
        <f>VALUE(MID(Q702,6,2))</f>
        <v/>
      </c>
      <c r="T702" s="12">
        <f>VALUE(RIGHT(Q702,2))</f>
        <v/>
      </c>
      <c r="U702" s="12" t="inlineStr">
        <is>
          <t>day</t>
        </is>
      </c>
      <c r="V702" s="12" t="inlineStr">
        <is>
          <t>Fire start date (DEC report)</t>
        </is>
      </c>
    </row>
    <row r="703">
      <c r="A703" s="12" t="n">
        <v>850</v>
      </c>
      <c r="B703" s="12" t="inlineStr">
        <is>
          <t>2024-11-08</t>
        </is>
      </c>
      <c r="C703" s="12" t="inlineStr">
        <is>
          <t>2024-11-29</t>
        </is>
      </c>
      <c r="D703" s="12">
        <f>VALUE(LEFT(B703,4))</f>
        <v/>
      </c>
      <c r="E703" s="12">
        <f>INT((D703-1)/100)+1</f>
        <v/>
      </c>
      <c r="F703" s="12" t="inlineStr">
        <is>
          <t>Wildfire</t>
        </is>
      </c>
      <c r="G703" s="12" t="inlineStr">
        <is>
          <t>Whitehouse Fire — wildfire, 645 acres, Denning (Ulster Co.)</t>
        </is>
      </c>
      <c r="H703" s="12" t="inlineStr">
        <is>
          <t>Denning, Ulster County; Private Property — Sundown Wild Forest</t>
        </is>
      </c>
      <c r="I703" s="12" t="inlineStr">
        <is>
          <t>645 acres; cause Structure; fuel 6 - Brush - Mixed/Regeneration</t>
        </is>
      </c>
      <c r="J703" s="12" t="inlineStr">
        <is>
          <t>41.89507, -74.44511</t>
        </is>
      </c>
      <c r="K703" s="12" t="inlineStr">
        <is>
          <t>Other Structures Lost: 2</t>
        </is>
      </c>
      <c r="L703" s="12" t="inlineStr">
        <is>
          <t>NYSDEC Forest Ranger Wildland Fire Reporting Database (Beginning 2008), data.ny.gov export 2026-09-28</t>
        </is>
      </c>
      <c r="M703" s="12" t="inlineStr">
        <is>
          <t>https://data.ny.gov/</t>
        </is>
      </c>
      <c r="N703" s="12" t="inlineStr">
        <is>
          <t>A</t>
        </is>
      </c>
      <c r="O703" s="12" t="inlineStr">
        <is>
          <t>Y</t>
        </is>
      </c>
      <c r="P703" s="12" t="inlineStr">
        <is>
          <t>2026-09-28 (v970, atlas session): bulk ingest per Laurie; fire number NYS-2024-0176; matching 🔥 pin on Natural History.</t>
        </is>
      </c>
      <c r="Q703" s="12" t="inlineStr">
        <is>
          <t>2024-11-08</t>
        </is>
      </c>
      <c r="R703" s="12">
        <f>VALUE(LEFT(Q703,4))</f>
        <v/>
      </c>
      <c r="S703" s="12">
        <f>VALUE(MID(Q703,6,2))</f>
        <v/>
      </c>
      <c r="T703" s="12">
        <f>VALUE(RIGHT(Q703,2))</f>
        <v/>
      </c>
      <c r="U703" s="12" t="inlineStr">
        <is>
          <t>day</t>
        </is>
      </c>
      <c r="V703" s="12" t="inlineStr">
        <is>
          <t>Fire start date (DEC report)</t>
        </is>
      </c>
    </row>
    <row r="704">
      <c r="A704" s="12" t="n">
        <v>851</v>
      </c>
      <c r="B704" s="12" t="inlineStr">
        <is>
          <t>2014-04-24</t>
        </is>
      </c>
      <c r="C704" s="12" t="inlineStr">
        <is>
          <t>2014-04-24</t>
        </is>
      </c>
      <c r="D704" s="12">
        <f>VALUE(LEFT(B704,4))</f>
        <v/>
      </c>
      <c r="E704" s="12">
        <f>INT((D704-1)/100)+1</f>
        <v/>
      </c>
      <c r="F704" s="12" t="inlineStr">
        <is>
          <t>Wildfire</t>
        </is>
      </c>
      <c r="G704" s="12" t="inlineStr">
        <is>
          <t>Claryville Rd Fire — wildfire, 0.3 acres, Neversink (Sullivan Co.)</t>
        </is>
      </c>
      <c r="H704" s="12" t="inlineStr">
        <is>
          <t>Neversink, Sullivan County; Private Property</t>
        </is>
      </c>
      <c r="I704" s="12" t="inlineStr">
        <is>
          <t>0.3 acres; cause Power line; fuel 1 - Grass - Light</t>
        </is>
      </c>
      <c r="J704" s="12" t="inlineStr">
        <is>
          <t>41.86200, -74.58534</t>
        </is>
      </c>
      <c r="K704" s="12" t="inlineStr">
        <is>
          <t>No losses reported</t>
        </is>
      </c>
      <c r="L704" s="12" t="inlineStr">
        <is>
          <t>NYSDEC Forest Ranger Wildland Fire Reporting Database (Beginning 2008), data.ny.gov export 2026-09-28</t>
        </is>
      </c>
      <c r="M704" s="12" t="inlineStr">
        <is>
          <t>https://data.ny.gov/</t>
        </is>
      </c>
      <c r="N704" s="12" t="inlineStr">
        <is>
          <t>A</t>
        </is>
      </c>
      <c r="O704" s="12" t="inlineStr">
        <is>
          <t>Y</t>
        </is>
      </c>
      <c r="P704" s="12" t="inlineStr">
        <is>
          <t>2026-09-28 (v970, atlas session): bulk ingest per Laurie; fire number NYS-2014-0058; matching 🔥 pin on Natural History.</t>
        </is>
      </c>
      <c r="Q704" s="12" t="inlineStr">
        <is>
          <t>2014-04-24</t>
        </is>
      </c>
      <c r="R704" s="12">
        <f>VALUE(LEFT(Q704,4))</f>
        <v/>
      </c>
      <c r="S704" s="12">
        <f>VALUE(MID(Q704,6,2))</f>
        <v/>
      </c>
      <c r="T704" s="12">
        <f>VALUE(RIGHT(Q704,2))</f>
        <v/>
      </c>
      <c r="U704" s="12" t="inlineStr">
        <is>
          <t>day</t>
        </is>
      </c>
      <c r="V704" s="12" t="inlineStr">
        <is>
          <t>Fire start date (DEC report)</t>
        </is>
      </c>
    </row>
    <row r="705">
      <c r="A705" s="12" t="n">
        <v>853</v>
      </c>
      <c r="B705" s="12" t="inlineStr">
        <is>
          <t>2014-04-24</t>
        </is>
      </c>
      <c r="C705" s="12" t="inlineStr">
        <is>
          <t>2014-04-24</t>
        </is>
      </c>
      <c r="D705" s="12">
        <f>VALUE(LEFT(B705,4))</f>
        <v/>
      </c>
      <c r="E705" s="12">
        <f>INT((D705-1)/100)+1</f>
        <v/>
      </c>
      <c r="F705" s="12" t="inlineStr">
        <is>
          <t>Wildfire</t>
        </is>
      </c>
      <c r="G705" s="12" t="inlineStr">
        <is>
          <t>Stony Kill Fire — wildfire, 0.3 acres, Rochester (Ulster Co.)</t>
        </is>
      </c>
      <c r="H705" s="12" t="inlineStr">
        <is>
          <t>Rochester, Ulster County; Private Property</t>
        </is>
      </c>
      <c r="I705" s="12" t="inlineStr">
        <is>
          <t>0.3 acres; cause Equipment; fuel 8 - Timber - Light Hardwood Litter</t>
        </is>
      </c>
      <c r="J705" s="12" t="inlineStr">
        <is>
          <t>41.77507, -74.22688</t>
        </is>
      </c>
      <c r="K705" s="12" t="inlineStr">
        <is>
          <t>Other Structures Lost: 1</t>
        </is>
      </c>
      <c r="L705" s="12" t="inlineStr">
        <is>
          <t>NYSDEC Forest Ranger Wildland Fire Reporting Database (Beginning 2008), data.ny.gov export 2026-09-28</t>
        </is>
      </c>
      <c r="M705" s="12" t="inlineStr">
        <is>
          <t>https://data.ny.gov/</t>
        </is>
      </c>
      <c r="N705" s="12" t="inlineStr">
        <is>
          <t>A</t>
        </is>
      </c>
      <c r="O705" s="12" t="inlineStr">
        <is>
          <t>Y</t>
        </is>
      </c>
      <c r="P705" s="12" t="inlineStr">
        <is>
          <t>2026-09-28 (v970, atlas session): bulk ingest per Laurie; fire number NYS-2014-0060; matching 🔥 pin on Natural History.</t>
        </is>
      </c>
      <c r="Q705" s="12" t="inlineStr">
        <is>
          <t>2014-04-24</t>
        </is>
      </c>
      <c r="R705" s="12">
        <f>VALUE(LEFT(Q705,4))</f>
        <v/>
      </c>
      <c r="S705" s="12">
        <f>VALUE(MID(Q705,6,2))</f>
        <v/>
      </c>
      <c r="T705" s="12">
        <f>VALUE(RIGHT(Q705,2))</f>
        <v/>
      </c>
      <c r="U705" s="12" t="inlineStr">
        <is>
          <t>day</t>
        </is>
      </c>
      <c r="V705" s="12" t="inlineStr">
        <is>
          <t>Fire start date (DEC report)</t>
        </is>
      </c>
    </row>
    <row r="706">
      <c r="A706" s="12" t="n">
        <v>854</v>
      </c>
      <c r="B706" s="12" t="inlineStr">
        <is>
          <t>2022-04-24</t>
        </is>
      </c>
      <c r="C706" s="12" t="inlineStr">
        <is>
          <t>2022-04-26</t>
        </is>
      </c>
      <c r="D706" s="12">
        <f>VALUE(LEFT(B706,4))</f>
        <v/>
      </c>
      <c r="E706" s="12">
        <f>INT((D706-1)/100)+1</f>
        <v/>
      </c>
      <c r="F706" s="12" t="inlineStr">
        <is>
          <t>Wildfire</t>
        </is>
      </c>
      <c r="G706" s="12" t="inlineStr">
        <is>
          <t>Laurel Mountain Rd — wildfire, 12 acres, Wawarsing (Ulster Co.)</t>
        </is>
      </c>
      <c r="H706" s="12" t="inlineStr">
        <is>
          <t>Wawarsing, Ulster County; OPR&amp;HP (State Parks) — Sam's Point/Minnewaska</t>
        </is>
      </c>
      <c r="I706" s="12" t="inlineStr">
        <is>
          <t>12 acres; cause Miscellaneous; fuel 9 - Timber - Medium Hardwood Litter</t>
        </is>
      </c>
      <c r="J706" s="12" t="inlineStr">
        <is>
          <t>41.66565, -74.36709</t>
        </is>
      </c>
      <c r="K706" s="12" t="inlineStr">
        <is>
          <t>No losses reported</t>
        </is>
      </c>
      <c r="L706" s="12" t="inlineStr">
        <is>
          <t>NYSDEC Forest Ranger Wildland Fire Reporting Database (Beginning 2008), data.ny.gov export 2026-09-28</t>
        </is>
      </c>
      <c r="M706" s="12" t="inlineStr">
        <is>
          <t>https://data.ny.gov/</t>
        </is>
      </c>
      <c r="N706" s="12" t="inlineStr">
        <is>
          <t>A</t>
        </is>
      </c>
      <c r="O706" s="12" t="inlineStr">
        <is>
          <t>Y</t>
        </is>
      </c>
      <c r="P706" s="12" t="inlineStr">
        <is>
          <t>2026-09-28 (v970, atlas session): bulk ingest per Laurie; fire number NYS-2022-0043; matching 🔥 pin on Natural History.</t>
        </is>
      </c>
      <c r="Q706" s="12" t="inlineStr">
        <is>
          <t>2022-04-24</t>
        </is>
      </c>
      <c r="R706" s="12">
        <f>VALUE(LEFT(Q706,4))</f>
        <v/>
      </c>
      <c r="S706" s="12">
        <f>VALUE(MID(Q706,6,2))</f>
        <v/>
      </c>
      <c r="T706" s="12">
        <f>VALUE(RIGHT(Q706,2))</f>
        <v/>
      </c>
      <c r="U706" s="12" t="inlineStr">
        <is>
          <t>day</t>
        </is>
      </c>
      <c r="V706" s="12" t="inlineStr">
        <is>
          <t>Fire start date (DEC report)</t>
        </is>
      </c>
    </row>
    <row r="707">
      <c r="A707" s="12" t="n">
        <v>855</v>
      </c>
      <c r="B707" s="12" t="inlineStr">
        <is>
          <t>2022-08-29</t>
        </is>
      </c>
      <c r="C707" s="12" t="inlineStr">
        <is>
          <t>2022-09-09</t>
        </is>
      </c>
      <c r="D707" s="12">
        <f>VALUE(LEFT(B707,4))</f>
        <v/>
      </c>
      <c r="E707" s="12">
        <f>INT((D707-1)/100)+1</f>
        <v/>
      </c>
      <c r="F707" s="12" t="inlineStr">
        <is>
          <t>Wildfire</t>
        </is>
      </c>
      <c r="G707" s="12" t="inlineStr">
        <is>
          <t>Stony Kill Fire — wildfire, 1.7 acres, Wawarsing (Ulster Co.)</t>
        </is>
      </c>
      <c r="H707" s="12" t="inlineStr">
        <is>
          <t>Wawarsing, Ulster County; OPR&amp;HP (State Parks) — Minnewaska State Park</t>
        </is>
      </c>
      <c r="I707" s="12" t="inlineStr">
        <is>
          <t>1.7 acres; cause Lightning; fuel 4 - Brush - Heavy/Volatile</t>
        </is>
      </c>
      <c r="J707" s="12" t="inlineStr">
        <is>
          <t>41.72412, -74.29057</t>
        </is>
      </c>
      <c r="K707" s="12" t="inlineStr">
        <is>
          <t>No losses reported</t>
        </is>
      </c>
      <c r="L707" s="12" t="inlineStr">
        <is>
          <t>NYSDEC Forest Ranger Wildland Fire Reporting Database (Beginning 2008), data.ny.gov export 2026-09-28</t>
        </is>
      </c>
      <c r="M707" s="12" t="inlineStr">
        <is>
          <t>https://data.ny.gov/</t>
        </is>
      </c>
      <c r="N707" s="12" t="inlineStr">
        <is>
          <t>A</t>
        </is>
      </c>
      <c r="O707" s="12" t="inlineStr">
        <is>
          <t>Y</t>
        </is>
      </c>
      <c r="P707" s="12" t="inlineStr">
        <is>
          <t>2026-09-28 (v970, atlas session): bulk ingest per Laurie; fire number NYS-2022-0162; matching 🔥 pin on Natural History.</t>
        </is>
      </c>
      <c r="Q707" s="12" t="inlineStr">
        <is>
          <t>2022-08-29</t>
        </is>
      </c>
      <c r="R707" s="12">
        <f>VALUE(LEFT(Q707,4))</f>
        <v/>
      </c>
      <c r="S707" s="12">
        <f>VALUE(MID(Q707,6,2))</f>
        <v/>
      </c>
      <c r="T707" s="12">
        <f>VALUE(RIGHT(Q707,2))</f>
        <v/>
      </c>
      <c r="U707" s="12" t="inlineStr">
        <is>
          <t>day</t>
        </is>
      </c>
      <c r="V707" s="12" t="inlineStr">
        <is>
          <t>Fire start date (DEC report)</t>
        </is>
      </c>
    </row>
    <row r="708">
      <c r="A708" s="12" t="n">
        <v>857</v>
      </c>
      <c r="B708" s="12" t="inlineStr">
        <is>
          <t>2024-03-11</t>
        </is>
      </c>
      <c r="C708" s="12" t="inlineStr">
        <is>
          <t>2024-03-11</t>
        </is>
      </c>
      <c r="D708" s="12">
        <f>VALUE(LEFT(B708,4))</f>
        <v/>
      </c>
      <c r="E708" s="12">
        <f>INT((D708-1)/100)+1</f>
        <v/>
      </c>
      <c r="F708" s="12" t="inlineStr">
        <is>
          <t>Wildfire</t>
        </is>
      </c>
      <c r="G708" s="12" t="inlineStr">
        <is>
          <t>Pitcairn Mountain Rd Fire — wildfire, 3 acres, Olive (Ulster Co.)</t>
        </is>
      </c>
      <c r="H708" s="12" t="inlineStr">
        <is>
          <t>Olive, Ulster County; Other Government</t>
        </is>
      </c>
      <c r="I708" s="12" t="inlineStr">
        <is>
          <t>3 acres; cause Power line; fuel 10 - Timber - Heavy Litter/Downed Fuels</t>
        </is>
      </c>
      <c r="J708" s="12" t="inlineStr">
        <is>
          <t>41.99291, -74.18757</t>
        </is>
      </c>
      <c r="K708" s="12" t="inlineStr">
        <is>
          <t>No losses reported</t>
        </is>
      </c>
      <c r="L708" s="12" t="inlineStr">
        <is>
          <t>NYSDEC Forest Ranger Wildland Fire Reporting Database (Beginning 2008), data.ny.gov export 2026-09-28</t>
        </is>
      </c>
      <c r="M708" s="12" t="inlineStr">
        <is>
          <t>https://data.ny.gov/</t>
        </is>
      </c>
      <c r="N708" s="12" t="inlineStr">
        <is>
          <t>A</t>
        </is>
      </c>
      <c r="O708" s="12" t="inlineStr">
        <is>
          <t>Y</t>
        </is>
      </c>
      <c r="P708" s="12" t="inlineStr">
        <is>
          <t>2026-09-28 (v970, atlas session): bulk ingest per Laurie; fire number NYS-2024-0018; matching 🔥 pin on Natural History.</t>
        </is>
      </c>
      <c r="Q708" s="12" t="inlineStr">
        <is>
          <t>2024-03-11</t>
        </is>
      </c>
      <c r="R708" s="12">
        <f>VALUE(LEFT(Q708,4))</f>
        <v/>
      </c>
      <c r="S708" s="12">
        <f>VALUE(MID(Q708,6,2))</f>
        <v/>
      </c>
      <c r="T708" s="12">
        <f>VALUE(RIGHT(Q708,2))</f>
        <v/>
      </c>
      <c r="U708" s="12" t="inlineStr">
        <is>
          <t>day</t>
        </is>
      </c>
      <c r="V708" s="12" t="inlineStr">
        <is>
          <t>Fire start date (DEC report)</t>
        </is>
      </c>
    </row>
    <row r="709">
      <c r="A709" s="12" t="n">
        <v>858</v>
      </c>
      <c r="B709" s="12" t="inlineStr">
        <is>
          <t>2015-04-15</t>
        </is>
      </c>
      <c r="C709" s="12" t="inlineStr">
        <is>
          <t>2015-04-15</t>
        </is>
      </c>
      <c r="D709" s="12">
        <f>VALUE(LEFT(B709,4))</f>
        <v/>
      </c>
      <c r="E709" s="12">
        <f>INT((D709-1)/100)+1</f>
        <v/>
      </c>
      <c r="F709" s="12" t="inlineStr">
        <is>
          <t>Wildfire</t>
        </is>
      </c>
      <c r="G709" s="12" t="inlineStr">
        <is>
          <t>Barber fire — wildfire, 1.8 acres, Windsor (Broome Co.)</t>
        </is>
      </c>
      <c r="H709" s="12" t="inlineStr">
        <is>
          <t>Windsor, Broome County; Private Property</t>
        </is>
      </c>
      <c r="I709" s="12" t="inlineStr">
        <is>
          <t>1.8 acres; cause Debris Burning; fuel 1 - Grass - Light</t>
        </is>
      </c>
      <c r="J709" s="12" t="inlineStr">
        <is>
          <t>42.00650, -75.69145</t>
        </is>
      </c>
      <c r="K709" s="12" t="inlineStr">
        <is>
          <t>No losses reported</t>
        </is>
      </c>
      <c r="L709" s="12" t="inlineStr">
        <is>
          <t>NYSDEC Forest Ranger Wildland Fire Reporting Database (Beginning 2008), data.ny.gov export 2026-09-28</t>
        </is>
      </c>
      <c r="M709" s="12" t="inlineStr">
        <is>
          <t>https://data.ny.gov/</t>
        </is>
      </c>
      <c r="N709" s="12" t="inlineStr">
        <is>
          <t>A</t>
        </is>
      </c>
      <c r="O709" s="12" t="inlineStr">
        <is>
          <t>Y</t>
        </is>
      </c>
      <c r="P709" s="12" t="inlineStr">
        <is>
          <t>2026-09-28 (v970, atlas session): bulk ingest per Laurie; fire number NYS-2015-0016; matching 🔥 pin on Natural History.</t>
        </is>
      </c>
      <c r="Q709" s="12" t="inlineStr">
        <is>
          <t>2015-04-15</t>
        </is>
      </c>
      <c r="R709" s="12">
        <f>VALUE(LEFT(Q709,4))</f>
        <v/>
      </c>
      <c r="S709" s="12">
        <f>VALUE(MID(Q709,6,2))</f>
        <v/>
      </c>
      <c r="T709" s="12">
        <f>VALUE(RIGHT(Q709,2))</f>
        <v/>
      </c>
      <c r="U709" s="12" t="inlineStr">
        <is>
          <t>day</t>
        </is>
      </c>
      <c r="V709" s="12" t="inlineStr">
        <is>
          <t>Fire start date (DEC report)</t>
        </is>
      </c>
    </row>
    <row r="710">
      <c r="A710" s="12" t="n">
        <v>861</v>
      </c>
      <c r="B710" s="12" t="inlineStr">
        <is>
          <t>2009-03-21</t>
        </is>
      </c>
      <c r="C710" s="12" t="inlineStr">
        <is>
          <t>2009-03-21</t>
        </is>
      </c>
      <c r="D710" s="12">
        <f>VALUE(LEFT(B710,4))</f>
        <v/>
      </c>
      <c r="E710" s="12">
        <f>INT((D710-1)/100)+1</f>
        <v/>
      </c>
      <c r="F710" s="12" t="inlineStr">
        <is>
          <t>Wildfire</t>
        </is>
      </c>
      <c r="G710" s="12" t="inlineStr">
        <is>
          <t>Gates Hill Road Fire — wildfire, 0.2 acres, Broome (Schoharie Co.)</t>
        </is>
      </c>
      <c r="H710" s="12" t="inlineStr">
        <is>
          <t>Broome, Schoharie County; Private Property</t>
        </is>
      </c>
      <c r="I710" s="12" t="inlineStr">
        <is>
          <t>0.2 acres; cause Debris Burning; fuel 1 - Grass - Light</t>
        </is>
      </c>
      <c r="J710" s="12" t="inlineStr">
        <is>
          <t>42.51823, -74.31581</t>
        </is>
      </c>
      <c r="K710" s="12" t="inlineStr">
        <is>
          <t>No losses reported</t>
        </is>
      </c>
      <c r="L710" s="12" t="inlineStr">
        <is>
          <t>NYSDEC Forest Ranger Wildland Fire Reporting Database (Beginning 2008), data.ny.gov export 2026-09-28</t>
        </is>
      </c>
      <c r="M710" s="12" t="inlineStr">
        <is>
          <t>https://data.ny.gov/</t>
        </is>
      </c>
      <c r="N710" s="12" t="inlineStr">
        <is>
          <t>A</t>
        </is>
      </c>
      <c r="O710" s="12" t="inlineStr">
        <is>
          <t>Y</t>
        </is>
      </c>
      <c r="P710" s="12" t="inlineStr">
        <is>
          <t>2026-09-28 (v970, atlas session): bulk ingest per Laurie; fire number NYS-2009-0009; matching 🔥 pin on Natural History.</t>
        </is>
      </c>
      <c r="Q710" s="12" t="inlineStr">
        <is>
          <t>2009-03-21</t>
        </is>
      </c>
      <c r="R710" s="12">
        <f>VALUE(LEFT(Q710,4))</f>
        <v/>
      </c>
      <c r="S710" s="12">
        <f>VALUE(MID(Q710,6,2))</f>
        <v/>
      </c>
      <c r="T710" s="12">
        <f>VALUE(RIGHT(Q710,2))</f>
        <v/>
      </c>
      <c r="U710" s="12" t="inlineStr">
        <is>
          <t>day</t>
        </is>
      </c>
      <c r="V710" s="12" t="inlineStr">
        <is>
          <t>Fire start date (DEC report)</t>
        </is>
      </c>
    </row>
    <row r="711">
      <c r="A711" s="12" t="n">
        <v>862</v>
      </c>
      <c r="B711" s="12" t="inlineStr">
        <is>
          <t>2024-05-02</t>
        </is>
      </c>
      <c r="C711" s="12" t="inlineStr">
        <is>
          <t>2024-05-02</t>
        </is>
      </c>
      <c r="D711" s="12">
        <f>VALUE(LEFT(B711,4))</f>
        <v/>
      </c>
      <c r="E711" s="12">
        <f>INT((D711-1)/100)+1</f>
        <v/>
      </c>
      <c r="F711" s="12" t="inlineStr">
        <is>
          <t>Wildfire</t>
        </is>
      </c>
      <c r="G711" s="12" t="inlineStr">
        <is>
          <t>Ulster Heights Rd. Fire — wildfire, 2.5 acres, Wawarsing (Ulster Co.)</t>
        </is>
      </c>
      <c r="H711" s="12" t="inlineStr">
        <is>
          <t>Wawarsing, Ulster County; Private Property</t>
        </is>
      </c>
      <c r="I711" s="12" t="inlineStr">
        <is>
          <t>2.5 acres; cause Power line; fuel 8 - Timber - Light Hardwood Litter</t>
        </is>
      </c>
      <c r="J711" s="12" t="inlineStr">
        <is>
          <t>41.73930, -74.42480</t>
        </is>
      </c>
      <c r="K711" s="12" t="inlineStr">
        <is>
          <t>No losses reported</t>
        </is>
      </c>
      <c r="L711" s="12" t="inlineStr">
        <is>
          <t>NYSDEC Forest Ranger Wildland Fire Reporting Database (Beginning 2008), data.ny.gov export 2026-09-28</t>
        </is>
      </c>
      <c r="M711" s="12" t="inlineStr">
        <is>
          <t>https://data.ny.gov/</t>
        </is>
      </c>
      <c r="N711" s="12" t="inlineStr">
        <is>
          <t>A</t>
        </is>
      </c>
      <c r="O711" s="12" t="inlineStr">
        <is>
          <t>Y</t>
        </is>
      </c>
      <c r="P711" s="12" t="inlineStr">
        <is>
          <t>2026-09-28 (v970, atlas session): bulk ingest per Laurie; fire number NYS-2024-0075; matching 🔥 pin on Natural History.</t>
        </is>
      </c>
      <c r="Q711" s="12" t="inlineStr">
        <is>
          <t>2024-05-02</t>
        </is>
      </c>
      <c r="R711" s="12">
        <f>VALUE(LEFT(Q711,4))</f>
        <v/>
      </c>
      <c r="S711" s="12">
        <f>VALUE(MID(Q711,6,2))</f>
        <v/>
      </c>
      <c r="T711" s="12">
        <f>VALUE(RIGHT(Q711,2))</f>
        <v/>
      </c>
      <c r="U711" s="12" t="inlineStr">
        <is>
          <t>day</t>
        </is>
      </c>
      <c r="V711" s="12" t="inlineStr">
        <is>
          <t>Fire start date (DEC report)</t>
        </is>
      </c>
    </row>
    <row r="712">
      <c r="A712" s="12" t="n">
        <v>863</v>
      </c>
      <c r="B712" s="12" t="inlineStr">
        <is>
          <t>2016-03-09</t>
        </is>
      </c>
      <c r="C712" s="12" t="inlineStr">
        <is>
          <t>2016-03-09</t>
        </is>
      </c>
      <c r="D712" s="12">
        <f>VALUE(LEFT(B712,4))</f>
        <v/>
      </c>
      <c r="E712" s="12">
        <f>INT((D712-1)/100)+1</f>
        <v/>
      </c>
      <c r="F712" s="12" t="inlineStr">
        <is>
          <t>Wildfire</t>
        </is>
      </c>
      <c r="G712" s="12" t="inlineStr">
        <is>
          <t>Grassi Fire — wildfire, 2.3 acres, Taghkanic (Columbia Co.)</t>
        </is>
      </c>
      <c r="H712" s="12" t="inlineStr">
        <is>
          <t>Taghkanic, Columbia County; Private Property</t>
        </is>
      </c>
      <c r="I712" s="12" t="inlineStr">
        <is>
          <t>2.3 acres; cause Debris Burning; fuel 9 - Timber - Medium Hardwood Litter</t>
        </is>
      </c>
      <c r="J712" s="12" t="inlineStr">
        <is>
          <t>42.09538, -73.66779</t>
        </is>
      </c>
      <c r="K712" s="12" t="inlineStr">
        <is>
          <t>No losses reported</t>
        </is>
      </c>
      <c r="L712" s="12" t="inlineStr">
        <is>
          <t>NYSDEC Forest Ranger Wildland Fire Reporting Database (Beginning 2008), data.ny.gov export 2026-09-28</t>
        </is>
      </c>
      <c r="M712" s="12" t="inlineStr">
        <is>
          <t>https://data.ny.gov/</t>
        </is>
      </c>
      <c r="N712" s="12" t="inlineStr">
        <is>
          <t>A</t>
        </is>
      </c>
      <c r="O712" s="12" t="inlineStr">
        <is>
          <t>Y</t>
        </is>
      </c>
      <c r="P712" s="12" t="inlineStr">
        <is>
          <t>2026-09-28 (v970, atlas session): bulk ingest per Laurie; fire number NYS-2016-0011; matching 🔥 pin on Natural History.</t>
        </is>
      </c>
      <c r="Q712" s="12" t="inlineStr">
        <is>
          <t>2016-03-09</t>
        </is>
      </c>
      <c r="R712" s="12">
        <f>VALUE(LEFT(Q712,4))</f>
        <v/>
      </c>
      <c r="S712" s="12">
        <f>VALUE(MID(Q712,6,2))</f>
        <v/>
      </c>
      <c r="T712" s="12">
        <f>VALUE(RIGHT(Q712,2))</f>
        <v/>
      </c>
      <c r="U712" s="12" t="inlineStr">
        <is>
          <t>day</t>
        </is>
      </c>
      <c r="V712" s="12" t="inlineStr">
        <is>
          <t>Fire start date (DEC report)</t>
        </is>
      </c>
    </row>
    <row r="713">
      <c r="A713" s="12" t="n">
        <v>864</v>
      </c>
      <c r="B713" s="12" t="inlineStr">
        <is>
          <t>2020-06-10</t>
        </is>
      </c>
      <c r="C713" s="12" t="inlineStr">
        <is>
          <t>2020-06-10</t>
        </is>
      </c>
      <c r="D713" s="12">
        <f>VALUE(LEFT(B713,4))</f>
        <v/>
      </c>
      <c r="E713" s="12">
        <f>INT((D713-1)/100)+1</f>
        <v/>
      </c>
      <c r="F713" s="12" t="inlineStr">
        <is>
          <t>Wildfire</t>
        </is>
      </c>
      <c r="G713" s="12" t="inlineStr">
        <is>
          <t>Kaaterskill Clove Fire — wildfire, 0.3 acres, Hunter (Greene Co.)</t>
        </is>
      </c>
      <c r="H713" s="12" t="inlineStr">
        <is>
          <t>Hunter, Greene County; Forest Preserve — Kaaterskill</t>
        </is>
      </c>
      <c r="I713" s="12" t="inlineStr">
        <is>
          <t>0.3 acres; cause Smoking; fuel 5 - Brush - Continuous but Light</t>
        </is>
      </c>
      <c r="J713" s="12" t="inlineStr">
        <is>
          <t>42.18224, -74.06404</t>
        </is>
      </c>
      <c r="K713" s="12" t="inlineStr">
        <is>
          <t>No losses reported</t>
        </is>
      </c>
      <c r="L713" s="12" t="inlineStr">
        <is>
          <t>NYSDEC Forest Ranger Wildland Fire Reporting Database (Beginning 2008), data.ny.gov export 2026-09-28</t>
        </is>
      </c>
      <c r="M713" s="12" t="inlineStr">
        <is>
          <t>https://data.ny.gov/</t>
        </is>
      </c>
      <c r="N713" s="12" t="inlineStr">
        <is>
          <t>A</t>
        </is>
      </c>
      <c r="O713" s="12" t="inlineStr">
        <is>
          <t>Y</t>
        </is>
      </c>
      <c r="P713" s="12" t="inlineStr">
        <is>
          <t>2026-09-28 (v970, atlas session): bulk ingest per Laurie; fire number NYS-2020-0079; matching 🔥 pin on Natural History.</t>
        </is>
      </c>
      <c r="Q713" s="12" t="inlineStr">
        <is>
          <t>2020-06-10</t>
        </is>
      </c>
      <c r="R713" s="12">
        <f>VALUE(LEFT(Q713,4))</f>
        <v/>
      </c>
      <c r="S713" s="12">
        <f>VALUE(MID(Q713,6,2))</f>
        <v/>
      </c>
      <c r="T713" s="12">
        <f>VALUE(RIGHT(Q713,2))</f>
        <v/>
      </c>
      <c r="U713" s="12" t="inlineStr">
        <is>
          <t>day</t>
        </is>
      </c>
      <c r="V713" s="12" t="inlineStr">
        <is>
          <t>Fire start date (DEC report)</t>
        </is>
      </c>
    </row>
    <row r="714">
      <c r="A714" s="12" t="n">
        <v>865</v>
      </c>
      <c r="B714" s="12" t="inlineStr">
        <is>
          <t>2018-04-10</t>
        </is>
      </c>
      <c r="C714" s="12" t="inlineStr">
        <is>
          <t>2018-04-10</t>
        </is>
      </c>
      <c r="D714" s="12">
        <f>VALUE(LEFT(B714,4))</f>
        <v/>
      </c>
      <c r="E714" s="12">
        <f>INT((D714-1)/100)+1</f>
        <v/>
      </c>
      <c r="F714" s="12" t="inlineStr">
        <is>
          <t>Wildfire</t>
        </is>
      </c>
      <c r="G714" s="12" t="inlineStr">
        <is>
          <t>Hyde Park Fire — wildfire, 0.1 acres, Hyde Park (Dutchess Co.)</t>
        </is>
      </c>
      <c r="H714" s="12" t="inlineStr">
        <is>
          <t>Hyde Park, Dutchess County; Private Property</t>
        </is>
      </c>
      <c r="I714" s="12" t="inlineStr">
        <is>
          <t>0.1 acres; cause Debris Burning; fuel 1 - Grass - Light</t>
        </is>
      </c>
      <c r="J714" s="12" t="inlineStr">
        <is>
          <t>41.79925, -73.89263</t>
        </is>
      </c>
      <c r="K714" s="12" t="inlineStr">
        <is>
          <t>No losses reported</t>
        </is>
      </c>
      <c r="L714" s="12" t="inlineStr">
        <is>
          <t>NYSDEC Forest Ranger Wildland Fire Reporting Database (Beginning 2008), data.ny.gov export 2026-09-28</t>
        </is>
      </c>
      <c r="M714" s="12" t="inlineStr">
        <is>
          <t>https://data.ny.gov/</t>
        </is>
      </c>
      <c r="N714" s="12" t="inlineStr">
        <is>
          <t>A</t>
        </is>
      </c>
      <c r="O714" s="12" t="inlineStr">
        <is>
          <t>Y</t>
        </is>
      </c>
      <c r="P714" s="12" t="inlineStr">
        <is>
          <t>2026-09-28 (v970, atlas session): bulk ingest per Laurie; fire number NYS-2018-0008; matching 🔥 pin on Natural History.</t>
        </is>
      </c>
      <c r="Q714" s="12" t="inlineStr">
        <is>
          <t>2018-04-10</t>
        </is>
      </c>
      <c r="R714" s="12">
        <f>VALUE(LEFT(Q714,4))</f>
        <v/>
      </c>
      <c r="S714" s="12">
        <f>VALUE(MID(Q714,6,2))</f>
        <v/>
      </c>
      <c r="T714" s="12">
        <f>VALUE(RIGHT(Q714,2))</f>
        <v/>
      </c>
      <c r="U714" s="12" t="inlineStr">
        <is>
          <t>day</t>
        </is>
      </c>
      <c r="V714" s="12" t="inlineStr">
        <is>
          <t>Fire start date (DEC report)</t>
        </is>
      </c>
    </row>
    <row r="715">
      <c r="A715" s="12" t="n">
        <v>866</v>
      </c>
      <c r="B715" s="12" t="inlineStr">
        <is>
          <t>2013-04-09</t>
        </is>
      </c>
      <c r="C715" s="12" t="inlineStr">
        <is>
          <t>2013-04-09</t>
        </is>
      </c>
      <c r="D715" s="12">
        <f>VALUE(LEFT(B715,4))</f>
        <v/>
      </c>
      <c r="E715" s="12">
        <f>INT((D715-1)/100)+1</f>
        <v/>
      </c>
      <c r="F715" s="12" t="inlineStr">
        <is>
          <t>Wildfire</t>
        </is>
      </c>
      <c r="G715" s="12" t="inlineStr">
        <is>
          <t>North Rd Fire — wildfire, 2.8 acres, Milan (Dutchess Co.)</t>
        </is>
      </c>
      <c r="H715" s="12" t="inlineStr">
        <is>
          <t>Milan, Dutchess County; Private Property</t>
        </is>
      </c>
      <c r="I715" s="12" t="inlineStr">
        <is>
          <t>2.8 acres; cause Incendiary; fuel 9 - Timber - Medium Hardwood Litter</t>
        </is>
      </c>
      <c r="J715" s="12" t="inlineStr">
        <is>
          <t>41.97834, -73.75338</t>
        </is>
      </c>
      <c r="K715" s="12" t="inlineStr">
        <is>
          <t>No losses reported</t>
        </is>
      </c>
      <c r="L715" s="12" t="inlineStr">
        <is>
          <t>NYSDEC Forest Ranger Wildland Fire Reporting Database (Beginning 2008), data.ny.gov export 2026-09-28</t>
        </is>
      </c>
      <c r="M715" s="12" t="inlineStr">
        <is>
          <t>https://data.ny.gov/</t>
        </is>
      </c>
      <c r="N715" s="12" t="inlineStr">
        <is>
          <t>A</t>
        </is>
      </c>
      <c r="O715" s="12" t="inlineStr">
        <is>
          <t>Y</t>
        </is>
      </c>
      <c r="P715" s="12" t="inlineStr">
        <is>
          <t>2026-09-28 (v970, atlas session): bulk ingest per Laurie; fire number NYS-2013-0023; matching 🔥 pin on Natural History.</t>
        </is>
      </c>
      <c r="Q715" s="12" t="inlineStr">
        <is>
          <t>2013-04-09</t>
        </is>
      </c>
      <c r="R715" s="12">
        <f>VALUE(LEFT(Q715,4))</f>
        <v/>
      </c>
      <c r="S715" s="12">
        <f>VALUE(MID(Q715,6,2))</f>
        <v/>
      </c>
      <c r="T715" s="12">
        <f>VALUE(RIGHT(Q715,2))</f>
        <v/>
      </c>
      <c r="U715" s="12" t="inlineStr">
        <is>
          <t>day</t>
        </is>
      </c>
      <c r="V715" s="12" t="inlineStr">
        <is>
          <t>Fire start date (DEC report)</t>
        </is>
      </c>
    </row>
    <row r="716">
      <c r="A716" s="12" t="n">
        <v>868</v>
      </c>
      <c r="B716" s="12" t="inlineStr">
        <is>
          <t>2023-04-14</t>
        </is>
      </c>
      <c r="C716" s="12" t="inlineStr">
        <is>
          <t>2023-04-14</t>
        </is>
      </c>
      <c r="D716" s="12">
        <f>VALUE(LEFT(B716,4))</f>
        <v/>
      </c>
      <c r="E716" s="12">
        <f>INT((D716-1)/100)+1</f>
        <v/>
      </c>
      <c r="F716" s="12" t="inlineStr">
        <is>
          <t>Wildfire</t>
        </is>
      </c>
      <c r="G716" s="12" t="inlineStr">
        <is>
          <t>Windham/T Brushfire Fire — wildfire, 1.5 acres, Windham (Greene Co.)</t>
        </is>
      </c>
      <c r="H716" s="12" t="inlineStr">
        <is>
          <t>Windham, Greene County; Private Property</t>
        </is>
      </c>
      <c r="I716" s="12" t="inlineStr">
        <is>
          <t>1.5 acres; cause Power line; fuel 2 - Grass - Understory</t>
        </is>
      </c>
      <c r="J716" s="12" t="inlineStr">
        <is>
          <t>42.36081, -74.25231</t>
        </is>
      </c>
      <c r="K716" s="12" t="inlineStr">
        <is>
          <t>No losses reported</t>
        </is>
      </c>
      <c r="L716" s="12" t="inlineStr">
        <is>
          <t>NYSDEC Forest Ranger Wildland Fire Reporting Database (Beginning 2008), data.ny.gov export 2026-09-28</t>
        </is>
      </c>
      <c r="M716" s="12" t="inlineStr">
        <is>
          <t>https://data.ny.gov/</t>
        </is>
      </c>
      <c r="N716" s="12" t="inlineStr">
        <is>
          <t>A</t>
        </is>
      </c>
      <c r="O716" s="12" t="inlineStr">
        <is>
          <t>Y</t>
        </is>
      </c>
      <c r="P716" s="12" t="inlineStr">
        <is>
          <t>2026-09-28 (v970, atlas session): bulk ingest per Laurie; fire number NYS-2023-0082; matching 🔥 pin on Natural History.</t>
        </is>
      </c>
      <c r="Q716" s="12" t="inlineStr">
        <is>
          <t>2023-04-14</t>
        </is>
      </c>
      <c r="R716" s="12">
        <f>VALUE(LEFT(Q716,4))</f>
        <v/>
      </c>
      <c r="S716" s="12">
        <f>VALUE(MID(Q716,6,2))</f>
        <v/>
      </c>
      <c r="T716" s="12">
        <f>VALUE(RIGHT(Q716,2))</f>
        <v/>
      </c>
      <c r="U716" s="12" t="inlineStr">
        <is>
          <t>day</t>
        </is>
      </c>
      <c r="V716" s="12" t="inlineStr">
        <is>
          <t>Fire start date (DEC report)</t>
        </is>
      </c>
    </row>
    <row r="717">
      <c r="A717" s="12" t="n">
        <v>869</v>
      </c>
      <c r="B717" s="12" t="inlineStr">
        <is>
          <t>2018-05-02</t>
        </is>
      </c>
      <c r="C717" s="12" t="inlineStr">
        <is>
          <t>2018-05-04</t>
        </is>
      </c>
      <c r="D717" s="12">
        <f>VALUE(LEFT(B717,4))</f>
        <v/>
      </c>
      <c r="E717" s="12">
        <f>INT((D717-1)/100)+1</f>
        <v/>
      </c>
      <c r="F717" s="12" t="inlineStr">
        <is>
          <t>Wildfire</t>
        </is>
      </c>
      <c r="G717" s="12" t="inlineStr">
        <is>
          <t>Fallsburg Camps Fire — wildfire, 1.4 acres, Fallsburgh (Sullivan Co.)</t>
        </is>
      </c>
      <c r="H717" s="12" t="inlineStr">
        <is>
          <t>Fallsburgh, Sullivan County; Private Property</t>
        </is>
      </c>
      <c r="I717" s="12" t="inlineStr">
        <is>
          <t>1.4 acres; cause Miscellaneous; fuel 1 - Grass - Light</t>
        </is>
      </c>
      <c r="J717" s="12" t="inlineStr">
        <is>
          <t>41.71830, -74.64143</t>
        </is>
      </c>
      <c r="K717" s="12" t="inlineStr">
        <is>
          <t>Injuries: 3; Other Structures Lost: 13; Other Structures Threatened: 6</t>
        </is>
      </c>
      <c r="L717" s="12" t="inlineStr">
        <is>
          <t>NYSDEC Forest Ranger Wildland Fire Reporting Database (Beginning 2008), data.ny.gov export 2026-09-28</t>
        </is>
      </c>
      <c r="M717" s="12" t="inlineStr">
        <is>
          <t>https://data.ny.gov/</t>
        </is>
      </c>
      <c r="N717" s="12" t="inlineStr">
        <is>
          <t>A</t>
        </is>
      </c>
      <c r="O717" s="12" t="inlineStr">
        <is>
          <t>Y</t>
        </is>
      </c>
      <c r="P717" s="12" t="inlineStr">
        <is>
          <t>2026-09-28 (v970, atlas session): bulk ingest per Laurie; fire number NYS-2018-0044; matching 🔥 pin on Natural History.</t>
        </is>
      </c>
      <c r="Q717" s="12" t="inlineStr">
        <is>
          <t>2018-05-02</t>
        </is>
      </c>
      <c r="R717" s="12">
        <f>VALUE(LEFT(Q717,4))</f>
        <v/>
      </c>
      <c r="S717" s="12">
        <f>VALUE(MID(Q717,6,2))</f>
        <v/>
      </c>
      <c r="T717" s="12">
        <f>VALUE(RIGHT(Q717,2))</f>
        <v/>
      </c>
      <c r="U717" s="12" t="inlineStr">
        <is>
          <t>day</t>
        </is>
      </c>
      <c r="V717" s="12" t="inlineStr">
        <is>
          <t>Fire start date (DEC report)</t>
        </is>
      </c>
    </row>
    <row r="718">
      <c r="A718" s="12" t="n">
        <v>870</v>
      </c>
      <c r="B718" s="12" t="inlineStr">
        <is>
          <t>2023-04-13</t>
        </is>
      </c>
      <c r="C718" s="12" t="inlineStr">
        <is>
          <t>2023-04-13</t>
        </is>
      </c>
      <c r="D718" s="12">
        <f>VALUE(LEFT(B718,4))</f>
        <v/>
      </c>
      <c r="E718" s="12">
        <f>INT((D718-1)/100)+1</f>
        <v/>
      </c>
      <c r="F718" s="12" t="inlineStr">
        <is>
          <t>Wildfire</t>
        </is>
      </c>
      <c r="G718" s="12" t="inlineStr">
        <is>
          <t>Whitney Point Fire — wildfire, 2.6 acres, Triangle (Broome Co.)</t>
        </is>
      </c>
      <c r="H718" s="12" t="inlineStr">
        <is>
          <t>Triangle, Broome County; State Forest/RF Area — Whitney Point MUA</t>
        </is>
      </c>
      <c r="I718" s="12" t="inlineStr">
        <is>
          <t>2.6 acres; cause Campfire; fuel 9 - Timber - Medium Hardwood Litter</t>
        </is>
      </c>
      <c r="J718" s="12" t="inlineStr">
        <is>
          <t>42.40645, -75.97739</t>
        </is>
      </c>
      <c r="K718" s="12" t="inlineStr">
        <is>
          <t>No losses reported</t>
        </is>
      </c>
      <c r="L718" s="12" t="inlineStr">
        <is>
          <t>NYSDEC Forest Ranger Wildland Fire Reporting Database (Beginning 2008), data.ny.gov export 2026-09-28</t>
        </is>
      </c>
      <c r="M718" s="12" t="inlineStr">
        <is>
          <t>https://data.ny.gov/</t>
        </is>
      </c>
      <c r="N718" s="12" t="inlineStr">
        <is>
          <t>A</t>
        </is>
      </c>
      <c r="O718" s="12" t="inlineStr">
        <is>
          <t>Y</t>
        </is>
      </c>
      <c r="P718" s="12" t="inlineStr">
        <is>
          <t>2026-09-28 (v970, atlas session): bulk ingest per Laurie; fire number NYS-2023-0058; matching 🔥 pin on Natural History.</t>
        </is>
      </c>
      <c r="Q718" s="12" t="inlineStr">
        <is>
          <t>2023-04-13</t>
        </is>
      </c>
      <c r="R718" s="12">
        <f>VALUE(LEFT(Q718,4))</f>
        <v/>
      </c>
      <c r="S718" s="12">
        <f>VALUE(MID(Q718,6,2))</f>
        <v/>
      </c>
      <c r="T718" s="12">
        <f>VALUE(RIGHT(Q718,2))</f>
        <v/>
      </c>
      <c r="U718" s="12" t="inlineStr">
        <is>
          <t>day</t>
        </is>
      </c>
      <c r="V718" s="12" t="inlineStr">
        <is>
          <t>Fire start date (DEC report)</t>
        </is>
      </c>
    </row>
    <row r="719">
      <c r="A719" s="12" t="n">
        <v>871</v>
      </c>
      <c r="B719" s="12" t="inlineStr">
        <is>
          <t>2008-03-25</t>
        </is>
      </c>
      <c r="C719" s="12" t="inlineStr">
        <is>
          <t>2008-03-25</t>
        </is>
      </c>
      <c r="D719" s="12">
        <f>VALUE(LEFT(B719,4))</f>
        <v/>
      </c>
      <c r="E719" s="12">
        <f>INT((D719-1)/100)+1</f>
        <v/>
      </c>
      <c r="F719" s="12" t="inlineStr">
        <is>
          <t>Wildfire</t>
        </is>
      </c>
      <c r="G719" s="12" t="inlineStr">
        <is>
          <t>Center Hill Road Fire — wildfire, 7 acres, Copake (Columbia Co.)</t>
        </is>
      </c>
      <c r="H719" s="12" t="inlineStr">
        <is>
          <t>Copake, Columbia County; Private Property</t>
        </is>
      </c>
      <c r="I719" s="12" t="inlineStr">
        <is>
          <t>7 acres; cause Debris Burning; fuel 9 - Timber - Medium Hardwood Litter</t>
        </is>
      </c>
      <c r="J719" s="12" t="inlineStr">
        <is>
          <t>42.14286, -73.55760</t>
        </is>
      </c>
      <c r="K719" s="12" t="inlineStr">
        <is>
          <t>Homes Threatened: 1</t>
        </is>
      </c>
      <c r="L719" s="12" t="inlineStr">
        <is>
          <t>NYSDEC Forest Ranger Wildland Fire Reporting Database (Beginning 2008), data.ny.gov export 2026-09-28</t>
        </is>
      </c>
      <c r="M719" s="12" t="inlineStr">
        <is>
          <t>https://data.ny.gov/</t>
        </is>
      </c>
      <c r="N719" s="12" t="inlineStr">
        <is>
          <t>A</t>
        </is>
      </c>
      <c r="O719" s="12" t="inlineStr">
        <is>
          <t>Y</t>
        </is>
      </c>
      <c r="P719" s="12" t="inlineStr">
        <is>
          <t>2026-09-28 (v970, atlas session): bulk ingest per Laurie; fire number NYS-2008-0009; matching 🔥 pin on Natural History.</t>
        </is>
      </c>
      <c r="Q719" s="12" t="inlineStr">
        <is>
          <t>2008-03-25</t>
        </is>
      </c>
      <c r="R719" s="12">
        <f>VALUE(LEFT(Q719,4))</f>
        <v/>
      </c>
      <c r="S719" s="12">
        <f>VALUE(MID(Q719,6,2))</f>
        <v/>
      </c>
      <c r="T719" s="12">
        <f>VALUE(RIGHT(Q719,2))</f>
        <v/>
      </c>
      <c r="U719" s="12" t="inlineStr">
        <is>
          <t>day</t>
        </is>
      </c>
      <c r="V719" s="12" t="inlineStr">
        <is>
          <t>Fire start date (DEC report)</t>
        </is>
      </c>
    </row>
    <row r="720">
      <c r="A720" s="12" t="n">
        <v>873</v>
      </c>
      <c r="B720" s="12" t="inlineStr">
        <is>
          <t>2024-09-27</t>
        </is>
      </c>
      <c r="C720" s="12" t="inlineStr">
        <is>
          <t>2024-09-28</t>
        </is>
      </c>
      <c r="D720" s="12">
        <f>VALUE(LEFT(B720,4))</f>
        <v/>
      </c>
      <c r="E720" s="12">
        <f>INT((D720-1)/100)+1</f>
        <v/>
      </c>
      <c r="F720" s="12" t="inlineStr">
        <is>
          <t>Wildfire</t>
        </is>
      </c>
      <c r="G720" s="12" t="inlineStr">
        <is>
          <t>Jack Fire — wildfire, 0.3 acres, Plattekill (Ulster Co.)</t>
        </is>
      </c>
      <c r="H720" s="12" t="inlineStr">
        <is>
          <t>Plattekill, Ulster County; State Forest/RF Area — Hemlock Ridge MUA</t>
        </is>
      </c>
      <c r="I720" s="12" t="inlineStr">
        <is>
          <t>0.3 acres; cause Campfire; fuel 8 - Timber - Light Hardwood Litter</t>
        </is>
      </c>
      <c r="J720" s="12" t="inlineStr">
        <is>
          <t>41.63177, -74.03354</t>
        </is>
      </c>
      <c r="K720" s="12" t="inlineStr">
        <is>
          <t>No losses reported</t>
        </is>
      </c>
      <c r="L720" s="12" t="inlineStr">
        <is>
          <t>NYSDEC Forest Ranger Wildland Fire Reporting Database (Beginning 2008), data.ny.gov export 2026-09-28</t>
        </is>
      </c>
      <c r="M720" s="12" t="inlineStr">
        <is>
          <t>https://data.ny.gov/</t>
        </is>
      </c>
      <c r="N720" s="12" t="inlineStr">
        <is>
          <t>A</t>
        </is>
      </c>
      <c r="O720" s="12" t="inlineStr">
        <is>
          <t>Y</t>
        </is>
      </c>
      <c r="P720" s="12" t="inlineStr">
        <is>
          <t>2026-09-28 (v970, atlas session): bulk ingest per Laurie; fire number NYS-2024-0116; matching 🔥 pin on Natural History.</t>
        </is>
      </c>
      <c r="Q720" s="12" t="inlineStr">
        <is>
          <t>2024-09-27</t>
        </is>
      </c>
      <c r="R720" s="12">
        <f>VALUE(LEFT(Q720,4))</f>
        <v/>
      </c>
      <c r="S720" s="12">
        <f>VALUE(MID(Q720,6,2))</f>
        <v/>
      </c>
      <c r="T720" s="12">
        <f>VALUE(RIGHT(Q720,2))</f>
        <v/>
      </c>
      <c r="U720" s="12" t="inlineStr">
        <is>
          <t>day</t>
        </is>
      </c>
      <c r="V720" s="12" t="inlineStr">
        <is>
          <t>Fire start date (DEC report)</t>
        </is>
      </c>
    </row>
    <row r="721">
      <c r="A721" s="12" t="n">
        <v>874</v>
      </c>
      <c r="B721" s="12" t="inlineStr">
        <is>
          <t>2012-04-20</t>
        </is>
      </c>
      <c r="C721" s="12" t="inlineStr">
        <is>
          <t>2012-04-23</t>
        </is>
      </c>
      <c r="D721" s="12">
        <f>VALUE(LEFT(B721,4))</f>
        <v/>
      </c>
      <c r="E721" s="12">
        <f>INT((D721-1)/100)+1</f>
        <v/>
      </c>
      <c r="F721" s="12" t="inlineStr">
        <is>
          <t>Wildfire</t>
        </is>
      </c>
      <c r="G721" s="12" t="inlineStr">
        <is>
          <t>Basket Fire — wildfire, 3 acres, Fremont (Sullivan Co.)</t>
        </is>
      </c>
      <c r="H721" s="12" t="inlineStr">
        <is>
          <t>Fremont, Sullivan County; Private Property</t>
        </is>
      </c>
      <c r="I721" s="12" t="inlineStr">
        <is>
          <t>3 acres; cause Power line; fuel 8 - Timber - Light Hardwood Litter</t>
        </is>
      </c>
      <c r="J721" s="12" t="inlineStr">
        <is>
          <t>41.85083, -75.10693</t>
        </is>
      </c>
      <c r="K721" s="12" t="inlineStr">
        <is>
          <t>No losses reported</t>
        </is>
      </c>
      <c r="L721" s="12" t="inlineStr">
        <is>
          <t>NYSDEC Forest Ranger Wildland Fire Reporting Database (Beginning 2008), data.ny.gov export 2026-09-28</t>
        </is>
      </c>
      <c r="M721" s="12" t="inlineStr">
        <is>
          <t>https://data.ny.gov/</t>
        </is>
      </c>
      <c r="N721" s="12" t="inlineStr">
        <is>
          <t>A</t>
        </is>
      </c>
      <c r="O721" s="12" t="inlineStr">
        <is>
          <t>Y</t>
        </is>
      </c>
      <c r="P721" s="12" t="inlineStr">
        <is>
          <t>2026-09-28 (v970, atlas session): bulk ingest per Laurie; fire number NYS-2012-0103; matching 🔥 pin on Natural History.</t>
        </is>
      </c>
      <c r="Q721" s="12" t="inlineStr">
        <is>
          <t>2012-04-20</t>
        </is>
      </c>
      <c r="R721" s="12">
        <f>VALUE(LEFT(Q721,4))</f>
        <v/>
      </c>
      <c r="S721" s="12">
        <f>VALUE(MID(Q721,6,2))</f>
        <v/>
      </c>
      <c r="T721" s="12">
        <f>VALUE(RIGHT(Q721,2))</f>
        <v/>
      </c>
      <c r="U721" s="12" t="inlineStr">
        <is>
          <t>day</t>
        </is>
      </c>
      <c r="V721" s="12" t="inlineStr">
        <is>
          <t>Fire start date (DEC report)</t>
        </is>
      </c>
    </row>
    <row r="722">
      <c r="A722" s="12" t="n">
        <v>875</v>
      </c>
      <c r="B722" s="12" t="inlineStr">
        <is>
          <t>2014-04-13</t>
        </is>
      </c>
      <c r="C722" s="12" t="inlineStr">
        <is>
          <t>2014-04-13</t>
        </is>
      </c>
      <c r="D722" s="12">
        <f>VALUE(LEFT(B722,4))</f>
        <v/>
      </c>
      <c r="E722" s="12">
        <f>INT((D722-1)/100)+1</f>
        <v/>
      </c>
      <c r="F722" s="12" t="inlineStr">
        <is>
          <t>Wildfire</t>
        </is>
      </c>
      <c r="G722" s="12" t="inlineStr">
        <is>
          <t>Hillcrest Ave — wildfire, 1 acres, Thompson (Sullivan Co.)</t>
        </is>
      </c>
      <c r="H722" s="12" t="inlineStr">
        <is>
          <t>Thompson, Sullivan County; Private Property</t>
        </is>
      </c>
      <c r="I722" s="12" t="inlineStr">
        <is>
          <t>1 acres; cause Smoking; fuel 7 - Brush - Understory</t>
        </is>
      </c>
      <c r="J722" s="12" t="inlineStr">
        <is>
          <t>41.66042, -74.68665</t>
        </is>
      </c>
      <c r="K722" s="12" t="inlineStr">
        <is>
          <t>No losses reported</t>
        </is>
      </c>
      <c r="L722" s="12" t="inlineStr">
        <is>
          <t>NYSDEC Forest Ranger Wildland Fire Reporting Database (Beginning 2008), data.ny.gov export 2026-09-28</t>
        </is>
      </c>
      <c r="M722" s="12" t="inlineStr">
        <is>
          <t>https://data.ny.gov/</t>
        </is>
      </c>
      <c r="N722" s="12" t="inlineStr">
        <is>
          <t>A</t>
        </is>
      </c>
      <c r="O722" s="12" t="inlineStr">
        <is>
          <t>Y</t>
        </is>
      </c>
      <c r="P722" s="12" t="inlineStr">
        <is>
          <t>2026-09-28 (v970, atlas session): bulk ingest per Laurie; fire number NYS-2014-0026; matching 🔥 pin on Natural History.</t>
        </is>
      </c>
      <c r="Q722" s="12" t="inlineStr">
        <is>
          <t>2014-04-13</t>
        </is>
      </c>
      <c r="R722" s="12">
        <f>VALUE(LEFT(Q722,4))</f>
        <v/>
      </c>
      <c r="S722" s="12">
        <f>VALUE(MID(Q722,6,2))</f>
        <v/>
      </c>
      <c r="T722" s="12">
        <f>VALUE(RIGHT(Q722,2))</f>
        <v/>
      </c>
      <c r="U722" s="12" t="inlineStr">
        <is>
          <t>day</t>
        </is>
      </c>
      <c r="V722" s="12" t="inlineStr">
        <is>
          <t>Fire start date (DEC report)</t>
        </is>
      </c>
    </row>
    <row r="723">
      <c r="A723" s="12" t="n">
        <v>876</v>
      </c>
      <c r="B723" s="12" t="inlineStr">
        <is>
          <t>2016-04-24</t>
        </is>
      </c>
      <c r="C723" s="12" t="inlineStr">
        <is>
          <t>2016-04-27</t>
        </is>
      </c>
      <c r="D723" s="12">
        <f>VALUE(LEFT(B723,4))</f>
        <v/>
      </c>
      <c r="E723" s="12">
        <f>INT((D723-1)/100)+1</f>
        <v/>
      </c>
      <c r="F723" s="12" t="inlineStr">
        <is>
          <t>Wildfire</t>
        </is>
      </c>
      <c r="G723" s="12" t="inlineStr">
        <is>
          <t>Adams Road Fire — wildfire, 9 acres, Mamakating (Sullivan Co.)</t>
        </is>
      </c>
      <c r="H723" s="12" t="inlineStr">
        <is>
          <t>Mamakating, Sullivan County; Private Property</t>
        </is>
      </c>
      <c r="I723" s="12" t="inlineStr">
        <is>
          <t>9 acres; cause Incendiary; fuel 9 - Timber - Medium Hardwood Litter</t>
        </is>
      </c>
      <c r="J723" s="12" t="inlineStr">
        <is>
          <t>41.61181, -74.46053</t>
        </is>
      </c>
      <c r="K723" s="12" t="inlineStr">
        <is>
          <t>No losses reported</t>
        </is>
      </c>
      <c r="L723" s="12" t="inlineStr">
        <is>
          <t>NYSDEC Forest Ranger Wildland Fire Reporting Database (Beginning 2008), data.ny.gov export 2026-09-28</t>
        </is>
      </c>
      <c r="M723" s="12" t="inlineStr">
        <is>
          <t>https://data.ny.gov/</t>
        </is>
      </c>
      <c r="N723" s="12" t="inlineStr">
        <is>
          <t>A</t>
        </is>
      </c>
      <c r="O723" s="12" t="inlineStr">
        <is>
          <t>Y</t>
        </is>
      </c>
      <c r="P723" s="12" t="inlineStr">
        <is>
          <t>2026-09-28 (v970, atlas session): bulk ingest per Laurie; fire number NYS-2016-0075; matching 🔥 pin on Natural History.</t>
        </is>
      </c>
      <c r="Q723" s="12" t="inlineStr">
        <is>
          <t>2016-04-24</t>
        </is>
      </c>
      <c r="R723" s="12">
        <f>VALUE(LEFT(Q723,4))</f>
        <v/>
      </c>
      <c r="S723" s="12">
        <f>VALUE(MID(Q723,6,2))</f>
        <v/>
      </c>
      <c r="T723" s="12">
        <f>VALUE(RIGHT(Q723,2))</f>
        <v/>
      </c>
      <c r="U723" s="12" t="inlineStr">
        <is>
          <t>day</t>
        </is>
      </c>
      <c r="V723" s="12" t="inlineStr">
        <is>
          <t>Fire start date (DEC report)</t>
        </is>
      </c>
    </row>
    <row r="724">
      <c r="A724" s="12" t="n">
        <v>877</v>
      </c>
      <c r="B724" s="12" t="inlineStr">
        <is>
          <t>2015-04-16</t>
        </is>
      </c>
      <c r="C724" s="12" t="inlineStr">
        <is>
          <t>2015-04-16</t>
        </is>
      </c>
      <c r="D724" s="12">
        <f>VALUE(LEFT(B724,4))</f>
        <v/>
      </c>
      <c r="E724" s="12">
        <f>INT((D724-1)/100)+1</f>
        <v/>
      </c>
      <c r="F724" s="12" t="inlineStr">
        <is>
          <t>Wildfire</t>
        </is>
      </c>
      <c r="G724" s="12" t="inlineStr">
        <is>
          <t>Edison Timmerman Fire — wildfire, 2.2 acres, Cairo (Greene Co.)</t>
        </is>
      </c>
      <c r="H724" s="12" t="inlineStr">
        <is>
          <t>Cairo, Greene County; Private Property</t>
        </is>
      </c>
      <c r="I724" s="12" t="inlineStr">
        <is>
          <t>2.2 acres; cause Smoking; fuel 8 - Timber - Light Hardwood Litter</t>
        </is>
      </c>
      <c r="J724" s="12" t="inlineStr">
        <is>
          <t>42.33117, -74.06210</t>
        </is>
      </c>
      <c r="K724" s="12" t="inlineStr">
        <is>
          <t>No losses reported</t>
        </is>
      </c>
      <c r="L724" s="12" t="inlineStr">
        <is>
          <t>NYSDEC Forest Ranger Wildland Fire Reporting Database (Beginning 2008), data.ny.gov export 2026-09-28</t>
        </is>
      </c>
      <c r="M724" s="12" t="inlineStr">
        <is>
          <t>https://data.ny.gov/</t>
        </is>
      </c>
      <c r="N724" s="12" t="inlineStr">
        <is>
          <t>A</t>
        </is>
      </c>
      <c r="O724" s="12" t="inlineStr">
        <is>
          <t>Y</t>
        </is>
      </c>
      <c r="P724" s="12" t="inlineStr">
        <is>
          <t>2026-09-28 (v970, atlas session): bulk ingest per Laurie; fire number NYS-2015-0031; matching 🔥 pin on Natural History.</t>
        </is>
      </c>
      <c r="Q724" s="12" t="inlineStr">
        <is>
          <t>2015-04-16</t>
        </is>
      </c>
      <c r="R724" s="12">
        <f>VALUE(LEFT(Q724,4))</f>
        <v/>
      </c>
      <c r="S724" s="12">
        <f>VALUE(MID(Q724,6,2))</f>
        <v/>
      </c>
      <c r="T724" s="12">
        <f>VALUE(RIGHT(Q724,2))</f>
        <v/>
      </c>
      <c r="U724" s="12" t="inlineStr">
        <is>
          <t>day</t>
        </is>
      </c>
      <c r="V724" s="12" t="inlineStr">
        <is>
          <t>Fire start date (DEC report)</t>
        </is>
      </c>
    </row>
    <row r="725">
      <c r="A725" s="12" t="n">
        <v>878</v>
      </c>
      <c r="B725" s="12" t="inlineStr">
        <is>
          <t>2024-10-28</t>
        </is>
      </c>
      <c r="C725" s="12" t="inlineStr">
        <is>
          <t>2024-11-01</t>
        </is>
      </c>
      <c r="D725" s="12">
        <f>VALUE(LEFT(B725,4))</f>
        <v/>
      </c>
      <c r="E725" s="12">
        <f>INT((D725-1)/100)+1</f>
        <v/>
      </c>
      <c r="F725" s="12" t="inlineStr">
        <is>
          <t>Wildfire</t>
        </is>
      </c>
      <c r="G725" s="12" t="inlineStr">
        <is>
          <t>Haven Fire — wildfire, 0.7 acres, Mamakating (Sullivan Co.)</t>
        </is>
      </c>
      <c r="H725" s="12" t="inlineStr">
        <is>
          <t>Mamakating, Sullivan County; Private Property</t>
        </is>
      </c>
      <c r="I725" s="12" t="inlineStr">
        <is>
          <t>0.7 acres; cause Smoking; fuel 6 - Brush - Mixed/Regeneration</t>
        </is>
      </c>
      <c r="J725" s="12" t="inlineStr">
        <is>
          <t>41.54143, -74.52457</t>
        </is>
      </c>
      <c r="K725" s="12" t="inlineStr">
        <is>
          <t>No losses reported</t>
        </is>
      </c>
      <c r="L725" s="12" t="inlineStr">
        <is>
          <t>NYSDEC Forest Ranger Wildland Fire Reporting Database (Beginning 2008), data.ny.gov export 2026-09-28</t>
        </is>
      </c>
      <c r="M725" s="12" t="inlineStr">
        <is>
          <t>https://data.ny.gov/</t>
        </is>
      </c>
      <c r="N725" s="12" t="inlineStr">
        <is>
          <t>A</t>
        </is>
      </c>
      <c r="O725" s="12" t="inlineStr">
        <is>
          <t>Y</t>
        </is>
      </c>
      <c r="P725" s="12" t="inlineStr">
        <is>
          <t>2026-09-28 (v970, atlas session): bulk ingest per Laurie; fire number NYS-2024-0149; matching 🔥 pin on Natural History.</t>
        </is>
      </c>
      <c r="Q725" s="12" t="inlineStr">
        <is>
          <t>2024-10-28</t>
        </is>
      </c>
      <c r="R725" s="12">
        <f>VALUE(LEFT(Q725,4))</f>
        <v/>
      </c>
      <c r="S725" s="12">
        <f>VALUE(MID(Q725,6,2))</f>
        <v/>
      </c>
      <c r="T725" s="12">
        <f>VALUE(RIGHT(Q725,2))</f>
        <v/>
      </c>
      <c r="U725" s="12" t="inlineStr">
        <is>
          <t>day</t>
        </is>
      </c>
      <c r="V725" s="12" t="inlineStr">
        <is>
          <t>Fire start date (DEC report)</t>
        </is>
      </c>
    </row>
    <row r="726">
      <c r="A726" s="12" t="n">
        <v>880</v>
      </c>
      <c r="B726" s="12" t="inlineStr">
        <is>
          <t>2013-11-19</t>
        </is>
      </c>
      <c r="C726" s="12" t="inlineStr">
        <is>
          <t>2013-11-19</t>
        </is>
      </c>
      <c r="D726" s="12">
        <f>VALUE(LEFT(B726,4))</f>
        <v/>
      </c>
      <c r="E726" s="12">
        <f>INT((D726-1)/100)+1</f>
        <v/>
      </c>
      <c r="F726" s="12" t="inlineStr">
        <is>
          <t>Wildfire</t>
        </is>
      </c>
      <c r="G726" s="12" t="inlineStr">
        <is>
          <t>Ferguson Fire — wildfire, 0.1 acres, Colonie (Albany Co.)</t>
        </is>
      </c>
      <c r="H726" s="12" t="inlineStr">
        <is>
          <t>Colonie, Albany County; Other Government — Albany Pine Bush Preserve</t>
        </is>
      </c>
      <c r="I726" s="12" t="inlineStr">
        <is>
          <t>0.1 acres; cause Equipment; fuel 8 - Timber - Light Hardwood Litter</t>
        </is>
      </c>
      <c r="J726" s="12" t="inlineStr">
        <is>
          <t>42.72258, -73.87628</t>
        </is>
      </c>
      <c r="K726" s="12" t="inlineStr">
        <is>
          <t>No losses reported</t>
        </is>
      </c>
      <c r="L726" s="12" t="inlineStr">
        <is>
          <t>NYSDEC Forest Ranger Wildland Fire Reporting Database (Beginning 2008), data.ny.gov export 2026-09-28</t>
        </is>
      </c>
      <c r="M726" s="12" t="inlineStr">
        <is>
          <t>https://data.ny.gov/</t>
        </is>
      </c>
      <c r="N726" s="12" t="inlineStr">
        <is>
          <t>A</t>
        </is>
      </c>
      <c r="O726" s="12" t="inlineStr">
        <is>
          <t>Y</t>
        </is>
      </c>
      <c r="P726" s="12" t="inlineStr">
        <is>
          <t>2026-09-28 (v970, atlas session): bulk ingest per Laurie; fire number NYS-2013-0145; matching 🔥 pin on Natural History.</t>
        </is>
      </c>
      <c r="Q726" s="12" t="inlineStr">
        <is>
          <t>2013-11-19</t>
        </is>
      </c>
      <c r="R726" s="12">
        <f>VALUE(LEFT(Q726,4))</f>
        <v/>
      </c>
      <c r="S726" s="12">
        <f>VALUE(MID(Q726,6,2))</f>
        <v/>
      </c>
      <c r="T726" s="12">
        <f>VALUE(RIGHT(Q726,2))</f>
        <v/>
      </c>
      <c r="U726" s="12" t="inlineStr">
        <is>
          <t>day</t>
        </is>
      </c>
      <c r="V726" s="12" t="inlineStr">
        <is>
          <t>Fire start date (DEC report)</t>
        </is>
      </c>
    </row>
    <row r="727">
      <c r="A727" s="12" t="n">
        <v>882</v>
      </c>
      <c r="B727" s="12" t="inlineStr">
        <is>
          <t>2009-11-12</t>
        </is>
      </c>
      <c r="C727" s="12" t="inlineStr">
        <is>
          <t>2009-11-14</t>
        </is>
      </c>
      <c r="D727" s="12">
        <f>VALUE(LEFT(B727,4))</f>
        <v/>
      </c>
      <c r="E727" s="12">
        <f>INT((D727-1)/100)+1</f>
        <v/>
      </c>
      <c r="F727" s="12" t="inlineStr">
        <is>
          <t>Wildfire</t>
        </is>
      </c>
      <c r="G727" s="12" t="inlineStr">
        <is>
          <t>Sharpe Reservation Fire — wildfire, 73 acres, Fishkill (Dutchess Co.)</t>
        </is>
      </c>
      <c r="H727" s="12" t="inlineStr">
        <is>
          <t>Fishkill, Dutchess County; Private Property</t>
        </is>
      </c>
      <c r="I727" s="12" t="inlineStr">
        <is>
          <t>73 acres; cause Incendiary; fuel 8 - Timber - Light Hardwood Litter</t>
        </is>
      </c>
      <c r="J727" s="12" t="inlineStr">
        <is>
          <t>41.50474, -73.88337</t>
        </is>
      </c>
      <c r="K727" s="12" t="inlineStr">
        <is>
          <t>No losses reported</t>
        </is>
      </c>
      <c r="L727" s="12" t="inlineStr">
        <is>
          <t>NYSDEC Forest Ranger Wildland Fire Reporting Database (Beginning 2008), data.ny.gov export 2026-09-28</t>
        </is>
      </c>
      <c r="M727" s="12" t="inlineStr">
        <is>
          <t>https://data.ny.gov/</t>
        </is>
      </c>
      <c r="N727" s="12" t="inlineStr">
        <is>
          <t>A</t>
        </is>
      </c>
      <c r="O727" s="12" t="inlineStr">
        <is>
          <t>Y</t>
        </is>
      </c>
      <c r="P727" s="12" t="inlineStr">
        <is>
          <t>2026-09-28 (v970, atlas session): bulk ingest per Laurie; fire number NYS-2009-0170; matching 🔥 pin on Natural History.</t>
        </is>
      </c>
      <c r="Q727" s="12" t="inlineStr">
        <is>
          <t>2009-11-12</t>
        </is>
      </c>
      <c r="R727" s="12">
        <f>VALUE(LEFT(Q727,4))</f>
        <v/>
      </c>
      <c r="S727" s="12">
        <f>VALUE(MID(Q727,6,2))</f>
        <v/>
      </c>
      <c r="T727" s="12">
        <f>VALUE(RIGHT(Q727,2))</f>
        <v/>
      </c>
      <c r="U727" s="12" t="inlineStr">
        <is>
          <t>day</t>
        </is>
      </c>
      <c r="V727" s="12" t="inlineStr">
        <is>
          <t>Fire start date (DEC report)</t>
        </is>
      </c>
    </row>
    <row r="728">
      <c r="A728" s="12" t="n">
        <v>883</v>
      </c>
      <c r="B728" s="12" t="inlineStr">
        <is>
          <t>2020-08-26</t>
        </is>
      </c>
      <c r="C728" s="12" t="inlineStr">
        <is>
          <t>2020-08-31</t>
        </is>
      </c>
      <c r="D728" s="12">
        <f>VALUE(LEFT(B728,4))</f>
        <v/>
      </c>
      <c r="E728" s="12">
        <f>INT((D728-1)/100)+1</f>
        <v/>
      </c>
      <c r="F728" s="12" t="inlineStr">
        <is>
          <t>Wildfire</t>
        </is>
      </c>
      <c r="G728" s="12" t="inlineStr">
        <is>
          <t>Cragswood Fire — wildfire, 5 acres, New Paltz (Ulster Co.)</t>
        </is>
      </c>
      <c r="H728" s="12" t="inlineStr">
        <is>
          <t>New Paltz, Ulster County; Private Property — Mohonk Preserve</t>
        </is>
      </c>
      <c r="I728" s="12" t="inlineStr">
        <is>
          <t>5 acres; cause Lightning; fuel 10 - Timber - Heavy Litter/Downed Fuels</t>
        </is>
      </c>
      <c r="J728" s="12" t="inlineStr">
        <is>
          <t>41.79173, -74.10717</t>
        </is>
      </c>
      <c r="K728" s="12" t="inlineStr">
        <is>
          <t>No losses reported</t>
        </is>
      </c>
      <c r="L728" s="12" t="inlineStr">
        <is>
          <t>NYSDEC Forest Ranger Wildland Fire Reporting Database (Beginning 2008), data.ny.gov export 2026-09-28</t>
        </is>
      </c>
      <c r="M728" s="12" t="inlineStr">
        <is>
          <t>https://data.ny.gov/</t>
        </is>
      </c>
      <c r="N728" s="12" t="inlineStr">
        <is>
          <t>A</t>
        </is>
      </c>
      <c r="O728" s="12" t="inlineStr">
        <is>
          <t>Y</t>
        </is>
      </c>
      <c r="P728" s="12" t="inlineStr">
        <is>
          <t>2026-09-28 (v970, atlas session): bulk ingest per Laurie; fire number NYS-2020-0151; matching 🔥 pin on Natural History.</t>
        </is>
      </c>
      <c r="Q728" s="12" t="inlineStr">
        <is>
          <t>2020-08-26</t>
        </is>
      </c>
      <c r="R728" s="12">
        <f>VALUE(LEFT(Q728,4))</f>
        <v/>
      </c>
      <c r="S728" s="12">
        <f>VALUE(MID(Q728,6,2))</f>
        <v/>
      </c>
      <c r="T728" s="12">
        <f>VALUE(RIGHT(Q728,2))</f>
        <v/>
      </c>
      <c r="U728" s="12" t="inlineStr">
        <is>
          <t>day</t>
        </is>
      </c>
      <c r="V728" s="12" t="inlineStr">
        <is>
          <t>Fire start date (DEC report)</t>
        </is>
      </c>
    </row>
    <row r="729">
      <c r="A729" s="12" t="n">
        <v>884</v>
      </c>
      <c r="B729" s="12" t="inlineStr">
        <is>
          <t>2021-04-24</t>
        </is>
      </c>
      <c r="C729" s="12" t="inlineStr">
        <is>
          <t>2021-04-25</t>
        </is>
      </c>
      <c r="D729" s="12">
        <f>VALUE(LEFT(B729,4))</f>
        <v/>
      </c>
      <c r="E729" s="12">
        <f>INT((D729-1)/100)+1</f>
        <v/>
      </c>
      <c r="F729" s="12" t="inlineStr">
        <is>
          <t>Wildfire</t>
        </is>
      </c>
      <c r="G729" s="12" t="inlineStr">
        <is>
          <t>South Road Fire — wildfire, 0.1 acres, Mamakating (Sullivan Co.)</t>
        </is>
      </c>
      <c r="H729" s="12" t="inlineStr">
        <is>
          <t>Mamakating, Sullivan County; Wildlife Management Area — Bashakill Wildlife Management Area</t>
        </is>
      </c>
      <c r="I729" s="12" t="inlineStr">
        <is>
          <t>0.1 acres; cause Campfire; fuel 8 - Timber - Light Hardwood Litter</t>
        </is>
      </c>
      <c r="J729" s="12" t="inlineStr">
        <is>
          <t>41.51253, -74.54366</t>
        </is>
      </c>
      <c r="K729" s="12" t="inlineStr">
        <is>
          <t>No losses reported</t>
        </is>
      </c>
      <c r="L729" s="12" t="inlineStr">
        <is>
          <t>NYSDEC Forest Ranger Wildland Fire Reporting Database (Beginning 2008), data.ny.gov export 2026-09-28</t>
        </is>
      </c>
      <c r="M729" s="12" t="inlineStr">
        <is>
          <t>https://data.ny.gov/</t>
        </is>
      </c>
      <c r="N729" s="12" t="inlineStr">
        <is>
          <t>A</t>
        </is>
      </c>
      <c r="O729" s="12" t="inlineStr">
        <is>
          <t>Y</t>
        </is>
      </c>
      <c r="P729" s="12" t="inlineStr">
        <is>
          <t>2026-09-28 (v970, atlas session): bulk ingest per Laurie; fire number NYS-2021-0090; matching 🔥 pin on Natural History.</t>
        </is>
      </c>
      <c r="Q729" s="12" t="inlineStr">
        <is>
          <t>2021-04-24</t>
        </is>
      </c>
      <c r="R729" s="12">
        <f>VALUE(LEFT(Q729,4))</f>
        <v/>
      </c>
      <c r="S729" s="12">
        <f>VALUE(MID(Q729,6,2))</f>
        <v/>
      </c>
      <c r="T729" s="12">
        <f>VALUE(RIGHT(Q729,2))</f>
        <v/>
      </c>
      <c r="U729" s="12" t="inlineStr">
        <is>
          <t>day</t>
        </is>
      </c>
      <c r="V729" s="12" t="inlineStr">
        <is>
          <t>Fire start date (DEC report)</t>
        </is>
      </c>
    </row>
    <row r="730">
      <c r="A730" s="12" t="n">
        <v>885</v>
      </c>
      <c r="B730" s="12" t="inlineStr">
        <is>
          <t>2016-04-25</t>
        </is>
      </c>
      <c r="C730" s="12" t="inlineStr">
        <is>
          <t>2016-04-29</t>
        </is>
      </c>
      <c r="D730" s="12">
        <f>VALUE(LEFT(B730,4))</f>
        <v/>
      </c>
      <c r="E730" s="12">
        <f>INT((D730-1)/100)+1</f>
        <v/>
      </c>
      <c r="F730" s="12" t="inlineStr">
        <is>
          <t>Wildfire</t>
        </is>
      </c>
      <c r="G730" s="12" t="inlineStr">
        <is>
          <t>Muddy Brook — wildfire, 5.3 acres, Shandaken (Ulster Co.)</t>
        </is>
      </c>
      <c r="H730" s="12" t="inlineStr">
        <is>
          <t>Shandaken, Ulster County; Private Property</t>
        </is>
      </c>
      <c r="I730" s="12" t="inlineStr">
        <is>
          <t>5.3 acres; cause Debris Burning; fuel 10 - Timber - Heavy Litter/Downed Fuels</t>
        </is>
      </c>
      <c r="J730" s="12" t="inlineStr">
        <is>
          <t>42.08098, -74.35124</t>
        </is>
      </c>
      <c r="K730" s="12" t="inlineStr">
        <is>
          <t>No losses reported</t>
        </is>
      </c>
      <c r="L730" s="12" t="inlineStr">
        <is>
          <t>NYSDEC Forest Ranger Wildland Fire Reporting Database (Beginning 2008), data.ny.gov export 2026-09-28</t>
        </is>
      </c>
      <c r="M730" s="12" t="inlineStr">
        <is>
          <t>https://data.ny.gov/</t>
        </is>
      </c>
      <c r="N730" s="12" t="inlineStr">
        <is>
          <t>A</t>
        </is>
      </c>
      <c r="O730" s="12" t="inlineStr">
        <is>
          <t>Y</t>
        </is>
      </c>
      <c r="P730" s="12" t="inlineStr">
        <is>
          <t>2026-09-28 (v970, atlas session): bulk ingest per Laurie; fire number NYS-2016-0076; matching 🔥 pin on Natural History.</t>
        </is>
      </c>
      <c r="Q730" s="12" t="inlineStr">
        <is>
          <t>2016-04-25</t>
        </is>
      </c>
      <c r="R730" s="12">
        <f>VALUE(LEFT(Q730,4))</f>
        <v/>
      </c>
      <c r="S730" s="12">
        <f>VALUE(MID(Q730,6,2))</f>
        <v/>
      </c>
      <c r="T730" s="12">
        <f>VALUE(RIGHT(Q730,2))</f>
        <v/>
      </c>
      <c r="U730" s="12" t="inlineStr">
        <is>
          <t>day</t>
        </is>
      </c>
      <c r="V730" s="12" t="inlineStr">
        <is>
          <t>Fire start date (DEC report)</t>
        </is>
      </c>
    </row>
    <row r="731">
      <c r="A731" s="12" t="n">
        <v>888</v>
      </c>
      <c r="B731" s="12" t="inlineStr">
        <is>
          <t>2021-04-05</t>
        </is>
      </c>
      <c r="C731" s="12" t="inlineStr">
        <is>
          <t>2021-04-06</t>
        </is>
      </c>
      <c r="D731" s="12">
        <f>VALUE(LEFT(B731,4))</f>
        <v/>
      </c>
      <c r="E731" s="12">
        <f>INT((D731-1)/100)+1</f>
        <v/>
      </c>
      <c r="F731" s="12" t="inlineStr">
        <is>
          <t>Wildfire</t>
        </is>
      </c>
      <c r="G731" s="12" t="inlineStr">
        <is>
          <t>East Salem Rd Fire — wildfire, 3.5 acres, Fishkill (Dutchess Co.)</t>
        </is>
      </c>
      <c r="H731" s="12" t="inlineStr">
        <is>
          <t>Fishkill, Dutchess County; Private Property</t>
        </is>
      </c>
      <c r="I731" s="12" t="inlineStr">
        <is>
          <t>3.5 acres; cause Miscellaneous; fuel 9 - Timber - Medium Hardwood Litter</t>
        </is>
      </c>
      <c r="J731" s="12" t="inlineStr">
        <is>
          <t>41.55808, -73.86775</t>
        </is>
      </c>
      <c r="K731" s="12" t="inlineStr">
        <is>
          <t>Homes Threatened: 3</t>
        </is>
      </c>
      <c r="L731" s="12" t="inlineStr">
        <is>
          <t>NYSDEC Forest Ranger Wildland Fire Reporting Database (Beginning 2008), data.ny.gov export 2026-09-28</t>
        </is>
      </c>
      <c r="M731" s="12" t="inlineStr">
        <is>
          <t>https://data.ny.gov/</t>
        </is>
      </c>
      <c r="N731" s="12" t="inlineStr">
        <is>
          <t>A</t>
        </is>
      </c>
      <c r="O731" s="12" t="inlineStr">
        <is>
          <t>Y</t>
        </is>
      </c>
      <c r="P731" s="12" t="inlineStr">
        <is>
          <t>2026-09-28 (v970, atlas session): bulk ingest per Laurie; fire number NYS-2021-0047; matching 🔥 pin on Natural History.</t>
        </is>
      </c>
      <c r="Q731" s="12" t="inlineStr">
        <is>
          <t>2021-04-05</t>
        </is>
      </c>
      <c r="R731" s="12">
        <f>VALUE(LEFT(Q731,4))</f>
        <v/>
      </c>
      <c r="S731" s="12">
        <f>VALUE(MID(Q731,6,2))</f>
        <v/>
      </c>
      <c r="T731" s="12">
        <f>VALUE(RIGHT(Q731,2))</f>
        <v/>
      </c>
      <c r="U731" s="12" t="inlineStr">
        <is>
          <t>day</t>
        </is>
      </c>
      <c r="V731" s="12" t="inlineStr">
        <is>
          <t>Fire start date (DEC report)</t>
        </is>
      </c>
    </row>
    <row r="732">
      <c r="A732" s="12" t="n">
        <v>889</v>
      </c>
      <c r="B732" s="12" t="inlineStr">
        <is>
          <t>2009-04-02</t>
        </is>
      </c>
      <c r="C732" s="12" t="inlineStr">
        <is>
          <t>2009-04-02</t>
        </is>
      </c>
      <c r="D732" s="12">
        <f>VALUE(LEFT(B732,4))</f>
        <v/>
      </c>
      <c r="E732" s="12">
        <f>INT((D732-1)/100)+1</f>
        <v/>
      </c>
      <c r="F732" s="12" t="inlineStr">
        <is>
          <t>Wildfire</t>
        </is>
      </c>
      <c r="G732" s="12" t="inlineStr">
        <is>
          <t>Van Horne Fire — wildfire, 2 acres, Broome (Schoharie Co.)</t>
        </is>
      </c>
      <c r="H732" s="12" t="inlineStr">
        <is>
          <t>Broome, Schoharie County; Private Property</t>
        </is>
      </c>
      <c r="I732" s="12" t="inlineStr">
        <is>
          <t>2 acres; cause Debris Burning; fuel 1 - Grass - Light</t>
        </is>
      </c>
      <c r="J732" s="12" t="inlineStr">
        <is>
          <t>42.51678, -74.25832</t>
        </is>
      </c>
      <c r="K732" s="12" t="inlineStr">
        <is>
          <t>No losses reported</t>
        </is>
      </c>
      <c r="L732" s="12" t="inlineStr">
        <is>
          <t>NYSDEC Forest Ranger Wildland Fire Reporting Database (Beginning 2008), data.ny.gov export 2026-09-28</t>
        </is>
      </c>
      <c r="M732" s="12" t="inlineStr">
        <is>
          <t>https://data.ny.gov/</t>
        </is>
      </c>
      <c r="N732" s="12" t="inlineStr">
        <is>
          <t>A</t>
        </is>
      </c>
      <c r="O732" s="12" t="inlineStr">
        <is>
          <t>Y</t>
        </is>
      </c>
      <c r="P732" s="12" t="inlineStr">
        <is>
          <t>2026-09-28 (v970, atlas session): bulk ingest per Laurie; fire number NYS-2009-0037; matching 🔥 pin on Natural History.</t>
        </is>
      </c>
      <c r="Q732" s="12" t="inlineStr">
        <is>
          <t>2009-04-02</t>
        </is>
      </c>
      <c r="R732" s="12">
        <f>VALUE(LEFT(Q732,4))</f>
        <v/>
      </c>
      <c r="S732" s="12">
        <f>VALUE(MID(Q732,6,2))</f>
        <v/>
      </c>
      <c r="T732" s="12">
        <f>VALUE(RIGHT(Q732,2))</f>
        <v/>
      </c>
      <c r="U732" s="12" t="inlineStr">
        <is>
          <t>day</t>
        </is>
      </c>
      <c r="V732" s="12" t="inlineStr">
        <is>
          <t>Fire start date (DEC report)</t>
        </is>
      </c>
    </row>
    <row r="733">
      <c r="A733" s="12" t="n">
        <v>890</v>
      </c>
      <c r="B733" s="12" t="inlineStr">
        <is>
          <t>2021-12-17</t>
        </is>
      </c>
      <c r="C733" s="12" t="inlineStr">
        <is>
          <t>2021-12-17</t>
        </is>
      </c>
      <c r="D733" s="12">
        <f>VALUE(LEFT(B733,4))</f>
        <v/>
      </c>
      <c r="E733" s="12">
        <f>INT((D733-1)/100)+1</f>
        <v/>
      </c>
      <c r="F733" s="12" t="inlineStr">
        <is>
          <t>Wildfire</t>
        </is>
      </c>
      <c r="G733" s="12" t="inlineStr">
        <is>
          <t>Tibet House Fire — wildfire, 1 acres, Shandaken (Ulster Co.)</t>
        </is>
      </c>
      <c r="H733" s="12" t="inlineStr">
        <is>
          <t>Shandaken, Ulster County; Private Property</t>
        </is>
      </c>
      <c r="I733" s="12" t="inlineStr">
        <is>
          <t>1 acres; cause Smoking; fuel 8 - Timber - Light Hardwood Litter</t>
        </is>
      </c>
      <c r="J733" s="12" t="inlineStr">
        <is>
          <t>42.06779, -74.37091</t>
        </is>
      </c>
      <c r="K733" s="12" t="inlineStr">
        <is>
          <t>Homes Threatened: 3</t>
        </is>
      </c>
      <c r="L733" s="12" t="inlineStr">
        <is>
          <t>NYSDEC Forest Ranger Wildland Fire Reporting Database (Beginning 2008), data.ny.gov export 2026-09-28</t>
        </is>
      </c>
      <c r="M733" s="12" t="inlineStr">
        <is>
          <t>https://data.ny.gov/</t>
        </is>
      </c>
      <c r="N733" s="12" t="inlineStr">
        <is>
          <t>A</t>
        </is>
      </c>
      <c r="O733" s="12" t="inlineStr">
        <is>
          <t>Y</t>
        </is>
      </c>
      <c r="P733" s="12" t="inlineStr">
        <is>
          <t>2026-09-28 (v970, atlas session): bulk ingest per Laurie; fire number NYS-2021-0180; matching 🔥 pin on Natural History.</t>
        </is>
      </c>
      <c r="Q733" s="12" t="inlineStr">
        <is>
          <t>2021-12-17</t>
        </is>
      </c>
      <c r="R733" s="12">
        <f>VALUE(LEFT(Q733,4))</f>
        <v/>
      </c>
      <c r="S733" s="12">
        <f>VALUE(MID(Q733,6,2))</f>
        <v/>
      </c>
      <c r="T733" s="12">
        <f>VALUE(RIGHT(Q733,2))</f>
        <v/>
      </c>
      <c r="U733" s="12" t="inlineStr">
        <is>
          <t>day</t>
        </is>
      </c>
      <c r="V733" s="12" t="inlineStr">
        <is>
          <t>Fire start date (DEC report)</t>
        </is>
      </c>
    </row>
    <row r="734">
      <c r="A734" s="12" t="n">
        <v>893</v>
      </c>
      <c r="B734" s="12" t="inlineStr">
        <is>
          <t>2020-04-02</t>
        </is>
      </c>
      <c r="C734" s="12" t="inlineStr">
        <is>
          <t>2020-04-02</t>
        </is>
      </c>
      <c r="D734" s="12">
        <f>VALUE(LEFT(B734,4))</f>
        <v/>
      </c>
      <c r="E734" s="12">
        <f>INT((D734-1)/100)+1</f>
        <v/>
      </c>
      <c r="F734" s="12" t="inlineStr">
        <is>
          <t>Wildfire</t>
        </is>
      </c>
      <c r="G734" s="12" t="inlineStr">
        <is>
          <t>Lawrence Road Fire — wildfire, 1.5 acres, Austerlitz (Columbia Co.)</t>
        </is>
      </c>
      <c r="H734" s="12" t="inlineStr">
        <is>
          <t>Austerlitz, Columbia County; Private Property</t>
        </is>
      </c>
      <c r="I734" s="12" t="inlineStr">
        <is>
          <t>1.5 acres; cause Campfire; fuel 9 - Timber - Medium Hardwood Litter</t>
        </is>
      </c>
      <c r="J734" s="12" t="inlineStr">
        <is>
          <t>42.31706, -73.57047</t>
        </is>
      </c>
      <c r="K734" s="12" t="inlineStr">
        <is>
          <t>No losses reported</t>
        </is>
      </c>
      <c r="L734" s="12" t="inlineStr">
        <is>
          <t>NYSDEC Forest Ranger Wildland Fire Reporting Database (Beginning 2008), data.ny.gov export 2026-09-28</t>
        </is>
      </c>
      <c r="M734" s="12" t="inlineStr">
        <is>
          <t>https://data.ny.gov/</t>
        </is>
      </c>
      <c r="N734" s="12" t="inlineStr">
        <is>
          <t>A</t>
        </is>
      </c>
      <c r="O734" s="12" t="inlineStr">
        <is>
          <t>Y</t>
        </is>
      </c>
      <c r="P734" s="12" t="inlineStr">
        <is>
          <t>2026-09-28 (v970, atlas session): bulk ingest per Laurie; fire number NYS-2020-0028; matching 🔥 pin on Natural History.</t>
        </is>
      </c>
      <c r="Q734" s="12" t="inlineStr">
        <is>
          <t>2020-04-02</t>
        </is>
      </c>
      <c r="R734" s="12">
        <f>VALUE(LEFT(Q734,4))</f>
        <v/>
      </c>
      <c r="S734" s="12">
        <f>VALUE(MID(Q734,6,2))</f>
        <v/>
      </c>
      <c r="T734" s="12">
        <f>VALUE(RIGHT(Q734,2))</f>
        <v/>
      </c>
      <c r="U734" s="12" t="inlineStr">
        <is>
          <t>day</t>
        </is>
      </c>
      <c r="V734" s="12" t="inlineStr">
        <is>
          <t>Fire start date (DEC report)</t>
        </is>
      </c>
    </row>
    <row r="735">
      <c r="A735" s="12" t="n">
        <v>894</v>
      </c>
      <c r="B735" s="12" t="inlineStr">
        <is>
          <t>2022-10-30</t>
        </is>
      </c>
      <c r="C735" s="12" t="inlineStr">
        <is>
          <t>2022-10-31</t>
        </is>
      </c>
      <c r="D735" s="12">
        <f>VALUE(LEFT(B735,4))</f>
        <v/>
      </c>
      <c r="E735" s="12">
        <f>INT((D735-1)/100)+1</f>
        <v/>
      </c>
      <c r="F735" s="12" t="inlineStr">
        <is>
          <t>Wildfire</t>
        </is>
      </c>
      <c r="G735" s="12" t="inlineStr">
        <is>
          <t>Shandaken Hamlet Fire — wildfire, 0.3 acres, Shandaken (Ulster Co.)</t>
        </is>
      </c>
      <c r="H735" s="12" t="inlineStr">
        <is>
          <t>Shandaken, Ulster County; Private Property</t>
        </is>
      </c>
      <c r="I735" s="12" t="inlineStr">
        <is>
          <t>0.3 acres; cause Equipment; fuel 2 - Grass - Understory</t>
        </is>
      </c>
      <c r="J735" s="12" t="inlineStr">
        <is>
          <t>42.12228, -74.39301</t>
        </is>
      </c>
      <c r="K735" s="12" t="inlineStr">
        <is>
          <t>No losses reported</t>
        </is>
      </c>
      <c r="L735" s="12" t="inlineStr">
        <is>
          <t>NYSDEC Forest Ranger Wildland Fire Reporting Database (Beginning 2008), data.ny.gov export 2026-09-28</t>
        </is>
      </c>
      <c r="M735" s="12" t="inlineStr">
        <is>
          <t>https://data.ny.gov/</t>
        </is>
      </c>
      <c r="N735" s="12" t="inlineStr">
        <is>
          <t>A</t>
        </is>
      </c>
      <c r="O735" s="12" t="inlineStr">
        <is>
          <t>Y</t>
        </is>
      </c>
      <c r="P735" s="12" t="inlineStr">
        <is>
          <t>2026-09-28 (v970, atlas session): bulk ingest per Laurie; fire number NYS-2022-0181; matching 🔥 pin on Natural History.</t>
        </is>
      </c>
      <c r="Q735" s="12" t="inlineStr">
        <is>
          <t>2022-10-30</t>
        </is>
      </c>
      <c r="R735" s="12">
        <f>VALUE(LEFT(Q735,4))</f>
        <v/>
      </c>
      <c r="S735" s="12">
        <f>VALUE(MID(Q735,6,2))</f>
        <v/>
      </c>
      <c r="T735" s="12">
        <f>VALUE(RIGHT(Q735,2))</f>
        <v/>
      </c>
      <c r="U735" s="12" t="inlineStr">
        <is>
          <t>day</t>
        </is>
      </c>
      <c r="V735" s="12" t="inlineStr">
        <is>
          <t>Fire start date (DEC report)</t>
        </is>
      </c>
    </row>
    <row r="736">
      <c r="A736" s="12" t="n">
        <v>896</v>
      </c>
      <c r="B736" s="12" t="inlineStr">
        <is>
          <t>2023-11-16</t>
        </is>
      </c>
      <c r="C736" s="12" t="inlineStr">
        <is>
          <t>2023-11-16</t>
        </is>
      </c>
      <c r="D736" s="12">
        <f>VALUE(LEFT(B736,4))</f>
        <v/>
      </c>
      <c r="E736" s="12">
        <f>INT((D736-1)/100)+1</f>
        <v/>
      </c>
      <c r="F736" s="12" t="inlineStr">
        <is>
          <t>Wildfire</t>
        </is>
      </c>
      <c r="G736" s="12" t="inlineStr">
        <is>
          <t>I-84 W Fire — wildfire, 1 acres, East Fishkill (Dutchess Co.)</t>
        </is>
      </c>
      <c r="H736" s="12" t="inlineStr">
        <is>
          <t>East Fishkill, Dutchess County; Private Property</t>
        </is>
      </c>
      <c r="I736" s="12" t="inlineStr">
        <is>
          <t>1 acres; cause Equipment; fuel 7 - Brush - Understory</t>
        </is>
      </c>
      <c r="J736" s="12" t="inlineStr">
        <is>
          <t>41.53609, -73.70592</t>
        </is>
      </c>
      <c r="K736" s="12" t="inlineStr">
        <is>
          <t>No losses reported</t>
        </is>
      </c>
      <c r="L736" s="12" t="inlineStr">
        <is>
          <t>NYSDEC Forest Ranger Wildland Fire Reporting Database (Beginning 2008), data.ny.gov export 2026-09-28</t>
        </is>
      </c>
      <c r="M736" s="12" t="inlineStr">
        <is>
          <t>https://data.ny.gov/</t>
        </is>
      </c>
      <c r="N736" s="12" t="inlineStr">
        <is>
          <t>A</t>
        </is>
      </c>
      <c r="O736" s="12" t="inlineStr">
        <is>
          <t>Y</t>
        </is>
      </c>
      <c r="P736" s="12" t="inlineStr">
        <is>
          <t>2026-09-28 (v970, atlas session): bulk ingest per Laurie; fire number NYS-2023-0203; matching 🔥 pin on Natural History.</t>
        </is>
      </c>
      <c r="Q736" s="12" t="inlineStr">
        <is>
          <t>2023-11-16</t>
        </is>
      </c>
      <c r="R736" s="12">
        <f>VALUE(LEFT(Q736,4))</f>
        <v/>
      </c>
      <c r="S736" s="12">
        <f>VALUE(MID(Q736,6,2))</f>
        <v/>
      </c>
      <c r="T736" s="12">
        <f>VALUE(RIGHT(Q736,2))</f>
        <v/>
      </c>
      <c r="U736" s="12" t="inlineStr">
        <is>
          <t>day</t>
        </is>
      </c>
      <c r="V736" s="12" t="inlineStr">
        <is>
          <t>Fire start date (DEC report)</t>
        </is>
      </c>
    </row>
    <row r="737">
      <c r="A737" s="12" t="n">
        <v>897</v>
      </c>
      <c r="B737" s="12" t="inlineStr">
        <is>
          <t>2015-11-08</t>
        </is>
      </c>
      <c r="C737" s="12" t="inlineStr">
        <is>
          <t>2015-11-11</t>
        </is>
      </c>
      <c r="D737" s="12">
        <f>VALUE(LEFT(B737,4))</f>
        <v/>
      </c>
      <c r="E737" s="12">
        <f>INT((D737-1)/100)+1</f>
        <v/>
      </c>
      <c r="F737" s="12" t="inlineStr">
        <is>
          <t>Wildfire</t>
        </is>
      </c>
      <c r="G737" s="12" t="inlineStr">
        <is>
          <t>Redwing Fire — wildfire, 9 acres, La Grange (Dutchess Co.)</t>
        </is>
      </c>
      <c r="H737" s="12" t="inlineStr">
        <is>
          <t>La Grange, Dutchess County; Private Property</t>
        </is>
      </c>
      <c r="I737" s="12" t="inlineStr">
        <is>
          <t>9 acres; cause Equipment; fuel 9 - Timber - Medium Hardwood Litter</t>
        </is>
      </c>
      <c r="J737" s="12" t="inlineStr">
        <is>
          <t>43.67223, -73.77124</t>
        </is>
      </c>
      <c r="K737" s="12" t="inlineStr">
        <is>
          <t>No losses reported</t>
        </is>
      </c>
      <c r="L737" s="12" t="inlineStr">
        <is>
          <t>NYSDEC Forest Ranger Wildland Fire Reporting Database (Beginning 2008), data.ny.gov export 2026-09-28</t>
        </is>
      </c>
      <c r="M737" s="12" t="inlineStr">
        <is>
          <t>https://data.ny.gov/</t>
        </is>
      </c>
      <c r="N737" s="12" t="inlineStr">
        <is>
          <t>A</t>
        </is>
      </c>
      <c r="O737" s="12" t="inlineStr">
        <is>
          <t>Y</t>
        </is>
      </c>
      <c r="P737" s="12" t="inlineStr">
        <is>
          <t>2026-09-28 (v970, atlas session): bulk ingest per Laurie; fire number NYS-2015-0183; matching 🔥 pin on Natural History.</t>
        </is>
      </c>
      <c r="Q737" s="12" t="inlineStr">
        <is>
          <t>2015-11-08</t>
        </is>
      </c>
      <c r="R737" s="12">
        <f>VALUE(LEFT(Q737,4))</f>
        <v/>
      </c>
      <c r="S737" s="12">
        <f>VALUE(MID(Q737,6,2))</f>
        <v/>
      </c>
      <c r="T737" s="12">
        <f>VALUE(RIGHT(Q737,2))</f>
        <v/>
      </c>
      <c r="U737" s="12" t="inlineStr">
        <is>
          <t>day</t>
        </is>
      </c>
      <c r="V737" s="12" t="inlineStr">
        <is>
          <t>Fire start date (DEC report)</t>
        </is>
      </c>
    </row>
    <row r="738">
      <c r="A738" s="12" t="n">
        <v>900</v>
      </c>
      <c r="B738" s="12" t="inlineStr">
        <is>
          <t>2009-03-23</t>
        </is>
      </c>
      <c r="C738" s="12" t="inlineStr">
        <is>
          <t>2009-03-23</t>
        </is>
      </c>
      <c r="D738" s="12">
        <f>VALUE(LEFT(B738,4))</f>
        <v/>
      </c>
      <c r="E738" s="12">
        <f>INT((D738-1)/100)+1</f>
        <v/>
      </c>
      <c r="F738" s="12" t="inlineStr">
        <is>
          <t>Wildfire</t>
        </is>
      </c>
      <c r="G738" s="12" t="inlineStr">
        <is>
          <t>Greenville Fire — wildfire, 2 acres, Greenville (Greene Co.)</t>
        </is>
      </c>
      <c r="H738" s="12" t="inlineStr">
        <is>
          <t>Greenville, Greene County; Private Property</t>
        </is>
      </c>
      <c r="I738" s="12" t="inlineStr">
        <is>
          <t>2 acres; cause Debris Burning; fuel 1 - Grass - Light</t>
        </is>
      </c>
      <c r="J738" s="12" t="inlineStr">
        <is>
          <t>42.40523, -74.02503</t>
        </is>
      </c>
      <c r="K738" s="12" t="inlineStr">
        <is>
          <t>Other Structures Lost: 1</t>
        </is>
      </c>
      <c r="L738" s="12" t="inlineStr">
        <is>
          <t>NYSDEC Forest Ranger Wildland Fire Reporting Database (Beginning 2008), data.ny.gov export 2026-09-28</t>
        </is>
      </c>
      <c r="M738" s="12" t="inlineStr">
        <is>
          <t>https://data.ny.gov/</t>
        </is>
      </c>
      <c r="N738" s="12" t="inlineStr">
        <is>
          <t>A</t>
        </is>
      </c>
      <c r="O738" s="12" t="inlineStr">
        <is>
          <t>Y</t>
        </is>
      </c>
      <c r="P738" s="12" t="inlineStr">
        <is>
          <t>2026-09-28 (v970, atlas session): bulk ingest per Laurie; fire number NYS-2009-0013; matching 🔥 pin on Natural History.</t>
        </is>
      </c>
      <c r="Q738" s="12" t="inlineStr">
        <is>
          <t>2009-03-23</t>
        </is>
      </c>
      <c r="R738" s="12">
        <f>VALUE(LEFT(Q738,4))</f>
        <v/>
      </c>
      <c r="S738" s="12">
        <f>VALUE(MID(Q738,6,2))</f>
        <v/>
      </c>
      <c r="T738" s="12">
        <f>VALUE(RIGHT(Q738,2))</f>
        <v/>
      </c>
      <c r="U738" s="12" t="inlineStr">
        <is>
          <t>day</t>
        </is>
      </c>
      <c r="V738" s="12" t="inlineStr">
        <is>
          <t>Fire start date (DEC report)</t>
        </is>
      </c>
    </row>
    <row r="739">
      <c r="A739" s="12" t="n">
        <v>901</v>
      </c>
      <c r="B739" s="12" t="inlineStr">
        <is>
          <t>2021-04-07</t>
        </is>
      </c>
      <c r="C739" s="12" t="inlineStr">
        <is>
          <t>2021-04-07</t>
        </is>
      </c>
      <c r="D739" s="12">
        <f>VALUE(LEFT(B739,4))</f>
        <v/>
      </c>
      <c r="E739" s="12">
        <f>INT((D739-1)/100)+1</f>
        <v/>
      </c>
      <c r="F739" s="12" t="inlineStr">
        <is>
          <t>Wildfire</t>
        </is>
      </c>
      <c r="G739" s="12" t="inlineStr">
        <is>
          <t>Black Forest Rd Fire — wildfire, 1 acres, Lumberland (Sullivan Co.)</t>
        </is>
      </c>
      <c r="H739" s="12" t="inlineStr">
        <is>
          <t>Lumberland, Sullivan County; Private Property</t>
        </is>
      </c>
      <c r="I739" s="12" t="inlineStr">
        <is>
          <t>1 acres; cause Debris Burning; fuel 7 - Brush - Understory</t>
        </is>
      </c>
      <c r="J739" s="12" t="inlineStr">
        <is>
          <t>41.47601, -74.84734</t>
        </is>
      </c>
      <c r="K739" s="12" t="inlineStr">
        <is>
          <t>No losses reported</t>
        </is>
      </c>
      <c r="L739" s="12" t="inlineStr">
        <is>
          <t>NYSDEC Forest Ranger Wildland Fire Reporting Database (Beginning 2008), data.ny.gov export 2026-09-28</t>
        </is>
      </c>
      <c r="M739" s="12" t="inlineStr">
        <is>
          <t>https://data.ny.gov/</t>
        </is>
      </c>
      <c r="N739" s="12" t="inlineStr">
        <is>
          <t>A</t>
        </is>
      </c>
      <c r="O739" s="12" t="inlineStr">
        <is>
          <t>Y</t>
        </is>
      </c>
      <c r="P739" s="12" t="inlineStr">
        <is>
          <t>2026-09-28 (v970, atlas session): bulk ingest per Laurie; fire number NYS-2021-0061; matching 🔥 pin on Natural History.</t>
        </is>
      </c>
      <c r="Q739" s="12" t="inlineStr">
        <is>
          <t>2021-04-07</t>
        </is>
      </c>
      <c r="R739" s="12">
        <f>VALUE(LEFT(Q739,4))</f>
        <v/>
      </c>
      <c r="S739" s="12">
        <f>VALUE(MID(Q739,6,2))</f>
        <v/>
      </c>
      <c r="T739" s="12">
        <f>VALUE(RIGHT(Q739,2))</f>
        <v/>
      </c>
      <c r="U739" s="12" t="inlineStr">
        <is>
          <t>day</t>
        </is>
      </c>
      <c r="V739" s="12" t="inlineStr">
        <is>
          <t>Fire start date (DEC report)</t>
        </is>
      </c>
    </row>
    <row r="740">
      <c r="A740" s="12" t="n">
        <v>902</v>
      </c>
      <c r="B740" s="12" t="inlineStr">
        <is>
          <t>2021-03-30</t>
        </is>
      </c>
      <c r="C740" s="12" t="inlineStr">
        <is>
          <t>2021-03-30</t>
        </is>
      </c>
      <c r="D740" s="12">
        <f>VALUE(LEFT(B740,4))</f>
        <v/>
      </c>
      <c r="E740" s="12">
        <f>INT((D740-1)/100)+1</f>
        <v/>
      </c>
      <c r="F740" s="12" t="inlineStr">
        <is>
          <t>Wildfire</t>
        </is>
      </c>
      <c r="G740" s="12" t="inlineStr">
        <is>
          <t>Tamarack Preserve — wildfire, 16.5 acres, Amenia (Dutchess Co.)</t>
        </is>
      </c>
      <c r="H740" s="12" t="inlineStr">
        <is>
          <t>Amenia, Dutchess County; Private Property</t>
        </is>
      </c>
      <c r="I740" s="12" t="inlineStr">
        <is>
          <t>16.5 acres; cause Equipment; fuel 8 - Timber - Light Hardwood Litter</t>
        </is>
      </c>
      <c r="J740" s="12" t="inlineStr">
        <is>
          <t>41.82811, -73.76868</t>
        </is>
      </c>
      <c r="K740" s="12" t="inlineStr">
        <is>
          <t>No losses reported</t>
        </is>
      </c>
      <c r="L740" s="12" t="inlineStr">
        <is>
          <t>NYSDEC Forest Ranger Wildland Fire Reporting Database (Beginning 2008), data.ny.gov export 2026-09-28</t>
        </is>
      </c>
      <c r="M740" s="12" t="inlineStr">
        <is>
          <t>https://data.ny.gov/</t>
        </is>
      </c>
      <c r="N740" s="12" t="inlineStr">
        <is>
          <t>A</t>
        </is>
      </c>
      <c r="O740" s="12" t="inlineStr">
        <is>
          <t>Y</t>
        </is>
      </c>
      <c r="P740" s="12" t="inlineStr">
        <is>
          <t>2026-09-28 (v970, atlas session): bulk ingest per Laurie; fire number NYS-2021-0039; matching 🔥 pin on Natural History.</t>
        </is>
      </c>
      <c r="Q740" s="12" t="inlineStr">
        <is>
          <t>2021-03-30</t>
        </is>
      </c>
      <c r="R740" s="12">
        <f>VALUE(LEFT(Q740,4))</f>
        <v/>
      </c>
      <c r="S740" s="12">
        <f>VALUE(MID(Q740,6,2))</f>
        <v/>
      </c>
      <c r="T740" s="12">
        <f>VALUE(RIGHT(Q740,2))</f>
        <v/>
      </c>
      <c r="U740" s="12" t="inlineStr">
        <is>
          <t>day</t>
        </is>
      </c>
      <c r="V740" s="12" t="inlineStr">
        <is>
          <t>Fire start date (DEC report)</t>
        </is>
      </c>
    </row>
    <row r="741">
      <c r="A741" s="12" t="n">
        <v>903</v>
      </c>
      <c r="B741" s="12" t="inlineStr">
        <is>
          <t>2018-04-14</t>
        </is>
      </c>
      <c r="C741" s="12" t="inlineStr">
        <is>
          <t>2018-04-16</t>
        </is>
      </c>
      <c r="D741" s="12">
        <f>VALUE(LEFT(B741,4))</f>
        <v/>
      </c>
      <c r="E741" s="12">
        <f>INT((D741-1)/100)+1</f>
        <v/>
      </c>
      <c r="F741" s="12" t="inlineStr">
        <is>
          <t>Wildfire</t>
        </is>
      </c>
      <c r="G741" s="12" t="inlineStr">
        <is>
          <t>Tivoli Gully Fire — wildfire, 0.3 acres, Red Hook (Dutchess Co.)</t>
        </is>
      </c>
      <c r="H741" s="12" t="inlineStr">
        <is>
          <t>Red Hook, Dutchess County; Wildlife Management Area — Tivoli Bays WMA</t>
        </is>
      </c>
      <c r="I741" s="12" t="inlineStr">
        <is>
          <t>0.3 acres; cause Incendiary; fuel 8 - Timber - Light Hardwood Litter</t>
        </is>
      </c>
      <c r="J741" s="12" t="inlineStr">
        <is>
          <t>42.03465, -73.90917</t>
        </is>
      </c>
      <c r="K741" s="12" t="inlineStr">
        <is>
          <t>No losses reported</t>
        </is>
      </c>
      <c r="L741" s="12" t="inlineStr">
        <is>
          <t>NYSDEC Forest Ranger Wildland Fire Reporting Database (Beginning 2008), data.ny.gov export 2026-09-28</t>
        </is>
      </c>
      <c r="M741" s="12" t="inlineStr">
        <is>
          <t>https://data.ny.gov/</t>
        </is>
      </c>
      <c r="N741" s="12" t="inlineStr">
        <is>
          <t>A</t>
        </is>
      </c>
      <c r="O741" s="12" t="inlineStr">
        <is>
          <t>Y</t>
        </is>
      </c>
      <c r="P741" s="12" t="inlineStr">
        <is>
          <t>2026-09-28 (v970, atlas session): bulk ingest per Laurie; fire number NYS-2018-0012; matching 🔥 pin on Natural History.</t>
        </is>
      </c>
      <c r="Q741" s="12" t="inlineStr">
        <is>
          <t>2018-04-14</t>
        </is>
      </c>
      <c r="R741" s="12">
        <f>VALUE(LEFT(Q741,4))</f>
        <v/>
      </c>
      <c r="S741" s="12">
        <f>VALUE(MID(Q741,6,2))</f>
        <v/>
      </c>
      <c r="T741" s="12">
        <f>VALUE(RIGHT(Q741,2))</f>
        <v/>
      </c>
      <c r="U741" s="12" t="inlineStr">
        <is>
          <t>day</t>
        </is>
      </c>
      <c r="V741" s="12" t="inlineStr">
        <is>
          <t>Fire start date (DEC report)</t>
        </is>
      </c>
    </row>
    <row r="742">
      <c r="A742" s="12" t="n">
        <v>904</v>
      </c>
      <c r="B742" s="12" t="inlineStr">
        <is>
          <t>2008-04-15</t>
        </is>
      </c>
      <c r="C742" s="12" t="inlineStr">
        <is>
          <t>2008-04-15</t>
        </is>
      </c>
      <c r="D742" s="12">
        <f>VALUE(LEFT(B742,4))</f>
        <v/>
      </c>
      <c r="E742" s="12">
        <f>INT((D742-1)/100)+1</f>
        <v/>
      </c>
      <c r="F742" s="12" t="inlineStr">
        <is>
          <t>Wildfire</t>
        </is>
      </c>
      <c r="G742" s="12" t="inlineStr">
        <is>
          <t>Loomis Hill — wildfire, 11.4 acres, Sanford (Broome Co.)</t>
        </is>
      </c>
      <c r="H742" s="12" t="inlineStr">
        <is>
          <t>Sanford, Broome County; Private Property</t>
        </is>
      </c>
      <c r="I742" s="12" t="inlineStr">
        <is>
          <t>11.4 acres; cause Equipment; fuel 1 - Grass - Light</t>
        </is>
      </c>
      <c r="J742" s="12" t="inlineStr">
        <is>
          <t>42.09781, -75.43599</t>
        </is>
      </c>
      <c r="K742" s="12" t="inlineStr">
        <is>
          <t>No losses reported</t>
        </is>
      </c>
      <c r="L742" s="12" t="inlineStr">
        <is>
          <t>NYSDEC Forest Ranger Wildland Fire Reporting Database (Beginning 2008), data.ny.gov export 2026-09-28</t>
        </is>
      </c>
      <c r="M742" s="12" t="inlineStr">
        <is>
          <t>https://data.ny.gov/</t>
        </is>
      </c>
      <c r="N742" s="12" t="inlineStr">
        <is>
          <t>A</t>
        </is>
      </c>
      <c r="O742" s="12" t="inlineStr">
        <is>
          <t>Y</t>
        </is>
      </c>
      <c r="P742" s="12" t="inlineStr">
        <is>
          <t>2026-09-28 (v970, atlas session): bulk ingest per Laurie; fire number NYS-2008-0022; matching 🔥 pin on Natural History.</t>
        </is>
      </c>
      <c r="Q742" s="12" t="inlineStr">
        <is>
          <t>2008-04-15</t>
        </is>
      </c>
      <c r="R742" s="12">
        <f>VALUE(LEFT(Q742,4))</f>
        <v/>
      </c>
      <c r="S742" s="12">
        <f>VALUE(MID(Q742,6,2))</f>
        <v/>
      </c>
      <c r="T742" s="12">
        <f>VALUE(RIGHT(Q742,2))</f>
        <v/>
      </c>
      <c r="U742" s="12" t="inlineStr">
        <is>
          <t>day</t>
        </is>
      </c>
      <c r="V742" s="12" t="inlineStr">
        <is>
          <t>Fire start date (DEC report)</t>
        </is>
      </c>
    </row>
    <row r="743">
      <c r="A743" s="12" t="n">
        <v>905</v>
      </c>
      <c r="B743" s="12" t="inlineStr">
        <is>
          <t>2016-03-12</t>
        </is>
      </c>
      <c r="C743" s="12" t="inlineStr">
        <is>
          <t>2016-03-12</t>
        </is>
      </c>
      <c r="D743" s="12">
        <f>VALUE(LEFT(B743,4))</f>
        <v/>
      </c>
      <c r="E743" s="12">
        <f>INT((D743-1)/100)+1</f>
        <v/>
      </c>
      <c r="F743" s="12" t="inlineStr">
        <is>
          <t>Wildfire</t>
        </is>
      </c>
      <c r="G743" s="12" t="inlineStr">
        <is>
          <t>Mt Marion Fire — wildfire, 2 acres, Saugerties (Ulster Co.)</t>
        </is>
      </c>
      <c r="H743" s="12" t="inlineStr">
        <is>
          <t>Saugerties, Ulster County; Private Property</t>
        </is>
      </c>
      <c r="I743" s="12" t="inlineStr">
        <is>
          <t>2 acres; cause Incendiary; fuel 9 - Timber - Medium Hardwood Litter</t>
        </is>
      </c>
      <c r="J743" s="12" t="inlineStr">
        <is>
          <t>42.06272, -73.99461</t>
        </is>
      </c>
      <c r="K743" s="12" t="inlineStr">
        <is>
          <t>No losses reported</t>
        </is>
      </c>
      <c r="L743" s="12" t="inlineStr">
        <is>
          <t>NYSDEC Forest Ranger Wildland Fire Reporting Database (Beginning 2008), data.ny.gov export 2026-09-28</t>
        </is>
      </c>
      <c r="M743" s="12" t="inlineStr">
        <is>
          <t>https://data.ny.gov/</t>
        </is>
      </c>
      <c r="N743" s="12" t="inlineStr">
        <is>
          <t>A</t>
        </is>
      </c>
      <c r="O743" s="12" t="inlineStr">
        <is>
          <t>Y</t>
        </is>
      </c>
      <c r="P743" s="12" t="inlineStr">
        <is>
          <t>2026-09-28 (v970, atlas session): bulk ingest per Laurie; fire number NYS-2016-0015; matching 🔥 pin on Natural History.</t>
        </is>
      </c>
      <c r="Q743" s="12" t="inlineStr">
        <is>
          <t>2016-03-12</t>
        </is>
      </c>
      <c r="R743" s="12">
        <f>VALUE(LEFT(Q743,4))</f>
        <v/>
      </c>
      <c r="S743" s="12">
        <f>VALUE(MID(Q743,6,2))</f>
        <v/>
      </c>
      <c r="T743" s="12">
        <f>VALUE(RIGHT(Q743,2))</f>
        <v/>
      </c>
      <c r="U743" s="12" t="inlineStr">
        <is>
          <t>day</t>
        </is>
      </c>
      <c r="V743" s="12" t="inlineStr">
        <is>
          <t>Fire start date (DEC report)</t>
        </is>
      </c>
    </row>
    <row r="744">
      <c r="A744" s="12" t="n">
        <v>906</v>
      </c>
      <c r="B744" s="12" t="inlineStr">
        <is>
          <t>2017-05-17</t>
        </is>
      </c>
      <c r="C744" s="12" t="inlineStr">
        <is>
          <t>2017-05-22</t>
        </is>
      </c>
      <c r="D744" s="12">
        <f>VALUE(LEFT(B744,4))</f>
        <v/>
      </c>
      <c r="E744" s="12">
        <f>INT((D744-1)/100)+1</f>
        <v/>
      </c>
      <c r="F744" s="12" t="inlineStr">
        <is>
          <t>Wildfire</t>
        </is>
      </c>
      <c r="G744" s="12" t="inlineStr">
        <is>
          <t>New Schaghticoke Fire — wildfire, 30 acres, Dover (Dutchess Co.)</t>
        </is>
      </c>
      <c r="H744" s="12" t="inlineStr">
        <is>
          <t>Dover, Dutchess County; Federal Lands</t>
        </is>
      </c>
      <c r="I744" s="12" t="inlineStr">
        <is>
          <t>30 acres; cause Miscellaneous; fuel 9 - Timber - Medium Hardwood Litter</t>
        </is>
      </c>
      <c r="J744" s="12" t="inlineStr">
        <is>
          <t>41.69922, -73.51580</t>
        </is>
      </c>
      <c r="K744" s="12" t="inlineStr">
        <is>
          <t>No losses reported</t>
        </is>
      </c>
      <c r="L744" s="12" t="inlineStr">
        <is>
          <t>NYSDEC Forest Ranger Wildland Fire Reporting Database (Beginning 2008), data.ny.gov export 2026-09-28</t>
        </is>
      </c>
      <c r="M744" s="12" t="inlineStr">
        <is>
          <t>https://data.ny.gov/</t>
        </is>
      </c>
      <c r="N744" s="12" t="inlineStr">
        <is>
          <t>A</t>
        </is>
      </c>
      <c r="O744" s="12" t="inlineStr">
        <is>
          <t>Y</t>
        </is>
      </c>
      <c r="P744" s="12" t="inlineStr">
        <is>
          <t>2026-09-28 (v970, atlas session): bulk ingest per Laurie; fire number NYS-2017-0051; matching 🔥 pin on Natural History.</t>
        </is>
      </c>
      <c r="Q744" s="12" t="inlineStr">
        <is>
          <t>2017-05-17</t>
        </is>
      </c>
      <c r="R744" s="12">
        <f>VALUE(LEFT(Q744,4))</f>
        <v/>
      </c>
      <c r="S744" s="12">
        <f>VALUE(MID(Q744,6,2))</f>
        <v/>
      </c>
      <c r="T744" s="12">
        <f>VALUE(RIGHT(Q744,2))</f>
        <v/>
      </c>
      <c r="U744" s="12" t="inlineStr">
        <is>
          <t>day</t>
        </is>
      </c>
      <c r="V744" s="12" t="inlineStr">
        <is>
          <t>Fire start date (DEC report)</t>
        </is>
      </c>
    </row>
    <row r="745">
      <c r="A745" s="12" t="n">
        <v>907</v>
      </c>
      <c r="B745" s="12" t="inlineStr">
        <is>
          <t>2012-03-27</t>
        </is>
      </c>
      <c r="C745" s="12" t="inlineStr">
        <is>
          <t>2012-03-27</t>
        </is>
      </c>
      <c r="D745" s="12">
        <f>VALUE(LEFT(B745,4))</f>
        <v/>
      </c>
      <c r="E745" s="12">
        <f>INT((D745-1)/100)+1</f>
        <v/>
      </c>
      <c r="F745" s="12" t="inlineStr">
        <is>
          <t>Wildfire</t>
        </is>
      </c>
      <c r="G745" s="12" t="inlineStr">
        <is>
          <t>Cole Bank — wildfire, 1 acres, Saugerties (Ulster Co.)</t>
        </is>
      </c>
      <c r="H745" s="12" t="inlineStr">
        <is>
          <t>Saugerties, Ulster County; Wilderness Area — Indian Head Wilderness Area</t>
        </is>
      </c>
      <c r="I745" s="12" t="inlineStr">
        <is>
          <t>1 acres; cause Miscellaneous; fuel 9 - Timber - Medium Hardwood Litter</t>
        </is>
      </c>
      <c r="J745" s="12" t="inlineStr">
        <is>
          <t>42.10934, -74.06121</t>
        </is>
      </c>
      <c r="K745" s="12" t="inlineStr">
        <is>
          <t>No losses reported</t>
        </is>
      </c>
      <c r="L745" s="12" t="inlineStr">
        <is>
          <t>NYSDEC Forest Ranger Wildland Fire Reporting Database (Beginning 2008), data.ny.gov export 2026-09-28</t>
        </is>
      </c>
      <c r="M745" s="12" t="inlineStr">
        <is>
          <t>https://data.ny.gov/</t>
        </is>
      </c>
      <c r="N745" s="12" t="inlineStr">
        <is>
          <t>A</t>
        </is>
      </c>
      <c r="O745" s="12" t="inlineStr">
        <is>
          <t>Y</t>
        </is>
      </c>
      <c r="P745" s="12" t="inlineStr">
        <is>
          <t>2026-09-28 (v970, atlas session): bulk ingest per Laurie; fire number NYS-2012-0039; matching 🔥 pin on Natural History.</t>
        </is>
      </c>
      <c r="Q745" s="12" t="inlineStr">
        <is>
          <t>2012-03-27</t>
        </is>
      </c>
      <c r="R745" s="12">
        <f>VALUE(LEFT(Q745,4))</f>
        <v/>
      </c>
      <c r="S745" s="12">
        <f>VALUE(MID(Q745,6,2))</f>
        <v/>
      </c>
      <c r="T745" s="12">
        <f>VALUE(RIGHT(Q745,2))</f>
        <v/>
      </c>
      <c r="U745" s="12" t="inlineStr">
        <is>
          <t>day</t>
        </is>
      </c>
      <c r="V745" s="12" t="inlineStr">
        <is>
          <t>Fire start date (DEC report)</t>
        </is>
      </c>
    </row>
    <row r="746">
      <c r="A746" s="12" t="n">
        <v>908</v>
      </c>
      <c r="B746" s="12" t="inlineStr">
        <is>
          <t>2017-03-09</t>
        </is>
      </c>
      <c r="C746" s="12" t="inlineStr">
        <is>
          <t>2017-03-09</t>
        </is>
      </c>
      <c r="D746" s="12">
        <f>VALUE(LEFT(B746,4))</f>
        <v/>
      </c>
      <c r="E746" s="12">
        <f>INT((D746-1)/100)+1</f>
        <v/>
      </c>
      <c r="F746" s="12" t="inlineStr">
        <is>
          <t>Wildfire</t>
        </is>
      </c>
      <c r="G746" s="12" t="inlineStr">
        <is>
          <t>Leather Hill — wildfire, 4.7 acres, Dover (Dutchess Co.)</t>
        </is>
      </c>
      <c r="H746" s="12" t="inlineStr">
        <is>
          <t>Dover, Dutchess County; Private Property</t>
        </is>
      </c>
      <c r="I746" s="12" t="inlineStr">
        <is>
          <t>4.7 acres; cause Power line; fuel 9 - Timber - Medium Hardwood Litter</t>
        </is>
      </c>
      <c r="J746" s="12" t="inlineStr">
        <is>
          <t>41.63056, -73.53719</t>
        </is>
      </c>
      <c r="K746" s="12" t="inlineStr">
        <is>
          <t>No losses reported</t>
        </is>
      </c>
      <c r="L746" s="12" t="inlineStr">
        <is>
          <t>NYSDEC Forest Ranger Wildland Fire Reporting Database (Beginning 2008), data.ny.gov export 2026-09-28</t>
        </is>
      </c>
      <c r="M746" s="12" t="inlineStr">
        <is>
          <t>https://data.ny.gov/</t>
        </is>
      </c>
      <c r="N746" s="12" t="inlineStr">
        <is>
          <t>A</t>
        </is>
      </c>
      <c r="O746" s="12" t="inlineStr">
        <is>
          <t>Y</t>
        </is>
      </c>
      <c r="P746" s="12" t="inlineStr">
        <is>
          <t>2026-09-28 (v970, atlas session): bulk ingest per Laurie; fire number NYS-2017-0006; matching 🔥 pin on Natural History.</t>
        </is>
      </c>
      <c r="Q746" s="12" t="inlineStr">
        <is>
          <t>2017-03-09</t>
        </is>
      </c>
      <c r="R746" s="12">
        <f>VALUE(LEFT(Q746,4))</f>
        <v/>
      </c>
      <c r="S746" s="12">
        <f>VALUE(MID(Q746,6,2))</f>
        <v/>
      </c>
      <c r="T746" s="12">
        <f>VALUE(RIGHT(Q746,2))</f>
        <v/>
      </c>
      <c r="U746" s="12" t="inlineStr">
        <is>
          <t>day</t>
        </is>
      </c>
      <c r="V746" s="12" t="inlineStr">
        <is>
          <t>Fire start date (DEC report)</t>
        </is>
      </c>
    </row>
    <row r="747">
      <c r="A747" s="12" t="n">
        <v>909</v>
      </c>
      <c r="B747" s="12" t="inlineStr">
        <is>
          <t>2014-04-10</t>
        </is>
      </c>
      <c r="C747" s="12" t="inlineStr">
        <is>
          <t>2014-04-10</t>
        </is>
      </c>
      <c r="D747" s="12">
        <f>VALUE(LEFT(B747,4))</f>
        <v/>
      </c>
      <c r="E747" s="12">
        <f>INT((D747-1)/100)+1</f>
        <v/>
      </c>
      <c r="F747" s="12" t="inlineStr">
        <is>
          <t>Wildfire</t>
        </is>
      </c>
      <c r="G747" s="12" t="inlineStr">
        <is>
          <t>Joe Lane — wildfire, 0.3 acres, Mamakating (Sullivan Co.)</t>
        </is>
      </c>
      <c r="H747" s="12" t="inlineStr">
        <is>
          <t>Mamakating, Sullivan County; Private Property</t>
        </is>
      </c>
      <c r="I747" s="12" t="inlineStr">
        <is>
          <t>0.3 acres; cause Smoking; fuel 1 - Grass - Light</t>
        </is>
      </c>
      <c r="J747" s="12" t="inlineStr">
        <is>
          <t>41.61150, -74.45310</t>
        </is>
      </c>
      <c r="K747" s="12" t="inlineStr">
        <is>
          <t>No losses reported</t>
        </is>
      </c>
      <c r="L747" s="12" t="inlineStr">
        <is>
          <t>NYSDEC Forest Ranger Wildland Fire Reporting Database (Beginning 2008), data.ny.gov export 2026-09-28</t>
        </is>
      </c>
      <c r="M747" s="12" t="inlineStr">
        <is>
          <t>https://data.ny.gov/</t>
        </is>
      </c>
      <c r="N747" s="12" t="inlineStr">
        <is>
          <t>A</t>
        </is>
      </c>
      <c r="O747" s="12" t="inlineStr">
        <is>
          <t>Y</t>
        </is>
      </c>
      <c r="P747" s="12" t="inlineStr">
        <is>
          <t>2026-09-28 (v970, atlas session): bulk ingest per Laurie; fire number NYS-2014-0015; matching 🔥 pin on Natural History.</t>
        </is>
      </c>
      <c r="Q747" s="12" t="inlineStr">
        <is>
          <t>2014-04-10</t>
        </is>
      </c>
      <c r="R747" s="12">
        <f>VALUE(LEFT(Q747,4))</f>
        <v/>
      </c>
      <c r="S747" s="12">
        <f>VALUE(MID(Q747,6,2))</f>
        <v/>
      </c>
      <c r="T747" s="12">
        <f>VALUE(RIGHT(Q747,2))</f>
        <v/>
      </c>
      <c r="U747" s="12" t="inlineStr">
        <is>
          <t>day</t>
        </is>
      </c>
      <c r="V747" s="12" t="inlineStr">
        <is>
          <t>Fire start date (DEC report)</t>
        </is>
      </c>
    </row>
    <row r="748">
      <c r="A748" s="12" t="n">
        <v>910</v>
      </c>
      <c r="B748" s="12" t="inlineStr">
        <is>
          <t>2013-04-28</t>
        </is>
      </c>
      <c r="C748" s="12" t="inlineStr">
        <is>
          <t>2013-04-28</t>
        </is>
      </c>
      <c r="D748" s="12">
        <f>VALUE(LEFT(B748,4))</f>
        <v/>
      </c>
      <c r="E748" s="12">
        <f>INT((D748-1)/100)+1</f>
        <v/>
      </c>
      <c r="F748" s="12" t="inlineStr">
        <is>
          <t>Wildfire</t>
        </is>
      </c>
      <c r="G748" s="12" t="inlineStr">
        <is>
          <t>Ryan Grove Fire — wildfire, 6.5 acres, Highland (Sullivan Co.)</t>
        </is>
      </c>
      <c r="H748" s="12" t="inlineStr">
        <is>
          <t>Highland, Sullivan County; Private Property</t>
        </is>
      </c>
      <c r="I748" s="12" t="inlineStr">
        <is>
          <t>6.5 acres; cause Power line; fuel 9 - Timber - Medium Hardwood Litter</t>
        </is>
      </c>
      <c r="J748" s="12" t="inlineStr">
        <is>
          <t>41.53300, -74.90500</t>
        </is>
      </c>
      <c r="K748" s="12" t="inlineStr">
        <is>
          <t>No losses reported</t>
        </is>
      </c>
      <c r="L748" s="12" t="inlineStr">
        <is>
          <t>NYSDEC Forest Ranger Wildland Fire Reporting Database (Beginning 2008), data.ny.gov export 2026-09-28</t>
        </is>
      </c>
      <c r="M748" s="12" t="inlineStr">
        <is>
          <t>https://data.ny.gov/</t>
        </is>
      </c>
      <c r="N748" s="12" t="inlineStr">
        <is>
          <t>A</t>
        </is>
      </c>
      <c r="O748" s="12" t="inlineStr">
        <is>
          <t>Y</t>
        </is>
      </c>
      <c r="P748" s="12" t="inlineStr">
        <is>
          <t>2026-09-28 (v970, atlas session): bulk ingest per Laurie; fire number NYS-2013-0043; matching 🔥 pin on Natural History.</t>
        </is>
      </c>
      <c r="Q748" s="12" t="inlineStr">
        <is>
          <t>2013-04-28</t>
        </is>
      </c>
      <c r="R748" s="12">
        <f>VALUE(LEFT(Q748,4))</f>
        <v/>
      </c>
      <c r="S748" s="12">
        <f>VALUE(MID(Q748,6,2))</f>
        <v/>
      </c>
      <c r="T748" s="12">
        <f>VALUE(RIGHT(Q748,2))</f>
        <v/>
      </c>
      <c r="U748" s="12" t="inlineStr">
        <is>
          <t>day</t>
        </is>
      </c>
      <c r="V748" s="12" t="inlineStr">
        <is>
          <t>Fire start date (DEC report)</t>
        </is>
      </c>
    </row>
    <row r="749">
      <c r="A749" s="12" t="n">
        <v>911</v>
      </c>
      <c r="B749" s="12" t="inlineStr">
        <is>
          <t>2009-11-11</t>
        </is>
      </c>
      <c r="C749" s="12" t="inlineStr">
        <is>
          <t>2009-11-12</t>
        </is>
      </c>
      <c r="D749" s="12">
        <f>VALUE(LEFT(B749,4))</f>
        <v/>
      </c>
      <c r="E749" s="12">
        <f>INT((D749-1)/100)+1</f>
        <v/>
      </c>
      <c r="F749" s="12" t="inlineStr">
        <is>
          <t>Wildfire</t>
        </is>
      </c>
      <c r="G749" s="12" t="inlineStr">
        <is>
          <t>Wesy Hurley Fire — wildfire, 3.8 acres, Hurley (Ulster Co.)</t>
        </is>
      </c>
      <c r="H749" s="12" t="inlineStr">
        <is>
          <t>Hurley, Ulster County; Private Property</t>
        </is>
      </c>
      <c r="I749" s="12" t="inlineStr">
        <is>
          <t>3.8 acres; cause Incendiary; fuel 9 - Timber - Medium Hardwood Litter</t>
        </is>
      </c>
      <c r="J749" s="12" t="inlineStr">
        <is>
          <t>42.00900, -74.12537</t>
        </is>
      </c>
      <c r="K749" s="12" t="inlineStr">
        <is>
          <t>No losses reported</t>
        </is>
      </c>
      <c r="L749" s="12" t="inlineStr">
        <is>
          <t>NYSDEC Forest Ranger Wildland Fire Reporting Database (Beginning 2008), data.ny.gov export 2026-09-28</t>
        </is>
      </c>
      <c r="M749" s="12" t="inlineStr">
        <is>
          <t>https://data.ny.gov/</t>
        </is>
      </c>
      <c r="N749" s="12" t="inlineStr">
        <is>
          <t>A</t>
        </is>
      </c>
      <c r="O749" s="12" t="inlineStr">
        <is>
          <t>Y</t>
        </is>
      </c>
      <c r="P749" s="12" t="inlineStr">
        <is>
          <t>2026-09-28 (v970, atlas session): bulk ingest per Laurie; fire number NYS-2009-0165; matching 🔥 pin on Natural History.</t>
        </is>
      </c>
      <c r="Q749" s="12" t="inlineStr">
        <is>
          <t>2009-11-11</t>
        </is>
      </c>
      <c r="R749" s="12">
        <f>VALUE(LEFT(Q749,4))</f>
        <v/>
      </c>
      <c r="S749" s="12">
        <f>VALUE(MID(Q749,6,2))</f>
        <v/>
      </c>
      <c r="T749" s="12">
        <f>VALUE(RIGHT(Q749,2))</f>
        <v/>
      </c>
      <c r="U749" s="12" t="inlineStr">
        <is>
          <t>day</t>
        </is>
      </c>
      <c r="V749" s="12" t="inlineStr">
        <is>
          <t>Fire start date (DEC report)</t>
        </is>
      </c>
    </row>
    <row r="750">
      <c r="A750" s="12" t="n">
        <v>912</v>
      </c>
      <c r="B750" s="12" t="inlineStr">
        <is>
          <t>2022-11-10</t>
        </is>
      </c>
      <c r="C750" s="12" t="inlineStr">
        <is>
          <t>2022-11-12</t>
        </is>
      </c>
      <c r="D750" s="12">
        <f>VALUE(LEFT(B750,4))</f>
        <v/>
      </c>
      <c r="E750" s="12">
        <f>INT((D750-1)/100)+1</f>
        <v/>
      </c>
      <c r="F750" s="12" t="inlineStr">
        <is>
          <t>Wildfire</t>
        </is>
      </c>
      <c r="G750" s="12" t="inlineStr">
        <is>
          <t>Acra Fire — wildfire, 12 acres, Cairo (Greene Co.)</t>
        </is>
      </c>
      <c r="H750" s="12" t="inlineStr">
        <is>
          <t>Cairo, Greene County; Private Property</t>
        </is>
      </c>
      <c r="I750" s="12" t="inlineStr">
        <is>
          <t>12 acres; cause Miscellaneous; fuel 8 - Timber - Light Hardwood Litter</t>
        </is>
      </c>
      <c r="J750" s="12" t="inlineStr">
        <is>
          <t>42.32178, -74.05796</t>
        </is>
      </c>
      <c r="K750" s="12" t="inlineStr">
        <is>
          <t>No losses reported</t>
        </is>
      </c>
      <c r="L750" s="12" t="inlineStr">
        <is>
          <t>NYSDEC Forest Ranger Wildland Fire Reporting Database (Beginning 2008), data.ny.gov export 2026-09-28</t>
        </is>
      </c>
      <c r="M750" s="12" t="inlineStr">
        <is>
          <t>https://data.ny.gov/</t>
        </is>
      </c>
      <c r="N750" s="12" t="inlineStr">
        <is>
          <t>A</t>
        </is>
      </c>
      <c r="O750" s="12" t="inlineStr">
        <is>
          <t>Y</t>
        </is>
      </c>
      <c r="P750" s="12" t="inlineStr">
        <is>
          <t>2026-09-28 (v970, atlas session): bulk ingest per Laurie; fire number NYS-2022-0213; matching 🔥 pin on Natural History.</t>
        </is>
      </c>
      <c r="Q750" s="12" t="inlineStr">
        <is>
          <t>2022-11-10</t>
        </is>
      </c>
      <c r="R750" s="12">
        <f>VALUE(LEFT(Q750,4))</f>
        <v/>
      </c>
      <c r="S750" s="12">
        <f>VALUE(MID(Q750,6,2))</f>
        <v/>
      </c>
      <c r="T750" s="12">
        <f>VALUE(RIGHT(Q750,2))</f>
        <v/>
      </c>
      <c r="U750" s="12" t="inlineStr">
        <is>
          <t>day</t>
        </is>
      </c>
      <c r="V750" s="12" t="inlineStr">
        <is>
          <t>Fire start date (DEC report)</t>
        </is>
      </c>
    </row>
    <row r="751">
      <c r="A751" s="12" t="n">
        <v>913</v>
      </c>
      <c r="B751" s="12" t="inlineStr">
        <is>
          <t>2009-03-24</t>
        </is>
      </c>
      <c r="C751" s="12" t="inlineStr">
        <is>
          <t>2009-03-24</t>
        </is>
      </c>
      <c r="D751" s="12">
        <f>VALUE(LEFT(B751,4))</f>
        <v/>
      </c>
      <c r="E751" s="12">
        <f>INT((D751-1)/100)+1</f>
        <v/>
      </c>
      <c r="F751" s="12" t="inlineStr">
        <is>
          <t>Wildfire</t>
        </is>
      </c>
      <c r="G751" s="12" t="inlineStr">
        <is>
          <t>Ranch Hill Fire — wildfire, 1 acres, Fallsburgh (Sullivan Co.)</t>
        </is>
      </c>
      <c r="H751" s="12" t="inlineStr">
        <is>
          <t>Fallsburgh, Sullivan County; Private Property</t>
        </is>
      </c>
      <c r="I751" s="12" t="inlineStr">
        <is>
          <t>1 acres; cause Debris Burning; fuel 7 - Brush - Understory</t>
        </is>
      </c>
      <c r="J751" s="12" t="inlineStr">
        <is>
          <t>41.67752, -74.60662</t>
        </is>
      </c>
      <c r="K751" s="12" t="inlineStr">
        <is>
          <t>No losses reported</t>
        </is>
      </c>
      <c r="L751" s="12" t="inlineStr">
        <is>
          <t>NYSDEC Forest Ranger Wildland Fire Reporting Database (Beginning 2008), data.ny.gov export 2026-09-28</t>
        </is>
      </c>
      <c r="M751" s="12" t="inlineStr">
        <is>
          <t>https://data.ny.gov/</t>
        </is>
      </c>
      <c r="N751" s="12" t="inlineStr">
        <is>
          <t>A</t>
        </is>
      </c>
      <c r="O751" s="12" t="inlineStr">
        <is>
          <t>Y</t>
        </is>
      </c>
      <c r="P751" s="12" t="inlineStr">
        <is>
          <t>2026-09-28 (v970, atlas session): bulk ingest per Laurie; fire number NYS-2009-0018; matching 🔥 pin on Natural History.</t>
        </is>
      </c>
      <c r="Q751" s="12" t="inlineStr">
        <is>
          <t>2009-03-24</t>
        </is>
      </c>
      <c r="R751" s="12">
        <f>VALUE(LEFT(Q751,4))</f>
        <v/>
      </c>
      <c r="S751" s="12">
        <f>VALUE(MID(Q751,6,2))</f>
        <v/>
      </c>
      <c r="T751" s="12">
        <f>VALUE(RIGHT(Q751,2))</f>
        <v/>
      </c>
      <c r="U751" s="12" t="inlineStr">
        <is>
          <t>day</t>
        </is>
      </c>
      <c r="V751" s="12" t="inlineStr">
        <is>
          <t>Fire start date (DEC report)</t>
        </is>
      </c>
    </row>
    <row r="752">
      <c r="A752" s="12" t="n">
        <v>915</v>
      </c>
      <c r="B752" s="12" t="inlineStr">
        <is>
          <t>2023-04-10</t>
        </is>
      </c>
      <c r="C752" s="12" t="inlineStr">
        <is>
          <t>2023-04-10</t>
        </is>
      </c>
      <c r="D752" s="12">
        <f>VALUE(LEFT(B752,4))</f>
        <v/>
      </c>
      <c r="E752" s="12">
        <f>INT((D752-1)/100)+1</f>
        <v/>
      </c>
      <c r="F752" s="12" t="inlineStr">
        <is>
          <t>Wildfire</t>
        </is>
      </c>
      <c r="G752" s="12" t="inlineStr">
        <is>
          <t>Shad Island Fire — wildfire, 2.4 acres, Coeymans (Albany Co.)</t>
        </is>
      </c>
      <c r="H752" s="12" t="inlineStr">
        <is>
          <t>Coeymans, Albany County; Other Not Classified — Shad Island</t>
        </is>
      </c>
      <c r="I752" s="12" t="inlineStr">
        <is>
          <t>2.4 acres; cause Equipment; fuel 4 - Brush - Heavy/Volatile</t>
        </is>
      </c>
      <c r="J752" s="12" t="inlineStr">
        <is>
          <t>42.51013, -73.77661</t>
        </is>
      </c>
      <c r="K752" s="12" t="inlineStr">
        <is>
          <t>No losses reported</t>
        </is>
      </c>
      <c r="L752" s="12" t="inlineStr">
        <is>
          <t>NYSDEC Forest Ranger Wildland Fire Reporting Database (Beginning 2008), data.ny.gov export 2026-09-28</t>
        </is>
      </c>
      <c r="M752" s="12" t="inlineStr">
        <is>
          <t>https://data.ny.gov/</t>
        </is>
      </c>
      <c r="N752" s="12" t="inlineStr">
        <is>
          <t>A</t>
        </is>
      </c>
      <c r="O752" s="12" t="inlineStr">
        <is>
          <t>Y</t>
        </is>
      </c>
      <c r="P752" s="12" t="inlineStr">
        <is>
          <t>2026-09-28 (v970, atlas session): bulk ingest per Laurie; fire number NYS-2023-0083; matching 🔥 pin on Natural History.</t>
        </is>
      </c>
      <c r="Q752" s="12" t="inlineStr">
        <is>
          <t>2023-04-10</t>
        </is>
      </c>
      <c r="R752" s="12">
        <f>VALUE(LEFT(Q752,4))</f>
        <v/>
      </c>
      <c r="S752" s="12">
        <f>VALUE(MID(Q752,6,2))</f>
        <v/>
      </c>
      <c r="T752" s="12">
        <f>VALUE(RIGHT(Q752,2))</f>
        <v/>
      </c>
      <c r="U752" s="12" t="inlineStr">
        <is>
          <t>day</t>
        </is>
      </c>
      <c r="V752" s="12" t="inlineStr">
        <is>
          <t>Fire start date (DEC report)</t>
        </is>
      </c>
    </row>
    <row r="753">
      <c r="A753" s="12" t="n">
        <v>916</v>
      </c>
      <c r="B753" s="12" t="inlineStr">
        <is>
          <t>2012-04-17</t>
        </is>
      </c>
      <c r="C753" s="12" t="inlineStr">
        <is>
          <t>2012-04-23</t>
        </is>
      </c>
      <c r="D753" s="12">
        <f>VALUE(LEFT(B753,4))</f>
        <v/>
      </c>
      <c r="E753" s="12">
        <f>INT((D753-1)/100)+1</f>
        <v/>
      </c>
      <c r="F753" s="12" t="inlineStr">
        <is>
          <t>Wildfire</t>
        </is>
      </c>
      <c r="G753" s="12" t="inlineStr">
        <is>
          <t>Hartwood Fire — wildfire, 0.2 acres, Forestburgh (Sullivan Co.)</t>
        </is>
      </c>
      <c r="H753" s="12" t="inlineStr">
        <is>
          <t>Forestburgh, Sullivan County; Private Property</t>
        </is>
      </c>
      <c r="I753" s="12" t="inlineStr">
        <is>
          <t>0.2 acres; cause Equipment; fuel 12 - Slash - Medium</t>
        </is>
      </c>
      <c r="J753" s="12" t="inlineStr">
        <is>
          <t>41.52444, -74.69412</t>
        </is>
      </c>
      <c r="K753" s="12" t="inlineStr">
        <is>
          <t>No losses reported</t>
        </is>
      </c>
      <c r="L753" s="12" t="inlineStr">
        <is>
          <t>NYSDEC Forest Ranger Wildland Fire Reporting Database (Beginning 2008), data.ny.gov export 2026-09-28</t>
        </is>
      </c>
      <c r="M753" s="12" t="inlineStr">
        <is>
          <t>https://data.ny.gov/</t>
        </is>
      </c>
      <c r="N753" s="12" t="inlineStr">
        <is>
          <t>A</t>
        </is>
      </c>
      <c r="O753" s="12" t="inlineStr">
        <is>
          <t>Y</t>
        </is>
      </c>
      <c r="P753" s="12" t="inlineStr">
        <is>
          <t>2026-09-28 (v970, atlas session): bulk ingest per Laurie; fire number NYS-2012-0100; matching 🔥 pin on Natural History.</t>
        </is>
      </c>
      <c r="Q753" s="12" t="inlineStr">
        <is>
          <t>2012-04-17</t>
        </is>
      </c>
      <c r="R753" s="12">
        <f>VALUE(LEFT(Q753,4))</f>
        <v/>
      </c>
      <c r="S753" s="12">
        <f>VALUE(MID(Q753,6,2))</f>
        <v/>
      </c>
      <c r="T753" s="12">
        <f>VALUE(RIGHT(Q753,2))</f>
        <v/>
      </c>
      <c r="U753" s="12" t="inlineStr">
        <is>
          <t>day</t>
        </is>
      </c>
      <c r="V753" s="12" t="inlineStr">
        <is>
          <t>Fire start date (DEC report)</t>
        </is>
      </c>
    </row>
    <row r="754">
      <c r="A754" s="12" t="n">
        <v>917</v>
      </c>
      <c r="B754" s="12" t="inlineStr">
        <is>
          <t>2016-04-18</t>
        </is>
      </c>
      <c r="C754" s="12" t="inlineStr">
        <is>
          <t>2016-04-18</t>
        </is>
      </c>
      <c r="D754" s="12">
        <f>VALUE(LEFT(B754,4))</f>
        <v/>
      </c>
      <c r="E754" s="12">
        <f>INT((D754-1)/100)+1</f>
        <v/>
      </c>
      <c r="F754" s="12" t="inlineStr">
        <is>
          <t>Wildfire</t>
        </is>
      </c>
      <c r="G754" s="12" t="inlineStr">
        <is>
          <t>Pearsten Fire — wildfire, 1 acres, Delaware (Sullivan Co.)</t>
        </is>
      </c>
      <c r="H754" s="12" t="inlineStr">
        <is>
          <t>Delaware, Sullivan County; Private Property</t>
        </is>
      </c>
      <c r="I754" s="12" t="inlineStr">
        <is>
          <t>1 acres; cause Debris Burning; fuel 7 - Brush - Understory</t>
        </is>
      </c>
      <c r="J754" s="12" t="inlineStr">
        <is>
          <t>41.76168, -75.04350</t>
        </is>
      </c>
      <c r="K754" s="12" t="inlineStr">
        <is>
          <t>No losses reported</t>
        </is>
      </c>
      <c r="L754" s="12" t="inlineStr">
        <is>
          <t>NYSDEC Forest Ranger Wildland Fire Reporting Database (Beginning 2008), data.ny.gov export 2026-09-28</t>
        </is>
      </c>
      <c r="M754" s="12" t="inlineStr">
        <is>
          <t>https://data.ny.gov/</t>
        </is>
      </c>
      <c r="N754" s="12" t="inlineStr">
        <is>
          <t>A</t>
        </is>
      </c>
      <c r="O754" s="12" t="inlineStr">
        <is>
          <t>Y</t>
        </is>
      </c>
      <c r="P754" s="12" t="inlineStr">
        <is>
          <t>2026-09-28 (v970, atlas session): bulk ingest per Laurie; fire number NYS-2016-0055; matching 🔥 pin on Natural History.</t>
        </is>
      </c>
      <c r="Q754" s="12" t="inlineStr">
        <is>
          <t>2016-04-18</t>
        </is>
      </c>
      <c r="R754" s="12">
        <f>VALUE(LEFT(Q754,4))</f>
        <v/>
      </c>
      <c r="S754" s="12">
        <f>VALUE(MID(Q754,6,2))</f>
        <v/>
      </c>
      <c r="T754" s="12">
        <f>VALUE(RIGHT(Q754,2))</f>
        <v/>
      </c>
      <c r="U754" s="12" t="inlineStr">
        <is>
          <t>day</t>
        </is>
      </c>
      <c r="V754" s="12" t="inlineStr">
        <is>
          <t>Fire start date (DEC report)</t>
        </is>
      </c>
    </row>
    <row r="755">
      <c r="A755" s="12" t="n">
        <v>918</v>
      </c>
      <c r="B755" s="12" t="inlineStr">
        <is>
          <t>2024-11-13</t>
        </is>
      </c>
      <c r="C755" s="12" t="inlineStr">
        <is>
          <t>2024-11-13</t>
        </is>
      </c>
      <c r="D755" s="12">
        <f>VALUE(LEFT(B755,4))</f>
        <v/>
      </c>
      <c r="E755" s="12">
        <f>INT((D755-1)/100)+1</f>
        <v/>
      </c>
      <c r="F755" s="12" t="inlineStr">
        <is>
          <t>Wildfire</t>
        </is>
      </c>
      <c r="G755" s="12" t="inlineStr">
        <is>
          <t>North Road Power Line Fire — wildfire, 0.1 acres, Blenheim (Schoharie Co.)</t>
        </is>
      </c>
      <c r="H755" s="12" t="inlineStr">
        <is>
          <t>Blenheim, Schoharie County; Private Property</t>
        </is>
      </c>
      <c r="I755" s="12" t="inlineStr">
        <is>
          <t>0.1 acres; cause Power line; fuel 9 - Timber - Medium Hardwood Litter</t>
        </is>
      </c>
      <c r="J755" s="12" t="inlineStr">
        <is>
          <t>42.48096, -74.52526</t>
        </is>
      </c>
      <c r="K755" s="12" t="inlineStr">
        <is>
          <t>No losses reported</t>
        </is>
      </c>
      <c r="L755" s="12" t="inlineStr">
        <is>
          <t>NYSDEC Forest Ranger Wildland Fire Reporting Database (Beginning 2008), data.ny.gov export 2026-09-28</t>
        </is>
      </c>
      <c r="M755" s="12" t="inlineStr">
        <is>
          <t>https://data.ny.gov/</t>
        </is>
      </c>
      <c r="N755" s="12" t="inlineStr">
        <is>
          <t>A</t>
        </is>
      </c>
      <c r="O755" s="12" t="inlineStr">
        <is>
          <t>Y</t>
        </is>
      </c>
      <c r="P755" s="12" t="inlineStr">
        <is>
          <t>2026-09-28 (v970, atlas session): bulk ingest per Laurie; fire number NYS-2024-0183; matching 🔥 pin on Natural History.</t>
        </is>
      </c>
      <c r="Q755" s="12" t="inlineStr">
        <is>
          <t>2024-11-13</t>
        </is>
      </c>
      <c r="R755" s="12">
        <f>VALUE(LEFT(Q755,4))</f>
        <v/>
      </c>
      <c r="S755" s="12">
        <f>VALUE(MID(Q755,6,2))</f>
        <v/>
      </c>
      <c r="T755" s="12">
        <f>VALUE(RIGHT(Q755,2))</f>
        <v/>
      </c>
      <c r="U755" s="12" t="inlineStr">
        <is>
          <t>day</t>
        </is>
      </c>
      <c r="V755" s="12" t="inlineStr">
        <is>
          <t>Fire start date (DEC report)</t>
        </is>
      </c>
    </row>
    <row r="756">
      <c r="A756" s="12" t="n">
        <v>919</v>
      </c>
      <c r="B756" s="12" t="inlineStr">
        <is>
          <t>2023-02-03</t>
        </is>
      </c>
      <c r="C756" s="12" t="inlineStr">
        <is>
          <t>2023-02-03</t>
        </is>
      </c>
      <c r="D756" s="12">
        <f>VALUE(LEFT(B756,4))</f>
        <v/>
      </c>
      <c r="E756" s="12">
        <f>INT((D756-1)/100)+1</f>
        <v/>
      </c>
      <c r="F756" s="12" t="inlineStr">
        <is>
          <t>Wildfire</t>
        </is>
      </c>
      <c r="G756" s="12" t="inlineStr">
        <is>
          <t>213 Fire — wildfire, 0.1 acres, Rosendale (Ulster Co.)</t>
        </is>
      </c>
      <c r="H756" s="12" t="inlineStr">
        <is>
          <t>Rosendale, Ulster County; Other Government</t>
        </is>
      </c>
      <c r="I756" s="12" t="inlineStr">
        <is>
          <t>0.1 acres; cause Power line; fuel 6 - Brush - Mixed/Regeneration</t>
        </is>
      </c>
      <c r="J756" s="12" t="inlineStr">
        <is>
          <t>41.82121, -74.04648</t>
        </is>
      </c>
      <c r="K756" s="12" t="inlineStr">
        <is>
          <t>No losses reported</t>
        </is>
      </c>
      <c r="L756" s="12" t="inlineStr">
        <is>
          <t>NYSDEC Forest Ranger Wildland Fire Reporting Database (Beginning 2008), data.ny.gov export 2026-09-28</t>
        </is>
      </c>
      <c r="M756" s="12" t="inlineStr">
        <is>
          <t>https://data.ny.gov/</t>
        </is>
      </c>
      <c r="N756" s="12" t="inlineStr">
        <is>
          <t>A</t>
        </is>
      </c>
      <c r="O756" s="12" t="inlineStr">
        <is>
          <t>Y</t>
        </is>
      </c>
      <c r="P756" s="12" t="inlineStr">
        <is>
          <t>2026-09-28 (v970, atlas session): bulk ingest per Laurie; fire number NYS-2023-0001; matching 🔥 pin on Natural History.</t>
        </is>
      </c>
      <c r="Q756" s="12" t="inlineStr">
        <is>
          <t>2023-02-03</t>
        </is>
      </c>
      <c r="R756" s="12">
        <f>VALUE(LEFT(Q756,4))</f>
        <v/>
      </c>
      <c r="S756" s="12">
        <f>VALUE(MID(Q756,6,2))</f>
        <v/>
      </c>
      <c r="T756" s="12">
        <f>VALUE(RIGHT(Q756,2))</f>
        <v/>
      </c>
      <c r="U756" s="12" t="inlineStr">
        <is>
          <t>day</t>
        </is>
      </c>
      <c r="V756" s="12" t="inlineStr">
        <is>
          <t>Fire start date (DEC report)</t>
        </is>
      </c>
    </row>
    <row r="757">
      <c r="A757" s="12" t="n">
        <v>920</v>
      </c>
      <c r="B757" s="12" t="inlineStr">
        <is>
          <t>2015-05-14</t>
        </is>
      </c>
      <c r="C757" s="12" t="inlineStr">
        <is>
          <t>2015-05-14</t>
        </is>
      </c>
      <c r="D757" s="12">
        <f>VALUE(LEFT(B757,4))</f>
        <v/>
      </c>
      <c r="E757" s="12">
        <f>INT((D757-1)/100)+1</f>
        <v/>
      </c>
      <c r="F757" s="12" t="inlineStr">
        <is>
          <t>Wildfire</t>
        </is>
      </c>
      <c r="G757" s="12" t="inlineStr">
        <is>
          <t>Stone Wall Fire — wildfire, 0.3 acres, Lumberland (Sullivan Co.)</t>
        </is>
      </c>
      <c r="H757" s="12" t="inlineStr">
        <is>
          <t>Lumberland, Sullivan County; Private Property</t>
        </is>
      </c>
      <c r="I757" s="12" t="inlineStr">
        <is>
          <t>0.3 acres; cause Debris Burning; fuel 1 - Grass - Light</t>
        </is>
      </c>
      <c r="J757" s="12" t="inlineStr">
        <is>
          <t>41.45143, -74.87193</t>
        </is>
      </c>
      <c r="K757" s="12" t="inlineStr">
        <is>
          <t>No losses reported</t>
        </is>
      </c>
      <c r="L757" s="12" t="inlineStr">
        <is>
          <t>NYSDEC Forest Ranger Wildland Fire Reporting Database (Beginning 2008), data.ny.gov export 2026-09-28</t>
        </is>
      </c>
      <c r="M757" s="12" t="inlineStr">
        <is>
          <t>https://data.ny.gov/</t>
        </is>
      </c>
      <c r="N757" s="12" t="inlineStr">
        <is>
          <t>A</t>
        </is>
      </c>
      <c r="O757" s="12" t="inlineStr">
        <is>
          <t>Y</t>
        </is>
      </c>
      <c r="P757" s="12" t="inlineStr">
        <is>
          <t>2026-09-28 (v970, atlas session): bulk ingest per Laurie; fire number NYS-2015-0119; matching 🔥 pin on Natural History.</t>
        </is>
      </c>
      <c r="Q757" s="12" t="inlineStr">
        <is>
          <t>2015-05-14</t>
        </is>
      </c>
      <c r="R757" s="12">
        <f>VALUE(LEFT(Q757,4))</f>
        <v/>
      </c>
      <c r="S757" s="12">
        <f>VALUE(MID(Q757,6,2))</f>
        <v/>
      </c>
      <c r="T757" s="12">
        <f>VALUE(RIGHT(Q757,2))</f>
        <v/>
      </c>
      <c r="U757" s="12" t="inlineStr">
        <is>
          <t>day</t>
        </is>
      </c>
      <c r="V757" s="12" t="inlineStr">
        <is>
          <t>Fire start date (DEC report)</t>
        </is>
      </c>
    </row>
    <row r="758">
      <c r="A758" s="12" t="n">
        <v>922</v>
      </c>
      <c r="B758" s="12" t="inlineStr">
        <is>
          <t>2015-04-27</t>
        </is>
      </c>
      <c r="C758" s="12" t="inlineStr">
        <is>
          <t>2015-04-27</t>
        </is>
      </c>
      <c r="D758" s="12">
        <f>VALUE(LEFT(B758,4))</f>
        <v/>
      </c>
      <c r="E758" s="12">
        <f>INT((D758-1)/100)+1</f>
        <v/>
      </c>
      <c r="F758" s="12" t="inlineStr">
        <is>
          <t>Wildfire</t>
        </is>
      </c>
      <c r="G758" s="12" t="inlineStr">
        <is>
          <t>Oak Trail Fire — wildfire, 0.1 acres, Mamakating (Sullivan Co.)</t>
        </is>
      </c>
      <c r="H758" s="12" t="inlineStr">
        <is>
          <t>Mamakating, Sullivan County; Private Property</t>
        </is>
      </c>
      <c r="I758" s="12" t="inlineStr">
        <is>
          <t>0.1 acres; cause Debris Burning; fuel 2 - Grass - Understory</t>
        </is>
      </c>
      <c r="J758" s="12" t="inlineStr">
        <is>
          <t>41.59671, -74.49756</t>
        </is>
      </c>
      <c r="K758" s="12" t="inlineStr">
        <is>
          <t>No losses reported</t>
        </is>
      </c>
      <c r="L758" s="12" t="inlineStr">
        <is>
          <t>NYSDEC Forest Ranger Wildland Fire Reporting Database (Beginning 2008), data.ny.gov export 2026-09-28</t>
        </is>
      </c>
      <c r="M758" s="12" t="inlineStr">
        <is>
          <t>https://data.ny.gov/</t>
        </is>
      </c>
      <c r="N758" s="12" t="inlineStr">
        <is>
          <t>A</t>
        </is>
      </c>
      <c r="O758" s="12" t="inlineStr">
        <is>
          <t>Y</t>
        </is>
      </c>
      <c r="P758" s="12" t="inlineStr">
        <is>
          <t>2026-09-28 (v970, atlas session): bulk ingest per Laurie; fire number NYS-2015-0047; matching 🔥 pin on Natural History.</t>
        </is>
      </c>
      <c r="Q758" s="12" t="inlineStr">
        <is>
          <t>2015-04-27</t>
        </is>
      </c>
      <c r="R758" s="12">
        <f>VALUE(LEFT(Q758,4))</f>
        <v/>
      </c>
      <c r="S758" s="12">
        <f>VALUE(MID(Q758,6,2))</f>
        <v/>
      </c>
      <c r="T758" s="12">
        <f>VALUE(RIGHT(Q758,2))</f>
        <v/>
      </c>
      <c r="U758" s="12" t="inlineStr">
        <is>
          <t>day</t>
        </is>
      </c>
      <c r="V758" s="12" t="inlineStr">
        <is>
          <t>Fire start date (DEC report)</t>
        </is>
      </c>
    </row>
    <row r="759">
      <c r="A759" s="12" t="n">
        <v>923</v>
      </c>
      <c r="B759" s="12" t="inlineStr">
        <is>
          <t>2014-04-13</t>
        </is>
      </c>
      <c r="C759" s="12" t="inlineStr">
        <is>
          <t>2014-04-13</t>
        </is>
      </c>
      <c r="D759" s="12">
        <f>VALUE(LEFT(B759,4))</f>
        <v/>
      </c>
      <c r="E759" s="12">
        <f>INT((D759-1)/100)+1</f>
        <v/>
      </c>
      <c r="F759" s="12" t="inlineStr">
        <is>
          <t>Wildfire</t>
        </is>
      </c>
      <c r="G759" s="12" t="inlineStr">
        <is>
          <t>Madison Ext Yellow Trail — wildfire, 0.1 acres, Albany (Albany Co.)</t>
        </is>
      </c>
      <c r="H759" s="12" t="inlineStr">
        <is>
          <t>Albany, Albany County; Forest Preserve</t>
        </is>
      </c>
      <c r="I759" s="12" t="inlineStr">
        <is>
          <t>0.1 acres; cause Incendiary; fuel 2 - Grass - Understory</t>
        </is>
      </c>
      <c r="J759" s="12" t="inlineStr">
        <is>
          <t>42.71895, -73.88256</t>
        </is>
      </c>
      <c r="K759" s="12" t="inlineStr">
        <is>
          <t>No losses reported</t>
        </is>
      </c>
      <c r="L759" s="12" t="inlineStr">
        <is>
          <t>NYSDEC Forest Ranger Wildland Fire Reporting Database (Beginning 2008), data.ny.gov export 2026-09-28</t>
        </is>
      </c>
      <c r="M759" s="12" t="inlineStr">
        <is>
          <t>https://data.ny.gov/</t>
        </is>
      </c>
      <c r="N759" s="12" t="inlineStr">
        <is>
          <t>A</t>
        </is>
      </c>
      <c r="O759" s="12" t="inlineStr">
        <is>
          <t>Y</t>
        </is>
      </c>
      <c r="P759" s="12" t="inlineStr">
        <is>
          <t>2026-09-28 (v970, atlas session): bulk ingest per Laurie; fire number NYS-2014-0084; matching 🔥 pin on Natural History.</t>
        </is>
      </c>
      <c r="Q759" s="12" t="inlineStr">
        <is>
          <t>2014-04-13</t>
        </is>
      </c>
      <c r="R759" s="12">
        <f>VALUE(LEFT(Q759,4))</f>
        <v/>
      </c>
      <c r="S759" s="12">
        <f>VALUE(MID(Q759,6,2))</f>
        <v/>
      </c>
      <c r="T759" s="12">
        <f>VALUE(RIGHT(Q759,2))</f>
        <v/>
      </c>
      <c r="U759" s="12" t="inlineStr">
        <is>
          <t>day</t>
        </is>
      </c>
      <c r="V759" s="12" t="inlineStr">
        <is>
          <t>Fire start date (DEC report)</t>
        </is>
      </c>
    </row>
    <row r="760">
      <c r="A760" s="12" t="n">
        <v>925</v>
      </c>
      <c r="B760" s="12" t="inlineStr">
        <is>
          <t>2016-06-26</t>
        </is>
      </c>
      <c r="C760" s="12" t="inlineStr">
        <is>
          <t>2016-06-26</t>
        </is>
      </c>
      <c r="D760" s="12">
        <f>VALUE(LEFT(B760,4))</f>
        <v/>
      </c>
      <c r="E760" s="12">
        <f>INT((D760-1)/100)+1</f>
        <v/>
      </c>
      <c r="F760" s="12" t="inlineStr">
        <is>
          <t>Wildfire</t>
        </is>
      </c>
      <c r="G760" s="12" t="inlineStr">
        <is>
          <t>Stevers Hill Fire — wildfire, 8.2 acres, Claverack (Columbia Co.)</t>
        </is>
      </c>
      <c r="H760" s="12" t="inlineStr">
        <is>
          <t>Claverack, Columbia County; Private Property</t>
        </is>
      </c>
      <c r="I760" s="12" t="inlineStr">
        <is>
          <t>8.2 acres; cause Equipment; fuel 1 - Grass - Light</t>
        </is>
      </c>
      <c r="J760" s="12" t="inlineStr">
        <is>
          <t>42.24014, -73.63548</t>
        </is>
      </c>
      <c r="K760" s="12" t="inlineStr">
        <is>
          <t>No losses reported</t>
        </is>
      </c>
      <c r="L760" s="12" t="inlineStr">
        <is>
          <t>NYSDEC Forest Ranger Wildland Fire Reporting Database (Beginning 2008), data.ny.gov export 2026-09-28</t>
        </is>
      </c>
      <c r="M760" s="12" t="inlineStr">
        <is>
          <t>https://data.ny.gov/</t>
        </is>
      </c>
      <c r="N760" s="12" t="inlineStr">
        <is>
          <t>A</t>
        </is>
      </c>
      <c r="O760" s="12" t="inlineStr">
        <is>
          <t>Y</t>
        </is>
      </c>
      <c r="P760" s="12" t="inlineStr">
        <is>
          <t>2026-09-28 (v970, atlas session): bulk ingest per Laurie; fire number NYS-2016-0120; matching 🔥 pin on Natural History.</t>
        </is>
      </c>
      <c r="Q760" s="12" t="inlineStr">
        <is>
          <t>2016-06-26</t>
        </is>
      </c>
      <c r="R760" s="12">
        <f>VALUE(LEFT(Q760,4))</f>
        <v/>
      </c>
      <c r="S760" s="12">
        <f>VALUE(MID(Q760,6,2))</f>
        <v/>
      </c>
      <c r="T760" s="12">
        <f>VALUE(RIGHT(Q760,2))</f>
        <v/>
      </c>
      <c r="U760" s="12" t="inlineStr">
        <is>
          <t>day</t>
        </is>
      </c>
      <c r="V760" s="12" t="inlineStr">
        <is>
          <t>Fire start date (DEC report)</t>
        </is>
      </c>
    </row>
    <row r="761">
      <c r="A761" s="12" t="n">
        <v>926</v>
      </c>
      <c r="B761" s="12" t="inlineStr">
        <is>
          <t>2009-04-17</t>
        </is>
      </c>
      <c r="C761" s="12" t="inlineStr">
        <is>
          <t>2009-04-17</t>
        </is>
      </c>
      <c r="D761" s="12">
        <f>VALUE(LEFT(B761,4))</f>
        <v/>
      </c>
      <c r="E761" s="12">
        <f>INT((D761-1)/100)+1</f>
        <v/>
      </c>
      <c r="F761" s="12" t="inlineStr">
        <is>
          <t>Wildfire</t>
        </is>
      </c>
      <c r="G761" s="12" t="inlineStr">
        <is>
          <t>Emunah Fire — wildfire, 2 acres, Wawarsing (Ulster Co.)</t>
        </is>
      </c>
      <c r="H761" s="12" t="inlineStr">
        <is>
          <t>Wawarsing, Ulster County; Private Property</t>
        </is>
      </c>
      <c r="I761" s="12" t="inlineStr">
        <is>
          <t>2 acres; cause Debris Burning; fuel 8 - Timber - Light Hardwood Litter</t>
        </is>
      </c>
      <c r="J761" s="12" t="inlineStr">
        <is>
          <t>41.72756, -74.47710</t>
        </is>
      </c>
      <c r="K761" s="12" t="inlineStr">
        <is>
          <t>No losses reported</t>
        </is>
      </c>
      <c r="L761" s="12" t="inlineStr">
        <is>
          <t>NYSDEC Forest Ranger Wildland Fire Reporting Database (Beginning 2008), data.ny.gov export 2026-09-28</t>
        </is>
      </c>
      <c r="M761" s="12" t="inlineStr">
        <is>
          <t>https://data.ny.gov/</t>
        </is>
      </c>
      <c r="N761" s="12" t="inlineStr">
        <is>
          <t>A</t>
        </is>
      </c>
      <c r="O761" s="12" t="inlineStr">
        <is>
          <t>Y</t>
        </is>
      </c>
      <c r="P761" s="12" t="inlineStr">
        <is>
          <t>2026-09-28 (v970, atlas session): bulk ingest per Laurie; fire number NYS-2009-0156; matching 🔥 pin on Natural History.</t>
        </is>
      </c>
      <c r="Q761" s="12" t="inlineStr">
        <is>
          <t>2009-04-17</t>
        </is>
      </c>
      <c r="R761" s="12">
        <f>VALUE(LEFT(Q761,4))</f>
        <v/>
      </c>
      <c r="S761" s="12">
        <f>VALUE(MID(Q761,6,2))</f>
        <v/>
      </c>
      <c r="T761" s="12">
        <f>VALUE(RIGHT(Q761,2))</f>
        <v/>
      </c>
      <c r="U761" s="12" t="inlineStr">
        <is>
          <t>day</t>
        </is>
      </c>
      <c r="V761" s="12" t="inlineStr">
        <is>
          <t>Fire start date (DEC report)</t>
        </is>
      </c>
    </row>
    <row r="762">
      <c r="A762" s="12" t="n">
        <v>927</v>
      </c>
      <c r="B762" s="12" t="inlineStr">
        <is>
          <t>2015-05-04</t>
        </is>
      </c>
      <c r="C762" s="12" t="inlineStr">
        <is>
          <t>2015-05-07</t>
        </is>
      </c>
      <c r="D762" s="12">
        <f>VALUE(LEFT(B762,4))</f>
        <v/>
      </c>
      <c r="E762" s="12">
        <f>INT((D762-1)/100)+1</f>
        <v/>
      </c>
      <c r="F762" s="12" t="inlineStr">
        <is>
          <t>Wildfire</t>
        </is>
      </c>
      <c r="G762" s="12" t="inlineStr">
        <is>
          <t>Whaley Lake fire — wildfire, 21.1 acres, Pawling (Dutchess Co.)</t>
        </is>
      </c>
      <c r="H762" s="12" t="inlineStr">
        <is>
          <t>Pawling, Dutchess County; Private Property</t>
        </is>
      </c>
      <c r="I762" s="12" t="inlineStr">
        <is>
          <t>21.1 acres; cause Incendiary; fuel 9 - Timber - Medium Hardwood Litter</t>
        </is>
      </c>
      <c r="J762" s="12" t="inlineStr">
        <is>
          <t>41.55598, -73.67014</t>
        </is>
      </c>
      <c r="K762" s="12" t="inlineStr">
        <is>
          <t>No losses reported</t>
        </is>
      </c>
      <c r="L762" s="12" t="inlineStr">
        <is>
          <t>NYSDEC Forest Ranger Wildland Fire Reporting Database (Beginning 2008), data.ny.gov export 2026-09-28</t>
        </is>
      </c>
      <c r="M762" s="12" t="inlineStr">
        <is>
          <t>https://data.ny.gov/</t>
        </is>
      </c>
      <c r="N762" s="12" t="inlineStr">
        <is>
          <t>A</t>
        </is>
      </c>
      <c r="O762" s="12" t="inlineStr">
        <is>
          <t>Y</t>
        </is>
      </c>
      <c r="P762" s="12" t="inlineStr">
        <is>
          <t>2026-09-28 (v970, atlas session): bulk ingest per Laurie; fire number NYS-2015-0083; matching 🔥 pin on Natural History.</t>
        </is>
      </c>
      <c r="Q762" s="12" t="inlineStr">
        <is>
          <t>2015-05-04</t>
        </is>
      </c>
      <c r="R762" s="12">
        <f>VALUE(LEFT(Q762,4))</f>
        <v/>
      </c>
      <c r="S762" s="12">
        <f>VALUE(MID(Q762,6,2))</f>
        <v/>
      </c>
      <c r="T762" s="12">
        <f>VALUE(RIGHT(Q762,2))</f>
        <v/>
      </c>
      <c r="U762" s="12" t="inlineStr">
        <is>
          <t>day</t>
        </is>
      </c>
      <c r="V762" s="12" t="inlineStr">
        <is>
          <t>Fire start date (DEC report)</t>
        </is>
      </c>
    </row>
    <row r="763">
      <c r="A763" s="12" t="n">
        <v>928</v>
      </c>
      <c r="B763" s="12" t="inlineStr">
        <is>
          <t>2016-04-14</t>
        </is>
      </c>
      <c r="C763" s="12" t="inlineStr">
        <is>
          <t>2016-04-15</t>
        </is>
      </c>
      <c r="D763" s="12">
        <f>VALUE(LEFT(B763,4))</f>
        <v/>
      </c>
      <c r="E763" s="12">
        <f>INT((D763-1)/100)+1</f>
        <v/>
      </c>
      <c r="F763" s="12" t="inlineStr">
        <is>
          <t>Wildfire</t>
        </is>
      </c>
      <c r="G763" s="12" t="inlineStr">
        <is>
          <t>West Mt. Fire — wildfire, 2 acres, Beekman (Dutchess Co.)</t>
        </is>
      </c>
      <c r="H763" s="12" t="inlineStr">
        <is>
          <t>Beekman, Dutchess County; State Forest/RF Area — West Mountain State Forest</t>
        </is>
      </c>
      <c r="I763" s="12" t="inlineStr">
        <is>
          <t>2 acres; cause Incendiary; fuel 10 - Timber - Heavy Litter/Downed Fuels</t>
        </is>
      </c>
      <c r="J763" s="12" t="inlineStr">
        <is>
          <t>41.61995, -73.63086</t>
        </is>
      </c>
      <c r="K763" s="12" t="inlineStr">
        <is>
          <t>No losses reported</t>
        </is>
      </c>
      <c r="L763" s="12" t="inlineStr">
        <is>
          <t>NYSDEC Forest Ranger Wildland Fire Reporting Database (Beginning 2008), data.ny.gov export 2026-09-28</t>
        </is>
      </c>
      <c r="M763" s="12" t="inlineStr">
        <is>
          <t>https://data.ny.gov/</t>
        </is>
      </c>
      <c r="N763" s="12" t="inlineStr">
        <is>
          <t>A</t>
        </is>
      </c>
      <c r="O763" s="12" t="inlineStr">
        <is>
          <t>Y</t>
        </is>
      </c>
      <c r="P763" s="12" t="inlineStr">
        <is>
          <t>2026-09-28 (v970, atlas session): bulk ingest per Laurie; fire number NYS-2016-0035; matching 🔥 pin on Natural History.</t>
        </is>
      </c>
      <c r="Q763" s="12" t="inlineStr">
        <is>
          <t>2016-04-14</t>
        </is>
      </c>
      <c r="R763" s="12">
        <f>VALUE(LEFT(Q763,4))</f>
        <v/>
      </c>
      <c r="S763" s="12">
        <f>VALUE(MID(Q763,6,2))</f>
        <v/>
      </c>
      <c r="T763" s="12">
        <f>VALUE(RIGHT(Q763,2))</f>
        <v/>
      </c>
      <c r="U763" s="12" t="inlineStr">
        <is>
          <t>day</t>
        </is>
      </c>
      <c r="V763" s="12" t="inlineStr">
        <is>
          <t>Fire start date (DEC report)</t>
        </is>
      </c>
    </row>
    <row r="764">
      <c r="A764" s="12" t="n">
        <v>929</v>
      </c>
      <c r="B764" s="12" t="inlineStr">
        <is>
          <t>2012-02-09</t>
        </is>
      </c>
      <c r="C764" s="12" t="inlineStr">
        <is>
          <t>2012-02-09</t>
        </is>
      </c>
      <c r="D764" s="12">
        <f>VALUE(LEFT(B764,4))</f>
        <v/>
      </c>
      <c r="E764" s="12">
        <f>INT((D764-1)/100)+1</f>
        <v/>
      </c>
      <c r="F764" s="12" t="inlineStr">
        <is>
          <t>Wildfire</t>
        </is>
      </c>
      <c r="G764" s="12" t="inlineStr">
        <is>
          <t>Woodland Fire — wildfire, 0.5 acres, Wawarsing (Ulster Co.)</t>
        </is>
      </c>
      <c r="H764" s="12" t="inlineStr">
        <is>
          <t>Wawarsing, Ulster County; Private Property</t>
        </is>
      </c>
      <c r="I764" s="12" t="inlineStr">
        <is>
          <t>0.5 acres; cause Debris Burning; fuel 1 - Grass - Light</t>
        </is>
      </c>
      <c r="J764" s="12" t="inlineStr">
        <is>
          <t>41.81042, -74.42038</t>
        </is>
      </c>
      <c r="K764" s="12" t="inlineStr">
        <is>
          <t>Homes Threatened: 1</t>
        </is>
      </c>
      <c r="L764" s="12" t="inlineStr">
        <is>
          <t>NYSDEC Forest Ranger Wildland Fire Reporting Database (Beginning 2008), data.ny.gov export 2026-09-28</t>
        </is>
      </c>
      <c r="M764" s="12" t="inlineStr">
        <is>
          <t>https://data.ny.gov/</t>
        </is>
      </c>
      <c r="N764" s="12" t="inlineStr">
        <is>
          <t>A</t>
        </is>
      </c>
      <c r="O764" s="12" t="inlineStr">
        <is>
          <t>Y</t>
        </is>
      </c>
      <c r="P764" s="12" t="inlineStr">
        <is>
          <t>2026-09-28 (v970, atlas session): bulk ingest per Laurie; fire number NYS-2012-0005; matching 🔥 pin on Natural History.</t>
        </is>
      </c>
      <c r="Q764" s="12" t="inlineStr">
        <is>
          <t>2012-02-09</t>
        </is>
      </c>
      <c r="R764" s="12">
        <f>VALUE(LEFT(Q764,4))</f>
        <v/>
      </c>
      <c r="S764" s="12">
        <f>VALUE(MID(Q764,6,2))</f>
        <v/>
      </c>
      <c r="T764" s="12">
        <f>VALUE(RIGHT(Q764,2))</f>
        <v/>
      </c>
      <c r="U764" s="12" t="inlineStr">
        <is>
          <t>day</t>
        </is>
      </c>
      <c r="V764" s="12" t="inlineStr">
        <is>
          <t>Fire start date (DEC report)</t>
        </is>
      </c>
    </row>
    <row r="765">
      <c r="A765" s="12" t="n">
        <v>930</v>
      </c>
      <c r="B765" s="12" t="inlineStr">
        <is>
          <t>2024-04-26</t>
        </is>
      </c>
      <c r="C765" s="12" t="inlineStr">
        <is>
          <t>2024-04-26</t>
        </is>
      </c>
      <c r="D765" s="12">
        <f>VALUE(LEFT(B765,4))</f>
        <v/>
      </c>
      <c r="E765" s="12">
        <f>INT((D765-1)/100)+1</f>
        <v/>
      </c>
      <c r="F765" s="12" t="inlineStr">
        <is>
          <t>Wildfire</t>
        </is>
      </c>
      <c r="G765" s="12" t="inlineStr">
        <is>
          <t>Half Moon Rd Fire — wildfire, 0.5 acres, Lloyd (Ulster Co.)</t>
        </is>
      </c>
      <c r="H765" s="12" t="inlineStr">
        <is>
          <t>Lloyd, Ulster County; Private Property</t>
        </is>
      </c>
      <c r="I765" s="12" t="inlineStr">
        <is>
          <t>0.5 acres; cause Debris Burning; fuel 8 - Timber - Light Hardwood Litter</t>
        </is>
      </c>
      <c r="J765" s="12" t="inlineStr">
        <is>
          <t>41.69450, -74.00020</t>
        </is>
      </c>
      <c r="K765" s="12" t="inlineStr">
        <is>
          <t>No losses reported</t>
        </is>
      </c>
      <c r="L765" s="12" t="inlineStr">
        <is>
          <t>NYSDEC Forest Ranger Wildland Fire Reporting Database (Beginning 2008), data.ny.gov export 2026-09-28</t>
        </is>
      </c>
      <c r="M765" s="12" t="inlineStr">
        <is>
          <t>https://data.ny.gov/</t>
        </is>
      </c>
      <c r="N765" s="12" t="inlineStr">
        <is>
          <t>A</t>
        </is>
      </c>
      <c r="O765" s="12" t="inlineStr">
        <is>
          <t>Y</t>
        </is>
      </c>
      <c r="P765" s="12" t="inlineStr">
        <is>
          <t>2026-09-28 (v970, atlas session): bulk ingest per Laurie; fire number NYS-2024-0066; matching 🔥 pin on Natural History.</t>
        </is>
      </c>
      <c r="Q765" s="12" t="inlineStr">
        <is>
          <t>2024-04-26</t>
        </is>
      </c>
      <c r="R765" s="12">
        <f>VALUE(LEFT(Q765,4))</f>
        <v/>
      </c>
      <c r="S765" s="12">
        <f>VALUE(MID(Q765,6,2))</f>
        <v/>
      </c>
      <c r="T765" s="12">
        <f>VALUE(RIGHT(Q765,2))</f>
        <v/>
      </c>
      <c r="U765" s="12" t="inlineStr">
        <is>
          <t>day</t>
        </is>
      </c>
      <c r="V765" s="12" t="inlineStr">
        <is>
          <t>Fire start date (DEC report)</t>
        </is>
      </c>
    </row>
    <row r="766">
      <c r="A766" s="12" t="n">
        <v>933</v>
      </c>
      <c r="B766" s="12" t="inlineStr">
        <is>
          <t>2008-04-09</t>
        </is>
      </c>
      <c r="C766" s="12" t="inlineStr">
        <is>
          <t>2008-04-09</t>
        </is>
      </c>
      <c r="D766" s="12">
        <f>VALUE(LEFT(B766,4))</f>
        <v/>
      </c>
      <c r="E766" s="12">
        <f>INT((D766-1)/100)+1</f>
        <v/>
      </c>
      <c r="F766" s="12" t="inlineStr">
        <is>
          <t>Wildfire</t>
        </is>
      </c>
      <c r="G766" s="12" t="inlineStr">
        <is>
          <t>Fountain Flat Road Fire — wildfire, 1 acres, Coxsackie (Greene Co.)</t>
        </is>
      </c>
      <c r="H766" s="12" t="inlineStr">
        <is>
          <t>Coxsackie, Greene County; Private Property</t>
        </is>
      </c>
      <c r="I766" s="12" t="inlineStr">
        <is>
          <t>1 acres; cause Smoking; fuel 2 - Grass - Understory</t>
        </is>
      </c>
      <c r="J766" s="12" t="inlineStr">
        <is>
          <t>42.33623, -73.85020</t>
        </is>
      </c>
      <c r="K766" s="12" t="inlineStr">
        <is>
          <t>No losses reported</t>
        </is>
      </c>
      <c r="L766" s="12" t="inlineStr">
        <is>
          <t>NYSDEC Forest Ranger Wildland Fire Reporting Database (Beginning 2008), data.ny.gov export 2026-09-28</t>
        </is>
      </c>
      <c r="M766" s="12" t="inlineStr">
        <is>
          <t>https://data.ny.gov/</t>
        </is>
      </c>
      <c r="N766" s="12" t="inlineStr">
        <is>
          <t>A</t>
        </is>
      </c>
      <c r="O766" s="12" t="inlineStr">
        <is>
          <t>Y</t>
        </is>
      </c>
      <c r="P766" s="12" t="inlineStr">
        <is>
          <t>2026-09-28 (v970, atlas session): bulk ingest per Laurie; fire number NYS-2008-0018; matching 🔥 pin on Natural History.</t>
        </is>
      </c>
      <c r="Q766" s="12" t="inlineStr">
        <is>
          <t>2008-04-09</t>
        </is>
      </c>
      <c r="R766" s="12">
        <f>VALUE(LEFT(Q766,4))</f>
        <v/>
      </c>
      <c r="S766" s="12">
        <f>VALUE(MID(Q766,6,2))</f>
        <v/>
      </c>
      <c r="T766" s="12">
        <f>VALUE(RIGHT(Q766,2))</f>
        <v/>
      </c>
      <c r="U766" s="12" t="inlineStr">
        <is>
          <t>day</t>
        </is>
      </c>
      <c r="V766" s="12" t="inlineStr">
        <is>
          <t>Fire start date (DEC report)</t>
        </is>
      </c>
    </row>
    <row r="767">
      <c r="A767" s="12" t="n">
        <v>934</v>
      </c>
      <c r="B767" s="12" t="inlineStr">
        <is>
          <t>2009-03-25</t>
        </is>
      </c>
      <c r="C767" s="12" t="inlineStr">
        <is>
          <t>2009-03-25</t>
        </is>
      </c>
      <c r="D767" s="12">
        <f>VALUE(LEFT(B767,4))</f>
        <v/>
      </c>
      <c r="E767" s="12">
        <f>INT((D767-1)/100)+1</f>
        <v/>
      </c>
      <c r="F767" s="12" t="inlineStr">
        <is>
          <t>Wildfire</t>
        </is>
      </c>
      <c r="G767" s="12" t="inlineStr">
        <is>
          <t>Swan Lake — wildfire, 1.5 acres, Bethel (Sullivan Co.)</t>
        </is>
      </c>
      <c r="H767" s="12" t="inlineStr">
        <is>
          <t>Bethel, Sullivan County; Private Property</t>
        </is>
      </c>
      <c r="I767" s="12" t="inlineStr">
        <is>
          <t>1.5 acres; cause Debris Burning; fuel 8 - Timber - Light Hardwood Litter</t>
        </is>
      </c>
      <c r="J767" s="12" t="inlineStr">
        <is>
          <t>41.74129, -74.75206</t>
        </is>
      </c>
      <c r="K767" s="12" t="inlineStr">
        <is>
          <t>No losses reported</t>
        </is>
      </c>
      <c r="L767" s="12" t="inlineStr">
        <is>
          <t>NYSDEC Forest Ranger Wildland Fire Reporting Database (Beginning 2008), data.ny.gov export 2026-09-28</t>
        </is>
      </c>
      <c r="M767" s="12" t="inlineStr">
        <is>
          <t>https://data.ny.gov/</t>
        </is>
      </c>
      <c r="N767" s="12" t="inlineStr">
        <is>
          <t>A</t>
        </is>
      </c>
      <c r="O767" s="12" t="inlineStr">
        <is>
          <t>Y</t>
        </is>
      </c>
      <c r="P767" s="12" t="inlineStr">
        <is>
          <t>2026-09-28 (v970, atlas session): bulk ingest per Laurie; fire number NYS-2009-0023; matching 🔥 pin on Natural History.</t>
        </is>
      </c>
      <c r="Q767" s="12" t="inlineStr">
        <is>
          <t>2009-03-25</t>
        </is>
      </c>
      <c r="R767" s="12">
        <f>VALUE(LEFT(Q767,4))</f>
        <v/>
      </c>
      <c r="S767" s="12">
        <f>VALUE(MID(Q767,6,2))</f>
        <v/>
      </c>
      <c r="T767" s="12">
        <f>VALUE(RIGHT(Q767,2))</f>
        <v/>
      </c>
      <c r="U767" s="12" t="inlineStr">
        <is>
          <t>day</t>
        </is>
      </c>
      <c r="V767" s="12" t="inlineStr">
        <is>
          <t>Fire start date (DEC report)</t>
        </is>
      </c>
    </row>
    <row r="768">
      <c r="A768" s="12" t="n">
        <v>935</v>
      </c>
      <c r="B768" s="12" t="inlineStr">
        <is>
          <t>2014-06-02</t>
        </is>
      </c>
      <c r="C768" s="12" t="inlineStr">
        <is>
          <t>2014-06-02</t>
        </is>
      </c>
      <c r="D768" s="12">
        <f>VALUE(LEFT(B768,4))</f>
        <v/>
      </c>
      <c r="E768" s="12">
        <f>INT((D768-1)/100)+1</f>
        <v/>
      </c>
      <c r="F768" s="12" t="inlineStr">
        <is>
          <t>Wildfire</t>
        </is>
      </c>
      <c r="G768" s="12" t="inlineStr">
        <is>
          <t>Pine Wood fire — wildfire, 0.2 acres, Fallsburgh (Sullivan Co.)</t>
        </is>
      </c>
      <c r="H768" s="12" t="inlineStr">
        <is>
          <t>Fallsburgh, Sullivan County; Private Property — none</t>
        </is>
      </c>
      <c r="I768" s="12" t="inlineStr">
        <is>
          <t>0.2 acres; cause Children; fuel 12 - Slash - Medium</t>
        </is>
      </c>
      <c r="J768" s="12" t="inlineStr">
        <is>
          <t>41.72900, -74.62341</t>
        </is>
      </c>
      <c r="K768" s="12" t="inlineStr">
        <is>
          <t>No losses reported</t>
        </is>
      </c>
      <c r="L768" s="12" t="inlineStr">
        <is>
          <t>NYSDEC Forest Ranger Wildland Fire Reporting Database (Beginning 2008), data.ny.gov export 2026-09-28</t>
        </is>
      </c>
      <c r="M768" s="12" t="inlineStr">
        <is>
          <t>https://data.ny.gov/</t>
        </is>
      </c>
      <c r="N768" s="12" t="inlineStr">
        <is>
          <t>A</t>
        </is>
      </c>
      <c r="O768" s="12" t="inlineStr">
        <is>
          <t>Y</t>
        </is>
      </c>
      <c r="P768" s="12" t="inlineStr">
        <is>
          <t>2026-09-28 (v970, atlas session): bulk ingest per Laurie; fire number NYS-2014-0102; matching 🔥 pin on Natural History.</t>
        </is>
      </c>
      <c r="Q768" s="12" t="inlineStr">
        <is>
          <t>2014-06-02</t>
        </is>
      </c>
      <c r="R768" s="12">
        <f>VALUE(LEFT(Q768,4))</f>
        <v/>
      </c>
      <c r="S768" s="12">
        <f>VALUE(MID(Q768,6,2))</f>
        <v/>
      </c>
      <c r="T768" s="12">
        <f>VALUE(RIGHT(Q768,2))</f>
        <v/>
      </c>
      <c r="U768" s="12" t="inlineStr">
        <is>
          <t>day</t>
        </is>
      </c>
      <c r="V768" s="12" t="inlineStr">
        <is>
          <t>Fire start date (DEC report)</t>
        </is>
      </c>
    </row>
    <row r="769">
      <c r="A769" s="12" t="n">
        <v>936</v>
      </c>
      <c r="B769" s="12" t="inlineStr">
        <is>
          <t>2009-04-24</t>
        </is>
      </c>
      <c r="C769" s="12" t="inlineStr">
        <is>
          <t>2009-04-27</t>
        </is>
      </c>
      <c r="D769" s="12">
        <f>VALUE(LEFT(B769,4))</f>
        <v/>
      </c>
      <c r="E769" s="12">
        <f>INT((D769-1)/100)+1</f>
        <v/>
      </c>
      <c r="F769" s="12" t="inlineStr">
        <is>
          <t>Wildfire</t>
        </is>
      </c>
      <c r="G769" s="12" t="inlineStr">
        <is>
          <t>Cascade Valley Fire — wildfire, 7.5 acres, Windsor (Broome Co.)</t>
        </is>
      </c>
      <c r="H769" s="12" t="inlineStr">
        <is>
          <t>Windsor, Broome County; Private Property</t>
        </is>
      </c>
      <c r="I769" s="12" t="inlineStr">
        <is>
          <t>7.5 acres; cause Debris Burning; fuel 9 - Timber - Medium Hardwood Litter</t>
        </is>
      </c>
      <c r="J769" s="12" t="inlineStr">
        <is>
          <t>42.02568, -75.58260</t>
        </is>
      </c>
      <c r="K769" s="12" t="inlineStr">
        <is>
          <t>No losses reported</t>
        </is>
      </c>
      <c r="L769" s="12" t="inlineStr">
        <is>
          <t>NYSDEC Forest Ranger Wildland Fire Reporting Database (Beginning 2008), data.ny.gov export 2026-09-28</t>
        </is>
      </c>
      <c r="M769" s="12" t="inlineStr">
        <is>
          <t>https://data.ny.gov/</t>
        </is>
      </c>
      <c r="N769" s="12" t="inlineStr">
        <is>
          <t>A</t>
        </is>
      </c>
      <c r="O769" s="12" t="inlineStr">
        <is>
          <t>Y</t>
        </is>
      </c>
      <c r="P769" s="12" t="inlineStr">
        <is>
          <t>2026-09-28 (v970, atlas session): bulk ingest per Laurie; fire number NYS-2009-0100; matching 🔥 pin on Natural History.</t>
        </is>
      </c>
      <c r="Q769" s="12" t="inlineStr">
        <is>
          <t>2009-04-24</t>
        </is>
      </c>
      <c r="R769" s="12">
        <f>VALUE(LEFT(Q769,4))</f>
        <v/>
      </c>
      <c r="S769" s="12">
        <f>VALUE(MID(Q769,6,2))</f>
        <v/>
      </c>
      <c r="T769" s="12">
        <f>VALUE(RIGHT(Q769,2))</f>
        <v/>
      </c>
      <c r="U769" s="12" t="inlineStr">
        <is>
          <t>day</t>
        </is>
      </c>
      <c r="V769" s="12" t="inlineStr">
        <is>
          <t>Fire start date (DEC report)</t>
        </is>
      </c>
    </row>
    <row r="770">
      <c r="A770" s="12" t="n">
        <v>937</v>
      </c>
      <c r="B770" s="12" t="inlineStr">
        <is>
          <t>2010-04-02</t>
        </is>
      </c>
      <c r="C770" s="12" t="inlineStr">
        <is>
          <t>2010-04-02</t>
        </is>
      </c>
      <c r="D770" s="12">
        <f>VALUE(LEFT(B770,4))</f>
        <v/>
      </c>
      <c r="E770" s="12">
        <f>INT((D770-1)/100)+1</f>
        <v/>
      </c>
      <c r="F770" s="12" t="inlineStr">
        <is>
          <t>Wildfire</t>
        </is>
      </c>
      <c r="G770" s="12" t="inlineStr">
        <is>
          <t>997 West Kill Rd — wildfire, 5 acres, Blenheim (Schoharie Co.)</t>
        </is>
      </c>
      <c r="H770" s="12" t="inlineStr">
        <is>
          <t>Blenheim, Schoharie County; Private Property</t>
        </is>
      </c>
      <c r="I770" s="12" t="inlineStr">
        <is>
          <t>5 acres; cause Equipment; fuel 2 - Grass - Understory</t>
        </is>
      </c>
      <c r="J770" s="12" t="inlineStr">
        <is>
          <t>42.49900, -74.53526</t>
        </is>
      </c>
      <c r="K770" s="12" t="inlineStr">
        <is>
          <t>No losses reported</t>
        </is>
      </c>
      <c r="L770" s="12" t="inlineStr">
        <is>
          <t>NYSDEC Forest Ranger Wildland Fire Reporting Database (Beginning 2008), data.ny.gov export 2026-09-28</t>
        </is>
      </c>
      <c r="M770" s="12" t="inlineStr">
        <is>
          <t>https://data.ny.gov/</t>
        </is>
      </c>
      <c r="N770" s="12" t="inlineStr">
        <is>
          <t>A</t>
        </is>
      </c>
      <c r="O770" s="12" t="inlineStr">
        <is>
          <t>Y</t>
        </is>
      </c>
      <c r="P770" s="12" t="inlineStr">
        <is>
          <t>2026-09-28 (v970, atlas session): bulk ingest per Laurie; fire number NYS-2010-0019; matching 🔥 pin on Natural History.</t>
        </is>
      </c>
      <c r="Q770" s="12" t="inlineStr">
        <is>
          <t>2010-04-02</t>
        </is>
      </c>
      <c r="R770" s="12">
        <f>VALUE(LEFT(Q770,4))</f>
        <v/>
      </c>
      <c r="S770" s="12">
        <f>VALUE(MID(Q770,6,2))</f>
        <v/>
      </c>
      <c r="T770" s="12">
        <f>VALUE(RIGHT(Q770,2))</f>
        <v/>
      </c>
      <c r="U770" s="12" t="inlineStr">
        <is>
          <t>day</t>
        </is>
      </c>
      <c r="V770" s="12" t="inlineStr">
        <is>
          <t>Fire start date (DEC report)</t>
        </is>
      </c>
    </row>
    <row r="771">
      <c r="A771" s="12" t="n">
        <v>938</v>
      </c>
      <c r="B771" s="12" t="inlineStr">
        <is>
          <t>2008-04-25</t>
        </is>
      </c>
      <c r="C771" s="12" t="inlineStr">
        <is>
          <t>2008-04-25</t>
        </is>
      </c>
      <c r="D771" s="12">
        <f>VALUE(LEFT(B771,4))</f>
        <v/>
      </c>
      <c r="E771" s="12">
        <f>INT((D771-1)/100)+1</f>
        <v/>
      </c>
      <c r="F771" s="12" t="inlineStr">
        <is>
          <t>Wildfire</t>
        </is>
      </c>
      <c r="G771" s="12" t="inlineStr">
        <is>
          <t>Bateman Fire — wildfire, 1 acres, Hillsdale (Columbia Co.)</t>
        </is>
      </c>
      <c r="H771" s="12" t="inlineStr">
        <is>
          <t>Hillsdale, Columbia County; Private Property</t>
        </is>
      </c>
      <c r="I771" s="12" t="inlineStr">
        <is>
          <t>1 acres; cause Debris Burning; fuel 8 - Timber - Light Hardwood Litter</t>
        </is>
      </c>
      <c r="J771" s="12" t="inlineStr">
        <is>
          <t>42.25750, -73.53505</t>
        </is>
      </c>
      <c r="K771" s="12" t="inlineStr">
        <is>
          <t>No losses reported</t>
        </is>
      </c>
      <c r="L771" s="12" t="inlineStr">
        <is>
          <t>NYSDEC Forest Ranger Wildland Fire Reporting Database (Beginning 2008), data.ny.gov export 2026-09-28</t>
        </is>
      </c>
      <c r="M771" s="12" t="inlineStr">
        <is>
          <t>https://data.ny.gov/</t>
        </is>
      </c>
      <c r="N771" s="12" t="inlineStr">
        <is>
          <t>A</t>
        </is>
      </c>
      <c r="O771" s="12" t="inlineStr">
        <is>
          <t>Y</t>
        </is>
      </c>
      <c r="P771" s="12" t="inlineStr">
        <is>
          <t>2026-09-28 (v970, atlas session): bulk ingest per Laurie; fire number NYS-2008-0132; matching 🔥 pin on Natural History.</t>
        </is>
      </c>
      <c r="Q771" s="12" t="inlineStr">
        <is>
          <t>2008-04-25</t>
        </is>
      </c>
      <c r="R771" s="12">
        <f>VALUE(LEFT(Q771,4))</f>
        <v/>
      </c>
      <c r="S771" s="12">
        <f>VALUE(MID(Q771,6,2))</f>
        <v/>
      </c>
      <c r="T771" s="12">
        <f>VALUE(RIGHT(Q771,2))</f>
        <v/>
      </c>
      <c r="U771" s="12" t="inlineStr">
        <is>
          <t>day</t>
        </is>
      </c>
      <c r="V771" s="12" t="inlineStr">
        <is>
          <t>Fire start date (DEC report)</t>
        </is>
      </c>
    </row>
    <row r="772">
      <c r="A772" s="12" t="n">
        <v>939</v>
      </c>
      <c r="B772" s="12" t="inlineStr">
        <is>
          <t>2024-10-25</t>
        </is>
      </c>
      <c r="C772" s="12" t="inlineStr">
        <is>
          <t>2024-11-14</t>
        </is>
      </c>
      <c r="D772" s="12">
        <f>VALUE(LEFT(B772,4))</f>
        <v/>
      </c>
      <c r="E772" s="12">
        <f>INT((D772-1)/100)+1</f>
        <v/>
      </c>
      <c r="F772" s="12" t="inlineStr">
        <is>
          <t>Wildfire</t>
        </is>
      </c>
      <c r="G772" s="12" t="inlineStr">
        <is>
          <t>Mount Zion fire — wildfire, 46 acres, Plattekill (Ulster Co.)</t>
        </is>
      </c>
      <c r="H772" s="12" t="inlineStr">
        <is>
          <t>Plattekill, Ulster County; State Forest/RF Area — Hemlock Ridge Multiple Use Area</t>
        </is>
      </c>
      <c r="I772" s="12" t="inlineStr">
        <is>
          <t>46 acres; cause Campfire; fuel 9 - Timber - Medium Hardwood Litter</t>
        </is>
      </c>
      <c r="J772" s="12" t="inlineStr">
        <is>
          <t>41.63020, -74.03320</t>
        </is>
      </c>
      <c r="K772" s="12" t="inlineStr">
        <is>
          <t>Injuries: 1</t>
        </is>
      </c>
      <c r="L772" s="12" t="inlineStr">
        <is>
          <t>NYSDEC Forest Ranger Wildland Fire Reporting Database (Beginning 2008), data.ny.gov export 2026-09-28</t>
        </is>
      </c>
      <c r="M772" s="12" t="inlineStr">
        <is>
          <t>https://data.ny.gov/</t>
        </is>
      </c>
      <c r="N772" s="12" t="inlineStr">
        <is>
          <t>A</t>
        </is>
      </c>
      <c r="O772" s="12" t="inlineStr">
        <is>
          <t>Y</t>
        </is>
      </c>
      <c r="P772" s="12" t="inlineStr">
        <is>
          <t>2026-09-28 (v970, atlas session): bulk ingest per Laurie; fire number NYS-2024-0140; matching 🔥 pin on Natural History.</t>
        </is>
      </c>
      <c r="Q772" s="12" t="inlineStr">
        <is>
          <t>2024-10-25</t>
        </is>
      </c>
      <c r="R772" s="12">
        <f>VALUE(LEFT(Q772,4))</f>
        <v/>
      </c>
      <c r="S772" s="12">
        <f>VALUE(MID(Q772,6,2))</f>
        <v/>
      </c>
      <c r="T772" s="12">
        <f>VALUE(RIGHT(Q772,2))</f>
        <v/>
      </c>
      <c r="U772" s="12" t="inlineStr">
        <is>
          <t>day</t>
        </is>
      </c>
      <c r="V772" s="12" t="inlineStr">
        <is>
          <t>Fire start date (DEC report)</t>
        </is>
      </c>
    </row>
    <row r="773">
      <c r="A773" s="12" t="n">
        <v>941</v>
      </c>
      <c r="B773" s="12" t="inlineStr">
        <is>
          <t>2014-04-14</t>
        </is>
      </c>
      <c r="C773" s="12" t="inlineStr">
        <is>
          <t>2014-04-15</t>
        </is>
      </c>
      <c r="D773" s="12">
        <f>VALUE(LEFT(B773,4))</f>
        <v/>
      </c>
      <c r="E773" s="12">
        <f>INT((D773-1)/100)+1</f>
        <v/>
      </c>
      <c r="F773" s="12" t="inlineStr">
        <is>
          <t>Wildfire</t>
        </is>
      </c>
      <c r="G773" s="12" t="inlineStr">
        <is>
          <t>Frog Hollow Fire — wildfire, 9.3 acres, Wawarsing (Ulster Co.)</t>
        </is>
      </c>
      <c r="H773" s="12" t="inlineStr">
        <is>
          <t>Wawarsing, Ulster County; Private Property</t>
        </is>
      </c>
      <c r="I773" s="12" t="inlineStr">
        <is>
          <t>9.3 acres; cause Debris Burning; fuel 7 - Brush - Understory</t>
        </is>
      </c>
      <c r="J773" s="12" t="inlineStr">
        <is>
          <t>41.74187, -74.49514</t>
        </is>
      </c>
      <c r="K773" s="12" t="inlineStr">
        <is>
          <t>No losses reported</t>
        </is>
      </c>
      <c r="L773" s="12" t="inlineStr">
        <is>
          <t>NYSDEC Forest Ranger Wildland Fire Reporting Database (Beginning 2008), data.ny.gov export 2026-09-28</t>
        </is>
      </c>
      <c r="M773" s="12" t="inlineStr">
        <is>
          <t>https://data.ny.gov/</t>
        </is>
      </c>
      <c r="N773" s="12" t="inlineStr">
        <is>
          <t>A</t>
        </is>
      </c>
      <c r="O773" s="12" t="inlineStr">
        <is>
          <t>Y</t>
        </is>
      </c>
      <c r="P773" s="12" t="inlineStr">
        <is>
          <t>2026-09-28 (v970, atlas session): bulk ingest per Laurie; fire number NYS-2014-0037; matching 🔥 pin on Natural History.</t>
        </is>
      </c>
      <c r="Q773" s="12" t="inlineStr">
        <is>
          <t>2014-04-14</t>
        </is>
      </c>
      <c r="R773" s="12">
        <f>VALUE(LEFT(Q773,4))</f>
        <v/>
      </c>
      <c r="S773" s="12">
        <f>VALUE(MID(Q773,6,2))</f>
        <v/>
      </c>
      <c r="T773" s="12">
        <f>VALUE(RIGHT(Q773,2))</f>
        <v/>
      </c>
      <c r="U773" s="12" t="inlineStr">
        <is>
          <t>day</t>
        </is>
      </c>
      <c r="V773" s="12" t="inlineStr">
        <is>
          <t>Fire start date (DEC report)</t>
        </is>
      </c>
    </row>
    <row r="774">
      <c r="A774" s="12" t="n">
        <v>944</v>
      </c>
      <c r="B774" s="12" t="inlineStr">
        <is>
          <t>2021-05-20</t>
        </is>
      </c>
      <c r="C774" s="12" t="inlineStr">
        <is>
          <t>2021-05-21</t>
        </is>
      </c>
      <c r="D774" s="12">
        <f>VALUE(LEFT(B774,4))</f>
        <v/>
      </c>
      <c r="E774" s="12">
        <f>INT((D774-1)/100)+1</f>
        <v/>
      </c>
      <c r="F774" s="12" t="inlineStr">
        <is>
          <t>Wildfire</t>
        </is>
      </c>
      <c r="G774" s="12" t="inlineStr">
        <is>
          <t>Clark Road Fire — wildfire, 4 acres, Highland (Sullivan Co.)</t>
        </is>
      </c>
      <c r="H774" s="12" t="inlineStr">
        <is>
          <t>Highland, Sullivan County; Private Property</t>
        </is>
      </c>
      <c r="I774" s="12" t="inlineStr">
        <is>
          <t>4 acres; cause Equipment; fuel 9 - Timber - Medium Hardwood Litter</t>
        </is>
      </c>
      <c r="J774" s="12" t="inlineStr">
        <is>
          <t>41.55445, -74.89545</t>
        </is>
      </c>
      <c r="K774" s="12" t="inlineStr">
        <is>
          <t>No losses reported</t>
        </is>
      </c>
      <c r="L774" s="12" t="inlineStr">
        <is>
          <t>NYSDEC Forest Ranger Wildland Fire Reporting Database (Beginning 2008), data.ny.gov export 2026-09-28</t>
        </is>
      </c>
      <c r="M774" s="12" t="inlineStr">
        <is>
          <t>https://data.ny.gov/</t>
        </is>
      </c>
      <c r="N774" s="12" t="inlineStr">
        <is>
          <t>A</t>
        </is>
      </c>
      <c r="O774" s="12" t="inlineStr">
        <is>
          <t>Y</t>
        </is>
      </c>
      <c r="P774" s="12" t="inlineStr">
        <is>
          <t>2026-09-28 (v970, atlas session): bulk ingest per Laurie; fire number NYS-2021-0129; matching 🔥 pin on Natural History.</t>
        </is>
      </c>
      <c r="Q774" s="12" t="inlineStr">
        <is>
          <t>2021-05-20</t>
        </is>
      </c>
      <c r="R774" s="12">
        <f>VALUE(LEFT(Q774,4))</f>
        <v/>
      </c>
      <c r="S774" s="12">
        <f>VALUE(MID(Q774,6,2))</f>
        <v/>
      </c>
      <c r="T774" s="12">
        <f>VALUE(RIGHT(Q774,2))</f>
        <v/>
      </c>
      <c r="U774" s="12" t="inlineStr">
        <is>
          <t>day</t>
        </is>
      </c>
      <c r="V774" s="12" t="inlineStr">
        <is>
          <t>Fire start date (DEC report)</t>
        </is>
      </c>
    </row>
    <row r="775">
      <c r="A775" s="12" t="n">
        <v>946</v>
      </c>
      <c r="B775" s="12" t="inlineStr">
        <is>
          <t>2009-04-02</t>
        </is>
      </c>
      <c r="C775" s="12" t="inlineStr">
        <is>
          <t>2009-04-02</t>
        </is>
      </c>
      <c r="D775" s="12">
        <f>VALUE(LEFT(B775,4))</f>
        <v/>
      </c>
      <c r="E775" s="12">
        <f>INT((D775-1)/100)+1</f>
        <v/>
      </c>
      <c r="F775" s="12" t="inlineStr">
        <is>
          <t>Wildfire</t>
        </is>
      </c>
      <c r="G775" s="12" t="inlineStr">
        <is>
          <t>Castleman — wildfire, 8.2 acres, Vestal (Broome Co.)</t>
        </is>
      </c>
      <c r="H775" s="12" t="inlineStr">
        <is>
          <t>Vestal, Broome County; Private Property</t>
        </is>
      </c>
      <c r="I775" s="12" t="inlineStr">
        <is>
          <t>8.2 acres; cause Debris Burning; fuel 1 - Grass - Light</t>
        </is>
      </c>
      <c r="J775" s="12" t="inlineStr">
        <is>
          <t>42.01349, -76.03764</t>
        </is>
      </c>
      <c r="K775" s="12" t="inlineStr">
        <is>
          <t>No losses reported</t>
        </is>
      </c>
      <c r="L775" s="12" t="inlineStr">
        <is>
          <t>NYSDEC Forest Ranger Wildland Fire Reporting Database (Beginning 2008), data.ny.gov export 2026-09-28</t>
        </is>
      </c>
      <c r="M775" s="12" t="inlineStr">
        <is>
          <t>https://data.ny.gov/</t>
        </is>
      </c>
      <c r="N775" s="12" t="inlineStr">
        <is>
          <t>A</t>
        </is>
      </c>
      <c r="O775" s="12" t="inlineStr">
        <is>
          <t>Y</t>
        </is>
      </c>
      <c r="P775" s="12" t="inlineStr">
        <is>
          <t>2026-09-28 (v970, atlas session): bulk ingest per Laurie; fire number NYS-2009-0038; matching 🔥 pin on Natural History.</t>
        </is>
      </c>
      <c r="Q775" s="12" t="inlineStr">
        <is>
          <t>2009-04-02</t>
        </is>
      </c>
      <c r="R775" s="12">
        <f>VALUE(LEFT(Q775,4))</f>
        <v/>
      </c>
      <c r="S775" s="12">
        <f>VALUE(MID(Q775,6,2))</f>
        <v/>
      </c>
      <c r="T775" s="12">
        <f>VALUE(RIGHT(Q775,2))</f>
        <v/>
      </c>
      <c r="U775" s="12" t="inlineStr">
        <is>
          <t>day</t>
        </is>
      </c>
      <c r="V775" s="12" t="inlineStr">
        <is>
          <t>Fire start date (DEC report)</t>
        </is>
      </c>
    </row>
    <row r="776">
      <c r="A776" s="12" t="n">
        <v>949</v>
      </c>
      <c r="B776" s="12" t="inlineStr">
        <is>
          <t>2016-10-17</t>
        </is>
      </c>
      <c r="C776" s="12" t="inlineStr">
        <is>
          <t>2016-10-17</t>
        </is>
      </c>
      <c r="D776" s="12">
        <f>VALUE(LEFT(B776,4))</f>
        <v/>
      </c>
      <c r="E776" s="12">
        <f>INT((D776-1)/100)+1</f>
        <v/>
      </c>
      <c r="F776" s="12" t="inlineStr">
        <is>
          <t>Wildfire</t>
        </is>
      </c>
      <c r="G776" s="12" t="inlineStr">
        <is>
          <t>Winterton Fire — wildfire, 0.3 acres, Mamakating (Sullivan Co.)</t>
        </is>
      </c>
      <c r="H776" s="12" t="inlineStr">
        <is>
          <t>Mamakating, Sullivan County; Private Property</t>
        </is>
      </c>
      <c r="I776" s="12" t="inlineStr">
        <is>
          <t>0.3 acres; cause Smoking; fuel 6 - Brush - Mixed/Regeneration</t>
        </is>
      </c>
      <c r="J776" s="12" t="inlineStr">
        <is>
          <t>41.53499, -74.45664</t>
        </is>
      </c>
      <c r="K776" s="12" t="inlineStr">
        <is>
          <t>No losses reported</t>
        </is>
      </c>
      <c r="L776" s="12" t="inlineStr">
        <is>
          <t>NYSDEC Forest Ranger Wildland Fire Reporting Database (Beginning 2008), data.ny.gov export 2026-09-28</t>
        </is>
      </c>
      <c r="M776" s="12" t="inlineStr">
        <is>
          <t>https://data.ny.gov/</t>
        </is>
      </c>
      <c r="N776" s="12" t="inlineStr">
        <is>
          <t>A</t>
        </is>
      </c>
      <c r="O776" s="12" t="inlineStr">
        <is>
          <t>Y</t>
        </is>
      </c>
      <c r="P776" s="12" t="inlineStr">
        <is>
          <t>2026-09-28 (v970, atlas session): bulk ingest per Laurie; fire number NYS-2016-0184; matching 🔥 pin on Natural History.</t>
        </is>
      </c>
      <c r="Q776" s="12" t="inlineStr">
        <is>
          <t>2016-10-17</t>
        </is>
      </c>
      <c r="R776" s="12">
        <f>VALUE(LEFT(Q776,4))</f>
        <v/>
      </c>
      <c r="S776" s="12">
        <f>VALUE(MID(Q776,6,2))</f>
        <v/>
      </c>
      <c r="T776" s="12">
        <f>VALUE(RIGHT(Q776,2))</f>
        <v/>
      </c>
      <c r="U776" s="12" t="inlineStr">
        <is>
          <t>day</t>
        </is>
      </c>
      <c r="V776" s="12" t="inlineStr">
        <is>
          <t>Fire start date (DEC report)</t>
        </is>
      </c>
    </row>
    <row r="777">
      <c r="A777" s="12" t="n">
        <v>950</v>
      </c>
      <c r="B777" s="12" t="inlineStr">
        <is>
          <t>2024-05-18</t>
        </is>
      </c>
      <c r="C777" s="12" t="inlineStr">
        <is>
          <t>2024-05-18</t>
        </is>
      </c>
      <c r="D777" s="12">
        <f>VALUE(LEFT(B777,4))</f>
        <v/>
      </c>
      <c r="E777" s="12">
        <f>INT((D777-1)/100)+1</f>
        <v/>
      </c>
      <c r="F777" s="12" t="inlineStr">
        <is>
          <t>Wildfire</t>
        </is>
      </c>
      <c r="G777" s="12" t="inlineStr">
        <is>
          <t>North South Lake Camper Fire — wildfire, 0.1 acres, Hunter (Greene Co.)</t>
        </is>
      </c>
      <c r="H777" s="12" t="inlineStr">
        <is>
          <t>Hunter, Greene County; Forest Preserve — North South Lake Campground</t>
        </is>
      </c>
      <c r="I777" s="12" t="inlineStr">
        <is>
          <t>0.1 acres; cause Structure; fuel 2 - Grass - Understory</t>
        </is>
      </c>
      <c r="J777" s="12" t="inlineStr">
        <is>
          <t>42.20336, -74.03786</t>
        </is>
      </c>
      <c r="K777" s="12" t="inlineStr">
        <is>
          <t>Other Structures Lost: 1</t>
        </is>
      </c>
      <c r="L777" s="12" t="inlineStr">
        <is>
          <t>NYSDEC Forest Ranger Wildland Fire Reporting Database (Beginning 2008), data.ny.gov export 2026-09-28</t>
        </is>
      </c>
      <c r="M777" s="12" t="inlineStr">
        <is>
          <t>https://data.ny.gov/</t>
        </is>
      </c>
      <c r="N777" s="12" t="inlineStr">
        <is>
          <t>A</t>
        </is>
      </c>
      <c r="O777" s="12" t="inlineStr">
        <is>
          <t>Y</t>
        </is>
      </c>
      <c r="P777" s="12" t="inlineStr">
        <is>
          <t>2026-09-28 (v970, atlas session): bulk ingest per Laurie; fire number NYS-2024-0083; matching 🔥 pin on Natural History.</t>
        </is>
      </c>
      <c r="Q777" s="12" t="inlineStr">
        <is>
          <t>2024-05-18</t>
        </is>
      </c>
      <c r="R777" s="12">
        <f>VALUE(LEFT(Q777,4))</f>
        <v/>
      </c>
      <c r="S777" s="12">
        <f>VALUE(MID(Q777,6,2))</f>
        <v/>
      </c>
      <c r="T777" s="12">
        <f>VALUE(RIGHT(Q777,2))</f>
        <v/>
      </c>
      <c r="U777" s="12" t="inlineStr">
        <is>
          <t>day</t>
        </is>
      </c>
      <c r="V777" s="12" t="inlineStr">
        <is>
          <t>Fire start date (DEC report)</t>
        </is>
      </c>
    </row>
    <row r="778">
      <c r="A778" s="12" t="n">
        <v>951</v>
      </c>
      <c r="B778" s="12" t="inlineStr">
        <is>
          <t>2023-05-17</t>
        </is>
      </c>
      <c r="C778" s="12" t="inlineStr">
        <is>
          <t>2023-05-19</t>
        </is>
      </c>
      <c r="D778" s="12">
        <f>VALUE(LEFT(B778,4))</f>
        <v/>
      </c>
      <c r="E778" s="12">
        <f>INT((D778-1)/100)+1</f>
        <v/>
      </c>
      <c r="F778" s="12" t="inlineStr">
        <is>
          <t>Wildfire</t>
        </is>
      </c>
      <c r="G778" s="12" t="inlineStr">
        <is>
          <t>North Rd Fire — wildfire, 1 acres, Blenheim (Schoharie Co.)</t>
        </is>
      </c>
      <c r="H778" s="12" t="inlineStr">
        <is>
          <t>Blenheim, Schoharie County; Private Property</t>
        </is>
      </c>
      <c r="I778" s="12" t="inlineStr">
        <is>
          <t>1 acres; cause Debris Burning; fuel 13 - Slash Heavy</t>
        </is>
      </c>
      <c r="J778" s="12" t="inlineStr">
        <is>
          <t>42.48443, -74.54362</t>
        </is>
      </c>
      <c r="K778" s="12" t="inlineStr">
        <is>
          <t>No losses reported</t>
        </is>
      </c>
      <c r="L778" s="12" t="inlineStr">
        <is>
          <t>NYSDEC Forest Ranger Wildland Fire Reporting Database (Beginning 2008), data.ny.gov export 2026-09-28</t>
        </is>
      </c>
      <c r="M778" s="12" t="inlineStr">
        <is>
          <t>https://data.ny.gov/</t>
        </is>
      </c>
      <c r="N778" s="12" t="inlineStr">
        <is>
          <t>A</t>
        </is>
      </c>
      <c r="O778" s="12" t="inlineStr">
        <is>
          <t>Y</t>
        </is>
      </c>
      <c r="P778" s="12" t="inlineStr">
        <is>
          <t>2026-09-28 (v970, atlas session): bulk ingest per Laurie; fire number NYS-2023-0119; matching 🔥 pin on Natural History.</t>
        </is>
      </c>
      <c r="Q778" s="12" t="inlineStr">
        <is>
          <t>2023-05-17</t>
        </is>
      </c>
      <c r="R778" s="12">
        <f>VALUE(LEFT(Q778,4))</f>
        <v/>
      </c>
      <c r="S778" s="12">
        <f>VALUE(MID(Q778,6,2))</f>
        <v/>
      </c>
      <c r="T778" s="12">
        <f>VALUE(RIGHT(Q778,2))</f>
        <v/>
      </c>
      <c r="U778" s="12" t="inlineStr">
        <is>
          <t>day</t>
        </is>
      </c>
      <c r="V778" s="12" t="inlineStr">
        <is>
          <t>Fire start date (DEC report)</t>
        </is>
      </c>
    </row>
    <row r="779">
      <c r="A779" s="12" t="n">
        <v>952</v>
      </c>
      <c r="B779" s="12" t="inlineStr">
        <is>
          <t>2022-05-09</t>
        </is>
      </c>
      <c r="C779" s="12" t="inlineStr">
        <is>
          <t>2022-05-09</t>
        </is>
      </c>
      <c r="D779" s="12">
        <f>VALUE(LEFT(B779,4))</f>
        <v/>
      </c>
      <c r="E779" s="12">
        <f>INT((D779-1)/100)+1</f>
        <v/>
      </c>
      <c r="F779" s="12" t="inlineStr">
        <is>
          <t>Wildfire</t>
        </is>
      </c>
      <c r="G779" s="12" t="inlineStr">
        <is>
          <t>Nanticoke Fire — wildfire, 0.5 acres, Nanticoke (Broome Co.)</t>
        </is>
      </c>
      <c r="H779" s="12" t="inlineStr">
        <is>
          <t>Nanticoke, Broome County; Private Property</t>
        </is>
      </c>
      <c r="I779" s="12" t="inlineStr">
        <is>
          <t>0.5 acres; cause Power line; fuel 8 - Timber - Light Hardwood Litter</t>
        </is>
      </c>
      <c r="J779" s="12" t="inlineStr">
        <is>
          <t>42.26852, -76.05496</t>
        </is>
      </c>
      <c r="K779" s="12" t="inlineStr">
        <is>
          <t>No losses reported</t>
        </is>
      </c>
      <c r="L779" s="12" t="inlineStr">
        <is>
          <t>NYSDEC Forest Ranger Wildland Fire Reporting Database (Beginning 2008), data.ny.gov export 2026-09-28</t>
        </is>
      </c>
      <c r="M779" s="12" t="inlineStr">
        <is>
          <t>https://data.ny.gov/</t>
        </is>
      </c>
      <c r="N779" s="12" t="inlineStr">
        <is>
          <t>A</t>
        </is>
      </c>
      <c r="O779" s="12" t="inlineStr">
        <is>
          <t>Y</t>
        </is>
      </c>
      <c r="P779" s="12" t="inlineStr">
        <is>
          <t>2026-09-28 (v970, atlas session): bulk ingest per Laurie; fire number NYS-2022-0068; matching 🔥 pin on Natural History.</t>
        </is>
      </c>
      <c r="Q779" s="12" t="inlineStr">
        <is>
          <t>2022-05-09</t>
        </is>
      </c>
      <c r="R779" s="12">
        <f>VALUE(LEFT(Q779,4))</f>
        <v/>
      </c>
      <c r="S779" s="12">
        <f>VALUE(MID(Q779,6,2))</f>
        <v/>
      </c>
      <c r="T779" s="12">
        <f>VALUE(RIGHT(Q779,2))</f>
        <v/>
      </c>
      <c r="U779" s="12" t="inlineStr">
        <is>
          <t>day</t>
        </is>
      </c>
      <c r="V779" s="12" t="inlineStr">
        <is>
          <t>Fire start date (DEC report)</t>
        </is>
      </c>
    </row>
    <row r="780">
      <c r="A780" s="12" t="n">
        <v>953</v>
      </c>
      <c r="B780" s="12" t="inlineStr">
        <is>
          <t>2015-09-02</t>
        </is>
      </c>
      <c r="C780" s="12" t="inlineStr">
        <is>
          <t>2015-09-04</t>
        </is>
      </c>
      <c r="D780" s="12">
        <f>VALUE(LEFT(B780,4))</f>
        <v/>
      </c>
      <c r="E780" s="12">
        <f>INT((D780-1)/100)+1</f>
        <v/>
      </c>
      <c r="F780" s="12" t="inlineStr">
        <is>
          <t>Wildfire</t>
        </is>
      </c>
      <c r="G780" s="12" t="inlineStr">
        <is>
          <t>Buttermilk Falls Fire — wildfire, 0.1 acres, Hunter (Greene Co.)</t>
        </is>
      </c>
      <c r="H780" s="12" t="inlineStr">
        <is>
          <t>Hunter, Greene County; Forest Preserve — Kaaterskill Wild Forest</t>
        </is>
      </c>
      <c r="I780" s="12" t="inlineStr">
        <is>
          <t>0.1 acres; cause Campfire; fuel 9 - Timber - Medium Hardwood Litter</t>
        </is>
      </c>
      <c r="J780" s="12" t="inlineStr">
        <is>
          <t>42.17547, -74.07024</t>
        </is>
      </c>
      <c r="K780" s="12" t="inlineStr">
        <is>
          <t>No losses reported</t>
        </is>
      </c>
      <c r="L780" s="12" t="inlineStr">
        <is>
          <t>NYSDEC Forest Ranger Wildland Fire Reporting Database (Beginning 2008), data.ny.gov export 2026-09-28</t>
        </is>
      </c>
      <c r="M780" s="12" t="inlineStr">
        <is>
          <t>https://data.ny.gov/</t>
        </is>
      </c>
      <c r="N780" s="12" t="inlineStr">
        <is>
          <t>A</t>
        </is>
      </c>
      <c r="O780" s="12" t="inlineStr">
        <is>
          <t>Y</t>
        </is>
      </c>
      <c r="P780" s="12" t="inlineStr">
        <is>
          <t>2026-09-28 (v970, atlas session): bulk ingest per Laurie; fire number NYS-2015-0158; matching 🔥 pin on Natural History.</t>
        </is>
      </c>
      <c r="Q780" s="12" t="inlineStr">
        <is>
          <t>2015-09-02</t>
        </is>
      </c>
      <c r="R780" s="12">
        <f>VALUE(LEFT(Q780,4))</f>
        <v/>
      </c>
      <c r="S780" s="12">
        <f>VALUE(MID(Q780,6,2))</f>
        <v/>
      </c>
      <c r="T780" s="12">
        <f>VALUE(RIGHT(Q780,2))</f>
        <v/>
      </c>
      <c r="U780" s="12" t="inlineStr">
        <is>
          <t>day</t>
        </is>
      </c>
      <c r="V780" s="12" t="inlineStr">
        <is>
          <t>Fire start date (DEC report)</t>
        </is>
      </c>
    </row>
    <row r="781">
      <c r="A781" s="12" t="n">
        <v>954</v>
      </c>
      <c r="B781" s="12" t="inlineStr">
        <is>
          <t>2015-04-15</t>
        </is>
      </c>
      <c r="C781" s="12" t="inlineStr">
        <is>
          <t>2015-04-15</t>
        </is>
      </c>
      <c r="D781" s="12">
        <f>VALUE(LEFT(B781,4))</f>
        <v/>
      </c>
      <c r="E781" s="12">
        <f>INT((D781-1)/100)+1</f>
        <v/>
      </c>
      <c r="F781" s="12" t="inlineStr">
        <is>
          <t>Wildfire</t>
        </is>
      </c>
      <c r="G781" s="12" t="inlineStr">
        <is>
          <t>29 Forman — wildfire, 0.2 acres, Cochecton (Sullivan Co.)</t>
        </is>
      </c>
      <c r="H781" s="12" t="inlineStr">
        <is>
          <t>Cochecton, Sullivan County; Private Property</t>
        </is>
      </c>
      <c r="I781" s="12" t="inlineStr">
        <is>
          <t>0.2 acres; cause Smoking; fuel 1 - Grass - Light</t>
        </is>
      </c>
      <c r="J781" s="12" t="inlineStr">
        <is>
          <t>41.69768, -74.95496</t>
        </is>
      </c>
      <c r="K781" s="12" t="inlineStr">
        <is>
          <t>No losses reported</t>
        </is>
      </c>
      <c r="L781" s="12" t="inlineStr">
        <is>
          <t>NYSDEC Forest Ranger Wildland Fire Reporting Database (Beginning 2008), data.ny.gov export 2026-09-28</t>
        </is>
      </c>
      <c r="M781" s="12" t="inlineStr">
        <is>
          <t>https://data.ny.gov/</t>
        </is>
      </c>
      <c r="N781" s="12" t="inlineStr">
        <is>
          <t>A</t>
        </is>
      </c>
      <c r="O781" s="12" t="inlineStr">
        <is>
          <t>Y</t>
        </is>
      </c>
      <c r="P781" s="12" t="inlineStr">
        <is>
          <t>2026-09-28 (v970, atlas session): bulk ingest per Laurie; fire number NYS-2015-0023; matching 🔥 pin on Natural History.</t>
        </is>
      </c>
      <c r="Q781" s="12" t="inlineStr">
        <is>
          <t>2015-04-15</t>
        </is>
      </c>
      <c r="R781" s="12">
        <f>VALUE(LEFT(Q781,4))</f>
        <v/>
      </c>
      <c r="S781" s="12">
        <f>VALUE(MID(Q781,6,2))</f>
        <v/>
      </c>
      <c r="T781" s="12">
        <f>VALUE(RIGHT(Q781,2))</f>
        <v/>
      </c>
      <c r="U781" s="12" t="inlineStr">
        <is>
          <t>day</t>
        </is>
      </c>
      <c r="V781" s="12" t="inlineStr">
        <is>
          <t>Fire start date (DEC report)</t>
        </is>
      </c>
    </row>
    <row r="782">
      <c r="A782" s="12" t="n">
        <v>955</v>
      </c>
      <c r="B782" s="12" t="inlineStr">
        <is>
          <t>2012-06-30</t>
        </is>
      </c>
      <c r="C782" s="12" t="inlineStr">
        <is>
          <t>2012-06-30</t>
        </is>
      </c>
      <c r="D782" s="12">
        <f>VALUE(LEFT(B782,4))</f>
        <v/>
      </c>
      <c r="E782" s="12">
        <f>INT((D782-1)/100)+1</f>
        <v/>
      </c>
      <c r="F782" s="12" t="inlineStr">
        <is>
          <t>Wildfire</t>
        </is>
      </c>
      <c r="G782" s="12" t="inlineStr">
        <is>
          <t>Kaaterskill High Peak Fire — wildfire, 0.1 acres, Hunter (Greene Co.)</t>
        </is>
      </c>
      <c r="H782" s="12" t="inlineStr">
        <is>
          <t>Hunter, Greene County; Forest Preserve — Kaaterskill Wild Forest</t>
        </is>
      </c>
      <c r="I782" s="12" t="inlineStr">
        <is>
          <t>0.1 acres; cause Campfire; fuel 8 - Timber - Light Hardwood Litter</t>
        </is>
      </c>
      <c r="J782" s="12" t="inlineStr">
        <is>
          <t>42.17577, -74.07978</t>
        </is>
      </c>
      <c r="K782" s="12" t="inlineStr">
        <is>
          <t>No losses reported</t>
        </is>
      </c>
      <c r="L782" s="12" t="inlineStr">
        <is>
          <t>NYSDEC Forest Ranger Wildland Fire Reporting Database (Beginning 2008), data.ny.gov export 2026-09-28</t>
        </is>
      </c>
      <c r="M782" s="12" t="inlineStr">
        <is>
          <t>https://data.ny.gov/</t>
        </is>
      </c>
      <c r="N782" s="12" t="inlineStr">
        <is>
          <t>A</t>
        </is>
      </c>
      <c r="O782" s="12" t="inlineStr">
        <is>
          <t>Y</t>
        </is>
      </c>
      <c r="P782" s="12" t="inlineStr">
        <is>
          <t>2026-09-28 (v970, atlas session): bulk ingest per Laurie; fire number NYS-2012-0144; matching 🔥 pin on Natural History.</t>
        </is>
      </c>
      <c r="Q782" s="12" t="inlineStr">
        <is>
          <t>2012-06-30</t>
        </is>
      </c>
      <c r="R782" s="12">
        <f>VALUE(LEFT(Q782,4))</f>
        <v/>
      </c>
      <c r="S782" s="12">
        <f>VALUE(MID(Q782,6,2))</f>
        <v/>
      </c>
      <c r="T782" s="12">
        <f>VALUE(RIGHT(Q782,2))</f>
        <v/>
      </c>
      <c r="U782" s="12" t="inlineStr">
        <is>
          <t>day</t>
        </is>
      </c>
      <c r="V782" s="12" t="inlineStr">
        <is>
          <t>Fire start date (DEC report)</t>
        </is>
      </c>
    </row>
    <row r="783">
      <c r="A783" s="12" t="n">
        <v>956</v>
      </c>
      <c r="B783" s="12" t="inlineStr">
        <is>
          <t>2013-10-27</t>
        </is>
      </c>
      <c r="C783" s="12" t="inlineStr">
        <is>
          <t>2013-10-27</t>
        </is>
      </c>
      <c r="D783" s="12">
        <f>VALUE(LEFT(B783,4))</f>
        <v/>
      </c>
      <c r="E783" s="12">
        <f>INT((D783-1)/100)+1</f>
        <v/>
      </c>
      <c r="F783" s="12" t="inlineStr">
        <is>
          <t>Wildfire</t>
        </is>
      </c>
      <c r="G783" s="12" t="inlineStr">
        <is>
          <t>Ackerly Rd Fire — wildfire, 3 acres, Conesville (Schoharie Co.)</t>
        </is>
      </c>
      <c r="H783" s="12" t="inlineStr">
        <is>
          <t>Conesville, Schoharie County; Private Property</t>
        </is>
      </c>
      <c r="I783" s="12" t="inlineStr">
        <is>
          <t>3 acres; cause Debris Burning; fuel 9 - Timber - Medium Hardwood Litter</t>
        </is>
      </c>
      <c r="J783" s="12" t="inlineStr">
        <is>
          <t>42.22608, -74.16945</t>
        </is>
      </c>
      <c r="K783" s="12" t="inlineStr">
        <is>
          <t>No losses reported</t>
        </is>
      </c>
      <c r="L783" s="12" t="inlineStr">
        <is>
          <t>NYSDEC Forest Ranger Wildland Fire Reporting Database (Beginning 2008), data.ny.gov export 2026-09-28</t>
        </is>
      </c>
      <c r="M783" s="12" t="inlineStr">
        <is>
          <t>https://data.ny.gov/</t>
        </is>
      </c>
      <c r="N783" s="12" t="inlineStr">
        <is>
          <t>A</t>
        </is>
      </c>
      <c r="O783" s="12" t="inlineStr">
        <is>
          <t>Y</t>
        </is>
      </c>
      <c r="P783" s="12" t="inlineStr">
        <is>
          <t>2026-09-28 (v970, atlas session): bulk ingest per Laurie; fire number NYS-2013-0128; matching 🔥 pin on Natural History.</t>
        </is>
      </c>
      <c r="Q783" s="12" t="inlineStr">
        <is>
          <t>2013-10-27</t>
        </is>
      </c>
      <c r="R783" s="12">
        <f>VALUE(LEFT(Q783,4))</f>
        <v/>
      </c>
      <c r="S783" s="12">
        <f>VALUE(MID(Q783,6,2))</f>
        <v/>
      </c>
      <c r="T783" s="12">
        <f>VALUE(RIGHT(Q783,2))</f>
        <v/>
      </c>
      <c r="U783" s="12" t="inlineStr">
        <is>
          <t>day</t>
        </is>
      </c>
      <c r="V783" s="12" t="inlineStr">
        <is>
          <t>Fire start date (DEC report)</t>
        </is>
      </c>
    </row>
    <row r="784">
      <c r="A784" s="12" t="n">
        <v>957</v>
      </c>
      <c r="B784" s="12" t="inlineStr">
        <is>
          <t>2022-04-29</t>
        </is>
      </c>
      <c r="C784" s="12" t="inlineStr">
        <is>
          <t>2022-04-30</t>
        </is>
      </c>
      <c r="D784" s="12">
        <f>VALUE(LEFT(B784,4))</f>
        <v/>
      </c>
      <c r="E784" s="12">
        <f>INT((D784-1)/100)+1</f>
        <v/>
      </c>
      <c r="F784" s="12" t="inlineStr">
        <is>
          <t>Wildfire</t>
        </is>
      </c>
      <c r="G784" s="12" t="inlineStr">
        <is>
          <t>Gallatin #2 — wildfire, 2.2 acres, Gallatin (Columbia Co.)</t>
        </is>
      </c>
      <c r="H784" s="12" t="inlineStr">
        <is>
          <t>Gallatin, Columbia County; Private Property</t>
        </is>
      </c>
      <c r="I784" s="12" t="inlineStr">
        <is>
          <t>2.2 acres; cause Equipment; fuel 12 - Slash - Medium</t>
        </is>
      </c>
      <c r="J784" s="12" t="inlineStr">
        <is>
          <t>42.10924, -73.67575</t>
        </is>
      </c>
      <c r="K784" s="12" t="inlineStr">
        <is>
          <t>No losses reported</t>
        </is>
      </c>
      <c r="L784" s="12" t="inlineStr">
        <is>
          <t>NYSDEC Forest Ranger Wildland Fire Reporting Database (Beginning 2008), data.ny.gov export 2026-09-28</t>
        </is>
      </c>
      <c r="M784" s="12" t="inlineStr">
        <is>
          <t>https://data.ny.gov/</t>
        </is>
      </c>
      <c r="N784" s="12" t="inlineStr">
        <is>
          <t>A</t>
        </is>
      </c>
      <c r="O784" s="12" t="inlineStr">
        <is>
          <t>Y</t>
        </is>
      </c>
      <c r="P784" s="12" t="inlineStr">
        <is>
          <t>2026-09-28 (v970, atlas session): bulk ingest per Laurie; fire number NYS-2022-0053; matching 🔥 pin on Natural History.</t>
        </is>
      </c>
      <c r="Q784" s="12" t="inlineStr">
        <is>
          <t>2022-04-29</t>
        </is>
      </c>
      <c r="R784" s="12">
        <f>VALUE(LEFT(Q784,4))</f>
        <v/>
      </c>
      <c r="S784" s="12">
        <f>VALUE(MID(Q784,6,2))</f>
        <v/>
      </c>
      <c r="T784" s="12">
        <f>VALUE(RIGHT(Q784,2))</f>
        <v/>
      </c>
      <c r="U784" s="12" t="inlineStr">
        <is>
          <t>day</t>
        </is>
      </c>
      <c r="V784" s="12" t="inlineStr">
        <is>
          <t>Fire start date (DEC report)</t>
        </is>
      </c>
    </row>
  </sheetData>
  <autoFilter ref="A1:V265"/>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U78"/>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1" customWidth="1" style="12" min="1" max="1"/>
    <col width="9" customWidth="1" style="12" min="2" max="2"/>
    <col width="18" customWidth="1" style="12" min="3" max="3"/>
    <col width="34" customWidth="1" style="12" min="4" max="4"/>
    <col width="18" customWidth="1" style="12" min="5" max="5"/>
    <col width="16" customWidth="1" style="12" min="6" max="6"/>
    <col width="9" customWidth="1" style="12" min="7" max="7"/>
    <col width="8" customWidth="1" style="12" min="8" max="8"/>
    <col width="7" customWidth="1" style="12" min="9" max="9"/>
    <col width="8" customWidth="1" style="12" min="10" max="10"/>
    <col width="9" customWidth="1" style="12" min="11" max="14"/>
    <col width="12" customWidth="1" style="12" min="15" max="16"/>
    <col width="10" customWidth="1" style="12" min="17" max="17"/>
    <col width="9" customWidth="1" style="12" min="18" max="18"/>
    <col width="26" customWidth="1" style="12" min="19" max="19"/>
    <col width="9" customWidth="1" style="12" min="20" max="20"/>
    <col width="45" customWidth="1" style="12" min="21" max="21"/>
  </cols>
  <sheetData>
    <row r="1" ht="34.5" customHeight="1" s="13">
      <c r="A1" s="18" t="inlineStr">
        <is>
          <t>Date</t>
        </is>
      </c>
      <c r="B1" s="18" t="inlineStr">
        <is>
          <t>Time (local)</t>
        </is>
      </c>
      <c r="C1" s="18" t="inlineStr">
        <is>
          <t>County</t>
        </is>
      </c>
      <c r="D1" s="18" t="inlineStr">
        <is>
          <t>Place / path</t>
        </is>
      </c>
      <c r="E1" s="18" t="inlineStr">
        <is>
          <t>Type</t>
        </is>
      </c>
      <c r="F1" s="18" t="inlineStr">
        <is>
          <t>Rating / peak wind</t>
        </is>
      </c>
      <c r="G1" s="18" t="inlineStr">
        <is>
          <t>Path length (mi)</t>
        </is>
      </c>
      <c r="H1" s="18" t="inlineStr">
        <is>
          <t>Width (yd)</t>
        </is>
      </c>
      <c r="I1" s="18" t="inlineStr">
        <is>
          <t>Deaths</t>
        </is>
      </c>
      <c r="J1" s="18" t="inlineStr">
        <is>
          <t>Injuries</t>
        </is>
      </c>
      <c r="K1" s="18" t="inlineStr">
        <is>
          <t>Start lat</t>
        </is>
      </c>
      <c r="L1" s="18" t="inlineStr">
        <is>
          <t>Start lon</t>
        </is>
      </c>
      <c r="M1" s="18" t="inlineStr">
        <is>
          <t>End lat</t>
        </is>
      </c>
      <c r="N1" s="18" t="inlineStr">
        <is>
          <t>End lon</t>
        </is>
      </c>
      <c r="O1" s="18" t="inlineStr">
        <is>
          <t>Dist. from Westerlo, start (mi)</t>
        </is>
      </c>
      <c r="P1" s="18" t="inlineStr">
        <is>
          <t>Dist. from Westerlo, end (mi)</t>
        </is>
      </c>
      <c r="Q1" s="18" t="inlineStr">
        <is>
          <t>Nearest point (mi)</t>
        </is>
      </c>
      <c r="R1" s="18" t="inlineStr">
        <is>
          <t>Within radius?</t>
        </is>
      </c>
      <c r="S1" s="18" t="inlineStr">
        <is>
          <t>Source</t>
        </is>
      </c>
      <c r="T1" s="18" t="inlineStr">
        <is>
          <t>Confidence</t>
        </is>
      </c>
      <c r="U1" s="18" t="inlineStr">
        <is>
          <t>Notes</t>
        </is>
      </c>
    </row>
    <row r="2" ht="15" customHeight="1" s="13">
      <c r="A2" s="19" t="inlineStr">
        <is>
          <t>1821-07-08</t>
        </is>
      </c>
      <c r="B2" s="19" t="n"/>
      <c r="C2" s="19" t="inlineStr">
        <is>
          <t>Columbia</t>
        </is>
      </c>
      <c r="D2" s="19" t="inlineStr">
        <is>
          <t>Columbia Co. (Grazulis)</t>
        </is>
      </c>
      <c r="E2" s="19" t="inlineStr">
        <is>
          <t>Tornado</t>
        </is>
      </c>
      <c r="F2" s="19" t="inlineStr">
        <is>
          <t>FU</t>
        </is>
      </c>
      <c r="G2" s="19" t="n">
        <v>5.5</v>
      </c>
      <c r="H2" s="19" t="n">
        <v>100</v>
      </c>
      <c r="I2" s="19" t="n">
        <v>0</v>
      </c>
      <c r="J2" s="19" t="n">
        <v>0</v>
      </c>
      <c r="K2" s="19" t="n">
        <v>42.25</v>
      </c>
      <c r="L2" s="19" t="n">
        <v>-73.62</v>
      </c>
      <c r="M2" s="19" t="n"/>
      <c r="N2" s="19" t="n"/>
      <c r="O2" s="19">
        <f>IF(OR(K2="",L2=""),"",ROUND(3959*ACOS(MIN(1,SIN(RADIANS(README!$B$3))*SIN(RADIANS(K2))+COS(RADIANS(README!$B$3))*COS(RADIANS(K2))*COS(RADIANS(L2-README!$B$4)))),1))</f>
        <v/>
      </c>
      <c r="P2" s="19">
        <f>IF(OR(M2="",N2=""),"",ROUND(3959*ACOS(MIN(1,SIN(RADIANS(README!$B$3))*SIN(RADIANS(M2))+COS(RADIANS(README!$B$3))*COS(RADIANS(M2))*COS(RADIANS(N2-README!$B$4)))),1))</f>
        <v/>
      </c>
      <c r="Q2" s="19">
        <f>IF(O2="","",IF(P2="",O2,MIN(O2,P2)))</f>
        <v/>
      </c>
      <c r="R2" s="19">
        <f>IF(Q2="","n/a",IF(Q2&lt;=README!$B$5,"Yes","No"))</f>
        <v/>
      </c>
      <c r="S2" s="19" t="inlineStr">
        <is>
          <t>Grazulis via tornadopath</t>
        </is>
      </c>
      <c r="T2" s="19" t="inlineStr">
        <is>
          <t>C</t>
        </is>
      </c>
      <c r="U2" s="19" t="inlineStr">
        <is>
          <t>County centroid approx; pre-1950 F2+/deadly only</t>
        </is>
      </c>
    </row>
    <row r="3" ht="15" customHeight="1" s="13">
      <c r="A3" s="19" t="inlineStr">
        <is>
          <t>1867-06-16</t>
        </is>
      </c>
      <c r="B3" s="19" t="n"/>
      <c r="C3" s="19" t="inlineStr">
        <is>
          <t>Columbia</t>
        </is>
      </c>
      <c r="D3" s="19" t="inlineStr">
        <is>
          <t>Columbia Co. (Grazulis)</t>
        </is>
      </c>
      <c r="E3" s="19" t="inlineStr">
        <is>
          <t>Tornado</t>
        </is>
      </c>
      <c r="F3" s="19" t="inlineStr">
        <is>
          <t>FU</t>
        </is>
      </c>
      <c r="G3" s="19" t="n"/>
      <c r="H3" s="19" t="n"/>
      <c r="I3" s="19" t="n">
        <v>0</v>
      </c>
      <c r="J3" s="19" t="n">
        <v>0</v>
      </c>
      <c r="K3" s="19" t="n">
        <v>42.25</v>
      </c>
      <c r="L3" s="19" t="n">
        <v>-73.62</v>
      </c>
      <c r="M3" s="19" t="n"/>
      <c r="N3" s="19" t="n"/>
      <c r="O3" s="19">
        <f>IF(OR(K3="",L3=""),"",ROUND(3959*ACOS(MIN(1,SIN(RADIANS(README!$B$3))*SIN(RADIANS(K3))+COS(RADIANS(README!$B$3))*COS(RADIANS(K3))*COS(RADIANS(L3-README!$B$4)))),1))</f>
        <v/>
      </c>
      <c r="P3" s="19">
        <f>IF(OR(M3="",N3=""),"",ROUND(3959*ACOS(MIN(1,SIN(RADIANS(README!$B$3))*SIN(RADIANS(M3))+COS(RADIANS(README!$B$3))*COS(RADIANS(M3))*COS(RADIANS(N3-README!$B$4)))),1))</f>
        <v/>
      </c>
      <c r="Q3" s="19">
        <f>IF(O3="","",IF(P3="",O3,MIN(O3,P3)))</f>
        <v/>
      </c>
      <c r="R3" s="19">
        <f>IF(Q3="","n/a",IF(Q3&lt;=README!$B$5,"Yes","No"))</f>
        <v/>
      </c>
      <c r="S3" s="19" t="inlineStr">
        <is>
          <t>Grazulis via tornadopath</t>
        </is>
      </c>
      <c r="T3" s="19" t="inlineStr">
        <is>
          <t>C</t>
        </is>
      </c>
      <c r="U3" s="19" t="inlineStr">
        <is>
          <t>County centroid approx</t>
        </is>
      </c>
    </row>
    <row r="4" ht="15" customHeight="1" s="13">
      <c r="A4" s="19" t="inlineStr">
        <is>
          <t>1875-08-22</t>
        </is>
      </c>
      <c r="B4" s="19" t="inlineStr">
        <is>
          <t>16:56</t>
        </is>
      </c>
      <c r="C4" s="19" t="inlineStr">
        <is>
          <t>Albany</t>
        </is>
      </c>
      <c r="D4" s="19" t="inlineStr">
        <is>
          <t>Albany Co. (Grazulis)</t>
        </is>
      </c>
      <c r="E4" s="19" t="inlineStr">
        <is>
          <t>Tornado</t>
        </is>
      </c>
      <c r="F4" s="19" t="inlineStr">
        <is>
          <t>F1</t>
        </is>
      </c>
      <c r="G4" s="19" t="n"/>
      <c r="H4" s="19" t="n"/>
      <c r="I4" s="19" t="n">
        <v>2</v>
      </c>
      <c r="J4" s="19" t="n">
        <v>0</v>
      </c>
      <c r="K4" s="19" t="n">
        <v>42.6</v>
      </c>
      <c r="L4" s="19" t="n">
        <v>-73.97</v>
      </c>
      <c r="M4" s="19" t="n"/>
      <c r="N4" s="19" t="n"/>
      <c r="O4" s="19">
        <f>IF(OR(K4="",L4=""),"",ROUND(3959*ACOS(MIN(1,SIN(RADIANS(README!$B$3))*SIN(RADIANS(K4))+COS(RADIANS(README!$B$3))*COS(RADIANS(K4))*COS(RADIANS(L4-README!$B$4)))),1))</f>
        <v/>
      </c>
      <c r="P4" s="19">
        <f>IF(OR(M4="",N4=""),"",ROUND(3959*ACOS(MIN(1,SIN(RADIANS(README!$B$3))*SIN(RADIANS(M4))+COS(RADIANS(README!$B$3))*COS(RADIANS(M4))*COS(RADIANS(N4-README!$B$4)))),1))</f>
        <v/>
      </c>
      <c r="Q4" s="19">
        <f>IF(O4="","",IF(P4="",O4,MIN(O4,P4)))</f>
        <v/>
      </c>
      <c r="R4" s="19">
        <f>IF(Q4="","n/a",IF(Q4&lt;=README!$B$5,"Yes","No"))</f>
        <v/>
      </c>
      <c r="S4" s="19" t="inlineStr">
        <is>
          <t>Grazulis via tornadopath</t>
        </is>
      </c>
      <c r="T4" s="19" t="inlineStr">
        <is>
          <t>C</t>
        </is>
      </c>
      <c r="U4" s="19" t="inlineStr">
        <is>
          <t>2 fatalities; county centroid approx</t>
        </is>
      </c>
    </row>
    <row r="5" ht="15" customHeight="1" s="13">
      <c r="A5" s="19" t="inlineStr">
        <is>
          <t>1877-07-16</t>
        </is>
      </c>
      <c r="B5" s="19" t="inlineStr">
        <is>
          <t>16:56</t>
        </is>
      </c>
      <c r="C5" s="19" t="inlineStr">
        <is>
          <t>Columbia</t>
        </is>
      </c>
      <c r="D5" s="19" t="inlineStr">
        <is>
          <t>Columbia Co. (Grazulis)</t>
        </is>
      </c>
      <c r="E5" s="19" t="inlineStr">
        <is>
          <t>Tornado</t>
        </is>
      </c>
      <c r="F5" s="19" t="inlineStr">
        <is>
          <t>F1</t>
        </is>
      </c>
      <c r="G5" s="19" t="n"/>
      <c r="H5" s="19" t="n"/>
      <c r="I5" s="19" t="n">
        <v>0</v>
      </c>
      <c r="J5" s="19" t="n">
        <v>0</v>
      </c>
      <c r="K5" s="19" t="n">
        <v>42.25</v>
      </c>
      <c r="L5" s="19" t="n">
        <v>-73.62</v>
      </c>
      <c r="M5" s="19" t="n"/>
      <c r="N5" s="19" t="n"/>
      <c r="O5" s="19">
        <f>IF(OR(K5="",L5=""),"",ROUND(3959*ACOS(MIN(1,SIN(RADIANS(README!$B$3))*SIN(RADIANS(K5))+COS(RADIANS(README!$B$3))*COS(RADIANS(K5))*COS(RADIANS(L5-README!$B$4)))),1))</f>
        <v/>
      </c>
      <c r="P5" s="19">
        <f>IF(OR(M5="",N5=""),"",ROUND(3959*ACOS(MIN(1,SIN(RADIANS(README!$B$3))*SIN(RADIANS(M5))+COS(RADIANS(README!$B$3))*COS(RADIANS(M5))*COS(RADIANS(N5-README!$B$4)))),1))</f>
        <v/>
      </c>
      <c r="Q5" s="19">
        <f>IF(O5="","",IF(P5="",O5,MIN(O5,P5)))</f>
        <v/>
      </c>
      <c r="R5" s="19">
        <f>IF(Q5="","n/a",IF(Q5&lt;=README!$B$5,"Yes","No"))</f>
        <v/>
      </c>
      <c r="S5" s="19" t="inlineStr">
        <is>
          <t>Grazulis via tornadopath</t>
        </is>
      </c>
      <c r="T5" s="19" t="inlineStr">
        <is>
          <t>C</t>
        </is>
      </c>
      <c r="U5" s="19" t="inlineStr">
        <is>
          <t>County centroid approx</t>
        </is>
      </c>
    </row>
    <row r="6" ht="15" customHeight="1" s="13">
      <c r="A6" s="19" t="inlineStr">
        <is>
          <t>1878-07-21</t>
        </is>
      </c>
      <c r="B6" s="19" t="inlineStr">
        <is>
          <t>18:20</t>
        </is>
      </c>
      <c r="C6" s="19" t="inlineStr">
        <is>
          <t>Albany</t>
        </is>
      </c>
      <c r="D6" s="19" t="inlineStr">
        <is>
          <t>Albany Co. (Grazulis)</t>
        </is>
      </c>
      <c r="E6" s="19" t="inlineStr">
        <is>
          <t>Tornado</t>
        </is>
      </c>
      <c r="F6" s="19" t="inlineStr">
        <is>
          <t>F2</t>
        </is>
      </c>
      <c r="G6" s="19" t="n">
        <v>0.5</v>
      </c>
      <c r="H6" s="19" t="n">
        <v>50</v>
      </c>
      <c r="I6" s="19" t="n">
        <v>0</v>
      </c>
      <c r="J6" s="19" t="n">
        <v>0</v>
      </c>
      <c r="K6" s="19" t="n">
        <v>42.6</v>
      </c>
      <c r="L6" s="19" t="n">
        <v>-73.97</v>
      </c>
      <c r="M6" s="19" t="n"/>
      <c r="N6" s="19" t="n"/>
      <c r="O6" s="19">
        <f>IF(OR(K6="",L6=""),"",ROUND(3959*ACOS(MIN(1,SIN(RADIANS(README!$B$3))*SIN(RADIANS(K6))+COS(RADIANS(README!$B$3))*COS(RADIANS(K6))*COS(RADIANS(L6-README!$B$4)))),1))</f>
        <v/>
      </c>
      <c r="P6" s="19">
        <f>IF(OR(M6="",N6=""),"",ROUND(3959*ACOS(MIN(1,SIN(RADIANS(README!$B$3))*SIN(RADIANS(M6))+COS(RADIANS(README!$B$3))*COS(RADIANS(M6))*COS(RADIANS(N6-README!$B$4)))),1))</f>
        <v/>
      </c>
      <c r="Q6" s="19">
        <f>IF(O6="","",IF(P6="",O6,MIN(O6,P6)))</f>
        <v/>
      </c>
      <c r="R6" s="19">
        <f>IF(Q6="","n/a",IF(Q6&lt;=README!$B$5,"Yes","No"))</f>
        <v/>
      </c>
      <c r="S6" s="19" t="inlineStr">
        <is>
          <t>Grazulis via tornadopath</t>
        </is>
      </c>
      <c r="T6" s="19" t="inlineStr">
        <is>
          <t>C</t>
        </is>
      </c>
      <c r="U6" s="19" t="inlineStr">
        <is>
          <t>County centroid approx</t>
        </is>
      </c>
    </row>
    <row r="7" ht="15" customHeight="1" s="13">
      <c r="A7" s="19" t="inlineStr">
        <is>
          <t>1879-07-16</t>
        </is>
      </c>
      <c r="B7" s="19" t="inlineStr">
        <is>
          <t>19:30</t>
        </is>
      </c>
      <c r="C7" s="19" t="inlineStr">
        <is>
          <t>Greene</t>
        </is>
      </c>
      <c r="D7" s="19" t="inlineStr">
        <is>
          <t>Greene Co. (Grazulis)</t>
        </is>
      </c>
      <c r="E7" s="19" t="inlineStr">
        <is>
          <t>Tornado</t>
        </is>
      </c>
      <c r="F7" s="19" t="inlineStr">
        <is>
          <t>F2</t>
        </is>
      </c>
      <c r="G7" s="19" t="n"/>
      <c r="H7" s="19" t="n"/>
      <c r="I7" s="19" t="n">
        <v>0</v>
      </c>
      <c r="J7" s="19" t="n">
        <v>0</v>
      </c>
      <c r="K7" s="19" t="n">
        <v>42.28</v>
      </c>
      <c r="L7" s="19" t="n">
        <v>-74.12</v>
      </c>
      <c r="M7" s="19" t="n"/>
      <c r="N7" s="19" t="n"/>
      <c r="O7" s="19">
        <f>IF(OR(K7="",L7=""),"",ROUND(3959*ACOS(MIN(1,SIN(RADIANS(README!$B$3))*SIN(RADIANS(K7))+COS(RADIANS(README!$B$3))*COS(RADIANS(K7))*COS(RADIANS(L7-README!$B$4)))),1))</f>
        <v/>
      </c>
      <c r="P7" s="19">
        <f>IF(OR(M7="",N7=""),"",ROUND(3959*ACOS(MIN(1,SIN(RADIANS(README!$B$3))*SIN(RADIANS(M7))+COS(RADIANS(README!$B$3))*COS(RADIANS(M7))*COS(RADIANS(N7-README!$B$4)))),1))</f>
        <v/>
      </c>
      <c r="Q7" s="19">
        <f>IF(O7="","",IF(P7="",O7,MIN(O7,P7)))</f>
        <v/>
      </c>
      <c r="R7" s="19">
        <f>IF(Q7="","n/a",IF(Q7&lt;=README!$B$5,"Yes","No"))</f>
        <v/>
      </c>
      <c r="S7" s="19" t="inlineStr">
        <is>
          <t>Grazulis via tornadopath</t>
        </is>
      </c>
      <c r="T7" s="19" t="inlineStr">
        <is>
          <t>C</t>
        </is>
      </c>
      <c r="U7" s="19" t="inlineStr">
        <is>
          <t>County centroid approx</t>
        </is>
      </c>
    </row>
    <row r="8" ht="34.5" customHeight="1" s="13">
      <c r="A8" s="19" t="inlineStr">
        <is>
          <t>1950-11-24</t>
        </is>
      </c>
      <c r="B8" s="19" t="inlineStr">
        <is>
          <t>18:30</t>
        </is>
      </c>
      <c r="C8" s="19" t="inlineStr">
        <is>
          <t>Albany</t>
        </is>
      </c>
      <c r="D8" s="19" t="inlineStr">
        <is>
          <t>Albany (Great Appalachian Storm)</t>
        </is>
      </c>
      <c r="E8" s="19" t="inlineStr">
        <is>
          <t>Synoptic windstorm</t>
        </is>
      </c>
      <c r="F8" s="19" t="inlineStr">
        <is>
          <t>83 mph gust</t>
        </is>
      </c>
      <c r="G8" s="19" t="n"/>
      <c r="H8" s="19" t="n"/>
      <c r="I8" s="19" t="n"/>
      <c r="J8" s="19" t="n"/>
      <c r="K8" s="19" t="n">
        <v>42.75</v>
      </c>
      <c r="L8" s="19" t="n">
        <v>-73.8</v>
      </c>
      <c r="M8" s="19" t="n"/>
      <c r="N8" s="19" t="n"/>
      <c r="O8" s="19">
        <f>IF(OR(K8="",L8=""),"",ROUND(3959*ACOS(MIN(1,SIN(RADIANS(README!$B$3))*SIN(RADIANS(K8))+COS(RADIANS(README!$B$3))*COS(RADIANS(K8))*COS(RADIANS(L8-README!$B$4)))),1))</f>
        <v/>
      </c>
      <c r="P8" s="19">
        <f>IF(OR(M8="",N8=""),"",ROUND(3959*ACOS(MIN(1,SIN(RADIANS(README!$B$3))*SIN(RADIANS(M8))+COS(RADIANS(README!$B$3))*COS(RADIANS(M8))*COS(RADIANS(N8-README!$B$4)))),1))</f>
        <v/>
      </c>
      <c r="Q8" s="19">
        <f>IF(O8="","",IF(P8="",O8,MIN(O8,P8)))</f>
        <v/>
      </c>
      <c r="R8" s="19">
        <f>IF(Q8="","n/a",IF(Q8&lt;=README!$B$5,"Yes","No"))</f>
        <v/>
      </c>
      <c r="S8" s="19" t="inlineStr">
        <is>
          <t>NWS Albany – Past Weather Events (weather.gov/aly/pastevents)</t>
        </is>
      </c>
      <c r="T8" s="19" t="inlineStr">
        <is>
          <t>A</t>
        </is>
      </c>
      <c r="U8" s="19" t="inlineStr">
        <is>
          <t>Strongest gust ever at Albany</t>
        </is>
      </c>
    </row>
    <row r="9" ht="23.25" customHeight="1" s="13">
      <c r="A9" s="19" t="inlineStr">
        <is>
          <t>1960-06-24</t>
        </is>
      </c>
      <c r="B9" s="19" t="inlineStr">
        <is>
          <t>17:30</t>
        </is>
      </c>
      <c r="C9" s="19" t="inlineStr">
        <is>
          <t>Schenectady</t>
        </is>
      </c>
      <c r="D9" s="19" t="inlineStr">
        <is>
          <t>Schenectady Co.</t>
        </is>
      </c>
      <c r="E9" s="19" t="inlineStr">
        <is>
          <t>Tornado</t>
        </is>
      </c>
      <c r="F9" s="19" t="inlineStr">
        <is>
          <t>F3</t>
        </is>
      </c>
      <c r="G9" s="19" t="n"/>
      <c r="H9" s="19" t="n"/>
      <c r="I9" s="19" t="n">
        <v>0</v>
      </c>
      <c r="J9" s="19" t="n">
        <v>9</v>
      </c>
      <c r="K9" s="19" t="n">
        <v>42.8</v>
      </c>
      <c r="L9" s="19" t="n">
        <v>-73.88</v>
      </c>
      <c r="M9" s="19" t="n">
        <v>42.92</v>
      </c>
      <c r="N9" s="19" t="n">
        <v>-73.73</v>
      </c>
      <c r="O9" s="19">
        <f>IF(OR(K9="",L9=""),"",ROUND(3959*ACOS(MIN(1,SIN(RADIANS(README!$B$3))*SIN(RADIANS(K9))+COS(RADIANS(README!$B$3))*COS(RADIANS(K9))*COS(RADIANS(L9-README!$B$4)))),1))</f>
        <v/>
      </c>
      <c r="P9" s="19">
        <f>IF(OR(M9="",N9=""),"",ROUND(3959*ACOS(MIN(1,SIN(RADIANS(README!$B$3))*SIN(RADIANS(M9))+COS(RADIANS(README!$B$3))*COS(RADIANS(M9))*COS(RADIANS(N9-README!$B$4)))),1))</f>
        <v/>
      </c>
      <c r="Q9" s="19">
        <f>IF(O9="","",IF(P9="",O9,MIN(O9,P9)))</f>
        <v/>
      </c>
      <c r="R9" s="19">
        <f>IF(Q9="","n/a",IF(Q9&lt;=README!$B$5,"Yes","No"))</f>
        <v/>
      </c>
      <c r="S9" s="19" t="inlineStr">
        <is>
          <t>Tornado Project (Grazulis) NY county list 1950–2012</t>
        </is>
      </c>
      <c r="T9" s="19" t="inlineStr">
        <is>
          <t>A</t>
        </is>
      </c>
      <c r="U9" s="19" t="inlineStr">
        <is>
          <t>~$25M</t>
        </is>
      </c>
    </row>
    <row r="10" ht="34.5" customHeight="1" s="13">
      <c r="A10" s="19" t="inlineStr">
        <is>
          <t>1964-12-04</t>
        </is>
      </c>
      <c r="B10" s="19" t="n"/>
      <c r="C10" s="19" t="inlineStr">
        <is>
          <t>Region</t>
        </is>
      </c>
      <c r="D10" s="19" t="inlineStr">
        <is>
          <t>East-central NY</t>
        </is>
      </c>
      <c r="E10" s="19" t="inlineStr">
        <is>
          <t>Ice storm (not wind)</t>
        </is>
      </c>
      <c r="F10" s="19" t="inlineStr">
        <is>
          <t>1.5 in ice</t>
        </is>
      </c>
      <c r="G10" s="19" t="n"/>
      <c r="H10" s="19" t="n"/>
      <c r="I10" s="19" t="n"/>
      <c r="J10" s="19" t="n"/>
      <c r="K10" s="19" t="n">
        <v>42.75</v>
      </c>
      <c r="L10" s="19" t="n">
        <v>-73.8</v>
      </c>
      <c r="M10" s="19" t="n"/>
      <c r="N10" s="19" t="n"/>
      <c r="O10" s="19">
        <f>IF(OR(K10="",L10=""),"",ROUND(3959*ACOS(MIN(1,SIN(RADIANS(README!$B$3))*SIN(RADIANS(K10))+COS(RADIANS(README!$B$3))*COS(RADIANS(K10))*COS(RADIANS(L10-README!$B$4)))),1))</f>
        <v/>
      </c>
      <c r="P10" s="19">
        <f>IF(OR(M10="",N10=""),"",ROUND(3959*ACOS(MIN(1,SIN(RADIANS(README!$B$3))*SIN(RADIANS(M10))+COS(RADIANS(README!$B$3))*COS(RADIANS(M10))*COS(RADIANS(N10-README!$B$4)))),1))</f>
        <v/>
      </c>
      <c r="Q10" s="19">
        <f>IF(O10="","",IF(P10="",O10,MIN(O10,P10)))</f>
        <v/>
      </c>
      <c r="R10" s="19">
        <f>IF(Q10="","n/a",IF(Q10&lt;=README!$B$5,"Yes","No"))</f>
        <v/>
      </c>
      <c r="S10" s="19" t="inlineStr">
        <is>
          <t>NWS Albany – Past Weather Events (weather.gov/aly/pastevents)</t>
        </is>
      </c>
      <c r="T10" s="19" t="inlineStr">
        <is>
          <t>A</t>
        </is>
      </c>
      <c r="U10" s="19" t="inlineStr">
        <is>
          <t>Listed for tree-damage comparison</t>
        </is>
      </c>
    </row>
    <row r="11" ht="23.25" customHeight="1" s="13">
      <c r="A11" s="19" t="inlineStr">
        <is>
          <t>1973-06-30</t>
        </is>
      </c>
      <c r="B11" s="19" t="inlineStr">
        <is>
          <t>16:15</t>
        </is>
      </c>
      <c r="C11" s="19" t="inlineStr">
        <is>
          <t>Albany</t>
        </is>
      </c>
      <c r="D11" s="19" t="inlineStr">
        <is>
          <t>SW Albany Co. – Westerlo/Rensselaerville area</t>
        </is>
      </c>
      <c r="E11" s="19" t="inlineStr">
        <is>
          <t>Tornado</t>
        </is>
      </c>
      <c r="F11" s="19" t="inlineStr">
        <is>
          <t>F1</t>
        </is>
      </c>
      <c r="G11" s="19" t="n">
        <v>1.3</v>
      </c>
      <c r="H11" s="19" t="n">
        <v>10</v>
      </c>
      <c r="I11" s="19" t="n">
        <v>0</v>
      </c>
      <c r="J11" s="19" t="n">
        <v>2</v>
      </c>
      <c r="K11" s="19" t="n">
        <v>42.55</v>
      </c>
      <c r="L11" s="19" t="n">
        <v>-74.05</v>
      </c>
      <c r="M11" s="19" t="n"/>
      <c r="N11" s="19" t="n"/>
      <c r="O11" s="19">
        <f>IF(OR(K11="",L11=""),"",ROUND(3959*ACOS(MIN(1,SIN(RADIANS(README!$B$3))*SIN(RADIANS(K11))+COS(RADIANS(README!$B$3))*COS(RADIANS(K11))*COS(RADIANS(L11-README!$B$4)))),1))</f>
        <v/>
      </c>
      <c r="P11" s="19">
        <f>IF(OR(M11="",N11=""),"",ROUND(3959*ACOS(MIN(1,SIN(RADIANS(README!$B$3))*SIN(RADIANS(M11))+COS(RADIANS(README!$B$3))*COS(RADIANS(M11))*COS(RADIANS(N11-README!$B$4)))),1))</f>
        <v/>
      </c>
      <c r="Q11" s="19">
        <f>IF(O11="","",IF(P11="",O11,MIN(O11,P11)))</f>
        <v/>
      </c>
      <c r="R11" s="19">
        <f>IF(Q11="","n/a",IF(Q11&lt;=README!$B$5,"Yes","No"))</f>
        <v/>
      </c>
      <c r="S11" s="19" t="inlineStr">
        <is>
          <t>Tornado Project (Grazulis) NY county list 1950–2012</t>
        </is>
      </c>
      <c r="T11" s="19" t="inlineStr">
        <is>
          <t>A</t>
        </is>
      </c>
      <c r="U11" s="19" t="inlineStr">
        <is>
          <t>Touchdown ~2 mi from Westerlo hamlet</t>
        </is>
      </c>
    </row>
    <row r="12" ht="23.25" customHeight="1" s="13">
      <c r="A12" s="19" t="inlineStr">
        <is>
          <t>1973-08-28</t>
        </is>
      </c>
      <c r="B12" s="19" t="inlineStr">
        <is>
          <t>10:00</t>
        </is>
      </c>
      <c r="C12" s="19" t="inlineStr">
        <is>
          <t>Rensselaer</t>
        </is>
      </c>
      <c r="D12" s="19" t="inlineStr">
        <is>
          <t>Rensselaer Co.</t>
        </is>
      </c>
      <c r="E12" s="19" t="inlineStr">
        <is>
          <t>Tornado</t>
        </is>
      </c>
      <c r="F12" s="19" t="inlineStr">
        <is>
          <t>F2</t>
        </is>
      </c>
      <c r="G12" s="19" t="n">
        <v>2.3</v>
      </c>
      <c r="H12" s="19" t="n">
        <v>83</v>
      </c>
      <c r="I12" s="19" t="n">
        <v>0</v>
      </c>
      <c r="J12" s="19" t="n">
        <v>1</v>
      </c>
      <c r="K12" s="19" t="n">
        <v>42.9</v>
      </c>
      <c r="L12" s="19" t="n">
        <v>-73.55</v>
      </c>
      <c r="M12" s="19" t="n">
        <v>42.92</v>
      </c>
      <c r="N12" s="19" t="n">
        <v>-73.48</v>
      </c>
      <c r="O12" s="19">
        <f>IF(OR(K12="",L12=""),"",ROUND(3959*ACOS(MIN(1,SIN(RADIANS(README!$B$3))*SIN(RADIANS(K12))+COS(RADIANS(README!$B$3))*COS(RADIANS(K12))*COS(RADIANS(L12-README!$B$4)))),1))</f>
        <v/>
      </c>
      <c r="P12" s="19">
        <f>IF(OR(M12="",N12=""),"",ROUND(3959*ACOS(MIN(1,SIN(RADIANS(README!$B$3))*SIN(RADIANS(M12))+COS(RADIANS(README!$B$3))*COS(RADIANS(M12))*COS(RADIANS(N12-README!$B$4)))),1))</f>
        <v/>
      </c>
      <c r="Q12" s="19">
        <f>IF(O12="","",IF(P12="",O12,MIN(O12,P12)))</f>
        <v/>
      </c>
      <c r="R12" s="19">
        <f>IF(Q12="","n/a",IF(Q12&lt;=README!$B$5,"Yes","No"))</f>
        <v/>
      </c>
      <c r="S12" s="19" t="inlineStr">
        <is>
          <t>Tornado Project (Grazulis) NY county list 1950–2012</t>
        </is>
      </c>
      <c r="T12" s="19" t="inlineStr">
        <is>
          <t>A</t>
        </is>
      </c>
      <c r="U12" s="19" t="inlineStr">
        <is>
          <t>Same outbreak as Columbia F4</t>
        </is>
      </c>
    </row>
    <row r="13" ht="23.25" customHeight="1" s="13">
      <c r="A13" s="19" t="inlineStr">
        <is>
          <t>1973-08-28</t>
        </is>
      </c>
      <c r="B13" s="19" t="inlineStr">
        <is>
          <t>11:34</t>
        </is>
      </c>
      <c r="C13" s="19" t="inlineStr">
        <is>
          <t>Columbia</t>
        </is>
      </c>
      <c r="D13" s="19" t="inlineStr">
        <is>
          <t>Stephentown area → MA</t>
        </is>
      </c>
      <c r="E13" s="19" t="inlineStr">
        <is>
          <t>Tornado</t>
        </is>
      </c>
      <c r="F13" s="19" t="inlineStr">
        <is>
          <t>F4</t>
        </is>
      </c>
      <c r="G13" s="19" t="n">
        <v>3.4</v>
      </c>
      <c r="H13" s="19" t="n">
        <v>313</v>
      </c>
      <c r="I13" s="19" t="n">
        <v>0</v>
      </c>
      <c r="J13" s="19" t="n">
        <v>0</v>
      </c>
      <c r="K13" s="19" t="n">
        <v>42.42</v>
      </c>
      <c r="L13" s="19" t="n">
        <v>-73.42</v>
      </c>
      <c r="M13" s="19" t="n">
        <v>42.37</v>
      </c>
      <c r="N13" s="19" t="n">
        <v>-73.42</v>
      </c>
      <c r="O13" s="19">
        <f>IF(OR(K13="",L13=""),"",ROUND(3959*ACOS(MIN(1,SIN(RADIANS(README!$B$3))*SIN(RADIANS(K13))+COS(RADIANS(README!$B$3))*COS(RADIANS(K13))*COS(RADIANS(L13-README!$B$4)))),1))</f>
        <v/>
      </c>
      <c r="P13" s="19">
        <f>IF(OR(M13="",N13=""),"",ROUND(3959*ACOS(MIN(1,SIN(RADIANS(README!$B$3))*SIN(RADIANS(M13))+COS(RADIANS(README!$B$3))*COS(RADIANS(M13))*COS(RADIANS(N13-README!$B$4)))),1))</f>
        <v/>
      </c>
      <c r="Q13" s="19">
        <f>IF(O13="","",IF(P13="",O13,MIN(O13,P13)))</f>
        <v/>
      </c>
      <c r="R13" s="19">
        <f>IF(Q13="","n/a",IF(Q13&lt;=README!$B$5,"Yes","No"))</f>
        <v/>
      </c>
      <c r="S13" s="19" t="inlineStr">
        <is>
          <t>Tornado Project (Grazulis) NY county list 1950–2012</t>
        </is>
      </c>
      <c r="T13" s="19" t="inlineStr">
        <is>
          <t>A</t>
        </is>
      </c>
      <c r="U13" s="19" t="inlineStr">
        <is>
          <t>First recorded F4 in NY</t>
        </is>
      </c>
    </row>
    <row r="14" ht="23.25" customHeight="1" s="13">
      <c r="A14" s="19" t="inlineStr">
        <is>
          <t>1974-06-16</t>
        </is>
      </c>
      <c r="B14" s="19" t="inlineStr">
        <is>
          <t>11:10</t>
        </is>
      </c>
      <c r="C14" s="19" t="inlineStr">
        <is>
          <t>Greene→Saratoga</t>
        </is>
      </c>
      <c r="D14" s="19" t="inlineStr">
        <is>
          <t>Catskill → Saratoga Co.</t>
        </is>
      </c>
      <c r="E14" s="19" t="inlineStr">
        <is>
          <t>Tornado</t>
        </is>
      </c>
      <c r="F14" s="19" t="inlineStr">
        <is>
          <t>F3</t>
        </is>
      </c>
      <c r="G14" s="19" t="n">
        <v>49.1</v>
      </c>
      <c r="H14" s="19" t="n"/>
      <c r="I14" s="19" t="n">
        <v>0</v>
      </c>
      <c r="J14" s="19" t="n">
        <v>0</v>
      </c>
      <c r="K14" s="19" t="n">
        <v>42.25</v>
      </c>
      <c r="L14" s="19" t="n">
        <v>-73.83</v>
      </c>
      <c r="M14" s="19" t="n">
        <v>42.92</v>
      </c>
      <c r="N14" s="19" t="n">
        <v>-73.88</v>
      </c>
      <c r="O14" s="19">
        <f>IF(OR(K14="",L14=""),"",ROUND(3959*ACOS(MIN(1,SIN(RADIANS(README!$B$3))*SIN(RADIANS(K14))+COS(RADIANS(README!$B$3))*COS(RADIANS(K14))*COS(RADIANS(L14-README!$B$4)))),1))</f>
        <v/>
      </c>
      <c r="P14" s="19">
        <f>IF(OR(M14="",N14=""),"",ROUND(3959*ACOS(MIN(1,SIN(RADIANS(README!$B$3))*SIN(RADIANS(M14))+COS(RADIANS(README!$B$3))*COS(RADIANS(M14))*COS(RADIANS(N14-README!$B$4)))),1))</f>
        <v/>
      </c>
      <c r="Q14" s="19">
        <f>IF(O14="","",IF(P14="",O14,MIN(O14,P14)))</f>
        <v/>
      </c>
      <c r="R14" s="19">
        <f>IF(Q14="","n/a",IF(Q14&lt;=README!$B$5,"Yes","No"))</f>
        <v/>
      </c>
      <c r="S14" s="19" t="inlineStr">
        <is>
          <t>Tornado Project (Grazulis) NY county list 1950–2012</t>
        </is>
      </c>
      <c r="T14" s="19" t="inlineStr">
        <is>
          <t>A</t>
        </is>
      </c>
      <c r="U14" s="19" t="inlineStr">
        <is>
          <t>Long track through Greene, Albany, Saratoga</t>
        </is>
      </c>
    </row>
    <row r="15" ht="23.25" customHeight="1" s="13">
      <c r="A15" s="19" t="inlineStr">
        <is>
          <t>1974-08-27</t>
        </is>
      </c>
      <c r="B15" s="19" t="inlineStr">
        <is>
          <t>16:00</t>
        </is>
      </c>
      <c r="C15" s="19" t="inlineStr">
        <is>
          <t>Rensselaer</t>
        </is>
      </c>
      <c r="D15" s="19" t="inlineStr">
        <is>
          <t>Rensselaer Co.</t>
        </is>
      </c>
      <c r="E15" s="19" t="inlineStr">
        <is>
          <t>Tornado</t>
        </is>
      </c>
      <c r="F15" s="19" t="inlineStr">
        <is>
          <t>F1</t>
        </is>
      </c>
      <c r="G15" s="19" t="n"/>
      <c r="H15" s="19" t="n">
        <v>33</v>
      </c>
      <c r="I15" s="19" t="n">
        <v>0</v>
      </c>
      <c r="J15" s="19" t="n">
        <v>0</v>
      </c>
      <c r="K15" s="19" t="n">
        <v>42.83</v>
      </c>
      <c r="L15" s="19" t="n">
        <v>-73.5</v>
      </c>
      <c r="M15" s="19" t="n"/>
      <c r="N15" s="19" t="n"/>
      <c r="O15" s="19">
        <f>IF(OR(K15="",L15=""),"",ROUND(3959*ACOS(MIN(1,SIN(RADIANS(README!$B$3))*SIN(RADIANS(K15))+COS(RADIANS(README!$B$3))*COS(RADIANS(K15))*COS(RADIANS(L15-README!$B$4)))),1))</f>
        <v/>
      </c>
      <c r="P15" s="19">
        <f>IF(OR(M15="",N15=""),"",ROUND(3959*ACOS(MIN(1,SIN(RADIANS(README!$B$3))*SIN(RADIANS(M15))+COS(RADIANS(README!$B$3))*COS(RADIANS(M15))*COS(RADIANS(N15-README!$B$4)))),1))</f>
        <v/>
      </c>
      <c r="Q15" s="19">
        <f>IF(O15="","",IF(P15="",O15,MIN(O15,P15)))</f>
        <v/>
      </c>
      <c r="R15" s="19">
        <f>IF(Q15="","n/a",IF(Q15&lt;=README!$B$5,"Yes","No"))</f>
        <v/>
      </c>
      <c r="S15" s="19" t="inlineStr">
        <is>
          <t>Tornado Project (Grazulis) NY county list 1950–2012</t>
        </is>
      </c>
      <c r="T15" s="19" t="inlineStr">
        <is>
          <t>A</t>
        </is>
      </c>
      <c r="U15" s="19" t="n"/>
    </row>
    <row r="16" ht="23.25" customHeight="1" s="13">
      <c r="A16" s="19" t="inlineStr">
        <is>
          <t>1975-09-20</t>
        </is>
      </c>
      <c r="B16" s="19" t="inlineStr">
        <is>
          <t>17:30</t>
        </is>
      </c>
      <c r="C16" s="19" t="inlineStr">
        <is>
          <t>Ulster→Columbia</t>
        </is>
      </c>
      <c r="D16" s="19" t="inlineStr">
        <is>
          <t>Kingston area → Columbia Co.</t>
        </is>
      </c>
      <c r="E16" s="19" t="inlineStr">
        <is>
          <t>Tornado</t>
        </is>
      </c>
      <c r="F16" s="19" t="inlineStr">
        <is>
          <t>F1</t>
        </is>
      </c>
      <c r="G16" s="19" t="n">
        <v>7.1</v>
      </c>
      <c r="H16" s="19" t="n">
        <v>167</v>
      </c>
      <c r="I16" s="19" t="n">
        <v>0</v>
      </c>
      <c r="J16" s="19" t="n">
        <v>3</v>
      </c>
      <c r="K16" s="19" t="n">
        <v>41.97</v>
      </c>
      <c r="L16" s="19" t="n">
        <v>-74.06999999999999</v>
      </c>
      <c r="M16" s="19" t="n">
        <v>42.08</v>
      </c>
      <c r="N16" s="19" t="n">
        <v>-73.81999999999999</v>
      </c>
      <c r="O16" s="19">
        <f>IF(OR(K16="",L16=""),"",ROUND(3959*ACOS(MIN(1,SIN(RADIANS(README!$B$3))*SIN(RADIANS(K16))+COS(RADIANS(README!$B$3))*COS(RADIANS(K16))*COS(RADIANS(L16-README!$B$4)))),1))</f>
        <v/>
      </c>
      <c r="P16" s="19">
        <f>IF(OR(M16="",N16=""),"",ROUND(3959*ACOS(MIN(1,SIN(RADIANS(README!$B$3))*SIN(RADIANS(M16))+COS(RADIANS(README!$B$3))*COS(RADIANS(M16))*COS(RADIANS(N16-README!$B$4)))),1))</f>
        <v/>
      </c>
      <c r="Q16" s="19">
        <f>IF(O16="","",IF(P16="",O16,MIN(O16,P16)))</f>
        <v/>
      </c>
      <c r="R16" s="19">
        <f>IF(Q16="","n/a",IF(Q16&lt;=README!$B$5,"Yes","No"))</f>
        <v/>
      </c>
      <c r="S16" s="19" t="inlineStr">
        <is>
          <t>Tornado Project (Grazulis) NY county list 1950–2012</t>
        </is>
      </c>
      <c r="T16" s="19" t="inlineStr">
        <is>
          <t>A</t>
        </is>
      </c>
      <c r="U16" s="19" t="n"/>
    </row>
    <row r="17" ht="34.5" customHeight="1" s="13">
      <c r="A17" s="19" t="inlineStr">
        <is>
          <t>1976-02-02</t>
        </is>
      </c>
      <c r="B17" s="19" t="n"/>
      <c r="C17" s="19" t="inlineStr">
        <is>
          <t>Albany</t>
        </is>
      </c>
      <c r="D17" s="19" t="inlineStr">
        <is>
          <t>Albany (flash freeze)</t>
        </is>
      </c>
      <c r="E17" s="19" t="inlineStr">
        <is>
          <t>Synoptic windstorm</t>
        </is>
      </c>
      <c r="F17" s="19" t="inlineStr">
        <is>
          <t>67 mph gust</t>
        </is>
      </c>
      <c r="G17" s="19" t="n"/>
      <c r="H17" s="19" t="n"/>
      <c r="I17" s="19" t="n">
        <v>2</v>
      </c>
      <c r="J17" s="19" t="n"/>
      <c r="K17" s="19" t="n">
        <v>42.75</v>
      </c>
      <c r="L17" s="19" t="n">
        <v>-73.8</v>
      </c>
      <c r="M17" s="19" t="n"/>
      <c r="N17" s="19" t="n"/>
      <c r="O17" s="19">
        <f>IF(OR(K17="",L17=""),"",ROUND(3959*ACOS(MIN(1,SIN(RADIANS(README!$B$3))*SIN(RADIANS(K17))+COS(RADIANS(README!$B$3))*COS(RADIANS(K17))*COS(RADIANS(L17-README!$B$4)))),1))</f>
        <v/>
      </c>
      <c r="P17" s="19">
        <f>IF(OR(M17="",N17=""),"",ROUND(3959*ACOS(MIN(1,SIN(RADIANS(README!$B$3))*SIN(RADIANS(M17))+COS(RADIANS(README!$B$3))*COS(RADIANS(M17))*COS(RADIANS(N17-README!$B$4)))),1))</f>
        <v/>
      </c>
      <c r="Q17" s="19">
        <f>IF(O17="","",IF(P17="",O17,MIN(O17,P17)))</f>
        <v/>
      </c>
      <c r="R17" s="19">
        <f>IF(Q17="","n/a",IF(Q17&lt;=README!$B$5,"Yes","No"))</f>
        <v/>
      </c>
      <c r="S17" s="19" t="inlineStr">
        <is>
          <t>NWS Albany – Past Weather Events (weather.gov/aly/pastevents)</t>
        </is>
      </c>
      <c r="T17" s="19" t="inlineStr">
        <is>
          <t>A</t>
        </is>
      </c>
      <c r="U17" s="19" t="inlineStr">
        <is>
          <t>2 fatalities regionally</t>
        </is>
      </c>
    </row>
    <row r="18" ht="23.25" customHeight="1" s="13">
      <c r="A18" s="19" t="inlineStr">
        <is>
          <t>1977-04-02</t>
        </is>
      </c>
      <c r="B18" s="19" t="inlineStr">
        <is>
          <t>17:00</t>
        </is>
      </c>
      <c r="C18" s="19" t="inlineStr">
        <is>
          <t>Greene</t>
        </is>
      </c>
      <c r="D18" s="19" t="inlineStr">
        <is>
          <t>W. Greene Co.</t>
        </is>
      </c>
      <c r="E18" s="19" t="inlineStr">
        <is>
          <t>Tornado</t>
        </is>
      </c>
      <c r="F18" s="19" t="inlineStr">
        <is>
          <t>F1</t>
        </is>
      </c>
      <c r="G18" s="19" t="n">
        <v>1.8</v>
      </c>
      <c r="H18" s="19" t="n">
        <v>33</v>
      </c>
      <c r="I18" s="19" t="n">
        <v>0</v>
      </c>
      <c r="J18" s="19" t="n">
        <v>0</v>
      </c>
      <c r="K18" s="19" t="n">
        <v>42.2</v>
      </c>
      <c r="L18" s="19" t="n">
        <v>-74.22</v>
      </c>
      <c r="M18" s="19" t="n"/>
      <c r="N18" s="19" t="n"/>
      <c r="O18" s="19">
        <f>IF(OR(K18="",L18=""),"",ROUND(3959*ACOS(MIN(1,SIN(RADIANS(README!$B$3))*SIN(RADIANS(K18))+COS(RADIANS(README!$B$3))*COS(RADIANS(K18))*COS(RADIANS(L18-README!$B$4)))),1))</f>
        <v/>
      </c>
      <c r="P18" s="19">
        <f>IF(OR(M18="",N18=""),"",ROUND(3959*ACOS(MIN(1,SIN(RADIANS(README!$B$3))*SIN(RADIANS(M18))+COS(RADIANS(README!$B$3))*COS(RADIANS(M18))*COS(RADIANS(N18-README!$B$4)))),1))</f>
        <v/>
      </c>
      <c r="Q18" s="19">
        <f>IF(O18="","",IF(P18="",O18,MIN(O18,P18)))</f>
        <v/>
      </c>
      <c r="R18" s="19">
        <f>IF(Q18="","n/a",IF(Q18&lt;=README!$B$5,"Yes","No"))</f>
        <v/>
      </c>
      <c r="S18" s="19" t="inlineStr">
        <is>
          <t>Tornado Project (Grazulis) NY county list 1950–2012</t>
        </is>
      </c>
      <c r="T18" s="19" t="inlineStr">
        <is>
          <t>A</t>
        </is>
      </c>
      <c r="U18" s="19" t="n"/>
    </row>
    <row r="19" ht="23.25" customHeight="1" s="13">
      <c r="A19" s="19" t="inlineStr">
        <is>
          <t>1978-07-10</t>
        </is>
      </c>
      <c r="B19" s="19" t="inlineStr">
        <is>
          <t>14:45</t>
        </is>
      </c>
      <c r="C19" s="19" t="inlineStr">
        <is>
          <t>Columbia</t>
        </is>
      </c>
      <c r="D19" s="19" t="inlineStr">
        <is>
          <t>Columbia Co.</t>
        </is>
      </c>
      <c r="E19" s="19" t="inlineStr">
        <is>
          <t>Tornado</t>
        </is>
      </c>
      <c r="F19" s="19" t="inlineStr">
        <is>
          <t>F1</t>
        </is>
      </c>
      <c r="G19" s="19" t="n">
        <v>0.7</v>
      </c>
      <c r="H19" s="19" t="n">
        <v>53</v>
      </c>
      <c r="I19" s="19" t="n">
        <v>0</v>
      </c>
      <c r="J19" s="19" t="n">
        <v>0</v>
      </c>
      <c r="K19" s="19" t="n">
        <v>42.17</v>
      </c>
      <c r="L19" s="19" t="n">
        <v>-73.75</v>
      </c>
      <c r="M19" s="19" t="n"/>
      <c r="N19" s="19" t="n"/>
      <c r="O19" s="19">
        <f>IF(OR(K19="",L19=""),"",ROUND(3959*ACOS(MIN(1,SIN(RADIANS(README!$B$3))*SIN(RADIANS(K19))+COS(RADIANS(README!$B$3))*COS(RADIANS(K19))*COS(RADIANS(L19-README!$B$4)))),1))</f>
        <v/>
      </c>
      <c r="P19" s="19">
        <f>IF(OR(M19="",N19=""),"",ROUND(3959*ACOS(MIN(1,SIN(RADIANS(README!$B$3))*SIN(RADIANS(M19))+COS(RADIANS(README!$B$3))*COS(RADIANS(M19))*COS(RADIANS(N19-README!$B$4)))),1))</f>
        <v/>
      </c>
      <c r="Q19" s="19">
        <f>IF(O19="","",IF(P19="",O19,MIN(O19,P19)))</f>
        <v/>
      </c>
      <c r="R19" s="19">
        <f>IF(Q19="","n/a",IF(Q19&lt;=README!$B$5,"Yes","No"))</f>
        <v/>
      </c>
      <c r="S19" s="19" t="inlineStr">
        <is>
          <t>Tornado Project (Grazulis) NY county list 1950–2012</t>
        </is>
      </c>
      <c r="T19" s="19" t="inlineStr">
        <is>
          <t>A</t>
        </is>
      </c>
      <c r="U19" s="19" t="n"/>
    </row>
    <row r="20" ht="23.25" customHeight="1" s="13">
      <c r="A20" s="19" t="inlineStr">
        <is>
          <t>1980-07-11</t>
        </is>
      </c>
      <c r="B20" s="19" t="inlineStr">
        <is>
          <t>15:00</t>
        </is>
      </c>
      <c r="C20" s="19" t="inlineStr">
        <is>
          <t>Albany</t>
        </is>
      </c>
      <c r="D20" s="19" t="inlineStr">
        <is>
          <t>Albany Co.</t>
        </is>
      </c>
      <c r="E20" s="19" t="inlineStr">
        <is>
          <t>Tornado</t>
        </is>
      </c>
      <c r="F20" s="19" t="inlineStr">
        <is>
          <t>F0</t>
        </is>
      </c>
      <c r="G20" s="19" t="n">
        <v>0.2</v>
      </c>
      <c r="H20" s="19" t="n">
        <v>133</v>
      </c>
      <c r="I20" s="19" t="n">
        <v>0</v>
      </c>
      <c r="J20" s="19" t="n">
        <v>0</v>
      </c>
      <c r="K20" s="19" t="n">
        <v>42.57</v>
      </c>
      <c r="L20" s="19" t="n">
        <v>-73.97</v>
      </c>
      <c r="M20" s="19" t="n"/>
      <c r="N20" s="19" t="n"/>
      <c r="O20" s="19">
        <f>IF(OR(K20="",L20=""),"",ROUND(3959*ACOS(MIN(1,SIN(RADIANS(README!$B$3))*SIN(RADIANS(K20))+COS(RADIANS(README!$B$3))*COS(RADIANS(K20))*COS(RADIANS(L20-README!$B$4)))),1))</f>
        <v/>
      </c>
      <c r="P20" s="19">
        <f>IF(OR(M20="",N20=""),"",ROUND(3959*ACOS(MIN(1,SIN(RADIANS(README!$B$3))*SIN(RADIANS(M20))+COS(RADIANS(README!$B$3))*COS(RADIANS(M20))*COS(RADIANS(N20-README!$B$4)))),1))</f>
        <v/>
      </c>
      <c r="Q20" s="19">
        <f>IF(O20="","",IF(P20="",O20,MIN(O20,P20)))</f>
        <v/>
      </c>
      <c r="R20" s="19">
        <f>IF(Q20="","n/a",IF(Q20&lt;=README!$B$5,"Yes","No"))</f>
        <v/>
      </c>
      <c r="S20" s="19" t="inlineStr">
        <is>
          <t>Tornado Project (Grazulis) NY county list 1950–2012</t>
        </is>
      </c>
      <c r="T20" s="19" t="inlineStr">
        <is>
          <t>A</t>
        </is>
      </c>
      <c r="U20" s="19" t="n"/>
    </row>
    <row r="21" ht="23.25" customHeight="1" s="13">
      <c r="A21" s="19" t="inlineStr">
        <is>
          <t>1984-05-12</t>
        </is>
      </c>
      <c r="B21" s="19" t="inlineStr">
        <is>
          <t>13:25</t>
        </is>
      </c>
      <c r="C21" s="19" t="inlineStr">
        <is>
          <t>Albany</t>
        </is>
      </c>
      <c r="D21" s="19" t="inlineStr">
        <is>
          <t>N. Albany Co. (Berne/Knox area)</t>
        </is>
      </c>
      <c r="E21" s="19" t="inlineStr">
        <is>
          <t>Tornado</t>
        </is>
      </c>
      <c r="F21" s="19" t="inlineStr">
        <is>
          <t>F0</t>
        </is>
      </c>
      <c r="G21" s="19" t="n"/>
      <c r="H21" s="19" t="n">
        <v>10</v>
      </c>
      <c r="I21" s="19" t="n">
        <v>0</v>
      </c>
      <c r="J21" s="19" t="n">
        <v>13</v>
      </c>
      <c r="K21" s="19" t="n">
        <v>42.7</v>
      </c>
      <c r="L21" s="19" t="n">
        <v>-74.03</v>
      </c>
      <c r="M21" s="19" t="n"/>
      <c r="N21" s="19" t="n"/>
      <c r="O21" s="19">
        <f>IF(OR(K21="",L21=""),"",ROUND(3959*ACOS(MIN(1,SIN(RADIANS(README!$B$3))*SIN(RADIANS(K21))+COS(RADIANS(README!$B$3))*COS(RADIANS(K21))*COS(RADIANS(L21-README!$B$4)))),1))</f>
        <v/>
      </c>
      <c r="P21" s="19">
        <f>IF(OR(M21="",N21=""),"",ROUND(3959*ACOS(MIN(1,SIN(RADIANS(README!$B$3))*SIN(RADIANS(M21))+COS(RADIANS(README!$B$3))*COS(RADIANS(M21))*COS(RADIANS(N21-README!$B$4)))),1))</f>
        <v/>
      </c>
      <c r="Q21" s="19">
        <f>IF(O21="","",IF(P21="",O21,MIN(O21,P21)))</f>
        <v/>
      </c>
      <c r="R21" s="19">
        <f>IF(Q21="","n/a",IF(Q21&lt;=README!$B$5,"Yes","No"))</f>
        <v/>
      </c>
      <c r="S21" s="19" t="inlineStr">
        <is>
          <t>Tornado Project (Grazulis) NY county list 1950–2012</t>
        </is>
      </c>
      <c r="T21" s="19" t="inlineStr">
        <is>
          <t>A</t>
        </is>
      </c>
      <c r="U21" s="19" t="inlineStr">
        <is>
          <t>13 injuries</t>
        </is>
      </c>
    </row>
    <row r="22" ht="23.25" customHeight="1" s="13">
      <c r="A22" s="19" t="inlineStr">
        <is>
          <t>1986-10-01</t>
        </is>
      </c>
      <c r="B22" s="19" t="inlineStr">
        <is>
          <t>00:00</t>
        </is>
      </c>
      <c r="C22" s="19" t="inlineStr">
        <is>
          <t>Delaware</t>
        </is>
      </c>
      <c r="D22" s="19" t="inlineStr">
        <is>
          <t>NE Delaware Co.</t>
        </is>
      </c>
      <c r="E22" s="19" t="inlineStr">
        <is>
          <t>Tornado</t>
        </is>
      </c>
      <c r="F22" s="19" t="inlineStr">
        <is>
          <t>F2</t>
        </is>
      </c>
      <c r="G22" s="19" t="n"/>
      <c r="H22" s="19" t="n"/>
      <c r="I22" s="19" t="n">
        <v>0</v>
      </c>
      <c r="J22" s="19" t="n">
        <v>0</v>
      </c>
      <c r="K22" s="19" t="n">
        <v>42.28</v>
      </c>
      <c r="L22" s="19" t="n">
        <v>-74.56999999999999</v>
      </c>
      <c r="M22" s="19" t="n"/>
      <c r="N22" s="19" t="n"/>
      <c r="O22" s="19">
        <f>IF(OR(K22="",L22=""),"",ROUND(3959*ACOS(MIN(1,SIN(RADIANS(README!$B$3))*SIN(RADIANS(K22))+COS(RADIANS(README!$B$3))*COS(RADIANS(K22))*COS(RADIANS(L22-README!$B$4)))),1))</f>
        <v/>
      </c>
      <c r="P22" s="19">
        <f>IF(OR(M22="",N22=""),"",ROUND(3959*ACOS(MIN(1,SIN(RADIANS(README!$B$3))*SIN(RADIANS(M22))+COS(RADIANS(README!$B$3))*COS(RADIANS(M22))*COS(RADIANS(N22-README!$B$4)))),1))</f>
        <v/>
      </c>
      <c r="Q22" s="19">
        <f>IF(O22="","",IF(P22="",O22,MIN(O22,P22)))</f>
        <v/>
      </c>
      <c r="R22" s="19">
        <f>IF(Q22="","n/a",IF(Q22&lt;=README!$B$5,"Yes","No"))</f>
        <v/>
      </c>
      <c r="S22" s="19" t="inlineStr">
        <is>
          <t>Tornado Project (Grazulis) NY county list 1950–2012</t>
        </is>
      </c>
      <c r="T22" s="19" t="inlineStr">
        <is>
          <t>A</t>
        </is>
      </c>
      <c r="U22" s="19" t="n"/>
    </row>
    <row r="23" ht="34.5" customHeight="1" s="13">
      <c r="A23" s="19" t="inlineStr">
        <is>
          <t>1987-10-04</t>
        </is>
      </c>
      <c r="B23" s="19" t="n"/>
      <c r="C23" s="19" t="inlineStr">
        <is>
          <t>Region</t>
        </is>
      </c>
      <c r="D23" s="19" t="inlineStr">
        <is>
          <t>Leaf-on snowstorm (tree damage)</t>
        </is>
      </c>
      <c r="E23" s="19" t="inlineStr">
        <is>
          <t>Snow load (not wind)</t>
        </is>
      </c>
      <c r="F23" s="19" t="n"/>
      <c r="G23" s="19" t="n"/>
      <c r="H23" s="19" t="n"/>
      <c r="I23" s="19" t="n"/>
      <c r="J23" s="19" t="n"/>
      <c r="K23" s="19" t="n">
        <v>42.75</v>
      </c>
      <c r="L23" s="19" t="n">
        <v>-73.8</v>
      </c>
      <c r="M23" s="19" t="n"/>
      <c r="N23" s="19" t="n"/>
      <c r="O23" s="19">
        <f>IF(OR(K23="",L23=""),"",ROUND(3959*ACOS(MIN(1,SIN(RADIANS(README!$B$3))*SIN(RADIANS(K23))+COS(RADIANS(README!$B$3))*COS(RADIANS(K23))*COS(RADIANS(L23-README!$B$4)))),1))</f>
        <v/>
      </c>
      <c r="P23" s="19">
        <f>IF(OR(M23="",N23=""),"",ROUND(3959*ACOS(MIN(1,SIN(RADIANS(README!$B$3))*SIN(RADIANS(M23))+COS(RADIANS(README!$B$3))*COS(RADIANS(M23))*COS(RADIANS(N23-README!$B$4)))),1))</f>
        <v/>
      </c>
      <c r="Q23" s="19">
        <f>IF(O23="","",IF(P23="",O23,MIN(O23,P23)))</f>
        <v/>
      </c>
      <c r="R23" s="19">
        <f>IF(Q23="","n/a",IF(Q23&lt;=README!$B$5,"Yes","No"))</f>
        <v/>
      </c>
      <c r="S23" s="19" t="inlineStr">
        <is>
          <t>NWS Albany – Past Weather Events (weather.gov/aly/pastevents)</t>
        </is>
      </c>
      <c r="T23" s="19" t="inlineStr">
        <is>
          <t>A</t>
        </is>
      </c>
      <c r="U23" s="19" t="inlineStr">
        <is>
          <t>Listed for tree-damage comparison</t>
        </is>
      </c>
    </row>
    <row r="24" ht="23.25" customHeight="1" s="13">
      <c r="A24" s="19" t="inlineStr">
        <is>
          <t>1989-07-10</t>
        </is>
      </c>
      <c r="B24" s="19" t="inlineStr">
        <is>
          <t>12:40</t>
        </is>
      </c>
      <c r="C24" s="19" t="inlineStr">
        <is>
          <t>Montgomery→Greene</t>
        </is>
      </c>
      <c r="D24" s="19" t="inlineStr">
        <is>
          <t>Ames → Schoharie → Rensselaerville → East Durham</t>
        </is>
      </c>
      <c r="E24" s="19" t="inlineStr">
        <is>
          <t>Tornado family</t>
        </is>
      </c>
      <c r="F24" s="19" t="inlineStr">
        <is>
          <t>F4</t>
        </is>
      </c>
      <c r="G24" s="19" t="n">
        <v>42</v>
      </c>
      <c r="H24" s="19" t="n">
        <v>1320</v>
      </c>
      <c r="I24" s="19" t="n">
        <v>0</v>
      </c>
      <c r="J24" s="19" t="n">
        <v>20</v>
      </c>
      <c r="K24" s="19" t="n">
        <v>42.83</v>
      </c>
      <c r="L24" s="19" t="n">
        <v>-74.53</v>
      </c>
      <c r="M24" s="19" t="n">
        <v>42.38</v>
      </c>
      <c r="N24" s="19" t="n">
        <v>-74.03</v>
      </c>
      <c r="O24" s="19">
        <f>IF(OR(K24="",L24=""),"",ROUND(3959*ACOS(MIN(1,SIN(RADIANS(README!$B$3))*SIN(RADIANS(K24))+COS(RADIANS(README!$B$3))*COS(RADIANS(K24))*COS(RADIANS(L24-README!$B$4)))),1))</f>
        <v/>
      </c>
      <c r="P24" s="19">
        <f>IF(OR(M24="",N24=""),"",ROUND(3959*ACOS(MIN(1,SIN(RADIANS(README!$B$3))*SIN(RADIANS(M24))+COS(RADIANS(README!$B$3))*COS(RADIANS(M24))*COS(RADIANS(N24-README!$B$4)))),1))</f>
        <v/>
      </c>
      <c r="Q24" s="19">
        <f>IF(O24="","",IF(P24="",O24,MIN(O24,P24)))</f>
        <v/>
      </c>
      <c r="R24" s="19">
        <f>IF(Q24="","n/a",IF(Q24&lt;=README!$B$5,"Yes","No"))</f>
        <v/>
      </c>
      <c r="S24" s="19" t="inlineStr">
        <is>
          <t>Wikipedia / NWS / Grazulis</t>
        </is>
      </c>
      <c r="T24" s="19" t="inlineStr">
        <is>
          <t>A</t>
        </is>
      </c>
      <c r="U24" s="19" t="inlineStr">
        <is>
          <t>Only F4 in NY; brief touchdowns near Rensselaerville and Greenville; path within a few miles of Westerlo</t>
        </is>
      </c>
    </row>
    <row r="25" ht="23.25" customHeight="1" s="13">
      <c r="A25" s="19" t="inlineStr">
        <is>
          <t>1989-11-16</t>
        </is>
      </c>
      <c r="B25" s="19" t="inlineStr">
        <is>
          <t>13:30</t>
        </is>
      </c>
      <c r="C25" s="19" t="inlineStr">
        <is>
          <t>Rensselaer</t>
        </is>
      </c>
      <c r="D25" s="19" t="inlineStr">
        <is>
          <t>Rensselaer Co.</t>
        </is>
      </c>
      <c r="E25" s="19" t="inlineStr">
        <is>
          <t>Tornado</t>
        </is>
      </c>
      <c r="F25" s="19" t="inlineStr">
        <is>
          <t>F0</t>
        </is>
      </c>
      <c r="G25" s="19" t="n">
        <v>0.1</v>
      </c>
      <c r="H25" s="19" t="n">
        <v>17</v>
      </c>
      <c r="I25" s="19" t="n">
        <v>0</v>
      </c>
      <c r="J25" s="19" t="n">
        <v>0</v>
      </c>
      <c r="K25" s="19" t="n">
        <v>42.95</v>
      </c>
      <c r="L25" s="19" t="n">
        <v>-73.43000000000001</v>
      </c>
      <c r="M25" s="19" t="n"/>
      <c r="N25" s="19" t="n"/>
      <c r="O25" s="19">
        <f>IF(OR(K25="",L25=""),"",ROUND(3959*ACOS(MIN(1,SIN(RADIANS(README!$B$3))*SIN(RADIANS(K25))+COS(RADIANS(README!$B$3))*COS(RADIANS(K25))*COS(RADIANS(L25-README!$B$4)))),1))</f>
        <v/>
      </c>
      <c r="P25" s="19">
        <f>IF(OR(M25="",N25=""),"",ROUND(3959*ACOS(MIN(1,SIN(RADIANS(README!$B$3))*SIN(RADIANS(M25))+COS(RADIANS(README!$B$3))*COS(RADIANS(M25))*COS(RADIANS(N25-README!$B$4)))),1))</f>
        <v/>
      </c>
      <c r="Q25" s="19">
        <f>IF(O25="","",IF(P25="",O25,MIN(O25,P25)))</f>
        <v/>
      </c>
      <c r="R25" s="19">
        <f>IF(Q25="","n/a",IF(Q25&lt;=README!$B$5,"Yes","No"))</f>
        <v/>
      </c>
      <c r="S25" s="19" t="inlineStr">
        <is>
          <t>Tornado Project (Grazulis) NY county list 1950–2012</t>
        </is>
      </c>
      <c r="T25" s="19" t="inlineStr">
        <is>
          <t>A</t>
        </is>
      </c>
      <c r="U25" s="19" t="inlineStr">
        <is>
          <t>Same day as Coldenham downburst</t>
        </is>
      </c>
    </row>
    <row r="26" ht="23.25" customHeight="1" s="13">
      <c r="A26" s="19" t="inlineStr">
        <is>
          <t>1990-04-28</t>
        </is>
      </c>
      <c r="B26" s="19" t="inlineStr">
        <is>
          <t>12:30</t>
        </is>
      </c>
      <c r="C26" s="19" t="inlineStr">
        <is>
          <t>Greene</t>
        </is>
      </c>
      <c r="D26" s="19" t="inlineStr">
        <is>
          <t>Greene Co.</t>
        </is>
      </c>
      <c r="E26" s="19" t="inlineStr">
        <is>
          <t>Tornado</t>
        </is>
      </c>
      <c r="F26" s="19" t="inlineStr">
        <is>
          <t>F0</t>
        </is>
      </c>
      <c r="G26" s="19" t="n">
        <v>0.2</v>
      </c>
      <c r="H26" s="19" t="n">
        <v>10</v>
      </c>
      <c r="I26" s="19" t="n">
        <v>0</v>
      </c>
      <c r="J26" s="19" t="n">
        <v>1</v>
      </c>
      <c r="K26" s="19" t="n">
        <v>42.2</v>
      </c>
      <c r="L26" s="19" t="n">
        <v>-73.97</v>
      </c>
      <c r="M26" s="19" t="n"/>
      <c r="N26" s="19" t="n"/>
      <c r="O26" s="19">
        <f>IF(OR(K26="",L26=""),"",ROUND(3959*ACOS(MIN(1,SIN(RADIANS(README!$B$3))*SIN(RADIANS(K26))+COS(RADIANS(README!$B$3))*COS(RADIANS(K26))*COS(RADIANS(L26-README!$B$4)))),1))</f>
        <v/>
      </c>
      <c r="P26" s="19">
        <f>IF(OR(M26="",N26=""),"",ROUND(3959*ACOS(MIN(1,SIN(RADIANS(README!$B$3))*SIN(RADIANS(M26))+COS(RADIANS(README!$B$3))*COS(RADIANS(M26))*COS(RADIANS(N26-README!$B$4)))),1))</f>
        <v/>
      </c>
      <c r="Q26" s="19">
        <f>IF(O26="","",IF(P26="",O26,MIN(O26,P26)))</f>
        <v/>
      </c>
      <c r="R26" s="19">
        <f>IF(Q26="","n/a",IF(Q26&lt;=README!$B$5,"Yes","No"))</f>
        <v/>
      </c>
      <c r="S26" s="19" t="inlineStr">
        <is>
          <t>Tornado Project (Grazulis) NY county list 1950–2012</t>
        </is>
      </c>
      <c r="T26" s="19" t="inlineStr">
        <is>
          <t>A</t>
        </is>
      </c>
      <c r="U26" s="19" t="n"/>
    </row>
    <row r="27" ht="23.25" customHeight="1" s="13">
      <c r="A27" s="19" t="inlineStr">
        <is>
          <t>1990-08-28</t>
        </is>
      </c>
      <c r="B27" s="19" t="inlineStr">
        <is>
          <t>19:30</t>
        </is>
      </c>
      <c r="C27" s="19" t="inlineStr">
        <is>
          <t>Albany</t>
        </is>
      </c>
      <c r="D27" s="19" t="inlineStr">
        <is>
          <t>Bozenkill Rd, Knox (Peterson farm)</t>
        </is>
      </c>
      <c r="E27" s="19" t="inlineStr">
        <is>
          <t>Tornado</t>
        </is>
      </c>
      <c r="F27" s="19" t="inlineStr">
        <is>
          <t>F0</t>
        </is>
      </c>
      <c r="G27" s="19" t="n">
        <v>0.3</v>
      </c>
      <c r="H27" s="19" t="n">
        <v>7</v>
      </c>
      <c r="I27" s="19" t="n">
        <v>0</v>
      </c>
      <c r="J27" s="19" t="n">
        <v>0</v>
      </c>
      <c r="K27" s="19" t="n">
        <v>42.75</v>
      </c>
      <c r="L27" s="19" t="n">
        <v>-74.09999999999999</v>
      </c>
      <c r="M27" s="19" t="n"/>
      <c r="N27" s="19" t="n"/>
      <c r="O27" s="19">
        <f>IF(OR(K27="",L27=""),"",ROUND(3959*ACOS(MIN(1,SIN(RADIANS(README!$B$3))*SIN(RADIANS(K27))+COS(RADIANS(README!$B$3))*COS(RADIANS(K27))*COS(RADIANS(L27-README!$B$4)))),1))</f>
        <v/>
      </c>
      <c r="P27" s="19">
        <f>IF(OR(M27="",N27=""),"",ROUND(3959*ACOS(MIN(1,SIN(RADIANS(README!$B$3))*SIN(RADIANS(M27))+COS(RADIANS(README!$B$3))*COS(RADIANS(M27))*COS(RADIANS(N27-README!$B$4)))),1))</f>
        <v/>
      </c>
      <c r="Q27" s="19">
        <f>IF(O27="","",IF(P27="",O27,MIN(O27,P27)))</f>
        <v/>
      </c>
      <c r="R27" s="19">
        <f>IF(Q27="","n/a",IF(Q27&lt;=README!$B$5,"Yes","No"))</f>
        <v/>
      </c>
      <c r="S27" s="19" t="inlineStr">
        <is>
          <t>Tornado Project (Grazulis) NY county list 1950–2012</t>
        </is>
      </c>
      <c r="T27" s="19" t="inlineStr">
        <is>
          <t>A</t>
        </is>
      </c>
      <c r="U27" s="19" t="inlineStr">
        <is>
          <t>CONFIRMED — the 1990 Bozenkill Rd (Knox) tornado toppled Carl Peterson's silo, per Peterson himself (Altamont Enterprise 4 Mar 2010 &amp; 29 May 2014). Peterson farm = recurring-disaster site: 1990 tornado (silo) + Feb 2010 snow-load barn collapse (70+ cows, 4 lost).</t>
        </is>
      </c>
    </row>
    <row r="28" ht="23.25" customHeight="1" s="13">
      <c r="A28" s="19" t="inlineStr">
        <is>
          <t>1992-05-02</t>
        </is>
      </c>
      <c r="B28" s="19" t="inlineStr">
        <is>
          <t>14:05</t>
        </is>
      </c>
      <c r="C28" s="19" t="inlineStr">
        <is>
          <t>Schoharie</t>
        </is>
      </c>
      <c r="D28" s="19" t="inlineStr">
        <is>
          <t>Schoharie Co.</t>
        </is>
      </c>
      <c r="E28" s="19" t="inlineStr">
        <is>
          <t>Tornado</t>
        </is>
      </c>
      <c r="F28" s="19" t="inlineStr">
        <is>
          <t>F1</t>
        </is>
      </c>
      <c r="G28" s="19" t="n">
        <v>6</v>
      </c>
      <c r="H28" s="19" t="n">
        <v>73</v>
      </c>
      <c r="I28" s="19" t="n">
        <v>0</v>
      </c>
      <c r="J28" s="19" t="n">
        <v>0</v>
      </c>
      <c r="K28" s="19" t="n">
        <v>42.67</v>
      </c>
      <c r="L28" s="19" t="n">
        <v>-74.45</v>
      </c>
      <c r="M28" s="19" t="n">
        <v>42.6</v>
      </c>
      <c r="N28" s="19" t="n">
        <v>-74.34999999999999</v>
      </c>
      <c r="O28" s="19">
        <f>IF(OR(K28="",L28=""),"",ROUND(3959*ACOS(MIN(1,SIN(RADIANS(README!$B$3))*SIN(RADIANS(K28))+COS(RADIANS(README!$B$3))*COS(RADIANS(K28))*COS(RADIANS(L28-README!$B$4)))),1))</f>
        <v/>
      </c>
      <c r="P28" s="19">
        <f>IF(OR(M28="",N28=""),"",ROUND(3959*ACOS(MIN(1,SIN(RADIANS(README!$B$3))*SIN(RADIANS(M28))+COS(RADIANS(README!$B$3))*COS(RADIANS(M28))*COS(RADIANS(N28-README!$B$4)))),1))</f>
        <v/>
      </c>
      <c r="Q28" s="19">
        <f>IF(O28="","",IF(P28="",O28,MIN(O28,P28)))</f>
        <v/>
      </c>
      <c r="R28" s="19">
        <f>IF(Q28="","n/a",IF(Q28&lt;=README!$B$5,"Yes","No"))</f>
        <v/>
      </c>
      <c r="S28" s="19" t="inlineStr">
        <is>
          <t>Tornado Project (Grazulis) NY county list 1950–2012</t>
        </is>
      </c>
      <c r="T28" s="19" t="inlineStr">
        <is>
          <t>A</t>
        </is>
      </c>
      <c r="U28" s="19" t="n"/>
    </row>
    <row r="29" ht="23.25" customHeight="1" s="13">
      <c r="A29" s="19" t="inlineStr">
        <is>
          <t>1992-05-02</t>
        </is>
      </c>
      <c r="B29" s="19" t="inlineStr">
        <is>
          <t>14:25</t>
        </is>
      </c>
      <c r="C29" s="19" t="inlineStr">
        <is>
          <t>Rensselaer</t>
        </is>
      </c>
      <c r="D29" s="19" t="inlineStr">
        <is>
          <t>Rensselaer Co. (2 tornadoes)</t>
        </is>
      </c>
      <c r="E29" s="19" t="inlineStr">
        <is>
          <t>Tornado</t>
        </is>
      </c>
      <c r="F29" s="19" t="inlineStr">
        <is>
          <t>F1</t>
        </is>
      </c>
      <c r="G29" s="19" t="n">
        <v>2</v>
      </c>
      <c r="H29" s="19" t="n">
        <v>100</v>
      </c>
      <c r="I29" s="19" t="n">
        <v>0</v>
      </c>
      <c r="J29" s="19" t="n">
        <v>0</v>
      </c>
      <c r="K29" s="19" t="n">
        <v>42.7</v>
      </c>
      <c r="L29" s="19" t="n">
        <v>-73.38</v>
      </c>
      <c r="M29" s="19" t="n"/>
      <c r="N29" s="19" t="n"/>
      <c r="O29" s="19">
        <f>IF(OR(K29="",L29=""),"",ROUND(3959*ACOS(MIN(1,SIN(RADIANS(README!$B$3))*SIN(RADIANS(K29))+COS(RADIANS(README!$B$3))*COS(RADIANS(K29))*COS(RADIANS(L29-README!$B$4)))),1))</f>
        <v/>
      </c>
      <c r="P29" s="19">
        <f>IF(OR(M29="",N29=""),"",ROUND(3959*ACOS(MIN(1,SIN(RADIANS(README!$B$3))*SIN(RADIANS(M29))+COS(RADIANS(README!$B$3))*COS(RADIANS(M29))*COS(RADIANS(N29-README!$B$4)))),1))</f>
        <v/>
      </c>
      <c r="Q29" s="19">
        <f>IF(O29="","",IF(P29="",O29,MIN(O29,P29)))</f>
        <v/>
      </c>
      <c r="R29" s="19">
        <f>IF(Q29="","n/a",IF(Q29&lt;=README!$B$5,"Yes","No"))</f>
        <v/>
      </c>
      <c r="S29" s="19" t="inlineStr">
        <is>
          <t>Tornado Project (Grazulis) NY county list 1950–2012</t>
        </is>
      </c>
      <c r="T29" s="19" t="inlineStr">
        <is>
          <t>A</t>
        </is>
      </c>
      <c r="U29" s="19" t="inlineStr">
        <is>
          <t>Two F1s same time/place</t>
        </is>
      </c>
    </row>
    <row r="30" ht="23.25" customHeight="1" s="13">
      <c r="A30" s="19" t="inlineStr">
        <is>
          <t>1992-06-24</t>
        </is>
      </c>
      <c r="B30" s="19" t="inlineStr">
        <is>
          <t>14:30</t>
        </is>
      </c>
      <c r="C30" s="19" t="inlineStr">
        <is>
          <t>Montgomery</t>
        </is>
      </c>
      <c r="D30" s="19" t="inlineStr">
        <is>
          <t>Montgomery Co.</t>
        </is>
      </c>
      <c r="E30" s="19" t="inlineStr">
        <is>
          <t>Tornado</t>
        </is>
      </c>
      <c r="F30" s="19" t="inlineStr">
        <is>
          <t>F1</t>
        </is>
      </c>
      <c r="G30" s="19" t="n"/>
      <c r="H30" s="19" t="n"/>
      <c r="I30" s="19" t="n">
        <v>0</v>
      </c>
      <c r="J30" s="19" t="n">
        <v>0</v>
      </c>
      <c r="K30" s="19" t="n">
        <v>42.93</v>
      </c>
      <c r="L30" s="19" t="n">
        <v>-74.18000000000001</v>
      </c>
      <c r="M30" s="19" t="n"/>
      <c r="N30" s="19" t="n"/>
      <c r="O30" s="19">
        <f>IF(OR(K30="",L30=""),"",ROUND(3959*ACOS(MIN(1,SIN(RADIANS(README!$B$3))*SIN(RADIANS(K30))+COS(RADIANS(README!$B$3))*COS(RADIANS(K30))*COS(RADIANS(L30-README!$B$4)))),1))</f>
        <v/>
      </c>
      <c r="P30" s="19">
        <f>IF(OR(M30="",N30=""),"",ROUND(3959*ACOS(MIN(1,SIN(RADIANS(README!$B$3))*SIN(RADIANS(M30))+COS(RADIANS(README!$B$3))*COS(RADIANS(M30))*COS(RADIANS(N30-README!$B$4)))),1))</f>
        <v/>
      </c>
      <c r="Q30" s="19">
        <f>IF(O30="","",IF(P30="",O30,MIN(O30,P30)))</f>
        <v/>
      </c>
      <c r="R30" s="19">
        <f>IF(Q30="","n/a",IF(Q30&lt;=README!$B$5,"Yes","No"))</f>
        <v/>
      </c>
      <c r="S30" s="19" t="inlineStr">
        <is>
          <t>Tornado Project (Grazulis) NY county list 1950–2012</t>
        </is>
      </c>
      <c r="T30" s="19" t="inlineStr">
        <is>
          <t>A</t>
        </is>
      </c>
      <c r="U30" s="19" t="n"/>
    </row>
    <row r="31" ht="23.25" customHeight="1" s="13">
      <c r="A31" s="19" t="inlineStr">
        <is>
          <t>1993-09-10</t>
        </is>
      </c>
      <c r="B31" s="19" t="inlineStr">
        <is>
          <t>13:40</t>
        </is>
      </c>
      <c r="C31" s="19" t="inlineStr">
        <is>
          <t>Ulster</t>
        </is>
      </c>
      <c r="D31" s="19" t="inlineStr">
        <is>
          <t>N. Ulster Co.</t>
        </is>
      </c>
      <c r="E31" s="19" t="inlineStr">
        <is>
          <t>Tornado</t>
        </is>
      </c>
      <c r="F31" s="19" t="inlineStr">
        <is>
          <t>F1</t>
        </is>
      </c>
      <c r="G31" s="19" t="n"/>
      <c r="H31" s="19" t="n"/>
      <c r="I31" s="19" t="n">
        <v>0</v>
      </c>
      <c r="J31" s="19" t="n">
        <v>0</v>
      </c>
      <c r="K31" s="19" t="n">
        <v>42.08</v>
      </c>
      <c r="L31" s="19" t="n">
        <v>-73.95</v>
      </c>
      <c r="M31" s="19" t="n"/>
      <c r="N31" s="19" t="n"/>
      <c r="O31" s="19">
        <f>IF(OR(K31="",L31=""),"",ROUND(3959*ACOS(MIN(1,SIN(RADIANS(README!$B$3))*SIN(RADIANS(K31))+COS(RADIANS(README!$B$3))*COS(RADIANS(K31))*COS(RADIANS(L31-README!$B$4)))),1))</f>
        <v/>
      </c>
      <c r="P31" s="19">
        <f>IF(OR(M31="",N31=""),"",ROUND(3959*ACOS(MIN(1,SIN(RADIANS(README!$B$3))*SIN(RADIANS(M31))+COS(RADIANS(README!$B$3))*COS(RADIANS(M31))*COS(RADIANS(N31-README!$B$4)))),1))</f>
        <v/>
      </c>
      <c r="Q31" s="19">
        <f>IF(O31="","",IF(P31="",O31,MIN(O31,P31)))</f>
        <v/>
      </c>
      <c r="R31" s="19">
        <f>IF(Q31="","n/a",IF(Q31&lt;=README!$B$5,"Yes","No"))</f>
        <v/>
      </c>
      <c r="S31" s="19" t="inlineStr">
        <is>
          <t>Tornado Project (Grazulis) NY county list 1950–2012</t>
        </is>
      </c>
      <c r="T31" s="19" t="inlineStr">
        <is>
          <t>A</t>
        </is>
      </c>
      <c r="U31" s="19" t="n"/>
    </row>
    <row r="32" ht="23.25" customHeight="1" s="13">
      <c r="A32" s="19" t="inlineStr">
        <is>
          <t>1994-04-27</t>
        </is>
      </c>
      <c r="B32" s="19" t="inlineStr">
        <is>
          <t>12:30</t>
        </is>
      </c>
      <c r="C32" s="19" t="inlineStr">
        <is>
          <t>Rensselaer</t>
        </is>
      </c>
      <c r="D32" s="19" t="inlineStr">
        <is>
          <t>Rensselaer Co.</t>
        </is>
      </c>
      <c r="E32" s="19" t="inlineStr">
        <is>
          <t>Tornado</t>
        </is>
      </c>
      <c r="F32" s="19" t="inlineStr">
        <is>
          <t>F1</t>
        </is>
      </c>
      <c r="G32" s="19" t="n">
        <v>1.5</v>
      </c>
      <c r="H32" s="19" t="n">
        <v>25</v>
      </c>
      <c r="I32" s="19" t="n">
        <v>0</v>
      </c>
      <c r="J32" s="19" t="n">
        <v>0</v>
      </c>
      <c r="K32" s="19" t="n">
        <v>42.95</v>
      </c>
      <c r="L32" s="19" t="n">
        <v>-73.40000000000001</v>
      </c>
      <c r="M32" s="19" t="n"/>
      <c r="N32" s="19" t="n"/>
      <c r="O32" s="19">
        <f>IF(OR(K32="",L32=""),"",ROUND(3959*ACOS(MIN(1,SIN(RADIANS(README!$B$3))*SIN(RADIANS(K32))+COS(RADIANS(README!$B$3))*COS(RADIANS(K32))*COS(RADIANS(L32-README!$B$4)))),1))</f>
        <v/>
      </c>
      <c r="P32" s="19">
        <f>IF(OR(M32="",N32=""),"",ROUND(3959*ACOS(MIN(1,SIN(RADIANS(README!$B$3))*SIN(RADIANS(M32))+COS(RADIANS(README!$B$3))*COS(RADIANS(M32))*COS(RADIANS(N32-README!$B$4)))),1))</f>
        <v/>
      </c>
      <c r="Q32" s="19">
        <f>IF(O32="","",IF(P32="",O32,MIN(O32,P32)))</f>
        <v/>
      </c>
      <c r="R32" s="19">
        <f>IF(Q32="","n/a",IF(Q32&lt;=README!$B$5,"Yes","No"))</f>
        <v/>
      </c>
      <c r="S32" s="19" t="inlineStr">
        <is>
          <t>Tornado Project (Grazulis) NY county list 1950–2012</t>
        </is>
      </c>
      <c r="T32" s="19" t="inlineStr">
        <is>
          <t>A</t>
        </is>
      </c>
      <c r="U32" s="19" t="n"/>
    </row>
    <row r="33" ht="23.25" customHeight="1" s="13">
      <c r="A33" s="19" t="inlineStr">
        <is>
          <t>1995-05-29</t>
        </is>
      </c>
      <c r="B33" s="19" t="inlineStr">
        <is>
          <t>16:40</t>
        </is>
      </c>
      <c r="C33" s="19" t="inlineStr">
        <is>
          <t>Columbia</t>
        </is>
      </c>
      <c r="D33" s="19" t="inlineStr">
        <is>
          <t>Hillsdale → Great Barrington MA</t>
        </is>
      </c>
      <c r="E33" s="19" t="inlineStr">
        <is>
          <t>Tornado</t>
        </is>
      </c>
      <c r="F33" s="19" t="inlineStr">
        <is>
          <t>F2</t>
        </is>
      </c>
      <c r="G33" s="19" t="n">
        <v>15</v>
      </c>
      <c r="H33" s="19" t="n">
        <v>300</v>
      </c>
      <c r="I33" s="19" t="n">
        <v>0</v>
      </c>
      <c r="J33" s="19" t="n">
        <v>5</v>
      </c>
      <c r="K33" s="19" t="n">
        <v>42.2</v>
      </c>
      <c r="L33" s="19" t="n">
        <v>-73.78</v>
      </c>
      <c r="M33" s="19" t="n">
        <v>42.2</v>
      </c>
      <c r="N33" s="19" t="n">
        <v>-73.52</v>
      </c>
      <c r="O33" s="19">
        <f>IF(OR(K33="",L33=""),"",ROUND(3959*ACOS(MIN(1,SIN(RADIANS(README!$B$3))*SIN(RADIANS(K33))+COS(RADIANS(README!$B$3))*COS(RADIANS(K33))*COS(RADIANS(L33-README!$B$4)))),1))</f>
        <v/>
      </c>
      <c r="P33" s="19">
        <f>IF(OR(M33="",N33=""),"",ROUND(3959*ACOS(MIN(1,SIN(RADIANS(README!$B$3))*SIN(RADIANS(M33))+COS(RADIANS(README!$B$3))*COS(RADIANS(M33))*COS(RADIANS(N33-README!$B$4)))),1))</f>
        <v/>
      </c>
      <c r="Q33" s="19">
        <f>IF(O33="","",IF(P33="",O33,MIN(O33,P33)))</f>
        <v/>
      </c>
      <c r="R33" s="19">
        <f>IF(Q33="","n/a",IF(Q33&lt;=README!$B$5,"Yes","No"))</f>
        <v/>
      </c>
      <c r="S33" s="19" t="inlineStr">
        <is>
          <t>Tornado Project (Grazulis) NY county list 1950–2012</t>
        </is>
      </c>
      <c r="T33" s="19" t="inlineStr">
        <is>
          <t>A</t>
        </is>
      </c>
      <c r="U33" s="19" t="n"/>
    </row>
    <row r="34" ht="15" customHeight="1" s="13">
      <c r="A34" s="19" t="inlineStr">
        <is>
          <t>1995-07-15</t>
        </is>
      </c>
      <c r="B34" s="19" t="n"/>
      <c r="C34" s="19" t="inlineStr">
        <is>
          <t>Albany/Adirondacks</t>
        </is>
      </c>
      <c r="D34" s="19" t="inlineStr">
        <is>
          <t>Adirondack derecho</t>
        </is>
      </c>
      <c r="E34" s="19" t="inlineStr">
        <is>
          <t>Derecho</t>
        </is>
      </c>
      <c r="F34" s="19" t="inlineStr">
        <is>
          <t>100+ mph</t>
        </is>
      </c>
      <c r="G34" s="19" t="n"/>
      <c r="H34" s="19" t="n"/>
      <c r="I34" s="19" t="n">
        <v>1</v>
      </c>
      <c r="J34" s="19" t="n"/>
      <c r="K34" s="19" t="n">
        <v>42.75</v>
      </c>
      <c r="L34" s="19" t="n">
        <v>-73.8</v>
      </c>
      <c r="M34" s="19" t="n"/>
      <c r="N34" s="19" t="n"/>
      <c r="O34" s="19">
        <f>IF(OR(K34="",L34=""),"",ROUND(3959*ACOS(MIN(1,SIN(RADIANS(README!$B$3))*SIN(RADIANS(K34))+COS(RADIANS(README!$B$3))*COS(RADIANS(K34))*COS(RADIANS(L34-README!$B$4)))),1))</f>
        <v/>
      </c>
      <c r="P34" s="19">
        <f>IF(OR(M34="",N34=""),"",ROUND(3959*ACOS(MIN(1,SIN(RADIANS(README!$B$3))*SIN(RADIANS(M34))+COS(RADIANS(README!$B$3))*COS(RADIANS(M34))*COS(RADIANS(N34-README!$B$4)))),1))</f>
        <v/>
      </c>
      <c r="Q34" s="19">
        <f>IF(O34="","",IF(P34="",O34,MIN(O34,P34)))</f>
        <v/>
      </c>
      <c r="R34" s="19">
        <f>IF(Q34="","n/a",IF(Q34&lt;=README!$B$5,"Yes","No"))</f>
        <v/>
      </c>
      <c r="S34" s="19" t="inlineStr">
        <is>
          <t>NCEI Storm Events Database</t>
        </is>
      </c>
      <c r="T34" s="19" t="inlineStr">
        <is>
          <t>A</t>
        </is>
      </c>
      <c r="U34" s="19" t="inlineStr">
        <is>
          <t>1 death in Albany County per NCEI</t>
        </is>
      </c>
    </row>
    <row r="35" ht="23.25" customHeight="1" s="13">
      <c r="A35" s="19" t="inlineStr">
        <is>
          <t>1997-07-03</t>
        </is>
      </c>
      <c r="B35" s="19" t="inlineStr">
        <is>
          <t>15:23</t>
        </is>
      </c>
      <c r="C35" s="19" t="inlineStr">
        <is>
          <t>Columbia</t>
        </is>
      </c>
      <c r="D35" s="19" t="inlineStr">
        <is>
          <t>Columbia Co.</t>
        </is>
      </c>
      <c r="E35" s="19" t="inlineStr">
        <is>
          <t>Tornado</t>
        </is>
      </c>
      <c r="F35" s="19" t="inlineStr">
        <is>
          <t>F1</t>
        </is>
      </c>
      <c r="G35" s="19" t="n">
        <v>5.3</v>
      </c>
      <c r="H35" s="19" t="n">
        <v>100</v>
      </c>
      <c r="I35" s="19" t="n">
        <v>0</v>
      </c>
      <c r="J35" s="19" t="n">
        <v>0</v>
      </c>
      <c r="K35" s="19" t="n">
        <v>42.12</v>
      </c>
      <c r="L35" s="19" t="n">
        <v>-73.59999999999999</v>
      </c>
      <c r="M35" s="19" t="n">
        <v>42.15</v>
      </c>
      <c r="N35" s="19" t="n">
        <v>-73.48</v>
      </c>
      <c r="O35" s="19">
        <f>IF(OR(K35="",L35=""),"",ROUND(3959*ACOS(MIN(1,SIN(RADIANS(README!$B$3))*SIN(RADIANS(K35))+COS(RADIANS(README!$B$3))*COS(RADIANS(K35))*COS(RADIANS(L35-README!$B$4)))),1))</f>
        <v/>
      </c>
      <c r="P35" s="19">
        <f>IF(OR(M35="",N35=""),"",ROUND(3959*ACOS(MIN(1,SIN(RADIANS(README!$B$3))*SIN(RADIANS(M35))+COS(RADIANS(README!$B$3))*COS(RADIANS(M35))*COS(RADIANS(N35-README!$B$4)))),1))</f>
        <v/>
      </c>
      <c r="Q35" s="19">
        <f>IF(O35="","",IF(P35="",O35,MIN(O35,P35)))</f>
        <v/>
      </c>
      <c r="R35" s="19">
        <f>IF(Q35="","n/a",IF(Q35&lt;=README!$B$5,"Yes","No"))</f>
        <v/>
      </c>
      <c r="S35" s="19" t="inlineStr">
        <is>
          <t>Tornado Project (Grazulis) NY county list 1950–2012</t>
        </is>
      </c>
      <c r="T35" s="19" t="inlineStr">
        <is>
          <t>A</t>
        </is>
      </c>
      <c r="U35" s="19" t="n"/>
    </row>
    <row r="36" ht="23.25" customHeight="1" s="13">
      <c r="A36" s="19" t="inlineStr">
        <is>
          <t>1997-07-03</t>
        </is>
      </c>
      <c r="B36" s="19" t="inlineStr">
        <is>
          <t>17:17</t>
        </is>
      </c>
      <c r="C36" s="19" t="inlineStr">
        <is>
          <t>Columbia</t>
        </is>
      </c>
      <c r="D36" s="19" t="inlineStr">
        <is>
          <t>Columbia Co.</t>
        </is>
      </c>
      <c r="E36" s="19" t="inlineStr">
        <is>
          <t>Tornado</t>
        </is>
      </c>
      <c r="F36" s="19" t="inlineStr">
        <is>
          <t>F1</t>
        </is>
      </c>
      <c r="G36" s="19" t="n">
        <v>1.2</v>
      </c>
      <c r="H36" s="19" t="n">
        <v>200</v>
      </c>
      <c r="I36" s="19" t="n">
        <v>0</v>
      </c>
      <c r="J36" s="19" t="n">
        <v>0</v>
      </c>
      <c r="K36" s="19" t="n">
        <v>42.4</v>
      </c>
      <c r="L36" s="19" t="n">
        <v>-73.43000000000001</v>
      </c>
      <c r="M36" s="19" t="n">
        <v>42.4</v>
      </c>
      <c r="N36" s="19" t="n">
        <v>-73.42</v>
      </c>
      <c r="O36" s="19">
        <f>IF(OR(K36="",L36=""),"",ROUND(3959*ACOS(MIN(1,SIN(RADIANS(README!$B$3))*SIN(RADIANS(K36))+COS(RADIANS(README!$B$3))*COS(RADIANS(K36))*COS(RADIANS(L36-README!$B$4)))),1))</f>
        <v/>
      </c>
      <c r="P36" s="19">
        <f>IF(OR(M36="",N36=""),"",ROUND(3959*ACOS(MIN(1,SIN(RADIANS(README!$B$3))*SIN(RADIANS(M36))+COS(RADIANS(README!$B$3))*COS(RADIANS(M36))*COS(RADIANS(N36-README!$B$4)))),1))</f>
        <v/>
      </c>
      <c r="Q36" s="19">
        <f>IF(O36="","",IF(P36="",O36,MIN(O36,P36)))</f>
        <v/>
      </c>
      <c r="R36" s="19">
        <f>IF(Q36="","n/a",IF(Q36&lt;=README!$B$5,"Yes","No"))</f>
        <v/>
      </c>
      <c r="S36" s="19" t="inlineStr">
        <is>
          <t>Tornado Project (Grazulis) NY county list 1950–2012</t>
        </is>
      </c>
      <c r="T36" s="19" t="inlineStr">
        <is>
          <t>A</t>
        </is>
      </c>
      <c r="U36" s="19" t="n"/>
    </row>
    <row r="37" ht="23.25" customHeight="1" s="13">
      <c r="A37" s="19" t="inlineStr">
        <is>
          <t>1997-07-03</t>
        </is>
      </c>
      <c r="B37" s="19" t="inlineStr">
        <is>
          <t>17:20</t>
        </is>
      </c>
      <c r="C37" s="19" t="inlineStr">
        <is>
          <t>Columbia</t>
        </is>
      </c>
      <c r="D37" s="19" t="inlineStr">
        <is>
          <t>Columbia Co. → MA</t>
        </is>
      </c>
      <c r="E37" s="19" t="inlineStr">
        <is>
          <t>Tornado</t>
        </is>
      </c>
      <c r="F37" s="19" t="inlineStr">
        <is>
          <t>F2</t>
        </is>
      </c>
      <c r="G37" s="19" t="n">
        <v>1</v>
      </c>
      <c r="H37" s="19" t="n">
        <v>100</v>
      </c>
      <c r="I37" s="19" t="n">
        <v>0</v>
      </c>
      <c r="J37" s="19" t="n">
        <v>0</v>
      </c>
      <c r="K37" s="19" t="n">
        <v>42.4</v>
      </c>
      <c r="L37" s="19" t="n">
        <v>-73.42</v>
      </c>
      <c r="M37" s="19" t="n">
        <v>42.38</v>
      </c>
      <c r="N37" s="19" t="n">
        <v>-73.56999999999999</v>
      </c>
      <c r="O37" s="19">
        <f>IF(OR(K37="",L37=""),"",ROUND(3959*ACOS(MIN(1,SIN(RADIANS(README!$B$3))*SIN(RADIANS(K37))+COS(RADIANS(README!$B$3))*COS(RADIANS(K37))*COS(RADIANS(L37-README!$B$4)))),1))</f>
        <v/>
      </c>
      <c r="P37" s="19">
        <f>IF(OR(M37="",N37=""),"",ROUND(3959*ACOS(MIN(1,SIN(RADIANS(README!$B$3))*SIN(RADIANS(M37))+COS(RADIANS(README!$B$3))*COS(RADIANS(M37))*COS(RADIANS(N37-README!$B$4)))),1))</f>
        <v/>
      </c>
      <c r="Q37" s="19">
        <f>IF(O37="","",IF(P37="",O37,MIN(O37,P37)))</f>
        <v/>
      </c>
      <c r="R37" s="19">
        <f>IF(Q37="","n/a",IF(Q37&lt;=README!$B$5,"Yes","No"))</f>
        <v/>
      </c>
      <c r="S37" s="19" t="inlineStr">
        <is>
          <t>Tornado Project (Grazulis) NY county list 1950–2012</t>
        </is>
      </c>
      <c r="T37" s="19" t="inlineStr">
        <is>
          <t>A</t>
        </is>
      </c>
      <c r="U37" s="19" t="n"/>
    </row>
    <row r="38" ht="23.25" customHeight="1" s="13">
      <c r="A38" s="19" t="inlineStr">
        <is>
          <t>1998-05-31</t>
        </is>
      </c>
      <c r="B38" s="19" t="inlineStr">
        <is>
          <t>14:22</t>
        </is>
      </c>
      <c r="C38" s="19" t="inlineStr">
        <is>
          <t>Saratoga→Rensselaer</t>
        </is>
      </c>
      <c r="D38" s="19" t="inlineStr">
        <is>
          <t>Mechanicville–Stillwater</t>
        </is>
      </c>
      <c r="E38" s="19" t="inlineStr">
        <is>
          <t>Tornado</t>
        </is>
      </c>
      <c r="F38" s="19" t="inlineStr">
        <is>
          <t>F3</t>
        </is>
      </c>
      <c r="G38" s="19" t="n">
        <v>20.3</v>
      </c>
      <c r="H38" s="19" t="n">
        <v>970</v>
      </c>
      <c r="I38" s="19" t="n">
        <v>0</v>
      </c>
      <c r="J38" s="19" t="n">
        <v>68</v>
      </c>
      <c r="K38" s="19" t="n">
        <v>42.92</v>
      </c>
      <c r="L38" s="19" t="n">
        <v>-73.77</v>
      </c>
      <c r="M38" s="19" t="n">
        <v>42.93</v>
      </c>
      <c r="N38" s="19" t="n">
        <v>-73.27</v>
      </c>
      <c r="O38" s="19">
        <f>IF(OR(K38="",L38=""),"",ROUND(3959*ACOS(MIN(1,SIN(RADIANS(README!$B$3))*SIN(RADIANS(K38))+COS(RADIANS(README!$B$3))*COS(RADIANS(K38))*COS(RADIANS(L38-README!$B$4)))),1))</f>
        <v/>
      </c>
      <c r="P38" s="19">
        <f>IF(OR(M38="",N38=""),"",ROUND(3959*ACOS(MIN(1,SIN(RADIANS(README!$B$3))*SIN(RADIANS(M38))+COS(RADIANS(README!$B$3))*COS(RADIANS(M38))*COS(RADIANS(N38-README!$B$4)))),1))</f>
        <v/>
      </c>
      <c r="Q38" s="19">
        <f>IF(O38="","",IF(P38="",O38,MIN(O38,P38)))</f>
        <v/>
      </c>
      <c r="R38" s="19">
        <f>IF(Q38="","n/a",IF(Q38&lt;=README!$B$5,"Yes","No"))</f>
        <v/>
      </c>
      <c r="S38" s="19" t="inlineStr">
        <is>
          <t>Tornado Project (Grazulis) NY county list 1950–2012</t>
        </is>
      </c>
      <c r="T38" s="19" t="inlineStr">
        <is>
          <t>A</t>
        </is>
      </c>
      <c r="U38" s="19" t="inlineStr">
        <is>
          <t>&gt;$60M; part of derecho</t>
        </is>
      </c>
    </row>
    <row r="39" ht="23.25" customHeight="1" s="13">
      <c r="A39" s="19" t="inlineStr">
        <is>
          <t>1998-05-31</t>
        </is>
      </c>
      <c r="B39" s="19" t="inlineStr">
        <is>
          <t>14:37</t>
        </is>
      </c>
      <c r="C39" s="19" t="inlineStr">
        <is>
          <t>Albany</t>
        </is>
      </c>
      <c r="D39" s="19" t="inlineStr">
        <is>
          <t>Albany Co.</t>
        </is>
      </c>
      <c r="E39" s="19" t="inlineStr">
        <is>
          <t>Tornado</t>
        </is>
      </c>
      <c r="F39" s="19" t="inlineStr">
        <is>
          <t>F1</t>
        </is>
      </c>
      <c r="G39" s="19" t="n">
        <v>3.5</v>
      </c>
      <c r="H39" s="19" t="n">
        <v>75</v>
      </c>
      <c r="I39" s="19" t="n">
        <v>0</v>
      </c>
      <c r="J39" s="19" t="n">
        <v>0</v>
      </c>
      <c r="K39" s="19" t="n">
        <v>42.73</v>
      </c>
      <c r="L39" s="19" t="n">
        <v>-73.87</v>
      </c>
      <c r="M39" s="19" t="n">
        <v>42.75</v>
      </c>
      <c r="N39" s="19" t="n">
        <v>-73.77</v>
      </c>
      <c r="O39" s="19">
        <f>IF(OR(K39="",L39=""),"",ROUND(3959*ACOS(MIN(1,SIN(RADIANS(README!$B$3))*SIN(RADIANS(K39))+COS(RADIANS(README!$B$3))*COS(RADIANS(K39))*COS(RADIANS(L39-README!$B$4)))),1))</f>
        <v/>
      </c>
      <c r="P39" s="19">
        <f>IF(OR(M39="",N39=""),"",ROUND(3959*ACOS(MIN(1,SIN(RADIANS(README!$B$3))*SIN(RADIANS(M39))+COS(RADIANS(README!$B$3))*COS(RADIANS(M39))*COS(RADIANS(N39-README!$B$4)))),1))</f>
        <v/>
      </c>
      <c r="Q39" s="19">
        <f>IF(O39="","",IF(P39="",O39,MIN(O39,P39)))</f>
        <v/>
      </c>
      <c r="R39" s="19">
        <f>IF(Q39="","n/a",IF(Q39&lt;=README!$B$5,"Yes","No"))</f>
        <v/>
      </c>
      <c r="S39" s="19" t="inlineStr">
        <is>
          <t>Tornado Project (Grazulis) NY county list 1950–2012</t>
        </is>
      </c>
      <c r="T39" s="19" t="inlineStr">
        <is>
          <t>A</t>
        </is>
      </c>
      <c r="U39" s="19" t="n"/>
    </row>
    <row r="40" ht="23.25" customHeight="1" s="13">
      <c r="A40" s="19" t="inlineStr">
        <is>
          <t>1998-05-31</t>
        </is>
      </c>
      <c r="B40" s="19" t="inlineStr">
        <is>
          <t>17:22</t>
        </is>
      </c>
      <c r="C40" s="19" t="inlineStr">
        <is>
          <t>Rensselaer</t>
        </is>
      </c>
      <c r="D40" s="19" t="inlineStr">
        <is>
          <t>Rensselaer Co.</t>
        </is>
      </c>
      <c r="E40" s="19" t="inlineStr">
        <is>
          <t>Tornado</t>
        </is>
      </c>
      <c r="F40" s="19" t="inlineStr">
        <is>
          <t>F2</t>
        </is>
      </c>
      <c r="G40" s="19" t="n">
        <v>8</v>
      </c>
      <c r="H40" s="19" t="n">
        <v>200</v>
      </c>
      <c r="I40" s="19" t="n">
        <v>0</v>
      </c>
      <c r="J40" s="19" t="n">
        <v>0</v>
      </c>
      <c r="K40" s="19" t="n">
        <v>42.58</v>
      </c>
      <c r="L40" s="19" t="n">
        <v>-73.65000000000001</v>
      </c>
      <c r="M40" s="19" t="n">
        <v>42.6</v>
      </c>
      <c r="N40" s="19" t="n">
        <v>-73.52</v>
      </c>
      <c r="O40" s="19">
        <f>IF(OR(K40="",L40=""),"",ROUND(3959*ACOS(MIN(1,SIN(RADIANS(README!$B$3))*SIN(RADIANS(K40))+COS(RADIANS(README!$B$3))*COS(RADIANS(K40))*COS(RADIANS(L40-README!$B$4)))),1))</f>
        <v/>
      </c>
      <c r="P40" s="19">
        <f>IF(OR(M40="",N40=""),"",ROUND(3959*ACOS(MIN(1,SIN(RADIANS(README!$B$3))*SIN(RADIANS(M40))+COS(RADIANS(README!$B$3))*COS(RADIANS(M40))*COS(RADIANS(N40-README!$B$4)))),1))</f>
        <v/>
      </c>
      <c r="Q40" s="19">
        <f>IF(O40="","",IF(P40="",O40,MIN(O40,P40)))</f>
        <v/>
      </c>
      <c r="R40" s="19">
        <f>IF(Q40="","n/a",IF(Q40&lt;=README!$B$5,"Yes","No"))</f>
        <v/>
      </c>
      <c r="S40" s="19" t="inlineStr">
        <is>
          <t>Tornado Project (Grazulis) NY county list 1950–2012</t>
        </is>
      </c>
      <c r="T40" s="19" t="inlineStr">
        <is>
          <t>A</t>
        </is>
      </c>
      <c r="U40" s="19" t="n"/>
    </row>
    <row r="41" ht="15" customHeight="1" s="13">
      <c r="A41" s="19" t="inlineStr">
        <is>
          <t>2002-08-14</t>
        </is>
      </c>
      <c r="B41" s="19" t="n"/>
      <c r="C41" s="19" t="inlineStr">
        <is>
          <t>Albany</t>
        </is>
      </c>
      <c r="D41" s="19" t="inlineStr">
        <is>
          <t>Guilderland — worst in Guilderland Center &amp; Fort Hunter</t>
        </is>
      </c>
      <c r="E41" s="19" t="inlineStr">
        <is>
          <t>Thunderstorm wind (microburst)</t>
        </is>
      </c>
      <c r="F41" s="19" t="n"/>
      <c r="G41" s="19" t="n"/>
      <c r="H41" s="19" t="n"/>
      <c r="I41" s="19" t="n">
        <v>0</v>
      </c>
      <c r="J41" s="19" t="n">
        <v>9</v>
      </c>
      <c r="K41" s="19" t="n">
        <v>42.698</v>
      </c>
      <c r="L41" s="19" t="n">
        <v>-74.05800000000001</v>
      </c>
      <c r="M41" s="19" t="n"/>
      <c r="N41" s="19" t="n"/>
      <c r="O41" s="19">
        <f>IF(OR(K41="",L41=""),"",ROUND(3959*ACOS(MIN(1,SIN(RADIANS(README!$B$3))*SIN(RADIANS(K41))+COS(RADIANS(README!$B$3))*COS(RADIANS(K41))*COS(RADIANS(L41-README!$B$4)))),1))</f>
        <v/>
      </c>
      <c r="P41" s="19">
        <f>IF(OR(M41="",N41=""),"",ROUND(3959*ACOS(MIN(1,SIN(RADIANS(README!$B$3))*SIN(RADIANS(M41))+COS(RADIANS(README!$B$3))*COS(RADIANS(M41))*COS(RADIANS(N41-README!$B$4)))),1))</f>
        <v/>
      </c>
      <c r="Q41" s="19">
        <f>IF(O41="","",IF(P41="",O41,MIN(O41,P41)))</f>
        <v/>
      </c>
      <c r="R41" s="19">
        <f>IF(Q41="","n/a",IF(Q41&lt;=README!$B$5,"Yes","No"))</f>
        <v/>
      </c>
      <c r="S41" s="19" t="inlineStr">
        <is>
          <t>NCEI Storm Events Database</t>
        </is>
      </c>
      <c r="T41" s="19" t="inlineStr">
        <is>
          <t>A</t>
        </is>
      </c>
      <c r="U41" s="19" t="inlineStr">
        <is>
          <t>Microburst ~4pm Wed 14 Aug 2002; state of emergency declared (Supervisor Runion). Worst damage Guilderland Center &amp; Fort Hunter: numerous homes with trees on/through roofs; high school roof damaged; highway-dept roof ripped off; animal-shelter fence torn down; 1 woman injured (tree on her car, hospitalized, 'good condition'). NCEI final tally 9 injuries, 0 deaths. Coords corrected from the NCEI county centroid (42.75,-73.80) to Guilderland Center per Altamont Enterprise 15 Aug 2002 (Matteson &amp; Barr). 2026-09-23 (v853, atlas session): Enterprise Aug 22 2002 — hit ~3:50 p.m. Wed Aug 14, over in 15 min; NWS (Westergard) microburst, pulse-type storm; helicopter survey showed a 'snow cone' path that touched down and skipped; hardest hit Guilderland Center (highway-garage roof off, poles down on Depot Rd) and the Lone Pine area off Carman Rd (E. Lydius St, Lone Pine St, Spawn Rd, Benjamin) — two homes condemned, 12-in limbs as projectiles; also Fort Hunter, Hemboldt/Curry Rds; state of emergency for Fort Hunter and Guilderland Center; no serious injuries.</t>
        </is>
      </c>
    </row>
    <row r="42" ht="23.25" customHeight="1" s="13">
      <c r="A42" s="19" t="inlineStr">
        <is>
          <t>2003-07-21</t>
        </is>
      </c>
      <c r="B42" s="19" t="inlineStr">
        <is>
          <t>18:14</t>
        </is>
      </c>
      <c r="C42" s="19" t="inlineStr">
        <is>
          <t>Greene</t>
        </is>
      </c>
      <c r="D42" s="19" t="inlineStr">
        <is>
          <t>Greene Co.</t>
        </is>
      </c>
      <c r="E42" s="19" t="inlineStr">
        <is>
          <t>Tornado</t>
        </is>
      </c>
      <c r="F42" s="19" t="inlineStr">
        <is>
          <t>F1</t>
        </is>
      </c>
      <c r="G42" s="19" t="n">
        <v>0.5</v>
      </c>
      <c r="H42" s="19" t="n">
        <v>50</v>
      </c>
      <c r="I42" s="19" t="n">
        <v>0</v>
      </c>
      <c r="J42" s="19" t="n">
        <v>0</v>
      </c>
      <c r="K42" s="19" t="n">
        <v>42.18</v>
      </c>
      <c r="L42" s="19" t="n">
        <v>-74.02</v>
      </c>
      <c r="M42" s="19" t="n"/>
      <c r="N42" s="19" t="n"/>
      <c r="O42" s="19">
        <f>IF(OR(K42="",L42=""),"",ROUND(3959*ACOS(MIN(1,SIN(RADIANS(README!$B$3))*SIN(RADIANS(K42))+COS(RADIANS(README!$B$3))*COS(RADIANS(K42))*COS(RADIANS(L42-README!$B$4)))),1))</f>
        <v/>
      </c>
      <c r="P42" s="19">
        <f>IF(OR(M42="",N42=""),"",ROUND(3959*ACOS(MIN(1,SIN(RADIANS(README!$B$3))*SIN(RADIANS(M42))+COS(RADIANS(README!$B$3))*COS(RADIANS(M42))*COS(RADIANS(N42-README!$B$4)))),1))</f>
        <v/>
      </c>
      <c r="Q42" s="19">
        <f>IF(O42="","",IF(P42="",O42,MIN(O42,P42)))</f>
        <v/>
      </c>
      <c r="R42" s="19">
        <f>IF(Q42="","n/a",IF(Q42&lt;=README!$B$5,"Yes","No"))</f>
        <v/>
      </c>
      <c r="S42" s="19" t="inlineStr">
        <is>
          <t>Tornado Project (Grazulis) NY county list 1950–2012</t>
        </is>
      </c>
      <c r="T42" s="19" t="inlineStr">
        <is>
          <t>A</t>
        </is>
      </c>
      <c r="U42" s="19" t="n"/>
    </row>
    <row r="43" ht="23.25" customHeight="1" s="13">
      <c r="A43" s="19" t="inlineStr">
        <is>
          <t>2003-07-21</t>
        </is>
      </c>
      <c r="B43" s="19" t="inlineStr">
        <is>
          <t>18:23</t>
        </is>
      </c>
      <c r="C43" s="19" t="inlineStr">
        <is>
          <t>Greene</t>
        </is>
      </c>
      <c r="D43" s="19" t="inlineStr">
        <is>
          <t>Greene Co. (Coxsackie area)</t>
        </is>
      </c>
      <c r="E43" s="19" t="inlineStr">
        <is>
          <t>Tornado</t>
        </is>
      </c>
      <c r="F43" s="19" t="inlineStr">
        <is>
          <t>F2</t>
        </is>
      </c>
      <c r="G43" s="19" t="n">
        <v>1.5</v>
      </c>
      <c r="H43" s="19" t="n">
        <v>150</v>
      </c>
      <c r="I43" s="19" t="n">
        <v>0</v>
      </c>
      <c r="J43" s="19" t="n">
        <v>7</v>
      </c>
      <c r="K43" s="19" t="n">
        <v>42.2</v>
      </c>
      <c r="L43" s="19" t="n">
        <v>-73.97</v>
      </c>
      <c r="M43" s="19" t="n">
        <v>42.22</v>
      </c>
      <c r="N43" s="19" t="n">
        <v>-73.87</v>
      </c>
      <c r="O43" s="19">
        <f>IF(OR(K43="",L43=""),"",ROUND(3959*ACOS(MIN(1,SIN(RADIANS(README!$B$3))*SIN(RADIANS(K43))+COS(RADIANS(README!$B$3))*COS(RADIANS(K43))*COS(RADIANS(L43-README!$B$4)))),1))</f>
        <v/>
      </c>
      <c r="P43" s="19">
        <f>IF(OR(M43="",N43=""),"",ROUND(3959*ACOS(MIN(1,SIN(RADIANS(README!$B$3))*SIN(RADIANS(M43))+COS(RADIANS(README!$B$3))*COS(RADIANS(M43))*COS(RADIANS(N43-README!$B$4)))),1))</f>
        <v/>
      </c>
      <c r="Q43" s="19">
        <f>IF(O43="","",IF(P43="",O43,MIN(O43,P43)))</f>
        <v/>
      </c>
      <c r="R43" s="19">
        <f>IF(Q43="","n/a",IF(Q43&lt;=README!$B$5,"Yes","No"))</f>
        <v/>
      </c>
      <c r="S43" s="19" t="inlineStr">
        <is>
          <t>Tornado Project (Grazulis) NY county list 1950–2012</t>
        </is>
      </c>
      <c r="T43" s="19" t="inlineStr">
        <is>
          <t>A</t>
        </is>
      </c>
      <c r="U43" s="19" t="inlineStr">
        <is>
          <t>7 injuries</t>
        </is>
      </c>
    </row>
    <row r="44" ht="23.25" customHeight="1" s="13">
      <c r="A44" s="19" t="inlineStr">
        <is>
          <t>2003-07-21</t>
        </is>
      </c>
      <c r="B44" s="19" t="inlineStr">
        <is>
          <t>18:24</t>
        </is>
      </c>
      <c r="C44" s="19" t="inlineStr">
        <is>
          <t>Greene</t>
        </is>
      </c>
      <c r="D44" s="19" t="inlineStr">
        <is>
          <t>Greene Co.</t>
        </is>
      </c>
      <c r="E44" s="19" t="inlineStr">
        <is>
          <t>Tornado</t>
        </is>
      </c>
      <c r="F44" s="19" t="inlineStr">
        <is>
          <t>F1</t>
        </is>
      </c>
      <c r="G44" s="19" t="n">
        <v>0.5</v>
      </c>
      <c r="H44" s="19" t="n">
        <v>50</v>
      </c>
      <c r="I44" s="19" t="n">
        <v>0</v>
      </c>
      <c r="J44" s="19" t="n">
        <v>0</v>
      </c>
      <c r="K44" s="19" t="n">
        <v>42.27</v>
      </c>
      <c r="L44" s="19" t="n">
        <v>-73.81999999999999</v>
      </c>
      <c r="M44" s="19" t="n"/>
      <c r="N44" s="19" t="n"/>
      <c r="O44" s="19">
        <f>IF(OR(K44="",L44=""),"",ROUND(3959*ACOS(MIN(1,SIN(RADIANS(README!$B$3))*SIN(RADIANS(K44))+COS(RADIANS(README!$B$3))*COS(RADIANS(K44))*COS(RADIANS(L44-README!$B$4)))),1))</f>
        <v/>
      </c>
      <c r="P44" s="19">
        <f>IF(OR(M44="",N44=""),"",ROUND(3959*ACOS(MIN(1,SIN(RADIANS(README!$B$3))*SIN(RADIANS(M44))+COS(RADIANS(README!$B$3))*COS(RADIANS(M44))*COS(RADIANS(N44-README!$B$4)))),1))</f>
        <v/>
      </c>
      <c r="Q44" s="19">
        <f>IF(O44="","",IF(P44="",O44,MIN(O44,P44)))</f>
        <v/>
      </c>
      <c r="R44" s="19">
        <f>IF(Q44="","n/a",IF(Q44&lt;=README!$B$5,"Yes","No"))</f>
        <v/>
      </c>
      <c r="S44" s="19" t="inlineStr">
        <is>
          <t>Tornado Project (Grazulis) NY county list 1950–2012</t>
        </is>
      </c>
      <c r="T44" s="19" t="inlineStr">
        <is>
          <t>A</t>
        </is>
      </c>
      <c r="U44" s="19" t="n"/>
    </row>
    <row r="45" ht="23.25" customHeight="1" s="13">
      <c r="A45" s="19" t="inlineStr">
        <is>
          <t>2003-07-21</t>
        </is>
      </c>
      <c r="B45" s="19" t="inlineStr">
        <is>
          <t>18:30</t>
        </is>
      </c>
      <c r="C45" s="19" t="inlineStr">
        <is>
          <t>Greene</t>
        </is>
      </c>
      <c r="D45" s="19" t="inlineStr">
        <is>
          <t>Greene Co.</t>
        </is>
      </c>
      <c r="E45" s="19" t="inlineStr">
        <is>
          <t>Tornado</t>
        </is>
      </c>
      <c r="F45" s="19" t="inlineStr">
        <is>
          <t>F1</t>
        </is>
      </c>
      <c r="G45" s="19" t="n">
        <v>0.5</v>
      </c>
      <c r="H45" s="19" t="n">
        <v>150</v>
      </c>
      <c r="I45" s="19" t="n">
        <v>0</v>
      </c>
      <c r="J45" s="19" t="n">
        <v>0</v>
      </c>
      <c r="K45" s="19" t="n">
        <v>42.35</v>
      </c>
      <c r="L45" s="19" t="n">
        <v>-73.8</v>
      </c>
      <c r="M45" s="19" t="n"/>
      <c r="N45" s="19" t="n"/>
      <c r="O45" s="19">
        <f>IF(OR(K45="",L45=""),"",ROUND(3959*ACOS(MIN(1,SIN(RADIANS(README!$B$3))*SIN(RADIANS(K45))+COS(RADIANS(README!$B$3))*COS(RADIANS(K45))*COS(RADIANS(L45-README!$B$4)))),1))</f>
        <v/>
      </c>
      <c r="P45" s="19">
        <f>IF(OR(M45="",N45=""),"",ROUND(3959*ACOS(MIN(1,SIN(RADIANS(README!$B$3))*SIN(RADIANS(M45))+COS(RADIANS(README!$B$3))*COS(RADIANS(M45))*COS(RADIANS(N45-README!$B$4)))),1))</f>
        <v/>
      </c>
      <c r="Q45" s="19">
        <f>IF(O45="","",IF(P45="",O45,MIN(O45,P45)))</f>
        <v/>
      </c>
      <c r="R45" s="19">
        <f>IF(Q45="","n/a",IF(Q45&lt;=README!$B$5,"Yes","No"))</f>
        <v/>
      </c>
      <c r="S45" s="19" t="inlineStr">
        <is>
          <t>Tornado Project (Grazulis) NY county list 1950–2012</t>
        </is>
      </c>
      <c r="T45" s="19" t="inlineStr">
        <is>
          <t>A</t>
        </is>
      </c>
      <c r="U45" s="19" t="n"/>
    </row>
    <row r="46" ht="23.25" customHeight="1" s="13">
      <c r="A46" s="19" t="inlineStr">
        <is>
          <t>2003-07-21</t>
        </is>
      </c>
      <c r="B46" s="19" t="inlineStr">
        <is>
          <t>18:32</t>
        </is>
      </c>
      <c r="C46" s="19" t="inlineStr">
        <is>
          <t>Columbia</t>
        </is>
      </c>
      <c r="D46" s="19" t="inlineStr">
        <is>
          <t>Columbia Co.</t>
        </is>
      </c>
      <c r="E46" s="19" t="inlineStr">
        <is>
          <t>Tornado</t>
        </is>
      </c>
      <c r="F46" s="19" t="inlineStr">
        <is>
          <t>F1</t>
        </is>
      </c>
      <c r="G46" s="19" t="n">
        <v>1.8</v>
      </c>
      <c r="H46" s="19" t="n">
        <v>90</v>
      </c>
      <c r="I46" s="19" t="n">
        <v>0</v>
      </c>
      <c r="J46" s="19" t="n">
        <v>0</v>
      </c>
      <c r="K46" s="19" t="n">
        <v>42.43</v>
      </c>
      <c r="L46" s="19" t="n">
        <v>-73.67</v>
      </c>
      <c r="M46" s="19" t="n"/>
      <c r="N46" s="19" t="n"/>
      <c r="O46" s="19">
        <f>IF(OR(K46="",L46=""),"",ROUND(3959*ACOS(MIN(1,SIN(RADIANS(README!$B$3))*SIN(RADIANS(K46))+COS(RADIANS(README!$B$3))*COS(RADIANS(K46))*COS(RADIANS(L46-README!$B$4)))),1))</f>
        <v/>
      </c>
      <c r="P46" s="19">
        <f>IF(OR(M46="",N46=""),"",ROUND(3959*ACOS(MIN(1,SIN(RADIANS(README!$B$3))*SIN(RADIANS(M46))+COS(RADIANS(README!$B$3))*COS(RADIANS(M46))*COS(RADIANS(N46-README!$B$4)))),1))</f>
        <v/>
      </c>
      <c r="Q46" s="19">
        <f>IF(O46="","",IF(P46="",O46,MIN(O46,P46)))</f>
        <v/>
      </c>
      <c r="R46" s="19">
        <f>IF(Q46="","n/a",IF(Q46&lt;=README!$B$5,"Yes","No"))</f>
        <v/>
      </c>
      <c r="S46" s="19" t="inlineStr">
        <is>
          <t>Tornado Project (Grazulis) NY county list 1950–2012</t>
        </is>
      </c>
      <c r="T46" s="19" t="inlineStr">
        <is>
          <t>A</t>
        </is>
      </c>
      <c r="U46" s="19" t="n"/>
    </row>
    <row r="47" ht="23.25" customHeight="1" s="13">
      <c r="A47" s="19" t="inlineStr">
        <is>
          <t>2003-07-21</t>
        </is>
      </c>
      <c r="B47" s="19" t="inlineStr">
        <is>
          <t>18:35</t>
        </is>
      </c>
      <c r="C47" s="19" t="inlineStr">
        <is>
          <t>Columbia</t>
        </is>
      </c>
      <c r="D47" s="19" t="inlineStr">
        <is>
          <t>Columbia Co.</t>
        </is>
      </c>
      <c r="E47" s="19" t="inlineStr">
        <is>
          <t>Tornado</t>
        </is>
      </c>
      <c r="F47" s="19" t="inlineStr">
        <is>
          <t>F0</t>
        </is>
      </c>
      <c r="G47" s="19" t="n">
        <v>0.4</v>
      </c>
      <c r="H47" s="19" t="n">
        <v>125</v>
      </c>
      <c r="I47" s="19" t="n">
        <v>0</v>
      </c>
      <c r="J47" s="19" t="n">
        <v>0</v>
      </c>
      <c r="K47" s="19" t="n">
        <v>42.35</v>
      </c>
      <c r="L47" s="19" t="n">
        <v>-73.78</v>
      </c>
      <c r="M47" s="19" t="n"/>
      <c r="N47" s="19" t="n"/>
      <c r="O47" s="19">
        <f>IF(OR(K47="",L47=""),"",ROUND(3959*ACOS(MIN(1,SIN(RADIANS(README!$B$3))*SIN(RADIANS(K47))+COS(RADIANS(README!$B$3))*COS(RADIANS(K47))*COS(RADIANS(L47-README!$B$4)))),1))</f>
        <v/>
      </c>
      <c r="P47" s="19">
        <f>IF(OR(M47="",N47=""),"",ROUND(3959*ACOS(MIN(1,SIN(RADIANS(README!$B$3))*SIN(RADIANS(M47))+COS(RADIANS(README!$B$3))*COS(RADIANS(M47))*COS(RADIANS(N47-README!$B$4)))),1))</f>
        <v/>
      </c>
      <c r="Q47" s="19">
        <f>IF(O47="","",IF(P47="",O47,MIN(O47,P47)))</f>
        <v/>
      </c>
      <c r="R47" s="19">
        <f>IF(Q47="","n/a",IF(Q47&lt;=README!$B$5,"Yes","No"))</f>
        <v/>
      </c>
      <c r="S47" s="19" t="inlineStr">
        <is>
          <t>Tornado Project (Grazulis) NY county list 1950–2012</t>
        </is>
      </c>
      <c r="T47" s="19" t="inlineStr">
        <is>
          <t>A</t>
        </is>
      </c>
      <c r="U47" s="19" t="n"/>
    </row>
    <row r="48" ht="23.25" customHeight="1" s="13">
      <c r="A48" s="19" t="inlineStr">
        <is>
          <t>2003-07-21</t>
        </is>
      </c>
      <c r="B48" s="19" t="inlineStr">
        <is>
          <t>18:38</t>
        </is>
      </c>
      <c r="C48" s="19" t="inlineStr">
        <is>
          <t>Columbia</t>
        </is>
      </c>
      <c r="D48" s="19" t="inlineStr">
        <is>
          <t>Columbia Co.</t>
        </is>
      </c>
      <c r="E48" s="19" t="inlineStr">
        <is>
          <t>Tornado</t>
        </is>
      </c>
      <c r="F48" s="19" t="inlineStr">
        <is>
          <t>F0</t>
        </is>
      </c>
      <c r="G48" s="19" t="n">
        <v>0.5</v>
      </c>
      <c r="H48" s="19" t="n">
        <v>60</v>
      </c>
      <c r="I48" s="19" t="n">
        <v>0</v>
      </c>
      <c r="J48" s="19" t="n">
        <v>0</v>
      </c>
      <c r="K48" s="19" t="n">
        <v>42.38</v>
      </c>
      <c r="L48" s="19" t="n">
        <v>-73.78</v>
      </c>
      <c r="M48" s="19" t="n"/>
      <c r="N48" s="19" t="n"/>
      <c r="O48" s="19">
        <f>IF(OR(K48="",L48=""),"",ROUND(3959*ACOS(MIN(1,SIN(RADIANS(README!$B$3))*SIN(RADIANS(K48))+COS(RADIANS(README!$B$3))*COS(RADIANS(K48))*COS(RADIANS(L48-README!$B$4)))),1))</f>
        <v/>
      </c>
      <c r="P48" s="19">
        <f>IF(OR(M48="",N48=""),"",ROUND(3959*ACOS(MIN(1,SIN(RADIANS(README!$B$3))*SIN(RADIANS(M48))+COS(RADIANS(README!$B$3))*COS(RADIANS(M48))*COS(RADIANS(N48-README!$B$4)))),1))</f>
        <v/>
      </c>
      <c r="Q48" s="19">
        <f>IF(O48="","",IF(P48="",O48,MIN(O48,P48)))</f>
        <v/>
      </c>
      <c r="R48" s="19">
        <f>IF(Q48="","n/a",IF(Q48&lt;=README!$B$5,"Yes","No"))</f>
        <v/>
      </c>
      <c r="S48" s="19" t="inlineStr">
        <is>
          <t>Tornado Project (Grazulis) NY county list 1950–2012</t>
        </is>
      </c>
      <c r="T48" s="19" t="inlineStr">
        <is>
          <t>A</t>
        </is>
      </c>
      <c r="U48" s="19" t="n"/>
    </row>
    <row r="49" ht="23.25" customHeight="1" s="13">
      <c r="A49" s="19" t="inlineStr">
        <is>
          <t>2003-07-21</t>
        </is>
      </c>
      <c r="B49" s="19" t="inlineStr">
        <is>
          <t>18:40</t>
        </is>
      </c>
      <c r="C49" s="19" t="inlineStr">
        <is>
          <t>Columbia</t>
        </is>
      </c>
      <c r="D49" s="19" t="inlineStr">
        <is>
          <t>Columbia Co.</t>
        </is>
      </c>
      <c r="E49" s="19" t="inlineStr">
        <is>
          <t>Tornado</t>
        </is>
      </c>
      <c r="F49" s="19" t="inlineStr">
        <is>
          <t>F0</t>
        </is>
      </c>
      <c r="G49" s="19" t="n">
        <v>4</v>
      </c>
      <c r="H49" s="19" t="n">
        <v>50</v>
      </c>
      <c r="I49" s="19" t="n">
        <v>0</v>
      </c>
      <c r="J49" s="19" t="n">
        <v>0</v>
      </c>
      <c r="K49" s="19" t="n">
        <v>42.38</v>
      </c>
      <c r="L49" s="19" t="n">
        <v>-73.78</v>
      </c>
      <c r="M49" s="19" t="n"/>
      <c r="N49" s="19" t="n"/>
      <c r="O49" s="19">
        <f>IF(OR(K49="",L49=""),"",ROUND(3959*ACOS(MIN(1,SIN(RADIANS(README!$B$3))*SIN(RADIANS(K49))+COS(RADIANS(README!$B$3))*COS(RADIANS(K49))*COS(RADIANS(L49-README!$B$4)))),1))</f>
        <v/>
      </c>
      <c r="P49" s="19">
        <f>IF(OR(M49="",N49=""),"",ROUND(3959*ACOS(MIN(1,SIN(RADIANS(README!$B$3))*SIN(RADIANS(M49))+COS(RADIANS(README!$B$3))*COS(RADIANS(M49))*COS(RADIANS(N49-README!$B$4)))),1))</f>
        <v/>
      </c>
      <c r="Q49" s="19">
        <f>IF(O49="","",IF(P49="",O49,MIN(O49,P49)))</f>
        <v/>
      </c>
      <c r="R49" s="19">
        <f>IF(Q49="","n/a",IF(Q49&lt;=README!$B$5,"Yes","No"))</f>
        <v/>
      </c>
      <c r="S49" s="19" t="inlineStr">
        <is>
          <t>Tornado Project (Grazulis) NY county list 1950–2012</t>
        </is>
      </c>
      <c r="T49" s="19" t="inlineStr">
        <is>
          <t>A</t>
        </is>
      </c>
      <c r="U49" s="19" t="n"/>
    </row>
    <row r="50" ht="23.25" customHeight="1" s="13">
      <c r="A50" s="19" t="inlineStr">
        <is>
          <t>2003-07-21</t>
        </is>
      </c>
      <c r="B50" s="19" t="inlineStr">
        <is>
          <t>18:40</t>
        </is>
      </c>
      <c r="C50" s="19" t="inlineStr">
        <is>
          <t>Columbia</t>
        </is>
      </c>
      <c r="D50" s="19" t="inlineStr">
        <is>
          <t>Columbia Co.</t>
        </is>
      </c>
      <c r="E50" s="19" t="inlineStr">
        <is>
          <t>Tornado</t>
        </is>
      </c>
      <c r="F50" s="19" t="inlineStr">
        <is>
          <t>F0</t>
        </is>
      </c>
      <c r="G50" s="19" t="n">
        <v>0.5</v>
      </c>
      <c r="H50" s="19" t="n">
        <v>60</v>
      </c>
      <c r="I50" s="19" t="n">
        <v>0</v>
      </c>
      <c r="J50" s="19" t="n">
        <v>0</v>
      </c>
      <c r="K50" s="19" t="n">
        <v>42.4</v>
      </c>
      <c r="L50" s="19" t="n">
        <v>-73.7</v>
      </c>
      <c r="M50" s="19" t="n"/>
      <c r="N50" s="19" t="n"/>
      <c r="O50" s="19">
        <f>IF(OR(K50="",L50=""),"",ROUND(3959*ACOS(MIN(1,SIN(RADIANS(README!$B$3))*SIN(RADIANS(K50))+COS(RADIANS(README!$B$3))*COS(RADIANS(K50))*COS(RADIANS(L50-README!$B$4)))),1))</f>
        <v/>
      </c>
      <c r="P50" s="19">
        <f>IF(OR(M50="",N50=""),"",ROUND(3959*ACOS(MIN(1,SIN(RADIANS(README!$B$3))*SIN(RADIANS(M50))+COS(RADIANS(README!$B$3))*COS(RADIANS(M50))*COS(RADIANS(N50-README!$B$4)))),1))</f>
        <v/>
      </c>
      <c r="Q50" s="19">
        <f>IF(O50="","",IF(P50="",O50,MIN(O50,P50)))</f>
        <v/>
      </c>
      <c r="R50" s="19">
        <f>IF(Q50="","n/a",IF(Q50&lt;=README!$B$5,"Yes","No"))</f>
        <v/>
      </c>
      <c r="S50" s="19" t="inlineStr">
        <is>
          <t>Tornado Project (Grazulis) NY county list 1950–2012</t>
        </is>
      </c>
      <c r="T50" s="19" t="inlineStr">
        <is>
          <t>A</t>
        </is>
      </c>
      <c r="U50" s="19" t="n"/>
    </row>
    <row r="51" ht="23.25" customHeight="1" s="13">
      <c r="A51" s="19" t="inlineStr">
        <is>
          <t>2003-07-21</t>
        </is>
      </c>
      <c r="B51" s="19" t="inlineStr">
        <is>
          <t>18:43</t>
        </is>
      </c>
      <c r="C51" s="19" t="inlineStr">
        <is>
          <t>Columbia</t>
        </is>
      </c>
      <c r="D51" s="19" t="inlineStr">
        <is>
          <t>Columbia Co.</t>
        </is>
      </c>
      <c r="E51" s="19" t="inlineStr">
        <is>
          <t>Tornado</t>
        </is>
      </c>
      <c r="F51" s="19" t="inlineStr">
        <is>
          <t>F2</t>
        </is>
      </c>
      <c r="G51" s="19" t="n">
        <v>1.3</v>
      </c>
      <c r="H51" s="19" t="n">
        <v>50</v>
      </c>
      <c r="I51" s="19" t="n">
        <v>0</v>
      </c>
      <c r="J51" s="19" t="n">
        <v>1</v>
      </c>
      <c r="K51" s="19" t="n">
        <v>42.4</v>
      </c>
      <c r="L51" s="19" t="n">
        <v>-73.7</v>
      </c>
      <c r="M51" s="19" t="n"/>
      <c r="N51" s="19" t="n"/>
      <c r="O51" s="19">
        <f>IF(OR(K51="",L51=""),"",ROUND(3959*ACOS(MIN(1,SIN(RADIANS(README!$B$3))*SIN(RADIANS(K51))+COS(RADIANS(README!$B$3))*COS(RADIANS(K51))*COS(RADIANS(L51-README!$B$4)))),1))</f>
        <v/>
      </c>
      <c r="P51" s="19">
        <f>IF(OR(M51="",N51=""),"",ROUND(3959*ACOS(MIN(1,SIN(RADIANS(README!$B$3))*SIN(RADIANS(M51))+COS(RADIANS(README!$B$3))*COS(RADIANS(M51))*COS(RADIANS(N51-README!$B$4)))),1))</f>
        <v/>
      </c>
      <c r="Q51" s="19">
        <f>IF(O51="","",IF(P51="",O51,MIN(O51,P51)))</f>
        <v/>
      </c>
      <c r="R51" s="19">
        <f>IF(Q51="","n/a",IF(Q51&lt;=README!$B$5,"Yes","No"))</f>
        <v/>
      </c>
      <c r="S51" s="19" t="inlineStr">
        <is>
          <t>Tornado Project (Grazulis) NY county list 1950–2012</t>
        </is>
      </c>
      <c r="T51" s="19" t="inlineStr">
        <is>
          <t>A</t>
        </is>
      </c>
      <c r="U51" s="19" t="n"/>
    </row>
    <row r="52" ht="23.25" customHeight="1" s="13">
      <c r="A52" s="19" t="inlineStr">
        <is>
          <t>2003-07-21</t>
        </is>
      </c>
      <c r="B52" s="19" t="inlineStr">
        <is>
          <t>18:45</t>
        </is>
      </c>
      <c r="C52" s="19" t="inlineStr">
        <is>
          <t>Rensselaer</t>
        </is>
      </c>
      <c r="D52" s="19" t="inlineStr">
        <is>
          <t>Rensselaer Co. (long track N)</t>
        </is>
      </c>
      <c r="E52" s="19" t="inlineStr">
        <is>
          <t>Tornado</t>
        </is>
      </c>
      <c r="F52" s="19" t="inlineStr">
        <is>
          <t>F1</t>
        </is>
      </c>
      <c r="G52" s="19" t="n">
        <v>4.8</v>
      </c>
      <c r="H52" s="19" t="n">
        <v>90</v>
      </c>
      <c r="I52" s="19" t="n">
        <v>0</v>
      </c>
      <c r="J52" s="19" t="n">
        <v>0</v>
      </c>
      <c r="K52" s="19" t="n">
        <v>42.52</v>
      </c>
      <c r="L52" s="19" t="n">
        <v>-73.62</v>
      </c>
      <c r="M52" s="19" t="n">
        <v>42.9</v>
      </c>
      <c r="N52" s="19" t="n">
        <v>-73.58</v>
      </c>
      <c r="O52" s="19">
        <f>IF(OR(K52="",L52=""),"",ROUND(3959*ACOS(MIN(1,SIN(RADIANS(README!$B$3))*SIN(RADIANS(K52))+COS(RADIANS(README!$B$3))*COS(RADIANS(K52))*COS(RADIANS(L52-README!$B$4)))),1))</f>
        <v/>
      </c>
      <c r="P52" s="19">
        <f>IF(OR(M52="",N52=""),"",ROUND(3959*ACOS(MIN(1,SIN(RADIANS(README!$B$3))*SIN(RADIANS(M52))+COS(RADIANS(README!$B$3))*COS(RADIANS(M52))*COS(RADIANS(N52-README!$B$4)))),1))</f>
        <v/>
      </c>
      <c r="Q52" s="19">
        <f>IF(O52="","",IF(P52="",O52,MIN(O52,P52)))</f>
        <v/>
      </c>
      <c r="R52" s="19">
        <f>IF(Q52="","n/a",IF(Q52&lt;=README!$B$5,"Yes","No"))</f>
        <v/>
      </c>
      <c r="S52" s="19" t="inlineStr">
        <is>
          <t>Tornado Project (Grazulis) NY county list 1950–2012</t>
        </is>
      </c>
      <c r="T52" s="19" t="inlineStr">
        <is>
          <t>A</t>
        </is>
      </c>
      <c r="U52" s="19" t="n"/>
    </row>
    <row r="53" ht="23.25" customHeight="1" s="13">
      <c r="A53" s="19" t="inlineStr">
        <is>
          <t>2010-11-17</t>
        </is>
      </c>
      <c r="B53" s="19" t="inlineStr">
        <is>
          <t>04:18</t>
        </is>
      </c>
      <c r="C53" s="19" t="inlineStr">
        <is>
          <t>Columbia</t>
        </is>
      </c>
      <c r="D53" s="19" t="inlineStr">
        <is>
          <t>Columbia Co.</t>
        </is>
      </c>
      <c r="E53" s="19" t="inlineStr">
        <is>
          <t>Tornado</t>
        </is>
      </c>
      <c r="F53" s="19" t="inlineStr">
        <is>
          <t>EF1</t>
        </is>
      </c>
      <c r="G53" s="19" t="n">
        <v>1.9</v>
      </c>
      <c r="H53" s="19" t="n">
        <v>300</v>
      </c>
      <c r="I53" s="19" t="n">
        <v>0</v>
      </c>
      <c r="J53" s="19" t="n">
        <v>0</v>
      </c>
      <c r="K53" s="19" t="n">
        <v>42.27</v>
      </c>
      <c r="L53" s="19" t="n">
        <v>-73.66</v>
      </c>
      <c r="M53" s="19" t="n">
        <v>42.29</v>
      </c>
      <c r="N53" s="19" t="n">
        <v>-73.65000000000001</v>
      </c>
      <c r="O53" s="19">
        <f>IF(OR(K53="",L53=""),"",ROUND(3959*ACOS(MIN(1,SIN(RADIANS(README!$B$3))*SIN(RADIANS(K53))+COS(RADIANS(README!$B$3))*COS(RADIANS(K53))*COS(RADIANS(L53-README!$B$4)))),1))</f>
        <v/>
      </c>
      <c r="P53" s="19">
        <f>IF(OR(M53="",N53=""),"",ROUND(3959*ACOS(MIN(1,SIN(RADIANS(README!$B$3))*SIN(RADIANS(M53))+COS(RADIANS(README!$B$3))*COS(RADIANS(M53))*COS(RADIANS(N53-README!$B$4)))),1))</f>
        <v/>
      </c>
      <c r="Q53" s="19">
        <f>IF(O53="","",IF(P53="",O53,MIN(O53,P53)))</f>
        <v/>
      </c>
      <c r="R53" s="19">
        <f>IF(Q53="","n/a",IF(Q53&lt;=README!$B$5,"Yes","No"))</f>
        <v/>
      </c>
      <c r="S53" s="19" t="inlineStr">
        <is>
          <t>Tornado Project (Grazulis) NY county list 1950–2012</t>
        </is>
      </c>
      <c r="T53" s="19" t="inlineStr">
        <is>
          <t>A</t>
        </is>
      </c>
      <c r="U53" s="19" t="inlineStr">
        <is>
          <t>Nocturnal November tornado</t>
        </is>
      </c>
    </row>
    <row r="54" ht="23.25" customHeight="1" s="13">
      <c r="A54" s="19" t="inlineStr">
        <is>
          <t>2011-09-04</t>
        </is>
      </c>
      <c r="B54" s="19" t="inlineStr">
        <is>
          <t>15:20</t>
        </is>
      </c>
      <c r="C54" s="19" t="inlineStr">
        <is>
          <t>Montgomery→Schenectady</t>
        </is>
      </c>
      <c r="D54" s="19" t="inlineStr">
        <is>
          <t>Cranesville</t>
        </is>
      </c>
      <c r="E54" s="19" t="inlineStr">
        <is>
          <t>Tornado</t>
        </is>
      </c>
      <c r="F54" s="19" t="inlineStr">
        <is>
          <t>EF1</t>
        </is>
      </c>
      <c r="G54" s="19" t="n"/>
      <c r="H54" s="19" t="n"/>
      <c r="I54" s="19" t="n">
        <v>0</v>
      </c>
      <c r="J54" s="19" t="n">
        <v>0</v>
      </c>
      <c r="K54" s="19" t="n">
        <v>42.9</v>
      </c>
      <c r="L54" s="19" t="n">
        <v>-74.17</v>
      </c>
      <c r="M54" s="19" t="n">
        <v>42.95</v>
      </c>
      <c r="N54" s="19" t="n">
        <v>-74.05</v>
      </c>
      <c r="O54" s="19">
        <f>IF(OR(K54="",L54=""),"",ROUND(3959*ACOS(MIN(1,SIN(RADIANS(README!$B$3))*SIN(RADIANS(K54))+COS(RADIANS(README!$B$3))*COS(RADIANS(K54))*COS(RADIANS(L54-README!$B$4)))),1))</f>
        <v/>
      </c>
      <c r="P54" s="19">
        <f>IF(OR(M54="",N54=""),"",ROUND(3959*ACOS(MIN(1,SIN(RADIANS(README!$B$3))*SIN(RADIANS(M54))+COS(RADIANS(README!$B$3))*COS(RADIANS(M54))*COS(RADIANS(N54-README!$B$4)))),1))</f>
        <v/>
      </c>
      <c r="Q54" s="19">
        <f>IF(O54="","",IF(P54="",O54,MIN(O54,P54)))</f>
        <v/>
      </c>
      <c r="R54" s="19">
        <f>IF(Q54="","n/a",IF(Q54&lt;=README!$B$5,"Yes","No"))</f>
        <v/>
      </c>
      <c r="S54" s="19" t="inlineStr">
        <is>
          <t>Tornado Project (Grazulis) NY county list 1950–2012</t>
        </is>
      </c>
      <c r="T54" s="19" t="inlineStr">
        <is>
          <t>A</t>
        </is>
      </c>
      <c r="U54" s="19" t="n"/>
    </row>
    <row r="55" ht="15" customHeight="1" s="13">
      <c r="A55" s="19" t="inlineStr">
        <is>
          <t>2013-05-29</t>
        </is>
      </c>
      <c r="B55" s="19" t="inlineStr">
        <is>
          <t>17:57</t>
        </is>
      </c>
      <c r="C55" s="19" t="inlineStr">
        <is>
          <t>Schoharie</t>
        </is>
      </c>
      <c r="D55" s="19" t="inlineStr">
        <is>
          <t>Summit / East Jefferson</t>
        </is>
      </c>
      <c r="E55" s="19" t="inlineStr">
        <is>
          <t>Tornado</t>
        </is>
      </c>
      <c r="F55" s="19" t="inlineStr">
        <is>
          <t>EF1</t>
        </is>
      </c>
      <c r="G55" s="19" t="n">
        <v>1.6</v>
      </c>
      <c r="H55" s="19" t="n">
        <v>200</v>
      </c>
      <c r="I55" s="19" t="n">
        <v>0</v>
      </c>
      <c r="J55" s="19" t="n">
        <v>0</v>
      </c>
      <c r="K55" s="19" t="n">
        <v>42.57</v>
      </c>
      <c r="L55" s="19" t="n">
        <v>-74.55</v>
      </c>
      <c r="M55" s="19" t="n"/>
      <c r="N55" s="19" t="n"/>
      <c r="O55" s="19">
        <f>IF(OR(K55="",L55=""),"",ROUND(3959*ACOS(MIN(1,SIN(RADIANS(README!$B$3))*SIN(RADIANS(K55))+COS(RADIANS(README!$B$3))*COS(RADIANS(K55))*COS(RADIANS(L55-README!$B$4)))),1))</f>
        <v/>
      </c>
      <c r="P55" s="19">
        <f>IF(OR(M55="",N55=""),"",ROUND(3959*ACOS(MIN(1,SIN(RADIANS(README!$B$3))*SIN(RADIANS(M55))+COS(RADIANS(README!$B$3))*COS(RADIANS(M55))*COS(RADIANS(N55-README!$B$4)))),1))</f>
        <v/>
      </c>
      <c r="Q55" s="19">
        <f>IF(O55="","",IF(P55="",O55,MIN(O55,P55)))</f>
        <v/>
      </c>
      <c r="R55" s="19">
        <f>IF(Q55="","n/a",IF(Q55&lt;=README!$B$5,"Yes","No"))</f>
        <v/>
      </c>
      <c r="S55" s="19" t="inlineStr">
        <is>
          <t>NWS ALY survey</t>
        </is>
      </c>
      <c r="T55" s="19" t="inlineStr">
        <is>
          <t>B</t>
        </is>
      </c>
      <c r="U55" s="19" t="inlineStr">
        <is>
          <t>Coords approximate (hamlet)</t>
        </is>
      </c>
    </row>
    <row r="56" ht="23.25" customHeight="1" s="13">
      <c r="A56" s="19" t="inlineStr">
        <is>
          <t>2013-05-29</t>
        </is>
      </c>
      <c r="B56" s="19" t="n"/>
      <c r="C56" s="19" t="inlineStr">
        <is>
          <t>Montgomery→Schenectady</t>
        </is>
      </c>
      <c r="D56" s="19" t="inlineStr">
        <is>
          <t>Mariaville → Schenectady</t>
        </is>
      </c>
      <c r="E56" s="19" t="inlineStr">
        <is>
          <t>Tornado</t>
        </is>
      </c>
      <c r="F56" s="19" t="inlineStr">
        <is>
          <t>EF2</t>
        </is>
      </c>
      <c r="G56" s="19" t="n"/>
      <c r="H56" s="19" t="n">
        <v>1760</v>
      </c>
      <c r="I56" s="19" t="n">
        <v>0</v>
      </c>
      <c r="J56" s="19" t="n">
        <v>0</v>
      </c>
      <c r="K56" s="19" t="n">
        <v>42.85</v>
      </c>
      <c r="L56" s="19" t="n">
        <v>-74.06999999999999</v>
      </c>
      <c r="M56" s="19" t="n">
        <v>42.81</v>
      </c>
      <c r="N56" s="19" t="n">
        <v>-73.94</v>
      </c>
      <c r="O56" s="19">
        <f>IF(OR(K56="",L56=""),"",ROUND(3959*ACOS(MIN(1,SIN(RADIANS(README!$B$3))*SIN(RADIANS(K56))+COS(RADIANS(README!$B$3))*COS(RADIANS(K56))*COS(RADIANS(L56-README!$B$4)))),1))</f>
        <v/>
      </c>
      <c r="P56" s="19">
        <f>IF(OR(M56="",N56=""),"",ROUND(3959*ACOS(MIN(1,SIN(RADIANS(README!$B$3))*SIN(RADIANS(M56))+COS(RADIANS(README!$B$3))*COS(RADIANS(M56))*COS(RADIANS(N56-README!$B$4)))),1))</f>
        <v/>
      </c>
      <c r="Q56" s="19">
        <f>IF(O56="","",IF(P56="",O56,MIN(O56,P56)))</f>
        <v/>
      </c>
      <c r="R56" s="19">
        <f>IF(Q56="","n/a",IF(Q56&lt;=README!$B$5,"Yes","No"))</f>
        <v/>
      </c>
      <c r="S56" s="19" t="inlineStr">
        <is>
          <t>NWS ALY survey</t>
        </is>
      </c>
      <c r="T56" s="19" t="inlineStr">
        <is>
          <t>B</t>
        </is>
      </c>
      <c r="U56" s="19" t="inlineStr">
        <is>
          <t>Widest tornado near Albany (1,760 yd); coords approx</t>
        </is>
      </c>
    </row>
    <row r="57" ht="15" customHeight="1" s="13">
      <c r="A57" s="19" t="inlineStr">
        <is>
          <t>2013-05-29</t>
        </is>
      </c>
      <c r="B57" s="19" t="n"/>
      <c r="C57" s="19" t="inlineStr">
        <is>
          <t>Saratoga</t>
        </is>
      </c>
      <c r="D57" s="19" t="inlineStr">
        <is>
          <t>Vischer Ferry</t>
        </is>
      </c>
      <c r="E57" s="19" t="inlineStr">
        <is>
          <t>Tornado</t>
        </is>
      </c>
      <c r="F57" s="19" t="inlineStr">
        <is>
          <t>EF1</t>
        </is>
      </c>
      <c r="G57" s="19" t="n"/>
      <c r="H57" s="19" t="n"/>
      <c r="I57" s="19" t="n">
        <v>0</v>
      </c>
      <c r="J57" s="19" t="n">
        <v>0</v>
      </c>
      <c r="K57" s="19" t="n">
        <v>42.79</v>
      </c>
      <c r="L57" s="19" t="n">
        <v>-73.8</v>
      </c>
      <c r="M57" s="19" t="n"/>
      <c r="N57" s="19" t="n"/>
      <c r="O57" s="19">
        <f>IF(OR(K57="",L57=""),"",ROUND(3959*ACOS(MIN(1,SIN(RADIANS(README!$B$3))*SIN(RADIANS(K57))+COS(RADIANS(README!$B$3))*COS(RADIANS(K57))*COS(RADIANS(L57-README!$B$4)))),1))</f>
        <v/>
      </c>
      <c r="P57" s="19">
        <f>IF(OR(M57="",N57=""),"",ROUND(3959*ACOS(MIN(1,SIN(RADIANS(README!$B$3))*SIN(RADIANS(M57))+COS(RADIANS(README!$B$3))*COS(RADIANS(M57))*COS(RADIANS(N57-README!$B$4)))),1))</f>
        <v/>
      </c>
      <c r="Q57" s="19">
        <f>IF(O57="","",IF(P57="",O57,MIN(O57,P57)))</f>
        <v/>
      </c>
      <c r="R57" s="19">
        <f>IF(Q57="","n/a",IF(Q57&lt;=README!$B$5,"Yes","No"))</f>
        <v/>
      </c>
      <c r="S57" s="19" t="inlineStr">
        <is>
          <t>NWS ALY survey</t>
        </is>
      </c>
      <c r="T57" s="19" t="inlineStr">
        <is>
          <t>B</t>
        </is>
      </c>
      <c r="U57" s="19" t="inlineStr">
        <is>
          <t>Coords approx</t>
        </is>
      </c>
    </row>
    <row r="58" ht="15" customHeight="1" s="13">
      <c r="A58" s="19" t="inlineStr">
        <is>
          <t>2014-05-22</t>
        </is>
      </c>
      <c r="B58" s="19" t="n"/>
      <c r="C58" s="19" t="inlineStr">
        <is>
          <t>Albany</t>
        </is>
      </c>
      <c r="D58" s="19" t="inlineStr">
        <is>
          <t>Bozenkill Rd, Knox (Albany Co. NW)</t>
        </is>
      </c>
      <c r="E58" s="19" t="inlineStr">
        <is>
          <t>Tornado</t>
        </is>
      </c>
      <c r="F58" s="19" t="inlineStr">
        <is>
          <t>EF1</t>
        </is>
      </c>
      <c r="G58" s="19" t="n">
        <v>0.5</v>
      </c>
      <c r="H58" s="19" t="n">
        <v>440</v>
      </c>
      <c r="I58" s="19" t="n">
        <v>0</v>
      </c>
      <c r="J58" s="19" t="n">
        <v>0</v>
      </c>
      <c r="K58" s="19" t="n">
        <v>42.78</v>
      </c>
      <c r="L58" s="19" t="n">
        <v>-74.13</v>
      </c>
      <c r="M58" s="19" t="n"/>
      <c r="N58" s="19" t="n"/>
      <c r="O58" s="19">
        <f>IF(OR(K58="",L58=""),"",ROUND(3959*ACOS(MIN(1,SIN(RADIANS(README!$B$3))*SIN(RADIANS(K58))+COS(RADIANS(README!$B$3))*COS(RADIANS(K58))*COS(RADIANS(L58-README!$B$4)))),1))</f>
        <v/>
      </c>
      <c r="P58" s="19">
        <f>IF(OR(M58="",N58=""),"",ROUND(3959*ACOS(MIN(1,SIN(RADIANS(README!$B$3))*SIN(RADIANS(M58))+COS(RADIANS(README!$B$3))*COS(RADIANS(M58))*COS(RADIANS(N58-README!$B$4)))),1))</f>
        <v/>
      </c>
      <c r="Q58" s="19">
        <f>IF(O58="","",IF(P58="",O58,MIN(O58,P58)))</f>
        <v/>
      </c>
      <c r="R58" s="19">
        <f>IF(Q58="","n/a",IF(Q58&lt;=README!$B$5,"Yes","No"))</f>
        <v/>
      </c>
      <c r="S58" s="19" t="inlineStr">
        <is>
          <t>NCEI via tornadopath / NWS ALY survey</t>
        </is>
      </c>
      <c r="T58" s="19" t="inlineStr">
        <is>
          <t>B</t>
        </is>
      </c>
      <c r="U58" s="19" t="inlineStr">
        <is>
          <t>Coords approx; same storm as Duanesburg EF3. Bozenkill Rd, Knox: Guernsey (Loss Cause Farm) &amp; Burian farms — hand-hewn barn (orig. Milton Barber's) collapsed, ~100-yr standing-seam roof peeled, tin thrown 200+ yds, 9 windows imploded. Prior sheet time 14:54 was erroneous (before the 3:33pm start); exact EF1 touchdown time needs NCEI. Rain-wrapped, 2 vortices; 3,300 without power. Altamont Enterprise 29 May 2014</t>
        </is>
      </c>
    </row>
    <row r="59" ht="15" customHeight="1" s="13">
      <c r="A59" s="19" t="inlineStr">
        <is>
          <t>2014-05-22</t>
        </is>
      </c>
      <c r="B59" s="19" t="inlineStr">
        <is>
          <t>15:33</t>
        </is>
      </c>
      <c r="C59" s="19" t="inlineStr">
        <is>
          <t>Schenectady</t>
        </is>
      </c>
      <c r="D59" s="19" t="inlineStr">
        <is>
          <t>Duanesburg / Delanson</t>
        </is>
      </c>
      <c r="E59" s="19" t="inlineStr">
        <is>
          <t>Tornado</t>
        </is>
      </c>
      <c r="F59" s="19" t="inlineStr">
        <is>
          <t>EF3 (140 mph)</t>
        </is>
      </c>
      <c r="G59" s="19" t="n"/>
      <c r="H59" s="19" t="n"/>
      <c r="I59" s="19" t="n">
        <v>0</v>
      </c>
      <c r="J59" s="19" t="n">
        <v>0</v>
      </c>
      <c r="K59" s="19" t="n">
        <v>42.85</v>
      </c>
      <c r="L59" s="19" t="n">
        <v>-74.13</v>
      </c>
      <c r="M59" s="19" t="n"/>
      <c r="N59" s="19" t="n"/>
      <c r="O59" s="19">
        <f>IF(OR(K59="",L59=""),"",ROUND(3959*ACOS(MIN(1,SIN(RADIANS(README!$B$3))*SIN(RADIANS(K59))+COS(RADIANS(README!$B$3))*COS(RADIANS(K59))*COS(RADIANS(L59-README!$B$4)))),1))</f>
        <v/>
      </c>
      <c r="P59" s="19">
        <f>IF(OR(M59="",N59=""),"",ROUND(3959*ACOS(MIN(1,SIN(RADIANS(README!$B$3))*SIN(RADIANS(M59))+COS(RADIANS(README!$B$3))*COS(RADIANS(M59))*COS(RADIANS(N59-README!$B$4)))),1))</f>
        <v/>
      </c>
      <c r="Q59" s="19">
        <f>IF(O59="","",IF(P59="",O59,MIN(O59,P59)))</f>
        <v/>
      </c>
      <c r="R59" s="19">
        <f>IF(Q59="","n/a",IF(Q59&lt;=README!$B$5,"Yes","No"))</f>
        <v/>
      </c>
      <c r="S59" s="19" t="inlineStr">
        <is>
          <t>NWS ALY survey</t>
        </is>
      </c>
      <c r="T59" s="19" t="inlineStr">
        <is>
          <t>B</t>
        </is>
      </c>
      <c r="U59" s="19" t="inlineStr">
        <is>
          <t>Coords approx. EF3 at a Route 20 home (leveled); Delanson motel roof + Duanesburg volunteer-ambulance-HQ wall gone; I-88 tractor-trailers tipped; rain-wrapped. Max wind 140 mph; ~7-mi path (EF0-EF1 elsewhere); 0 casualties; 3:33-3:55pm. NWS ALY survey (DiRienzo/Koleci). Altamont Enterprise 29 May 2014</t>
        </is>
      </c>
    </row>
    <row r="60" ht="34.5" customHeight="1" s="13">
      <c r="A60" s="19" t="inlineStr">
        <is>
          <t>2014-06-17</t>
        </is>
      </c>
      <c r="B60" s="19" t="n"/>
      <c r="C60" s="19" t="inlineStr">
        <is>
          <t>Region</t>
        </is>
      </c>
      <c r="D60" s="19" t="inlineStr">
        <is>
          <t>Widespread thunderstorm wind damage</t>
        </is>
      </c>
      <c r="E60" s="19" t="inlineStr">
        <is>
          <t>Thunderstorm wind</t>
        </is>
      </c>
      <c r="F60" s="19" t="n"/>
      <c r="G60" s="19" t="n"/>
      <c r="H60" s="19" t="n"/>
      <c r="I60" s="19" t="n"/>
      <c r="J60" s="19" t="n"/>
      <c r="K60" s="19" t="n">
        <v>42.75</v>
      </c>
      <c r="L60" s="19" t="n">
        <v>-73.8</v>
      </c>
      <c r="M60" s="19" t="n"/>
      <c r="N60" s="19" t="n"/>
      <c r="O60" s="19">
        <f>IF(OR(K60="",L60=""),"",ROUND(3959*ACOS(MIN(1,SIN(RADIANS(README!$B$3))*SIN(RADIANS(K60))+COS(RADIANS(README!$B$3))*COS(RADIANS(K60))*COS(RADIANS(L60-README!$B$4)))),1))</f>
        <v/>
      </c>
      <c r="P60" s="19">
        <f>IF(OR(M60="",N60=""),"",ROUND(3959*ACOS(MIN(1,SIN(RADIANS(README!$B$3))*SIN(RADIANS(M60))+COS(RADIANS(README!$B$3))*COS(RADIANS(M60))*COS(RADIANS(N60-README!$B$4)))),1))</f>
        <v/>
      </c>
      <c r="Q60" s="19">
        <f>IF(O60="","",IF(P60="",O60,MIN(O60,P60)))</f>
        <v/>
      </c>
      <c r="R60" s="19">
        <f>IF(Q60="","n/a",IF(Q60&lt;=README!$B$5,"Yes","No"))</f>
        <v/>
      </c>
      <c r="S60" s="19" t="inlineStr">
        <is>
          <t>NWS Albany – Past Weather Events (weather.gov/aly/pastevents)</t>
        </is>
      </c>
      <c r="T60" s="19" t="inlineStr">
        <is>
          <t>A</t>
        </is>
      </c>
      <c r="U60" s="19" t="n"/>
    </row>
    <row r="61" ht="15" customHeight="1" s="13">
      <c r="A61" s="19" t="inlineStr">
        <is>
          <t>2015-06-09</t>
        </is>
      </c>
      <c r="B61" s="19" t="n"/>
      <c r="C61" s="19" t="inlineStr">
        <is>
          <t>Schenectady</t>
        </is>
      </c>
      <c r="D61" s="19" t="inlineStr">
        <is>
          <t>Scotia</t>
        </is>
      </c>
      <c r="E61" s="19" t="inlineStr">
        <is>
          <t>Tornado</t>
        </is>
      </c>
      <c r="F61" s="19" t="inlineStr">
        <is>
          <t>EF0</t>
        </is>
      </c>
      <c r="G61" s="19" t="n"/>
      <c r="H61" s="19" t="n"/>
      <c r="I61" s="19" t="n">
        <v>0</v>
      </c>
      <c r="J61" s="19" t="n">
        <v>0</v>
      </c>
      <c r="K61" s="19" t="n">
        <v>42.83</v>
      </c>
      <c r="L61" s="19" t="n">
        <v>-73.95999999999999</v>
      </c>
      <c r="M61" s="19" t="n"/>
      <c r="N61" s="19" t="n"/>
      <c r="O61" s="19">
        <f>IF(OR(K61="",L61=""),"",ROUND(3959*ACOS(MIN(1,SIN(RADIANS(README!$B$3))*SIN(RADIANS(K61))+COS(RADIANS(README!$B$3))*COS(RADIANS(K61))*COS(RADIANS(L61-README!$B$4)))),1))</f>
        <v/>
      </c>
      <c r="P61" s="19">
        <f>IF(OR(M61="",N61=""),"",ROUND(3959*ACOS(MIN(1,SIN(RADIANS(README!$B$3))*SIN(RADIANS(M61))+COS(RADIANS(README!$B$3))*COS(RADIANS(M61))*COS(RADIANS(N61-README!$B$4)))),1))</f>
        <v/>
      </c>
      <c r="Q61" s="19">
        <f>IF(O61="","",IF(P61="",O61,MIN(O61,P61)))</f>
        <v/>
      </c>
      <c r="R61" s="19">
        <f>IF(Q61="","n/a",IF(Q61&lt;=README!$B$5,"Yes","No"))</f>
        <v/>
      </c>
      <c r="S61" s="19" t="inlineStr">
        <is>
          <t>NWS ALY survey</t>
        </is>
      </c>
      <c r="T61" s="19" t="inlineStr">
        <is>
          <t>B</t>
        </is>
      </c>
      <c r="U61" s="19" t="inlineStr">
        <is>
          <t>Also a microburst same day</t>
        </is>
      </c>
    </row>
    <row r="62" ht="34.5" customHeight="1" s="13">
      <c r="A62" s="19" t="inlineStr">
        <is>
          <t>2016-04-07</t>
        </is>
      </c>
      <c r="B62" s="19" t="n"/>
      <c r="C62" s="19" t="inlineStr">
        <is>
          <t>Albany/Saratoga</t>
        </is>
      </c>
      <c r="D62" s="19" t="inlineStr">
        <is>
          <t>Capital District damaging wind</t>
        </is>
      </c>
      <c r="E62" s="19" t="inlineStr">
        <is>
          <t>Synoptic windstorm</t>
        </is>
      </c>
      <c r="F62" s="19" t="n"/>
      <c r="G62" s="19" t="n"/>
      <c r="H62" s="19" t="n"/>
      <c r="I62" s="19" t="n"/>
      <c r="J62" s="19" t="n"/>
      <c r="K62" s="19" t="n">
        <v>42.75</v>
      </c>
      <c r="L62" s="19" t="n">
        <v>-73.8</v>
      </c>
      <c r="M62" s="19" t="n"/>
      <c r="N62" s="19" t="n"/>
      <c r="O62" s="19">
        <f>IF(OR(K62="",L62=""),"",ROUND(3959*ACOS(MIN(1,SIN(RADIANS(README!$B$3))*SIN(RADIANS(K62))+COS(RADIANS(README!$B$3))*COS(RADIANS(K62))*COS(RADIANS(L62-README!$B$4)))),1))</f>
        <v/>
      </c>
      <c r="P62" s="19">
        <f>IF(OR(M62="",N62=""),"",ROUND(3959*ACOS(MIN(1,SIN(RADIANS(README!$B$3))*SIN(RADIANS(M62))+COS(RADIANS(README!$B$3))*COS(RADIANS(M62))*COS(RADIANS(N62-README!$B$4)))),1))</f>
        <v/>
      </c>
      <c r="Q62" s="19">
        <f>IF(O62="","",IF(P62="",O62,MIN(O62,P62)))</f>
        <v/>
      </c>
      <c r="R62" s="19">
        <f>IF(Q62="","n/a",IF(Q62&lt;=README!$B$5,"Yes","No"))</f>
        <v/>
      </c>
      <c r="S62" s="19" t="inlineStr">
        <is>
          <t>NWS Albany – Past Weather Events (weather.gov/aly/pastevents)</t>
        </is>
      </c>
      <c r="T62" s="19" t="inlineStr">
        <is>
          <t>A</t>
        </is>
      </c>
      <c r="U62" s="19" t="n"/>
    </row>
    <row r="63" ht="34.5" customHeight="1" s="13">
      <c r="A63" s="19" t="inlineStr">
        <is>
          <t>2017-05-18</t>
        </is>
      </c>
      <c r="B63" s="19" t="n"/>
      <c r="C63" s="19" t="inlineStr">
        <is>
          <t>Region</t>
        </is>
      </c>
      <c r="D63" s="19" t="inlineStr">
        <is>
          <t>Severe thunderstorms</t>
        </is>
      </c>
      <c r="E63" s="19" t="inlineStr">
        <is>
          <t>Thunderstorm wind</t>
        </is>
      </c>
      <c r="F63" s="19" t="n"/>
      <c r="G63" s="19" t="n"/>
      <c r="H63" s="19" t="n"/>
      <c r="I63" s="19" t="n"/>
      <c r="J63" s="19" t="n"/>
      <c r="K63" s="19" t="n">
        <v>42.75</v>
      </c>
      <c r="L63" s="19" t="n">
        <v>-73.8</v>
      </c>
      <c r="M63" s="19" t="n"/>
      <c r="N63" s="19" t="n"/>
      <c r="O63" s="19">
        <f>IF(OR(K63="",L63=""),"",ROUND(3959*ACOS(MIN(1,SIN(RADIANS(README!$B$3))*SIN(RADIANS(K63))+COS(RADIANS(README!$B$3))*COS(RADIANS(K63))*COS(RADIANS(L63-README!$B$4)))),1))</f>
        <v/>
      </c>
      <c r="P63" s="19">
        <f>IF(OR(M63="",N63=""),"",ROUND(3959*ACOS(MIN(1,SIN(RADIANS(README!$B$3))*SIN(RADIANS(M63))+COS(RADIANS(README!$B$3))*COS(RADIANS(M63))*COS(RADIANS(N63-README!$B$4)))),1))</f>
        <v/>
      </c>
      <c r="Q63" s="19">
        <f>IF(O63="","",IF(P63="",O63,MIN(O63,P63)))</f>
        <v/>
      </c>
      <c r="R63" s="19">
        <f>IF(Q63="","n/a",IF(Q63&lt;=README!$B$5,"Yes","No"))</f>
        <v/>
      </c>
      <c r="S63" s="19" t="inlineStr">
        <is>
          <t>NWS Albany – Past Weather Events (weather.gov/aly/pastevents)</t>
        </is>
      </c>
      <c r="T63" s="19" t="inlineStr">
        <is>
          <t>A</t>
        </is>
      </c>
      <c r="U63" s="19" t="inlineStr">
        <is>
          <t>NWS case study</t>
        </is>
      </c>
    </row>
    <row r="64" ht="34.5" customHeight="1" s="13">
      <c r="A64" s="19" t="inlineStr">
        <is>
          <t>2018-05-04</t>
        </is>
      </c>
      <c r="B64" s="19" t="n"/>
      <c r="C64" s="19" t="inlineStr">
        <is>
          <t>Region</t>
        </is>
      </c>
      <c r="D64" s="19" t="inlineStr">
        <is>
          <t>Damaging wind event</t>
        </is>
      </c>
      <c r="E64" s="19" t="inlineStr">
        <is>
          <t>Thunderstorm wind</t>
        </is>
      </c>
      <c r="F64" s="19" t="n"/>
      <c r="G64" s="19" t="n"/>
      <c r="H64" s="19" t="n"/>
      <c r="I64" s="19" t="n"/>
      <c r="J64" s="19" t="n"/>
      <c r="K64" s="19" t="n">
        <v>42.75</v>
      </c>
      <c r="L64" s="19" t="n">
        <v>-73.8</v>
      </c>
      <c r="M64" s="19" t="n"/>
      <c r="N64" s="19" t="n"/>
      <c r="O64" s="19">
        <f>IF(OR(K64="",L64=""),"",ROUND(3959*ACOS(MIN(1,SIN(RADIANS(README!$B$3))*SIN(RADIANS(K64))+COS(RADIANS(README!$B$3))*COS(RADIANS(K64))*COS(RADIANS(L64-README!$B$4)))),1))</f>
        <v/>
      </c>
      <c r="P64" s="19">
        <f>IF(OR(M64="",N64=""),"",ROUND(3959*ACOS(MIN(1,SIN(RADIANS(README!$B$3))*SIN(RADIANS(M64))+COS(RADIANS(README!$B$3))*COS(RADIANS(M64))*COS(RADIANS(N64-README!$B$4)))),1))</f>
        <v/>
      </c>
      <c r="Q64" s="19">
        <f>IF(O64="","",IF(P64="",O64,MIN(O64,P64)))</f>
        <v/>
      </c>
      <c r="R64" s="19">
        <f>IF(Q64="","n/a",IF(Q64&lt;=README!$B$5,"Yes","No"))</f>
        <v/>
      </c>
      <c r="S64" s="19" t="inlineStr">
        <is>
          <t>NWS Albany – Past Weather Events (weather.gov/aly/pastevents)</t>
        </is>
      </c>
      <c r="T64" s="19" t="inlineStr">
        <is>
          <t>A</t>
        </is>
      </c>
      <c r="U64" s="19" t="inlineStr">
        <is>
          <t>NWS case study</t>
        </is>
      </c>
    </row>
    <row r="65" ht="15" customHeight="1" s="13">
      <c r="A65" s="19" t="inlineStr">
        <is>
          <t>2018-08-03</t>
        </is>
      </c>
      <c r="B65" s="19" t="inlineStr">
        <is>
          <t>11:24</t>
        </is>
      </c>
      <c r="C65" s="19" t="inlineStr">
        <is>
          <t>Greene</t>
        </is>
      </c>
      <c r="D65" s="19" t="inlineStr">
        <is>
          <t>Greene Co.</t>
        </is>
      </c>
      <c r="E65" s="19" t="inlineStr">
        <is>
          <t>Tornado</t>
        </is>
      </c>
      <c r="F65" s="19" t="inlineStr">
        <is>
          <t>EF0</t>
        </is>
      </c>
      <c r="G65" s="19" t="n">
        <v>1.9</v>
      </c>
      <c r="H65" s="19" t="n">
        <v>67</v>
      </c>
      <c r="I65" s="19" t="n">
        <v>0</v>
      </c>
      <c r="J65" s="19" t="n">
        <v>0</v>
      </c>
      <c r="K65" s="19" t="n">
        <v>42.28</v>
      </c>
      <c r="L65" s="19" t="n">
        <v>-74.12</v>
      </c>
      <c r="M65" s="19" t="n"/>
      <c r="N65" s="19" t="n"/>
      <c r="O65" s="19">
        <f>IF(OR(K65="",L65=""),"",ROUND(3959*ACOS(MIN(1,SIN(RADIANS(README!$B$3))*SIN(RADIANS(K65))+COS(RADIANS(README!$B$3))*COS(RADIANS(K65))*COS(RADIANS(L65-README!$B$4)))),1))</f>
        <v/>
      </c>
      <c r="P65" s="19">
        <f>IF(OR(M65="",N65=""),"",ROUND(3959*ACOS(MIN(1,SIN(RADIANS(README!$B$3))*SIN(RADIANS(M65))+COS(RADIANS(README!$B$3))*COS(RADIANS(M65))*COS(RADIANS(N65-README!$B$4)))),1))</f>
        <v/>
      </c>
      <c r="Q65" s="19">
        <f>IF(O65="","",IF(P65="",O65,MIN(O65,P65)))</f>
        <v/>
      </c>
      <c r="R65" s="19">
        <f>IF(Q65="","n/a",IF(Q65&lt;=README!$B$5,"Yes","No"))</f>
        <v/>
      </c>
      <c r="S65" s="19" t="inlineStr">
        <is>
          <t>NCEI via tornadopath</t>
        </is>
      </c>
      <c r="T65" s="19" t="inlineStr">
        <is>
          <t>B</t>
        </is>
      </c>
      <c r="U65" s="19" t="inlineStr">
        <is>
          <t>County centroid approx</t>
        </is>
      </c>
    </row>
    <row r="66" ht="34.5" customHeight="1" s="13">
      <c r="A66" s="19" t="inlineStr">
        <is>
          <t>2019-02-25</t>
        </is>
      </c>
      <c r="B66" s="19" t="n"/>
      <c r="C66" s="19" t="inlineStr">
        <is>
          <t>Region</t>
        </is>
      </c>
      <c r="D66" s="19" t="inlineStr">
        <is>
          <t>Damaging winds</t>
        </is>
      </c>
      <c r="E66" s="19" t="inlineStr">
        <is>
          <t>Synoptic windstorm</t>
        </is>
      </c>
      <c r="F66" s="19" t="n"/>
      <c r="G66" s="19" t="n"/>
      <c r="H66" s="19" t="n"/>
      <c r="I66" s="19" t="n"/>
      <c r="J66" s="19" t="n"/>
      <c r="K66" s="19" t="n">
        <v>42.75</v>
      </c>
      <c r="L66" s="19" t="n">
        <v>-73.8</v>
      </c>
      <c r="M66" s="19" t="n"/>
      <c r="N66" s="19" t="n"/>
      <c r="O66" s="19">
        <f>IF(OR(K66="",L66=""),"",ROUND(3959*ACOS(MIN(1,SIN(RADIANS(README!$B$3))*SIN(RADIANS(K66))+COS(RADIANS(README!$B$3))*COS(RADIANS(K66))*COS(RADIANS(L66-README!$B$4)))),1))</f>
        <v/>
      </c>
      <c r="P66" s="19">
        <f>IF(OR(M66="",N66=""),"",ROUND(3959*ACOS(MIN(1,SIN(RADIANS(README!$B$3))*SIN(RADIANS(M66))+COS(RADIANS(README!$B$3))*COS(RADIANS(M66))*COS(RADIANS(N66-README!$B$4)))),1))</f>
        <v/>
      </c>
      <c r="Q66" s="19">
        <f>IF(O66="","",IF(P66="",O66,MIN(O66,P66)))</f>
        <v/>
      </c>
      <c r="R66" s="19">
        <f>IF(Q66="","n/a",IF(Q66&lt;=README!$B$5,"Yes","No"))</f>
        <v/>
      </c>
      <c r="S66" s="19" t="inlineStr">
        <is>
          <t>NWS Albany – Past Weather Events (weather.gov/aly/pastevents)</t>
        </is>
      </c>
      <c r="T66" s="19" t="inlineStr">
        <is>
          <t>A</t>
        </is>
      </c>
      <c r="U66" s="19" t="n"/>
    </row>
    <row r="67" ht="34.5" customHeight="1" s="13">
      <c r="A67" s="19" t="inlineStr">
        <is>
          <t>2019-10-31</t>
        </is>
      </c>
      <c r="B67" s="19" t="n"/>
      <c r="C67" s="19" t="inlineStr">
        <is>
          <t>Region</t>
        </is>
      </c>
      <c r="D67" s="19" t="inlineStr">
        <is>
          <t>Halloween storm winds</t>
        </is>
      </c>
      <c r="E67" s="19" t="inlineStr">
        <is>
          <t>Synoptic windstorm</t>
        </is>
      </c>
      <c r="F67" s="19" t="inlineStr">
        <is>
          <t>63 mph</t>
        </is>
      </c>
      <c r="G67" s="19" t="n"/>
      <c r="H67" s="19" t="n"/>
      <c r="I67" s="19" t="n"/>
      <c r="J67" s="19" t="n"/>
      <c r="K67" s="19" t="n">
        <v>42.75</v>
      </c>
      <c r="L67" s="19" t="n">
        <v>-73.8</v>
      </c>
      <c r="M67" s="19" t="n"/>
      <c r="N67" s="19" t="n"/>
      <c r="O67" s="19">
        <f>IF(OR(K67="",L67=""),"",ROUND(3959*ACOS(MIN(1,SIN(RADIANS(README!$B$3))*SIN(RADIANS(K67))+COS(RADIANS(README!$B$3))*COS(RADIANS(K67))*COS(RADIANS(L67-README!$B$4)))),1))</f>
        <v/>
      </c>
      <c r="P67" s="19">
        <f>IF(OR(M67="",N67=""),"",ROUND(3959*ACOS(MIN(1,SIN(RADIANS(README!$B$3))*SIN(RADIANS(M67))+COS(RADIANS(README!$B$3))*COS(RADIANS(M67))*COS(RADIANS(N67-README!$B$4)))),1))</f>
        <v/>
      </c>
      <c r="Q67" s="19">
        <f>IF(O67="","",IF(P67="",O67,MIN(O67,P67)))</f>
        <v/>
      </c>
      <c r="R67" s="19">
        <f>IF(Q67="","n/a",IF(Q67&lt;=README!$B$5,"Yes","No"))</f>
        <v/>
      </c>
      <c r="S67" s="19" t="inlineStr">
        <is>
          <t>NWS Albany – Past Weather Events (weather.gov/aly/pastevents)</t>
        </is>
      </c>
      <c r="T67" s="19" t="inlineStr">
        <is>
          <t>A</t>
        </is>
      </c>
      <c r="U67" s="19" t="inlineStr">
        <is>
          <t>Thousands of outages</t>
        </is>
      </c>
    </row>
    <row r="68" ht="34.5" customHeight="1" s="13">
      <c r="A68" s="19" t="inlineStr">
        <is>
          <t>2020-08-04</t>
        </is>
      </c>
      <c r="B68" s="19" t="n"/>
      <c r="C68" s="19" t="inlineStr">
        <is>
          <t>Region</t>
        </is>
      </c>
      <c r="D68" s="19" t="inlineStr">
        <is>
          <t>Tropical Storm Isaias</t>
        </is>
      </c>
      <c r="E68" s="19" t="inlineStr">
        <is>
          <t>Tropical wind</t>
        </is>
      </c>
      <c r="F68" s="19" t="n"/>
      <c r="G68" s="19" t="n"/>
      <c r="H68" s="19" t="n"/>
      <c r="I68" s="19" t="n"/>
      <c r="J68" s="19" t="n"/>
      <c r="K68" s="19" t="n">
        <v>42.75</v>
      </c>
      <c r="L68" s="19" t="n">
        <v>-73.8</v>
      </c>
      <c r="M68" s="19" t="n"/>
      <c r="N68" s="19" t="n"/>
      <c r="O68" s="19">
        <f>IF(OR(K68="",L68=""),"",ROUND(3959*ACOS(MIN(1,SIN(RADIANS(README!$B$3))*SIN(RADIANS(K68))+COS(RADIANS(README!$B$3))*COS(RADIANS(K68))*COS(RADIANS(L68-README!$B$4)))),1))</f>
        <v/>
      </c>
      <c r="P68" s="19">
        <f>IF(OR(M68="",N68=""),"",ROUND(3959*ACOS(MIN(1,SIN(RADIANS(README!$B$3))*SIN(RADIANS(M68))+COS(RADIANS(README!$B$3))*COS(RADIANS(M68))*COS(RADIANS(N68-README!$B$4)))),1))</f>
        <v/>
      </c>
      <c r="Q68" s="19">
        <f>IF(O68="","",IF(P68="",O68,MIN(O68,P68)))</f>
        <v/>
      </c>
      <c r="R68" s="19">
        <f>IF(Q68="","n/a",IF(Q68&lt;=README!$B$5,"Yes","No"))</f>
        <v/>
      </c>
      <c r="S68" s="19" t="inlineStr">
        <is>
          <t>NWS Albany – Past Weather Events (weather.gov/aly/pastevents)</t>
        </is>
      </c>
      <c r="T68" s="19" t="inlineStr">
        <is>
          <t>A</t>
        </is>
      </c>
      <c r="U68" s="19" t="n"/>
    </row>
    <row r="69" ht="15" customHeight="1" s="13">
      <c r="A69" s="19" t="inlineStr">
        <is>
          <t>2020-08-23</t>
        </is>
      </c>
      <c r="B69" s="19" t="n"/>
      <c r="C69" s="19" t="inlineStr">
        <is>
          <t>Albany</t>
        </is>
      </c>
      <c r="D69" s="19" t="inlineStr">
        <is>
          <t>Albany Co.</t>
        </is>
      </c>
      <c r="E69" s="19" t="inlineStr">
        <is>
          <t>Thunderstorm wind</t>
        </is>
      </c>
      <c r="F69" s="19" t="n"/>
      <c r="G69" s="19" t="n"/>
      <c r="H69" s="19" t="n"/>
      <c r="I69" s="19" t="n">
        <v>0</v>
      </c>
      <c r="J69" s="19" t="n">
        <v>0</v>
      </c>
      <c r="K69" s="19" t="n">
        <v>42.75</v>
      </c>
      <c r="L69" s="19" t="n">
        <v>-73.8</v>
      </c>
      <c r="M69" s="19" t="n"/>
      <c r="N69" s="19" t="n"/>
      <c r="O69" s="19">
        <f>IF(OR(K69="",L69=""),"",ROUND(3959*ACOS(MIN(1,SIN(RADIANS(README!$B$3))*SIN(RADIANS(K69))+COS(RADIANS(README!$B$3))*COS(RADIANS(K69))*COS(RADIANS(L69-README!$B$4)))),1))</f>
        <v/>
      </c>
      <c r="P69" s="19">
        <f>IF(OR(M69="",N69=""),"",ROUND(3959*ACOS(MIN(1,SIN(RADIANS(README!$B$3))*SIN(RADIANS(M69))+COS(RADIANS(README!$B$3))*COS(RADIANS(M69))*COS(RADIANS(N69-README!$B$4)))),1))</f>
        <v/>
      </c>
      <c r="Q69" s="19">
        <f>IF(O69="","",IF(P69="",O69,MIN(O69,P69)))</f>
        <v/>
      </c>
      <c r="R69" s="19">
        <f>IF(Q69="","n/a",IF(Q69&lt;=README!$B$5,"Yes","No"))</f>
        <v/>
      </c>
      <c r="S69" s="19" t="inlineStr">
        <is>
          <t>NCEI Storm Events Database</t>
        </is>
      </c>
      <c r="T69" s="19" t="inlineStr">
        <is>
          <t>A</t>
        </is>
      </c>
      <c r="U69" s="19" t="inlineStr">
        <is>
          <t>$7.5M; barn roof torn off</t>
        </is>
      </c>
    </row>
    <row r="70" ht="15" customHeight="1" s="13">
      <c r="A70" s="19" t="inlineStr">
        <is>
          <t>2020-08-27</t>
        </is>
      </c>
      <c r="B70" s="19" t="inlineStr">
        <is>
          <t>13:11</t>
        </is>
      </c>
      <c r="C70" s="19" t="inlineStr">
        <is>
          <t>Greene</t>
        </is>
      </c>
      <c r="D70" s="19" t="inlineStr">
        <is>
          <t>Greene Co.</t>
        </is>
      </c>
      <c r="E70" s="19" t="inlineStr">
        <is>
          <t>Tornado</t>
        </is>
      </c>
      <c r="F70" s="19" t="inlineStr">
        <is>
          <t>EF1</t>
        </is>
      </c>
      <c r="G70" s="19" t="n">
        <v>0.3</v>
      </c>
      <c r="H70" s="19" t="n">
        <v>25</v>
      </c>
      <c r="I70" s="19" t="n">
        <v>0</v>
      </c>
      <c r="J70" s="19" t="n">
        <v>0</v>
      </c>
      <c r="K70" s="19" t="n">
        <v>42.28</v>
      </c>
      <c r="L70" s="19" t="n">
        <v>-74.12</v>
      </c>
      <c r="M70" s="19" t="n"/>
      <c r="N70" s="19" t="n"/>
      <c r="O70" s="19">
        <f>IF(OR(K70="",L70=""),"",ROUND(3959*ACOS(MIN(1,SIN(RADIANS(README!$B$3))*SIN(RADIANS(K70))+COS(RADIANS(README!$B$3))*COS(RADIANS(K70))*COS(RADIANS(L70-README!$B$4)))),1))</f>
        <v/>
      </c>
      <c r="P70" s="19">
        <f>IF(OR(M70="",N70=""),"",ROUND(3959*ACOS(MIN(1,SIN(RADIANS(README!$B$3))*SIN(RADIANS(M70))+COS(RADIANS(README!$B$3))*COS(RADIANS(M70))*COS(RADIANS(N70-README!$B$4)))),1))</f>
        <v/>
      </c>
      <c r="Q70" s="19">
        <f>IF(O70="","",IF(P70="",O70,MIN(O70,P70)))</f>
        <v/>
      </c>
      <c r="R70" s="19">
        <f>IF(Q70="","n/a",IF(Q70&lt;=README!$B$5,"Yes","No"))</f>
        <v/>
      </c>
      <c r="S70" s="19" t="inlineStr">
        <is>
          <t>NCEI via tornadopath</t>
        </is>
      </c>
      <c r="T70" s="19" t="inlineStr">
        <is>
          <t>B</t>
        </is>
      </c>
      <c r="U70" s="19" t="inlineStr">
        <is>
          <t>County centroid approx</t>
        </is>
      </c>
    </row>
    <row r="71" ht="15" customHeight="1" s="13">
      <c r="A71" s="19" t="inlineStr">
        <is>
          <t>2020-08-29</t>
        </is>
      </c>
      <c r="B71" s="19" t="inlineStr">
        <is>
          <t>16:42</t>
        </is>
      </c>
      <c r="C71" s="19" t="inlineStr">
        <is>
          <t>Rensselaer</t>
        </is>
      </c>
      <c r="D71" s="19" t="inlineStr">
        <is>
          <t>Schaghticoke</t>
        </is>
      </c>
      <c r="E71" s="19" t="inlineStr">
        <is>
          <t>Tornado</t>
        </is>
      </c>
      <c r="F71" s="19" t="inlineStr">
        <is>
          <t>EF1</t>
        </is>
      </c>
      <c r="G71" s="19" t="n">
        <v>2.2</v>
      </c>
      <c r="H71" s="19" t="n">
        <v>100</v>
      </c>
      <c r="I71" s="19" t="n">
        <v>0</v>
      </c>
      <c r="J71" s="19" t="n">
        <v>0</v>
      </c>
      <c r="K71" s="19" t="n">
        <v>42.9</v>
      </c>
      <c r="L71" s="19" t="n">
        <v>-73.59</v>
      </c>
      <c r="M71" s="19" t="n"/>
      <c r="N71" s="19" t="n"/>
      <c r="O71" s="19">
        <f>IF(OR(K71="",L71=""),"",ROUND(3959*ACOS(MIN(1,SIN(RADIANS(README!$B$3))*SIN(RADIANS(K71))+COS(RADIANS(README!$B$3))*COS(RADIANS(K71))*COS(RADIANS(L71-README!$B$4)))),1))</f>
        <v/>
      </c>
      <c r="P71" s="19">
        <f>IF(OR(M71="",N71=""),"",ROUND(3959*ACOS(MIN(1,SIN(RADIANS(README!$B$3))*SIN(RADIANS(M71))+COS(RADIANS(README!$B$3))*COS(RADIANS(M71))*COS(RADIANS(N71-README!$B$4)))),1))</f>
        <v/>
      </c>
      <c r="Q71" s="19">
        <f>IF(O71="","",IF(P71="",O71,MIN(O71,P71)))</f>
        <v/>
      </c>
      <c r="R71" s="19">
        <f>IF(Q71="","n/a",IF(Q71&lt;=README!$B$5,"Yes","No"))</f>
        <v/>
      </c>
      <c r="S71" s="19" t="inlineStr">
        <is>
          <t>NCEI via tornadopath</t>
        </is>
      </c>
      <c r="T71" s="19" t="inlineStr">
        <is>
          <t>A</t>
        </is>
      </c>
      <c r="U71" s="19" t="n"/>
    </row>
    <row r="72" ht="34.5" customHeight="1" s="13">
      <c r="A72" s="19" t="inlineStr">
        <is>
          <t>2020-10-07</t>
        </is>
      </c>
      <c r="B72" s="19" t="n"/>
      <c r="C72" s="19" t="inlineStr">
        <is>
          <t>Region</t>
        </is>
      </c>
      <c r="D72" s="19" t="inlineStr">
        <is>
          <t>October 2020 derecho</t>
        </is>
      </c>
      <c r="E72" s="19" t="inlineStr">
        <is>
          <t>Derecho</t>
        </is>
      </c>
      <c r="F72" s="19" t="n"/>
      <c r="G72" s="19" t="n"/>
      <c r="H72" s="19" t="n"/>
      <c r="I72" s="19" t="n"/>
      <c r="J72" s="19" t="n"/>
      <c r="K72" s="19" t="n">
        <v>42.75</v>
      </c>
      <c r="L72" s="19" t="n">
        <v>-73.8</v>
      </c>
      <c r="M72" s="19" t="n"/>
      <c r="N72" s="19" t="n"/>
      <c r="O72" s="19">
        <f>IF(OR(K72="",L72=""),"",ROUND(3959*ACOS(MIN(1,SIN(RADIANS(README!$B$3))*SIN(RADIANS(K72))+COS(RADIANS(README!$B$3))*COS(RADIANS(K72))*COS(RADIANS(L72-README!$B$4)))),1))</f>
        <v/>
      </c>
      <c r="P72" s="19">
        <f>IF(OR(M72="",N72=""),"",ROUND(3959*ACOS(MIN(1,SIN(RADIANS(README!$B$3))*SIN(RADIANS(M72))+COS(RADIANS(README!$B$3))*COS(RADIANS(M72))*COS(RADIANS(N72-README!$B$4)))),1))</f>
        <v/>
      </c>
      <c r="Q72" s="19">
        <f>IF(O72="","",IF(P72="",O72,MIN(O72,P72)))</f>
        <v/>
      </c>
      <c r="R72" s="19">
        <f>IF(Q72="","n/a",IF(Q72&lt;=README!$B$5,"Yes","No"))</f>
        <v/>
      </c>
      <c r="S72" s="19" t="inlineStr">
        <is>
          <t>NWS Albany – Past Weather Events (weather.gov/aly/pastevents)</t>
        </is>
      </c>
      <c r="T72" s="19" t="inlineStr">
        <is>
          <t>A</t>
        </is>
      </c>
      <c r="U72" s="19" t="inlineStr">
        <is>
          <t>High-end severe wind event</t>
        </is>
      </c>
    </row>
    <row r="73" ht="34.5" customHeight="1" s="13">
      <c r="A73" s="19" t="inlineStr">
        <is>
          <t>2021-04-21</t>
        </is>
      </c>
      <c r="B73" s="19" t="n"/>
      <c r="C73" s="19" t="inlineStr">
        <is>
          <t>NWS ALY CWA</t>
        </is>
      </c>
      <c r="D73" s="19" t="inlineStr">
        <is>
          <t>April 2021 tornadoes</t>
        </is>
      </c>
      <c r="E73" s="19" t="inlineStr">
        <is>
          <t>Tornado</t>
        </is>
      </c>
      <c r="F73" s="19" t="n"/>
      <c r="G73" s="19" t="n"/>
      <c r="H73" s="19" t="n"/>
      <c r="I73" s="19" t="n"/>
      <c r="J73" s="19" t="n"/>
      <c r="K73" s="19" t="n"/>
      <c r="L73" s="19" t="n"/>
      <c r="M73" s="19" t="n"/>
      <c r="N73" s="19" t="n"/>
      <c r="O73" s="19">
        <f>IF(OR(K73="",L73=""),"",ROUND(3959*ACOS(MIN(1,SIN(RADIANS(README!$B$3))*SIN(RADIANS(K73))+COS(RADIANS(README!$B$3))*COS(RADIANS(K73))*COS(RADIANS(L73-README!$B$4)))),1))</f>
        <v/>
      </c>
      <c r="P73" s="19">
        <f>IF(OR(M73="",N73=""),"",ROUND(3959*ACOS(MIN(1,SIN(RADIANS(README!$B$3))*SIN(RADIANS(M73))+COS(RADIANS(README!$B$3))*COS(RADIANS(M73))*COS(RADIANS(N73-README!$B$4)))),1))</f>
        <v/>
      </c>
      <c r="Q73" s="19">
        <f>IF(O73="","",IF(P73="",O73,MIN(O73,P73)))</f>
        <v/>
      </c>
      <c r="R73" s="19">
        <f>IF(Q73="","n/a",IF(Q73&lt;=README!$B$5,"Yes","No"))</f>
        <v/>
      </c>
      <c r="S73" s="19" t="inlineStr">
        <is>
          <t>NWS Albany – Past Weather Events (weather.gov/aly/pastevents)</t>
        </is>
      </c>
      <c r="T73" s="19" t="inlineStr">
        <is>
          <t>B</t>
        </is>
      </c>
      <c r="U73" s="19" t="inlineStr">
        <is>
          <t>Locations not captured; see NWS writeup</t>
        </is>
      </c>
    </row>
    <row r="74" ht="34.5" customHeight="1" s="13">
      <c r="A74" s="19" t="inlineStr">
        <is>
          <t>2022-07-12</t>
        </is>
      </c>
      <c r="B74" s="19" t="n"/>
      <c r="C74" s="19" t="inlineStr">
        <is>
          <t>Region</t>
        </is>
      </c>
      <c r="D74" s="19" t="inlineStr">
        <is>
          <t>Severe thunderstorms</t>
        </is>
      </c>
      <c r="E74" s="19" t="inlineStr">
        <is>
          <t>Thunderstorm wind</t>
        </is>
      </c>
      <c r="F74" s="19" t="n"/>
      <c r="G74" s="19" t="n"/>
      <c r="H74" s="19" t="n"/>
      <c r="I74" s="19" t="n"/>
      <c r="J74" s="19" t="n"/>
      <c r="K74" s="19" t="n">
        <v>42.75</v>
      </c>
      <c r="L74" s="19" t="n">
        <v>-73.8</v>
      </c>
      <c r="M74" s="19" t="n"/>
      <c r="N74" s="19" t="n"/>
      <c r="O74" s="19">
        <f>IF(OR(K74="",L74=""),"",ROUND(3959*ACOS(MIN(1,SIN(RADIANS(README!$B$3))*SIN(RADIANS(K74))+COS(RADIANS(README!$B$3))*COS(RADIANS(K74))*COS(RADIANS(L74-README!$B$4)))),1))</f>
        <v/>
      </c>
      <c r="P74" s="19">
        <f>IF(OR(M74="",N74=""),"",ROUND(3959*ACOS(MIN(1,SIN(RADIANS(README!$B$3))*SIN(RADIANS(M74))+COS(RADIANS(README!$B$3))*COS(RADIANS(M74))*COS(RADIANS(N74-README!$B$4)))),1))</f>
        <v/>
      </c>
      <c r="Q74" s="19">
        <f>IF(O74="","",IF(P74="",O74,MIN(O74,P74)))</f>
        <v/>
      </c>
      <c r="R74" s="19">
        <f>IF(Q74="","n/a",IF(Q74&lt;=README!$B$5,"Yes","No"))</f>
        <v/>
      </c>
      <c r="S74" s="19" t="inlineStr">
        <is>
          <t>NWS Albany – Past Weather Events (weather.gov/aly/pastevents)</t>
        </is>
      </c>
      <c r="T74" s="19" t="inlineStr">
        <is>
          <t>A</t>
        </is>
      </c>
      <c r="U74" s="19" t="n"/>
    </row>
    <row r="75" ht="34.5" customHeight="1" s="13">
      <c r="A75" s="19" t="inlineStr">
        <is>
          <t>2024-07-16</t>
        </is>
      </c>
      <c r="B75" s="19" t="n"/>
      <c r="C75" s="19" t="inlineStr">
        <is>
          <t>Region</t>
        </is>
      </c>
      <c r="D75" s="19" t="inlineStr">
        <is>
          <t>Severe thunderstorms</t>
        </is>
      </c>
      <c r="E75" s="19" t="inlineStr">
        <is>
          <t>Thunderstorm wind</t>
        </is>
      </c>
      <c r="F75" s="19" t="n"/>
      <c r="G75" s="19" t="n"/>
      <c r="H75" s="19" t="n"/>
      <c r="I75" s="19" t="n"/>
      <c r="J75" s="19" t="n"/>
      <c r="K75" s="19" t="n">
        <v>42.75</v>
      </c>
      <c r="L75" s="19" t="n">
        <v>-73.8</v>
      </c>
      <c r="M75" s="19" t="n"/>
      <c r="N75" s="19" t="n"/>
      <c r="O75" s="19">
        <f>IF(OR(K75="",L75=""),"",ROUND(3959*ACOS(MIN(1,SIN(RADIANS(README!$B$3))*SIN(RADIANS(K75))+COS(RADIANS(README!$B$3))*COS(RADIANS(K75))*COS(RADIANS(L75-README!$B$4)))),1))</f>
        <v/>
      </c>
      <c r="P75" s="19">
        <f>IF(OR(M75="",N75=""),"",ROUND(3959*ACOS(MIN(1,SIN(RADIANS(README!$B$3))*SIN(RADIANS(M75))+COS(RADIANS(README!$B$3))*COS(RADIANS(M75))*COS(RADIANS(N75-README!$B$4)))),1))</f>
        <v/>
      </c>
      <c r="Q75" s="19">
        <f>IF(O75="","",IF(P75="",O75,MIN(O75,P75)))</f>
        <v/>
      </c>
      <c r="R75" s="19">
        <f>IF(Q75="","n/a",IF(Q75&lt;=README!$B$5,"Yes","No"))</f>
        <v/>
      </c>
      <c r="S75" s="19" t="inlineStr">
        <is>
          <t>NWS Albany – Past Weather Events (weather.gov/aly/pastevents)</t>
        </is>
      </c>
      <c r="T75" s="19" t="inlineStr">
        <is>
          <t>A</t>
        </is>
      </c>
      <c r="U75" s="19" t="n"/>
    </row>
    <row r="76" ht="23.25" customHeight="1" s="13">
      <c r="A76" s="19" t="inlineStr">
        <is>
          <t>2026-08-28</t>
        </is>
      </c>
      <c r="B76" s="19" t="n"/>
      <c r="C76" s="19" t="inlineStr">
        <is>
          <t>Saratoga</t>
        </is>
      </c>
      <c r="D76" s="19" t="inlineStr">
        <is>
          <t>Wilton</t>
        </is>
      </c>
      <c r="E76" s="19" t="inlineStr">
        <is>
          <t>Tornado</t>
        </is>
      </c>
      <c r="F76" s="19" t="inlineStr">
        <is>
          <t>EF1 (110 mph) + EF0</t>
        </is>
      </c>
      <c r="G76" s="19" t="n"/>
      <c r="H76" s="19" t="n"/>
      <c r="I76" s="19" t="n">
        <v>0</v>
      </c>
      <c r="J76" s="19" t="n">
        <v>0</v>
      </c>
      <c r="K76" s="19" t="n">
        <v>43.15</v>
      </c>
      <c r="L76" s="19" t="n">
        <v>-73.72</v>
      </c>
      <c r="M76" s="19" t="n"/>
      <c r="N76" s="19" t="n"/>
      <c r="O76" s="19">
        <f>IF(OR(K76="",L76=""),"",ROUND(3959*ACOS(MIN(1,SIN(RADIANS(README!$B$3))*SIN(RADIANS(K76))+COS(RADIANS(README!$B$3))*COS(RADIANS(K76))*COS(RADIANS(L76-README!$B$4)))),1))</f>
        <v/>
      </c>
      <c r="P76" s="19">
        <f>IF(OR(M76="",N76=""),"",ROUND(3959*ACOS(MIN(1,SIN(RADIANS(README!$B$3))*SIN(RADIANS(M76))+COS(RADIANS(README!$B$3))*COS(RADIANS(M76))*COS(RADIANS(N76-README!$B$4)))),1))</f>
        <v/>
      </c>
      <c r="Q76" s="19">
        <f>IF(O76="","",IF(P76="",O76,MIN(O76,P76)))</f>
        <v/>
      </c>
      <c r="R76" s="19">
        <f>IF(Q76="","n/a",IF(Q76&lt;=README!$B$5,"Yes","No"))</f>
        <v/>
      </c>
      <c r="S76" s="19" t="inlineStr">
        <is>
          <t>CBS6 Albany / NWS ALY PNS</t>
        </is>
      </c>
      <c r="T76" s="19" t="inlineStr">
        <is>
          <t>B</t>
        </is>
      </c>
      <c r="U76" s="19" t="inlineStr">
        <is>
          <t>Date approximate (late Aug 2026); ~45 mi N</t>
        </is>
      </c>
    </row>
    <row r="78" ht="15" customHeight="1" s="13">
      <c r="A78" s="20" t="inlineStr">
        <is>
          <t>Nearest-point column uses start/end points only; a long-track tornado (e.g., 1989 F4, 1974 F3) can pass closer than either endpoint. Region-wide wind days are pinned to Albany AP coordinates for the formula.</t>
        </is>
      </c>
    </row>
  </sheetData>
  <autoFilter ref="A1:U76"/>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K8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0" customWidth="1" style="12" min="1" max="1"/>
    <col width="8" customWidth="1" style="12" min="2" max="2"/>
    <col width="3" customWidth="1" style="12" min="3" max="3"/>
    <col width="18" customWidth="1" style="12" min="4" max="4"/>
    <col width="8" customWidth="1" style="12" min="5" max="5"/>
    <col width="3" customWidth="1" style="12" min="6" max="6"/>
    <col width="14" customWidth="1" style="12" min="7" max="7"/>
    <col width="8" customWidth="1" style="12" min="8" max="8"/>
    <col width="3" customWidth="1" style="12" min="9" max="9"/>
    <col width="32" customWidth="1" style="12" min="10" max="10"/>
    <col width="10" customWidth="1" style="12" min="11" max="11"/>
  </cols>
  <sheetData>
    <row r="1" ht="15" customHeight="1" s="13">
      <c r="A1" s="21" t="inlineStr">
        <is>
          <t>Events by category</t>
        </is>
      </c>
      <c r="B1" s="22" t="n"/>
      <c r="C1" s="22" t="n"/>
      <c r="D1" s="21" t="inlineStr">
        <is>
          <t>Events by confidence</t>
        </is>
      </c>
      <c r="E1" s="22" t="n"/>
      <c r="F1" s="22" t="n"/>
      <c r="G1" s="21" t="inlineStr">
        <is>
          <t>Events by century</t>
        </is>
      </c>
      <c r="H1" s="22" t="n"/>
      <c r="I1" s="22" t="n"/>
      <c r="J1" s="21" t="inlineStr">
        <is>
          <t>Tornadoes (Wind &amp; Tornadoes sheet)</t>
        </is>
      </c>
      <c r="K1" s="22" t="n"/>
    </row>
    <row r="2" ht="15" customHeight="1" s="13">
      <c r="A2" s="22" t="inlineStr">
        <is>
          <t>Category</t>
        </is>
      </c>
      <c r="B2" s="22" t="inlineStr">
        <is>
          <t>Count</t>
        </is>
      </c>
      <c r="C2" s="22" t="n"/>
      <c r="D2" s="22" t="inlineStr">
        <is>
          <t>A</t>
        </is>
      </c>
      <c r="E2" s="22">
        <f>COUNTIF(Events!$N$2:$N$265,D2)</f>
        <v/>
      </c>
      <c r="F2" s="22" t="n"/>
      <c r="G2" s="22" t="inlineStr">
        <is>
          <t>18th</t>
        </is>
      </c>
      <c r="H2" s="22">
        <f>COUNTIF(Events!$E$2:$E$265,18)</f>
        <v/>
      </c>
      <c r="I2" s="22" t="n"/>
      <c r="J2" s="22" t="inlineStr">
        <is>
          <t>All tornado rows</t>
        </is>
      </c>
      <c r="K2" s="22">
        <f>COUNTIF('Wind &amp; Tornadoes'!$E$2:$E$76,"Tornado*")</f>
        <v/>
      </c>
    </row>
    <row r="3" ht="15" customHeight="1" s="13">
      <c r="A3" s="22" t="inlineStr">
        <is>
          <t>Arctic outbreak</t>
        </is>
      </c>
      <c r="B3" s="22">
        <f>COUNTIF(Events!$F$2:$F$265,A3)</f>
        <v/>
      </c>
      <c r="C3" s="22" t="n"/>
      <c r="D3" s="22" t="inlineStr">
        <is>
          <t>B</t>
        </is>
      </c>
      <c r="E3" s="22">
        <f>COUNTIF(Events!$N$2:$N$265,D3)</f>
        <v/>
      </c>
      <c r="F3" s="22" t="n"/>
      <c r="G3" s="22" t="inlineStr">
        <is>
          <t>19th</t>
        </is>
      </c>
      <c r="H3" s="22">
        <f>COUNTIF(Events!$E$2:$E$265,19)</f>
        <v/>
      </c>
      <c r="I3" s="22" t="n"/>
      <c r="J3" s="22" t="inlineStr">
        <is>
          <t>Tornado rows within radius</t>
        </is>
      </c>
      <c r="K3" s="22">
        <f>COUNTIFS('Wind &amp; Tornadoes'!$E$2:$E$76,"Tornado*",'Wind &amp; Tornadoes'!$R$2:$R$76,"Yes")</f>
        <v/>
      </c>
    </row>
    <row r="4" ht="15" customHeight="1" s="13">
      <c r="A4" s="22" t="inlineStr">
        <is>
          <t>Arctic outbreak / blizzard</t>
        </is>
      </c>
      <c r="B4" s="22">
        <f>COUNTIF(Events!$F$2:$F$265,A4)</f>
        <v/>
      </c>
      <c r="C4" s="22" t="n"/>
      <c r="D4" s="22" t="inlineStr">
        <is>
          <t>C</t>
        </is>
      </c>
      <c r="E4" s="22">
        <f>COUNTIF(Events!$N$2:$N$265,D4)</f>
        <v/>
      </c>
      <c r="F4" s="22" t="n"/>
      <c r="G4" s="22" t="inlineStr">
        <is>
          <t>20th</t>
        </is>
      </c>
      <c r="H4" s="22">
        <f>COUNTIF(Events!$E$2:$E$265,20)</f>
        <v/>
      </c>
      <c r="I4" s="22" t="n"/>
      <c r="J4" s="22" t="inlineStr">
        <is>
          <t>F/EF2+ within radius</t>
        </is>
      </c>
      <c r="K4" s="22">
        <f>SUMPRODUCT((LEFT('Wind &amp; Tornadoes'!$E$2:$E$76,7)="Tornado")*('Wind &amp; Tornadoes'!$R$2:$R$76="Yes")*(ISNUMBER(SEARCH("F2",'Wind &amp; Tornadoes'!$F$2:$F$76))+ISNUMBER(SEARCH("F3",'Wind &amp; Tornadoes'!$F$2:$F$76))+ISNUMBER(SEARCH("F4",'Wind &amp; Tornadoes'!$F$2:$F$76))))</f>
        <v/>
      </c>
    </row>
    <row r="5" ht="15" customHeight="1" s="13">
      <c r="A5" s="22" t="inlineStr">
        <is>
          <t>Arctic outbreak / ice</t>
        </is>
      </c>
      <c r="B5" s="22">
        <f>COUNTIF(Events!$F$2:$F$265,A5)</f>
        <v/>
      </c>
      <c r="C5" s="22" t="n"/>
      <c r="D5" s="22" t="n"/>
      <c r="E5" s="22" t="n"/>
      <c r="F5" s="22" t="n"/>
      <c r="G5" s="22" t="inlineStr">
        <is>
          <t>21st</t>
        </is>
      </c>
      <c r="H5" s="22">
        <f>COUNTIF(Events!$E$2:$E$265,21)</f>
        <v/>
      </c>
      <c r="I5" s="22" t="n"/>
      <c r="J5" s="22" t="inlineStr">
        <is>
          <t>Closest tornado (mi)</t>
        </is>
      </c>
      <c r="K5" s="22">
        <f>MIN('Wind &amp; Tornadoes'!$Q$2:$Q$76)</f>
        <v/>
      </c>
    </row>
    <row r="6" ht="15" customHeight="1" s="13">
      <c r="A6" s="22" t="inlineStr">
        <is>
          <t>Arctic outbreak / river ice</t>
        </is>
      </c>
      <c r="B6" s="22">
        <f>COUNTIF(Events!$F$2:$F$265,A6)</f>
        <v/>
      </c>
      <c r="C6" s="22" t="n"/>
      <c r="D6" s="22" t="inlineStr">
        <is>
          <t>Verified = Y</t>
        </is>
      </c>
      <c r="E6" s="22">
        <f>COUNTIF(Events!$O$2:$O$265,"Y")</f>
        <v/>
      </c>
      <c r="F6" s="22" t="n"/>
      <c r="G6" s="22" t="n"/>
      <c r="H6" s="22" t="n"/>
      <c r="I6" s="22" t="n"/>
      <c r="J6" s="22" t="inlineStr">
        <is>
          <t>Total tornado injuries within radius</t>
        </is>
      </c>
      <c r="K6" s="22">
        <f>SUMIFS('Wind &amp; Tornadoes'!$J$2:$J$76,'Wind &amp; Tornadoes'!$E$2:$E$76,"Tornado*",'Wind &amp; Tornadoes'!$R$2:$R$76,"Yes")</f>
        <v/>
      </c>
    </row>
    <row r="7" ht="15" customHeight="1" s="13">
      <c r="A7" s="22" t="inlineStr">
        <is>
          <t>Blizzard</t>
        </is>
      </c>
      <c r="B7" s="22">
        <f>COUNTIF(Events!$F$2:$F$265,A7)</f>
        <v/>
      </c>
      <c r="C7" s="22" t="n"/>
      <c r="D7" s="22" t="inlineStr">
        <is>
          <t>Verified = N</t>
        </is>
      </c>
      <c r="E7" s="22">
        <f>COUNTIF(Events!$O$2:$O$265,"N")</f>
        <v/>
      </c>
      <c r="F7" s="22" t="n"/>
      <c r="G7" s="22" t="n"/>
      <c r="H7" s="22" t="n"/>
      <c r="I7" s="22" t="n"/>
      <c r="J7" s="22" t="n"/>
      <c r="K7" s="22" t="n"/>
    </row>
    <row r="8" ht="15" customHeight="1" s="13">
      <c r="A8" s="22" t="inlineStr">
        <is>
          <t>Blizzard / cold</t>
        </is>
      </c>
      <c r="B8" s="22">
        <f>COUNTIF(Events!$F$2:$F$265,A8)</f>
        <v/>
      </c>
      <c r="C8" s="22" t="n"/>
      <c r="D8" s="22" t="n"/>
      <c r="E8" s="22" t="n"/>
      <c r="F8" s="22" t="n"/>
      <c r="G8" s="22" t="n"/>
      <c r="H8" s="22" t="n"/>
      <c r="I8" s="22" t="n"/>
      <c r="J8" s="22" t="n"/>
      <c r="K8" s="22" t="n"/>
    </row>
    <row r="9" ht="15" customHeight="1" s="13">
      <c r="A9" s="22" t="inlineStr">
        <is>
          <t>Coastal storm</t>
        </is>
      </c>
      <c r="B9" s="22">
        <f>COUNTIF(Events!$F$2:$F$265,A9)</f>
        <v/>
      </c>
      <c r="C9" s="22" t="n"/>
      <c r="D9" s="22" t="n"/>
      <c r="E9" s="22" t="n"/>
      <c r="F9" s="22" t="n"/>
      <c r="G9" s="22" t="n"/>
      <c r="H9" s="22" t="n"/>
      <c r="I9" s="22" t="n"/>
      <c r="J9" s="22" t="n"/>
      <c r="K9" s="22" t="n"/>
    </row>
    <row r="10" ht="15" customHeight="1" s="13">
      <c r="A10" s="22" t="inlineStr">
        <is>
          <t>Coastal storm / wind</t>
        </is>
      </c>
      <c r="B10" s="22">
        <f>COUNTIF(Events!$F$2:$F$265,A10)</f>
        <v/>
      </c>
      <c r="C10" s="22" t="n"/>
      <c r="D10" s="22" t="n"/>
      <c r="E10" s="22" t="n"/>
      <c r="F10" s="22" t="n"/>
      <c r="G10" s="22" t="n"/>
      <c r="H10" s="22" t="n"/>
      <c r="I10" s="22" t="n"/>
      <c r="J10" s="22" t="n"/>
      <c r="K10" s="22" t="n"/>
    </row>
    <row r="11" ht="15" customHeight="1" s="13">
      <c r="A11" s="22" t="inlineStr">
        <is>
          <t>Cold month / snow</t>
        </is>
      </c>
      <c r="B11" s="22">
        <f>COUNTIF(Events!$F$2:$F$265,A11)</f>
        <v/>
      </c>
      <c r="C11" s="22" t="n"/>
      <c r="D11" s="22" t="n"/>
      <c r="E11" s="22" t="n"/>
      <c r="F11" s="22" t="n"/>
      <c r="G11" s="22" t="n"/>
      <c r="H11" s="22" t="n"/>
      <c r="I11" s="22" t="n"/>
      <c r="J11" s="22" t="n"/>
      <c r="K11" s="22" t="n"/>
    </row>
    <row r="12" ht="15" customHeight="1" s="13">
      <c r="A12" s="22" t="inlineStr">
        <is>
          <t>Cold snap</t>
        </is>
      </c>
      <c r="B12" s="22">
        <f>COUNTIF(Events!$F$2:$F$265,A12)</f>
        <v/>
      </c>
      <c r="C12" s="22" t="n"/>
      <c r="D12" s="22" t="n"/>
      <c r="E12" s="22" t="n"/>
      <c r="F12" s="22" t="n"/>
      <c r="G12" s="22" t="n"/>
      <c r="H12" s="22" t="n"/>
      <c r="I12" s="22" t="n"/>
      <c r="J12" s="22" t="n"/>
      <c r="K12" s="22" t="n"/>
    </row>
    <row r="13" ht="15" customHeight="1" s="13">
      <c r="A13" s="22" t="inlineStr">
        <is>
          <t>Cold snap / river ice</t>
        </is>
      </c>
      <c r="B13" s="22">
        <f>COUNTIF(Events!$F$2:$F$265,A13)</f>
        <v/>
      </c>
      <c r="C13" s="22" t="n"/>
      <c r="D13" s="22" t="n"/>
      <c r="E13" s="22" t="n"/>
      <c r="F13" s="22" t="n"/>
      <c r="G13" s="22" t="n"/>
      <c r="H13" s="22" t="n"/>
      <c r="I13" s="22" t="n"/>
      <c r="J13" s="22" t="n"/>
      <c r="K13" s="22" t="n"/>
    </row>
    <row r="14" ht="15" customHeight="1" s="13">
      <c r="A14" s="22" t="inlineStr">
        <is>
          <t>Cold winter</t>
        </is>
      </c>
      <c r="B14" s="22">
        <f>COUNTIF(Events!$F$2:$F$265,A14)</f>
        <v/>
      </c>
      <c r="C14" s="22" t="n"/>
      <c r="D14" s="22" t="n"/>
      <c r="E14" s="22" t="n"/>
      <c r="F14" s="22" t="n"/>
      <c r="G14" s="22" t="n"/>
      <c r="H14" s="22" t="n"/>
      <c r="I14" s="22" t="n"/>
      <c r="J14" s="22" t="n"/>
      <c r="K14" s="22" t="n"/>
    </row>
    <row r="15" ht="15" customHeight="1" s="13">
      <c r="A15" s="22" t="inlineStr">
        <is>
          <t>Derecho</t>
        </is>
      </c>
      <c r="B15" s="22">
        <f>COUNTIF(Events!$F$2:$F$265,A15)</f>
        <v/>
      </c>
      <c r="C15" s="22" t="n"/>
      <c r="D15" s="22" t="n"/>
      <c r="E15" s="22" t="n"/>
      <c r="F15" s="22" t="n"/>
      <c r="G15" s="22" t="n"/>
      <c r="H15" s="22" t="n"/>
      <c r="I15" s="22" t="n"/>
      <c r="J15" s="22" t="n"/>
      <c r="K15" s="22" t="n"/>
    </row>
    <row r="16" ht="15" customHeight="1" s="13">
      <c r="A16" s="22" t="inlineStr">
        <is>
          <t>Downburst / tornado</t>
        </is>
      </c>
      <c r="B16" s="22">
        <f>COUNTIF(Events!$F$2:$F$265,A16)</f>
        <v/>
      </c>
      <c r="C16" s="22" t="n"/>
      <c r="D16" s="22" t="n"/>
      <c r="E16" s="22" t="n"/>
      <c r="F16" s="22" t="n"/>
      <c r="G16" s="22" t="n"/>
      <c r="H16" s="22" t="n"/>
      <c r="I16" s="22" t="n"/>
      <c r="J16" s="22" t="n"/>
      <c r="K16" s="22" t="n"/>
    </row>
    <row r="17" ht="15" customHeight="1" s="13">
      <c r="A17" s="22" t="inlineStr">
        <is>
          <t>Drought</t>
        </is>
      </c>
      <c r="B17" s="22">
        <f>COUNTIF(Events!$F$2:$F$265,A17)</f>
        <v/>
      </c>
      <c r="C17" s="22" t="n"/>
      <c r="D17" s="22" t="n"/>
      <c r="E17" s="22" t="n"/>
      <c r="F17" s="22" t="n"/>
      <c r="G17" s="22" t="n"/>
      <c r="H17" s="22" t="n"/>
      <c r="I17" s="22" t="n"/>
      <c r="J17" s="22" t="n"/>
      <c r="K17" s="22" t="n"/>
    </row>
    <row r="18" ht="15" customHeight="1" s="13">
      <c r="A18" s="22" t="inlineStr">
        <is>
          <t>Drought / heat</t>
        </is>
      </c>
      <c r="B18" s="22">
        <f>COUNTIF(Events!$F$2:$F$265,A18)</f>
        <v/>
      </c>
      <c r="C18" s="22" t="n"/>
      <c r="D18" s="22" t="n"/>
      <c r="E18" s="22" t="n"/>
      <c r="F18" s="22" t="n"/>
      <c r="G18" s="22" t="n"/>
      <c r="H18" s="22" t="n"/>
      <c r="I18" s="22" t="n"/>
      <c r="J18" s="22" t="n"/>
      <c r="K18" s="22" t="n"/>
    </row>
    <row r="19" ht="15" customHeight="1" s="13">
      <c r="A19" s="22" t="inlineStr">
        <is>
          <t>Drought / wildfire</t>
        </is>
      </c>
      <c r="B19" s="22">
        <f>COUNTIF(Events!$F$2:$F$265,A19)</f>
        <v/>
      </c>
      <c r="C19" s="22" t="n"/>
      <c r="D19" s="22" t="n"/>
      <c r="E19" s="22" t="n"/>
      <c r="F19" s="22" t="n"/>
      <c r="G19" s="22" t="n"/>
      <c r="H19" s="22" t="n"/>
      <c r="I19" s="22" t="n"/>
      <c r="J19" s="22" t="n"/>
      <c r="K19" s="22" t="n"/>
    </row>
    <row r="20" ht="15" customHeight="1" s="13">
      <c r="A20" s="22" t="inlineStr">
        <is>
          <t>Early freeze</t>
        </is>
      </c>
      <c r="B20" s="22">
        <f>COUNTIF(Events!$F$2:$F$265,A20)</f>
        <v/>
      </c>
      <c r="C20" s="22" t="n"/>
      <c r="D20" s="22" t="n"/>
      <c r="E20" s="22" t="n"/>
      <c r="F20" s="22" t="n"/>
      <c r="G20" s="22" t="n"/>
      <c r="H20" s="22" t="n"/>
      <c r="I20" s="22" t="n"/>
      <c r="J20" s="22" t="n"/>
      <c r="K20" s="22" t="n"/>
    </row>
    <row r="21" ht="15" customHeight="1" s="13">
      <c r="A21" s="22" t="inlineStr">
        <is>
          <t>Early-season nor'easter</t>
        </is>
      </c>
      <c r="B21" s="22">
        <f>COUNTIF(Events!$F$2:$F$265,A21)</f>
        <v/>
      </c>
      <c r="C21" s="22" t="n"/>
      <c r="D21" s="22" t="n"/>
      <c r="E21" s="22" t="n"/>
      <c r="F21" s="22" t="n"/>
      <c r="G21" s="22" t="n"/>
      <c r="H21" s="22" t="n"/>
      <c r="I21" s="22" t="n"/>
      <c r="J21" s="22" t="n"/>
      <c r="K21" s="22" t="n"/>
    </row>
    <row r="22" ht="15" customHeight="1" s="13">
      <c r="A22" s="22" t="inlineStr">
        <is>
          <t>Early-season snow</t>
        </is>
      </c>
      <c r="B22" s="22">
        <f>COUNTIF(Events!$F$2:$F$265,A22)</f>
        <v/>
      </c>
      <c r="C22" s="22" t="n"/>
      <c r="D22" s="22" t="n"/>
      <c r="E22" s="22" t="n"/>
      <c r="F22" s="22" t="n"/>
      <c r="G22" s="22" t="n"/>
      <c r="H22" s="22" t="n"/>
      <c r="I22" s="22" t="n"/>
      <c r="J22" s="22" t="n"/>
      <c r="K22" s="22" t="n"/>
    </row>
    <row r="23" ht="15" customHeight="1" s="13">
      <c r="A23" s="22" t="inlineStr">
        <is>
          <t>Flash flood</t>
        </is>
      </c>
      <c r="B23" s="22">
        <f>COUNTIF(Events!$F$2:$F$265,A23)</f>
        <v/>
      </c>
      <c r="C23" s="22" t="n"/>
      <c r="D23" s="22" t="n"/>
      <c r="E23" s="22" t="n"/>
      <c r="F23" s="22" t="n"/>
      <c r="G23" s="22" t="n"/>
      <c r="H23" s="22" t="n"/>
      <c r="I23" s="22" t="n"/>
      <c r="J23" s="22" t="n"/>
      <c r="K23" s="22" t="n"/>
    </row>
    <row r="24" ht="15" customHeight="1" s="13">
      <c r="A24" s="22" t="inlineStr">
        <is>
          <t>Flash flood (karst)</t>
        </is>
      </c>
      <c r="B24" s="22">
        <f>COUNTIF(Events!$F$2:$F$265,A24)</f>
        <v/>
      </c>
      <c r="C24" s="22" t="n"/>
      <c r="D24" s="22" t="n"/>
      <c r="E24" s="22" t="n"/>
      <c r="F24" s="22" t="n"/>
      <c r="G24" s="22" t="n"/>
      <c r="H24" s="22" t="n"/>
      <c r="I24" s="22" t="n"/>
      <c r="J24" s="22" t="n"/>
      <c r="K24" s="22" t="n"/>
    </row>
    <row r="25" ht="15" customHeight="1" s="13">
      <c r="A25" s="22" t="inlineStr">
        <is>
          <t>Flash flood (urban)</t>
        </is>
      </c>
      <c r="B25" s="22">
        <f>COUNTIF(Events!$F$2:$F$265,A25)</f>
        <v/>
      </c>
      <c r="C25" s="22" t="n"/>
      <c r="D25" s="22" t="n"/>
      <c r="E25" s="22" t="n"/>
      <c r="F25" s="22" t="n"/>
      <c r="G25" s="22" t="n"/>
      <c r="H25" s="22" t="n"/>
      <c r="I25" s="22" t="n"/>
      <c r="J25" s="22" t="n"/>
      <c r="K25" s="22" t="n"/>
    </row>
    <row r="26" ht="15" customHeight="1" s="13">
      <c r="A26" s="22" t="inlineStr">
        <is>
          <t>Flash flood / severe</t>
        </is>
      </c>
      <c r="B26" s="22">
        <f>COUNTIF(Events!$F$2:$F$265,A26)</f>
        <v/>
      </c>
      <c r="C26" s="22" t="n"/>
      <c r="D26" s="22" t="n"/>
      <c r="E26" s="22" t="n"/>
      <c r="F26" s="22" t="n"/>
      <c r="G26" s="22" t="n"/>
      <c r="H26" s="22" t="n"/>
      <c r="I26" s="22" t="n"/>
      <c r="J26" s="22" t="n"/>
      <c r="K26" s="22" t="n"/>
    </row>
    <row r="27" ht="15" customHeight="1" s="13">
      <c r="A27" s="22" t="inlineStr">
        <is>
          <t>Flash flooding</t>
        </is>
      </c>
      <c r="B27" s="22">
        <f>COUNTIF(Events!$F$2:$F$265,A27)</f>
        <v/>
      </c>
      <c r="C27" s="22" t="n"/>
      <c r="D27" s="22" t="n"/>
      <c r="E27" s="22" t="n"/>
      <c r="F27" s="22" t="n"/>
      <c r="G27" s="22" t="n"/>
      <c r="H27" s="22" t="n"/>
      <c r="I27" s="22" t="n"/>
      <c r="J27" s="22" t="n"/>
      <c r="K27" s="22" t="n"/>
    </row>
    <row r="28" ht="15" customHeight="1" s="13">
      <c r="A28" s="22" t="inlineStr">
        <is>
          <t>Flash freeze / wind</t>
        </is>
      </c>
      <c r="B28" s="22">
        <f>COUNTIF(Events!$F$2:$F$265,A28)</f>
        <v/>
      </c>
      <c r="C28" s="22" t="n"/>
      <c r="D28" s="22" t="n"/>
      <c r="E28" s="22" t="n"/>
      <c r="F28" s="22" t="n"/>
      <c r="G28" s="22" t="n"/>
      <c r="H28" s="22" t="n"/>
      <c r="I28" s="22" t="n"/>
      <c r="J28" s="22" t="n"/>
      <c r="K28" s="22" t="n"/>
    </row>
    <row r="29" ht="15" customHeight="1" s="13">
      <c r="A29" s="22" t="inlineStr">
        <is>
          <t>Heat wave</t>
        </is>
      </c>
      <c r="B29" s="22">
        <f>COUNTIF(Events!$F$2:$F$265,A29)</f>
        <v/>
      </c>
      <c r="C29" s="22" t="n"/>
      <c r="D29" s="22" t="n"/>
      <c r="E29" s="22" t="n"/>
      <c r="F29" s="22" t="n"/>
      <c r="G29" s="22" t="n"/>
      <c r="H29" s="22" t="n"/>
      <c r="I29" s="22" t="n"/>
      <c r="J29" s="22" t="n"/>
      <c r="K29" s="22" t="n"/>
    </row>
    <row r="30" ht="15" customHeight="1" s="13">
      <c r="A30" s="22" t="inlineStr">
        <is>
          <t>Heat wave / drought peak</t>
        </is>
      </c>
      <c r="B30" s="22">
        <f>COUNTIF(Events!$F$2:$F$265,A30)</f>
        <v/>
      </c>
      <c r="C30" s="22" t="n"/>
      <c r="D30" s="22" t="n"/>
      <c r="E30" s="22" t="n"/>
      <c r="F30" s="22" t="n"/>
      <c r="G30" s="22" t="n"/>
      <c r="H30" s="22" t="n"/>
      <c r="I30" s="22" t="n"/>
      <c r="J30" s="22" t="n"/>
      <c r="K30" s="22" t="n"/>
    </row>
    <row r="31" ht="15" customHeight="1" s="13">
      <c r="A31" s="22" t="inlineStr">
        <is>
          <t>Ice / snow storm</t>
        </is>
      </c>
      <c r="B31" s="22">
        <f>COUNTIF(Events!$F$2:$F$265,A31)</f>
        <v/>
      </c>
      <c r="C31" s="22" t="n"/>
      <c r="D31" s="22" t="n"/>
      <c r="E31" s="22" t="n"/>
      <c r="F31" s="22" t="n"/>
      <c r="G31" s="22" t="n"/>
      <c r="H31" s="22" t="n"/>
      <c r="I31" s="22" t="n"/>
      <c r="J31" s="22" t="n"/>
      <c r="K31" s="22" t="n"/>
    </row>
    <row r="32" ht="15" customHeight="1" s="13">
      <c r="A32" s="22" t="inlineStr">
        <is>
          <t>Ice jam</t>
        </is>
      </c>
      <c r="B32" s="22">
        <f>COUNTIF(Events!$F$2:$F$265,A32)</f>
        <v/>
      </c>
      <c r="C32" s="22" t="n"/>
      <c r="D32" s="22" t="n"/>
      <c r="E32" s="22" t="n"/>
      <c r="F32" s="22" t="n"/>
      <c r="G32" s="22" t="n"/>
      <c r="H32" s="22" t="n"/>
      <c r="I32" s="22" t="n"/>
      <c r="J32" s="22" t="n"/>
      <c r="K32" s="22" t="n"/>
    </row>
    <row r="33" ht="15" customHeight="1" s="13">
      <c r="A33" s="22" t="inlineStr">
        <is>
          <t>Ice jam / flood</t>
        </is>
      </c>
      <c r="B33" s="22">
        <f>COUNTIF(Events!$F$2:$F$265,A33)</f>
        <v/>
      </c>
      <c r="C33" s="22" t="n"/>
      <c r="D33" s="22" t="n"/>
      <c r="E33" s="22" t="n"/>
      <c r="F33" s="22" t="n"/>
      <c r="G33" s="22" t="n"/>
      <c r="H33" s="22" t="n"/>
      <c r="I33" s="22" t="n"/>
      <c r="J33" s="22" t="n"/>
      <c r="K33" s="22" t="n"/>
    </row>
    <row r="34" ht="15" customHeight="1" s="13">
      <c r="A34" s="22" t="inlineStr">
        <is>
          <t>Ice storm</t>
        </is>
      </c>
      <c r="B34" s="22">
        <f>COUNTIF(Events!$F$2:$F$265,A34)</f>
        <v/>
      </c>
      <c r="C34" s="22" t="n"/>
      <c r="D34" s="22" t="n"/>
      <c r="E34" s="22" t="n"/>
      <c r="F34" s="22" t="n"/>
      <c r="G34" s="22" t="n"/>
      <c r="H34" s="22" t="n"/>
      <c r="I34" s="22" t="n"/>
      <c r="J34" s="22" t="n"/>
      <c r="K34" s="22" t="n"/>
    </row>
    <row r="35" ht="15" customHeight="1" s="13">
      <c r="A35" s="22" t="inlineStr">
        <is>
          <t>Ice-jam flood</t>
        </is>
      </c>
      <c r="B35" s="22">
        <f>COUNTIF(Events!$F$2:$F$265,A35)</f>
        <v/>
      </c>
      <c r="C35" s="22" t="n"/>
      <c r="D35" s="22" t="n"/>
      <c r="E35" s="22" t="n"/>
      <c r="F35" s="22" t="n"/>
      <c r="G35" s="22" t="n"/>
      <c r="H35" s="22" t="n"/>
      <c r="I35" s="22" t="n"/>
      <c r="J35" s="22" t="n"/>
      <c r="K35" s="22" t="n"/>
    </row>
    <row r="36" ht="15" customHeight="1" s="13">
      <c r="A36" s="22" t="inlineStr">
        <is>
          <t>Infrastructure / flood (human cause)</t>
        </is>
      </c>
      <c r="B36" s="22">
        <f>COUNTIF(Events!$F$2:$F$265,A36)</f>
        <v/>
      </c>
      <c r="C36" s="22" t="n"/>
      <c r="D36" s="22" t="n"/>
      <c r="E36" s="22" t="n"/>
      <c r="F36" s="22" t="n"/>
      <c r="G36" s="22" t="n"/>
      <c r="H36" s="22" t="n"/>
      <c r="I36" s="22" t="n"/>
      <c r="J36" s="22" t="n"/>
      <c r="K36" s="22" t="n"/>
    </row>
    <row r="37" ht="15" customHeight="1" s="13">
      <c r="A37" s="22" t="inlineStr">
        <is>
          <t>Infrastructure erosion (human cause)</t>
        </is>
      </c>
      <c r="B37" s="22">
        <f>COUNTIF(Events!$F$2:$F$265,A37)</f>
        <v/>
      </c>
      <c r="C37" s="22" t="n"/>
      <c r="D37" s="22" t="n"/>
      <c r="E37" s="22" t="n"/>
      <c r="F37" s="22" t="n"/>
      <c r="G37" s="22" t="n"/>
      <c r="H37" s="22" t="n"/>
      <c r="I37" s="22" t="n"/>
      <c r="J37" s="22" t="n"/>
      <c r="K37" s="22" t="n"/>
    </row>
    <row r="38" ht="15" customHeight="1" s="13">
      <c r="A38" s="22" t="inlineStr">
        <is>
          <t>Lake-effect snow</t>
        </is>
      </c>
      <c r="B38" s="22">
        <f>COUNTIF(Events!$F$2:$F$265,A38)</f>
        <v/>
      </c>
      <c r="C38" s="22" t="n"/>
      <c r="D38" s="22" t="n"/>
      <c r="E38" s="22" t="n"/>
      <c r="F38" s="22" t="n"/>
      <c r="G38" s="22" t="n"/>
      <c r="H38" s="22" t="n"/>
      <c r="I38" s="22" t="n"/>
      <c r="J38" s="22" t="n"/>
      <c r="K38" s="22" t="n"/>
    </row>
    <row r="39" ht="15" customHeight="1" s="13">
      <c r="A39" s="22" t="inlineStr">
        <is>
          <t>Landslide</t>
        </is>
      </c>
      <c r="B39" s="22">
        <f>COUNTIF(Events!$F$2:$F$265,A39)</f>
        <v/>
      </c>
      <c r="C39" s="22" t="n"/>
      <c r="D39" s="22" t="n"/>
      <c r="E39" s="22" t="n"/>
      <c r="F39" s="22" t="n"/>
      <c r="G39" s="22" t="n"/>
      <c r="H39" s="22" t="n"/>
      <c r="I39" s="22" t="n"/>
      <c r="J39" s="22" t="n"/>
      <c r="K39" s="22" t="n"/>
    </row>
    <row r="40" ht="15" customHeight="1" s="13">
      <c r="A40" s="22" t="inlineStr">
        <is>
          <t>Landslide / debris flow</t>
        </is>
      </c>
      <c r="B40" s="22">
        <f>COUNTIF(Events!$F$2:$F$265,A40)</f>
        <v/>
      </c>
      <c r="C40" s="22" t="n"/>
      <c r="D40" s="22" t="n"/>
      <c r="E40" s="22" t="n"/>
      <c r="F40" s="22" t="n"/>
      <c r="G40" s="22" t="n"/>
      <c r="H40" s="22" t="n"/>
      <c r="I40" s="22" t="n"/>
      <c r="J40" s="22" t="n"/>
      <c r="K40" s="22" t="n"/>
    </row>
    <row r="41" ht="15" customHeight="1" s="13">
      <c r="A41" s="22" t="inlineStr">
        <is>
          <t>Late frost</t>
        </is>
      </c>
      <c r="B41" s="22">
        <f>COUNTIF(Events!$F$2:$F$265,A41)</f>
        <v/>
      </c>
      <c r="C41" s="22" t="n"/>
      <c r="D41" s="22" t="n"/>
      <c r="E41" s="22" t="n"/>
      <c r="F41" s="22" t="n"/>
      <c r="G41" s="22" t="n"/>
      <c r="H41" s="22" t="n"/>
      <c r="I41" s="22" t="n"/>
      <c r="J41" s="22" t="n"/>
      <c r="K41" s="22" t="n"/>
    </row>
    <row r="42" ht="15" customHeight="1" s="13">
      <c r="A42" s="22" t="inlineStr">
        <is>
          <t>Late-season snow</t>
        </is>
      </c>
      <c r="B42" s="22">
        <f>COUNTIF(Events!$F$2:$F$265,A42)</f>
        <v/>
      </c>
      <c r="C42" s="22" t="n"/>
      <c r="D42" s="22" t="n"/>
      <c r="E42" s="22" t="n"/>
      <c r="F42" s="22" t="n"/>
      <c r="G42" s="22" t="n"/>
      <c r="H42" s="22" t="n"/>
      <c r="I42" s="22" t="n"/>
      <c r="J42" s="22" t="n"/>
      <c r="K42" s="22" t="n"/>
    </row>
    <row r="43" ht="15" customHeight="1" s="13">
      <c r="A43" s="22" t="inlineStr">
        <is>
          <t>Late-season snow / frost</t>
        </is>
      </c>
      <c r="B43" s="22">
        <f>COUNTIF(Events!$F$2:$F$265,A43)</f>
        <v/>
      </c>
      <c r="C43" s="22" t="n"/>
      <c r="D43" s="22" t="n"/>
      <c r="E43" s="22" t="n"/>
      <c r="F43" s="22" t="n"/>
      <c r="G43" s="22" t="n"/>
      <c r="H43" s="22" t="n"/>
      <c r="I43" s="22" t="n"/>
      <c r="J43" s="22" t="n"/>
      <c r="K43" s="22" t="n"/>
    </row>
    <row r="44" ht="15" customHeight="1" s="13">
      <c r="A44" s="22" t="inlineStr">
        <is>
          <t>Late-season snowstorm</t>
        </is>
      </c>
      <c r="B44" s="22">
        <f>COUNTIF(Events!$F$2:$F$265,A44)</f>
        <v/>
      </c>
      <c r="C44" s="22" t="n"/>
      <c r="D44" s="22" t="n"/>
      <c r="E44" s="22" t="n"/>
      <c r="F44" s="22" t="n"/>
      <c r="G44" s="22" t="n"/>
      <c r="H44" s="22" t="n"/>
      <c r="I44" s="22" t="n"/>
      <c r="J44" s="22" t="n"/>
      <c r="K44" s="22" t="n"/>
    </row>
    <row r="45" ht="15" customHeight="1" s="13">
      <c r="A45" s="22" t="inlineStr">
        <is>
          <t>Macroburst / tornadoes</t>
        </is>
      </c>
      <c r="B45" s="22">
        <f>COUNTIF(Events!$F$2:$F$265,A45)</f>
        <v/>
      </c>
      <c r="C45" s="22" t="n"/>
      <c r="D45" s="22" t="n"/>
      <c r="E45" s="22" t="n"/>
      <c r="F45" s="22" t="n"/>
      <c r="G45" s="22" t="n"/>
      <c r="H45" s="22" t="n"/>
      <c r="I45" s="22" t="n"/>
      <c r="J45" s="22" t="n"/>
      <c r="K45" s="22" t="n"/>
    </row>
    <row r="46" ht="15" customHeight="1" s="13">
      <c r="A46" s="22" t="inlineStr">
        <is>
          <t>Mild winter</t>
        </is>
      </c>
      <c r="B46" s="22">
        <f>COUNTIF(Events!$F$2:$F$265,A46)</f>
        <v/>
      </c>
      <c r="C46" s="22" t="n"/>
      <c r="D46" s="22" t="n"/>
      <c r="E46" s="22" t="n"/>
      <c r="F46" s="22" t="n"/>
      <c r="G46" s="22" t="n"/>
      <c r="H46" s="22" t="n"/>
      <c r="I46" s="22" t="n"/>
      <c r="J46" s="22" t="n"/>
      <c r="K46" s="22" t="n"/>
    </row>
    <row r="47" ht="15" customHeight="1" s="13">
      <c r="A47" s="22" t="inlineStr">
        <is>
          <t>Multi-hazard storm</t>
        </is>
      </c>
      <c r="B47" s="22">
        <f>COUNTIF(Events!$F$2:$F$265,A47)</f>
        <v/>
      </c>
      <c r="C47" s="22" t="n"/>
      <c r="D47" s="22" t="n"/>
      <c r="E47" s="22" t="n"/>
      <c r="F47" s="22" t="n"/>
      <c r="G47" s="22" t="n"/>
      <c r="H47" s="22" t="n"/>
      <c r="I47" s="22" t="n"/>
      <c r="J47" s="22" t="n"/>
      <c r="K47" s="22" t="n"/>
    </row>
    <row r="48" ht="15" customHeight="1" s="13">
      <c r="A48" s="22" t="inlineStr">
        <is>
          <t>Nor'easter</t>
        </is>
      </c>
      <c r="B48" s="22">
        <f>COUNTIF(Events!$F$2:$F$265,A48)</f>
        <v/>
      </c>
      <c r="C48" s="22" t="n"/>
      <c r="D48" s="22" t="n"/>
      <c r="E48" s="22" t="n"/>
      <c r="F48" s="22" t="n"/>
      <c r="G48" s="22" t="n"/>
      <c r="H48" s="22" t="n"/>
      <c r="I48" s="22" t="n"/>
      <c r="J48" s="22" t="n"/>
      <c r="K48" s="22" t="n"/>
    </row>
    <row r="49" ht="15" customHeight="1" s="13">
      <c r="A49" s="22" t="inlineStr">
        <is>
          <t>Nor'easter (downslope)</t>
        </is>
      </c>
      <c r="B49" s="22">
        <f>COUNTIF(Events!$F$2:$F$265,A49)</f>
        <v/>
      </c>
      <c r="C49" s="22" t="n"/>
      <c r="D49" s="22" t="n"/>
      <c r="E49" s="22" t="n"/>
      <c r="F49" s="22" t="n"/>
      <c r="G49" s="22" t="n"/>
      <c r="H49" s="22" t="n"/>
      <c r="I49" s="22" t="n"/>
      <c r="J49" s="22" t="n"/>
      <c r="K49" s="22" t="n"/>
    </row>
    <row r="50" ht="15" customHeight="1" s="13">
      <c r="A50" s="22" t="inlineStr">
        <is>
          <t>Nor'easter / flood</t>
        </is>
      </c>
      <c r="B50" s="22">
        <f>COUNTIF(Events!$F$2:$F$265,A50)</f>
        <v/>
      </c>
      <c r="C50" s="22" t="n"/>
      <c r="D50" s="22" t="n"/>
      <c r="E50" s="22" t="n"/>
      <c r="F50" s="22" t="n"/>
      <c r="G50" s="22" t="n"/>
      <c r="H50" s="22" t="n"/>
      <c r="I50" s="22" t="n"/>
      <c r="J50" s="22" t="n"/>
      <c r="K50" s="22" t="n"/>
    </row>
    <row r="51" ht="15" customHeight="1" s="13">
      <c r="A51" s="22" t="inlineStr">
        <is>
          <t>Nor'easters</t>
        </is>
      </c>
      <c r="B51" s="22">
        <f>COUNTIF(Events!$F$2:$F$265,A51)</f>
        <v/>
      </c>
      <c r="C51" s="22" t="n"/>
      <c r="D51" s="22" t="n"/>
      <c r="E51" s="22" t="n"/>
      <c r="F51" s="22" t="n"/>
      <c r="G51" s="22" t="n"/>
      <c r="H51" s="22" t="n"/>
      <c r="I51" s="22" t="n"/>
      <c r="J51" s="22" t="n"/>
      <c r="K51" s="22" t="n"/>
    </row>
    <row r="52" ht="15" customHeight="1" s="13">
      <c r="A52" s="22" t="inlineStr">
        <is>
          <t>Rain flood</t>
        </is>
      </c>
      <c r="B52" s="22">
        <f>COUNTIF(Events!$F$2:$F$265,A52)</f>
        <v/>
      </c>
      <c r="C52" s="22" t="n"/>
      <c r="D52" s="22" t="n"/>
      <c r="E52" s="22" t="n"/>
      <c r="F52" s="22" t="n"/>
      <c r="G52" s="22" t="n"/>
      <c r="H52" s="22" t="n"/>
      <c r="I52" s="22" t="n"/>
      <c r="J52" s="22" t="n"/>
      <c r="K52" s="22" t="n"/>
    </row>
    <row r="53" ht="15" customHeight="1" s="13">
      <c r="A53" s="22" t="inlineStr">
        <is>
          <t>Rain flood (tropical remnant)</t>
        </is>
      </c>
      <c r="B53" s="22">
        <f>COUNTIF(Events!$F$2:$F$265,A53)</f>
        <v/>
      </c>
      <c r="C53" s="22" t="n"/>
      <c r="D53" s="22" t="n"/>
      <c r="E53" s="22" t="n"/>
      <c r="F53" s="22" t="n"/>
      <c r="G53" s="22" t="n"/>
      <c r="H53" s="22" t="n"/>
      <c r="I53" s="22" t="n"/>
      <c r="J53" s="22" t="n"/>
      <c r="K53" s="22" t="n"/>
    </row>
    <row r="54" ht="15" customHeight="1" s="13">
      <c r="A54" s="22" t="inlineStr">
        <is>
          <t>Rain flood / wind</t>
        </is>
      </c>
      <c r="B54" s="22">
        <f>COUNTIF(Events!$F$2:$F$265,A54)</f>
        <v/>
      </c>
      <c r="C54" s="22" t="n"/>
      <c r="D54" s="22" t="n"/>
      <c r="E54" s="22" t="n"/>
      <c r="F54" s="22" t="n"/>
      <c r="G54" s="22" t="n"/>
      <c r="H54" s="22" t="n"/>
      <c r="I54" s="22" t="n"/>
      <c r="J54" s="22" t="n"/>
      <c r="K54" s="22" t="n"/>
    </row>
    <row r="55" ht="15" customHeight="1" s="13">
      <c r="A55" s="22" t="inlineStr">
        <is>
          <t>Rain-on-snow flood</t>
        </is>
      </c>
      <c r="B55" s="22">
        <f>COUNTIF(Events!$F$2:$F$265,A55)</f>
        <v/>
      </c>
      <c r="C55" s="22" t="n"/>
      <c r="D55" s="22" t="n"/>
      <c r="E55" s="22" t="n"/>
      <c r="F55" s="22" t="n"/>
      <c r="G55" s="22" t="n"/>
      <c r="H55" s="22" t="n"/>
      <c r="I55" s="22" t="n"/>
      <c r="J55" s="22" t="n"/>
      <c r="K55" s="22" t="n"/>
    </row>
    <row r="56" ht="15" customHeight="1" s="13">
      <c r="A56" s="22" t="inlineStr">
        <is>
          <t>Rain/ice-jam flood</t>
        </is>
      </c>
      <c r="B56" s="22">
        <f>COUNTIF(Events!$F$2:$F$265,A56)</f>
        <v/>
      </c>
      <c r="C56" s="22" t="n"/>
      <c r="D56" s="22" t="n"/>
      <c r="E56" s="22" t="n"/>
      <c r="F56" s="22" t="n"/>
      <c r="G56" s="22" t="n"/>
      <c r="H56" s="22" t="n"/>
      <c r="I56" s="22" t="n"/>
      <c r="J56" s="22" t="n"/>
      <c r="K56" s="22" t="n"/>
    </row>
    <row r="57" ht="15" customHeight="1" s="13">
      <c r="A57" s="22" t="inlineStr">
        <is>
          <t>River flood</t>
        </is>
      </c>
      <c r="B57" s="22">
        <f>COUNTIF(Events!$F$2:$F$265,A57)</f>
        <v/>
      </c>
      <c r="C57" s="22" t="n"/>
      <c r="D57" s="22" t="n"/>
      <c r="E57" s="22" t="n"/>
      <c r="F57" s="22" t="n"/>
      <c r="G57" s="22" t="n"/>
      <c r="H57" s="22" t="n"/>
      <c r="I57" s="22" t="n"/>
      <c r="J57" s="22" t="n"/>
      <c r="K57" s="22" t="n"/>
    </row>
    <row r="58" ht="15" customHeight="1" s="13">
      <c r="A58" s="22" t="inlineStr">
        <is>
          <t>River flood (ice jam)</t>
        </is>
      </c>
      <c r="B58" s="22">
        <f>COUNTIF(Events!$F$2:$F$265,A58)</f>
        <v/>
      </c>
      <c r="C58" s="22" t="n"/>
      <c r="D58" s="22" t="n"/>
      <c r="E58" s="22" t="n"/>
      <c r="F58" s="22" t="n"/>
      <c r="G58" s="22" t="n"/>
      <c r="H58" s="22" t="n"/>
      <c r="I58" s="22" t="n"/>
      <c r="J58" s="22" t="n"/>
      <c r="K58" s="22" t="n"/>
    </row>
    <row r="59" ht="15" customHeight="1" s="13">
      <c r="A59" s="22" t="inlineStr">
        <is>
          <t>River flood / ice storm</t>
        </is>
      </c>
      <c r="B59" s="22">
        <f>COUNTIF(Events!$F$2:$F$265,A59)</f>
        <v/>
      </c>
      <c r="C59" s="22" t="n"/>
      <c r="D59" s="22" t="n"/>
      <c r="E59" s="22" t="n"/>
      <c r="F59" s="22" t="n"/>
      <c r="G59" s="22" t="n"/>
      <c r="H59" s="22" t="n"/>
      <c r="I59" s="22" t="n"/>
      <c r="J59" s="22" t="n"/>
      <c r="K59" s="22" t="n"/>
    </row>
    <row r="60" ht="15" customHeight="1" s="13">
      <c r="A60" s="22" t="inlineStr">
        <is>
          <t>River ice (late)</t>
        </is>
      </c>
      <c r="B60" s="22">
        <f>COUNTIF(Events!$F$2:$F$265,A60)</f>
        <v/>
      </c>
      <c r="C60" s="22" t="n"/>
      <c r="D60" s="22" t="n"/>
      <c r="E60" s="22" t="n"/>
      <c r="F60" s="22" t="n"/>
      <c r="G60" s="22" t="n"/>
      <c r="H60" s="22" t="n"/>
      <c r="I60" s="22" t="n"/>
      <c r="J60" s="22" t="n"/>
      <c r="K60" s="22" t="n"/>
    </row>
    <row r="61" ht="15" customHeight="1" s="13">
      <c r="A61" s="22" t="inlineStr">
        <is>
          <t>Severe thunderstorms</t>
        </is>
      </c>
      <c r="B61" s="22">
        <f>COUNTIF(Events!$F$2:$F$265,A61)</f>
        <v/>
      </c>
      <c r="C61" s="22" t="n"/>
      <c r="D61" s="22" t="n"/>
      <c r="E61" s="22" t="n"/>
      <c r="F61" s="22" t="n"/>
      <c r="G61" s="22" t="n"/>
      <c r="H61" s="22" t="n"/>
      <c r="I61" s="22" t="n"/>
      <c r="J61" s="22" t="n"/>
      <c r="K61" s="22" t="n"/>
    </row>
    <row r="62" ht="15" customHeight="1" s="13">
      <c r="A62" s="22" t="inlineStr">
        <is>
          <t>Sinkhole (infrastructure)</t>
        </is>
      </c>
      <c r="B62" s="22">
        <f>COUNTIF(Events!$F$2:$F$265,A62)</f>
        <v/>
      </c>
      <c r="C62" s="22" t="n"/>
      <c r="D62" s="22" t="n"/>
      <c r="E62" s="22" t="n"/>
      <c r="F62" s="22" t="n"/>
      <c r="G62" s="22" t="n"/>
      <c r="H62" s="22" t="n"/>
      <c r="I62" s="22" t="n"/>
      <c r="J62" s="22" t="n"/>
      <c r="K62" s="22" t="n"/>
    </row>
    <row r="63" ht="15" customHeight="1" s="13">
      <c r="A63" s="22" t="inlineStr">
        <is>
          <t>Sinkhole (infrastructure, human cause)</t>
        </is>
      </c>
      <c r="B63" s="22">
        <f>COUNTIF(Events!$F$2:$F$265,A63)</f>
        <v/>
      </c>
      <c r="C63" s="22" t="n"/>
      <c r="D63" s="22" t="n"/>
      <c r="E63" s="22" t="n"/>
      <c r="F63" s="22" t="n"/>
      <c r="G63" s="22" t="n"/>
      <c r="H63" s="22" t="n"/>
      <c r="I63" s="22" t="n"/>
      <c r="J63" s="22" t="n"/>
      <c r="K63" s="22" t="n"/>
    </row>
    <row r="64" ht="15" customHeight="1" s="13">
      <c r="A64" s="22" t="inlineStr">
        <is>
          <t>Sinkhole / karst</t>
        </is>
      </c>
      <c r="B64" s="22">
        <f>COUNTIF(Events!$F$2:$F$265,A64)</f>
        <v/>
      </c>
      <c r="C64" s="22" t="n"/>
      <c r="D64" s="22" t="n"/>
      <c r="E64" s="22" t="n"/>
      <c r="F64" s="22" t="n"/>
      <c r="G64" s="22" t="n"/>
      <c r="H64" s="22" t="n"/>
      <c r="I64" s="22" t="n"/>
      <c r="J64" s="22" t="n"/>
      <c r="K64" s="22" t="n"/>
    </row>
    <row r="65" ht="15" customHeight="1" s="13">
      <c r="A65" s="22" t="inlineStr">
        <is>
          <t>Sinkhole / karst (event)</t>
        </is>
      </c>
      <c r="B65" s="22">
        <f>COUNTIF(Events!$F$2:$F$265,A65)</f>
        <v/>
      </c>
      <c r="C65" s="22" t="n"/>
      <c r="D65" s="22" t="n"/>
      <c r="E65" s="22" t="n"/>
      <c r="F65" s="22" t="n"/>
      <c r="G65" s="22" t="n"/>
      <c r="H65" s="22" t="n"/>
      <c r="I65" s="22" t="n"/>
      <c r="J65" s="22" t="n"/>
      <c r="K65" s="22" t="n"/>
    </row>
    <row r="66" ht="15" customHeight="1" s="13">
      <c r="A66" s="22" t="inlineStr">
        <is>
          <t>Snow / ice</t>
        </is>
      </c>
      <c r="B66" s="22">
        <f>COUNTIF(Events!$F$2:$F$265,A66)</f>
        <v/>
      </c>
      <c r="C66" s="22" t="n"/>
      <c r="D66" s="22" t="n"/>
      <c r="E66" s="22" t="n"/>
      <c r="F66" s="22" t="n"/>
      <c r="G66" s="22" t="n"/>
      <c r="H66" s="22" t="n"/>
      <c r="I66" s="22" t="n"/>
      <c r="J66" s="22" t="n"/>
      <c r="K66" s="22" t="n"/>
    </row>
    <row r="67" ht="15" customHeight="1" s="13">
      <c r="A67" s="22" t="inlineStr">
        <is>
          <t>Snowstorm</t>
        </is>
      </c>
      <c r="B67" s="22">
        <f>COUNTIF(Events!$F$2:$F$265,A67)</f>
        <v/>
      </c>
      <c r="C67" s="22" t="n"/>
      <c r="D67" s="22" t="n"/>
      <c r="E67" s="22" t="n"/>
      <c r="F67" s="22" t="n"/>
      <c r="G67" s="22" t="n"/>
      <c r="H67" s="22" t="n"/>
      <c r="I67" s="22" t="n"/>
      <c r="J67" s="22" t="n"/>
      <c r="K67" s="22" t="n"/>
    </row>
    <row r="68" ht="15" customHeight="1" s="13">
      <c r="A68" s="22" t="inlineStr">
        <is>
          <t>Snowstorms</t>
        </is>
      </c>
      <c r="B68" s="22">
        <f>COUNTIF(Events!$F$2:$F$265,A68)</f>
        <v/>
      </c>
      <c r="C68" s="22" t="n"/>
      <c r="D68" s="22" t="n"/>
      <c r="E68" s="22" t="n"/>
      <c r="F68" s="22" t="n"/>
      <c r="G68" s="22" t="n"/>
      <c r="H68" s="22" t="n"/>
      <c r="I68" s="22" t="n"/>
      <c r="J68" s="22" t="n"/>
      <c r="K68" s="22" t="n"/>
    </row>
    <row r="69" ht="15" customHeight="1" s="13">
      <c r="A69" s="22" t="inlineStr">
        <is>
          <t>Thaw then freeze</t>
        </is>
      </c>
      <c r="B69" s="22">
        <f>COUNTIF(Events!$F$2:$F$265,A69)</f>
        <v/>
      </c>
      <c r="C69" s="22" t="n"/>
      <c r="D69" s="22" t="n"/>
      <c r="E69" s="22" t="n"/>
      <c r="F69" s="22" t="n"/>
      <c r="G69" s="22" t="n"/>
      <c r="H69" s="22" t="n"/>
      <c r="I69" s="22" t="n"/>
      <c r="J69" s="22" t="n"/>
      <c r="K69" s="22" t="n"/>
    </row>
    <row r="70" ht="15" customHeight="1" s="13">
      <c r="A70" s="22" t="inlineStr">
        <is>
          <t>Tornado</t>
        </is>
      </c>
      <c r="B70" s="22">
        <f>COUNTIF(Events!$F$2:$F$265,A70)</f>
        <v/>
      </c>
      <c r="C70" s="22" t="n"/>
      <c r="D70" s="22" t="n"/>
      <c r="E70" s="22" t="n"/>
      <c r="F70" s="22" t="n"/>
      <c r="G70" s="22" t="n"/>
      <c r="H70" s="22" t="n"/>
      <c r="I70" s="22" t="n"/>
      <c r="J70" s="22" t="n"/>
      <c r="K70" s="22" t="n"/>
    </row>
    <row r="71" ht="15" customHeight="1" s="13">
      <c r="A71" s="22" t="inlineStr">
        <is>
          <t>Tornado / derecho</t>
        </is>
      </c>
      <c r="B71" s="22">
        <f>COUNTIF(Events!$F$2:$F$265,A71)</f>
        <v/>
      </c>
      <c r="C71" s="22" t="n"/>
      <c r="D71" s="22" t="n"/>
      <c r="E71" s="22" t="n"/>
      <c r="F71" s="22" t="n"/>
      <c r="G71" s="22" t="n"/>
      <c r="H71" s="22" t="n"/>
      <c r="I71" s="22" t="n"/>
      <c r="J71" s="22" t="n"/>
      <c r="K71" s="22" t="n"/>
    </row>
    <row r="72" ht="15" customHeight="1" s="13">
      <c r="A72" s="22" t="inlineStr">
        <is>
          <t>Tornado / severe</t>
        </is>
      </c>
      <c r="B72" s="22">
        <f>COUNTIF(Events!$F$2:$F$265,A72)</f>
        <v/>
      </c>
      <c r="C72" s="22" t="n"/>
      <c r="D72" s="22" t="n"/>
      <c r="E72" s="22" t="n"/>
      <c r="F72" s="22" t="n"/>
      <c r="G72" s="22" t="n"/>
      <c r="H72" s="22" t="n"/>
      <c r="I72" s="22" t="n"/>
      <c r="J72" s="22" t="n"/>
      <c r="K72" s="22" t="n"/>
    </row>
    <row r="73" ht="15" customHeight="1" s="13">
      <c r="A73" s="22" t="inlineStr">
        <is>
          <t>Tornado outbreak</t>
        </is>
      </c>
      <c r="B73" s="22">
        <f>COUNTIF(Events!$F$2:$F$265,A73)</f>
        <v/>
      </c>
      <c r="C73" s="22" t="n"/>
      <c r="D73" s="22" t="n"/>
      <c r="E73" s="22" t="n"/>
      <c r="F73" s="22" t="n"/>
      <c r="G73" s="22" t="n"/>
      <c r="H73" s="22" t="n"/>
      <c r="I73" s="22" t="n"/>
      <c r="J73" s="22" t="n"/>
      <c r="K73" s="22" t="n"/>
    </row>
    <row r="74" ht="15" customHeight="1" s="13">
      <c r="A74" s="22" t="inlineStr">
        <is>
          <t>Tornadoes</t>
        </is>
      </c>
      <c r="B74" s="22">
        <f>COUNTIF(Events!$F$2:$F$265,A74)</f>
        <v/>
      </c>
      <c r="C74" s="22" t="n"/>
      <c r="D74" s="22" t="n"/>
      <c r="E74" s="22" t="n"/>
      <c r="F74" s="22" t="n"/>
      <c r="G74" s="22" t="n"/>
      <c r="H74" s="22" t="n"/>
      <c r="I74" s="22" t="n"/>
      <c r="J74" s="22" t="n"/>
      <c r="K74" s="22" t="n"/>
    </row>
    <row r="75" ht="15" customHeight="1" s="13">
      <c r="A75" s="22" t="inlineStr">
        <is>
          <t>Tropical cyclone</t>
        </is>
      </c>
      <c r="B75" s="22">
        <f>COUNTIF(Events!$F$2:$F$265,A75)</f>
        <v/>
      </c>
      <c r="C75" s="22" t="n"/>
      <c r="D75" s="22" t="n"/>
      <c r="E75" s="22" t="n"/>
      <c r="F75" s="22" t="n"/>
      <c r="G75" s="22" t="n"/>
      <c r="H75" s="22" t="n"/>
      <c r="I75" s="22" t="n"/>
      <c r="J75" s="22" t="n"/>
      <c r="K75" s="22" t="n"/>
    </row>
    <row r="76" ht="15" customHeight="1" s="13">
      <c r="A76" s="22" t="inlineStr">
        <is>
          <t>Tropical cyclone / early snow</t>
        </is>
      </c>
      <c r="B76" s="22">
        <f>COUNTIF(Events!$F$2:$F$265,A76)</f>
        <v/>
      </c>
      <c r="C76" s="22" t="n"/>
      <c r="D76" s="22" t="n"/>
      <c r="E76" s="22" t="n"/>
      <c r="F76" s="22" t="n"/>
      <c r="G76" s="22" t="n"/>
      <c r="H76" s="22" t="n"/>
      <c r="I76" s="22" t="n"/>
      <c r="J76" s="22" t="n"/>
      <c r="K76" s="22" t="n"/>
    </row>
    <row r="77" ht="15" customHeight="1" s="13">
      <c r="A77" s="22" t="inlineStr">
        <is>
          <t>Tropical cyclone / flood</t>
        </is>
      </c>
      <c r="B77" s="22">
        <f>COUNTIF(Events!$F$2:$F$265,A77)</f>
        <v/>
      </c>
      <c r="C77" s="22" t="n"/>
      <c r="D77" s="22" t="n"/>
      <c r="E77" s="22" t="n"/>
      <c r="F77" s="22" t="n"/>
      <c r="G77" s="22" t="n"/>
      <c r="H77" s="22" t="n"/>
      <c r="I77" s="22" t="n"/>
      <c r="J77" s="22" t="n"/>
      <c r="K77" s="22" t="n"/>
    </row>
    <row r="78" ht="15" customHeight="1" s="13">
      <c r="A78" s="22" t="inlineStr">
        <is>
          <t>Tropical cyclone / severe wind</t>
        </is>
      </c>
      <c r="B78" s="22">
        <f>COUNTIF(Events!$F$2:$F$265,A78)</f>
        <v/>
      </c>
      <c r="C78" s="22" t="n"/>
      <c r="D78" s="22" t="n"/>
      <c r="E78" s="22" t="n"/>
      <c r="F78" s="22" t="n"/>
      <c r="G78" s="22" t="n"/>
      <c r="H78" s="22" t="n"/>
      <c r="I78" s="22" t="n"/>
      <c r="J78" s="22" t="n"/>
      <c r="K78" s="22" t="n"/>
    </row>
    <row r="79" ht="15" customHeight="1" s="13">
      <c r="A79" s="22" t="inlineStr">
        <is>
          <t>Tropical remnant / flood</t>
        </is>
      </c>
      <c r="B79" s="22">
        <f>COUNTIF(Events!$F$2:$F$265,A79)</f>
        <v/>
      </c>
      <c r="C79" s="22" t="n"/>
      <c r="D79" s="22" t="n"/>
      <c r="E79" s="22" t="n"/>
      <c r="F79" s="22" t="n"/>
      <c r="G79" s="22" t="n"/>
      <c r="H79" s="22" t="n"/>
      <c r="I79" s="22" t="n"/>
      <c r="J79" s="22" t="n"/>
      <c r="K79" s="22" t="n"/>
    </row>
    <row r="80" ht="15" customHeight="1" s="13">
      <c r="A80" s="22" t="inlineStr">
        <is>
          <t>Tropical remnant / snow / flood</t>
        </is>
      </c>
      <c r="B80" s="22">
        <f>COUNTIF(Events!$F$2:$F$265,A80)</f>
        <v/>
      </c>
      <c r="C80" s="22" t="n"/>
      <c r="D80" s="22" t="n"/>
      <c r="E80" s="22" t="n"/>
      <c r="F80" s="22" t="n"/>
      <c r="G80" s="22" t="n"/>
      <c r="H80" s="22" t="n"/>
      <c r="I80" s="22" t="n"/>
      <c r="J80" s="22" t="n"/>
      <c r="K80" s="22" t="n"/>
    </row>
    <row r="81" ht="15" customHeight="1" s="13">
      <c r="A81" s="22" t="inlineStr">
        <is>
          <t>Wet snowstorm</t>
        </is>
      </c>
      <c r="B81" s="22">
        <f>COUNTIF(Events!$F$2:$F$265,A81)</f>
        <v/>
      </c>
      <c r="C81" s="22" t="n"/>
      <c r="D81" s="22" t="n"/>
      <c r="E81" s="22" t="n"/>
      <c r="F81" s="22" t="n"/>
      <c r="G81" s="22" t="n"/>
      <c r="H81" s="22" t="n"/>
      <c r="I81" s="22" t="n"/>
      <c r="J81" s="22" t="n"/>
      <c r="K81" s="22" t="n"/>
    </row>
    <row r="82" ht="15" customHeight="1" s="13">
      <c r="A82" s="22" t="inlineStr">
        <is>
          <t>Wind / flood</t>
        </is>
      </c>
      <c r="B82" s="22">
        <f>COUNTIF(Events!$F$2:$F$265,A82)</f>
        <v/>
      </c>
      <c r="C82" s="22" t="n"/>
      <c r="D82" s="22" t="n"/>
      <c r="E82" s="22" t="n"/>
      <c r="F82" s="22" t="n"/>
      <c r="G82" s="22" t="n"/>
      <c r="H82" s="22" t="n"/>
      <c r="I82" s="22" t="n"/>
      <c r="J82" s="22" t="n"/>
      <c r="K82" s="22" t="n"/>
    </row>
    <row r="83" ht="15" customHeight="1" s="13">
      <c r="A83" s="22" t="inlineStr">
        <is>
          <t>Windstorm</t>
        </is>
      </c>
      <c r="B83" s="22">
        <f>COUNTIF(Events!$F$2:$F$265,A83)</f>
        <v/>
      </c>
      <c r="C83" s="22" t="n"/>
      <c r="D83" s="22" t="n"/>
      <c r="E83" s="22" t="n"/>
      <c r="F83" s="22" t="n"/>
      <c r="G83" s="22" t="n"/>
      <c r="H83" s="22" t="n"/>
      <c r="I83" s="22" t="n"/>
      <c r="J83" s="22" t="n"/>
      <c r="K83" s="22" t="n"/>
    </row>
    <row r="84" ht="15" customHeight="1" s="13">
      <c r="A84" s="22" t="n"/>
      <c r="B84" s="22" t="n"/>
      <c r="C84" s="22" t="n"/>
      <c r="D84" s="22" t="n"/>
      <c r="E84" s="22" t="n"/>
      <c r="F84" s="22" t="n"/>
      <c r="G84" s="22" t="n"/>
      <c r="H84" s="22" t="n"/>
      <c r="I84" s="22" t="n"/>
      <c r="J84" s="22" t="n"/>
      <c r="K84" s="22" t="n"/>
    </row>
    <row r="85" ht="15" customHeight="1" s="13">
      <c r="A85" s="21" t="inlineStr">
        <is>
          <t>Total</t>
        </is>
      </c>
      <c r="B85" s="22">
        <f>SUM(B3:B84)</f>
        <v/>
      </c>
      <c r="C85" s="22" t="n"/>
      <c r="D85" s="22" t="n"/>
      <c r="E85" s="22" t="n"/>
      <c r="F85" s="22" t="n"/>
      <c r="G85" s="22" t="n"/>
      <c r="H85" s="22" t="n"/>
      <c r="I85" s="22" t="n"/>
      <c r="J85" s="22" t="n"/>
      <c r="K85" s="22"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C42"/>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5" customWidth="1" style="12" min="1" max="1"/>
    <col width="60" customWidth="1" style="12" min="2" max="2"/>
    <col width="70" customWidth="1" style="12" min="3" max="3"/>
  </cols>
  <sheetData>
    <row r="1" ht="15" customHeight="1" s="13">
      <c r="A1" s="18" t="inlineStr">
        <is>
          <t>Source</t>
        </is>
      </c>
      <c r="B1" s="18" t="inlineStr">
        <is>
          <t>URL</t>
        </is>
      </c>
      <c r="C1" s="18" t="inlineStr">
        <is>
          <t>Best for</t>
        </is>
      </c>
    </row>
    <row r="2" ht="23.25" customHeight="1" s="13">
      <c r="A2" s="19" t="inlineStr">
        <is>
          <t>NWS Albany – Past Weather Events (weather.gov/aly/pastevents)</t>
        </is>
      </c>
      <c r="B2" s="19" t="inlineStr">
        <is>
          <t>https://www.weather.gov/aly/pastevents</t>
        </is>
      </c>
      <c r="C2" s="19" t="inlineStr">
        <is>
          <t>Authoritative local recap: flood crests at Albany/Troy/Schenectady, Albany snow totals, ice storms, outages, 2011–2026 event writeups.</t>
        </is>
      </c>
    </row>
    <row r="3" ht="23.25" customHeight="1" s="13">
      <c r="A3" s="19" t="inlineStr">
        <is>
          <t>NWS Albany July 2026 flash flood writeup</t>
        </is>
      </c>
      <c r="B3" s="19" t="inlineStr">
        <is>
          <t>https://www.weather.gov/aly/july2026flashflood</t>
        </is>
      </c>
      <c r="C3" s="19" t="inlineStr">
        <is>
          <t>Rainfall by station incl. Medusa, South Berne, Voorheesville; LSR list; recurrence intervals.</t>
        </is>
      </c>
    </row>
    <row r="4" ht="15" customHeight="1" s="13">
      <c r="A4" s="19" t="inlineStr">
        <is>
          <t>NWS Albany climate extremes (ALB_Extremes.pdf)</t>
        </is>
      </c>
      <c r="B4" s="19" t="inlineStr">
        <is>
          <t>https://www.weather.gov/media/aly/Climate/ALB_Extremes.pdf</t>
        </is>
      </c>
      <c r="C4" s="19" t="inlineStr">
        <is>
          <t>Albany all-time records; verify 104°F / –28°F rows.</t>
        </is>
      </c>
    </row>
    <row r="5" ht="15" customHeight="1" s="13">
      <c r="A5" s="19" t="inlineStr">
        <is>
          <t>Tornado Project (Grazulis) NY county list 1950–2012</t>
        </is>
      </c>
      <c r="B5" s="19" t="inlineStr">
        <is>
          <t>https://www.tornadoproject.com/alltorns/nytorn.htm</t>
        </is>
      </c>
      <c r="C5" s="19" t="inlineStr">
        <is>
          <t>Every NY tornado 1950–2012 with begin/end lat-lon, F-scale, deaths, injuries.</t>
        </is>
      </c>
    </row>
    <row r="6" ht="23.25" customHeight="1" s="13">
      <c r="A6" s="19" t="inlineStr">
        <is>
          <t>NCEI Storm Events Database</t>
        </is>
      </c>
      <c r="B6" s="19" t="inlineStr">
        <is>
          <t>https://www.ncei.noaa.gov/stormevents/</t>
        </is>
      </c>
      <c r="C6" s="19" t="inlineStr">
        <is>
          <t>2013+ tornadoes, thunderstorm wind, flash flood, hail by county; damage $ and narratives.</t>
        </is>
      </c>
    </row>
    <row r="7" ht="23.25" customHeight="1" s="13">
      <c r="A7" s="19" t="inlineStr">
        <is>
          <t>NWS Albany storm surveys (PNS PDFs linked from Past Events page)</t>
        </is>
      </c>
      <c r="B7" s="19" t="inlineStr">
        <is>
          <t>https://www.weather.gov/aly/pastevents</t>
        </is>
      </c>
      <c r="C7" s="19" t="inlineStr">
        <is>
          <t>EF ratings, path length/width, exact coords for 2011+ tornadoes and microbursts.</t>
        </is>
      </c>
    </row>
    <row r="8" ht="23.25" customHeight="1" s="13">
      <c r="A8" s="19" t="inlineStr">
        <is>
          <t>July 1989 outbreak (Wikipedia, citing Grazulis &amp; SPC)</t>
        </is>
      </c>
      <c r="B8" s="19" t="inlineStr">
        <is>
          <t>https://en.wikipedia.org/wiki/July_1989_Northeastern_United_States_tornado_outbreak</t>
        </is>
      </c>
      <c r="C8" s="19" t="inlineStr">
        <is>
          <t>F4 path description incl. Rensselaerville/Greenville touchdowns.</t>
        </is>
      </c>
    </row>
    <row r="9" ht="68.25" customHeight="1" s="13">
      <c r="A9" s="19" t="inlineStr">
        <is>
          <t>Ludlum, Early American Hurricanes 1492–1870 (AMS, 1963), pp. 8–23 (verified, page images/text)</t>
        </is>
      </c>
      <c r="B9" s="19" t="inlineStr">
        <is>
          <t>https://hdl.handle.net/2027/mdp.39015002912718</t>
        </is>
      </c>
      <c r="C9" s="19" t="inlineStr">
        <is>
          <t>Early hurricanes 1492–1870. NY-relevant rows verified from pp. 8–40 and 77–108: 1635, 1667, 1683, 1706 Albany flood, 1769, 1775, 1783, 1788 Hudson Highlands storm, 1795, 1804 Snow Hurricane (full), 1806, 1815 Great September Gale, 1821 NYC/Hudson hurricane, 1839 Catskill snow, 1850 central-NY track, and the Oct 1869 Saxby’s Gale rainstorm (upper Hudson Valley). Whole-volume Chronological Index (1528–1870, pp. 191–195) checked: no other storm reached eastern NY.</t>
        </is>
      </c>
    </row>
    <row r="10" ht="34.5" customHeight="1" s="13">
      <c r="A10" s="19" t="inlineStr">
        <is>
          <t>USGS Reddy/Kappel/Root 2020 LiDAR Closed-Depression Database (doi:10.5066/P9HGN5IJ)</t>
        </is>
      </c>
      <c r="B10" s="19" t="inlineStr">
        <is>
          <t>https://www.sciencebase.gov/catalog/item/5b9ab009e4b0d966b485dea2</t>
        </is>
      </c>
      <c r="C10" s="19" t="inlineStr">
        <is>
          <t>INGESTED (KMZ): 514 statewide depressions, 191 within 75 mi of Westerlo, classified by bedrock &amp; origin (own LiDAR Depressions sheet). Pull the LiDAR .gdb for finer county-scale data.</t>
        </is>
      </c>
    </row>
    <row r="11" ht="34.5" customHeight="1" s="13">
      <c r="A11" s="19" t="inlineStr">
        <is>
          <t>USGS Kappel et al. 2020 (SIR 2020-5030) &amp; SIR 2021-5094; SUNY Brockport (Richards) LiDAR karst study; Cornell karst/manure-mgmt database</t>
        </is>
      </c>
      <c r="B11" s="19" t="inlineStr">
        <is>
          <t>https://pubs.usgs.gov/sir/2020/5030/sir20205030.pdf</t>
        </is>
      </c>
      <c r="C11" s="19" t="inlineStr">
        <is>
          <t>SYSTEMATIC karst inventory for NY/Albany Co.: LiDAR-mapped sinkholes &amp; closed depressions, karst-prone bedrock, thinly-soiled soils. The way to find collapses no newspaper reported. NOT YET fully ingested - PDFs/GIS to pull.</t>
        </is>
      </c>
    </row>
    <row r="12" ht="45.75" customHeight="1" s="13">
      <c r="A12" s="19" t="inlineStr">
        <is>
          <t>Northeastern Cave Conservancy preserve management plans &amp; board minutes; Altamont Enterprise "Back Roads Geology" (Nardacci); NSS 1991 Knox writeup</t>
        </is>
      </c>
      <c r="B12" s="19" t="inlineStr">
        <is>
          <t>https://necaveconservancy.org/preserves/</t>
        </is>
      </c>
      <c r="C12" s="19" t="inlineStr">
        <is>
          <t>Helderberg karst inventory: cave entrance sinks with dimensions, hydrology, and a few dated collapses (own Subsidence &amp; Karst sheet). Management-plan PDFs are the primary source.</t>
        </is>
      </c>
    </row>
    <row r="13" ht="34.5" customHeight="1" s="13">
      <c r="A13" s="19" t="inlineStr">
        <is>
          <t>USACE CRREL Ice Jam Database, New York (Report_Region.csv, retrieved 2026-09-20)</t>
        </is>
      </c>
      <c r="B13" s="19" t="inlineStr">
        <is>
          <t>https://icejam.sec.usace.army.mil/</t>
        </is>
      </c>
      <c r="C13" s="19" t="inlineStr">
        <is>
          <t>Every reported NY ice jam with date, river, town, coordinates; regional subset (522 records within 75 mi, the register footprint) is its own sheet. Reporting-biased by collection era.</t>
        </is>
      </c>
    </row>
    <row r="14" ht="68.25" customHeight="1" s="13">
      <c r="A14" s="19" t="inlineStr">
        <is>
          <t>Albany Daily Advertiser, "Notices of the Winters at New York for the last forty-two years… dates at which the Hudson was frozen or obstructed or closed by ice at Albany," repr. American Quarterly Journal of Agriculture and Science 1 (1845) pp. 347–350 (verified, page images)</t>
        </is>
      </c>
      <c r="B14" s="19" t="inlineStr">
        <is>
          <t>https://archive.org/details/americanquarterl00slsn</t>
        </is>
      </c>
      <c r="C14" s="19" t="inlineStr">
        <is>
          <t>Hudson-at-Albany freeze/open dates and lowest temps, winter by winter, 1789–90 to 1831–32 (own sheet). VERIFIED.</t>
        </is>
      </c>
    </row>
    <row r="15" ht="34.5" customHeight="1" s="13">
      <c r="A15" s="19" t="inlineStr">
        <is>
          <t>The Annual Register (Albany, Munsell) 1849–1850 – Albany weather notes incl. the Green Street museum weather book (1789) and Albany Gazette 13 Jan 1772</t>
        </is>
      </c>
      <c r="B15" s="19" t="n"/>
      <c r="C15" s="19" t="inlineStr">
        <is>
          <t>Ludlum cites vol. 1849 p. 329 and vol. 1850 vol. 2 p. 192; HathiTrust/Google Books.</t>
        </is>
      </c>
    </row>
    <row r="16" ht="23.25" customHeight="1" s="13">
      <c r="A16" s="19" t="inlineStr">
        <is>
          <t>E. T. Turner, The Climate of the State of New York (Albany, 1894, 440 pp.)</t>
        </is>
      </c>
      <c r="B16" s="19" t="n"/>
      <c r="C16" s="19" t="inlineStr">
        <is>
          <t>Cited by Ludlum; state-level climatology with historical extremes – HathiTrust.</t>
        </is>
      </c>
    </row>
    <row r="17" ht="34.5" customHeight="1" s="13">
      <c r="A17" s="19" t="inlineStr">
        <is>
          <t>"Notices of the winters at New York for the last 42 years" (1789–1831), Albany Daily Advertiser, reprinted Amer. Quar. Jour. Agri. &amp; Sci. 1 (1845) 347</t>
        </is>
      </c>
      <c r="B17" s="19" t="n"/>
      <c r="C17" s="19" t="inlineStr">
        <is>
          <t>Year-by-year Albany-area winter notices 1789–1831 – exactly the gap between Ludlum and Hough. Google Books / HathiTrust.</t>
        </is>
      </c>
    </row>
    <row r="18" ht="23.25" customHeight="1" s="13">
      <c r="A18" s="19" t="inlineStr">
        <is>
          <t>Grazulis, Significant Tornadoes 1680–1991 (via tornadopath.com county pages)</t>
        </is>
      </c>
      <c r="B18" s="19" t="inlineStr">
        <is>
          <t>https://www.tornadopath.com/new-york</t>
        </is>
      </c>
      <c r="C18" s="19" t="inlineStr">
        <is>
          <t>Pre-1950 F2+ and deadly tornadoes by county (approx coords).</t>
        </is>
      </c>
    </row>
    <row r="19" ht="34.5" customHeight="1" s="13">
      <c r="A19" s="19" t="inlineStr">
        <is>
          <t>Ludlum, Early American Winters I &amp; II; Early American Hurricanes 1492–1870 (AMS)</t>
        </is>
      </c>
      <c r="B19" s="19" t="n"/>
      <c r="C19" s="19" t="inlineStr">
        <is>
          <t>Chronicle-era winters, hurricanes, 1816; the only systematic pre-instrument source. Vol. I pp. 114–115, 134–135, 164–171, 182–183, 188–193, 228–229, 236–237 read via screenshots 2026-09-20.</t>
        </is>
      </c>
    </row>
    <row r="20" ht="23.25" customHeight="1" s="13">
      <c r="A20" s="19" t="inlineStr">
        <is>
          <t>USGS NWIS peak-flow data</t>
        </is>
      </c>
      <c r="B20" s="19" t="inlineStr">
        <is>
          <t>https://waterdata.usgs.gov/nwis/peak</t>
        </is>
      </c>
      <c r="C20" s="19" t="inlineStr">
        <is>
          <t>Annual peak stage/flow for Schoharie Cr., Esopus Cr., Catskill Cr., Hudson at Albany — the honest way to rank floods.</t>
        </is>
      </c>
    </row>
    <row r="21" ht="23.25" customHeight="1" s="13">
      <c r="A21" s="19" t="inlineStr">
        <is>
          <t>NCEI GHCN-Daily (Albany AP, coop stations)</t>
        </is>
      </c>
      <c r="B21" s="19" t="inlineStr">
        <is>
          <t>https://www.ncei.noaa.gov/access/search/data-search/daily-summaries</t>
        </is>
      </c>
      <c r="C21" s="19" t="inlineStr">
        <is>
          <t>Daily max/min/precip/snow; needed for frost dates, cold snaps, heat waves on the plateau.</t>
        </is>
      </c>
    </row>
    <row r="22" ht="15" customHeight="1" s="13">
      <c r="A22" s="19" t="inlineStr">
        <is>
          <t>NRCC (Cornell) Northeast drought &amp; climate tools</t>
        </is>
      </c>
      <c r="B22" s="19" t="inlineStr">
        <is>
          <t>https://www.nrcc.cornell.edu/</t>
        </is>
      </c>
      <c r="C22" s="19" t="inlineStr">
        <is>
          <t>Drought indices, growing-degree-day and frost-date climatologies.</t>
        </is>
      </c>
    </row>
    <row r="23" ht="15" customHeight="1" s="13">
      <c r="A23" s="19" t="inlineStr">
        <is>
          <t>US Drought Monitor archive (2000–)</t>
        </is>
      </c>
      <c r="B23" s="19" t="inlineStr">
        <is>
          <t>https://droughtmonitor.unl.edu/</t>
        </is>
      </c>
      <c r="C23" s="19" t="inlineStr">
        <is>
          <t>Weekly drought categories by county.</t>
        </is>
      </c>
    </row>
    <row r="24" ht="15" customHeight="1" s="13">
      <c r="A24" s="19" t="inlineStr">
        <is>
          <t>NESIS (Northeast Snowfall Impact Scale)</t>
        </is>
      </c>
      <c r="B24" s="19" t="inlineStr">
        <is>
          <t>https://www.ncei.noaa.gov/access/monitoring/nesis/</t>
        </is>
      </c>
      <c r="C24" s="19" t="inlineStr">
        <is>
          <t>Objective ranking of Northeast snowstorms 1956+.</t>
        </is>
      </c>
    </row>
    <row r="25" ht="57" customHeight="1" s="13">
      <c r="A25" s="19" t="inlineStr">
        <is>
          <t>Mylroie, J.E. 1977, Speleogenesis &amp; Karst Geomorphology of the Helderberg Plateau, Schoharie Co. (NY Cave Survey Bulletin 2, 336 pp.; RPI doctoral thesis)</t>
        </is>
      </c>
      <c r="B25" s="19" t="n"/>
      <c r="C25" s="19" t="inlineStr">
        <is>
          <t>FOUNDATIONAL systematic speleogenesis / karst-geomorphology survey of the plateau — the likely source for coordinates &amp; dimensions of the Barton Hill caves (Caboose, Single X, Joober Hole) and possibly the McFails historic-entrance collapse &amp; Knox-collapse dates. PRINT-ONLY (not online): NSS / NY Cave Survey, or a library copy (Butler Cave Conservation Society holds one). NOT YET ingested.</t>
        </is>
      </c>
    </row>
    <row r="26" ht="45.75" customHeight="1" s="13">
      <c r="A26" s="19" t="inlineStr">
        <is>
          <t>Cooper, M.P. &amp; Mylroie, J.E. 2015, 'Caves and Karst of the Helderberg Plateau' in Glaciation and Speleogenesis (Springer)</t>
        </is>
      </c>
      <c r="B26" s="19" t="inlineStr">
        <is>
          <t>https://link.springer.com/chapter/10.1007/978-3-319-16534-9_5</t>
        </is>
      </c>
      <c r="C26" s="19" t="inlineStr">
        <is>
          <t>Modern synthesis distilling Mylroie 1977: names the major systems (Barrack Zourie, Howe, McFails, Skull, Thunder Hole) and gives U/Th dates showing the caves are pre-glacial (&gt;=350 ka). Reachable now (Springer/ResearchGate) — the accessible proxy for Bulletin 2. Check it for the McFails collapse date and any Barton Hill coordinates.</t>
        </is>
      </c>
    </row>
    <row r="27" ht="68.25" customHeight="1" s="13">
      <c r="A27" s="19" t="inlineStr">
        <is>
          <t>FEMA National Flood Insurance Program (NFIP) flood maps — Map Service Center</t>
        </is>
      </c>
      <c r="B27" s="19" t="inlineStr">
        <is>
          <t>https://msc.fema.gov/portal/search</t>
        </is>
      </c>
      <c r="C27" s="19" t="inlineStr">
        <is>
          <t>Official 100-year (1% annual) floodplains by address. The 2015-04-01 Albany Co. remap designated FEMA floodplains along Vly Creek (Voorheesville), Vlomankill, Normanskill, Hungerkill, Bozenkill, Switzkill, Basic Creek Reservoir, Ten Mile Creek (Rensselaerville) and tributaries to Warners/Thompsons/Myosotis Lakes — the region's formally flood-prone waterways. NFIP was &gt;$20B in debt (Sept 2011) after Irene/Lee/Sandy; premium hikes capped 20%/yr. Per Altamont Enterprise 9 Apr 2015.</t>
        </is>
      </c>
    </row>
    <row r="28" ht="90.75" customHeight="1" s="13">
      <c r="A28" s="19" t="inlineStr">
        <is>
          <t>Albany County Multi-Jurisdictional Hazard Mitigation Plan (2025, ~200 pp.) &amp; Guilderland annex (~65 pp.), FEMA-required</t>
        </is>
      </c>
      <c r="B28" s="19" t="n"/>
      <c r="C28" s="19" t="inlineStr">
        <is>
          <t>SYSTEMATIC local hazard inventory (5-yr update cycle; adopted Guilderland 2025-07-15). Guilderland: flooding vulnerability HIGH — 515 parcels in the 1% annual (100-yr) floodplain (284 residential / 45 park / 32 agricultural / 21 commercial / 8 community / 7 public / 2 industrial); severe-storm &amp; erosion vulnerability HIGH, landslide MODERATE; one HIGH-HAZARD dam (Watervliet Reservoir, blocking the Normans Kill — failure threatens life &amp; extensive loss). Every county/town has one; the register-grade way to catch hazards no newspaper reported. Per Altamont Enterprise 31 Jul 2025 &amp; 6 Dec 2018. Lineage: a 2007 county-only plan failed to win municipal adoption; the multi-jurisdictional plan was adopted 2018 (all Albany Co. municipalities EXCEPT Rensselaerville &amp; Colonie village), updated 2025. Hazards assessed: extreme temp, severe storm/tornado, tropical, flood, drought, landslide, EARTHQUAKE (a register gap), winter storm, wildfire, ice jam.</t>
        </is>
      </c>
    </row>
    <row r="29" ht="45.75" customHeight="1" s="13">
      <c r="A29" s="19" t="inlineStr">
        <is>
          <t>NWS Albany 'ALB_Extremes' + xmACIS annual-highest-temperature record (Albany airport, 1874-present)</t>
        </is>
      </c>
      <c r="B29" s="19" t="inlineStr">
        <is>
          <t>https://www.weather.gov/media/aly/Climate/ALB_Extremes.pdf</t>
        </is>
      </c>
      <c r="C29" s="19" t="inlineStr">
        <is>
          <t>Albany's OWN daily temperature record: all-time high 104°F (Jul 4 1911); 100°F+ in only 3 years (1933/1936/1953) and NONE since 1953; year-by-year hottest day. The local yardstick for grading any heat wave — e.g. 1936 hit 100°F+ for 3 days but 1972 topped out at 91°F despite ~900 NYC deaths.</t>
        </is>
      </c>
    </row>
    <row r="30" ht="23.25" customHeight="1" s="13">
      <c r="A30" s="15" t="inlineStr">
        <is>
          <t>William G. Pomeroy Foundation — Knox Cave historic marker (2025)</t>
        </is>
      </c>
      <c r="B30" s="15" t="inlineStr">
        <is>
          <t>https://www.wgpfoundation.org/historic-markers/knox-cave/</t>
        </is>
      </c>
      <c r="C30" s="15" t="n"/>
    </row>
    <row r="31" ht="23.25" customHeight="1" s="13">
      <c r="A31" s="15" t="inlineStr">
        <is>
          <t>William G. Pomeroy Foundation — Knox Cave historic marker (2025)</t>
        </is>
      </c>
      <c r="B31" s="15" t="inlineStr">
        <is>
          <t>https://www.wgpfoundation.org/historic-markers/knox-cave/</t>
        </is>
      </c>
      <c r="C31" s="15" t="inlineStr">
        <is>
          <t>Knox Cave 1975 collapse — 2nd independent source for March (see Events row 141 note).</t>
        </is>
      </c>
    </row>
    <row r="32" ht="34.5" customHeight="1" s="13">
      <c r="A32" s="15" t="inlineStr">
        <is>
          <t>Stone, S. — McFails Cave (2005 National Cave &amp; Karst Management Symposium)</t>
        </is>
      </c>
      <c r="B32" s="15" t="inlineStr">
        <is>
          <t>https://caves.org/wp-content/uploads/2023/03/2005_Stone-McFails.pdf</t>
        </is>
      </c>
      <c r="C32" s="15" t="inlineStr">
        <is>
          <t>Corrects McFail's death to July 1, 1854 (not Roscoe 1882's oft-repeated 1853); traces the pit's early history 1854-1958. Historic-entrance collapse date STILL not found in this pass.</t>
        </is>
      </c>
    </row>
    <row r="33" ht="23.25" customHeight="1" s="13">
      <c r="A33" s="15" t="inlineStr">
        <is>
          <t>albanyhilltowns.com (Helderberg Hilltowns local-history wiki)</t>
        </is>
      </c>
      <c r="B33" s="15" t="inlineStr">
        <is>
          <t>https://albanyhilltowns.com/Knox_Cave</t>
        </is>
      </c>
      <c r="C33" s="15" t="inlineStr">
        <is>
          <t>Transcribed period newspaper articles (1933-1991) on Knox Cave — a rich primary-adjacent source not yet systematically mined beyond the 1975 date question.</t>
        </is>
      </c>
    </row>
    <row r="34" ht="34.5" customHeight="1" s="13">
      <c r="A34" s="15" t="inlineStr">
        <is>
          <t>NWS Albany — ALB_Extremes.pdf (confirmed 2026-09-21)</t>
        </is>
      </c>
      <c r="B34" s="15" t="inlineStr">
        <is>
          <t>https://www.weather.gov/media/aly/Climate/ALB_Extremes.pdf</t>
        </is>
      </c>
      <c r="C34" s="15" t="inlineStr">
        <is>
          <t>CONFIRMS open item #3: record high 104°F Jul 4 1911, record low -28°F Jan 19 1971 — exactly as the register already had them. Also carries the full extremes table (earliest/latest frost, growing-season length, heat/cold streaks) if useful later.</t>
        </is>
      </c>
    </row>
    <row r="35" ht="113.25" customHeight="1" s="13">
      <c r="A35" s="15" t="inlineStr">
        <is>
          <t>USGS — Landslide Inventories across the United States (ver. 3.0, Feb 2025)</t>
        </is>
      </c>
      <c r="B35" s="15" t="inlineStr">
        <is>
          <t>https://doi.org/10.5066/P14AJF8I  (ScienceBase item 671eef1fd34ed0f827ea9f12; ArcGIS feature service e.g. services.arcgis.com/v01gqwM5QqNysAAi/ArcGIS/rest/services/US_Landslide_poly_v2/FeatureServer)</t>
        </is>
      </c>
      <c r="C35" s="15" t="inlineStr">
        <is>
          <t>SYSTEMATIC national landslide point/polygon compilation (5,687 records from 131 constituent inventories as of this release), with Date_Min/Max, Fatalities, Confidence (1-8 scale), LS_Type, Lat/Lon per entry. Exactly the kind of authoritative catch-all source the register's README flags as the way to find slides no newspaper covered. NOT YET QUERIED for our region — Laurie's upload was the FGDC metadata record only, no actual data rows; the real point data lives in a GeoPackage/CSV/ArcGIS feature service not included in this upload. To pull entries for the Hilltowns/Capital Region footprint, either (a) download US_Landslide_v3_csv from the ScienceBase item and upload it here, or (b) supply a working ArcGIS REST query URL (this session can't construct one against an un-visited domain).</t>
        </is>
      </c>
    </row>
    <row r="36" ht="15" customHeight="1" s="13">
      <c r="A36" s="12" t="inlineStr">
        <is>
          <t>The Argus (Albany, N.Y.) — daily newspaper</t>
        </is>
      </c>
      <c r="B36" s="12" t="inlineStr">
        <is>
          <t>(uploaded PDF scans)</t>
        </is>
      </c>
      <c r="C36" s="12" t="inlineStr">
        <is>
          <t>Capital Region &amp; Hudson Valley news, 1880s–1910s; landslide/flood briefs. Scans used this pass: Mar 17 1886 (Kingston feared slide), Nov 21 1886 (Highland West Shore slide), Feb 28 1903 (Highland Central-Hudson slide), May 1 1915 (Rensselaer sand-bank fatality). Also carried foreign geohazard wire items reviewed but not added (Spain 1907, Vesuvius 1911). Batch 2 scans added: Mar 25 1888 (Amsterdam freshet + Stillwater slide), Sep 25 1890 (Hudson Bartlett brickyard slide, repr. Kingston Freeman), Dec 27 1893 (Richmondville D&amp;H slate-cut slide), Mar 24 1902 (Troy &amp; Rensselaer recurring slide), Jan 31 1903 (Glen ice jam + Schenectady slide). Foreign/out-of-core wire items reviewed but not staged: French Alps 1886, Michigan sinkhole 1893, Ireland 1896, Apr 1901 Ohio/CT/MA flood, Austria 1902, Buffalo/Ithaca Jan 1903.</t>
        </is>
      </c>
    </row>
    <row r="37" ht="15" customHeight="1" s="13">
      <c r="A37" s="12" t="inlineStr">
        <is>
          <t>The Cohoes Republican (Cohoes, N.Y.)</t>
        </is>
      </c>
      <c r="B37" s="12" t="inlineStr">
        <is>
          <t>(uploaded PDF scans)</t>
        </is>
      </c>
      <c r="C37" s="12" t="inlineStr">
        <is>
          <t>Capital Region news. Scans used: Mar 11 1903 (Mohawk freshet at Fonda + 50-ft FJ&amp;G track slide), Jan 10 1906 (Haverstraw landslide disaster). Batch 2 scans added: Feb 3 1902 (Feb 1902 blizzard — Mohawk Valley/Capital Region/N NY).</t>
        </is>
      </c>
    </row>
    <row r="38" ht="15" customHeight="1" s="13">
      <c r="A38" s="12" t="inlineStr">
        <is>
          <t>The News-Herald (Ravena, N.Y.; Southern Albany &amp; Northern Greene Cos.)</t>
        </is>
      </c>
      <c r="B38" s="12" t="inlineStr">
        <is>
          <t>(uploaded PDF scans)</t>
        </is>
      </c>
      <c r="C38" s="12" t="inlineStr">
        <is>
          <t>Local Ravena/Coeymans-area news. Scans reviewed: Feb 5 1937 (1937 Ohio/Mississippi flood, national — PENDING Laurie's call on out-of-core national events), Jan 17 1947 (NY Telephone winter-operations feature — no discrete event). Batch 3: Nov 9 1923 (West Shore slide near Milton, staged); Jul 5 1940 &amp; Mar 4 1976 reviewed — only tourism/out-of-region 'sinkhole' mentions (Whiteface slide scar; Arecibo, PR), nothing staged.</t>
        </is>
      </c>
    </row>
    <row r="39" ht="15" customHeight="1" s="13">
      <c r="A39" s="12" t="inlineStr">
        <is>
          <t>The Altamont Enterprise (Altamont, N.Y.)</t>
        </is>
      </c>
      <c r="B39" s="12" t="inlineStr">
        <is>
          <t>(uploaded PDF scans)</t>
        </is>
      </c>
      <c r="C39" s="12" t="inlineStr">
        <is>
          <t>Helderberg Hilltowns local news. Scan used: Jun 1 2000, "Does erosion threaten area roadways?" (W.M. Leight) — Bozenkill Rd erosion (Knox), New Scotland items (Meads Corners limestone slab, La Grange Lane ditch), and a reference enriching the 2000 Delaware Ave / Delmar slide. Batch 4 (highest-signal, local): May 13 1949 (2 new Schoharie caves → Karst; early-May 1949 heat/frost swing → Events); Aug 4 1988 (Normanskill Blue Cross/Rte 85 slide, undated → Events); 1992 (Fox Creek ~50 m sinkhole → Karst); Jun 15 2000 (May 2000 Delaware Ave slide — SBA disaster declaration — ENRICHMENT). Planning-context scans reviewed (no event): Jul 14 1988 (Guilderland GEPOD geohazard districts), Nov 10 1988 (Berne Rte 157A sinkhole), Nov 16 1989 (New Scotland master-plan sinkhole/landslide mapping); Jul 22 1977 (Ward-Gregory cave-rescue drill — enrichment of the existing Clarksville pin). Batch 5 (2001–2005): May 24 2001 (Clarksville cave-diving fatality → Events; 2000 Delaware Ave slide Rte-443/veg-stand ENRICHMENT); Oct 21 2004 letter (new Berne Rte-443 sinkhole → Events). Mike Nardacci's recurring "Backroads geology" column is a KARST goldmine — batch-5 columns ENRICH existing pins: Knox Cave (Jul/Oct 2004: Manlius ls, gaping-sinkhole entrance, Knox Roller Rink built 1937, Robinson House ~1810, owner Ada Robinson d.1964, Organa Industries, arson fires, 1970s entrance falling-ice fatality = the 1975 ice fall, 1970s staircase-boulder fall, 13+ mi mapped), Onesquethaw Cave (Oct 2003: Lawson's Lake overflow, flash-flood danger, Rte 32 resurgence, prehistoric fault), Skull/New Skull/Old Skull (Jan 2005: New Skull ~5 mi mapped; Old Skull bone-chamber / giant ground-sloth legend), Clarksville (Ward-Gregory) pin (2001 fatality/recovery). Jul 24 2003: Beaverdam Rd natural bridge → Karst. Flag: SW Bethlehem 'broad shallow sinkhole' on the Frueh mine site (Jun 26 2003) — minor/permit-context.</t>
        </is>
      </c>
    </row>
    <row r="40" ht="15" customHeight="1" s="13">
      <c r="A40" s="12" t="inlineStr">
        <is>
          <t>The Catskill Mountain News (Margaretville, N.Y.)</t>
        </is>
      </c>
      <c r="B40" s="12" t="inlineStr">
        <is>
          <t>(uploaded PDF scans)</t>
        </is>
      </c>
      <c r="C40" s="12" t="inlineStr">
        <is>
          <t>Central/western Catskills local news. Batch 3 scans (Apr 20 1917; Jul 9 1981 x2) REVIEWED but nothing staged — all 'sinkhole'/'landslide' hits were out-of-region or metaphorical (Port Said 'Sinkhole of the East'; Winter Park FL 1981 sinkhole as a vacation stop; Whiteface ancient slide scar). Flag: later-era CMN/Argus scans skew heavily to metaphorical/tourism keyword hits.</t>
        </is>
      </c>
    </row>
    <row r="41" ht="15" customHeight="1" s="13">
      <c r="A41" s="12" t="inlineStr">
        <is>
          <t>Helderberg Escarpment Planning Guide (co-eds Driscoll &amp; Lindsay Childs)</t>
        </is>
      </c>
      <c r="B41" s="12" t="inlineStr">
        <is>
          <t>(regional land-use/karst guide; cited in Altamont Enterprise 2002–2004)</t>
        </is>
      </c>
      <c r="C41" s="12" t="inlineStr">
        <is>
          <t>A comprehensive Helderberg-escarpment land-use + geology guide for municipal boards, landowners and developers. Rich on KARST: caves, sinking streams, sinkholes, limestone pavement, complex underground drainage in the Helderberg-group and Onondaga limestones; karst-aquifer contamination risk; wastewater-district recommendations for the Thompsons Lake / Helderberg Lake / Warners Lake and karst areas; Clarksville Cave (ceiling-to-surface 0–32 ft); a flora/fauna inventory. A LOCAL analogue to the USGS Kappel 2020 karst assessment — worth pulling in full for a systematic Hilltowns karst/slide inventory. Cited in Altamont Enterprise, Jun 27 2002 ("Karst reality"), Jun 26 2003, Oct 21 2004. Also referenced: Paul Rubin's 1994–95 Bethlehem terrain guidebook (karst hydrogeology).</t>
        </is>
      </c>
    </row>
    <row r="42" ht="15" customHeight="1" s="13">
      <c r="A42" s="12" t="inlineStr">
        <is>
          <t>USGS Landslide Inventories across the United States, v3.0</t>
        </is>
      </c>
      <c r="B42" s="12" t="inlineStr">
        <is>
          <t>https://doi.org/10.5066/P14AJF8I (us_ls_v3_point.csv / us_ls_v3_poly.csv)</t>
        </is>
      </c>
      <c r="C42" s="12" t="inlineStr">
        <is>
          <t>SYSTEMATIC national landslide point/polygon compilation from 131 constituent inventories. QUERIED 2026-09-22 for the 6 counties Laurie named (Albany, Greene, Columbia, Ulster, Schoharie, Schenectady) by point-in-polygon against Census county boundaries: 15 records total (all points; 0 polygons). Of the 15: 5 new NASA-catalog events staged (Events 328-332) + 8 undated 'USGS Conterminous' debris-flow inventory points staged as pins; 2 NASA entries were DUPLICATES of existing records (2015 Normanside CC slide; 2018 Barney St/Nott Terrace Schenectady — coords/detail sent to the cartographer merge notes). Constituent sub-sources seen here: NASA Global Landslide Catalog (media-report events, incl. NYS DEC contributions) and the USGS conterminous debris-flow compilation (MF-2329, 1999). NY coverage in v3 is sparse — this is close to the region's full v3 footprint. Filtered subset saved as six_county_landslides.csv.</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E8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6" customWidth="1" style="12" min="1" max="1"/>
    <col width="26" customWidth="1" style="12" min="2" max="2"/>
    <col width="24" customWidth="1" style="12" min="3" max="4"/>
    <col width="28" customWidth="1" style="12" min="5" max="5"/>
  </cols>
  <sheetData>
    <row r="1" ht="15" customHeight="1" s="13">
      <c r="A1" s="12" t="inlineStr">
        <is>
          <t>Frost &amp; Freeze Phenology — Alcove Dam (Coeymans, Albany Co., NOAA co-op station, ~590 ft)</t>
        </is>
      </c>
    </row>
    <row r="2" ht="15" customHeight="1" s="13">
      <c r="A2" s="12" t="inlineStr">
        <is>
          <t>Computed 2026-09-21 by Claude in the atlas session, from the station's own GHCN daily record (already in the atlas repo as data/stations/alcove_dam.csv — this answers the register's open item #4). NOT the plateau itself: Alcove Dam sits ~1,100 ft below Laurie's Westerlo land, so its frost dates run measurably earlier-to-thaw / later-to-freeze than the 1,700-ft plateau will actually experience — treat as the best available regional anchor, not a substitute for an on-site logger.</t>
        </is>
      </c>
    </row>
    <row r="3" ht="15" customHeight="1" s="13">
      <c r="A3" s="12" t="inlineStr">
        <is>
          <t>Threshold: 32°F daily minimum. Last spring frost = latest such day on/before Jul 1; first fall frost = earliest such day on/after Jul 2.</t>
        </is>
      </c>
    </row>
    <row r="6" ht="15" customHeight="1" s="13">
      <c r="A6" s="12" t="inlineStr">
        <is>
          <t>Period</t>
        </is>
      </c>
      <c r="B6" s="12" t="inlineStr">
        <is>
          <t>Years used</t>
        </is>
      </c>
      <c r="C6" s="12" t="inlineStr">
        <is>
          <t>Median last spring frost</t>
        </is>
      </c>
      <c r="D6" s="12" t="inlineStr">
        <is>
          <t>Median first fall frost</t>
        </is>
      </c>
      <c r="E6" s="12" t="inlineStr">
        <is>
          <t>Median frost-free season (days)</t>
        </is>
      </c>
    </row>
    <row r="7" ht="15" customHeight="1" s="13">
      <c r="A7" s="12" t="inlineStr">
        <is>
          <t>Full record</t>
        </is>
      </c>
      <c r="B7" s="12" t="inlineStr">
        <is>
          <t>70 (1943-2025)</t>
        </is>
      </c>
      <c r="C7" s="12" t="inlineStr">
        <is>
          <t>May 13</t>
        </is>
      </c>
      <c r="D7" s="12" t="inlineStr">
        <is>
          <t>Oct 05</t>
        </is>
      </c>
      <c r="E7" s="12" t="n">
        <v>146</v>
      </c>
    </row>
    <row r="8" ht="15" customHeight="1" s="13">
      <c r="A8" s="12" t="inlineStr">
        <is>
          <t>Recent 30 yrs</t>
        </is>
      </c>
      <c r="B8" s="12" t="inlineStr">
        <is>
          <t>29 (1996-2025)</t>
        </is>
      </c>
      <c r="C8" s="12" t="inlineStr">
        <is>
          <t>May 07</t>
        </is>
      </c>
      <c r="D8" s="12" t="inlineStr">
        <is>
          <t>Oct 14</t>
        </is>
      </c>
      <c r="E8" s="12" t="n">
        <v>161</v>
      </c>
    </row>
    <row r="10" ht="15" customHeight="1" s="13">
      <c r="A10" s="12" t="inlineStr">
        <is>
          <t>Year-by-year (last spring frost / first fall frost / season length, days):</t>
        </is>
      </c>
    </row>
    <row r="11" ht="15" customHeight="1" s="13">
      <c r="A11" s="12" t="inlineStr">
        <is>
          <t>Year</t>
        </is>
      </c>
      <c r="B11" s="12" t="inlineStr">
        <is>
          <t>Last spring frost</t>
        </is>
      </c>
      <c r="C11" s="12" t="inlineStr">
        <is>
          <t>First fall frost</t>
        </is>
      </c>
      <c r="D11" s="12" t="inlineStr">
        <is>
          <t>Season length (days)</t>
        </is>
      </c>
    </row>
    <row r="12" ht="15" customHeight="1" s="13">
      <c r="A12" s="12" t="n">
        <v>1943</v>
      </c>
      <c r="B12" s="12" t="inlineStr">
        <is>
          <t>May 15</t>
        </is>
      </c>
      <c r="C12" s="12" t="inlineStr">
        <is>
          <t>Oct 06</t>
        </is>
      </c>
      <c r="D12" s="12" t="n">
        <v>144</v>
      </c>
    </row>
    <row r="13" ht="15" customHeight="1" s="13">
      <c r="A13" s="12" t="n">
        <v>1944</v>
      </c>
      <c r="B13" s="12" t="inlineStr">
        <is>
          <t>May 21</t>
        </is>
      </c>
      <c r="C13" s="12" t="inlineStr">
        <is>
          <t>Sep 25</t>
        </is>
      </c>
      <c r="D13" s="12" t="n">
        <v>127</v>
      </c>
    </row>
    <row r="14" ht="15" customHeight="1" s="13">
      <c r="A14" s="12" t="n">
        <v>1945</v>
      </c>
      <c r="B14" s="12" t="inlineStr">
        <is>
          <t>May 11</t>
        </is>
      </c>
      <c r="C14" s="12" t="inlineStr">
        <is>
          <t>Sep 30</t>
        </is>
      </c>
      <c r="D14" s="12" t="n">
        <v>142</v>
      </c>
    </row>
    <row r="15" ht="15" customHeight="1" s="13">
      <c r="A15" s="12" t="n">
        <v>1946</v>
      </c>
      <c r="B15" s="12" t="inlineStr">
        <is>
          <t>May 09</t>
        </is>
      </c>
      <c r="C15" s="12" t="inlineStr">
        <is>
          <t>Oct 03</t>
        </is>
      </c>
      <c r="D15" s="12" t="n">
        <v>147</v>
      </c>
    </row>
    <row r="16" ht="15" customHeight="1" s="13">
      <c r="A16" s="12" t="n">
        <v>1947</v>
      </c>
      <c r="B16" s="12" t="inlineStr">
        <is>
          <t>May 31</t>
        </is>
      </c>
      <c r="C16" s="12" t="inlineStr">
        <is>
          <t>Sep 23</t>
        </is>
      </c>
      <c r="D16" s="12" t="n">
        <v>115</v>
      </c>
    </row>
    <row r="17" ht="15" customHeight="1" s="13">
      <c r="A17" s="12" t="n">
        <v>1952</v>
      </c>
      <c r="B17" s="12" t="inlineStr">
        <is>
          <t>May 18</t>
        </is>
      </c>
      <c r="C17" s="12" t="inlineStr">
        <is>
          <t>Oct 09</t>
        </is>
      </c>
      <c r="D17" s="12" t="n">
        <v>144</v>
      </c>
    </row>
    <row r="18" ht="15" customHeight="1" s="13">
      <c r="A18" s="12" t="n">
        <v>1953</v>
      </c>
      <c r="B18" s="12" t="inlineStr">
        <is>
          <t>Jun 03</t>
        </is>
      </c>
      <c r="C18" s="12" t="inlineStr">
        <is>
          <t>Sep 14</t>
        </is>
      </c>
      <c r="D18" s="12" t="n">
        <v>103</v>
      </c>
    </row>
    <row r="19" ht="15" customHeight="1" s="13">
      <c r="A19" s="12" t="n">
        <v>1955</v>
      </c>
      <c r="B19" s="12" t="inlineStr">
        <is>
          <t>Apr 24</t>
        </is>
      </c>
      <c r="C19" s="12" t="inlineStr">
        <is>
          <t>Sep 23</t>
        </is>
      </c>
      <c r="D19" s="12" t="n">
        <v>152</v>
      </c>
    </row>
    <row r="20" ht="15" customHeight="1" s="13">
      <c r="A20" s="12" t="n">
        <v>1956</v>
      </c>
      <c r="B20" s="12" t="inlineStr">
        <is>
          <t>May 30</t>
        </is>
      </c>
      <c r="C20" s="12" t="inlineStr">
        <is>
          <t>Sep 11</t>
        </is>
      </c>
      <c r="D20" s="12" t="n">
        <v>104</v>
      </c>
    </row>
    <row r="21" ht="15" customHeight="1" s="13">
      <c r="A21" s="12" t="n">
        <v>1957</v>
      </c>
      <c r="B21" s="12" t="inlineStr">
        <is>
          <t>May 17</t>
        </is>
      </c>
      <c r="C21" s="12" t="inlineStr">
        <is>
          <t>Sep 27</t>
        </is>
      </c>
      <c r="D21" s="12" t="n">
        <v>133</v>
      </c>
    </row>
    <row r="22" ht="15" customHeight="1" s="13">
      <c r="A22" s="12" t="n">
        <v>1958</v>
      </c>
      <c r="B22" s="12" t="inlineStr">
        <is>
          <t>May 24</t>
        </is>
      </c>
      <c r="C22" s="12" t="inlineStr">
        <is>
          <t>Oct 02</t>
        </is>
      </c>
      <c r="D22" s="12" t="n">
        <v>131</v>
      </c>
    </row>
    <row r="23" ht="15" customHeight="1" s="13">
      <c r="A23" s="12" t="n">
        <v>1959</v>
      </c>
      <c r="B23" s="12" t="inlineStr">
        <is>
          <t>May 18</t>
        </is>
      </c>
      <c r="C23" s="12" t="inlineStr">
        <is>
          <t>Sep 18</t>
        </is>
      </c>
      <c r="D23" s="12" t="n">
        <v>123</v>
      </c>
    </row>
    <row r="24" ht="15" customHeight="1" s="13">
      <c r="A24" s="12" t="n">
        <v>1960</v>
      </c>
      <c r="B24" s="12" t="inlineStr">
        <is>
          <t>May 04</t>
        </is>
      </c>
      <c r="C24" s="12" t="inlineStr">
        <is>
          <t>Oct 03</t>
        </is>
      </c>
      <c r="D24" s="12" t="n">
        <v>152</v>
      </c>
    </row>
    <row r="25" ht="15" customHeight="1" s="13">
      <c r="A25" s="12" t="n">
        <v>1961</v>
      </c>
      <c r="B25" s="12" t="inlineStr">
        <is>
          <t>May 31</t>
        </is>
      </c>
      <c r="C25" s="12" t="inlineStr">
        <is>
          <t>Oct 05</t>
        </is>
      </c>
      <c r="D25" s="12" t="n">
        <v>127</v>
      </c>
    </row>
    <row r="26" ht="15" customHeight="1" s="13">
      <c r="A26" s="12" t="n">
        <v>1963</v>
      </c>
      <c r="B26" s="12" t="inlineStr">
        <is>
          <t>May 27</t>
        </is>
      </c>
      <c r="C26" s="12" t="inlineStr">
        <is>
          <t>Sep 14</t>
        </is>
      </c>
      <c r="D26" s="12" t="n">
        <v>110</v>
      </c>
    </row>
    <row r="27" ht="15" customHeight="1" s="13">
      <c r="A27" s="12" t="n">
        <v>1964</v>
      </c>
      <c r="B27" s="12" t="inlineStr">
        <is>
          <t>May 05</t>
        </is>
      </c>
      <c r="C27" s="12" t="inlineStr">
        <is>
          <t>Sep 15</t>
        </is>
      </c>
      <c r="D27" s="12" t="n">
        <v>133</v>
      </c>
    </row>
    <row r="28" ht="15" customHeight="1" s="13">
      <c r="A28" s="12" t="n">
        <v>1965</v>
      </c>
      <c r="B28" s="12" t="inlineStr">
        <is>
          <t>May 31</t>
        </is>
      </c>
      <c r="C28" s="12" t="inlineStr">
        <is>
          <t>Aug 30</t>
        </is>
      </c>
      <c r="D28" s="12" t="n">
        <v>91</v>
      </c>
    </row>
    <row r="29" ht="15" customHeight="1" s="13">
      <c r="A29" s="12" t="n">
        <v>1966</v>
      </c>
      <c r="B29" s="12" t="inlineStr">
        <is>
          <t>May 10</t>
        </is>
      </c>
      <c r="C29" s="12" t="inlineStr">
        <is>
          <t>Oct 03</t>
        </is>
      </c>
      <c r="D29" s="12" t="n">
        <v>146</v>
      </c>
    </row>
    <row r="30" ht="15" customHeight="1" s="13">
      <c r="A30" s="12" t="n">
        <v>1968</v>
      </c>
      <c r="B30" s="12" t="inlineStr">
        <is>
          <t>May 28</t>
        </is>
      </c>
      <c r="C30" s="12" t="inlineStr">
        <is>
          <t>Oct 01</t>
        </is>
      </c>
      <c r="D30" s="12" t="n">
        <v>126</v>
      </c>
    </row>
    <row r="31" ht="15" customHeight="1" s="13">
      <c r="A31" s="12" t="n">
        <v>1969</v>
      </c>
      <c r="B31" s="12" t="inlineStr">
        <is>
          <t>May 28</t>
        </is>
      </c>
      <c r="C31" s="12" t="inlineStr">
        <is>
          <t>Sep 21</t>
        </is>
      </c>
      <c r="D31" s="12" t="n">
        <v>116</v>
      </c>
    </row>
    <row r="32" ht="15" customHeight="1" s="13">
      <c r="A32" s="12" t="n">
        <v>1970</v>
      </c>
      <c r="B32" s="12" t="inlineStr">
        <is>
          <t>May 29</t>
        </is>
      </c>
      <c r="C32" s="12" t="inlineStr">
        <is>
          <t>Oct 06</t>
        </is>
      </c>
      <c r="D32" s="12" t="n">
        <v>130</v>
      </c>
    </row>
    <row r="33" ht="15" customHeight="1" s="13">
      <c r="A33" s="12" t="n">
        <v>1971</v>
      </c>
      <c r="B33" s="12" t="inlineStr">
        <is>
          <t>Jun 01</t>
        </is>
      </c>
      <c r="C33" s="12" t="inlineStr">
        <is>
          <t>Aug 25</t>
        </is>
      </c>
      <c r="D33" s="12" t="n">
        <v>85</v>
      </c>
    </row>
    <row r="34" ht="15" customHeight="1" s="13">
      <c r="A34" s="12" t="n">
        <v>1972</v>
      </c>
      <c r="B34" s="12" t="inlineStr">
        <is>
          <t>May 28</t>
        </is>
      </c>
      <c r="C34" s="12" t="inlineStr">
        <is>
          <t>Sep 24</t>
        </is>
      </c>
      <c r="D34" s="12" t="n">
        <v>119</v>
      </c>
    </row>
    <row r="35" ht="15" customHeight="1" s="13">
      <c r="A35" s="12" t="n">
        <v>1973</v>
      </c>
      <c r="B35" s="12" t="inlineStr">
        <is>
          <t>Jun 03</t>
        </is>
      </c>
      <c r="C35" s="12" t="inlineStr">
        <is>
          <t>Sep 21</t>
        </is>
      </c>
      <c r="D35" s="12" t="n">
        <v>110</v>
      </c>
    </row>
    <row r="36" ht="15" customHeight="1" s="13">
      <c r="A36" s="12" t="n">
        <v>1974</v>
      </c>
      <c r="B36" s="12" t="inlineStr">
        <is>
          <t>May 26</t>
        </is>
      </c>
      <c r="C36" s="12" t="inlineStr">
        <is>
          <t>Sep 24</t>
        </is>
      </c>
      <c r="D36" s="12" t="n">
        <v>121</v>
      </c>
    </row>
    <row r="37" ht="15" customHeight="1" s="13">
      <c r="A37" s="12" t="n">
        <v>1975</v>
      </c>
      <c r="B37" s="12" t="inlineStr">
        <is>
          <t>May 08</t>
        </is>
      </c>
      <c r="C37" s="12" t="inlineStr">
        <is>
          <t>Sep 15</t>
        </is>
      </c>
      <c r="D37" s="12" t="n">
        <v>130</v>
      </c>
    </row>
    <row r="38" ht="15" customHeight="1" s="13">
      <c r="A38" s="12" t="n">
        <v>1976</v>
      </c>
      <c r="B38" s="12" t="inlineStr">
        <is>
          <t>May 24</t>
        </is>
      </c>
      <c r="C38" s="12" t="inlineStr">
        <is>
          <t>Sep 04</t>
        </is>
      </c>
      <c r="D38" s="12" t="n">
        <v>103</v>
      </c>
    </row>
    <row r="39" ht="15" customHeight="1" s="13">
      <c r="A39" s="12" t="n">
        <v>1977</v>
      </c>
      <c r="B39" s="12" t="inlineStr">
        <is>
          <t>May 10</t>
        </is>
      </c>
      <c r="C39" s="12" t="inlineStr">
        <is>
          <t>Oct 07</t>
        </is>
      </c>
      <c r="D39" s="12" t="n">
        <v>150</v>
      </c>
    </row>
    <row r="40" ht="15" customHeight="1" s="13">
      <c r="A40" s="12" t="n">
        <v>1978</v>
      </c>
      <c r="B40" s="12" t="inlineStr">
        <is>
          <t>May 08</t>
        </is>
      </c>
      <c r="C40" s="12" t="inlineStr">
        <is>
          <t>Sep 10</t>
        </is>
      </c>
      <c r="D40" s="12" t="n">
        <v>125</v>
      </c>
    </row>
    <row r="41" ht="15" customHeight="1" s="13">
      <c r="A41" s="12" t="n">
        <v>1979</v>
      </c>
      <c r="B41" s="12" t="inlineStr">
        <is>
          <t>May 03</t>
        </is>
      </c>
      <c r="C41" s="12" t="inlineStr">
        <is>
          <t>Sep 20</t>
        </is>
      </c>
      <c r="D41" s="12" t="n">
        <v>140</v>
      </c>
    </row>
    <row r="42" ht="15" customHeight="1" s="13">
      <c r="A42" s="12" t="n">
        <v>1980</v>
      </c>
      <c r="B42" s="12" t="inlineStr">
        <is>
          <t>Jun 13</t>
        </is>
      </c>
      <c r="C42" s="12" t="inlineStr">
        <is>
          <t>Sep 30</t>
        </is>
      </c>
      <c r="D42" s="12" t="n">
        <v>109</v>
      </c>
    </row>
    <row r="43" ht="15" customHeight="1" s="13">
      <c r="A43" s="12" t="n">
        <v>1981</v>
      </c>
      <c r="B43" s="12" t="inlineStr">
        <is>
          <t>May 20</t>
        </is>
      </c>
      <c r="C43" s="12" t="inlineStr">
        <is>
          <t>Sep 10</t>
        </is>
      </c>
      <c r="D43" s="12" t="n">
        <v>113</v>
      </c>
    </row>
    <row r="44" ht="15" customHeight="1" s="13">
      <c r="A44" s="12" t="n">
        <v>1982</v>
      </c>
      <c r="B44" s="12" t="inlineStr">
        <is>
          <t>May 05</t>
        </is>
      </c>
      <c r="C44" s="12" t="inlineStr">
        <is>
          <t>Oct 11</t>
        </is>
      </c>
      <c r="D44" s="12" t="n">
        <v>159</v>
      </c>
    </row>
    <row r="45" ht="15" customHeight="1" s="13">
      <c r="A45" s="12" t="n">
        <v>1983</v>
      </c>
      <c r="B45" s="12" t="inlineStr">
        <is>
          <t>May 18</t>
        </is>
      </c>
      <c r="C45" s="12" t="inlineStr">
        <is>
          <t>Oct 10</t>
        </is>
      </c>
      <c r="D45" s="12" t="n">
        <v>145</v>
      </c>
    </row>
    <row r="46" ht="15" customHeight="1" s="13">
      <c r="A46" s="12" t="n">
        <v>1984</v>
      </c>
      <c r="B46" s="12" t="inlineStr">
        <is>
          <t>May 19</t>
        </is>
      </c>
      <c r="C46" s="12" t="inlineStr">
        <is>
          <t>Sep 08</t>
        </is>
      </c>
      <c r="D46" s="12" t="n">
        <v>112</v>
      </c>
    </row>
    <row r="47" ht="15" customHeight="1" s="13">
      <c r="A47" s="12" t="n">
        <v>1985</v>
      </c>
      <c r="B47" s="12" t="inlineStr">
        <is>
          <t>May 09</t>
        </is>
      </c>
      <c r="C47" s="12" t="inlineStr">
        <is>
          <t>Oct 08</t>
        </is>
      </c>
      <c r="D47" s="12" t="n">
        <v>152</v>
      </c>
    </row>
    <row r="48" ht="15" customHeight="1" s="13">
      <c r="A48" s="12" t="n">
        <v>1987</v>
      </c>
      <c r="B48" s="12" t="inlineStr">
        <is>
          <t>May 16</t>
        </is>
      </c>
      <c r="C48" s="12" t="inlineStr">
        <is>
          <t>Oct 13</t>
        </is>
      </c>
      <c r="D48" s="12" t="n">
        <v>150</v>
      </c>
    </row>
    <row r="49" ht="15" customHeight="1" s="13">
      <c r="A49" s="12" t="n">
        <v>1989</v>
      </c>
      <c r="B49" s="12" t="inlineStr">
        <is>
          <t>Apr 26</t>
        </is>
      </c>
      <c r="C49" s="12" t="inlineStr">
        <is>
          <t>Sep 25</t>
        </is>
      </c>
      <c r="D49" s="12" t="n">
        <v>152</v>
      </c>
    </row>
    <row r="50" ht="15" customHeight="1" s="13">
      <c r="A50" s="12" t="n">
        <v>1991</v>
      </c>
      <c r="B50" s="12" t="inlineStr">
        <is>
          <t>Apr 24</t>
        </is>
      </c>
      <c r="C50" s="12" t="inlineStr">
        <is>
          <t>Sep 28</t>
        </is>
      </c>
      <c r="D50" s="12" t="n">
        <v>157</v>
      </c>
    </row>
    <row r="51" ht="15" customHeight="1" s="13">
      <c r="A51" s="12" t="n">
        <v>1992</v>
      </c>
      <c r="B51" s="12" t="inlineStr">
        <is>
          <t>May 08</t>
        </is>
      </c>
      <c r="C51" s="12" t="inlineStr">
        <is>
          <t>Oct 02</t>
        </is>
      </c>
      <c r="D51" s="12" t="n">
        <v>147</v>
      </c>
    </row>
    <row r="52" ht="15" customHeight="1" s="13">
      <c r="A52" s="12" t="n">
        <v>1993</v>
      </c>
      <c r="B52" s="12" t="inlineStr">
        <is>
          <t>Apr 29</t>
        </is>
      </c>
      <c r="C52" s="12" t="inlineStr">
        <is>
          <t>Sep 20</t>
        </is>
      </c>
      <c r="D52" s="12" t="n">
        <v>144</v>
      </c>
    </row>
    <row r="53" ht="15" customHeight="1" s="13">
      <c r="A53" s="12" t="n">
        <v>1996</v>
      </c>
      <c r="B53" s="12" t="inlineStr">
        <is>
          <t>May 18</t>
        </is>
      </c>
      <c r="C53" s="12" t="inlineStr">
        <is>
          <t>Oct 06</t>
        </is>
      </c>
      <c r="D53" s="12" t="n">
        <v>141</v>
      </c>
    </row>
    <row r="54" ht="15" customHeight="1" s="13">
      <c r="A54" s="12" t="n">
        <v>1998</v>
      </c>
      <c r="B54" s="12" t="inlineStr">
        <is>
          <t>Apr 29</t>
        </is>
      </c>
      <c r="C54" s="12" t="inlineStr">
        <is>
          <t>Oct 07</t>
        </is>
      </c>
      <c r="D54" s="12" t="n">
        <v>161</v>
      </c>
    </row>
    <row r="55" ht="15" customHeight="1" s="13">
      <c r="A55" s="12" t="n">
        <v>1999</v>
      </c>
      <c r="B55" s="12" t="inlineStr">
        <is>
          <t>May 13</t>
        </is>
      </c>
      <c r="C55" s="12" t="inlineStr">
        <is>
          <t>Oct 06</t>
        </is>
      </c>
      <c r="D55" s="12" t="n">
        <v>146</v>
      </c>
    </row>
    <row r="56" ht="15" customHeight="1" s="13">
      <c r="A56" s="12" t="n">
        <v>2000</v>
      </c>
      <c r="B56" s="12" t="inlineStr">
        <is>
          <t>May 17</t>
        </is>
      </c>
      <c r="C56" s="12" t="inlineStr">
        <is>
          <t>Sep 30</t>
        </is>
      </c>
      <c r="D56" s="12" t="n">
        <v>136</v>
      </c>
    </row>
    <row r="57" ht="15" customHeight="1" s="13">
      <c r="A57" s="12" t="n">
        <v>2001</v>
      </c>
      <c r="B57" s="12" t="inlineStr">
        <is>
          <t>May 08</t>
        </is>
      </c>
      <c r="C57" s="12" t="inlineStr">
        <is>
          <t>Oct 09</t>
        </is>
      </c>
      <c r="D57" s="12" t="n">
        <v>154</v>
      </c>
    </row>
    <row r="58" ht="15" customHeight="1" s="13">
      <c r="A58" s="12" t="n">
        <v>2002</v>
      </c>
      <c r="B58" s="12" t="inlineStr">
        <is>
          <t>May 22</t>
        </is>
      </c>
      <c r="C58" s="12" t="inlineStr">
        <is>
          <t>Oct 15</t>
        </is>
      </c>
      <c r="D58" s="12" t="n">
        <v>146</v>
      </c>
    </row>
    <row r="59" ht="15" customHeight="1" s="13">
      <c r="A59" s="12" t="n">
        <v>2003</v>
      </c>
      <c r="B59" s="12" t="inlineStr">
        <is>
          <t>May 04</t>
        </is>
      </c>
      <c r="C59" s="12" t="inlineStr">
        <is>
          <t>Oct 03</t>
        </is>
      </c>
      <c r="D59" s="12" t="n">
        <v>152</v>
      </c>
    </row>
    <row r="60" ht="15" customHeight="1" s="13">
      <c r="A60" s="12" t="n">
        <v>2004</v>
      </c>
      <c r="B60" s="12" t="inlineStr">
        <is>
          <t>May 06</t>
        </is>
      </c>
      <c r="C60" s="12" t="inlineStr">
        <is>
          <t>Oct 07</t>
        </is>
      </c>
      <c r="D60" s="12" t="n">
        <v>154</v>
      </c>
    </row>
    <row r="61" ht="15" customHeight="1" s="13">
      <c r="A61" s="12" t="n">
        <v>2005</v>
      </c>
      <c r="B61" s="12" t="inlineStr">
        <is>
          <t>May 13</t>
        </is>
      </c>
      <c r="C61" s="12" t="inlineStr">
        <is>
          <t>Oct 21</t>
        </is>
      </c>
      <c r="D61" s="12" t="n">
        <v>161</v>
      </c>
    </row>
    <row r="62" ht="15" customHeight="1" s="13">
      <c r="A62" s="12" t="n">
        <v>2006</v>
      </c>
      <c r="B62" s="12" t="inlineStr">
        <is>
          <t>Apr 30</t>
        </is>
      </c>
      <c r="C62" s="12" t="inlineStr">
        <is>
          <t>Oct 13</t>
        </is>
      </c>
      <c r="D62" s="12" t="n">
        <v>166</v>
      </c>
    </row>
    <row r="63" ht="15" customHeight="1" s="13">
      <c r="A63" s="12" t="n">
        <v>2007</v>
      </c>
      <c r="B63" s="12" t="inlineStr">
        <is>
          <t>May 16</t>
        </is>
      </c>
      <c r="C63" s="12" t="inlineStr">
        <is>
          <t>Oct 29</t>
        </is>
      </c>
      <c r="D63" s="12" t="n">
        <v>166</v>
      </c>
    </row>
    <row r="64" ht="15" customHeight="1" s="13">
      <c r="A64" s="12" t="n">
        <v>2008</v>
      </c>
      <c r="B64" s="12" t="inlineStr">
        <is>
          <t>May 06</t>
        </is>
      </c>
      <c r="C64" s="12" t="inlineStr">
        <is>
          <t>Oct 19</t>
        </is>
      </c>
      <c r="D64" s="12" t="n">
        <v>166</v>
      </c>
    </row>
    <row r="65" ht="15" customHeight="1" s="13">
      <c r="A65" s="12" t="n">
        <v>2009</v>
      </c>
      <c r="B65" s="12" t="inlineStr">
        <is>
          <t>May 19</t>
        </is>
      </c>
      <c r="C65" s="12" t="inlineStr">
        <is>
          <t>Oct 11</t>
        </is>
      </c>
      <c r="D65" s="12" t="n">
        <v>145</v>
      </c>
    </row>
    <row r="66" ht="15" customHeight="1" s="13">
      <c r="A66" s="12" t="n">
        <v>2010</v>
      </c>
      <c r="B66" s="12" t="inlineStr">
        <is>
          <t>May 13</t>
        </is>
      </c>
      <c r="C66" s="12" t="inlineStr">
        <is>
          <t>Oct 17</t>
        </is>
      </c>
      <c r="D66" s="12" t="n">
        <v>157</v>
      </c>
    </row>
    <row r="67" ht="15" customHeight="1" s="13">
      <c r="A67" s="12" t="n">
        <v>2011</v>
      </c>
      <c r="B67" s="12" t="inlineStr">
        <is>
          <t>Apr 23</t>
        </is>
      </c>
      <c r="C67" s="12" t="inlineStr">
        <is>
          <t>Oct 28</t>
        </is>
      </c>
      <c r="D67" s="12" t="n">
        <v>188</v>
      </c>
    </row>
    <row r="68" ht="15" customHeight="1" s="13">
      <c r="A68" s="12" t="n">
        <v>2012</v>
      </c>
      <c r="B68" s="12" t="inlineStr">
        <is>
          <t>May 02</t>
        </is>
      </c>
      <c r="C68" s="12" t="inlineStr">
        <is>
          <t>Oct 14</t>
        </is>
      </c>
      <c r="D68" s="12" t="n">
        <v>165</v>
      </c>
    </row>
    <row r="69" ht="15" customHeight="1" s="13">
      <c r="A69" s="12" t="n">
        <v>2013</v>
      </c>
      <c r="B69" s="12" t="inlineStr">
        <is>
          <t>May 15</t>
        </is>
      </c>
      <c r="C69" s="12" t="inlineStr">
        <is>
          <t>Oct 23</t>
        </is>
      </c>
      <c r="D69" s="12" t="n">
        <v>161</v>
      </c>
    </row>
    <row r="70" ht="15" customHeight="1" s="13">
      <c r="A70" s="12" t="n">
        <v>2014</v>
      </c>
      <c r="B70" s="12" t="inlineStr">
        <is>
          <t>May 07</t>
        </is>
      </c>
      <c r="C70" s="12" t="inlineStr">
        <is>
          <t>Oct 12</t>
        </is>
      </c>
      <c r="D70" s="12" t="n">
        <v>158</v>
      </c>
    </row>
    <row r="71" ht="15" customHeight="1" s="13">
      <c r="A71" s="12" t="n">
        <v>2015</v>
      </c>
      <c r="B71" s="12" t="inlineStr">
        <is>
          <t>Apr 26</t>
        </is>
      </c>
      <c r="C71" s="12" t="inlineStr">
        <is>
          <t>Oct 18</t>
        </is>
      </c>
      <c r="D71" s="12" t="n">
        <v>175</v>
      </c>
    </row>
    <row r="72" ht="15" customHeight="1" s="13">
      <c r="A72" s="12" t="n">
        <v>2016</v>
      </c>
      <c r="B72" s="12" t="inlineStr">
        <is>
          <t>May 11</t>
        </is>
      </c>
      <c r="C72" s="12" t="inlineStr">
        <is>
          <t>Oct 12</t>
        </is>
      </c>
      <c r="D72" s="12" t="n">
        <v>154</v>
      </c>
    </row>
    <row r="73" ht="15" customHeight="1" s="13">
      <c r="A73" s="12" t="n">
        <v>2017</v>
      </c>
      <c r="B73" s="12" t="inlineStr">
        <is>
          <t>Apr 16</t>
        </is>
      </c>
      <c r="C73" s="12" t="inlineStr">
        <is>
          <t>Nov 01</t>
        </is>
      </c>
      <c r="D73" s="12" t="n">
        <v>199</v>
      </c>
    </row>
    <row r="74" ht="15" customHeight="1" s="13">
      <c r="A74" s="12" t="n">
        <v>2018</v>
      </c>
      <c r="B74" s="12" t="inlineStr">
        <is>
          <t>Apr 23</t>
        </is>
      </c>
      <c r="C74" s="12" t="inlineStr">
        <is>
          <t>Oct 18</t>
        </is>
      </c>
      <c r="D74" s="12" t="n">
        <v>178</v>
      </c>
    </row>
    <row r="75" ht="15" customHeight="1" s="13">
      <c r="A75" s="12" t="n">
        <v>2019</v>
      </c>
      <c r="B75" s="12" t="inlineStr">
        <is>
          <t>Apr 29</t>
        </is>
      </c>
      <c r="C75" s="12" t="inlineStr">
        <is>
          <t>Oct 05</t>
        </is>
      </c>
      <c r="D75" s="12" t="n">
        <v>159</v>
      </c>
    </row>
    <row r="76" ht="15" customHeight="1" s="13">
      <c r="A76" s="12" t="n">
        <v>2020</v>
      </c>
      <c r="B76" s="12" t="inlineStr">
        <is>
          <t>May 15</t>
        </is>
      </c>
      <c r="C76" s="12" t="inlineStr">
        <is>
          <t>Oct 19</t>
        </is>
      </c>
      <c r="D76" s="12" t="n">
        <v>157</v>
      </c>
    </row>
    <row r="77" ht="15" customHeight="1" s="13">
      <c r="A77" s="12" t="n">
        <v>2021</v>
      </c>
      <c r="B77" s="12" t="inlineStr">
        <is>
          <t>Apr 23</t>
        </is>
      </c>
      <c r="C77" s="12" t="inlineStr">
        <is>
          <t>Nov 03</t>
        </is>
      </c>
      <c r="D77" s="12" t="n">
        <v>194</v>
      </c>
    </row>
    <row r="78" ht="15" customHeight="1" s="13">
      <c r="A78" s="12" t="n">
        <v>2022</v>
      </c>
      <c r="B78" s="12" t="inlineStr">
        <is>
          <t>May 10</t>
        </is>
      </c>
      <c r="C78" s="12" t="inlineStr">
        <is>
          <t>Oct 09</t>
        </is>
      </c>
      <c r="D78" s="12" t="n">
        <v>152</v>
      </c>
    </row>
    <row r="79" ht="15" customHeight="1" s="13">
      <c r="A79" s="12" t="n">
        <v>2023</v>
      </c>
      <c r="B79" s="12" t="inlineStr">
        <is>
          <t>May 18</t>
        </is>
      </c>
      <c r="C79" s="12" t="inlineStr">
        <is>
          <t>Oct 31</t>
        </is>
      </c>
      <c r="D79" s="12" t="n">
        <v>166</v>
      </c>
    </row>
    <row r="80" ht="15" customHeight="1" s="13">
      <c r="A80" s="12" t="n">
        <v>2024</v>
      </c>
      <c r="B80" s="12" t="inlineStr">
        <is>
          <t>Apr 27</t>
        </is>
      </c>
      <c r="C80" s="12" t="inlineStr">
        <is>
          <t>Oct 16</t>
        </is>
      </c>
      <c r="D80" s="12" t="n">
        <v>172</v>
      </c>
    </row>
    <row r="81" ht="15" customHeight="1" s="13">
      <c r="A81" s="12" t="n">
        <v>2025</v>
      </c>
      <c r="B81" s="12" t="inlineStr">
        <is>
          <t>Apr 22</t>
        </is>
      </c>
      <c r="C81" s="12" t="inlineStr">
        <is>
          <t>Oct 10</t>
        </is>
      </c>
      <c r="D81" s="12" t="n">
        <v>171</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E47"/>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12" min="1" max="1"/>
    <col width="30" customWidth="1" style="12" min="2" max="2"/>
    <col width="18" customWidth="1" style="12" min="3" max="3"/>
    <col width="15" customWidth="1" style="12" min="4" max="4"/>
    <col width="70" customWidth="1" style="12" min="5" max="5"/>
  </cols>
  <sheetData>
    <row r="1" ht="23.25" customHeight="1" s="13">
      <c r="A1" s="18" t="inlineStr">
        <is>
          <t>Winter</t>
        </is>
      </c>
      <c r="B1" s="18" t="inlineStr">
        <is>
          <t>Hudson closed at Albany</t>
        </is>
      </c>
      <c r="C1" s="18" t="inlineStr">
        <is>
          <t>Opened</t>
        </is>
      </c>
      <c r="D1" s="18" t="inlineStr">
        <is>
          <t>Lowest temp (°F)</t>
        </is>
      </c>
      <c r="E1" s="18" t="inlineStr">
        <is>
          <t>Character (as recorded)</t>
        </is>
      </c>
    </row>
    <row r="2" ht="15" customHeight="1" s="13">
      <c r="A2" s="19" t="inlineStr">
        <is>
          <t>1789-90</t>
        </is>
      </c>
      <c r="B2" s="19" t="inlineStr">
        <is>
          <t>open till Feb 3</t>
        </is>
      </c>
      <c r="C2" s="19" t="n"/>
      <c r="D2" s="19" t="n"/>
      <c r="E2" s="19" t="inlineStr">
        <is>
          <t>Very mild; mildest January since 1781; occasionally obstructed by ice before</t>
        </is>
      </c>
    </row>
    <row r="3" ht="15" customHeight="1" s="13">
      <c r="A3" s="19" t="inlineStr">
        <is>
          <t>1790-91</t>
        </is>
      </c>
      <c r="B3" s="19" t="inlineStr">
        <is>
          <t>Dec 8</t>
        </is>
      </c>
      <c r="C3" s="19" t="n"/>
      <c r="D3" s="19" t="inlineStr">
        <is>
          <t>5</t>
        </is>
      </c>
      <c r="E3" s="19" t="inlineStr">
        <is>
          <t>Very severe December, milder Jan–Feb</t>
        </is>
      </c>
    </row>
    <row r="4" ht="15" customHeight="1" s="13">
      <c r="A4" s="19" t="inlineStr">
        <is>
          <t>1791-92</t>
        </is>
      </c>
      <c r="B4" s="19" t="inlineStr">
        <is>
          <t>Dec 9</t>
        </is>
      </c>
      <c r="C4" s="19" t="n"/>
      <c r="D4" s="19" t="inlineStr">
        <is>
          <t>1</t>
        </is>
      </c>
      <c r="E4" s="19" t="inlineStr">
        <is>
          <t>Very severe; uninterrupted severe frost 4 weeks</t>
        </is>
      </c>
    </row>
    <row r="5" ht="15" customHeight="1" s="13">
      <c r="A5" s="19" t="inlineStr">
        <is>
          <t>1792-93</t>
        </is>
      </c>
      <c r="B5" s="19" t="inlineStr">
        <is>
          <t>Dec 12</t>
        </is>
      </c>
      <c r="C5" s="19" t="n"/>
      <c r="D5" s="19" t="n"/>
      <c r="E5" s="19" t="inlineStr">
        <is>
          <t>Very mild; open all winter to Poughkeepsie, closed only at Albany</t>
        </is>
      </c>
    </row>
    <row r="6" ht="15" customHeight="1" s="13">
      <c r="A6" s="19" t="inlineStr">
        <is>
          <t>1793-94</t>
        </is>
      </c>
      <c r="B6" s="19" t="inlineStr">
        <is>
          <t>Dec 26</t>
        </is>
      </c>
      <c r="C6" s="19" t="n"/>
      <c r="D6" s="19" t="n"/>
      <c r="E6" s="19" t="inlineStr">
        <is>
          <t>Mild, little snow</t>
        </is>
      </c>
    </row>
    <row r="7" ht="15" customHeight="1" s="13">
      <c r="A7" s="19" t="inlineStr">
        <is>
          <t>1794-95</t>
        </is>
      </c>
      <c r="B7" s="19" t="inlineStr">
        <is>
          <t>Jan 12</t>
        </is>
      </c>
      <c r="C7" s="19" t="n"/>
      <c r="D7" s="19" t="n"/>
      <c r="E7" s="19" t="inlineStr">
        <is>
          <t>Very mild autumn/December; no ice till Jan 3</t>
        </is>
      </c>
    </row>
    <row r="8" ht="15" customHeight="1" s="13">
      <c r="A8" s="19" t="inlineStr">
        <is>
          <t>1795-96</t>
        </is>
      </c>
      <c r="B8" s="19" t="inlineStr">
        <is>
          <t>Dec 21</t>
        </is>
      </c>
      <c r="C8" s="19" t="inlineStr">
        <is>
          <t>open till Jan 23</t>
        </is>
      </c>
      <c r="D8" s="19" t="n"/>
      <c r="E8" s="19" t="inlineStr">
        <is>
          <t>Very mild autumn/December</t>
        </is>
      </c>
    </row>
    <row r="9" ht="15" customHeight="1" s="13">
      <c r="A9" s="19" t="inlineStr">
        <is>
          <t>1796-97</t>
        </is>
      </c>
      <c r="B9" s="19" t="inlineStr">
        <is>
          <t>Nov 28</t>
        </is>
      </c>
      <c r="C9" s="19" t="n"/>
      <c r="D9" s="19" t="n"/>
      <c r="E9" s="19" t="inlineStr">
        <is>
          <t>Early, severe to Jan 12; intensely cold Dec 23–24</t>
        </is>
      </c>
    </row>
    <row r="10" ht="15" customHeight="1" s="13">
      <c r="A10" s="19" t="inlineStr">
        <is>
          <t>1797-98</t>
        </is>
      </c>
      <c r="B10" s="19" t="inlineStr">
        <is>
          <t>Nov 23</t>
        </is>
      </c>
      <c r="C10" s="19" t="n"/>
      <c r="D10" s="19" t="inlineStr">
        <is>
          <t>2</t>
        </is>
      </c>
      <c r="E10" s="19" t="inlineStr">
        <is>
          <t>Very early, long and severe; brief Jan thaw</t>
        </is>
      </c>
    </row>
    <row r="11" ht="15" customHeight="1" s="13">
      <c r="A11" s="19" t="inlineStr">
        <is>
          <t>1798-99</t>
        </is>
      </c>
      <c r="B11" s="19" t="inlineStr">
        <is>
          <t>Nov 23</t>
        </is>
      </c>
      <c r="C11" s="19" t="n"/>
      <c r="D11" s="19" t="inlineStr">
        <is>
          <t>2</t>
        </is>
      </c>
      <c r="E11" s="19" t="inlineStr">
        <is>
          <t>Early, long, severe; moderate ~3 weeks in Jan</t>
        </is>
      </c>
    </row>
    <row r="12" ht="15" customHeight="1" s="13">
      <c r="A12" s="19" t="inlineStr">
        <is>
          <t>1799-1800</t>
        </is>
      </c>
      <c r="B12" s="19" t="inlineStr">
        <is>
          <t>Jan 6</t>
        </is>
      </c>
      <c r="C12" s="19" t="n"/>
      <c r="D12" s="19" t="n"/>
      <c r="E12" s="19" t="inlineStr">
        <is>
          <t>Mild; obstructed by ice before closing</t>
        </is>
      </c>
    </row>
    <row r="13" ht="15" customHeight="1" s="13">
      <c r="A13" s="19" t="inlineStr">
        <is>
          <t>1800-01</t>
        </is>
      </c>
      <c r="B13" s="19" t="inlineStr">
        <is>
          <t>Jan 3</t>
        </is>
      </c>
      <c r="C13" s="19" t="n"/>
      <c r="D13" s="19" t="n"/>
      <c r="E13" s="19" t="inlineStr">
        <is>
          <t>Mild, little snow; very mild December</t>
        </is>
      </c>
    </row>
    <row r="14" ht="15" customHeight="1" s="13">
      <c r="A14" s="19" t="inlineStr">
        <is>
          <t>1801-02</t>
        </is>
      </c>
      <c r="B14" s="19" t="inlineStr">
        <is>
          <t>open till Feb 3</t>
        </is>
      </c>
      <c r="C14" s="19" t="n"/>
      <c r="D14" s="19" t="n"/>
      <c r="E14" s="19" t="inlineStr">
        <is>
          <t>Remarkably mild; Jan mercury 40–50°F; no real snow till Feb 22</t>
        </is>
      </c>
    </row>
    <row r="15" ht="15" customHeight="1" s="13">
      <c r="A15" s="19" t="inlineStr">
        <is>
          <t>1802-03</t>
        </is>
      </c>
      <c r="B15" s="19" t="inlineStr">
        <is>
          <t>Dec 16</t>
        </is>
      </c>
      <c r="C15" s="19" t="n"/>
      <c r="D15" s="19" t="n"/>
      <c r="E15" s="19" t="inlineStr">
        <is>
          <t>Mild and variable, little snow</t>
        </is>
      </c>
    </row>
    <row r="16" ht="15" customHeight="1" s="13">
      <c r="A16" s="19" t="inlineStr">
        <is>
          <t>1803-04</t>
        </is>
      </c>
      <c r="B16" s="19" t="inlineStr">
        <is>
          <t>Jan 12</t>
        </is>
      </c>
      <c r="C16" s="19" t="n"/>
      <c r="D16" s="19" t="inlineStr">
        <is>
          <t>42</t>
        </is>
      </c>
      <c r="E16" s="19" t="inlineStr">
        <is>
          <t>Very mild December; severe weather + deep snows Jan/late Feb</t>
        </is>
      </c>
    </row>
    <row r="17" ht="23.25" customHeight="1" s="13">
      <c r="A17" s="19" t="inlineStr">
        <is>
          <t>1804-05</t>
        </is>
      </c>
      <c r="B17" s="19" t="inlineStr">
        <is>
          <t>Dec 13</t>
        </is>
      </c>
      <c r="C17" s="19" t="n"/>
      <c r="D17" s="19" t="inlineStr">
        <is>
          <t>2</t>
        </is>
      </c>
      <c r="E17" s="19" t="inlineStr">
        <is>
          <t>Remarkably cold and variable; deep snows, heavy rains, high winds; distress among the poor</t>
        </is>
      </c>
    </row>
    <row r="18" ht="15" customHeight="1" s="13">
      <c r="A18" s="19" t="inlineStr">
        <is>
          <t>1805-06</t>
        </is>
      </c>
      <c r="B18" s="19" t="inlineStr">
        <is>
          <t>Jan 9</t>
        </is>
      </c>
      <c r="C18" s="19" t="inlineStr">
        <is>
          <t>Feb 23</t>
        </is>
      </c>
      <c r="D18" s="19" t="n"/>
      <c r="E18" s="19" t="inlineStr">
        <is>
          <t>Cold in January, mild Dec and Feb</t>
        </is>
      </c>
    </row>
    <row r="19" ht="15" customHeight="1" s="13">
      <c r="A19" s="19" t="inlineStr">
        <is>
          <t>1806-07</t>
        </is>
      </c>
      <c r="B19" s="19" t="inlineStr">
        <is>
          <t>Dec 11</t>
        </is>
      </c>
      <c r="C19" s="19" t="n"/>
      <c r="D19" s="19" t="inlineStr">
        <is>
          <t>4</t>
        </is>
      </c>
      <c r="E19" s="19" t="inlineStr">
        <is>
          <t>Severe winter</t>
        </is>
      </c>
    </row>
    <row r="20" ht="15" customHeight="1" s="13">
      <c r="A20" s="19" t="inlineStr">
        <is>
          <t>1807-08</t>
        </is>
      </c>
      <c r="B20" s="19" t="inlineStr">
        <is>
          <t>Jan 4</t>
        </is>
      </c>
      <c r="C20" s="19" t="n"/>
      <c r="D20" s="19" t="n"/>
      <c r="E20" s="19" t="inlineStr">
        <is>
          <t>Mild; very mild December</t>
        </is>
      </c>
    </row>
    <row r="21" ht="15" customHeight="1" s="13">
      <c r="A21" s="19" t="inlineStr">
        <is>
          <t>1808-09</t>
        </is>
      </c>
      <c r="B21" s="19" t="inlineStr">
        <is>
          <t>Dec 9</t>
        </is>
      </c>
      <c r="C21" s="19" t="n"/>
      <c r="D21" s="19" t="inlineStr">
        <is>
          <t>6</t>
        </is>
      </c>
      <c r="E21" s="19" t="inlineStr">
        <is>
          <t>Long and severe, much snow</t>
        </is>
      </c>
    </row>
    <row r="22" ht="15" customHeight="1" s="13">
      <c r="A22" s="19" t="inlineStr">
        <is>
          <t>1809-10</t>
        </is>
      </c>
      <c r="B22" s="19" t="inlineStr">
        <is>
          <t>Jan 19</t>
        </is>
      </c>
      <c r="C22" s="19" t="n"/>
      <c r="D22" s="19" t="inlineStr">
        <is>
          <t>1</t>
        </is>
      </c>
      <c r="E22" s="19" t="inlineStr">
        <is>
          <t>Remarkably mild till Jan 19, then intensely cold; little snow</t>
        </is>
      </c>
    </row>
    <row r="23" ht="15" customHeight="1" s="13">
      <c r="A23" s="19" t="inlineStr">
        <is>
          <t>1810-11</t>
        </is>
      </c>
      <c r="B23" s="19" t="inlineStr">
        <is>
          <t>Dec 14</t>
        </is>
      </c>
      <c r="C23" s="19" t="n"/>
      <c r="D23" s="19" t="n"/>
      <c r="E23" s="19" t="inlineStr">
        <is>
          <t>Much snow Feb; severe snowstorm Nov 2</t>
        </is>
      </c>
    </row>
    <row r="24" ht="15" customHeight="1" s="13">
      <c r="A24" s="19" t="inlineStr">
        <is>
          <t>1811-12</t>
        </is>
      </c>
      <c r="B24" s="19" t="inlineStr">
        <is>
          <t>Dec 20</t>
        </is>
      </c>
      <c r="C24" s="19" t="n"/>
      <c r="D24" s="19" t="inlineStr">
        <is>
          <t>2</t>
        </is>
      </c>
      <c r="E24" s="19" t="inlineStr">
        <is>
          <t>Severe winter</t>
        </is>
      </c>
    </row>
    <row r="25" ht="15" customHeight="1" s="13">
      <c r="A25" s="19" t="inlineStr">
        <is>
          <t>1812-13</t>
        </is>
      </c>
      <c r="B25" s="19" t="inlineStr">
        <is>
          <t>Dec 21</t>
        </is>
      </c>
      <c r="C25" s="19" t="n"/>
      <c r="D25" s="19" t="inlineStr">
        <is>
          <t>4</t>
        </is>
      </c>
      <c r="E25" s="19" t="inlineStr">
        <is>
          <t>Severe winter</t>
        </is>
      </c>
    </row>
    <row r="26" ht="15" customHeight="1" s="13">
      <c r="A26" s="19" t="inlineStr">
        <is>
          <t>1813-14</t>
        </is>
      </c>
      <c r="B26" s="19" t="inlineStr">
        <is>
          <t>Dec 22</t>
        </is>
      </c>
      <c r="C26" s="19" t="n"/>
      <c r="D26" s="19" t="inlineStr">
        <is>
          <t>8</t>
        </is>
      </c>
      <c r="E26" s="19" t="inlineStr">
        <is>
          <t>Severe winter</t>
        </is>
      </c>
    </row>
    <row r="27" ht="15" customHeight="1" s="13">
      <c r="A27" s="19" t="inlineStr">
        <is>
          <t>1814-15</t>
        </is>
      </c>
      <c r="B27" s="19" t="inlineStr">
        <is>
          <t>Dec 10</t>
        </is>
      </c>
      <c r="C27" s="19" t="n"/>
      <c r="D27" s="19" t="inlineStr">
        <is>
          <t>1</t>
        </is>
      </c>
      <c r="E27" s="19" t="inlineStr">
        <is>
          <t>Very severe though variable</t>
        </is>
      </c>
    </row>
    <row r="28" ht="15" customHeight="1" s="13">
      <c r="A28" s="19" t="inlineStr">
        <is>
          <t>1815-16</t>
        </is>
      </c>
      <c r="B28" s="19" t="inlineStr">
        <is>
          <t>Dec 2</t>
        </is>
      </c>
      <c r="C28" s="19" t="n"/>
      <c r="D28" s="19" t="n"/>
      <c r="E28" s="19" t="inlineStr">
        <is>
          <t>Variable, not severe</t>
        </is>
      </c>
    </row>
    <row r="29" ht="15" customHeight="1" s="13">
      <c r="A29" s="19" t="inlineStr">
        <is>
          <t>1816-17</t>
        </is>
      </c>
      <c r="B29" s="19" t="inlineStr">
        <is>
          <t>Dec 16</t>
        </is>
      </c>
      <c r="C29" s="19" t="n"/>
      <c r="D29" s="19" t="inlineStr">
        <is>
          <t>-6</t>
        </is>
      </c>
      <c r="E29" s="19" t="inlineStr">
        <is>
          <t>Very severe from mid-Jan; −6°F Feb 15, first sub-zero at Albany since 1788</t>
        </is>
      </c>
    </row>
    <row r="30" ht="23.25" customHeight="1" s="13">
      <c r="A30" s="19" t="inlineStr">
        <is>
          <t>1817-18</t>
        </is>
      </c>
      <c r="B30" s="19" t="inlineStr">
        <is>
          <t>Dec 7 (opened 14th, closed again 21st)</t>
        </is>
      </c>
      <c r="C30" s="19" t="n"/>
      <c r="D30" s="19" t="inlineStr">
        <is>
          <t>0</t>
        </is>
      </c>
      <c r="E30" s="19" t="inlineStr">
        <is>
          <t>Moderate Dec/Jan, severe February</t>
        </is>
      </c>
    </row>
    <row r="31" ht="15" customHeight="1" s="13">
      <c r="A31" s="19" t="inlineStr">
        <is>
          <t>1818-19</t>
        </is>
      </c>
      <c r="B31" s="19" t="inlineStr">
        <is>
          <t>Dec 14</t>
        </is>
      </c>
      <c r="C31" s="19" t="n"/>
      <c r="D31" s="19" t="n"/>
      <c r="E31" s="19" t="inlineStr">
        <is>
          <t>Severe 2 weeks in Dec; very mild Jan/Feb</t>
        </is>
      </c>
    </row>
    <row r="32" ht="15" customHeight="1" s="13">
      <c r="A32" s="19" t="inlineStr">
        <is>
          <t>1819-20</t>
        </is>
      </c>
      <c r="B32" s="19" t="inlineStr">
        <is>
          <t>Dec 13</t>
        </is>
      </c>
      <c r="C32" s="19" t="n"/>
      <c r="D32" s="19" t="inlineStr">
        <is>
          <t>3</t>
        </is>
      </c>
      <c r="E32" s="19" t="inlineStr">
        <is>
          <t>Severe; several deep snows; obstructed by ice before</t>
        </is>
      </c>
    </row>
    <row r="33" ht="23.25" customHeight="1" s="13">
      <c r="A33" s="19" t="inlineStr">
        <is>
          <t>1820-21</t>
        </is>
      </c>
      <c r="B33" s="19" t="inlineStr">
        <is>
          <t>Nov 13 (opened 20th, closed again Dec 1)</t>
        </is>
      </c>
      <c r="C33" s="19" t="n"/>
      <c r="D33" s="19" t="inlineStr">
        <is>
          <t>-7</t>
        </is>
      </c>
      <c r="E33" s="19" t="inlineStr">
        <is>
          <t>Intensely severe most of January; −7°F Jan 25 (coldest ever here); Hudson crossed on the ice at Albany</t>
        </is>
      </c>
    </row>
    <row r="34" ht="15" customHeight="1" s="13">
      <c r="A34" s="19" t="inlineStr">
        <is>
          <t>1821-22</t>
        </is>
      </c>
      <c r="B34" s="19" t="inlineStr">
        <is>
          <t>Dec 13</t>
        </is>
      </c>
      <c r="C34" s="19" t="n"/>
      <c r="D34" s="19" t="inlineStr">
        <is>
          <t>-1</t>
        </is>
      </c>
      <c r="E34" s="19" t="inlineStr">
        <is>
          <t>Severe, little snow</t>
        </is>
      </c>
    </row>
    <row r="35" ht="15" customHeight="1" s="13">
      <c r="A35" s="19" t="inlineStr">
        <is>
          <t>1822-23</t>
        </is>
      </c>
      <c r="B35" s="19" t="inlineStr">
        <is>
          <t>Dec 24</t>
        </is>
      </c>
      <c r="C35" s="19" t="n"/>
      <c r="D35" s="19" t="inlineStr">
        <is>
          <t>3</t>
        </is>
      </c>
      <c r="E35" s="19" t="inlineStr">
        <is>
          <t>No severe weather till Feb/Mar</t>
        </is>
      </c>
    </row>
    <row r="36" ht="15" customHeight="1" s="13">
      <c r="A36" s="19" t="inlineStr">
        <is>
          <t>1823-24</t>
        </is>
      </c>
      <c r="B36" s="19" t="inlineStr">
        <is>
          <t>Dec 16</t>
        </is>
      </c>
      <c r="C36" s="19" t="inlineStr">
        <is>
          <t>open in Jan briefly</t>
        </is>
      </c>
      <c r="D36" s="19" t="n"/>
      <c r="E36" s="19" t="inlineStr">
        <is>
          <t>Very mild</t>
        </is>
      </c>
    </row>
    <row r="37" ht="15" customHeight="1" s="13">
      <c r="A37" s="19" t="inlineStr">
        <is>
          <t>1824-25</t>
        </is>
      </c>
      <c r="B37" s="19" t="inlineStr">
        <is>
          <t>Jan 3</t>
        </is>
      </c>
      <c r="C37" s="19" t="n"/>
      <c r="D37" s="19" t="n"/>
      <c r="E37" s="19" t="inlineStr">
        <is>
          <t>Mild, little snow</t>
        </is>
      </c>
    </row>
    <row r="38" ht="15" customHeight="1" s="13">
      <c r="A38" s="19" t="inlineStr">
        <is>
          <t>1825-26</t>
        </is>
      </c>
      <c r="B38" s="19" t="inlineStr">
        <is>
          <t>Dec 13</t>
        </is>
      </c>
      <c r="C38" s="19" t="n"/>
      <c r="D38" s="19" t="n"/>
      <c r="E38" s="19" t="inlineStr">
        <is>
          <t>Generally very mild; cold Dec 14 (3°F at 8 AM)</t>
        </is>
      </c>
    </row>
    <row r="39" ht="15" customHeight="1" s="13">
      <c r="A39" s="19" t="inlineStr">
        <is>
          <t>1826-27</t>
        </is>
      </c>
      <c r="B39" s="19" t="inlineStr">
        <is>
          <t>Dec 24</t>
        </is>
      </c>
      <c r="C39" s="19" t="n"/>
      <c r="D39" s="19" t="inlineStr">
        <is>
          <t>3</t>
        </is>
      </c>
      <c r="E39" s="19" t="inlineStr">
        <is>
          <t>Severe winter</t>
        </is>
      </c>
    </row>
    <row r="40" ht="23.25" customHeight="1" s="13">
      <c r="A40" s="19" t="inlineStr">
        <is>
          <t>1827-28</t>
        </is>
      </c>
      <c r="B40" s="19" t="inlineStr">
        <is>
          <t>closed ~3 weeks total</t>
        </is>
      </c>
      <c r="C40" s="19" t="n"/>
      <c r="D40" s="19" t="n"/>
      <c r="E40" s="19" t="inlineStr">
        <is>
          <t>Very cold blustering Nov, then mildest winter since 1801–2; mildest Feb since 1778–9 (peach blossom)</t>
        </is>
      </c>
    </row>
    <row r="41" ht="15" customHeight="1" s="13">
      <c r="A41" s="19" t="inlineStr">
        <is>
          <t>1828-29</t>
        </is>
      </c>
      <c r="B41" s="19" t="inlineStr">
        <is>
          <t>Jan 1</t>
        </is>
      </c>
      <c r="C41" s="19" t="inlineStr">
        <is>
          <t>Mar 29</t>
        </is>
      </c>
      <c r="D41" s="19" t="inlineStr">
        <is>
          <t>-6</t>
        </is>
      </c>
      <c r="E41" s="19" t="inlineStr">
        <is>
          <t>Long severe winter; much suffering among the poor</t>
        </is>
      </c>
    </row>
    <row r="42" ht="15" customHeight="1" s="13">
      <c r="A42" s="19" t="inlineStr">
        <is>
          <t>1829-30</t>
        </is>
      </c>
      <c r="B42" s="19" t="inlineStr">
        <is>
          <t>late Jan</t>
        </is>
      </c>
      <c r="C42" s="19" t="n"/>
      <c r="D42" s="19" t="inlineStr">
        <is>
          <t>3</t>
        </is>
      </c>
      <c r="E42" s="19" t="inlineStr">
        <is>
          <t>Mild till Jan 23 then very severe several weeks</t>
        </is>
      </c>
    </row>
    <row r="43" ht="23.25" customHeight="1" s="13">
      <c r="A43" s="19" t="inlineStr">
        <is>
          <t>1830-31</t>
        </is>
      </c>
      <c r="B43" s="19" t="inlineStr">
        <is>
          <t>Dec 23 (reopened, closed again Jan 16)</t>
        </is>
      </c>
      <c r="C43" s="19" t="n"/>
      <c r="D43" s="19" t="inlineStr">
        <is>
          <t>5</t>
        </is>
      </c>
      <c r="E43" s="19" t="inlineStr">
        <is>
          <t>Severe, several deep snows; ground snow-covered Jan 6–Feb 28</t>
        </is>
      </c>
    </row>
    <row r="44" ht="15" customHeight="1" s="13">
      <c r="A44" s="19" t="inlineStr">
        <is>
          <t>1831-32</t>
        </is>
      </c>
      <c r="B44" s="19" t="inlineStr">
        <is>
          <t>Dec 3</t>
        </is>
      </c>
      <c r="C44" s="19" t="n"/>
      <c r="D44" s="19" t="inlineStr">
        <is>
          <t>14</t>
        </is>
      </c>
      <c r="E44" s="19" t="inlineStr">
        <is>
          <t>Coldest December since 1786 (as of Dec 10)</t>
        </is>
      </c>
    </row>
    <row r="46" ht="15" customHeight="1" s="13">
      <c r="A46" s="20" t="inlineStr">
        <is>
          <t>Source: Albany Daily Advertiser, "Notices of the Winters at New York for the last forty-two years… dates at which the Hudson was frozen or obstructed or closed by ice at Albany," repr. American Quarterly Journal of Agriculture and Science 1 (1845) pp. 347–350 (verified, page images)</t>
        </is>
      </c>
    </row>
    <row r="47" ht="15" customHeight="1" s="13">
      <c r="A47" s="20" t="inlineStr">
        <is>
          <t>Verified against page images of pp. 347–350, https://archive.org/details/americanquarterl00slsn</t>
        </is>
      </c>
    </row>
  </sheetData>
  <autoFilter ref="A1:E44"/>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F526"/>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12" min="1" max="1"/>
    <col width="20" customWidth="1" style="12" min="2" max="2"/>
    <col width="22" customWidth="1" style="12" min="3" max="3"/>
    <col width="12" customWidth="1" style="12" min="4" max="4"/>
    <col width="14" customWidth="1" style="12" min="5" max="5"/>
    <col width="70" customWidth="1" style="12" min="6" max="6"/>
  </cols>
  <sheetData>
    <row r="1" ht="34.5" customHeight="1" s="13">
      <c r="A1" s="18" t="inlineStr">
        <is>
          <t>Jam date</t>
        </is>
      </c>
      <c r="B1" s="18" t="inlineStr">
        <is>
          <t>City</t>
        </is>
      </c>
      <c r="C1" s="18" t="inlineStr">
        <is>
          <t>River</t>
        </is>
      </c>
      <c r="D1" s="18" t="inlineStr">
        <is>
          <t>Type</t>
        </is>
      </c>
      <c r="E1" s="18" t="inlineStr">
        <is>
          <t>Dist. from Westerlo (mi)</t>
        </is>
      </c>
      <c r="F1" s="18" t="inlineStr">
        <is>
          <t>Description</t>
        </is>
      </c>
    </row>
    <row r="2" ht="34.5" customHeight="1" s="13">
      <c r="A2" s="19" t="inlineStr">
        <is>
          <t>2026-03-11</t>
        </is>
      </c>
      <c r="B2" s="19" t="inlineStr">
        <is>
          <t>Johnsburg</t>
        </is>
      </c>
      <c r="C2" s="19" t="inlineStr">
        <is>
          <t>Hudson River</t>
        </is>
      </c>
      <c r="D2" s="19" t="inlineStr">
        <is>
          <t>Break-up</t>
        </is>
      </c>
      <c r="E2" s="19" t="n">
        <v>74.40000000000001</v>
      </c>
      <c r="F2" s="19" t="inlineStr">
        <is>
          <t>Break-up jam formed at the confluence of Glen Creek and the Hudson River southeast of Johnsburg, NY, near the Rt 28 bridge across the Hudson.  Local EM say the river has routed around the jam.</t>
        </is>
      </c>
    </row>
    <row r="3" ht="23.25" customHeight="1" s="13">
      <c r="A3" s="19" t="inlineStr">
        <is>
          <t>2026-03-09</t>
        </is>
      </c>
      <c r="B3" s="19" t="inlineStr">
        <is>
          <t>Schenectady</t>
        </is>
      </c>
      <c r="C3" s="19" t="inlineStr">
        <is>
          <t>Mohawk River</t>
        </is>
      </c>
      <c r="D3" s="19" t="inlineStr">
        <is>
          <t>Break-up</t>
        </is>
      </c>
      <c r="E3" s="19" t="n">
        <v>24.3</v>
      </c>
      <c r="F3" s="19" t="inlineStr">
        <is>
          <t>A series of ice jams is affecting the reach of the Mohawk River from approximately Scotia to Lock and Dam 7, including Schenectady.</t>
        </is>
      </c>
    </row>
    <row r="4" ht="15" customHeight="1" s="13">
      <c r="A4" s="19" t="inlineStr">
        <is>
          <t>2026-01-26</t>
        </is>
      </c>
      <c r="B4" s="19" t="inlineStr">
        <is>
          <t>Newport</t>
        </is>
      </c>
      <c r="C4" s="19" t="inlineStr">
        <is>
          <t>West Canada Creek</t>
        </is>
      </c>
      <c r="D4" s="19" t="inlineStr">
        <is>
          <t>Freeze-up</t>
        </is>
      </c>
      <c r="E4" s="19" t="n">
        <v>68.09999999999999</v>
      </c>
      <c r="F4" s="19" t="inlineStr">
        <is>
          <t>Freeze-up jam formed on West Canada Creek in Newport, NY.</t>
        </is>
      </c>
    </row>
    <row r="5" ht="370.5" customHeight="1" s="13">
      <c r="A5" s="19" t="inlineStr">
        <is>
          <t>2022-02-20</t>
        </is>
      </c>
      <c r="B5" s="19" t="inlineStr">
        <is>
          <t>Warrensburg</t>
        </is>
      </c>
      <c r="C5" s="19" t="inlineStr">
        <is>
          <t>Hudson River</t>
        </is>
      </c>
      <c r="D5" s="19" t="inlineStr">
        <is>
          <t>Unknown</t>
        </is>
      </c>
      <c r="E5" s="19" t="n">
        <v>67.5</v>
      </c>
      <c r="F5" s="19" t="inlineStr">
        <is>
          <t>212 
WGUS81 KALY 201524
FLSALY
Flood Advisory
National Weather Servi_c_e Albany NY
1024 AM EST Sun Feb 20 2022
NYC113-201730-
/O.EXT.KALY.FA.Y.0002.000000T0000Z-220220T1730Z/
/00000.N.IJ.000000T0000Z.000000T0000Z.000000T0000Z.OO/
Warren NY-
1024 AM EST Sun Feb 20 2022
...FLOOD ADVISORY FOR AN ICE JAM NOW IN EFFECT UNTIL 1230 PM EST 
THIS AFTERNOON...
* WHAT...Flooding caused by an ice jam continues.
* WHERE...A portion of eastern New York, including the following 
  county, Warren.
* WHEN...Until 1230 PM EST.
* IMPACTS...Minor flooding in low-lying and poor drainage areas. 
* ADDITIONAL DETAILS...
  - At 1020 AM EST, local emergency manager reported that the
    Route 418 (River Street) between Hickory Hill Road and River
    Road remains closed in both directions in the adjoining towns
    of Warrensburg and Thurman due to flooding from an ice jam.
  - Some locations that will experience flooding include...
    Warrensburg, Thurman Station and Athol.
  - http://www.weather.gov/safety/flood
PRECAUTIONARY/PREPAREDNESS ACTIONS...
Turn around, don't drown when encountering flooded roads. Most flood 
deaths occur in vehicles.
&amp;amp;&amp;amp;
LAT...LON 4350 7385 4349 7378 4346 7379 4347 7385
$$
CS</t>
        </is>
      </c>
    </row>
    <row r="6" ht="605.25" customHeight="1" s="13">
      <c r="A6" s="19" t="inlineStr">
        <is>
          <t>2022-02-18</t>
        </is>
      </c>
      <c r="B6" s="19" t="inlineStr">
        <is>
          <t>Dolgeville</t>
        </is>
      </c>
      <c r="C6" s="19" t="inlineStr">
        <is>
          <t>East Canada Creek</t>
        </is>
      </c>
      <c r="D6" s="19" t="inlineStr">
        <is>
          <t>Break-up</t>
        </is>
      </c>
      <c r="E6" s="19" t="n">
        <v>54.2</v>
      </c>
      <c r="F6" s="19" t="inlineStr">
        <is>
          <t>Reported ice jam and flooding in Dolgeville.
https://cbs6albany.com/news/local/flooding-from-ice-jams-prompts-evacuations-in-dolgeville
Dolgeville, NY (WRGB)  At least 10 homes in the Village of Dolgeville were evacuated on Friday after ice jams caused the East Canada Creek to overflow its banks, turning yards and roads into waterways. As of 11:00 pm Friday night, a section of Van Biden Street remains closed as crews work to get the water back into the channel.
Four homes on Van Buren St were evacuated, with residents still unable to return as of Friday night.
MORE: Ice Jams, Flooding, The surge of water after the big thaw around the Capital District
On the other side of the creek, six homes on Dolge Ave were evacuated. So far, residents to five of the homes were able to return.
One of the residents spoke with CBS6 Briana Supardi about the wrath Mother Nature brought.
It just kept coming. There was a loud roar. Very scary. It was taking trees down, punching down trees and all these icebergs you see, and then after that the flooding of course, and water pouring into peoples basements and into their garage. Its just a terrible, terrible mess, said Rob Hall, Dolgeville resident.
Rob Hall and his family were one of the ten told to evacuate their homes along the East Cananda Creek Friday.
Unfortunately, now our yard and our homes have become the creek, said Hall.
Its been an hours-long mess. He says the flooding started around 1:30 pm this afternoon, with what looked like a wall of ice barreling down the creek.
Hall and his family were able to return to their home Friday afternoon, but his next-door neighbor wasnt so lucky.
He says his neighbors home had it the worst after the creek completely consumed it. Ice chunks from the creek litter the property.
Flooding from ice jams prompts evacuations in Dolgeville
Dolgeville residents are no strangers to flooding, but Friday was different, according to the villages Fire Chief Dave Jaquay.
Jaquay tells CBSs Briana Supardi that he has never seen an ice jam this bad, dumping at the worst he has ever seen in the 16 years on the job.
The fire chief says its still touch and go for the remaining five homes still evacuated. He doesnt know how long crews on Van Buren St will be working overtime to get the water back into the creek and families back into their homes.</t>
        </is>
      </c>
    </row>
    <row r="7" ht="34.5" customHeight="1" s="13">
      <c r="A7" s="19" t="inlineStr">
        <is>
          <t>2022-02-10</t>
        </is>
      </c>
      <c r="B7" s="19" t="inlineStr">
        <is>
          <t>Schenectady</t>
        </is>
      </c>
      <c r="C7" s="19" t="inlineStr">
        <is>
          <t>Mohawk River</t>
        </is>
      </c>
      <c r="D7" s="19" t="inlineStr">
        <is>
          <t>Freeze-up</t>
        </is>
      </c>
      <c r="E7" s="19" t="n">
        <v>21.5</v>
      </c>
      <c r="F7" s="19" t="inlineStr">
        <is>
          <t>Ice jam occurred on the Mohawk River at Schenectady, NY.  Minor flooding was reported, but tugboats have been used to carve channels and mitigate the effects of the jam.  Release as of 24 Feb.</t>
        </is>
      </c>
    </row>
    <row r="8" ht="15" customHeight="1" s="13">
      <c r="A8" s="19" t="inlineStr">
        <is>
          <t>2019-02-09</t>
        </is>
      </c>
      <c r="B8" s="19" t="inlineStr">
        <is>
          <t>Ballston Spa</t>
        </is>
      </c>
      <c r="C8" s="19" t="inlineStr">
        <is>
          <t>Kayaderosseras Creek</t>
        </is>
      </c>
      <c r="D8" s="19" t="inlineStr">
        <is>
          <t>Break-up</t>
        </is>
      </c>
      <c r="E8" s="19" t="n">
        <v>35.5</v>
      </c>
      <c r="F8" s="19" t="n"/>
    </row>
    <row r="9" ht="15" customHeight="1" s="13">
      <c r="A9" s="19" t="inlineStr">
        <is>
          <t>2019-02-08</t>
        </is>
      </c>
      <c r="B9" s="19" t="inlineStr">
        <is>
          <t>Rotterdam</t>
        </is>
      </c>
      <c r="C9" s="19" t="inlineStr">
        <is>
          <t>Mohawk River</t>
        </is>
      </c>
      <c r="D9" s="19" t="inlineStr">
        <is>
          <t>Break-up</t>
        </is>
      </c>
      <c r="E9" s="19" t="n">
        <v>23</v>
      </c>
      <c r="F9" s="19" t="n"/>
    </row>
    <row r="10" ht="15" customHeight="1" s="13">
      <c r="A10" s="19" t="inlineStr">
        <is>
          <t>2019-01-25</t>
        </is>
      </c>
      <c r="B10" s="19" t="inlineStr">
        <is>
          <t>Albany</t>
        </is>
      </c>
      <c r="C10" s="19" t="inlineStr">
        <is>
          <t>Hudson River</t>
        </is>
      </c>
      <c r="D10" s="19" t="inlineStr">
        <is>
          <t>Break-up</t>
        </is>
      </c>
      <c r="E10" s="19" t="n">
        <v>18.1</v>
      </c>
      <c r="F10" s="19" t="n"/>
    </row>
    <row r="11" ht="23.25" customHeight="1" s="13">
      <c r="A11" s="19" t="inlineStr">
        <is>
          <t>2019-01-24</t>
        </is>
      </c>
      <c r="B11" s="19" t="inlineStr">
        <is>
          <t>Delhi</t>
        </is>
      </c>
      <c r="C11" s="19" t="inlineStr">
        <is>
          <t>West Branch Delaware River</t>
        </is>
      </c>
      <c r="D11" s="19" t="inlineStr">
        <is>
          <t>Break-up</t>
        </is>
      </c>
      <c r="E11" s="19" t="n">
        <v>45.2</v>
      </c>
      <c r="F11" s="19" t="n"/>
    </row>
    <row r="12" ht="15" customHeight="1" s="13">
      <c r="A12" s="19" t="inlineStr">
        <is>
          <t>2019-01-24</t>
        </is>
      </c>
      <c r="B12" s="19" t="inlineStr">
        <is>
          <t>Schenectady</t>
        </is>
      </c>
      <c r="C12" s="19" t="inlineStr">
        <is>
          <t>Mohawk River</t>
        </is>
      </c>
      <c r="D12" s="19" t="inlineStr">
        <is>
          <t>Break-up</t>
        </is>
      </c>
      <c r="E12" s="19" t="n">
        <v>22.4</v>
      </c>
      <c r="F12" s="19" t="n"/>
    </row>
    <row r="13" ht="15" customHeight="1" s="13">
      <c r="A13" s="19" t="inlineStr">
        <is>
          <t>2019-01-24</t>
        </is>
      </c>
      <c r="B13" s="19" t="inlineStr">
        <is>
          <t>Eagle Bridge</t>
        </is>
      </c>
      <c r="C13" s="19" t="inlineStr">
        <is>
          <t>Hoosic River</t>
        </is>
      </c>
      <c r="D13" s="19" t="inlineStr">
        <is>
          <t>Break-up</t>
        </is>
      </c>
      <c r="E13" s="19" t="n">
        <v>44.7</v>
      </c>
      <c r="F13" s="19" t="n"/>
    </row>
    <row r="14" ht="15" customHeight="1" s="13">
      <c r="A14" s="19" t="inlineStr">
        <is>
          <t>2018-01-23</t>
        </is>
      </c>
      <c r="B14" s="19" t="inlineStr">
        <is>
          <t>Pittstown</t>
        </is>
      </c>
      <c r="C14" s="19" t="inlineStr">
        <is>
          <t>Sunkauissia Creek</t>
        </is>
      </c>
      <c r="D14" s="19" t="inlineStr">
        <is>
          <t>Break-up</t>
        </is>
      </c>
      <c r="E14" s="19" t="n">
        <v>34.9</v>
      </c>
      <c r="F14" s="19" t="n"/>
    </row>
    <row r="15" ht="15" customHeight="1" s="13">
      <c r="A15" s="19" t="inlineStr">
        <is>
          <t>2018-01-13</t>
        </is>
      </c>
      <c r="B15" s="19" t="inlineStr">
        <is>
          <t>Sidney</t>
        </is>
      </c>
      <c r="C15" s="19" t="inlineStr">
        <is>
          <t>Susquehanna River</t>
        </is>
      </c>
      <c r="D15" s="19" t="inlineStr">
        <is>
          <t>Break-up</t>
        </is>
      </c>
      <c r="E15" s="19" t="n">
        <v>71.5</v>
      </c>
      <c r="F15" s="19" t="n"/>
    </row>
    <row r="16" ht="15" customHeight="1" s="13">
      <c r="A16" s="19" t="inlineStr">
        <is>
          <t>2018-01-13</t>
        </is>
      </c>
      <c r="B16" s="19" t="inlineStr">
        <is>
          <t>Schenectady</t>
        </is>
      </c>
      <c r="C16" s="19" t="inlineStr">
        <is>
          <t>Mohawk River</t>
        </is>
      </c>
      <c r="D16" s="19" t="inlineStr">
        <is>
          <t>Break-up</t>
        </is>
      </c>
      <c r="E16" s="19" t="n">
        <v>24.4</v>
      </c>
      <c r="F16" s="19" t="n"/>
    </row>
    <row r="17" ht="15" customHeight="1" s="13">
      <c r="A17" s="19" t="inlineStr">
        <is>
          <t>2018-01-13</t>
        </is>
      </c>
      <c r="B17" s="19" t="inlineStr">
        <is>
          <t>Warrensburg</t>
        </is>
      </c>
      <c r="C17" s="19" t="inlineStr">
        <is>
          <t>Hudson River</t>
        </is>
      </c>
      <c r="D17" s="19" t="inlineStr">
        <is>
          <t>Break-up</t>
        </is>
      </c>
      <c r="E17" s="19" t="n">
        <v>66.40000000000001</v>
      </c>
      <c r="F17" s="19" t="n"/>
    </row>
    <row r="18" ht="15" customHeight="1" s="13">
      <c r="A18" s="19" t="inlineStr">
        <is>
          <t>2018-01-13</t>
        </is>
      </c>
      <c r="B18" s="19" t="inlineStr">
        <is>
          <t>Buskirk</t>
        </is>
      </c>
      <c r="C18" s="19" t="inlineStr">
        <is>
          <t>Hoosic River</t>
        </is>
      </c>
      <c r="D18" s="19" t="inlineStr">
        <is>
          <t>Break-up</t>
        </is>
      </c>
      <c r="E18" s="19" t="n">
        <v>43.5</v>
      </c>
      <c r="F18" s="19" t="n"/>
    </row>
    <row r="19" ht="15" customHeight="1" s="13">
      <c r="A19" s="19" t="inlineStr">
        <is>
          <t>2018-01-12</t>
        </is>
      </c>
      <c r="B19" s="19" t="inlineStr">
        <is>
          <t>Ilion</t>
        </is>
      </c>
      <c r="C19" s="19" t="inlineStr">
        <is>
          <t>Steele Creek</t>
        </is>
      </c>
      <c r="D19" s="19" t="inlineStr">
        <is>
          <t>Break-up</t>
        </is>
      </c>
      <c r="E19" s="19" t="n">
        <v>61.4</v>
      </c>
      <c r="F19" s="19" t="n"/>
    </row>
    <row r="20" ht="15" customHeight="1" s="13">
      <c r="A20" s="19" t="inlineStr">
        <is>
          <t>2018-01-12</t>
        </is>
      </c>
      <c r="B20" s="19" t="inlineStr">
        <is>
          <t>Northville</t>
        </is>
      </c>
      <c r="C20" s="19" t="inlineStr">
        <is>
          <t>Sacandaga River</t>
        </is>
      </c>
      <c r="D20" s="19" t="inlineStr">
        <is>
          <t>Break-up</t>
        </is>
      </c>
      <c r="E20" s="19" t="n">
        <v>52.1</v>
      </c>
      <c r="F20" s="19" t="n"/>
    </row>
    <row r="21" ht="15" customHeight="1" s="13">
      <c r="A21" s="19" t="inlineStr">
        <is>
          <t>2018-01-12</t>
        </is>
      </c>
      <c r="B21" s="19" t="inlineStr">
        <is>
          <t>Westbrookville</t>
        </is>
      </c>
      <c r="C21" s="19" t="inlineStr">
        <is>
          <t>Pine Kill</t>
        </is>
      </c>
      <c r="D21" s="19" t="inlineStr">
        <is>
          <t>Break-up</t>
        </is>
      </c>
      <c r="E21" s="19" t="n">
        <v>74.90000000000001</v>
      </c>
      <c r="F21" s="19" t="n"/>
    </row>
    <row r="22" ht="23.25" customHeight="1" s="13">
      <c r="A22" s="19" t="inlineStr">
        <is>
          <t>2018-01-12</t>
        </is>
      </c>
      <c r="B22" s="19" t="inlineStr">
        <is>
          <t>East Branch</t>
        </is>
      </c>
      <c r="C22" s="19" t="inlineStr">
        <is>
          <t>East Branch Delaware River</t>
        </is>
      </c>
      <c r="D22" s="19" t="inlineStr">
        <is>
          <t>Break-up</t>
        </is>
      </c>
      <c r="E22" s="19" t="n">
        <v>66.40000000000001</v>
      </c>
      <c r="F22" s="19" t="n"/>
    </row>
    <row r="23" ht="15" customHeight="1" s="13">
      <c r="A23" s="19" t="inlineStr">
        <is>
          <t>2015-04-01</t>
        </is>
      </c>
      <c r="B23" s="19" t="inlineStr">
        <is>
          <t>Schenectady</t>
        </is>
      </c>
      <c r="C23" s="19" t="inlineStr">
        <is>
          <t>Mohawk River</t>
        </is>
      </c>
      <c r="D23" s="19" t="inlineStr">
        <is>
          <t>Break-up</t>
        </is>
      </c>
      <c r="E23" s="19" t="n">
        <v>21.7</v>
      </c>
      <c r="F23" s="19" t="n"/>
    </row>
    <row r="24" ht="102" customHeight="1" s="13">
      <c r="A24" s="19" t="inlineStr">
        <is>
          <t>2015-01-19</t>
        </is>
      </c>
      <c r="B24" s="19" t="inlineStr">
        <is>
          <t>Eagle Bridge</t>
        </is>
      </c>
      <c r="C24" s="19" t="inlineStr">
        <is>
          <t>Hoosic River</t>
        </is>
      </c>
      <c r="D24" s="19" t="inlineStr">
        <is>
          <t>Freeze-up</t>
        </is>
      </c>
      <c r="E24" s="19" t="n">
        <v>44.7</v>
      </c>
      <c r="F24" s="19" t="inlineStr">
        <is>
          <t>Jan 21: THE EAGLE BRIDGE GAGE ON THE HOOSIC RIVER CONTINUES TO BE HAMPERED BY ICE EFFECTS AND RECENTLY HAS EXHIBITED A DECREASE IN GAGE LEVELS /BELOW FLOOD STAGE/.
Jan 19: AN ICE JAM CAUSED MINOR FLOODING FOR EAGLE BRIDGE ON THE HOOSIC RIVER. THE FLOOD WARNING CONTINUES FOR THE HOOSIC RIVER AT EAGLE BRIDGE. UNTIL THIS EVENING. AT 12 PM MONDAY THE STAGE WAS 12.5 FEET DUE TO AN ICE JAM NEAR THE GAGE. FLOOD STAGE IS 11.0 FEET. MINOR FLOODING IS OCCURRING AND MINOR FLOODING IS FORECAST.</t>
        </is>
      </c>
    </row>
    <row r="25" ht="102" customHeight="1" s="13">
      <c r="A25" s="19" t="inlineStr">
        <is>
          <t>2014-03-30</t>
        </is>
      </c>
      <c r="B25" s="19" t="inlineStr">
        <is>
          <t>Danube</t>
        </is>
      </c>
      <c r="C25" s="19" t="inlineStr">
        <is>
          <t>Nowadaga Creek</t>
        </is>
      </c>
      <c r="D25" s="19" t="inlineStr">
        <is>
          <t>Break-up</t>
        </is>
      </c>
      <c r="E25" s="19" t="n">
        <v>50.5</v>
      </c>
      <c r="F25" s="19" t="inlineStr">
        <is>
          <t>On 30 March 2014
AT 1217 PM EDT...EMERGENCY MANAGEMENT REPORTS FLOODING FROM AN ICE JAM ON THE NOWADAGA CREEK IN DANUBE. CREEK ROAD IS CLOSED  DUE TO WATER AND ICE.
AT 623 AM EDT...EMERGENCY MANAGEMENT REPORTS FLOODING FROM AN ICE JAM ON THE NOWADAGA CREEK IN DANUBE. CREEK ROAD IS CLOSED DUE TO WATER AND ICE.</t>
        </is>
      </c>
    </row>
    <row r="26" ht="168.75" customHeight="1" s="13">
      <c r="A26" s="19" t="inlineStr">
        <is>
          <t>2014-03-05</t>
        </is>
      </c>
      <c r="B26" s="19" t="inlineStr">
        <is>
          <t>Callicoon</t>
        </is>
      </c>
      <c r="C26" s="19" t="inlineStr">
        <is>
          <t>Delaware River</t>
        </is>
      </c>
      <c r="D26" s="19" t="inlineStr">
        <is>
          <t>Break-up</t>
        </is>
      </c>
      <c r="E26" s="19" t="n">
        <v>73.2</v>
      </c>
      <c r="F26" s="19" t="inlineStr">
        <is>
          <t>HYDROLOGIC STATEMENT
NATIONAL WEATHER SERVICE BINGHAMTON, NY
1206 PM EDT TUE MAR 11 2014
DATE OF OBSERVATION: 3/5/2014 ID: 159
     LOCATION: DELAWARE RIVER FROM CALLICOON TO TENMILE RIVER PA
     REPORT: SOLID ICE COVERS THE RIVER AND STARTED ON 2/19/2014.
     THE SOLID ICE COVER BEGINS AT BEGINS APPROXIMATELY 2 MILES
     ABOVE CALLICOON BRIDGE. AND ENDS AT ENDS BELOW THE NARROWSBURG
     POOL.
     COMMENT: THIS IS THE MOST SIGNIFICANT ICE AREA.  THERE IS
     SIGNIFICANT ICE BUILDUP IN THE FLOOD PLAIN UP TO 15' THICK OF
     HUMMOCK ICE FROM THE LAST FREEZE UP JAM.  THE ENTIRE AREA IS
     SHEET ICE WITH A FEW OPEN LEADS.</t>
        </is>
      </c>
    </row>
    <row r="27" ht="672.75" customHeight="1" s="13">
      <c r="A27" s="19" t="inlineStr">
        <is>
          <t>2014-01-14</t>
        </is>
      </c>
      <c r="B27" s="19" t="inlineStr">
        <is>
          <t>Herkimer</t>
        </is>
      </c>
      <c r="C27" s="19" t="inlineStr">
        <is>
          <t>Bellinger Brook</t>
        </is>
      </c>
      <c r="D27" s="19" t="inlineStr">
        <is>
          <t>Break-up</t>
        </is>
      </c>
      <c r="E27" s="19" t="n">
        <v>59.8</v>
      </c>
      <c r="F27" s="19" t="inlineStr">
        <is>
          <t>FLOOD ADVISORY
NATIONAL WEATHER SERVICE ALBANY NY
429 PM EST TUE JAN 14 2014
...THE FLOOD ADVISORY FOR ICE JAM FLOODING HAS BEEN CANCELLED FOR
SOUTH CENTRAL HERKIMER COUNTY...
THE ICE JAM WHICH WAS IN PLACE ON THE BELLINGER BROOK HAS BROKEN AND
THE WATER WAS FLOWING FREELY. THEREFORE THE THREAT OF FLOODING HAS
ENDED.
LAT...LON 4307 7503 4305 7492 4299 7494 4302 7504
$$
FLOOD ADVISORY
NATIONAL WEATHER SERVICE ALBANY NY
159 PM EST TUE JAN 14 2014
THE NATIONAL WEATHER SERVICE IN ALBANY HAS ISSUED A
* FLOOD ADVISORY FOR ICE JAM FLOODING IN...
  SOUTH CENTRAL HERKIMER COUNTY IN EASTERN NEW YORK...
  THIS INCLUDES THE CITY OF HERKIMER...
* UNTIL 145 AM EST WEDNESDAY
* AT 151 PM EST...LAW ENFORCEMENT OFFICIALS REPORTED ICE JAM
  FLOODING ALONG THE BELLINGER BROOK...CLOSING THE ROADS NEAR THE
  INTERSECTION OF CHURCH STREET AND WEST GERMAN STREET.  ICE ALONG
  THE BRIDGE IN THE AREA IS BACKING UP WATER ON THESE STREETS AND
  THE FLOODING IS EXPECTED TO CONTINUE THROUGH THIS EVENING. LIGHT
  RAIN RUNNING OFF INTO THE BROOK COULD ALSO CONTRIBUTE TO THE
  WATER ON THE ROADS.
PRECAUTIONARY/PREPAREDNESS ACTIONS...
A FLOOD ADVISORY MEANS RIVER OR STREAM FLOWS ARE ELEVATED OR PONDING
OF WATER IN URBAN OR OTHER AREAS IS OCCURRING OR IS IMMINENT.
&amp;&amp;
LAT...LON 4307 7503 4305 7492 4299 7494 4302 7504
$$
Central Paving, Herkimer County and others brought in excavators to take out the ice, working on both sides of the bridge, according to Herkimer
Police Capt. Scott Scherer. Later in the afternoon, a utility pole was brought in and used to ram the ice, finally breaking up the jam, he said.
Cement barriers and sandbags were used to divert the flow of the water down Graham Street. Scherer said the Herkimer Department of Public
Works would be on the scene into the evening cleaning up the chunks of ice that were dumped in the park area along the creek between Church
and German streets.</t>
        </is>
      </c>
    </row>
    <row r="28" ht="57" customHeight="1" s="13">
      <c r="A28" s="19" t="inlineStr">
        <is>
          <t>2014-01-13</t>
        </is>
      </c>
      <c r="B28" s="19" t="inlineStr">
        <is>
          <t>Ballston Spa</t>
        </is>
      </c>
      <c r="C28" s="19" t="inlineStr">
        <is>
          <t>Kayaderosseras Creek</t>
        </is>
      </c>
      <c r="D28" s="19" t="inlineStr">
        <is>
          <t>Break-up</t>
        </is>
      </c>
      <c r="E28" s="19" t="n">
        <v>35.6</v>
      </c>
      <c r="F28" s="19" t="inlineStr">
        <is>
          <t>An ice jam had caused the Kayaderosseras Creek to flood Kelley Park in Ballston Spa, NY on Monday 13 Jan 2014, according to the Saratogian.com. 
The bridge on Ralph Street was shut down due to flooding concerns and water and sewer lines which run under the bridge.  Homes affected by flood waters were located on Liberty, Kent and Mechanic Streets.</t>
        </is>
      </c>
    </row>
    <row r="29" ht="157.5" customHeight="1" s="13">
      <c r="A29" s="19" t="inlineStr">
        <is>
          <t>2014-01-12</t>
        </is>
      </c>
      <c r="B29" s="19" t="inlineStr">
        <is>
          <t>Thurman</t>
        </is>
      </c>
      <c r="C29" s="19" t="inlineStr">
        <is>
          <t>Glen Creek</t>
        </is>
      </c>
      <c r="D29" s="19" t="inlineStr">
        <is>
          <t>Break-up</t>
        </is>
      </c>
      <c r="E29" s="19" t="n">
        <v>72.5</v>
      </c>
      <c r="F29" s="19" t="inlineStr">
        <is>
          <t>The poststar.com reported that 'weather causes issues in Johnsburg, Thurman' on Sunday 12 Jan 14 in NY.
"Claude Straight Road had water hitting the bridge beams Saturday afternoon because of the
heavy rains, according to Highway Superintendent Dan Hitchcock.
Hitchcock said Harrington Road also had ice up to scraper banks in some locations and Glen
Creek Road was closed early Sunday morning because of an ice jam and flooding."
"In Thurman, an ice jam on the Hudson River shut down a road in the town.
River Road closed Sunday evening because of the issue, according to the Warren County Sheriffs Office."</t>
        </is>
      </c>
    </row>
    <row r="30" ht="102" customHeight="1" s="13">
      <c r="A30" s="19" t="inlineStr">
        <is>
          <t>2014-01-11</t>
        </is>
      </c>
      <c r="B30" s="19" t="inlineStr">
        <is>
          <t>Eagle Bridge</t>
        </is>
      </c>
      <c r="C30" s="19" t="inlineStr">
        <is>
          <t>Hoosic River</t>
        </is>
      </c>
      <c r="D30" s="19" t="inlineStr">
        <is>
          <t>Break-up</t>
        </is>
      </c>
      <c r="E30" s="19" t="n">
        <v>44.7</v>
      </c>
      <c r="F30" s="19" t="inlineStr">
        <is>
          <t>Authorities in Rensselaer County reported an ice jam on the Hoosic River caused minor flooding late Saturday on County Route 103 in the Town of Hoosick. A section of the roadway, near the Buskirk Bridge, was closed.
NWS reported road closures in southern WAshing county in Cambridge at King Road and Cty Rte 59 with ice bakcing up and minor flooding.  NWS gages peak at 11.99 ft.  Minor flooding occurs at 11ft.
Location is estimated based on descriptions of flooding upstream of jam.</t>
        </is>
      </c>
    </row>
    <row r="31" ht="57" customHeight="1" s="13">
      <c r="A31" s="19" t="inlineStr">
        <is>
          <t>2014-01-10</t>
        </is>
      </c>
      <c r="B31" s="19" t="inlineStr">
        <is>
          <t>Starkville</t>
        </is>
      </c>
      <c r="C31" s="19" t="inlineStr">
        <is>
          <t>Otsquago Creek</t>
        </is>
      </c>
      <c r="D31" s="19" t="inlineStr">
        <is>
          <t>Break-up</t>
        </is>
      </c>
      <c r="E31" s="19" t="n">
        <v>46.3</v>
      </c>
      <c r="F31" s="19" t="inlineStr">
        <is>
          <t>According to Fox23 News on 10 Jan 2014, heavy machinery was brought in to remove ice from under the Route 80 bridge on the Otsquago Creek, in Starkville, NY in order to avoid flooding.  Sub-zero temps, resulting in ice accumulation on area rivers was followed by warm, rainy conditions on 11 Jan 2014, leading to ice jam breakup flooding across the region.</t>
        </is>
      </c>
    </row>
    <row r="32" ht="706.5" customHeight="1" s="13">
      <c r="A32" s="19" t="inlineStr">
        <is>
          <t>2014-01-08</t>
        </is>
      </c>
      <c r="B32" s="19" t="inlineStr">
        <is>
          <t>Poughkeepsie</t>
        </is>
      </c>
      <c r="C32" s="19" t="inlineStr">
        <is>
          <t>Wappingers Creek</t>
        </is>
      </c>
      <c r="D32" s="19" t="inlineStr">
        <is>
          <t>Break-up</t>
        </is>
      </c>
      <c r="E32" s="19" t="n">
        <v>60.6</v>
      </c>
      <c r="F32" s="19" t="inlineStr">
        <is>
          <t>1113 AM EST WED JAN 8 2014
THE NATIONAL WEATHER SERVICE IN ALBANY HAS ISSUED A
* FLOOD ADVISORY FOR ICE JAM FLOODING IN...
WEST CENTRAL DUTCHESS COUNTY IN EAST CENTRAL NEW YORK...
THIS INCLUDES THE CITY OF POUGHKEEPSIE...
* UNTIL 515 PM EST WEDNESDAY
* AT 1109 AM EST EMERGENCY MANAGEMENT IS REPORTING AN ICE JAM WAS IN
PROGRESS IN THE VICINITY OF WAPPINGERS CREEK BETWEEN JACKSON ROAD
AND RED OAKS NEAR ROUTE 346. COUNTY POLICE ALONG WITH EMERGENCY
MANAGEMENT CONTINUE TO CLOSELY EVALUATE THE SITUATION.
ICE JAMS CAN DEVELOP VERY QUICKLY AS MOTORISTS AND RESIDENTS ARE
URGED TO SEEK HIGHER GROUND IF WATER LEVELS INCREASE.
PRECAUTIONARY/PREPAREDNESS ACTIONS...
DO NOT DRIVE YOUR VEHICLE INTO AREAS WHERE THE WATER COVERS THE
ROADWAY. THE WATER DEPTH MAY BE TOO GREAT TO ALLOW YOUR CAR TO CROSS
SAFELY. MOVE TO HIGHER GROUND.
A FLOOD ADVISORY MEANS RIVER OR STREAM FLOWS ARE ELEVATED OR PONDING
OF WATER IN URBAN OR OTHER AREAS IS OCCURRING
1000 PM EST Thu Jan 9 2014
... The Flood Advisory for ice jam flooding remains in effect until
100 PM EST Friday for southwestern Dutchess County... 
At 959 PM EST... emergency management... law enforcement and public 
continue to indicate an ice jam on the wappingers creek. This ice 
jam was between Walker Road and Maloney Road that is parallel to 
Route 376. 
At this time... no Road closures or a threat to property have been 
observed. However... residents and motorists are highly encouraged 
to monitor water levels and listen for further statements. 
Precautionary/preparedness actions... 
Do not drive your vehicle into areas where the water covers the
roadway. The water depth may be too great to allow your car to cross
safely. Move to higher ground.
Lat... Lon 4167 7389 4167 7384 4159 7388 4159 7394
1103 AM EST SUN JAN 12 2014
...THE FLOOD ADVISORY HAS BEEN CANCELLED FOR SOUTHWESTERN DUTCHESS
COUNTY...
COUNTY EMERGENCY MANAGEMENT HAS INDICATED THE ICE JAM ALONG
WAPPINGERS CREEK IS NO LONGER RESULTING IN FLOODING.
THEREFORE...THE FLOOD ADVISORY HAS BEEN CANCELLED.</t>
        </is>
      </c>
    </row>
    <row r="33" ht="157.5" customHeight="1" s="13">
      <c r="A33" s="19" t="inlineStr">
        <is>
          <t>2014-01-07</t>
        </is>
      </c>
      <c r="B33" s="19" t="inlineStr">
        <is>
          <t>Buskirk</t>
        </is>
      </c>
      <c r="C33" s="19" t="inlineStr">
        <is>
          <t>Hoosick River</t>
        </is>
      </c>
      <c r="D33" s="19" t="inlineStr">
        <is>
          <t>Break-up</t>
        </is>
      </c>
      <c r="E33" s="19" t="n">
        <v>41.8</v>
      </c>
      <c r="F33" s="19" t="inlineStr">
        <is>
          <t>THE NATIONAL WEATHER SERVICE IN ALBANY HAS ISSUED A FLOOD ADVISORY at 536 AM EST TUE JAN 7 2014:
* FLOOD ADVISORY FOR ICE JAM FLOODING IN...
  EXTREME NORTH CENTRAL RENSSELAER COUNTY IN EAST CENTRAL NEW YORK...
  SOUTH CENTRAL WASHINGTON COUNTY IN EAST CENTRAL NEW YORK...
* UNTIL 1130 AM EST
* AT 530 AM EST...POLICE REPORTED THAT AN ICE JAM ON THE HOOSICK
  RIVER NEAR BUSKIRK WAS CAUSING FLOODING ALONG COUNTY ROUTE
  103...WHICH IS ALSO KNOWN AS BUSKIRK-WEST HOOSICK ROAD. THE ROAD WAS CLOSED DUE TO THE FLOODING.</t>
        </is>
      </c>
    </row>
    <row r="34" ht="102" customHeight="1" s="13">
      <c r="A34" s="19" t="inlineStr">
        <is>
          <t>2013-02-01</t>
        </is>
      </c>
      <c r="B34" s="19" t="inlineStr">
        <is>
          <t>Thurman</t>
        </is>
      </c>
      <c r="C34" s="19" t="inlineStr">
        <is>
          <t>Hudson River</t>
        </is>
      </c>
      <c r="D34" s="19" t="inlineStr">
        <is>
          <t>Break-up</t>
        </is>
      </c>
      <c r="E34" s="19" t="n">
        <v>68.09999999999999</v>
      </c>
      <c r="F34" s="19" t="inlineStr">
        <is>
          <t>As was reported in "Hudson River ice jam causing problems", by Jon Alexander [jalexander@poststar.com] massive ice chunks up to 10 ft thick in spots, apparently broke off near North Creek, following unseasonably warm days, creating a jam on the upper Hudson River near Thurman NY on Fri 1 Feb 2013.  As the ice chunks became lodged they caused the water behind them to jump the banks, with more than one hundred yards of River Road in Thurman under 3 feet of ice chunks.  According to Supervisor Evelyn Wood, the water receded by midday, leaving the ice chunks in the road.  On Monday town highway crews using loaders and backhoes are expected to remove the ice from River Road.</t>
        </is>
      </c>
    </row>
    <row r="35" ht="102" customHeight="1" s="13">
      <c r="A35" s="19" t="inlineStr">
        <is>
          <t>2013-01-31</t>
        </is>
      </c>
      <c r="B35" s="19" t="inlineStr">
        <is>
          <t>Dolgeville</t>
        </is>
      </c>
      <c r="C35" s="19" t="inlineStr">
        <is>
          <t>East Canada Creek</t>
        </is>
      </c>
      <c r="D35" s="19" t="inlineStr">
        <is>
          <t>Break-up</t>
        </is>
      </c>
      <c r="E35" s="19" t="n">
        <v>54.6</v>
      </c>
      <c r="F35" s="19" t="inlineStr">
        <is>
          <t>A midwinter thaw with record breaking temperatures and rain across central and northeastern states from 29-31 Jan 2013 has resulted in numerous breakup jams across the region.
At 1114 AM EST Thu 31 Jan 2013, the National Weather Service in Albany NY issued a Flood Advisory.  Spotters had reported an ice jam on the East Canada Creek at 1109 AM which was causing Minor Flooding on Dolge Ave in Dolgeville NY. The Minor Flooding was forecast to subside later in the day as the water levels dropped following the snowmelt and rainfall which resulted in the breakup jam.</t>
        </is>
      </c>
    </row>
    <row r="36" ht="57" customHeight="1" s="13">
      <c r="A36" s="19" t="inlineStr">
        <is>
          <t>2013-01-30</t>
        </is>
      </c>
      <c r="B36" s="19" t="inlineStr">
        <is>
          <t>Whitesboro</t>
        </is>
      </c>
      <c r="C36" s="19" t="inlineStr">
        <is>
          <t>Sauquoit Creek</t>
        </is>
      </c>
      <c r="D36" s="19" t="inlineStr">
        <is>
          <t>Break-up</t>
        </is>
      </c>
      <c r="E36" s="19" t="n">
        <v>74.8</v>
      </c>
      <c r="F36" s="19" t="inlineStr">
        <is>
          <t>At 7:19 AM Thu 31 Jan 2013, YNN Your News Now, reported that a breakup ice jam that had formed on the Saupuoit Creek the day before had released Wed night and crews were able to 'get rid of the debris'.  Emergency officials feared the village of Whitesboro NY might flood again as it had in the fall of 2011, as the area is prone to flooding.</t>
        </is>
      </c>
    </row>
    <row r="37" ht="34.5" customHeight="1" s="13">
      <c r="A37" s="19" t="inlineStr">
        <is>
          <t>2012-01-27</t>
        </is>
      </c>
      <c r="B37" s="19" t="inlineStr">
        <is>
          <t>Canajoharie</t>
        </is>
      </c>
      <c r="C37" s="19" t="inlineStr">
        <is>
          <t>Canajoharie Creek</t>
        </is>
      </c>
      <c r="D37" s="19" t="inlineStr">
        <is>
          <t>?</t>
        </is>
      </c>
      <c r="E37" s="19" t="n">
        <v>37.7</v>
      </c>
      <c r="F37" s="19" t="inlineStr">
        <is>
          <t>USGS Water Resources Data for New York WY 2012 reported an annual maximum gage height of 7.41ft on 27-JAN-2012 due to an ice jam at USGS gaging station 01349150 Canajoharie, NY. The average daily discharge was not reported.</t>
        </is>
      </c>
    </row>
    <row r="38" ht="45.75" customHeight="1" s="13">
      <c r="A38" s="19" t="inlineStr">
        <is>
          <t>2012-01-27</t>
        </is>
      </c>
      <c r="B38" s="19" t="inlineStr">
        <is>
          <t>Mohawk</t>
        </is>
      </c>
      <c r="C38" s="19" t="inlineStr">
        <is>
          <t>Fulmer Creek</t>
        </is>
      </c>
      <c r="D38" s="19" t="inlineStr">
        <is>
          <t>Unknown</t>
        </is>
      </c>
      <c r="E38" s="19" t="n">
        <v>59.9</v>
      </c>
      <c r="F38" s="19" t="inlineStr">
        <is>
          <t>AN ICE JAM WAS REPORTED IN THE FULMER CREEK NEAR ROUTE 5S IN THE
TOWN OF MOHAWK IN SOUTHERN HERKIMER COUNTY BY EMERGENCY MANAGEMENT
WITH NO SIGNIFICANT FLOODING 27 Jan 2012</t>
        </is>
      </c>
    </row>
    <row r="39" ht="90.75" customHeight="1" s="13">
      <c r="A39" s="19" t="inlineStr">
        <is>
          <t>2011-03-07</t>
        </is>
      </c>
      <c r="B39" s="19" t="inlineStr">
        <is>
          <t>Hope</t>
        </is>
      </c>
      <c r="C39" s="19" t="inlineStr">
        <is>
          <t>Sacandaga River</t>
        </is>
      </c>
      <c r="D39" s="19" t="inlineStr">
        <is>
          <t>Break-up</t>
        </is>
      </c>
      <c r="E39" s="19" t="n">
        <v>58.9</v>
      </c>
      <c r="F39" s="19" t="inlineStr">
        <is>
          <t>In Area Forecast Discussions issued by the National Weather Service in Albany NY on Mon and Tues 7 &amp; 8 March 2011, ice jams were reported to be on the Sacandaga River near Hope NY and on the Mohawk River in Schenectady NY.  No flooding was occurring.
&gt;
In an earlier NWS Flood Warning issued 828 AM EST Mon 7 Mar 2011, Hamilton County Emergency Management reported Route 30 was closed due to flooding from the ice jam on the Sacandaga River near Hope NY.</t>
        </is>
      </c>
    </row>
    <row r="40" ht="348" customHeight="1" s="13">
      <c r="A40" s="19" t="inlineStr">
        <is>
          <t>2011-03-07</t>
        </is>
      </c>
      <c r="B40" s="19" t="inlineStr">
        <is>
          <t>Schenectady</t>
        </is>
      </c>
      <c r="C40" s="19" t="inlineStr">
        <is>
          <t>Mohawk River</t>
        </is>
      </c>
      <c r="D40" s="19" t="inlineStr">
        <is>
          <t>Break-up</t>
        </is>
      </c>
      <c r="E40" s="19" t="n">
        <v>22.4</v>
      </c>
      <c r="F40" s="19" t="inlineStr">
        <is>
          <t>In Area Forecast Discussions issued by the National Weather Service in Albany NY on Mon and Tues 7 &amp; 8 March 2011, ice jams were reported to be on the Sacandaga River near Hope NY and on the Mohawk River in Schenectady NY.  No flooding was occurring.
&gt;
The following was reported in a NWS Flood Statement at 915 PM Fri 11 Mar 2011:
* AT 858 PM EST...A SIGNIFICANT ICE JAM HAS FORMED ON THE MOHAWK     
  RIVER IN THE CITY OF SCHENECTADY WITH THE RIVER LEVEL RISING       
  RAPIDLY AS THE WATER WAS BACKING UP BEHIND IT. AREAS BEHIND THE
  ICE JAM ARE EXPECTED TO EXPERIENCE FLOODING THIS EVENING. THE      
  STOCKADE AREA OF SCHENECTADY IS EXPECTED TO BE FLOODED WITH WATER  
  FLOWING ONTO INGERSOLL AVENUE...NORTH AVENUE AND FERRY STREET. IN  
  ADDITION MORE ICE JAMS MAY CAUSE FLOODING UPSTREAM...AND IF THE    
  ICE JAM AT SCHENECTADY BREAKS...DOWNSTREAM COMMUNITIES WOULD BE
  IMPACTED.    
&gt;
In a NWS Area Forecast Discussion issued at 1255 AM Sat 12 Mar 2011:
WE HAVE ISSUED A FLOOD WARNING FOR THE MOHAWK RIVER FROM THE
JUNCTION OF THE MOHAWK RIVER AND SCHOHARIE CREEK EAST THROUGH
SCHENECTADY TO CRESCENT AND COHOES DUE TO AN INCREASED
POSSIBILITY OF ICE JAMMING AS THE FLOW OF THE RIVER CONTINUES TO
INCREASE. THIS WARNING WILL CONTINUE THROUGH 215 PM SATURDAY.
&gt;
In an Area Forecast Discussion issued at 645 AM EDT Sun 13 Mar 2011, the jam on the Mohawk was reported to be located between Locks 6 and 7, and was causing flooding.</t>
        </is>
      </c>
    </row>
    <row r="41" ht="292.5" customHeight="1" s="13">
      <c r="A41" s="19" t="inlineStr">
        <is>
          <t>2011-02-25</t>
        </is>
      </c>
      <c r="B41" s="19" t="inlineStr">
        <is>
          <t>Gardiner</t>
        </is>
      </c>
      <c r="C41" s="19" t="inlineStr">
        <is>
          <t>Wallkill River</t>
        </is>
      </c>
      <c r="D41" s="19" t="inlineStr">
        <is>
          <t>Break-up</t>
        </is>
      </c>
      <c r="E41" s="19" t="n">
        <v>57.7</v>
      </c>
      <c r="F41" s="19" t="inlineStr">
        <is>
          <t>A Flood Advisory was issued by the National Weather Service in New York NY at 1100 PM EST Fri 25 Feb 2011 for urban and small streams for ice jam flooding in Orange County, southeast NY.  The observed river stage on the Wallkill River at Gardiner NY had reached 9.98 ft, and was rapidly rising due to an apparent breakup ice jam, following warm temps in the region.  The USGS station's (01371500) hydrograph located at Gardiner indicated that an initial peak of approximately 12.7 ft occurred in the early morning hours of Sat 26 Feb, but rain is forecast for Sunday.  Flood Stage is 13.0 ft.
The NWS reported the stage at 1100 AM Tue 1 Mar 2011 to be 15.1 ft, with Minor Flooding occurring and forecast to continue over the next several days along the banks of the Wallkill River from Walden to Gardiner NY.
The following information was reported in a NWS Flood Statement issued at 257 AM Wed 2 Mar 2011:
...THE NATIONAL WEATHER SERVICE IN UPTON NY CANCELLED THE RIVER FLOOD
WARNING FOR THE WALLKILL RIVER AT GARDINER...
FLOODING THAT RESULTED FROM AN ICE JAM ON TUESDAY HAS GIVEN WAY AND WATER LEVELS HAVE BEEN STEADILY FALLING THE LAST TWELVE HOURS. ALTHOUGH THERE IS 
STILL ICE ON THE RIVER...THERE IS NO IMMINENT THREAT OF FLOODING AT THIS TIME.</t>
        </is>
      </c>
    </row>
    <row r="42" ht="34.5" customHeight="1" s="13">
      <c r="A42" s="19" t="inlineStr">
        <is>
          <t>2011-02-18</t>
        </is>
      </c>
      <c r="B42" s="19" t="inlineStr">
        <is>
          <t>Canajoharie</t>
        </is>
      </c>
      <c r="C42" s="19" t="inlineStr">
        <is>
          <t>Canajoharie Creek</t>
        </is>
      </c>
      <c r="D42" s="19" t="inlineStr">
        <is>
          <t>?</t>
        </is>
      </c>
      <c r="E42" s="19" t="n">
        <v>37.7</v>
      </c>
      <c r="F42" s="19" t="inlineStr">
        <is>
          <t>USGS Water Resources Data for New York WY 2011 reported an annual maximum peak discharge of 2000cfs on 18-FEB-2011 due to an ice jam at USGS gaging station 01349150 Canajoharie, NY. The gage height was not reported.</t>
        </is>
      </c>
    </row>
    <row r="43" ht="15" customHeight="1" s="13">
      <c r="A43" s="19" t="inlineStr">
        <is>
          <t>2011-01-25</t>
        </is>
      </c>
      <c r="B43" s="19" t="inlineStr">
        <is>
          <t>Ilion</t>
        </is>
      </c>
      <c r="C43" s="19" t="inlineStr">
        <is>
          <t>Steele Creek</t>
        </is>
      </c>
      <c r="D43" s="19" t="inlineStr">
        <is>
          <t>Freeze-up</t>
        </is>
      </c>
      <c r="E43" s="19" t="n">
        <v>61.5</v>
      </c>
      <c r="F43" s="19" t="n"/>
    </row>
    <row r="44" ht="34.5" customHeight="1" s="13">
      <c r="A44" s="19" t="inlineStr">
        <is>
          <t>2010-02-26</t>
        </is>
      </c>
      <c r="B44" s="19" t="inlineStr">
        <is>
          <t>Niskayuna</t>
        </is>
      </c>
      <c r="C44" s="19" t="inlineStr">
        <is>
          <t>Lisha Kill</t>
        </is>
      </c>
      <c r="D44" s="19" t="inlineStr">
        <is>
          <t>?</t>
        </is>
      </c>
      <c r="E44" s="19" t="n">
        <v>20.7</v>
      </c>
      <c r="F44" s="19" t="inlineStr">
        <is>
          <t>USGS Water Resources Data for New York WY 2010 reported an annual maximum gage height of 4.93ft on 26-FEB-2010 due to an ice jam at USGS gaging station 01356190 Niskayuna, NY. The average daily discharge was not reported.</t>
        </is>
      </c>
    </row>
    <row r="45" ht="34.5" customHeight="1" s="13">
      <c r="A45" s="19" t="inlineStr">
        <is>
          <t>2010-01-30</t>
        </is>
      </c>
      <c r="B45" s="19" t="inlineStr">
        <is>
          <t>Delhi</t>
        </is>
      </c>
      <c r="C45" s="19" t="inlineStr">
        <is>
          <t>Little Delaware River</t>
        </is>
      </c>
      <c r="D45" s="19" t="inlineStr">
        <is>
          <t>Freeze-up</t>
        </is>
      </c>
      <c r="E45" s="19" t="n">
        <v>47.4</v>
      </c>
      <c r="F45" s="19" t="inlineStr">
        <is>
          <t>USGS Water Resources Data for New York WY 2010 reported a gage height of 6.79ft on 30-JAN-2010 due to an ice jam at USGS gaging station 01422500 Delhi, NY. The average daily discharge was 182cfs.</t>
        </is>
      </c>
    </row>
    <row r="46" ht="135.75" customHeight="1" s="13">
      <c r="A46" s="19" t="inlineStr">
        <is>
          <t>2010-01-26</t>
        </is>
      </c>
      <c r="B46" s="19" t="inlineStr">
        <is>
          <t>Schenectady</t>
        </is>
      </c>
      <c r="C46" s="19" t="inlineStr">
        <is>
          <t>Mohawk River</t>
        </is>
      </c>
      <c r="D46" s="19" t="inlineStr">
        <is>
          <t>Break-up</t>
        </is>
      </c>
      <c r="E46" s="19" t="n">
        <v>23.1</v>
      </c>
      <c r="F46" s="19" t="inlineStr">
        <is>
          <t>The National Weather Service in Albany NY issued a Flood Warning for northeastern Schenectady County in east central New York at 924am EST Tue 26 Jan 2010. A January thaw with heavy rain throughout north central and northeast regions of the US was responsible for ice jams and flooding in those areas.  
At 917am EST, a large ice jam was located on the Mohawk River near the interstate 890 bridge, causing flooding upstream through Rotterdam Junction, according to Schenectady County Emergency Management officials.  Route 5S was closed due to flooding. At 1035am, the NWS reported the river stage to be at the Flood Stage of 223 ft, and the jam was moving through Schenectady and the Rexford Gorge, causing rapid river level fluctuations.  The Flood Warning was canceled by 1pm, as the jam had moved downstream and the stage had dropped to 219 ft, with levels continuing to fall.</t>
        </is>
      </c>
    </row>
    <row r="47" ht="68.25" customHeight="1" s="13">
      <c r="A47" s="19" t="inlineStr">
        <is>
          <t>2010-01-25</t>
        </is>
      </c>
      <c r="B47" s="19" t="inlineStr">
        <is>
          <t>Livingstonville</t>
        </is>
      </c>
      <c r="C47" s="19" t="inlineStr">
        <is>
          <t>Lake Creek</t>
        </is>
      </c>
      <c r="D47" s="19" t="inlineStr">
        <is>
          <t>Break-up</t>
        </is>
      </c>
      <c r="E47" s="19" t="n">
        <v>11.5</v>
      </c>
      <c r="F47" s="19" t="inlineStr">
        <is>
          <t>In a Preliminary Local Storm Report Summary issued by the National Weather Service in Albany NY, an Emergency Manager in Schoharie NY reported a Flash Flood due to an ice jam which had threatened a house on Lake Creek at 1:15pm 25 Jan 2010. The Fire Department evacuated the house.  
A January thaw from the North Central to Northeastern parts of the US was resulting in river flooding and ice jamming across the region.</t>
        </is>
      </c>
    </row>
    <row r="48" ht="225" customHeight="1" s="13">
      <c r="A48" s="19" t="inlineStr">
        <is>
          <t>2010-01-25</t>
        </is>
      </c>
      <c r="B48" s="19" t="inlineStr">
        <is>
          <t>Dolgeville</t>
        </is>
      </c>
      <c r="C48" s="19" t="inlineStr">
        <is>
          <t>East Canada Creek</t>
        </is>
      </c>
      <c r="D48" s="19" t="inlineStr">
        <is>
          <t>Break-up</t>
        </is>
      </c>
      <c r="E48" s="19" t="n">
        <v>54.6</v>
      </c>
      <c r="F48" s="19" t="inlineStr">
        <is>
          <t>The National Weather Service in Albany NY issued a Flood Warning at 1138pm EST Mon 25 Jan 2010 for southern Herkimer County in eastern NY.  At 1130 pm Herkimer County Emergency Management officials reported a large ice jam on the East Canada Creek in Dolgeville with the ice from the jam reaching up to the route 29 bridge, causing flooding of Main Street and requiring 25 - 35 people to be evacuated, according to multiple news articles accompanying this report. 
At 110am Tue 26 Jan Herkimer County Emergency Management officials reported that a second jam had come from upstream, merging into the first jam (a freezeup jam, frozen in place since 8 Jan; see entry), lodging against and up onto the bridge, causing it to be closed, and resulting in the flooding of some homes. At 126am, Herkimer County Emergency Management officials reported that the jam had released and jammed again near the hydro plant on the south side of the Dolgeville. The bridge remained closed, as large chunks of ice remained on the bridge as well as on both sides of the creek.  At 350am Tue 26 Jan the Fulton County Emergency Management Office reported that portions of Dolgeville on the Fulton County side of the creek had sustained damage as a result of the ice and water from the jam. The jam had moved downstream, leaving large shear walls of ice along the banks of East Canada Creek. At 944am Tue 26 Jan, NWS canceled the Flood Warning. Herkimer County Emergency Management officials reported the flooding had diminished and conditions had improved.</t>
        </is>
      </c>
    </row>
    <row r="49" ht="34.5" customHeight="1" s="13">
      <c r="A49" s="19" t="inlineStr">
        <is>
          <t>2010-01-25</t>
        </is>
      </c>
      <c r="B49" s="19" t="inlineStr">
        <is>
          <t>Canajoharie</t>
        </is>
      </c>
      <c r="C49" s="19" t="inlineStr">
        <is>
          <t>Canajoharie Creek</t>
        </is>
      </c>
      <c r="D49" s="19" t="inlineStr">
        <is>
          <t>?</t>
        </is>
      </c>
      <c r="E49" s="19" t="n">
        <v>37.7</v>
      </c>
      <c r="F49" s="19" t="inlineStr">
        <is>
          <t>USGS Water Resources Data for New York WY 2010 reported an annual maximum peak discharge of 2000cfs on 25-JAN-2010 due to an ice jam at USGS gaging station 01349150 Canajoharie, NY. The gage height was not reported.</t>
        </is>
      </c>
    </row>
    <row r="50" ht="57" customHeight="1" s="13">
      <c r="A50" s="19" t="inlineStr">
        <is>
          <t>2010-01-08</t>
        </is>
      </c>
      <c r="B50" s="19" t="inlineStr">
        <is>
          <t>Dolgeville</t>
        </is>
      </c>
      <c r="C50" s="19" t="inlineStr">
        <is>
          <t>East Canada Creek</t>
        </is>
      </c>
      <c r="D50" s="19" t="inlineStr">
        <is>
          <t>Frozen in place</t>
        </is>
      </c>
      <c r="E50" s="19" t="n">
        <v>54.6</v>
      </c>
      <c r="F50" s="19" t="inlineStr">
        <is>
          <t>In a Winter/Spring Flood Potential Outlook published at 1141am EST Fri 8 Jan 2010, the National Weather Service in Albany NY a breakup ice jam on the East Canada Creek was reported to be located at Dolgeville NY. The ice moved out of the headwaters, jamming at Dolgeville and was reported to be frozen in place.
*** Actual date of jam not specified in reference.</t>
        </is>
      </c>
    </row>
    <row r="51" ht="124.5" customHeight="1" s="13">
      <c r="A51" s="19" t="inlineStr">
        <is>
          <t>2009-03-09</t>
        </is>
      </c>
      <c r="B51" s="19" t="inlineStr">
        <is>
          <t>Dolgeville</t>
        </is>
      </c>
      <c r="C51" s="19" t="inlineStr">
        <is>
          <t>East Canada Creek</t>
        </is>
      </c>
      <c r="D51" s="19" t="inlineStr">
        <is>
          <t>Break-up</t>
        </is>
      </c>
      <c r="E51" s="19" t="n">
        <v>54.9</v>
      </c>
      <c r="F51" s="19" t="inlineStr">
        <is>
          <t>In a Flood Statement issued by the Albany NY National Weather Service, it was reported that at 930 am Monday 9 March 2009, Herkimer County Emergency Management officials reported flooding near the power plant in the village of Dolgeville NY due to an ice jam on East Canada Creek. Water was reported to have backed up onto Dolge Avenue, flooding several homes.  A Flood Warning will remain in effect until midnight EDT Wednesday 11 March.  At 830 pm Sunday, local officials noted that a small channel had opened up through the jam, lowering the river level behind the jam, but flooding was still occurring on the east bank of the creek behind the jam. The rain which prompted ice movement ended Monday night and temperatures dropped, allowing for further recession of water levels, however, more rain is expected Tuesday night 10 March 2009.</t>
        </is>
      </c>
    </row>
    <row r="52" ht="102" customHeight="1" s="13">
      <c r="A52" s="19" t="inlineStr">
        <is>
          <t>2009-03-08</t>
        </is>
      </c>
      <c r="B52" s="19" t="inlineStr">
        <is>
          <t>Schenectady</t>
        </is>
      </c>
      <c r="C52" s="19" t="inlineStr">
        <is>
          <t>Mohawk River</t>
        </is>
      </c>
      <c r="D52" s="19" t="inlineStr">
        <is>
          <t>Break-up</t>
        </is>
      </c>
      <c r="E52" s="19" t="n">
        <v>21.3</v>
      </c>
      <c r="F52" s="19" t="inlineStr">
        <is>
          <t>Flood Statements were released by the National Weather Service in Albany NY throughout the day on Monday 9 March 2009, reporting ice jam flooding of the Mohawk River in the Schenectady NY area.   At 1100 am EST a jam was reported by emergency management officials, stretching from just west of Freemans Bridge westward  to Lock 8.  Locations affected by flood waters include areas around the Schenectady County Community College, an access road from route 5, and a portion of the bike path in Rotterdam, which had been closed.  At 5 pm local officials reported that the jam had broken up around 430 pm, dropping the river level 2 feet from earlier in the day. The Flood Warning was canceled in a 734 pm Flood Statement.</t>
        </is>
      </c>
    </row>
    <row r="53" ht="79.5" customHeight="1" s="13">
      <c r="A53" s="19" t="inlineStr">
        <is>
          <t>2009-03-07</t>
        </is>
      </c>
      <c r="B53" s="19" t="inlineStr">
        <is>
          <t>Danube</t>
        </is>
      </c>
      <c r="C53" s="19" t="inlineStr">
        <is>
          <t>Nowadaga Creek</t>
        </is>
      </c>
      <c r="D53" s="19" t="inlineStr">
        <is>
          <t>Break-up</t>
        </is>
      </c>
      <c r="E53" s="19" t="n">
        <v>50.6</v>
      </c>
      <c r="F53" s="19" t="inlineStr">
        <is>
          <t>The National Weather Service in Albany NY issued a Flood Warning at 842 pm EST Saturday 7 March 2009 for southern Herkimer County in eastern New York.  Rainfall and snowmelt had caused ice to break up and jam, causing flooding.  One jam on Nowadaga Creek was causing flooding in the town of Danube, NY.  Flooding resulted in the closing of Broad Street in Frankfurt, and in the town of Little Falls, Southern Avenue near route 167 was flooded as a result of the barge canal overflowing its banks.  The NWS Flood Warning is in effect until 530 pm Sunday 8 Mar 09.</t>
        </is>
      </c>
    </row>
    <row r="54" ht="68.25" customHeight="1" s="13">
      <c r="A54" s="19" t="inlineStr">
        <is>
          <t>2009-02-13</t>
        </is>
      </c>
      <c r="B54" s="19" t="inlineStr">
        <is>
          <t>Eagle Bridge</t>
        </is>
      </c>
      <c r="C54" s="19" t="inlineStr">
        <is>
          <t>Hoosic River</t>
        </is>
      </c>
      <c r="D54" s="19" t="inlineStr">
        <is>
          <t>Break-up</t>
        </is>
      </c>
      <c r="E54" s="19" t="n">
        <v>44.7</v>
      </c>
      <c r="F54" s="19" t="inlineStr">
        <is>
          <t>The National Weather Service in Albany NY noted that an ice jam had been reported Friday 13 Feb 2009 on the Hoosic River near Buskirk.  No flooding was  reported.
This breakup jam resulted from a rainy warm up over the last few days, from the midwest to the northeast.  With colder weather in the forecast the jams will freeze in place.</t>
        </is>
      </c>
    </row>
    <row r="55" ht="90.75" customHeight="1" s="13">
      <c r="A55" s="19" t="inlineStr">
        <is>
          <t>2009-02-13</t>
        </is>
      </c>
      <c r="B55" s="19" t="inlineStr">
        <is>
          <t>Gardiner</t>
        </is>
      </c>
      <c r="C55" s="19" t="inlineStr">
        <is>
          <t>Wallkill River</t>
        </is>
      </c>
      <c r="D55" s="19" t="inlineStr">
        <is>
          <t>Break-up</t>
        </is>
      </c>
      <c r="E55" s="19" t="n">
        <v>57.7</v>
      </c>
      <c r="F55" s="19" t="inlineStr">
        <is>
          <t>The National Weather Service in Albany NY noted that ice jams were reported on the Wallkill River just downstream from the USGS Gardiner gage, #01371500, on 13 Feb 2009.  No flooding was reported.
Numerous jams were reported throughout the area in response to runoff resulting from warm temperatures and rainfall which occurred from the midwest to the northeast over the past few days.  Below freezing temperatures forecast will result in the jams freezing in place.</t>
        </is>
      </c>
    </row>
    <row r="56" ht="79.5" customHeight="1" s="13">
      <c r="A56" s="19" t="inlineStr">
        <is>
          <t>2009-02-12</t>
        </is>
      </c>
      <c r="B56" s="19" t="inlineStr">
        <is>
          <t>Fort Hunter</t>
        </is>
      </c>
      <c r="C56" s="19" t="inlineStr">
        <is>
          <t>Schoharie Creek</t>
        </is>
      </c>
      <c r="D56" s="19" t="inlineStr">
        <is>
          <t>Break-up</t>
        </is>
      </c>
      <c r="E56" s="19" t="n">
        <v>30.9</v>
      </c>
      <c r="F56" s="19" t="inlineStr">
        <is>
          <t>The National Weather Service in Albany NY reported an ice jam on the Schoharie Creek a few miles from Fort Hunter NY, at the route 161 bridge, on Thursday 12 Feb 2009, 654pm EST.  
This breakup jam resulted from a rainy warm up over the last few days, from the midwest to the northeast.  With colder weather in the forecast the jams will freeze in place.</t>
        </is>
      </c>
    </row>
    <row r="57" ht="102" customHeight="1" s="13">
      <c r="A57" s="19" t="inlineStr">
        <is>
          <t>2009-02-12</t>
        </is>
      </c>
      <c r="B57" s="19" t="inlineStr">
        <is>
          <t>Schuyler</t>
        </is>
      </c>
      <c r="C57" s="19" t="inlineStr">
        <is>
          <t>Bridenbecker Creek</t>
        </is>
      </c>
      <c r="D57" s="19" t="inlineStr">
        <is>
          <t>Break-up</t>
        </is>
      </c>
      <c r="E57" s="19" t="n">
        <v>59.2</v>
      </c>
      <c r="F57" s="19" t="inlineStr">
        <is>
          <t>The National Weather Service in Albany NY reported an ice jam in Schuyler, Herkimer County, on Bridenbecker Creek at 1130 am EST on Thursday 12 Feb 2009 which closed state route 5, for a distance of 7 miles west of Herkimer.  At 625 pm, the Flood Advisory for ice jam flooding had been canceled, and the NY State Department of Transportation in Herkimer reopened state route 5.
 This breakup jam resulted from a rainy, warm up over the previous few days, from the midwest to the northeast.   Forecasted colder weather will halt the runoff and cause the jams to freeze in place.</t>
        </is>
      </c>
    </row>
    <row r="58" ht="102" customHeight="1" s="13">
      <c r="A58" s="19" t="inlineStr">
        <is>
          <t>2009-01-15</t>
        </is>
      </c>
      <c r="B58" s="19" t="inlineStr">
        <is>
          <t>Tribes Hill</t>
        </is>
      </c>
      <c r="C58" s="19" t="inlineStr">
        <is>
          <t>Mohawk River Lock 12</t>
        </is>
      </c>
      <c r="D58" s="19" t="inlineStr">
        <is>
          <t>Freeze-up</t>
        </is>
      </c>
      <c r="E58" s="19" t="n">
        <v>32.1</v>
      </c>
      <c r="F58" s="19" t="inlineStr">
        <is>
          <t>An ice jam was reported to be located at Lock 12 on the Mohawk River near Tribes Hill, New York, in a Hydrometeorological Data Report issued by the National Weather Service in Albany NY, 15 January 2009.  At that time the upper lock was obstructed by rough ice and a jam was located directly across from the lock, but the river was open above and below.
In another Hydrometeorological Data Report published on Monday 26 January, the upper gauge was reported to be obstructed by rough ice.  The jam was still in place, with the river frozen 1/4 mile above lock, and completely frozen below lock.</t>
        </is>
      </c>
    </row>
    <row r="59" ht="15" customHeight="1" s="13">
      <c r="A59" s="19" t="inlineStr">
        <is>
          <t>2008-12-27</t>
        </is>
      </c>
      <c r="B59" s="19" t="inlineStr">
        <is>
          <t>Schenectady</t>
        </is>
      </c>
      <c r="C59" s="19" t="inlineStr">
        <is>
          <t>Mohawk River</t>
        </is>
      </c>
      <c r="D59" s="19" t="inlineStr">
        <is>
          <t>Unknown</t>
        </is>
      </c>
      <c r="E59" s="19" t="n">
        <v>21.4</v>
      </c>
      <c r="F59" s="19" t="n"/>
    </row>
    <row r="60" ht="124.5" customHeight="1" s="13">
      <c r="A60" s="19" t="inlineStr">
        <is>
          <t>2008-02-13</t>
        </is>
      </c>
      <c r="B60" s="19" t="inlineStr">
        <is>
          <t>Buskirk</t>
        </is>
      </c>
      <c r="C60" s="19" t="inlineStr">
        <is>
          <t>Hoosic River</t>
        </is>
      </c>
      <c r="D60" s="19" t="inlineStr">
        <is>
          <t>Freeze-up</t>
        </is>
      </c>
      <c r="E60" s="19" t="n">
        <v>43.5</v>
      </c>
      <c r="F60" s="19" t="inlineStr">
        <is>
          <t>At 847pm EST Wed 13 Feb 2008, the National Weather Service in Albany NY issued a Flood Warning for Rensselaer and Washington Counties in east central NY state.
Rensselaer County Emergency Management officials reported that an ice jam on the Hoosic River was causing water to flow over the banks in the vicinity of Buskirk Bridge, with flooding also noted on route 103 in Rensselaer County and River Road in Washington County.
New York District COE reported that the water had receded by the following morning and all roads had reopened, and that the jam was still in place, but water was flowing past.</t>
        </is>
      </c>
    </row>
    <row r="61" ht="90.75" customHeight="1" s="13">
      <c r="A61" s="19" t="inlineStr">
        <is>
          <t>2007-03-16</t>
        </is>
      </c>
      <c r="B61" s="19" t="inlineStr">
        <is>
          <t>Troy</t>
        </is>
      </c>
      <c r="C61" s="19" t="inlineStr">
        <is>
          <t>Hudson River</t>
        </is>
      </c>
      <c r="D61" s="19" t="inlineStr">
        <is>
          <t>Released</t>
        </is>
      </c>
      <c r="E61" s="19" t="n">
        <v>24.3</v>
      </c>
      <c r="F61" s="19" t="inlineStr">
        <is>
          <t>The National Weather Service's River Forecast Center in Taunton MA, issued a  Hydrometeorological Coordination Message at 702 MA EDT on Friday 16 Mar 2007.  The message noted that the Hudson River, at Troy NY, was above flood stage due to a breakup jam.  Days of above normal temperatures across the northeast ripened and melted much of the snow cover in the area. The snowmelt runoff, along with rain on the 14th, was sufficient enough to breakup numerous rivers across the region, with many jamming and causing flooding.       -- Keywords: Hudson River at Troy, NY on Mar 16, 2007 [20070316142242]</t>
        </is>
      </c>
    </row>
    <row r="62" ht="90.75" customHeight="1" s="13">
      <c r="A62" s="19" t="inlineStr">
        <is>
          <t>2007-03-15</t>
        </is>
      </c>
      <c r="B62" s="19" t="inlineStr">
        <is>
          <t>Canajoharie</t>
        </is>
      </c>
      <c r="C62" s="19" t="inlineStr">
        <is>
          <t>Mohawk River</t>
        </is>
      </c>
      <c r="D62" s="19" t="inlineStr">
        <is>
          <t>Released</t>
        </is>
      </c>
      <c r="E62" s="19" t="n">
        <v>38</v>
      </c>
      <c r="F62" s="19" t="inlineStr">
        <is>
          <t>At 836 PM EDT Thursday March 15 2007, the National Weather Service in Albany issued a Flood Statement for areas along the Mohawk River, NY.   Ice jams had been reported on the Mohawk River at Fort Plain, Canajoharie, Sprakers, and Schenectady. Flooding had been reported with the Fort Plain ice jam.  Days of above normal temperatures across the northeast ripened and melted much of the snow cover in the area. The snowmelt runoff, along with rain on the 14th, was sufficient enough to breakup numerous rivers across the region, with many jamming and causing flooding.       -- Keywords: Mohawk River at Canajoharie, NY on Mar 15, 2007 [20070316163446]</t>
        </is>
      </c>
    </row>
    <row r="63" ht="90.75" customHeight="1" s="13">
      <c r="A63" s="19" t="inlineStr">
        <is>
          <t>2007-03-15</t>
        </is>
      </c>
      <c r="B63" s="19" t="inlineStr">
        <is>
          <t>Fort Plain</t>
        </is>
      </c>
      <c r="C63" s="19" t="inlineStr">
        <is>
          <t>Mohawk River</t>
        </is>
      </c>
      <c r="D63" s="19" t="inlineStr">
        <is>
          <t>Released</t>
        </is>
      </c>
      <c r="E63" s="19" t="n">
        <v>41</v>
      </c>
      <c r="F63" s="19" t="inlineStr">
        <is>
          <t>At 836 PM EDT Thursday March 15 2007, the National Weather Service in Albany issued a Flood Statement for areas along the Mohawk River, NY.   Ice jams had been reported on the Mohawk River at Fort Plain, Canajoharie, Sprakers, and Schenectady. Flooding had been reported with the Fort Plain ice jam.  Days of above normal temperatures across the northeast ripened and melted much of the snow cover in the area. The snowmelt runoff, along with rain on the 14th, was sufficient enough to breakup numerous rivers across the region, with many jamming and causing flooding.       -- Keywords: Mohawk River at Fort Plain, NY on Mar 15, 2007 [20070316163058]</t>
        </is>
      </c>
    </row>
    <row r="64" ht="180" customHeight="1" s="13">
      <c r="A64" s="19" t="inlineStr">
        <is>
          <t>2007-03-15</t>
        </is>
      </c>
      <c r="B64" s="19" t="inlineStr">
        <is>
          <t>Schenectady</t>
        </is>
      </c>
      <c r="C64" s="19" t="inlineStr">
        <is>
          <t>Mohawk River</t>
        </is>
      </c>
      <c r="D64" s="19" t="inlineStr">
        <is>
          <t>Released</t>
        </is>
      </c>
      <c r="E64" s="19" t="n">
        <v>21.4</v>
      </c>
      <c r="F64" s="19" t="inlineStr">
        <is>
          <t>At 1116 AM EDT Thursday March 15, 2007, the National Weather Service in Albany issued a Flood Advisory for Schenectady, New York, along the Mohawk River.  At 1100 AM Emergency Management personnel reported an ice jam on the river, with the river level rising to within 2 feet of flood stage behind the jam.  At 4 PM the stage was 224 feet. Flood stage is 223 feet. Minor flooding was occurring and forecast to continue. At 224 feet, water starts to enter the Stockade neighborhood between Ingersoll Avenue and Ferry Street.  A Flood Warning was issued by NWS at 644 PM, as the stage at 6 PM had risen to 226 feet, with moderate flooding now occurring. The location of the jam was noted to be between the Rexford Bridge and Lock 7.  The Flood Warning was cancelled at 1239 AM Friday 16 March, as the jam had broken up and the river level was down to 220.5 feet at 11 PM Thursday.  Days of above normal temperatures across the northeast ripened and melted much of the snow cover in the area. The snowmelt runoff, along with rain on the 14th, was sufficient enough to breakup numerous rivers across the region, with many jamming and causing flooding.       -- Keywords: Mohawk River at Schenectady, NY on Mar 15, 2007 [20070316155357]</t>
        </is>
      </c>
    </row>
    <row r="65" ht="90.75" customHeight="1" s="13">
      <c r="A65" s="19" t="inlineStr">
        <is>
          <t>2007-03-15</t>
        </is>
      </c>
      <c r="B65" s="19" t="inlineStr">
        <is>
          <t>Sprakers</t>
        </is>
      </c>
      <c r="C65" s="19" t="inlineStr">
        <is>
          <t>Mohawk River</t>
        </is>
      </c>
      <c r="D65" s="19" t="inlineStr">
        <is>
          <t>Released</t>
        </is>
      </c>
      <c r="E65" s="19" t="n">
        <v>35.5</v>
      </c>
      <c r="F65" s="19" t="inlineStr">
        <is>
          <t>At 836 PM EDT Thursday March 15 2007, the National Weather Service in Albany issued a Flood Statement for areas along the Mohawk River, NY.   Ice jams had been reported on the Mohawk River at Fort Plain, Canajoharie, Sprakers, and Schenectady. Flooding had been reported with the Fort Plain ice jam.  Days of above normal temperatures across the northeast ripened and melted much of the snow cover in the area. The snowmelt runoff, along with rain on the 14th, was sufficient enough to breakup numerous rivers across the region, with many jamming and causing flooding.       -- Keywords: Mohawk River at Sprakers, NY on Mar 15, 2007 [20070316164351]</t>
        </is>
      </c>
    </row>
    <row r="66" ht="113.25" customHeight="1" s="13">
      <c r="A66" s="19" t="inlineStr">
        <is>
          <t>2007-03-04</t>
        </is>
      </c>
      <c r="B66" s="19" t="inlineStr">
        <is>
          <t>Gardiner</t>
        </is>
      </c>
      <c r="C66" s="19" t="inlineStr">
        <is>
          <t>Wallkill River</t>
        </is>
      </c>
      <c r="D66" s="19" t="inlineStr">
        <is>
          <t>Released</t>
        </is>
      </c>
      <c r="E66" s="19" t="n">
        <v>57.7</v>
      </c>
      <c r="F66" s="19" t="inlineStr">
        <is>
          <t>The National Weather Service's, Northeast River Forecast Center in Taunton MA, released a  Hydrometeorological Discussion at 1155 AM EST Mon 5 Mar 2007.  It reported that as a result of snowmelt which lead to ice movement, the USGS gage on the Wall Kill River at Gardiner NY, was elevated due to ice problems downstream. The 7 AM reading Monday was 1.5 feet below flood stage.  A report received from Stephen DiRienzo, NWS Albany, confirmed the jam's date and location at the junction of the Shawngunk Kill and the Wall Kill, in Ulster County, near the gage in Gardiner.  He also reported that "local emergency management says the water level is no where near what the gage reads," and that flooding was not occurring at that time.          -- Keywords: Wall Kill River at Gardiner, NY on Mar 4, 2007 [20070305142003]</t>
        </is>
      </c>
    </row>
    <row r="67" ht="68.25" customHeight="1" s="13">
      <c r="A67" s="19" t="inlineStr">
        <is>
          <t>2007-02-07</t>
        </is>
      </c>
      <c r="B67" s="19" t="inlineStr">
        <is>
          <t>Schuylerville</t>
        </is>
      </c>
      <c r="C67" s="19" t="inlineStr">
        <is>
          <t>Hudson River</t>
        </is>
      </c>
      <c r="D67" s="19" t="inlineStr">
        <is>
          <t>Released</t>
        </is>
      </c>
      <c r="E67" s="19" t="n">
        <v>45.8</v>
      </c>
      <c r="F67" s="19" t="inlineStr">
        <is>
          <t>In an Area Forecast Discussion released by the Albany National Weather Service, at 355 PM EST Wednesday 7 February 2007, an ice jam was noted to be just south of Schuylerville NY, on the Hudson River.  The freeze-up jam had caused the water level to raise several feet, to near bankfull level, however the jam's location was upstream of the flood prone areas of the Stillwater Flats, such as Wrights Loop and Ferry Lane.       -- Keywords: Hudson River at Schuylerville, NY on Feb 07, 2007 [20070208173205]</t>
        </is>
      </c>
    </row>
    <row r="68" ht="68.25" customHeight="1" s="13">
      <c r="A68" s="19" t="inlineStr">
        <is>
          <t>2006-03-10</t>
        </is>
      </c>
      <c r="B68" s="19" t="inlineStr">
        <is>
          <t>Mohawk</t>
        </is>
      </c>
      <c r="C68" s="19" t="inlineStr">
        <is>
          <t>Fulmer Creek</t>
        </is>
      </c>
      <c r="D68" s="19" t="inlineStr">
        <is>
          <t>Break-up</t>
        </is>
      </c>
      <c r="E68" s="19" t="n">
        <v>59.9</v>
      </c>
      <c r="F68" s="19" t="inlineStr">
        <is>
          <t>On Friday, March 10, 2006,the National Weather Service, Albany NY, issued a Flood Statement. Local authorities reported a breakup ice jam on Fulmer Creek in the Village of Mohawk NY. Water backing up behind the jam was causing minor flooding on adjacent properties.  This breakup was a result of warm, wet weather which affected the area over the past 2 days.          -- Keywords: Fulmer Creek at Mohawk, NY on Mar 10, 2006 [20060310173939]</t>
        </is>
      </c>
    </row>
    <row r="69" ht="102" customHeight="1" s="13">
      <c r="A69" s="19" t="inlineStr">
        <is>
          <t>2005-02-18</t>
        </is>
      </c>
      <c r="B69" s="19" t="inlineStr">
        <is>
          <t>Scotia</t>
        </is>
      </c>
      <c r="C69" s="19" t="inlineStr">
        <is>
          <t>Mohawk River</t>
        </is>
      </c>
      <c r="D69" s="19" t="inlineStr">
        <is>
          <t>Freeze-up</t>
        </is>
      </c>
      <c r="E69" s="19" t="n">
        <v>23.1</v>
      </c>
      <c r="F69" s="19" t="inlineStr">
        <is>
          <t>Michael Ganley, Corps of Engineers, NY District notified Andy Tuthill (CRREL) of a freezeup jam on the Mohawk River at Scotia NY.  Tuthill made an  aerial reconnaissance of rivers in the area on 16 March 2005. He reported the jam at Scotia to be located at the Route 5 Bridge, extending upstream 3 miles. Based on a review of USGS discharge records at Cohoes NY, and Albany temperature records, Tuthill estimated that the ice broke up around 17 Feb, a warm period, and then jammed at Scotia. An extremely cold period followed which would freeze the jam in place, and may have caused frazil ice to accumulate upstream of the jam.     -- Keywords: Mohawk River at Scotia, NY on Feb 18, 2005 [20050324160940]</t>
        </is>
      </c>
    </row>
    <row r="70" ht="57" customHeight="1" s="13">
      <c r="A70" s="19" t="inlineStr">
        <is>
          <t>2004-03-28</t>
        </is>
      </c>
      <c r="B70" s="19" t="inlineStr">
        <is>
          <t>Thurman</t>
        </is>
      </c>
      <c r="C70" s="19" t="inlineStr">
        <is>
          <t>Hudson River</t>
        </is>
      </c>
      <c r="D70" s="19" t="inlineStr">
        <is>
          <t>Break-up</t>
        </is>
      </c>
      <c r="E70" s="19" t="n">
        <v>70</v>
      </c>
      <c r="F70" s="19" t="inlineStr">
        <is>
          <t>The NWS reported minor flooding on the River Road in Thurman, NY at 430 PM March 28. The road was partially covered with water in the vicinity of Snake Rock or about three quarters of a mile north of Cronins golf course. The flooding occurred as a result of ice jams which have clogged the normal river channel.    -- Keywords: Hudson River at Thurman, NY on Mar 28, 2004 [20040329092449]</t>
        </is>
      </c>
    </row>
    <row r="71" ht="34.5" customHeight="1" s="13">
      <c r="A71" s="19" t="inlineStr">
        <is>
          <t>2004-03-08</t>
        </is>
      </c>
      <c r="B71" s="19" t="inlineStr">
        <is>
          <t>Utica</t>
        </is>
      </c>
      <c r="C71" s="19" t="inlineStr">
        <is>
          <t>Mohawk River</t>
        </is>
      </c>
      <c r="D71" s="19" t="inlineStr">
        <is>
          <t>Break-up</t>
        </is>
      </c>
      <c r="E71" s="19" t="n">
        <v>72.90000000000001</v>
      </c>
      <c r="F71" s="19" t="inlineStr">
        <is>
          <t>The NWS reported an ice jam on the Mohawk River at Utica, NY on March 8, 2004. No other information available.   -- Keywords: Mohawk  River at Utica, NY on Mar 08, 2004 [20040308130524]</t>
        </is>
      </c>
    </row>
    <row r="72" ht="57" customHeight="1" s="13">
      <c r="A72" s="19" t="inlineStr">
        <is>
          <t>2004-03-07</t>
        </is>
      </c>
      <c r="B72" s="19" t="inlineStr">
        <is>
          <t>Hope</t>
        </is>
      </c>
      <c r="C72" s="19" t="inlineStr">
        <is>
          <t>Sacandaga River</t>
        </is>
      </c>
      <c r="D72" s="19" t="inlineStr">
        <is>
          <t>Unknown</t>
        </is>
      </c>
      <c r="E72" s="19" t="n">
        <v>55.3</v>
      </c>
      <c r="F72" s="19" t="inlineStr">
        <is>
          <t>The NWS reported an ice jam on the Sacandaga River at Hope, NY on March 7, 2004. The river crested near 7.3 feet at about 1 PM; at 3 PM the water level dropped and was at 3.5 feet. The jam likely broke and moved downstream into the reservoir allowing flood waters to recede.   -- Keywords: Sacandaga River at Hope, NY on Mar 07, 2004 [20040308125815]</t>
        </is>
      </c>
    </row>
    <row r="73" ht="34.5" customHeight="1" s="13">
      <c r="A73" s="19" t="inlineStr">
        <is>
          <t>2004-03-07</t>
        </is>
      </c>
      <c r="B73" s="19" t="inlineStr">
        <is>
          <t>Vischer Ferry</t>
        </is>
      </c>
      <c r="C73" s="19" t="inlineStr">
        <is>
          <t>Mohawk River</t>
        </is>
      </c>
      <c r="D73" s="19" t="inlineStr">
        <is>
          <t>Unknown</t>
        </is>
      </c>
      <c r="E73" s="19" t="n">
        <v>22.5</v>
      </c>
      <c r="F73" s="19" t="inlineStr">
        <is>
          <t>The NWS reported an ice jam upstream of Vischer Ferry, NY on the Mohawk River on March 7, 2004. No other information available.     -- Keywords: Mohawk River at Vischer Ferry, NY on Mar 07, 2004 [20040308114853]</t>
        </is>
      </c>
    </row>
    <row r="74" ht="34.5" customHeight="1" s="13">
      <c r="A74" s="19" t="inlineStr">
        <is>
          <t>2004-03-07</t>
        </is>
      </c>
      <c r="B74" s="19" t="inlineStr">
        <is>
          <t>Niskayuna</t>
        </is>
      </c>
      <c r="C74" s="19" t="inlineStr">
        <is>
          <t>Mohawk River</t>
        </is>
      </c>
      <c r="D74" s="19" t="inlineStr">
        <is>
          <t>Unknown</t>
        </is>
      </c>
      <c r="E74" s="19" t="n">
        <v>22.2</v>
      </c>
      <c r="F74" s="19" t="inlineStr">
        <is>
          <t>The NWS reported an ice jam near lock number 7 on the Mohawk River in Niskayuna, NY on March 7, 2004. No other information available.    -- Keywords: Mohawk River at Niskayuna, NY on Mar 07, 2004 [20040308124509]</t>
        </is>
      </c>
    </row>
    <row r="75" ht="68.25" customHeight="1" s="13">
      <c r="A75" s="19" t="inlineStr">
        <is>
          <t>2004-03-07</t>
        </is>
      </c>
      <c r="B75" s="19" t="inlineStr">
        <is>
          <t>Rexford</t>
        </is>
      </c>
      <c r="C75" s="19" t="inlineStr">
        <is>
          <t>Mohawk River</t>
        </is>
      </c>
      <c r="D75" s="19" t="inlineStr">
        <is>
          <t>Break-up</t>
        </is>
      </c>
      <c r="E75" s="19" t="n">
        <v>24.5</v>
      </c>
      <c r="F75" s="19" t="inlineStr">
        <is>
          <t>The NWS reported an ice jam near the Rexford Bridge on the Mohawk River at Rexford, NY. The ice that had broken out of Schenectady had jammed in the Rexford Gorge upstream of the Vischer Ferry Dam causing the river to overflow into a low lying neighborhood just downstream of Rexford. Flooding was confined to the south side of the river. Several homes were flooded in that area.   (see also Schenectady, NY entry)     -- Keywords: Mohawk River at Rexford, NY on Mar 07, 2004 [20040308123207]</t>
        </is>
      </c>
    </row>
    <row r="76" ht="90.75" customHeight="1" s="13">
      <c r="A76" s="19" t="inlineStr">
        <is>
          <t>2004-03-06</t>
        </is>
      </c>
      <c r="B76" s="19" t="inlineStr">
        <is>
          <t>Schenectady</t>
        </is>
      </c>
      <c r="C76" s="19" t="inlineStr">
        <is>
          <t>Mohawk River</t>
        </is>
      </c>
      <c r="D76" s="19" t="inlineStr">
        <is>
          <t>Break-up</t>
        </is>
      </c>
      <c r="E76" s="19" t="n">
        <v>21.2</v>
      </c>
      <c r="F76" s="19" t="inlineStr">
        <is>
          <t>The NWS reported a large ice jam that was on the Schoharie Creek near its confluence with the Mohawk River moved into the Mohawk River and caused a new jam in Schenectady NY on March 6. The jam broke with the ice moving down toward Rexford. Water was flowing through the jam without problems. On March 7, the NWS reported the Mohawk River crested just short of its 223 foot flood elevation. The river dropped to 219.5 feet after the jam broke but came back up to an elevation of 222 feet as a result of a jam east of the Rexford Bridge.      -- Keywords: Mohawk River at Schenectady, NY on Mar 06, 2004 [20040308113944]</t>
        </is>
      </c>
    </row>
    <row r="77" ht="68.25" customHeight="1" s="13">
      <c r="A77" s="19" t="inlineStr">
        <is>
          <t>2004-03-06</t>
        </is>
      </c>
      <c r="B77" s="19" t="inlineStr">
        <is>
          <t>Fort Hunter</t>
        </is>
      </c>
      <c r="C77" s="19" t="inlineStr">
        <is>
          <t>Schoharie Creek</t>
        </is>
      </c>
      <c r="D77" s="19" t="inlineStr">
        <is>
          <t>Break-up</t>
        </is>
      </c>
      <c r="E77" s="19" t="n">
        <v>30.9</v>
      </c>
      <c r="F77" s="19" t="inlineStr">
        <is>
          <t>On March 6, the NWS reported  that the ice jam located between Mill Point and Fort Hunter, NY had broken and was moving into Schenectady County. This large jam on the Schoharie Creek near its confluence with the Mohawk River moved into the Mohawk River and caused a new jam in Schenectday on March 6. No other information available.  (See also entries for Mill Point and Schenectady NY)     -- Keywords: Schoharie Creek at Fort Hunter, NY on Mar 06, 2004 [20040308112436]</t>
        </is>
      </c>
    </row>
    <row r="78" ht="68.25" customHeight="1" s="13">
      <c r="A78" s="19" t="inlineStr">
        <is>
          <t>2004-03-06</t>
        </is>
      </c>
      <c r="B78" s="19" t="inlineStr">
        <is>
          <t>Prattsville</t>
        </is>
      </c>
      <c r="C78" s="19" t="inlineStr">
        <is>
          <t>Schoharie Creek</t>
        </is>
      </c>
      <c r="D78" s="19" t="inlineStr">
        <is>
          <t>Freeze-up</t>
        </is>
      </c>
      <c r="E78" s="19" t="n">
        <v>24.2</v>
      </c>
      <c r="F78" s="19" t="inlineStr">
        <is>
          <t>A freezeup ice jam that formed on January 22, 2004 froze in place (see earlier entry). This jam blocked the transport of river ice during ice cover breakup on 5-6 March 2004 that occurred as a result of a rain on snow event. The resulting breakup jam  stage was 11.5 ft at 7 AM Saturday 6 March. Flood stage is 12 ft, flooding of low-lying areas occurs at 11 ft.       -- Keywords: Schoharie Creek at Prattsville, NY on Mar 06, 2004 [20040306092512]</t>
        </is>
      </c>
    </row>
    <row r="79" ht="57" customHeight="1" s="13">
      <c r="A79" s="19" t="inlineStr">
        <is>
          <t>2004-03-05</t>
        </is>
      </c>
      <c r="B79" s="19" t="inlineStr">
        <is>
          <t>Lexington</t>
        </is>
      </c>
      <c r="C79" s="19" t="inlineStr">
        <is>
          <t>Schoharie Creek</t>
        </is>
      </c>
      <c r="D79" s="19" t="inlineStr">
        <is>
          <t>Break-up</t>
        </is>
      </c>
      <c r="E79" s="19" t="n">
        <v>24.5</v>
      </c>
      <c r="F79" s="19" t="inlineStr">
        <is>
          <t>The Narional Weather Service reported am ice jam on the Schoharie Creek at Lexington, NY on 6 March 2004. The gage records shows a sudden rise to about 5.8 ft just before midnight on March 5, following a rain on snow event that day in which 0.5 to .75 inches of rain fell and temperatures were in the 50's.      -- Keywords: Schoharie Creek at Lexington, NY on Mar 05, 2004 [20040306092921]</t>
        </is>
      </c>
    </row>
    <row r="80" ht="1053" customHeight="1" s="13">
      <c r="A80" s="19" t="inlineStr">
        <is>
          <t>2004-03-04</t>
        </is>
      </c>
      <c r="B80" s="19" t="inlineStr">
        <is>
          <t>Mohawk</t>
        </is>
      </c>
      <c r="C80" s="19" t="inlineStr">
        <is>
          <t>Fulmer Creek</t>
        </is>
      </c>
      <c r="D80" s="19" t="inlineStr">
        <is>
          <t>Break-up</t>
        </is>
      </c>
      <c r="E80" s="19" t="n">
        <v>59.5</v>
      </c>
      <c r="F80" s="19" t="inlineStr">
        <is>
          <t>UticaOD.com reported a major ice buildup on Fulmer Creek in Mohawk, NY. Because of the considerable amount of ice jammed under the Main Street bridge north to the Route 5S bridge, water had begun to flow out of the north side of the bridge into nearby fields as well as onto some fields on the south side.  A state of emergency was declared and fire crews responded to the scene. The major ice jam closed a portion of Route 5S so crews could work to free the ice and prevent any significant flooding. The road was re-opened by late morning.  "First, we tried to break up the ice with high pressure hoses --  it didn't work," Fulmer Creek, Fire Chief Leo Kinville said.  The crew then proceeded to use a crane "clam digger" off the  north side of the bridge. This relieved some of the backed up ice, but only slightly, he said.  "The ice buildup goes for about three miles," Deputy  Mayor/Trustee Ed View said. After the early morning efforts,  about a third of the ice was broken, leaving a major amount  still to contend with. The village requested assistance from  the State Emergency Management Office, View said. The state  hopefully will supply an excavator, he said, that will be able to move the huge pieces of ice and ease the jam.  Crews remained on the scene throughout the day. An official  from Tioga Construction was scheduled to meet and assist with  heavy equipment, View said.   From the Evening Telegraph: State of emergency declared after ice jams Fulmer Creek By JERRY BLAIR-Telegram Staff Writer  Mohawk officials declared a state of emergency Wednesday after an extensive ice-jam developed between two bridges on Fulmer Creek. A section of Route 5S was closed to traffic as local emergency  units worked to remedy the situation. Ice was backed up from  the Main Street bridge to Route 5S, nearing the top of the  creek bed and causing water to overflow into nearby fields.  Mohawk Mayor Irene Dibble and Fire Chief Leo Kinville were  first informed about the jam at approximately 3:30 a.m.;  the fire department was toned out to respond at the scene  about an hour later. By Wednesday morning, a command center  was established in the municipal building. According to Kinville, the worst of the ice jam was located  just south of the Route 5S bridge. He said Mohawk firefighters  unsuccessfully attempted to clear the blockage there last  night using two high-pressure hoses. "We tried and failed. It did not work," Kinville said. A clamdigger from the Herkimer County Highway Department was  brought in shortly before 9 a.m. Wednesday to dig out the  large chunks of ice packed together near the bridge.  Kinville said the department had also considered using  a heavy construction wrecking ball to break the jam. Mohawk officials have contacted the New York State Department  of Transportation and area emergency coordinators about the  ice jam. Noting that no flooding had been reported by  residents living near the creek, Dibble said the village  had "a pretty good control" on the situation. "We're going to stay on stand-by and keep monitoring the  situation," Kinville said. Kinville said the department will remain on a "holding pattern"  until the ice locked between the two bridges is cleared.  Officials are also keeping track of conditions on Spencer  and Tory creeks. Water is still flowing well before and  after the blockage on Fulmer Creek and Kinville expects  the state of emergency will only be in place for the next  few days. "We hope to get everything cleared out before Friday's rain," he said.  Ice jams and flooding have been annual problems in Mohawk  for decades; ice chunks formed in the hills south of the  village break apart during spring thaws flow downstream  and become caught where the bridges cross the creek.  Dibble noted that state and federal studies designed  to solve the problem have been going on for years. "There's still a lot of anchor ice and a lot of jammed ice  up there that has to come down," Kinville said. "Usually it  makes it out, but as cold as its been this year the ice is  really thick."   Email to Chief Planner, Herkimer-Oneida Counties Comprehensive Planning Program regarding suggestions for the Fulmer Creek Ice Jamming situation: 1. Do a good windshield survey upstream (and go quite a ways) to  see what the potential of more ice coming downstream from above  really is.  If there is very little ice left on the banks, then  you may be in good shape.  If there are several other ice jams  upstream then get pictures and estimates of their length along  the river.  2. Get a good idea of the weather forecast for the next few  days.  Try to get someone to extrapolate, like "there is a big  low pressure system moving up the Mississippi Valley and the  liklihood is for warming temperatures and rain over the next  week".  This will give you an idea of whether the weather is  going to warm or turn cold again.  Based on the date, I would  say that this is probably it for winter and it will continue to  warm or at least stay the same as it is.  3. You mentioned rain.  How much and when did it happen in  comparison to the jam forming?  Was it immediately before the  jam or a couple of days? what about the temperatures leading up  to the rain event.  4. I can see from the picture of the Main St. bridge that this  ice has traveled a ways (small pieces and pretty dirty water.   Watch the upstream edge of the ice jam and keep track of its  location.  If it is receding quickly, then you have melting on  your side.  5. Take a look at the Mohawk.  What are the conditions down  there?  Is it still ice covered?  Do its levels look like they  are rising as well?  Also, can you tell where the "toe" or most  downstream edge of the jam is?  I'd like to know this just to  make sure that we are modeling correctly.  It looks like the  big pieces started jamming right at the 5S bridge but from the  picture, it almost looks like they stopped under the bridge.   This could be because you have had such cold weather this  winter, that the ice in that section (under the bridge which is  free of snow cover) has gotten quite thick and quite strong  making a likely place to jam.  Some options on what to do:  If the jam looks like it is receding (the upstream extent keeps  moving downstream), the water levels are steady or going down,  and there is little ice left upstream:  I would let it sit and  melt.  That keeps people away from the danger or working near a  jam that might release suddenly.  If the air temperatures are  supposed to be continued mild (and by this I mean an average  daily temperature of 32F or higher), it will continue to melt.   If it looks like the air temperatures are supposed to get cold  again (less than 20F at night and not above 30F in the day)  then it will probably hold as long as no more rain is expected  (and with those temps, it shouldn't rain).  If the jam looks like it is growing or stable but there is  considerable ice left upstream or there is a high potential of  another heavy rain, then you might want to try to pick away at  the ice beneath the bridge.  You would also want to use this  method if there isn't more ice but the water levels look like  they are continuing to rise.  Since this area has pretty good  access along the channel, the preferred method would be to use  an excavator or "grade-all" type of equipment and pull the ice  from the channel and place it on land.  You have to be careful  in this operation because the jam could fail and result in a  pretty big wave of water and ice that could wash away equipment  or people along the shore.  I would work first at the bridge to  try to remove some of that ice under the 5S bridge and then   (or in tandem) picking away at the ice at the downstream end  of the jam.  In moving the ice out of the channel, you are  making a space and the jam upstream will likely move to refill  that space.  Just be prepared for that movement.            -- Keywords: Fulmer Creek at Mohawk, NY on Mar 04, 2004 [20040304091856]</t>
        </is>
      </c>
    </row>
    <row r="81" ht="57" customHeight="1" s="13">
      <c r="A81" s="19" t="inlineStr">
        <is>
          <t>2004-03-03</t>
        </is>
      </c>
      <c r="B81" s="19" t="inlineStr">
        <is>
          <t>Florida</t>
        </is>
      </c>
      <c r="C81" s="19" t="inlineStr">
        <is>
          <t>Schoharie Creek</t>
        </is>
      </c>
      <c r="D81" s="19" t="inlineStr">
        <is>
          <t>Break-up</t>
        </is>
      </c>
      <c r="E81" s="19" t="n">
        <v>22.6</v>
      </c>
      <c r="F81" s="19" t="inlineStr">
        <is>
          <t>The National Weather Service reported an ice jam on the Schoharie Creek 1/2 to 3/4 mile south of the Route 161 Bridge between the town of Glen, NY and the town of Florida, NY on March 3.  No other information available. (also reported under the town of Glen, NY)     -- Keywords: Schoharie Creek at Florida, NY on Mar 03, 2004 [20040304083550]</t>
        </is>
      </c>
    </row>
    <row r="82" ht="57" customHeight="1" s="13">
      <c r="A82" s="19" t="inlineStr">
        <is>
          <t>2004-03-03</t>
        </is>
      </c>
      <c r="B82" s="19" t="inlineStr">
        <is>
          <t>Glen</t>
        </is>
      </c>
      <c r="C82" s="19" t="inlineStr">
        <is>
          <t>Schoharie Creek</t>
        </is>
      </c>
      <c r="D82" s="19" t="inlineStr">
        <is>
          <t>Break-up</t>
        </is>
      </c>
      <c r="E82" s="19" t="n">
        <v>22.6</v>
      </c>
      <c r="F82" s="19" t="inlineStr">
        <is>
          <t>The National Weather Service reported an ice jam on the Schoharie Creek 1/2 to 3/4 mile south of the Route 161 Bridge between the town of Glen, NY and the town of Florida, NY on March 3.  No other information available. (also reported under the town of Florida, NY)     -- Keywords: Schoharie Creek at Glen, NY on Mar 03, 2004 [20040304083441]</t>
        </is>
      </c>
    </row>
    <row r="83" ht="45.75" customHeight="1" s="13">
      <c r="A83" s="19" t="inlineStr">
        <is>
          <t>2004-03-03</t>
        </is>
      </c>
      <c r="B83" s="19" t="inlineStr">
        <is>
          <t>Lost Valley</t>
        </is>
      </c>
      <c r="C83" s="19" t="inlineStr">
        <is>
          <t>Schoharie Creek</t>
        </is>
      </c>
      <c r="D83" s="19" t="inlineStr">
        <is>
          <t>Break-up</t>
        </is>
      </c>
      <c r="E83" s="19" t="n">
        <v>25.7</v>
      </c>
      <c r="F83" s="19" t="inlineStr">
        <is>
          <t>The National Weather Service reported ice had jammed on the Schoharie Creek north of Lost Valley, NY on March 3. Jam has moved into Montgomery County. No other information available.    -- Keywords: Schoharie Creek at Lost Valley, NY on Mar 03, 2004 [20040304080848]</t>
        </is>
      </c>
    </row>
    <row r="84" ht="90.75" customHeight="1" s="13">
      <c r="A84" s="19" t="inlineStr">
        <is>
          <t>2004-03-03</t>
        </is>
      </c>
      <c r="B84" s="19" t="inlineStr">
        <is>
          <t>Mill Point</t>
        </is>
      </c>
      <c r="C84" s="19" t="inlineStr">
        <is>
          <t>Schoharie Creek</t>
        </is>
      </c>
      <c r="D84" s="19" t="inlineStr">
        <is>
          <t>Break-up</t>
        </is>
      </c>
      <c r="E84" s="19" t="n">
        <v>30.9</v>
      </c>
      <c r="F84" s="19" t="inlineStr">
        <is>
          <t>The NWS reported  an ice jam on the Schoharie Creek near the Route 161 Bridge at Mill Point, NY on March 3, 2004. Emergency managers reported that some water is finding its way around the jam. On March 6, the NWS reported  that the ice jam located between Mill Point and Fort Hunter, NY on the Schoharie Creek had broken and was moving into Schenectady County. This large jam on the Schoharie Creek near its confluence with the Mohawk River moved into the Mohawk River and caused a new jam in Schenectday.  (See also entries for Fort Hunter and Schenectady NY)      -- Keywords: Schoharie Creek at Mill Point, NY on Mar 03, 2004 [20040308112258]</t>
        </is>
      </c>
    </row>
    <row r="85" ht="45.75" customHeight="1" s="13">
      <c r="A85" s="19" t="inlineStr">
        <is>
          <t>2004-03-03</t>
        </is>
      </c>
      <c r="B85" s="19" t="inlineStr">
        <is>
          <t>Herkimer</t>
        </is>
      </c>
      <c r="C85" s="19" t="inlineStr">
        <is>
          <t>Mohawk River</t>
        </is>
      </c>
      <c r="D85" s="19" t="inlineStr">
        <is>
          <t>Unknown</t>
        </is>
      </c>
      <c r="E85" s="19" t="n">
        <v>59.4</v>
      </c>
      <c r="F85" s="19" t="inlineStr">
        <is>
          <t>The National Weather Service reported an ice jam on the Mohawk River at Herkimer, NY on March 3. Jam moved out and headed downstream. No other information available.    -- Keywords: Mohawk River at Herkimer, NY on Mar 03, 2004 [20040304080402]</t>
        </is>
      </c>
    </row>
    <row r="86" ht="79.5" customHeight="1" s="13">
      <c r="A86" s="19" t="inlineStr">
        <is>
          <t>2004-03-02</t>
        </is>
      </c>
      <c r="B86" s="19" t="inlineStr">
        <is>
          <t>Burtonsville</t>
        </is>
      </c>
      <c r="C86" s="19" t="inlineStr">
        <is>
          <t>Schoharie Creek</t>
        </is>
      </c>
      <c r="D86" s="19" t="inlineStr">
        <is>
          <t>Break-up</t>
        </is>
      </c>
      <c r="E86" s="19" t="n">
        <v>22.5</v>
      </c>
      <c r="F86" s="19" t="inlineStr">
        <is>
          <t>Ice breakup occurred on Schoharie Creek due to warm temperatures, snowmelt, and some rain between 2 and 6 March, 2004. Jams formed at several places on Schoharie Creek during this time. A jam was observed at the UGS gage Scoharie Creek at Burtonsville, NY on 2-3 March, 2004. According to stage data, the jam formed just before midnight on 2 MArch and released about 9AM on March 3. Peak stage was about 5.5 ft, a 3 ft increase.    -- Keywords: Schoharie Creek at Burtonsville, NY on Mar 02, 2004 [20040306094217]</t>
        </is>
      </c>
    </row>
    <row r="87" ht="45.75" customHeight="1" s="13">
      <c r="A87" s="19" t="inlineStr">
        <is>
          <t>2004-01-23</t>
        </is>
      </c>
      <c r="B87" s="19" t="inlineStr">
        <is>
          <t>North Bush</t>
        </is>
      </c>
      <c r="C87" s="19" t="inlineStr">
        <is>
          <t>Caroga Creek And Pecks Creek Confluence</t>
        </is>
      </c>
      <c r="D87" s="19" t="inlineStr">
        <is>
          <t>Unknown</t>
        </is>
      </c>
      <c r="E87" s="19" t="n">
        <v>44.7</v>
      </c>
      <c r="F87" s="19" t="inlineStr">
        <is>
          <t>The NWS reported an ice jam in Fulton County NY at the confluence of Caroga Creek and Pecks Creek on January 23, 2004. Water was backing up. No other information available.    -- Keywords: Caroga Creek And Pecks Creek Confluence at North Bush, NY on Jan 23, 2004 [20040126120622]</t>
        </is>
      </c>
    </row>
    <row r="88" ht="57" customHeight="1" s="13">
      <c r="A88" s="19" t="inlineStr">
        <is>
          <t>2004-01-22</t>
        </is>
      </c>
      <c r="B88" s="19" t="inlineStr">
        <is>
          <t>Prattsville</t>
        </is>
      </c>
      <c r="C88" s="19" t="inlineStr">
        <is>
          <t>Schoharie Creek</t>
        </is>
      </c>
      <c r="D88" s="19" t="inlineStr">
        <is>
          <t>Freeze-up</t>
        </is>
      </c>
      <c r="E88" s="19" t="n">
        <v>24.5</v>
      </c>
      <c r="F88" s="19" t="inlineStr">
        <is>
          <t>The NWS reported a freeze-up jam on the Schoharie Creek near Prattsville, NY on January 22, 2004.  No other information available.  This jam froze in place, and caused a second ice jam when the river ice broke up due to rain on snow event of 5 March. See that entry for details.       -- Keywords: Schoharie Creek at Prattsville, NY on Jan 22, 2004 [20040126081409]</t>
        </is>
      </c>
    </row>
    <row r="89" ht="45.75" customHeight="1" s="13">
      <c r="A89" s="19" t="inlineStr">
        <is>
          <t>2004-01-22</t>
        </is>
      </c>
      <c r="B89" s="19" t="inlineStr">
        <is>
          <t>Little Falls</t>
        </is>
      </c>
      <c r="C89" s="19" t="inlineStr">
        <is>
          <t>Mohawk River/West Canada Creek Confluence</t>
        </is>
      </c>
      <c r="D89" s="19" t="inlineStr">
        <is>
          <t>Freeze-up</t>
        </is>
      </c>
      <c r="E89" s="19" t="n">
        <v>50.6</v>
      </c>
      <c r="F89" s="19" t="inlineStr">
        <is>
          <t>The NWS reported a freeze-up jam at the confluence of the Mohawk River and the West Canada Creek just upstream of Little Falls, NY on January 22, 2004. No other information available.      -- Keywords: Mohawk River/West Canada Creek Confluence at Little Falls, NY on Jan 22, 2004 [20040126081728]</t>
        </is>
      </c>
    </row>
    <row r="90" ht="34.5" customHeight="1" s="13">
      <c r="A90" s="19" t="inlineStr">
        <is>
          <t>2004-01-22</t>
        </is>
      </c>
      <c r="B90" s="19" t="inlineStr">
        <is>
          <t>Warrensburg</t>
        </is>
      </c>
      <c r="C90" s="19" t="inlineStr">
        <is>
          <t>Hudson River</t>
        </is>
      </c>
      <c r="D90" s="19" t="inlineStr">
        <is>
          <t>Freeze-up</t>
        </is>
      </c>
      <c r="E90" s="19" t="n">
        <v>69</v>
      </c>
      <c r="F90" s="19" t="inlineStr">
        <is>
          <t>The NWS reported a freeze-up jam on the Hudson River near Warrensburg, NY on January 22, 2004.  No other information available.      -- Keywords: Hudson River at Warrensburg, NY on Jan 22, 2004 [20040126081140]</t>
        </is>
      </c>
    </row>
    <row r="91" ht="79.5" customHeight="1" s="13">
      <c r="A91" s="19" t="inlineStr">
        <is>
          <t>2004-01-13</t>
        </is>
      </c>
      <c r="B91" s="19" t="inlineStr">
        <is>
          <t>Corinth</t>
        </is>
      </c>
      <c r="C91" s="19" t="inlineStr">
        <is>
          <t>Hudson River</t>
        </is>
      </c>
      <c r="D91" s="19" t="inlineStr">
        <is>
          <t>Freeze-up</t>
        </is>
      </c>
      <c r="E91" s="19" t="n">
        <v>51.4</v>
      </c>
      <c r="F91" s="19" t="inlineStr">
        <is>
          <t>Chuck Keller of the NY State Emergency Manageemnt Office reported a freezeup jam on the Hudson River near Corinth, NY. Apparently, there used to be a paper mill nearby, and discharges from the mill were just warm enough to keep jams from forming. It may be coincidental, but freezeup accumulations occur since the mill has closed.  The NWS reported a freeze-up jam on the Hudson River near Corinth, NY on January 22, 2004.  No other information available.        -- Keywords: Hudson River at Corinth, NY on Jan 13, 2004 [20040126080909]</t>
        </is>
      </c>
    </row>
    <row r="92" ht="68.25" customHeight="1" s="13">
      <c r="A92" s="19" t="inlineStr">
        <is>
          <t>2003-03-26</t>
        </is>
      </c>
      <c r="B92" s="19" t="inlineStr">
        <is>
          <t>Hadley</t>
        </is>
      </c>
      <c r="C92" s="19" t="inlineStr">
        <is>
          <t>Hudson River</t>
        </is>
      </c>
      <c r="D92" s="19" t="inlineStr">
        <is>
          <t>Break-up</t>
        </is>
      </c>
      <c r="E92" s="19" t="n">
        <v>56.4</v>
      </c>
      <c r="F92" s="19" t="inlineStr">
        <is>
          <t>The NWS reports on March 26: a breakup ice jam appears to be  forming near Hadley on the Hudson River.  The Saratoga County  Sherriff reported that there was a lot of ice near the Route 4  bridge but that the river was flowing.  Flood stage at Hadley is  14.0 feet. The Hudson River at Hadley was 9.9 feet at 535 AM  Wednesday. The water level there rose 2.5 feet since 355 AM. At  545 AM the level dropped slightly to 9.7 feet. -- Keywords: Hudson River at Hadley, NY on Mar 26, 2003 [20030326073528]</t>
        </is>
      </c>
    </row>
    <row r="93" ht="57" customHeight="1" s="13">
      <c r="A93" s="19" t="inlineStr">
        <is>
          <t>2003-03-22</t>
        </is>
      </c>
      <c r="B93" s="19" t="inlineStr">
        <is>
          <t>Crescent</t>
        </is>
      </c>
      <c r="C93" s="19" t="inlineStr">
        <is>
          <t>Mohawk River</t>
        </is>
      </c>
      <c r="D93" s="19" t="inlineStr">
        <is>
          <t>Break-up</t>
        </is>
      </c>
      <c r="E93" s="19" t="n">
        <v>26</v>
      </c>
      <c r="F93" s="19" t="inlineStr">
        <is>
          <t>The NWS reports on March 22: the ice jam that was on the Mohawk River at the Northway bridges broke late this morning. The ice has moved about a mile down river toward the Crescent Dam where it was stopped by the flat ice behind the dam.  No other information available.     -- Keywords: Mohawk River at Crescent Dam, NY on Mar 22, 2003 [20030324124557]</t>
        </is>
      </c>
    </row>
    <row r="94" ht="147" customHeight="1" s="13">
      <c r="A94" s="19" t="inlineStr">
        <is>
          <t>2003-03-22</t>
        </is>
      </c>
      <c r="B94" s="19" t="inlineStr">
        <is>
          <t>Thurman Station</t>
        </is>
      </c>
      <c r="C94" s="19" t="inlineStr">
        <is>
          <t>Hudson River</t>
        </is>
      </c>
      <c r="D94" s="19" t="inlineStr">
        <is>
          <t>Break-up</t>
        </is>
      </c>
      <c r="E94" s="19" t="n">
        <v>67.59999999999999</v>
      </c>
      <c r="F94" s="19" t="inlineStr">
        <is>
          <t>At 126 PM Saturday, March 22, 2003, the New York Statewide Police Information Netwrok reported that an ice jam on the Hudson River in Thurman, Warrensburg, and Chestertown area caused flooding resulting in the closure of the following roads in Thurman: River Road closed to the Glen Hudson campsite, Glen Athol Road from State Route 28 to the River Road. Warrensburg has closed Golf Course Rd from 4th Avenue to Route 28, and Chestertown has closed Friends Lake Road from ROute 28 to Atateka Drive.  The upstream gage at North Creek appeared to show several peaks earlier in the day that look like ice jams/ice runs (see picture).  On Sunday, March 23, the NWS reported at 8:00 AM that large  chunks of ice had overflowed the Glen Athol Road in the vicinity  of Gelen the night of the 22nd, making it impassable. At 1:52  PM, they reported that the flooding continued but was expected  to worsen as snowmelt increased. -- Keywords: Hudson River at Thurman Station, NY on Mar 22, 2003 [20030322153940]</t>
        </is>
      </c>
    </row>
    <row r="95" ht="102" customHeight="1" s="13">
      <c r="A95" s="19" t="inlineStr">
        <is>
          <t>2003-03-21</t>
        </is>
      </c>
      <c r="B95" s="19" t="inlineStr">
        <is>
          <t>Rexford</t>
        </is>
      </c>
      <c r="C95" s="19" t="inlineStr">
        <is>
          <t>Mohawk River</t>
        </is>
      </c>
      <c r="D95" s="19" t="inlineStr">
        <is>
          <t>Break-up</t>
        </is>
      </c>
      <c r="E95" s="19" t="n">
        <v>24.5</v>
      </c>
      <c r="F95" s="19" t="inlineStr">
        <is>
          <t>The NWS reports on March 21, 835AM: The threat of flooding at Schenectady has diminished for the time being as the ice jam in the Stockade area has moved down river to Rexford. At 6AM the river elevation was around 218 feet. The flood elevation is 223 feet. It is expected to rise to the 219.5 elevation by Saturday morning.  The NWS reports on March 21, 532PM: The ice jam near Rexford has moved over the Vischer Ferry Dam and is currently located in the Flats near the Vischer Ferry Preserve. Ahead of the jam is open water down to the Twin Bridges. The Crescent Pool remains ice covered.      -- Keywords: Mohawk River at Rexford, NY on Mar 21, 2003 [20030324122628]</t>
        </is>
      </c>
    </row>
    <row r="96" ht="68.25" customHeight="1" s="13">
      <c r="A96" s="19" t="inlineStr">
        <is>
          <t>2003-03-20</t>
        </is>
      </c>
      <c r="B96" s="19" t="inlineStr">
        <is>
          <t>Vischer Ferry</t>
        </is>
      </c>
      <c r="C96" s="19" t="inlineStr">
        <is>
          <t>Mohawk River</t>
        </is>
      </c>
      <c r="D96" s="19" t="inlineStr">
        <is>
          <t>Break-up</t>
        </is>
      </c>
      <c r="E96" s="19" t="n">
        <v>22.5</v>
      </c>
      <c r="F96" s="19" t="inlineStr">
        <is>
          <t>The NWS reports on March 20: The Mohawk river near Schenectady remained near flood stage this morning due to breakup ice jams between Scotia and Vischer Ferry. There is more ice in the Rexford Gorge just upstream from the Vischer Ferry Dam. Flood warning in effect for the Mohawk river between Scotia and Vischer Ferry...including the city of Schenectady.  The ice released won March 21. -- Keywords: Mohawk River at Vischer Ferry, NY on Mar 20, 2003 [20030320080855]</t>
        </is>
      </c>
    </row>
    <row r="97" ht="57" customHeight="1" s="13">
      <c r="A97" s="19" t="inlineStr">
        <is>
          <t>2003-03-20</t>
        </is>
      </c>
      <c r="B97" s="19" t="inlineStr">
        <is>
          <t>Scotia</t>
        </is>
      </c>
      <c r="C97" s="19" t="inlineStr">
        <is>
          <t>Mohawk River</t>
        </is>
      </c>
      <c r="D97" s="19" t="inlineStr">
        <is>
          <t>Break-up</t>
        </is>
      </c>
      <c r="E97" s="19" t="n">
        <v>21.8</v>
      </c>
      <c r="F97" s="19" t="inlineStr">
        <is>
          <t>The NWS reports on March 20: The Mohawk river near Schenectady  remained near flood stage this morning due to breakup ice jams  between Scotia and Vischer Ferry. No other information available.  The jam was released when the ice went out of the river on March 21. -- Keywords: Mohawk River at Scotia, NY on Mar 20, 2003 [20030320080338]</t>
        </is>
      </c>
    </row>
    <row r="98" ht="45.75" customHeight="1" s="13">
      <c r="A98" s="19" t="inlineStr">
        <is>
          <t>2003-03-18</t>
        </is>
      </c>
      <c r="B98" s="19" t="inlineStr">
        <is>
          <t>Canajoharie</t>
        </is>
      </c>
      <c r="C98" s="19" t="inlineStr">
        <is>
          <t>Canajoharie Creek</t>
        </is>
      </c>
      <c r="D98" s="19" t="inlineStr">
        <is>
          <t>Unknown</t>
        </is>
      </c>
      <c r="E98" s="19" t="n">
        <v>37.7</v>
      </c>
      <c r="F98" s="19" t="inlineStr">
        <is>
          <t>USGS Water Resources Data for New York WY 2003 reported an annual maximum gage height of 8.32ft on 18-MAR-2003 due to an ice jam at USGS gaging station 04276500 Canajoharie Creek near Canajoharie, NY. The average daily discharge was 600cfs.</t>
        </is>
      </c>
    </row>
    <row r="99" ht="34.5" customHeight="1" s="13">
      <c r="A99" s="19" t="inlineStr">
        <is>
          <t>2003-03-18</t>
        </is>
      </c>
      <c r="B99" s="19" t="inlineStr">
        <is>
          <t>Frankfort</t>
        </is>
      </c>
      <c r="C99" s="19" t="inlineStr">
        <is>
          <t>Moyer Creek</t>
        </is>
      </c>
      <c r="D99" s="19" t="inlineStr">
        <is>
          <t>Break-up</t>
        </is>
      </c>
      <c r="E99" s="19" t="n">
        <v>63.3</v>
      </c>
      <c r="F99" s="19" t="inlineStr">
        <is>
          <t>The NWS reports on March 18:  there is an ice jam on the Moyer Creek in Herkimer County just south of Frankfort. No other information available.    -- Keywords: Moyer Creek at Frankfort, NY on Mar 18, 2003 [20030319094719]</t>
        </is>
      </c>
    </row>
    <row r="100" ht="45.75" customHeight="1" s="13">
      <c r="A100" s="19" t="inlineStr">
        <is>
          <t>2003-03-18</t>
        </is>
      </c>
      <c r="B100" s="19" t="inlineStr">
        <is>
          <t>Amsterdam</t>
        </is>
      </c>
      <c r="C100" s="19" t="inlineStr">
        <is>
          <t>Mohawk River</t>
        </is>
      </c>
      <c r="D100" s="19" t="inlineStr">
        <is>
          <t>Break-up</t>
        </is>
      </c>
      <c r="E100" s="19" t="n">
        <v>30</v>
      </c>
      <c r="F100" s="19" t="inlineStr">
        <is>
          <t>The NWS reports on March 18: An ice jam stretches for 6.5 miles from Avery Road along the Montgomery and Schenectady county line to Amsterdam.  No other information available.     -- Keywords: Mohawk River at Amsterdam, NY on Mar 18, 2003 [20030319094202]</t>
        </is>
      </c>
    </row>
    <row r="101" ht="34.5" customHeight="1" s="13">
      <c r="A101" s="19" t="inlineStr">
        <is>
          <t>2003-03-18</t>
        </is>
      </c>
      <c r="B101" s="19" t="inlineStr">
        <is>
          <t>Canajoharie</t>
        </is>
      </c>
      <c r="C101" s="19" t="inlineStr">
        <is>
          <t>Mohawk River</t>
        </is>
      </c>
      <c r="D101" s="19" t="inlineStr">
        <is>
          <t>Break-up</t>
        </is>
      </c>
      <c r="E101" s="19" t="n">
        <v>37.9</v>
      </c>
      <c r="F101" s="19" t="inlineStr">
        <is>
          <t>The NWS reports on March 18: Ice jam in place at Canajoharie...with water up 2 to 3 feet behind it. No other information available.     -- Keywords: Mohawk River at Canajoharie, NY on Mar 18, 2003 [20030319094503]</t>
        </is>
      </c>
    </row>
    <row r="102" ht="202.5" customHeight="1" s="13">
      <c r="A102" s="19" t="inlineStr">
        <is>
          <t>2003-03-18</t>
        </is>
      </c>
      <c r="B102" s="19" t="inlineStr">
        <is>
          <t>Schenectady</t>
        </is>
      </c>
      <c r="C102" s="19" t="inlineStr">
        <is>
          <t>Mohawk River</t>
        </is>
      </c>
      <c r="D102" s="19" t="inlineStr">
        <is>
          <t>Break-up</t>
        </is>
      </c>
      <c r="E102" s="19" t="n">
        <v>21.2</v>
      </c>
      <c r="F102" s="19" t="inlineStr">
        <is>
          <t>The NWS reports on March 18: Much of the ice in the Schoharie  Creek broke up overnight and emptied into the Mohawk River. Ice  on the Mohawk River is jammed just west of Schenectady. The ice  has jammed just downstream of Lock 8 and about a mile upstream  of the Western Gateway Bridge at Schenectady. Behind the jam the  water elevation was up to 228 feet at 1 PM but has since dropped  to the 226 foot level as some of the water began making its way  through and under the ice.  The NWS reports on March 19: The Mohawk river near Schenectady  remained near flood stage this morning due to the ice jams  between Scotia and Vischer Ferry. The increased flow today may  cause the river to overflow into the Stockade neighborhood  before the water begins to work its way through.  On March 20, New York Newsday.com reported that "Emergency  personnel were monitoring the Mohawk River, preparing to  evacuate the Stockade area if necessary. " Also, "On Wednesday,  the city used a wrecking ball to try to break up some of the ice  jams." A photograph of the jam was in USA Today on line (see  visuals).  On Sunday March 23, 810 WGY reported that Schenectady County  Emergency Managment Director Dan Fiorello said that the "huge"  ice jam had broken up and that water levels had dropped five  feet in the past two days.  -- Keywords: Mohawk River at Schenectady, NY on Mar 18, 2003 [20030318143741]</t>
        </is>
      </c>
    </row>
    <row r="103" ht="45.75" customHeight="1" s="13">
      <c r="A103" s="19" t="inlineStr">
        <is>
          <t>2003-03-17</t>
        </is>
      </c>
      <c r="B103" s="19" t="inlineStr">
        <is>
          <t>Prattsville</t>
        </is>
      </c>
      <c r="C103" s="19" t="inlineStr">
        <is>
          <t>Schoharie Creek</t>
        </is>
      </c>
      <c r="D103" s="19" t="inlineStr">
        <is>
          <t>Unknown</t>
        </is>
      </c>
      <c r="E103" s="19" t="n">
        <v>24.2</v>
      </c>
      <c r="F103" s="19" t="inlineStr">
        <is>
          <t>USGS Water Resources Data for New York WY 2003 reported an annual maximum gage height of 9.21ft on 17-MAR-2003 due to an ice jam at USGS gaging station 01350000 Schoharie Creek at Prattsville, NY. The average daily discharge was 2,800cfs.</t>
        </is>
      </c>
    </row>
    <row r="104" ht="68.25" customHeight="1" s="13">
      <c r="A104" s="19" t="inlineStr">
        <is>
          <t>2003-03-17</t>
        </is>
      </c>
      <c r="B104" s="19" t="inlineStr">
        <is>
          <t>Granville</t>
        </is>
      </c>
      <c r="C104" s="19" t="inlineStr">
        <is>
          <t>Mettawee River</t>
        </is>
      </c>
      <c r="D104" s="19" t="inlineStr">
        <is>
          <t>Break-up</t>
        </is>
      </c>
      <c r="E104" s="19" t="n">
        <v>73.2</v>
      </c>
      <c r="F104" s="19" t="inlineStr">
        <is>
          <t>The NWS reports on March 17: ice is moving along the Mettawee River in Washington County of NY. A rapidly melting snowpack and deteriorating ice cover has created an ice jam on the Mettawee River at Granville.  At 10 PM the river stage was 6.2 feet and rising. Flood stage is 7 feet. At 6 feet water starts to spill over onto Gray Road in Granville. It is expected that the river will continue to rise to near 7 feet.    -- Keywords: Mettawee River at Granville, NY on Mar 17, 2003 [20030319091203]</t>
        </is>
      </c>
    </row>
    <row r="105" ht="45.75" customHeight="1" s="13">
      <c r="A105" s="19" t="inlineStr">
        <is>
          <t>2003-03-04</t>
        </is>
      </c>
      <c r="B105" s="19" t="inlineStr">
        <is>
          <t>Bovina Center</t>
        </is>
      </c>
      <c r="C105" s="19" t="inlineStr">
        <is>
          <t>Coulter Brook</t>
        </is>
      </c>
      <c r="D105" s="19" t="inlineStr">
        <is>
          <t>Unknown</t>
        </is>
      </c>
      <c r="E105" s="19" t="n">
        <v>40.2</v>
      </c>
      <c r="F105" s="19" t="inlineStr">
        <is>
          <t>USGS Water Resources Data for New York WY 2003 reported an annual maximum gage height of 1.77ft on 04-MAR-2003 due to an ice jam at USGS gaging station 01422389 Coulter Brook near Bovina Center, NY. The average daily discharge was 0.78cfs.</t>
        </is>
      </c>
    </row>
    <row r="106" ht="45.75" customHeight="1" s="13">
      <c r="A106" s="19" t="inlineStr">
        <is>
          <t>2003-02-26</t>
        </is>
      </c>
      <c r="B106" s="19" t="inlineStr">
        <is>
          <t>Gilboa</t>
        </is>
      </c>
      <c r="C106" s="19" t="inlineStr">
        <is>
          <t>Manor Kill</t>
        </is>
      </c>
      <c r="D106" s="19" t="inlineStr">
        <is>
          <t>Unknown</t>
        </is>
      </c>
      <c r="E106" s="19" t="n">
        <v>51</v>
      </c>
      <c r="F106" s="19" t="inlineStr">
        <is>
          <t>USGS Water Resources Data for New York WY 2003 reported an annual maximum gage height of 3.56ft on 26-FEB-2003 due to an ice jam at USGS gaging station 01350080 Manor Kill at West Conesville near Gilboa, NY. The average daily discharge was 45cfs.</t>
        </is>
      </c>
    </row>
    <row r="107" ht="90.75" customHeight="1" s="13">
      <c r="A107" s="19" t="inlineStr">
        <is>
          <t>2003-02-23</t>
        </is>
      </c>
      <c r="B107" s="19" t="inlineStr">
        <is>
          <t>Gardiner</t>
        </is>
      </c>
      <c r="C107" s="19" t="inlineStr">
        <is>
          <t>Wallkill River</t>
        </is>
      </c>
      <c r="D107" s="19" t="inlineStr">
        <is>
          <t>Break-up</t>
        </is>
      </c>
      <c r="E107" s="19" t="n">
        <v>58.1</v>
      </c>
      <c r="F107" s="19" t="inlineStr">
        <is>
          <t>The NWS reports: The combination of runoff and above freezing temperatures have led to a few ice jams around the region this evening. Currently...hydrographs indicate ice is moving and jamming a bit on the following watersheds:  Buffalo Creek at Gardenville, NY. Cazenovia Creek at Ebeneezer, NY. Cattaraugus Creek at Gowanda, NY. Rondout Creek at Rosendale, NY. Walkill River at Gardiner, NY.  Currently no reports of flooding have been received due to this moving ice. No other information is available.    -- Keywords: Walkill River at Gardiner, NY on Feb 23, 2003 [20030225095022]</t>
        </is>
      </c>
    </row>
    <row r="108" ht="90.75" customHeight="1" s="13">
      <c r="A108" s="19" t="inlineStr">
        <is>
          <t>2003-02-23</t>
        </is>
      </c>
      <c r="B108" s="19" t="inlineStr">
        <is>
          <t>Rosendale</t>
        </is>
      </c>
      <c r="C108" s="19" t="inlineStr">
        <is>
          <t>Rondout Creek</t>
        </is>
      </c>
      <c r="D108" s="19" t="inlineStr">
        <is>
          <t>Freeze-up</t>
        </is>
      </c>
      <c r="E108" s="19" t="n">
        <v>46.6</v>
      </c>
      <c r="F108" s="19" t="inlineStr">
        <is>
          <t>The NWS reports: The combination of runoff and above freezing temperatures have led to a few ice jams around the region this evening. Currently...hydrographs indicate ice is moving and jamming a bit on the following watersheds:  Buffalo Creek at Gardenville, NY. Cazenovia Creek at Ebeneezer, NY. Cattaraugus Creek at Gowanda, NY. Rondout Creek at Rosendale, NY. Walkill River at Gardiner, NY.  Currently no reports of flooding have been received due to this moving ice. No other information available.   -- Keywords: Rondout Creek at Rosendale, NY on Feb 23, 2003 [20030225094834]</t>
        </is>
      </c>
    </row>
    <row r="109" ht="45.75" customHeight="1" s="13">
      <c r="A109" s="19" t="inlineStr">
        <is>
          <t>2003-02-22</t>
        </is>
      </c>
      <c r="B109" s="19" t="inlineStr">
        <is>
          <t>Lake Carmel</t>
        </is>
      </c>
      <c r="C109" s="19" t="inlineStr">
        <is>
          <t>Horse Pound Brook</t>
        </is>
      </c>
      <c r="D109" s="19" t="inlineStr">
        <is>
          <t>Unknown</t>
        </is>
      </c>
      <c r="E109" s="19" t="n">
        <v>74.2</v>
      </c>
      <c r="F109" s="19" t="inlineStr">
        <is>
          <t>USGS Water Resources Data for New York WY 2003 reported an annual maximum gage height of 2.85ft on 22-FEB-2003 due to an ice jam at USGS gaging station 01374598 Horse Pound Brook near Lake Carmel, NY. The average daily discharge was 25cfs.</t>
        </is>
      </c>
    </row>
    <row r="110" ht="68.25" customHeight="1" s="13">
      <c r="A110" s="19" t="inlineStr">
        <is>
          <t>2003-02-02</t>
        </is>
      </c>
      <c r="B110" s="19" t="inlineStr">
        <is>
          <t>Herkimer</t>
        </is>
      </c>
      <c r="C110" s="19" t="inlineStr">
        <is>
          <t>West Canada Creek</t>
        </is>
      </c>
      <c r="D110" s="19" t="inlineStr">
        <is>
          <t>Break-up</t>
        </is>
      </c>
      <c r="E110" s="19" t="n">
        <v>58.2</v>
      </c>
      <c r="F110" s="19" t="inlineStr">
        <is>
          <t>A large ice jam has formed along the West Canada Creek near Route 5 in Herkimer. Skywarn spotters report that large blocks of ice coming down the West Canada Creek are going under the jam causing it to lift and build in place. Water has backed up behind this jam and is flooding low lying fields in the immediate area just upstream of the ice jam. At the present time the ice jam appears stable.      -- Keywords: West Canada Creek at Herkimer, NY on Feb 02, 2003 [20030203083930]</t>
        </is>
      </c>
    </row>
    <row r="111" ht="45.75" customHeight="1" s="13">
      <c r="A111" s="19" t="inlineStr">
        <is>
          <t>2003-01-24</t>
        </is>
      </c>
      <c r="B111" s="19" t="inlineStr">
        <is>
          <t>Gilboa</t>
        </is>
      </c>
      <c r="C111" s="19" t="inlineStr">
        <is>
          <t>Schoharie River</t>
        </is>
      </c>
      <c r="D111" s="19" t="inlineStr">
        <is>
          <t>Freeze-up</t>
        </is>
      </c>
      <c r="E111" s="19" t="n">
        <v>22.4</v>
      </c>
      <c r="F111" s="19" t="inlineStr">
        <is>
          <t>The NWS reports: "an ice jam at Gilboa Dam has caused some spillage...but it appears to be settling down. The potential for more ice jams is there until temperatures moderate more."   -- Keywords: Schoharie River at Gilboa, NY on Jan 24, 2003 [20030124081341]</t>
        </is>
      </c>
    </row>
    <row r="112" ht="135.75" customHeight="1" s="13">
      <c r="A112" s="19" t="inlineStr">
        <is>
          <t>2003-01-24</t>
        </is>
      </c>
      <c r="B112" s="19" t="inlineStr">
        <is>
          <t>Ilion</t>
        </is>
      </c>
      <c r="C112" s="19" t="inlineStr">
        <is>
          <t>Steele Creek</t>
        </is>
      </c>
      <c r="D112" s="19" t="inlineStr">
        <is>
          <t>Freeze-up</t>
        </is>
      </c>
      <c r="E112" s="19" t="n">
        <v>61.5</v>
      </c>
      <c r="F112" s="19" t="inlineStr">
        <is>
          <t>According to the NWS: AN ICE JAM ON THE STEELE CREEK WAS CAUSING SOME MINOR FLOODING IN THE VILLAGE OF ILION.    THE JAM WAS LOCATED AT THE PHILLIP STREET BRIDGE IN THE SOUTHERN PART OF THE VILLAGE NEAR THE HIGH SCHOOL. UPSTREAM OF THE JAM...WATER WAS BACKING UP INTO SOME CELLARS OF NEIGHBORING HOMES.   LOCAL OFFICIALS WILL CONTINUE TO MONITOR THE SITUATION.  TEMPERATURES WILL CONTINUE WELL BELOW FREEZING INTO EARLY NEXT WEEK.  STREAMFLOW WILL REMAIN LOW...BUT ADDITIONAL ICE IS LIKELY TO FORM AND ACCUMULATE WITH THE LOW TONIGHT NEAR ZERO AND SATURDAY NIGHT NEAR 10 ABOVE.   THE SITUATION IS LIKELY TO REMAIN UNCHANGED UNTIL WARMER WEATHER RESULTS IN AN INCREASE IN STREAMFLOW.      -- Keywords: Steele Creek at Ilion, NY on Jan 24, 2003 [20030124145207]</t>
        </is>
      </c>
    </row>
    <row r="113" ht="45.75" customHeight="1" s="13">
      <c r="A113" s="19" t="inlineStr">
        <is>
          <t>2003-01-20</t>
        </is>
      </c>
      <c r="B113" s="19" t="inlineStr">
        <is>
          <t>Prattsville</t>
        </is>
      </c>
      <c r="C113" s="19" t="inlineStr">
        <is>
          <t>Schoharie Creek</t>
        </is>
      </c>
      <c r="D113" s="19" t="inlineStr">
        <is>
          <t>Freeze-up</t>
        </is>
      </c>
      <c r="E113" s="19" t="n">
        <v>24.5</v>
      </c>
      <c r="F113" s="19" t="inlineStr">
        <is>
          <t>NWS, 240 AM, Jan. 20: An ice jam has been reported on the Schoharie Creek at Prattsville which will need to be monitored.   NWS, 340 PM, Jan. 20: Ice jam at Prattsville remains frozen solid. No other problems at this time.    -- Keywords: Schoharie Creek at Prattsville, NY on Jan 20, 2003 [20030121105531]</t>
        </is>
      </c>
    </row>
    <row r="114" ht="34.5" customHeight="1" s="13">
      <c r="A114" s="19" t="inlineStr">
        <is>
          <t>2003-01-15</t>
        </is>
      </c>
      <c r="B114" s="19" t="inlineStr">
        <is>
          <t>Battenville</t>
        </is>
      </c>
      <c r="C114" s="19" t="inlineStr">
        <is>
          <t>Batten Kill</t>
        </is>
      </c>
      <c r="D114" s="19" t="inlineStr">
        <is>
          <t>Unknown</t>
        </is>
      </c>
      <c r="E114" s="19" t="n">
        <v>51</v>
      </c>
      <c r="F114" s="19" t="inlineStr">
        <is>
          <t>USGS Water Resources Data for New York WY 2003 reported an annual maximum gage height of 7.41ft on 15-JAN-2003 due to an ice jam at USGS gaging station 01329500 Batten Kill at Battenville, NY. The average daily discharge was 580cfs.</t>
        </is>
      </c>
    </row>
    <row r="115" ht="34.5" customHeight="1" s="13">
      <c r="A115" s="19" t="inlineStr">
        <is>
          <t>2002-12-18</t>
        </is>
      </c>
      <c r="B115" s="19" t="inlineStr">
        <is>
          <t>Gilboa</t>
        </is>
      </c>
      <c r="C115" s="19" t="inlineStr">
        <is>
          <t>Platter Kill</t>
        </is>
      </c>
      <c r="D115" s="19" t="inlineStr">
        <is>
          <t>Unknown</t>
        </is>
      </c>
      <c r="E115" s="19" t="n">
        <v>21.9</v>
      </c>
      <c r="F115" s="19" t="inlineStr">
        <is>
          <t>USGS Water Resources Data for New York WY 2003 reported an annual maximum gage height of 3.07ft on 18-DEC-2002 due to an ice jam at USGS gaging station 013501200 Platter Kill at Gilboa, NY. The average daily discharge was 12cfs.</t>
        </is>
      </c>
    </row>
    <row r="116" ht="45.75" customHeight="1" s="13">
      <c r="A116" s="19" t="inlineStr">
        <is>
          <t>2002-01-19</t>
        </is>
      </c>
      <c r="B116" s="19" t="inlineStr">
        <is>
          <t>Bridgeville</t>
        </is>
      </c>
      <c r="C116" s="19" t="inlineStr">
        <is>
          <t>Neversink River</t>
        </is>
      </c>
      <c r="D116" s="19" t="inlineStr">
        <is>
          <t>Freeze-up</t>
        </is>
      </c>
      <c r="E116" s="19" t="n">
        <v>67.5</v>
      </c>
      <c r="F116" s="19" t="inlineStr">
        <is>
          <t>USGS Water Resources Data for New York WY 2003 reported an annual minimum gage height of 4.25ft on 19-JAN-2002 due to freezeup at USGS gaging station 01436690 Neversink River at Bridgeville, NY. The average daily discharge was not reported.</t>
        </is>
      </c>
    </row>
    <row r="117" ht="45.75" customHeight="1" s="13">
      <c r="A117" s="19" t="inlineStr">
        <is>
          <t>2001-02-12</t>
        </is>
      </c>
      <c r="B117" s="19" t="inlineStr">
        <is>
          <t>Grand Gorge</t>
        </is>
      </c>
      <c r="C117" s="19" t="inlineStr">
        <is>
          <t>Toad Hollow Brook</t>
        </is>
      </c>
      <c r="D117" s="19" t="inlineStr">
        <is>
          <t>?</t>
        </is>
      </c>
      <c r="E117" s="19" t="n">
        <v>26.2</v>
      </c>
      <c r="F117" s="19" t="inlineStr">
        <is>
          <t>An ice jam on Toad Hollow Brook near Grand Gorge, NY caused a maximum annual gage height of 2.52 ft on February 12, 2001.  The daily mean discharge was estimated to be 5.4 cfs.   -- Keywords: Toad Hollow Brook at Grand Gorge, NY on Feb 12, 2001 [20040830153012]</t>
        </is>
      </c>
    </row>
    <row r="118" ht="113.25" customHeight="1" s="13">
      <c r="A118" s="19" t="inlineStr">
        <is>
          <t>2001-02-10</t>
        </is>
      </c>
      <c r="B118" s="19" t="inlineStr">
        <is>
          <t>Burtonsville</t>
        </is>
      </c>
      <c r="C118" s="19" t="inlineStr">
        <is>
          <t>Schoharie Creek</t>
        </is>
      </c>
      <c r="D118" s="19" t="inlineStr">
        <is>
          <t>Break-up</t>
        </is>
      </c>
      <c r="E118" s="19" t="n">
        <v>22.7</v>
      </c>
      <c r="F118" s="19" t="inlineStr">
        <is>
          <t>Reports from the NWS in Albany, NY on February 10, 2001 conlcude  that there was an ice jam on the Schoharie Creek at  Burtonsville.  At 1700h the NWS reported that a combination of  rain, melting snow and warm temperatures had "increased river  flow enough to cause ice breakup on parts of the Schoharie  Creek." By 1100h the creek had risen to 4.3 feet. It was  predicted to rise between 5 and 6 feet later that afternoon.  At  1900h the NWS stated "that there may be an ice jam in the  vicinity of Burtonsville."  At this time a flood warning had  been issued for the towns of Schoharie, Western Schenectady, and  Montgomery, with evacuations occuring at Burtonsville.  The  flood warning stayed in effect until 723 PM EST.    -- Keywords: Schoharie Creek at Burtonsville, NY on Feb 10, 2001 [20010626104902]</t>
        </is>
      </c>
    </row>
    <row r="119" ht="34.5" customHeight="1" s="13">
      <c r="A119" s="19" t="inlineStr">
        <is>
          <t>2001-02-10</t>
        </is>
      </c>
      <c r="B119" s="19" t="inlineStr">
        <is>
          <t>Fort Plain</t>
        </is>
      </c>
      <c r="C119" s="19" t="inlineStr">
        <is>
          <t>Mohawk River</t>
        </is>
      </c>
      <c r="D119" s="19" t="inlineStr">
        <is>
          <t>?</t>
        </is>
      </c>
      <c r="E119" s="19" t="n">
        <v>41</v>
      </c>
      <c r="F119" s="19" t="inlineStr">
        <is>
          <t>According to the NWS in Albany, NY on February 10, 2001 "there was also an ice jam reported on the Mohawk River near Fort Plain."  -- Keywords: Mohawk River at Fort Plain, NY on Feb 10, 2001 [20010626110227]</t>
        </is>
      </c>
    </row>
    <row r="120" ht="45.75" customHeight="1" s="13">
      <c r="A120" s="19" t="inlineStr">
        <is>
          <t>2001-01-01</t>
        </is>
      </c>
      <c r="B120" s="19" t="inlineStr">
        <is>
          <t>Delhi</t>
        </is>
      </c>
      <c r="C120" s="19" t="inlineStr">
        <is>
          <t>Little Delaware River</t>
        </is>
      </c>
      <c r="D120" s="19" t="inlineStr">
        <is>
          <t>?</t>
        </is>
      </c>
      <c r="E120" s="19" t="n">
        <v>47.4</v>
      </c>
      <c r="F120" s="19" t="inlineStr">
        <is>
          <t>An ice jam on Little Delaware River near Delhi, NY caused a maximum annual gage height of 8.55 ft on January 1, 2001.  This was also the maximum gage height since January 1997.  The daily mean discharge was extimated to be 64 cfs.   -- Keywords: Little Delaware River at Delhi, NY on Jan 01, 2001 [20040830155105]</t>
        </is>
      </c>
    </row>
    <row r="121" ht="34.5" customHeight="1" s="13">
      <c r="A121" s="19" t="inlineStr">
        <is>
          <t>2000-12-26</t>
        </is>
      </c>
      <c r="B121" s="19" t="inlineStr">
        <is>
          <t>Gilboa</t>
        </is>
      </c>
      <c r="C121" s="19" t="inlineStr">
        <is>
          <t>Platter Kill</t>
        </is>
      </c>
      <c r="D121" s="19" t="inlineStr">
        <is>
          <t>?</t>
        </is>
      </c>
      <c r="E121" s="19" t="n">
        <v>21.9</v>
      </c>
      <c r="F121" s="19" t="inlineStr">
        <is>
          <t>An ice jam on Platter Kill at Gilboa, NY caused a maximum annual gage height of 3.36 ft on December 26, 2000.  The daily mean discharge was extimated to be 16 cfs.    -- Keywords: Platter Kill at Gilboa, NY on Dec 26, 2000 [20040830154527]</t>
        </is>
      </c>
    </row>
    <row r="122" ht="34.5" customHeight="1" s="13">
      <c r="A122" s="19" t="inlineStr">
        <is>
          <t>2000-03-01</t>
        </is>
      </c>
      <c r="B122" s="19" t="inlineStr">
        <is>
          <t>Hope</t>
        </is>
      </c>
      <c r="C122" s="19" t="inlineStr">
        <is>
          <t>Sacandaga River</t>
        </is>
      </c>
      <c r="D122" s="19" t="inlineStr">
        <is>
          <t>Break-up</t>
        </is>
      </c>
      <c r="E122" s="19" t="n">
        <v>55.6</v>
      </c>
      <c r="F122" s="19" t="inlineStr">
        <is>
          <t>NWS reports on March 1, 2000 that "significant ice jams remain on the Sacandaga River just south of Hope (New York)."  -- Keywords: Sacandaga River at Hope , NY on Mar 01, 2000 [20010726133920]</t>
        </is>
      </c>
    </row>
    <row r="123" ht="113.25" customHeight="1" s="13">
      <c r="A123" s="19" t="inlineStr">
        <is>
          <t>2000-02-29</t>
        </is>
      </c>
      <c r="B123" s="19" t="inlineStr">
        <is>
          <t>Warrensburg</t>
        </is>
      </c>
      <c r="C123" s="19" t="inlineStr">
        <is>
          <t>Hudson River</t>
        </is>
      </c>
      <c r="D123" s="19" t="inlineStr">
        <is>
          <t>?</t>
        </is>
      </c>
      <c r="E123" s="19" t="n">
        <v>69</v>
      </c>
      <c r="F123" s="19" t="inlineStr">
        <is>
          <t>NWS Flood Statement reports that "Ice was a problem" on the  Upper Hudson River around Warrensburg. On February 28 the NWS  reported "Ice has jammed in the Hudson River near Warrensburg,  north of the Thurman bridge."  Water was reported to be flowing  under the ice early this afternoon but the flow is istll  increasing. Therefore the potential for significant flooding is  still there."   On February 29 "an observer reported that the ice was jammed  north of the Thurman Bridge.  Although water was flowing under  the ice... the threat of flooding will increase as the river  flow increases. A few roads were closed in the area."  The jam was still reported to remain on March 1. -- Keywords: Hudson River at Warrensburg, NY on Feb 29, 2000 [20010725144403]</t>
        </is>
      </c>
    </row>
    <row r="124" ht="102" customHeight="1" s="13">
      <c r="A124" s="19" t="inlineStr">
        <is>
          <t>2000-02-29</t>
        </is>
      </c>
      <c r="B124" s="19" t="inlineStr">
        <is>
          <t>Cohoes</t>
        </is>
      </c>
      <c r="C124" s="19" t="inlineStr">
        <is>
          <t>Mohawk River</t>
        </is>
      </c>
      <c r="D124" s="19" t="inlineStr">
        <is>
          <t>Break-up</t>
        </is>
      </c>
      <c r="E124" s="19" t="n">
        <v>25.2</v>
      </c>
      <c r="F124" s="19" t="inlineStr">
        <is>
          <t>NWS Flood Statement reports:  "Ice continued to be jammed up near the crescent bridge around Cohoes.  After dropping briefly Monday evening... the water level rose 2 feet below its 20 foot flood stage.  The 4am reading at Cohoes was 18.24 feet."  Officials were on the scene monitoring the situation closely for fear that the water pressure on the jam would rise to a point where a break would form and the water level would suddenly drop.  The USGS Water Resources Data report for 2000 noted the maximum annual gage height of 20.29 ft resulting from this February 29, 2000 jam at Coloes, NY and the discharge upon the release of the jam to be 89,700 cfs.   -- Keywords: Mohawk River at Cohoes, NY on Feb 29, 2000 [20010725142915]</t>
        </is>
      </c>
    </row>
    <row r="125" ht="79.5" customHeight="1" s="13">
      <c r="A125" s="19" t="inlineStr">
        <is>
          <t>2000-02-29</t>
        </is>
      </c>
      <c r="B125" s="19" t="inlineStr">
        <is>
          <t>Crescent</t>
        </is>
      </c>
      <c r="C125" s="19" t="inlineStr">
        <is>
          <t>Mohawk River</t>
        </is>
      </c>
      <c r="D125" s="19" t="inlineStr">
        <is>
          <t>?</t>
        </is>
      </c>
      <c r="E125" s="19" t="n">
        <v>26.5</v>
      </c>
      <c r="F125" s="19" t="inlineStr">
        <is>
          <t>NWS reports on February 29, 2000 that "for the Mowhawk River at Crescent,NY, flooding is occuring, with a stage of 188.7 feet at 9 am Thesday.  The Mohawk River in this area will fluctuate greatly today due to ice jams. The Mohawk River in the vicinity of Crescent is expected to remain above flood stage through this evening.  Flooding will continue along Canal Road... River Road... River View Road... Rosendale Road."  Ice jam continued through March 1st.  -- Keywords: Mohawk River at Crescent, NY on Feb 29, 2000 [20010726111041]</t>
        </is>
      </c>
    </row>
    <row r="126" ht="45.75" customHeight="1" s="13">
      <c r="A126" s="19" t="inlineStr">
        <is>
          <t>2000-02-29</t>
        </is>
      </c>
      <c r="B126" s="19" t="inlineStr">
        <is>
          <t>Green Island</t>
        </is>
      </c>
      <c r="C126" s="19" t="inlineStr">
        <is>
          <t>Hudson River</t>
        </is>
      </c>
      <c r="D126" s="19" t="inlineStr">
        <is>
          <t>?</t>
        </is>
      </c>
      <c r="E126" s="19" t="n">
        <v>24.3</v>
      </c>
      <c r="F126" s="19" t="inlineStr">
        <is>
          <t>An ice jam release on Mohawk River on February 29, 2000 resulted in the maximum annual gage height of 23.30 ft. on the Hudson River at Green Island, NY and the maximum annual discharge of about 116,000 cfs.  -- Keywords: Hudson River at Green Island, NY on Feb 29, 2000 [20040827134002]</t>
        </is>
      </c>
    </row>
    <row r="127" ht="45.75" customHeight="1" s="13">
      <c r="A127" s="19" t="inlineStr">
        <is>
          <t>2000-02-28</t>
        </is>
      </c>
      <c r="B127" s="19" t="inlineStr">
        <is>
          <t>Delhi</t>
        </is>
      </c>
      <c r="C127" s="19" t="inlineStr">
        <is>
          <t>Little Delaware River</t>
        </is>
      </c>
      <c r="D127" s="19" t="inlineStr">
        <is>
          <t>?</t>
        </is>
      </c>
      <c r="E127" s="19" t="n">
        <v>47.4</v>
      </c>
      <c r="F127" s="19" t="inlineStr">
        <is>
          <t>An ice jam on Little Delaware River near Delhi, NY on February 28, 2000 resulted in the maximum annual gage height of 5.50 ft. with a maximum annual discharge of about 1,300 cfs.  -- Keywords: Little Delaware River at Delhi, NY on Feb 28, 2000 [20040827150556]</t>
        </is>
      </c>
    </row>
    <row r="128" ht="124.5" customHeight="1" s="13">
      <c r="A128" s="19" t="inlineStr">
        <is>
          <t>2000-02-27</t>
        </is>
      </c>
      <c r="B128" s="19" t="inlineStr">
        <is>
          <t>Schenectady</t>
        </is>
      </c>
      <c r="C128" s="19" t="inlineStr">
        <is>
          <t>Mohawk River</t>
        </is>
      </c>
      <c r="D128" s="19" t="inlineStr">
        <is>
          <t>?</t>
        </is>
      </c>
      <c r="E128" s="19" t="n">
        <v>21.2</v>
      </c>
      <c r="F128" s="19" t="inlineStr">
        <is>
          <t>NWS Flood Statement reported "An ice jam has formed near the Alplaus Marina must upstream of the Rexford Bridge Sunday afternoon.  This ice jam caused water to backup behind it.  As a result, flooding is possible at Schenectady County Community College...Riverside Park and the Stockade Section of Schenectady...including Ingersoll Avenue and Ferry Street.  Even if the ice jam breaks...additional ice jams are possible downstream from the Rexford Bridge where sheet ice covers the river to Lock 7.  The Mohawk River at Schenectady at 4 PM reached the 223.0 feet flood stage but was fallen to 222 feet at 10 PM.  The Mohawk was flowing rapidly at the Rexford Bridge.  Additional ice jams could form downstream overnight and cause the river to rise again above flood stage until Monday afternoon."  -- Keywords: Mohawk River at Schenectady, NY on Feb 27, 2000 [20001018111710]</t>
        </is>
      </c>
    </row>
    <row r="129" ht="45.75" customHeight="1" s="13">
      <c r="A129" s="19" t="inlineStr">
        <is>
          <t>2000-02-26</t>
        </is>
      </c>
      <c r="B129" s="19" t="inlineStr">
        <is>
          <t>Prattsville</t>
        </is>
      </c>
      <c r="C129" s="19" t="inlineStr">
        <is>
          <t>Schoharie Creek</t>
        </is>
      </c>
      <c r="D129" s="19" t="inlineStr">
        <is>
          <t>?</t>
        </is>
      </c>
      <c r="E129" s="19" t="n">
        <v>24.5</v>
      </c>
      <c r="F129" s="19" t="inlineStr">
        <is>
          <t>NWS Flood Statement reported "The Schoharie Creek at Prattsville was 10.56 feet.  Flood stage is 12 feet. The river rose sharply early Saturday morning suggesting that the rise may have been caused by an ice jam."  -- Keywords: Schoharie Creek at Prattsville, NY on Feb 26, 2000 [20001018100232]</t>
        </is>
      </c>
    </row>
    <row r="130" ht="68.25" customHeight="1" s="13">
      <c r="A130" s="19" t="inlineStr">
        <is>
          <t>2000-02-25</t>
        </is>
      </c>
      <c r="B130" s="19" t="inlineStr">
        <is>
          <t>Gardiner</t>
        </is>
      </c>
      <c r="C130" s="19" t="inlineStr">
        <is>
          <t>Wallkill River</t>
        </is>
      </c>
      <c r="D130" s="19" t="inlineStr">
        <is>
          <t>?</t>
        </is>
      </c>
      <c r="E130" s="19" t="n">
        <v>58.1</v>
      </c>
      <c r="F130" s="19" t="inlineStr">
        <is>
          <t>NWS Flood Statement reported "An ice jam on the Wallkill River in Gardiner has caused some minor lowland flooding.  The Ulster County Office of Emergency Management reported the river was out of its banks in the vicinity of the Route 44 Bridge.  At this time minor flooding has occurred in some low-lying farm fields along the river."  -- Keywords: Wallkill River at Gardiner, NY on Feb 25, 2000 [20001018100729]</t>
        </is>
      </c>
    </row>
    <row r="131" ht="45.75" customHeight="1" s="13">
      <c r="A131" s="19" t="inlineStr">
        <is>
          <t>2000-02-14</t>
        </is>
      </c>
      <c r="B131" s="19" t="inlineStr">
        <is>
          <t>Lake Carmel</t>
        </is>
      </c>
      <c r="C131" s="19" t="inlineStr">
        <is>
          <t>Horse Pound Brook</t>
        </is>
      </c>
      <c r="D131" s="19" t="inlineStr">
        <is>
          <t>?</t>
        </is>
      </c>
      <c r="E131" s="19" t="n">
        <v>74.2</v>
      </c>
      <c r="F131" s="19" t="inlineStr">
        <is>
          <t>An ice jam on Horse Pound Brook near Lake Carmel, NY on February 14, 2000 resulted in the maximum annual gage height of 2.12 ft. with a discharge of about 53 cfs.   -- Keywords: Horse Pound Brook at Lake Carmel, NY on Feb 14, 2000 [20040827150056]</t>
        </is>
      </c>
    </row>
    <row r="132" ht="45.75" customHeight="1" s="13">
      <c r="A132" s="19" t="inlineStr">
        <is>
          <t>2000-02-14</t>
        </is>
      </c>
      <c r="B132" s="19" t="inlineStr">
        <is>
          <t>Grand Gorge</t>
        </is>
      </c>
      <c r="C132" s="19" t="inlineStr">
        <is>
          <t>Toad Hollow Brook</t>
        </is>
      </c>
      <c r="D132" s="19" t="inlineStr">
        <is>
          <t>?</t>
        </is>
      </c>
      <c r="E132" s="19" t="n">
        <v>26.2</v>
      </c>
      <c r="F132" s="19" t="inlineStr">
        <is>
          <t>An ice jam on Toad Hollow Brook near Grand Gorge, NY caused a maximum gage height of 3.05 ft on February 14, 2000 for the period of record Sep 1999-Sep 2001.     -- Keywords: Toad Hollow Brook at Grand Gorge, NY on Feb 14, 2000 [20040830153332]</t>
        </is>
      </c>
    </row>
    <row r="133" ht="68.25" customHeight="1" s="13">
      <c r="A133" s="19" t="inlineStr">
        <is>
          <t>2000-02-11</t>
        </is>
      </c>
      <c r="B133" s="19" t="inlineStr">
        <is>
          <t>Wagner Hollow</t>
        </is>
      </c>
      <c r="C133" s="19" t="inlineStr">
        <is>
          <t>Caroga Creek</t>
        </is>
      </c>
      <c r="D133" s="19" t="inlineStr">
        <is>
          <t>?</t>
        </is>
      </c>
      <c r="E133" s="19" t="n">
        <v>42</v>
      </c>
      <c r="F133" s="19" t="inlineStr">
        <is>
          <t>NWS reports on February 11, 2000 that "an ice jam on Caroga Creek (Maine) poses a flood threat in Wagner Hollow.  Ice has broken up and formed a jam on Caroga Creek about two miles upstream of where it flows into the Mohawk River.  This jam is partly blocking the flow and has raised the water level to bankfull.  So far it is not affecting any homes."  -- Keywords: Caroga Creek at Wagner Hollow, NY on Feb 11, 2000 [20010726132308]</t>
        </is>
      </c>
    </row>
    <row r="134" ht="45.75" customHeight="1" s="13">
      <c r="A134" s="19" t="inlineStr">
        <is>
          <t>2000-01-04</t>
        </is>
      </c>
      <c r="B134" s="19" t="inlineStr">
        <is>
          <t>Hope</t>
        </is>
      </c>
      <c r="C134" s="19" t="inlineStr">
        <is>
          <t>Sacandaga River</t>
        </is>
      </c>
      <c r="D134" s="19" t="inlineStr">
        <is>
          <t>?</t>
        </is>
      </c>
      <c r="E134" s="19" t="n">
        <v>58.9</v>
      </c>
      <c r="F134" s="19" t="inlineStr">
        <is>
          <t>An ice jam on Sacandaga River near Hope, NY on January 4, 2000 resulted in the maximum annual gage height of 7.38 ft. The discharge was estimated to be about 11,000 cfs.   -- Keywords: Sacandaga River at Hope, NY on Jan 04, 2000 [20040827130545]</t>
        </is>
      </c>
    </row>
    <row r="135" ht="57" customHeight="1" s="13">
      <c r="A135" s="19" t="inlineStr">
        <is>
          <t>1999-02-04</t>
        </is>
      </c>
      <c r="B135" s="19" t="inlineStr">
        <is>
          <t>Rexford</t>
        </is>
      </c>
      <c r="C135" s="19" t="inlineStr">
        <is>
          <t>Mohawk River</t>
        </is>
      </c>
      <c r="D135" s="19" t="inlineStr">
        <is>
          <t>Freeze-up</t>
        </is>
      </c>
      <c r="E135" s="19" t="n">
        <v>24.5</v>
      </c>
      <c r="F135" s="19" t="inlineStr">
        <is>
          <t>The ice jam on the Mohawk River at Rexford was intact. Water was running under the jam. Below the jam the sheet ice was intact with some water puddles on top. Above the jam the broken ice was packed solid, with the exception of an open water pool at the sharp turn in the river just downstream of the Rexford bridge.   -- Keywords: Mohawk River at Rexford, NY on Feb 04, 1999 [20030423110821]</t>
        </is>
      </c>
    </row>
    <row r="136" ht="45.75" customHeight="1" s="13">
      <c r="A136" s="19" t="inlineStr">
        <is>
          <t>1999-01-28</t>
        </is>
      </c>
      <c r="B136" s="19" t="inlineStr">
        <is>
          <t>Canajoharie</t>
        </is>
      </c>
      <c r="C136" s="19" t="inlineStr">
        <is>
          <t>Mohawk River</t>
        </is>
      </c>
      <c r="D136" s="19" t="inlineStr">
        <is>
          <t>Combination</t>
        </is>
      </c>
      <c r="E136" s="19" t="n">
        <v>37.9</v>
      </c>
      <c r="F136" s="19" t="inlineStr">
        <is>
          <t>The NWS reported on Jan. 28 that an ice jam was located between Canajoharie and Fonda on the Mohawk River. The jam resulted in considerable blockage of the channel so that water backed up four to five feet. No other information available.  -- Keywords: Mohawk River at Canajoharie, NY on Jan 28, 1999 [20030423095757]</t>
        </is>
      </c>
    </row>
    <row r="137" ht="79.5" customHeight="1" s="13">
      <c r="A137" s="19" t="inlineStr">
        <is>
          <t>1999-01-25</t>
        </is>
      </c>
      <c r="B137" s="19" t="inlineStr">
        <is>
          <t>Schenectady</t>
        </is>
      </c>
      <c r="C137" s="19" t="inlineStr">
        <is>
          <t>Mohawk River</t>
        </is>
      </c>
      <c r="D137" s="19" t="inlineStr">
        <is>
          <t>?</t>
        </is>
      </c>
      <c r="E137" s="19" t="n">
        <v>21.2</v>
      </c>
      <c r="F137" s="19" t="inlineStr">
        <is>
          <t>At 4:55 PM EST on Monday, January 25, a rather large ice jam was discovered in the Rexford Gorge between Vischer Ferry and Schenectady on the Mohawk River. At 2:00 PM this jam was backing up water into Schenectady and the river was up to the 222 foot elevation. At 10:10 AM on Thursday, there were no significant changes in the ice jam, but it was resulting in a considerable blockage of the channel so that the water was backing up four to five feet. -- Keywords: Mohawk River at Schenectady, NY on Jan 25, 1999 [2074]</t>
        </is>
      </c>
    </row>
    <row r="138" ht="202.5" customHeight="1" s="13">
      <c r="A138" s="19" t="inlineStr">
        <is>
          <t>1999-01-25</t>
        </is>
      </c>
      <c r="B138" s="19" t="inlineStr">
        <is>
          <t>New Paltz</t>
        </is>
      </c>
      <c r="C138" s="19" t="inlineStr">
        <is>
          <t>Wallkill River</t>
        </is>
      </c>
      <c r="D138" s="19" t="inlineStr">
        <is>
          <t>?</t>
        </is>
      </c>
      <c r="E138" s="19" t="n">
        <v>57.4</v>
      </c>
      <c r="F138" s="19" t="inlineStr">
        <is>
          <t>At 4:25 AM on Monday, January 25 1999, it was reported that the Wallkill River rose out of its banks in the vicinity of New Paltz in Ulster County, NY sometime Sunday evening. Police officials from New Paltz reported that the river flooded Springtown Road between Dug Road and Mt. Rest. As of 4:00 PM, this road was still closed. This river may have been affected by an ice jam that formed Sunday after the watershed received heavy rains causing the river to rise. As of 1:00 PM on Monday, flooding was also reported on Libertyville Road and Route 299. At 2:40 PM EST on Tuesday, January 26, it was reported that the ice jam that had caused the river to spill out of its banks causing minor flooding had receded and was below flood stage. At 9:35 AM EST on Thursday, January 28, it was reported that the Wallkill was still close to bank full in Southern Ulster County between Gardiner and Dashville. It was predicted to go back to normal levels within a day or two. Later, at 3:15 PM EST on Tuesday, February 2, it was reported that the Wallkill River in NY had ice jams that led to flooding because they blocked the river channel. At 8:40 PM EST on Tuesday, February 2, the Wallkill River in Southern Ulster County, NY came up about three feet at Gardiner as a result of ice between Gardiner and New Paltz. At 13 feet the river overflows onto low lying roads. The river was expected to get close to that level overnight. -- Keywords: Wallkill River at New Paltz, NY on Jan 25, 1999 [2075]</t>
        </is>
      </c>
    </row>
    <row r="139" ht="79.5" customHeight="1" s="13">
      <c r="A139" s="19" t="inlineStr">
        <is>
          <t>1999-01-25</t>
        </is>
      </c>
      <c r="B139" s="19" t="inlineStr">
        <is>
          <t>Randall</t>
        </is>
      </c>
      <c r="C139" s="19" t="inlineStr">
        <is>
          <t>Mohawk River</t>
        </is>
      </c>
      <c r="D139" s="19" t="inlineStr">
        <is>
          <t>?</t>
        </is>
      </c>
      <c r="E139" s="19" t="n">
        <v>34</v>
      </c>
      <c r="F139" s="19" t="inlineStr">
        <is>
          <t>At 4:55 PM EST on Monday January 25, a large ice jam was discovered that extended from Randall to Sprakers in Montgomery County, NY on the Mohawk River. This jam resulted in low fields along the river being flooded back to Canajoharie and Fort Plain. At 10:10 AM EST on Thursday, it was reported that the ice jam now extended from Fonda to Canajoharie. It was resulting in a considerable blockage of the channel so that water was backing up four to five feet. -- Keywords: Mohawk River at Randall, NY on Jan 25, 1999 [2073]</t>
        </is>
      </c>
    </row>
    <row r="140" ht="102" customHeight="1" s="13">
      <c r="A140" s="19" t="inlineStr">
        <is>
          <t>1999-01-24</t>
        </is>
      </c>
      <c r="B140" s="19" t="inlineStr">
        <is>
          <t>Crawford</t>
        </is>
      </c>
      <c r="C140" s="19" t="inlineStr">
        <is>
          <t>Verkeerder Kill</t>
        </is>
      </c>
      <c r="D140" s="19" t="inlineStr">
        <is>
          <t>?</t>
        </is>
      </c>
      <c r="E140" s="19" t="n">
        <v>64.8</v>
      </c>
      <c r="F140" s="19" t="inlineStr">
        <is>
          <t>On Sunday, January 24 at 5:52 PM, Ulster County Officials reported an ice jam on the Verkeerder Kill along the Ulster and Orange County Border. It is in the vicinity of the confluence of the Verkeerder Kill and Shawangunk Kill rivers in Crawford, New York. Ulsterville Road from the intersection of Pirog Road South into the town of Crawford in Orange County were closed. A bridge near the intersections of Ulsterville Road, Pirog Road, and Gillespie Street was flooded with 4 to 5 feet of water. At 11:25 PM on Sunday, it was reported that the ice jam had diminished. Crawford Police Officials reported that Ulsterville Road was reopened and flood waters had receded. -- Keywords: Verkeerder Kill at Crawford, NY on Jan 24, 1999 [2065]</t>
        </is>
      </c>
    </row>
    <row r="141" ht="34.5" customHeight="1" s="13">
      <c r="A141" s="19" t="inlineStr">
        <is>
          <t>1999-01-24</t>
        </is>
      </c>
      <c r="B141" s="19" t="inlineStr">
        <is>
          <t>St. Johnsville</t>
        </is>
      </c>
      <c r="C141" s="19" t="inlineStr">
        <is>
          <t>Mohawk River</t>
        </is>
      </c>
      <c r="D141" s="19" t="inlineStr">
        <is>
          <t>?</t>
        </is>
      </c>
      <c r="E141" s="19" t="n">
        <v>44.5</v>
      </c>
      <c r="F141" s="19" t="inlineStr">
        <is>
          <t>AT 12 noon on Sunday, January 24, authorities in Montgomery County reported that one jam had formed on the Mohawk River near the village of St. Johnsville. -- Keywords: Mohawk River at St. Johnsville, NY on Jan 24, 1999 [2072]</t>
        </is>
      </c>
    </row>
    <row r="142" ht="57" customHeight="1" s="13">
      <c r="A142" s="19" t="inlineStr">
        <is>
          <t>1999-01-20</t>
        </is>
      </c>
      <c r="B142" s="19" t="inlineStr">
        <is>
          <t>Battenville</t>
        </is>
      </c>
      <c r="C142" s="19" t="inlineStr">
        <is>
          <t>Batten Kill</t>
        </is>
      </c>
      <c r="D142" s="19" t="inlineStr">
        <is>
          <t>?</t>
        </is>
      </c>
      <c r="E142" s="19" t="n">
        <v>47.3</v>
      </c>
      <c r="F142" s="19" t="inlineStr">
        <is>
          <t>At 11:45 AM EST on Wednesday, January 20 local officials reported an ice jam that had formed on the Batten Kill in New York as a result of recent rains. The jam was causing the Battenville Gage to read between 7 and 10 feet, but it was not causing any flooding problems. Flow was expected to diminish that day. -- Keywords: Batten Kill at Battenkill, NY on Jan 20, 1999 [2054]</t>
        </is>
      </c>
    </row>
    <row r="143" ht="258.75" customHeight="1" s="13">
      <c r="A143" s="19" t="inlineStr">
        <is>
          <t>1999-01-19</t>
        </is>
      </c>
      <c r="B143" s="19" t="inlineStr">
        <is>
          <t>Buskirk</t>
        </is>
      </c>
      <c r="C143" s="19" t="inlineStr">
        <is>
          <t>Hoosic River</t>
        </is>
      </c>
      <c r="D143" s="19" t="inlineStr">
        <is>
          <t>?</t>
        </is>
      </c>
      <c r="E143" s="19" t="n">
        <v>41.4</v>
      </c>
      <c r="F143" s="19" t="inlineStr">
        <is>
          <t>At 5:00 AM EST on Tuesday, January 19, 1999, the Rensselaer County Sheriff?s office reported that the ice jam on the Hoosic River at Buskirk, NY was holding steady. As a result of this ice jam, and also rain and snowmelt, water continued to overflow onto Route 103 and River Road near the Buskirk covered bridge. Ice extended from Buskirk most of the way to Eagle Bridge and was clogging parts of the river. As of 5:00 AM there had been little change in the condition of the ice jam. A flood warning remained in effect for this portion of the river. At 5:55 AM, the Hoosic River had dropped to below 9 feet at Eagle Bridge, while earlier that morning it was just under 10 feet. Flood stage at Eagle Bridge is 11 feet. At 10:40 AM on Tuesday, ice jams between Eagle Bridge and Johnsonville resulted in the closure of River Road and Route 103. The flood waters were also affecting some low lying homes in the area. At 10:00 AM the Hoosic was 7.5 feet at Eagle Bridge. At 7:45 PM on Thursday, January 21, the ice jam still remained in place between Eagle Bridge and the Johnsonville Hydro Plant. There was little change expected overnight. The water flow through the ice jam had decreased and only minor low land flooding remained in the area. At 11:05 AM on Sunday, January 24, it was reported that the ice jam moved west into the reservoir behind the Johnsonville Hydro Plant. The river had risen two feet overnight and was up to 8 feet late that morning. It was expected to crest at 10 feet at Eagle Bridge that afternoon. At 3:13 PM on Sunday, January 24, if was expected that the Hoosic would crest near its 11 foot flood stage that evening. Rain and snowmelt brought the river to within half a foot of its flood stage. There was minor flooding at this time along River Road and Route 103 near Buskirk. The ice jam was still downstream in the reservoir. -- Keywords: Hoosic River at Buskirk, NY on Jan 19, 1999 [2052]</t>
        </is>
      </c>
    </row>
    <row r="144" ht="79.5" customHeight="1" s="13">
      <c r="A144" s="19" t="inlineStr">
        <is>
          <t>1999-01-19</t>
        </is>
      </c>
      <c r="B144" s="19" t="inlineStr">
        <is>
          <t>New Lebanon</t>
        </is>
      </c>
      <c r="C144" s="19" t="inlineStr">
        <is>
          <t>Kinderhook Creek</t>
        </is>
      </c>
      <c r="D144" s="19" t="inlineStr">
        <is>
          <t>?</t>
        </is>
      </c>
      <c r="E144" s="19" t="n">
        <v>33.2</v>
      </c>
      <c r="F144" s="19" t="inlineStr">
        <is>
          <t>At 1:44 AM EST on Tuesday, January 19, 1999, local emergency managers in Columbia County, NY reported ice jamming on the Kinderhook Creek in the town of New Lebanon, NY. Adams Crossing Road, Winslow Road, and Hanky Mull Road were all being affected by flood waters as water piled up behind the ice jam. It was predicted that should the ice jam break, a surge of water will threaten the towns of Chatham, Valatie, and Kinderhook. -- Keywords: Kinderhook Creek at Ne Lebanon, NY on Jan 19, 1999 [2051]</t>
        </is>
      </c>
    </row>
    <row r="145" ht="90.75" customHeight="1" s="13">
      <c r="A145" s="19" t="inlineStr">
        <is>
          <t>1999-01-18</t>
        </is>
      </c>
      <c r="B145" s="19" t="inlineStr">
        <is>
          <t>Amenia</t>
        </is>
      </c>
      <c r="C145" s="19" t="inlineStr">
        <is>
          <t>Wassaic Creek</t>
        </is>
      </c>
      <c r="D145" s="19" t="inlineStr">
        <is>
          <t>?</t>
        </is>
      </c>
      <c r="E145" s="19" t="n">
        <v>52.4</v>
      </c>
      <c r="F145" s="19" t="inlineStr">
        <is>
          <t>At 11:00 PM on Monday, January 18, 1999 an ice jam was reported on the Wassaic Creek in New York. It caused the creek to back up onto Country Route 81 and resulted in the evacuation of homes. Country Route 81 is half way between State Route 22 and South Amenia Road in the town of Amenia. At 4:13 AM on Tuesday, January 19, the ice jam was still continuing to cause water to back up onto County Route 81 in Amenia. At 4:44 AM on that same day, the Dutchess County Sheriff?s Office reported that the ice jam had dissipated but that the water was still flowing across the road.    -- Keywords: Wassaic Creek at Amenia, NY on Jan 18, 1999 [2101]</t>
        </is>
      </c>
    </row>
    <row r="146" ht="34.5" customHeight="1" s="13">
      <c r="A146" s="19" t="inlineStr">
        <is>
          <t>1998-12-31</t>
        </is>
      </c>
      <c r="B146" s="19" t="inlineStr">
        <is>
          <t>Bridgeville</t>
        </is>
      </c>
      <c r="C146" s="19" t="inlineStr">
        <is>
          <t>Neversink River</t>
        </is>
      </c>
      <c r="D146" s="19" t="inlineStr">
        <is>
          <t>Freeze-up</t>
        </is>
      </c>
      <c r="E146" s="19" t="n">
        <v>67.5</v>
      </c>
      <c r="F146" s="19" t="inlineStr">
        <is>
          <t>USGS Water Resources Data for New York WY 2003 reported a minimum daily discharge of 0.20cfs on 31-DEC-1998 due to freezeup at USGS gaging station 01436690 Neversink River at Bridgeville, NY. The gage height was not reported.</t>
        </is>
      </c>
    </row>
    <row r="147" ht="135.75" customHeight="1" s="13">
      <c r="A147" s="19" t="inlineStr">
        <is>
          <t>1998-01-08</t>
        </is>
      </c>
      <c r="B147" s="19" t="inlineStr">
        <is>
          <t>Hope</t>
        </is>
      </c>
      <c r="C147" s="19" t="inlineStr">
        <is>
          <t>Sacandaga River</t>
        </is>
      </c>
      <c r="D147" s="19" t="inlineStr">
        <is>
          <t>Break-up</t>
        </is>
      </c>
      <c r="E147" s="19" t="n">
        <v>55.6</v>
      </c>
      <c r="F147" s="19" t="inlineStr">
        <is>
          <t>On Thursday, January 8, 1998 at 3:15 am, the National Weather Service issued a flood warning for the Sacandaga River above the Great Sacandaga Lake in Hamilton County, NY. Late Wednesday evening, rain, melting snow, and ice caused the Sacandaga River to rise a foot and a half. At Hope, the river was close to the 7 foot flood stage by midnight. The river is expected to crest between 7.5 and 8 feet Thursday evening, which may cause the water to overflow onto state route 30. On Thursday, January 8, 1998 at 5:33 pm, the National Weather Service reported, "A flood warning is valid for the Sacanadaga River above the great Sacanadaga Lake this evening. The river level at Hope was at 8.9 feet late this afternoon and as a result of ice jams rapid fluctuations are expected and is expected to crest at 10.5 feet Friday morning, which will result in moderate flooding." -- Keywords: Sacandaga River at Hope, NY on Jan 08, 1998 [2018]</t>
        </is>
      </c>
    </row>
    <row r="148" ht="57" customHeight="1" s="13">
      <c r="A148" s="19" t="inlineStr">
        <is>
          <t>1997-02-28</t>
        </is>
      </c>
      <c r="B148" s="19" t="inlineStr">
        <is>
          <t>Dolgeville</t>
        </is>
      </c>
      <c r="C148" s="19" t="inlineStr">
        <is>
          <t>East Canada Creek</t>
        </is>
      </c>
      <c r="D148" s="19" t="inlineStr">
        <is>
          <t>?</t>
        </is>
      </c>
      <c r="E148" s="19" t="n">
        <v>54.8</v>
      </c>
      <c r="F148" s="19" t="inlineStr">
        <is>
          <t>An ice jam was reported blocking the river channel at the Route 29 Bridge in the village of Dolgeville along the Herkimer Fulton County Line. Ice was reported as backed up under the state bridge. Behind the Jam water was backing up into cellars of nearby buildings. -- Keywords: East Canada Creek at Dolgeville, NY on Feb 28, 1997 [3675]</t>
        </is>
      </c>
    </row>
    <row r="149" ht="34.5" customHeight="1" s="13">
      <c r="A149" s="19" t="inlineStr">
        <is>
          <t>1997-02-27</t>
        </is>
      </c>
      <c r="B149" s="19" t="inlineStr">
        <is>
          <t>Vischer Ferry</t>
        </is>
      </c>
      <c r="C149" s="19" t="inlineStr">
        <is>
          <t>Mohawk River</t>
        </is>
      </c>
      <c r="D149" s="19" t="inlineStr">
        <is>
          <t>?</t>
        </is>
      </c>
      <c r="E149" s="19" t="n">
        <v>22.5</v>
      </c>
      <c r="F149" s="19" t="inlineStr">
        <is>
          <t>Another ice jam exists between the Vischer Ferry Preserve and the Cresent Bridge. It is being blocked by sheet ice on the Crescent pool. -- Keywords: Mohawk River at Vischer Ferry, NY on Feb 27, 1997 [3701]</t>
        </is>
      </c>
    </row>
    <row r="150" ht="57" customHeight="1" s="13">
      <c r="A150" s="19" t="inlineStr">
        <is>
          <t>1997-02-27</t>
        </is>
      </c>
      <c r="B150" s="19" t="inlineStr">
        <is>
          <t>Schenectady</t>
        </is>
      </c>
      <c r="C150" s="19" t="inlineStr">
        <is>
          <t>Mohawk River</t>
        </is>
      </c>
      <c r="D150" s="19" t="inlineStr">
        <is>
          <t>?</t>
        </is>
      </c>
      <c r="E150" s="19" t="n">
        <v>21.2</v>
      </c>
      <c r="F150" s="19" t="inlineStr">
        <is>
          <t>Ice blocks in excess of 2 feet thick have hung up on the islands around the stockade area of Schenectady. River rises could relocated and jam this ice. There is a small jam hung up on Hog Island made up of ice blocks 6-24 inches thick. The water levels at the Western Gateway Bridge has been slowly rising to 214.0 feet with a flood stage of 223 feet. -- Keywords: Mohawk River at Schenectady, NY on Feb 27, 1997 [1085]</t>
        </is>
      </c>
    </row>
    <row r="151" ht="68.25" customHeight="1" s="13">
      <c r="A151" s="19" t="inlineStr">
        <is>
          <t>1997-02-22</t>
        </is>
      </c>
      <c r="B151" s="19" t="inlineStr">
        <is>
          <t>Crescent</t>
        </is>
      </c>
      <c r="C151" s="19" t="inlineStr">
        <is>
          <t>Mohawk River</t>
        </is>
      </c>
      <c r="D151" s="19" t="inlineStr">
        <is>
          <t>?</t>
        </is>
      </c>
      <c r="E151" s="19" t="n">
        <v>26.5</v>
      </c>
      <c r="F151" s="19" t="inlineStr">
        <is>
          <t>Around Feb 22, high water levels have caused low-land flooding between Crescent and the Waterford/Troy areas and on River Street between Route 69 in Oriskany and Route 49 in Marcy, both of which have been closed. On February 27th, ice jams in Crescent remain in place. Water levels on the Mohawk River have been rising slowly. There is also a jam in the vicinity of the Twin Bridges. -- Keywords: Mohawk River at Crescent, NY on Feb 22, 1997 [3703]</t>
        </is>
      </c>
    </row>
    <row r="152" ht="68.25" customHeight="1" s="13">
      <c r="A152" s="19" t="inlineStr">
        <is>
          <t>1997-02-21</t>
        </is>
      </c>
      <c r="B152" s="19" t="inlineStr">
        <is>
          <t>Little Falls</t>
        </is>
      </c>
      <c r="C152" s="19" t="inlineStr">
        <is>
          <t>Mohawk River</t>
        </is>
      </c>
      <c r="D152" s="19" t="inlineStr">
        <is>
          <t>?</t>
        </is>
      </c>
      <c r="E152" s="19" t="n">
        <v>50.6</v>
      </c>
      <c r="F152" s="19" t="inlineStr">
        <is>
          <t>Ice has jammed between Rotterdam and Amsterdam along the Mohawk River due to balmy weather. Water levels have risen to near bankfull with slabs of ice over a foot thick. This increased flow will build up pressure behind the jam potentially causing it to break. In previous years, ice jams have formed at the railroad bridge just below the stockade neighborhood causing rather serious flooding. -- Keywords: Mohawk River at Little Falls, NY on Feb 21, 1997 [3670]</t>
        </is>
      </c>
    </row>
    <row r="153" ht="45.75" customHeight="1" s="13">
      <c r="A153" s="19" t="inlineStr">
        <is>
          <t>1997-02-21</t>
        </is>
      </c>
      <c r="B153" s="19" t="inlineStr">
        <is>
          <t>St. Johnsville/Big Nose</t>
        </is>
      </c>
      <c r="C153" s="19" t="inlineStr">
        <is>
          <t>Schoharie Creek</t>
        </is>
      </c>
      <c r="D153" s="19" t="inlineStr">
        <is>
          <t>Break-up</t>
        </is>
      </c>
      <c r="E153" s="19" t="n">
        <v>34.2</v>
      </c>
      <c r="F153" s="19" t="inlineStr">
        <is>
          <t>An ice jam near St. Johnsville / Big Nose brok and ice was moving down Schoharie Creek. This ice will more than likely run into the jam near Amsterdam. Much of this jam is between Rotterdam and Amsterdam. -- Keywords: Schoharie Creek at St. Johnsville/Big Nose, NY on Feb 21, 1997 [1411]</t>
        </is>
      </c>
    </row>
    <row r="154" ht="57" customHeight="1" s="13">
      <c r="A154" s="19" t="inlineStr">
        <is>
          <t>1997-02-21</t>
        </is>
      </c>
      <c r="B154" s="19" t="inlineStr">
        <is>
          <t>Cohoes</t>
        </is>
      </c>
      <c r="C154" s="19" t="inlineStr">
        <is>
          <t>Mohawk River</t>
        </is>
      </c>
      <c r="D154" s="19" t="inlineStr">
        <is>
          <t>?</t>
        </is>
      </c>
      <c r="E154" s="19" t="n">
        <v>25.3</v>
      </c>
      <c r="F154" s="19" t="inlineStr">
        <is>
          <t>Ice jams on the Mohawk may cause flooding between Fonda and Cohoes due to balmy weather. It is expected that the ice would move towards Cohoes Falls and break-up and head into the Hudson River, which at the time had low water levels and significant flooding was not expected. -- Keywords: Mohawk River at Cohoes Falls, NY on Feb 21, 1997 [3705]</t>
        </is>
      </c>
    </row>
    <row r="155" ht="57" customHeight="1" s="13">
      <c r="A155" s="19" t="inlineStr">
        <is>
          <t>1997-01-19</t>
        </is>
      </c>
      <c r="B155" s="19" t="inlineStr">
        <is>
          <t>Ilion</t>
        </is>
      </c>
      <c r="C155" s="19" t="inlineStr">
        <is>
          <t>Steele Creek</t>
        </is>
      </c>
      <c r="D155" s="19" t="inlineStr">
        <is>
          <t>?</t>
        </is>
      </c>
      <c r="E155" s="19" t="n">
        <v>61.5</v>
      </c>
      <c r="F155" s="19" t="inlineStr">
        <is>
          <t>A small jam formed in Steele Creek which had elevated water levels slightly. Local residents were concerned with the Main Street Bridge and the gas line that crosses the bridge. Once the jam passed very little ice remained along the banks or in the channel upstream of the village limits.   -- Keywords: Steele Creek at Ilion, NY on Jan 19, 1997 [1491]</t>
        </is>
      </c>
    </row>
    <row r="156" ht="45.75" customHeight="1" s="13">
      <c r="A156" s="19" t="inlineStr">
        <is>
          <t>1996-02-22</t>
        </is>
      </c>
      <c r="B156" s="19" t="inlineStr">
        <is>
          <t>Scotia</t>
        </is>
      </c>
      <c r="C156" s="19" t="inlineStr">
        <is>
          <t>Mohawk River</t>
        </is>
      </c>
      <c r="D156" s="19" t="inlineStr">
        <is>
          <t>Break-up</t>
        </is>
      </c>
      <c r="E156" s="19" t="n">
        <v>21.8</v>
      </c>
      <c r="F156" s="19" t="inlineStr">
        <is>
          <t>On 2/22/96 the NWS reported an ice jam on the Mohawk River between Lock 8 in Scotia, NY and the Western Gateway bridge in Schenectady, NY. Water levels rose behind the jam but did not exceed flood stage. -- Keywords: Mohawk River at Scotia, NY on Feb 22, 1996 [1087]</t>
        </is>
      </c>
    </row>
    <row r="157" ht="68.25" customHeight="1" s="13">
      <c r="A157" s="19" t="inlineStr">
        <is>
          <t>1996-02-22</t>
        </is>
      </c>
      <c r="B157" s="19" t="inlineStr">
        <is>
          <t>Poestenkill</t>
        </is>
      </c>
      <c r="C157" s="19" t="inlineStr">
        <is>
          <t>Poestenkill Creek</t>
        </is>
      </c>
      <c r="D157" s="19" t="inlineStr">
        <is>
          <t>Break-up</t>
        </is>
      </c>
      <c r="E157" s="19" t="n">
        <v>27.2</v>
      </c>
      <c r="F157" s="19" t="inlineStr">
        <is>
          <t>The NWS reported an ice jam on the Poestenkill Creek in Poestenkill, NY flooded Plank Rd on 2/22/96. Two more ice jams were reported on the creek between Fifty Six Rd and Cropsey Rd. in Poestenkill. Rt. 40 was closed due to water flooding the road and people were evacuated from around the creek. By 2/24 the jams were decreasing in size and water receded to within its banks. -- Keywords: Poestenkill Creek at Poestenkill, NY on Feb 22, 1996 [1307]</t>
        </is>
      </c>
    </row>
    <row r="158" ht="57" customHeight="1" s="13">
      <c r="A158" s="19" t="inlineStr">
        <is>
          <t>1996-02-21</t>
        </is>
      </c>
      <c r="B158" s="19" t="inlineStr">
        <is>
          <t>Mohawk</t>
        </is>
      </c>
      <c r="C158" s="19" t="inlineStr">
        <is>
          <t>Fulmer Creek</t>
        </is>
      </c>
      <c r="D158" s="19" t="inlineStr">
        <is>
          <t>Break-up</t>
        </is>
      </c>
      <c r="E158" s="19" t="n">
        <v>35.3</v>
      </c>
      <c r="F158" s="19" t="inlineStr">
        <is>
          <t>As reported in the U.S Army Corps of Engineers Iterim Assessment Report, July 1996, "February 21, 1996: Ice Jam Event. Ice jammed at the new Route 5S bridge, causing water to rise to the top of a retaining wall lining the river. The ice went out, however, before any flooding took place." -- Keywords: Fulmer Creek at Mohawk, NY on Feb 21, 1996 [424]</t>
        </is>
      </c>
    </row>
    <row r="159" ht="68.25" customHeight="1" s="13">
      <c r="A159" s="19" t="inlineStr">
        <is>
          <t>1996-02-01</t>
        </is>
      </c>
      <c r="B159" s="19" t="inlineStr">
        <is>
          <t>Dolgeville</t>
        </is>
      </c>
      <c r="C159" s="19" t="inlineStr">
        <is>
          <t>East Canada Creek</t>
        </is>
      </c>
      <c r="D159" s="19" t="inlineStr">
        <is>
          <t>Break-up</t>
        </is>
      </c>
      <c r="E159" s="19" t="n">
        <v>54.8</v>
      </c>
      <c r="F159" s="19" t="inlineStr">
        <is>
          <t>According to a NWS Flood Warning on 2/24/96, an ice jam was located on East Canada Creek between Van Buren Street and Dolge Avenue in Dolgeville, NY and had caused road and basement flooding. The county highway dept. and emergency management officials were trying to breakup the jam on the evening of 2/24/96. There were no changes the morning of 2/25/96. -- Keywords: East Canada Creek at Dolgeville, NY on Feb ?, 1996 [373]</t>
        </is>
      </c>
    </row>
    <row r="160" ht="45.75" customHeight="1" s="13">
      <c r="A160" s="19" t="inlineStr">
        <is>
          <t>1996-01-29</t>
        </is>
      </c>
      <c r="B160" s="19" t="inlineStr">
        <is>
          <t>Libertyville</t>
        </is>
      </c>
      <c r="C160" s="19" t="inlineStr">
        <is>
          <t>Wallkill River</t>
        </is>
      </c>
      <c r="D160" s="19" t="inlineStr">
        <is>
          <t>Break-up</t>
        </is>
      </c>
      <c r="E160" s="19" t="n">
        <v>55.1</v>
      </c>
      <c r="F160" s="19" t="inlineStr">
        <is>
          <t>According to a NWS Flood Watch, the ice jam on the Walkill River in the vicinity of Libertyville, NY is approximately 1 1/2 to 2 miles in length stretching from Tall Pines Lane to the Ulster County fairgrounds. -- Keywords: Walkill River at Libertyville, NY on Jan 29, 1996 [1645]</t>
        </is>
      </c>
    </row>
    <row r="161" ht="45.75" customHeight="1" s="13">
      <c r="A161" s="19" t="inlineStr">
        <is>
          <t>1996-01-24</t>
        </is>
      </c>
      <c r="B161" s="19" t="inlineStr">
        <is>
          <t>Gardiner</t>
        </is>
      </c>
      <c r="C161" s="19" t="inlineStr">
        <is>
          <t>Wallkill River</t>
        </is>
      </c>
      <c r="D161" s="19" t="inlineStr">
        <is>
          <t>Break-up</t>
        </is>
      </c>
      <c r="E161" s="19" t="n">
        <v>58.1</v>
      </c>
      <c r="F161" s="19" t="inlineStr">
        <is>
          <t>NWS Flood Statements indicated that an ice jam in the area of Gardiner on the Walkill River was causing flooding between Montgomery and Walden, NY. The ice jam broke on 1/28/96 allowing the river to flow freely. -- Keywords: Walkill River at Gardiner, NY on Jan 24, 1996 [1644]</t>
        </is>
      </c>
    </row>
    <row r="162" ht="34.5" customHeight="1" s="13">
      <c r="A162" s="19" t="inlineStr">
        <is>
          <t>1996-01-21</t>
        </is>
      </c>
      <c r="B162" s="19" t="inlineStr">
        <is>
          <t>Catskill</t>
        </is>
      </c>
      <c r="C162" s="19" t="inlineStr">
        <is>
          <t>Hudson River</t>
        </is>
      </c>
      <c r="D162" s="19" t="inlineStr">
        <is>
          <t>Break-up</t>
        </is>
      </c>
      <c r="E162" s="19" t="n">
        <v>22.7</v>
      </c>
      <c r="F162" s="19" t="inlineStr">
        <is>
          <t>A 1/21/96 NWS Flood Statement reported that the large ice jam on the Hudson River in Catskill, NY is located between the Rip Van Winkle Bridge and the confluence with the Catskill Creek. -- Keywords: Hudson River at Catskill, NY on Jan 21, 1996 [475]</t>
        </is>
      </c>
    </row>
    <row r="163" ht="45.75" customHeight="1" s="13">
      <c r="A163" s="19" t="inlineStr">
        <is>
          <t>1996-01-20</t>
        </is>
      </c>
      <c r="B163" s="19" t="inlineStr">
        <is>
          <t>Hopewell Junction</t>
        </is>
      </c>
      <c r="C163" s="19" t="inlineStr">
        <is>
          <t>Fishkill Creek</t>
        </is>
      </c>
      <c r="D163" s="19" t="inlineStr">
        <is>
          <t>Unknown</t>
        </is>
      </c>
      <c r="E163" s="19" t="n">
        <v>66.40000000000001</v>
      </c>
      <c r="F163" s="19" t="inlineStr">
        <is>
          <t>USGS Water Resources Data for New York WY 2003 reported a maximum gage height of 11.71ft on 20-JAN-1996 due to an ice jam at USGS gaging station 01372800 Fishkill Creek at Hopewell Junction, NY. The average daily discharge was not reported.</t>
        </is>
      </c>
    </row>
    <row r="164" ht="34.5" customHeight="1" s="13">
      <c r="A164" s="19" t="inlineStr">
        <is>
          <t>1996-01-20</t>
        </is>
      </c>
      <c r="B164" s="19" t="inlineStr">
        <is>
          <t>Bainbridge</t>
        </is>
      </c>
      <c r="C164" s="19" t="inlineStr">
        <is>
          <t>Susquehanna River</t>
        </is>
      </c>
      <c r="D164" s="19" t="inlineStr">
        <is>
          <t>Unknown</t>
        </is>
      </c>
      <c r="E164" s="19" t="n">
        <v>74.7</v>
      </c>
      <c r="F164" s="19" t="inlineStr">
        <is>
          <t>USGS Water Resources Data for New York WY 2004 reported a maximum gage height of 21.04ft on 20-JAN-1996 due to an ice jam at USGS gaging station 01502623 Susquehanna River at Bainbridge, NY. The average daily discharge was not reported.</t>
        </is>
      </c>
    </row>
    <row r="165" ht="45.75" customHeight="1" s="13">
      <c r="A165" s="19" t="inlineStr">
        <is>
          <t>1996-01-19</t>
        </is>
      </c>
      <c r="B165" s="19" t="inlineStr">
        <is>
          <t>Prattsville</t>
        </is>
      </c>
      <c r="C165" s="19" t="inlineStr">
        <is>
          <t>Schoharie Creek</t>
        </is>
      </c>
      <c r="D165" s="19" t="inlineStr">
        <is>
          <t>Break-up</t>
        </is>
      </c>
      <c r="E165" s="19" t="n">
        <v>23.8</v>
      </c>
      <c r="F165" s="19" t="inlineStr">
        <is>
          <t>According to NWS Flood Statements, about a mile below Prattsville, NY an ice jam formed on Schoharie Creek. The water level rose above flood stage on 1/19/96 and began to fall on 1/21/96. -- Keywords: Schoharie Creek at Prattsville, NY on Jan 19, 1996 [1410]</t>
        </is>
      </c>
    </row>
    <row r="166" ht="68.25" customHeight="1" s="13">
      <c r="A166" s="19" t="inlineStr">
        <is>
          <t>1996-01-19</t>
        </is>
      </c>
      <c r="B166" s="19" t="inlineStr">
        <is>
          <t>Mohawk</t>
        </is>
      </c>
      <c r="C166" s="19" t="inlineStr">
        <is>
          <t>Mohawk River</t>
        </is>
      </c>
      <c r="D166" s="19" t="inlineStr">
        <is>
          <t>Break-up</t>
        </is>
      </c>
      <c r="E166" s="19" t="n">
        <v>35.3</v>
      </c>
      <c r="F166" s="19" t="inlineStr">
        <is>
          <t>According to a NWS Flood Warning on 1/19/96 ice flowed into the Mohawk River from West Canada Creek and jammed in Herkimer and Mohawk, NY. The "Utica Observer Dispatch" Jan 24, 1996 reported $175K in damages in Mohawk, $600K in German Flatts, $800K in county road damage and a grand total of $2.8M in damage across Herkimer County. 100 people were evacuated from their homes in Mohawk and German Flatts. -- Keywords: Mohawk River at Mohawk, NY on Jan 19, 1996 [1084]</t>
        </is>
      </c>
    </row>
    <row r="167" ht="79.5" customHeight="1" s="13">
      <c r="A167" s="19" t="inlineStr">
        <is>
          <t>1996-01-19</t>
        </is>
      </c>
      <c r="B167" s="19" t="inlineStr">
        <is>
          <t>German Flatts</t>
        </is>
      </c>
      <c r="C167" s="19" t="inlineStr">
        <is>
          <t>Mohawk River</t>
        </is>
      </c>
      <c r="D167" s="19" t="inlineStr">
        <is>
          <t>Break-up</t>
        </is>
      </c>
      <c r="E167" s="19" t="n">
        <v>60.2</v>
      </c>
      <c r="F167" s="19" t="inlineStr">
        <is>
          <t>According to a NWS Flood Warning on 1/19/96 ice flowed into the Mohawk River from West Canada Creek and jammed in Herkimer and Mohawk, NY. The "Utica Observer Dispatch" Jan 24, 1996 reported $175K in damages in Mohawk, $600K in German Flatts, $800K in county road damage and a grand total of $2.8M in damage across Herkimer County. 100 people were evacuated from their homes in Mohawk and German Flatts. -- Keywords: Mohawk River at German Flatts, NY on Jan 19, 1996 [1081]</t>
        </is>
      </c>
    </row>
    <row r="168" ht="68.25" customHeight="1" s="13">
      <c r="A168" s="19" t="inlineStr">
        <is>
          <t>1996-01-19</t>
        </is>
      </c>
      <c r="B168" s="19" t="inlineStr">
        <is>
          <t>Herkimer</t>
        </is>
      </c>
      <c r="C168" s="19" t="inlineStr">
        <is>
          <t>Mohawk River</t>
        </is>
      </c>
      <c r="D168" s="19" t="inlineStr">
        <is>
          <t>Break-up</t>
        </is>
      </c>
      <c r="E168" s="19" t="n">
        <v>59.4</v>
      </c>
      <c r="F168" s="19" t="inlineStr">
        <is>
          <t>According to a NWS Flood Warning on 1/19/96 ice flowed into the Mohawk River from West Canada Creek and jammed in Herkimer and Mohawk, NY. The "Utica Observer Dispatch" Jan 24, 1996 reported $175K in damages in Mohawk, $600K in German Flatts, $800K in county road damage and a grand total of $2.8M in damage across Herkimer County. 100 people were evacuated from their homes in Mohawk and German Flatts. -- Keywords: Mohawk River at Herkimer, NY on Jan 19, 1996 [1082]</t>
        </is>
      </c>
    </row>
    <row r="169" ht="45.75" customHeight="1" s="13">
      <c r="A169" s="19" t="inlineStr">
        <is>
          <t>1996-01-19</t>
        </is>
      </c>
      <c r="B169" s="19" t="inlineStr">
        <is>
          <t>Niskayuna</t>
        </is>
      </c>
      <c r="C169" s="19" t="inlineStr">
        <is>
          <t>Lisha Kill</t>
        </is>
      </c>
      <c r="D169" s="19" t="inlineStr">
        <is>
          <t>Unknown</t>
        </is>
      </c>
      <c r="E169" s="19" t="n">
        <v>20.7</v>
      </c>
      <c r="F169" s="19" t="inlineStr">
        <is>
          <t>USGS Water Resources Data for New York WY 2003 reported an annual maximum gage height of 6.36ft on 19-JAN-1996 due to an ice jam at USGS gaging station 01356190 Lisha Kill Northwest of Niskayuna, NY. The average daily discharge was not reported.</t>
        </is>
      </c>
    </row>
    <row r="170" ht="34.5" customHeight="1" s="13">
      <c r="A170" s="19" t="inlineStr">
        <is>
          <t>1996-01-19</t>
        </is>
      </c>
      <c r="B170" s="19" t="inlineStr">
        <is>
          <t>Rensselaer County</t>
        </is>
      </c>
      <c r="C170" s="19" t="inlineStr">
        <is>
          <t>Hoosic River</t>
        </is>
      </c>
      <c r="D170" s="19" t="inlineStr">
        <is>
          <t>Break-up</t>
        </is>
      </c>
      <c r="E170" s="19" t="n">
        <v>31.7</v>
      </c>
      <c r="F170" s="19" t="inlineStr">
        <is>
          <t>A NWS Flood Statement on 1/19/96 reported an ice jam on the Hoosic River in Rensselaer County, NY. -- Keywords: Hoosic River at Rensselaer County, NY on Jan 19, 1996 [464]</t>
        </is>
      </c>
    </row>
    <row r="171" ht="168.75" customHeight="1" s="13">
      <c r="A171" s="19" t="inlineStr">
        <is>
          <t>1996-01-18</t>
        </is>
      </c>
      <c r="B171" s="19" t="inlineStr">
        <is>
          <t>Mohawk</t>
        </is>
      </c>
      <c r="C171" s="19" t="inlineStr">
        <is>
          <t>Fulmer Creek</t>
        </is>
      </c>
      <c r="D171" s="19" t="inlineStr">
        <is>
          <t>Break-up</t>
        </is>
      </c>
      <c r="E171" s="19" t="n">
        <v>59.5</v>
      </c>
      <c r="F171" s="19" t="inlineStr">
        <is>
          <t>According to a NWS Flood Statement on 1/18/96, the Mohawk Fire Dept. reported an ice jam on Fulmer Creek between East Main Street and Rt. 5S in Mohawk, NY. Public Safety officials were working to release the jam. The "Utica Observer-Dispatch," Jan 20, 1996 edition reported that about 100 people were evacuated in Mohawk due to ice jam flooding on Fulmer Creek. An estimated 1,000 sandbags weighing between 50 and 75 pounds, were put in place to reduce the threat of flooding.  The Jan 23, 1996 edition of the "Utice Observer-Dispatch" indicated that "Mohawk residents want flooding curbed." As reported in the U.S Army Corps of Engineers Iterim Assessment Report, July 1996, "January 18, 1996: Ice Jam Event. An ice jam at the New Route 5S bridge extended to West Main Street, causing inundation of local streets. Erie Street was closed and the elevtical substation was threatened. Water rose to just below the bottom of Route 5S bridge. Warren Road was closed for several days and 3 homes at the Brookhaven Trailer Park at Route 168 and Pine Bush Road were threatened by water that was out of the river banks." -- Keywords: Fulmer Creek at Mohawk, NY on Jan 18, 1996 [423]</t>
        </is>
      </c>
    </row>
    <row r="172" ht="90.75" customHeight="1" s="13">
      <c r="A172" s="19" t="inlineStr">
        <is>
          <t>1996-01-01</t>
        </is>
      </c>
      <c r="B172" s="19" t="inlineStr">
        <is>
          <t>Little Falls</t>
        </is>
      </c>
      <c r="C172" s="19" t="inlineStr">
        <is>
          <t>Mohawk River</t>
        </is>
      </c>
      <c r="D172" s="19" t="inlineStr">
        <is>
          <t>Break-up</t>
        </is>
      </c>
      <c r="E172" s="19" t="n">
        <v>50.6</v>
      </c>
      <c r="F172" s="19" t="inlineStr">
        <is>
          <t>On 1/23/96 Mr. Carl Quance, NY State Dept of Environmental Conservation, phoned J.C. Tatinclaux, CECRL-IE, and reported a severe ice jam on the Mohawk River in Little Falls, NY. The jam had caused extensive damage during the early part of the week of Jan. 15. These damages included $500K damage to a paper mill building. The flow had subsided by the end of the week but on 1/22/96 the jam moved downstream a little and water began to rise again. The "Utica Observer Dispatch" Jan 24, 1996 reported an estimated $1.25M in total damages. -- Keywords: Mohawk River at Little Falls, NY on Jan ?, 1996 [1083]</t>
        </is>
      </c>
    </row>
    <row r="173" ht="34.5" customHeight="1" s="13">
      <c r="A173" s="19" t="inlineStr">
        <is>
          <t>1996-01-01</t>
        </is>
      </c>
      <c r="B173" s="19" t="inlineStr">
        <is>
          <t>Scotia</t>
        </is>
      </c>
      <c r="C173" s="19" t="inlineStr">
        <is>
          <t>Mohawk River</t>
        </is>
      </c>
      <c r="D173" s="19" t="inlineStr">
        <is>
          <t>Break-up</t>
        </is>
      </c>
      <c r="E173" s="19" t="n">
        <v>21.8</v>
      </c>
      <c r="F173" s="19" t="inlineStr">
        <is>
          <t>A NWS Flood Statement reported on 1/19/96 that an amateur radio spotter said that an ice jam at Lock 8 in Scotia, NY broke loose and moving downstream. -- Keywords: Mohawk River at Scotia, NY on Jan ?, 1996 [1086]</t>
        </is>
      </c>
    </row>
    <row r="174" ht="34.5" customHeight="1" s="13">
      <c r="A174" s="19" t="inlineStr">
        <is>
          <t>1994-03-16</t>
        </is>
      </c>
      <c r="B174" s="19" t="inlineStr">
        <is>
          <t>Gardiner</t>
        </is>
      </c>
      <c r="C174" s="19" t="inlineStr">
        <is>
          <t>Wallkill River</t>
        </is>
      </c>
      <c r="D174" s="19" t="inlineStr">
        <is>
          <t>?</t>
        </is>
      </c>
      <c r="E174" s="19" t="n">
        <v>57.7</v>
      </c>
      <c r="F174" s="19" t="inlineStr">
        <is>
          <t>An ice jam on Wallkill River at Gardiner, NY caused a maximum annual gage height of 12.09 ft on March 16, 1994.  The daily mean discharge was estimated to be 4700 cfs.  -- Keywords: Wallkill River at Gardiner, NY on Mar 16, 1994 [20040824170915]</t>
        </is>
      </c>
    </row>
    <row r="175" ht="57" customHeight="1" s="13">
      <c r="A175" s="19" t="inlineStr">
        <is>
          <t>1994-03-10</t>
        </is>
      </c>
      <c r="B175" s="19" t="inlineStr">
        <is>
          <t>Frost Valley</t>
        </is>
      </c>
      <c r="C175" s="19" t="inlineStr">
        <is>
          <t>Biscuit Brook</t>
        </is>
      </c>
      <c r="D175" s="19" t="inlineStr">
        <is>
          <t>?</t>
        </is>
      </c>
      <c r="E175" s="19" t="n">
        <v>42.9</v>
      </c>
      <c r="F175" s="19" t="inlineStr">
        <is>
          <t>An ice jam on Biscuit Brook above Pigeon Brook at Frost Valley, NY resulted in the maximum annual gage height of 3.60 ft recorded; outside gage height was 4.14 ft from crest-stage gage, on March 10, 1994. The daily mean discharge was estimated to be 35 cfs.  -- Keywords: Biscuit Brook at Frost Valley, NY on Mar 10, 1994 [20040826151038]</t>
        </is>
      </c>
    </row>
    <row r="176" ht="45.75" customHeight="1" s="13">
      <c r="A176" s="19" t="inlineStr">
        <is>
          <t>1994-03-10</t>
        </is>
      </c>
      <c r="B176" s="19" t="inlineStr">
        <is>
          <t>Rosendale</t>
        </is>
      </c>
      <c r="C176" s="19" t="inlineStr">
        <is>
          <t>Rondout Creek</t>
        </is>
      </c>
      <c r="D176" s="19" t="inlineStr">
        <is>
          <t>?</t>
        </is>
      </c>
      <c r="E176" s="19" t="n">
        <v>46.6</v>
      </c>
      <c r="F176" s="19" t="inlineStr">
        <is>
          <t>An ice jam on Rondout Creek at Rosendale, NY caused a maximum annual gage height of 19.77 ft on March 10, 1994.  The daily mean discharge was estimated to be 1300 cfs.  -- Keywords: Rondout Creek at Rosendale, NY on Mar 10, 1994 [20040824170439]</t>
        </is>
      </c>
    </row>
    <row r="177" ht="45.75" customHeight="1" s="13">
      <c r="A177" s="19" t="inlineStr">
        <is>
          <t>1994-03-10</t>
        </is>
      </c>
      <c r="B177" s="19" t="inlineStr">
        <is>
          <t>Eagle Bridge</t>
        </is>
      </c>
      <c r="C177" s="19" t="inlineStr">
        <is>
          <t>Hoosic River</t>
        </is>
      </c>
      <c r="D177" s="19" t="inlineStr">
        <is>
          <t>?</t>
        </is>
      </c>
      <c r="E177" s="19" t="n">
        <v>44.7</v>
      </c>
      <c r="F177" s="19" t="inlineStr">
        <is>
          <t>An ice jam on the Hoosic River near Eagle Bridge, NY caused a maximum annual gage height of 12.01 ft on March 10, 1994.  The daily mean discharge was estimated to be 3000 cfs.  -- Keywords: Hoosic River at Eagle Bridge, NY on Mar 10, 1994 [20040824165348]</t>
        </is>
      </c>
    </row>
    <row r="178" ht="57" customHeight="1" s="13">
      <c r="A178" s="19" t="inlineStr">
        <is>
          <t>1994-02-21</t>
        </is>
      </c>
      <c r="B178" s="19" t="inlineStr">
        <is>
          <t>Mohawk</t>
        </is>
      </c>
      <c r="C178" s="19" t="inlineStr">
        <is>
          <t>Fulmer Creek</t>
        </is>
      </c>
      <c r="D178" s="19" t="inlineStr">
        <is>
          <t>Break-up</t>
        </is>
      </c>
      <c r="E178" s="19" t="n">
        <v>35.3</v>
      </c>
      <c r="F178" s="19" t="inlineStr">
        <is>
          <t>From the "On This Date in New England Fire Rescue History and beyond " web site:  " Feb 21 - 1994 - MOHAWK - NY - Ice-jam flooding on Fulmer Creek; 40 homes were evacuated as water reached 6' deep. Some cars were completely submerged as a result of the ice jam. "   -- Keywords: Fulmer Creek at Mohawk, NY on Feb 21, 1994 [20040327191131]</t>
        </is>
      </c>
    </row>
    <row r="179" ht="34.5" customHeight="1" s="13">
      <c r="A179" s="19" t="inlineStr">
        <is>
          <t>1994-02-04</t>
        </is>
      </c>
      <c r="B179" s="19" t="inlineStr">
        <is>
          <t>Andes</t>
        </is>
      </c>
      <c r="C179" s="19" t="inlineStr">
        <is>
          <t>Tremper Kill</t>
        </is>
      </c>
      <c r="D179" s="19" t="inlineStr">
        <is>
          <t>?</t>
        </is>
      </c>
      <c r="E179" s="19" t="n">
        <v>48.1</v>
      </c>
      <c r="F179" s="19" t="inlineStr">
        <is>
          <t>An ice jam on Tremper Kill near Andes, NY caused a maximum annual gage height of 4.89 ft on February 4, 1994.  The daily mean discharge was estimated to be 48 cfs.  -- Keywords: Tremper Kill at Andes, NY on Feb 04, 1994 [20040826144431]</t>
        </is>
      </c>
    </row>
    <row r="180" ht="34.5" customHeight="1" s="13">
      <c r="A180" s="19" t="inlineStr">
        <is>
          <t>1994-02-03</t>
        </is>
      </c>
      <c r="B180" s="19" t="inlineStr">
        <is>
          <t>Poughkeepsie</t>
        </is>
      </c>
      <c r="C180" s="19" t="inlineStr">
        <is>
          <t>Fall Kill</t>
        </is>
      </c>
      <c r="D180" s="19" t="inlineStr">
        <is>
          <t>?</t>
        </is>
      </c>
      <c r="E180" s="19" t="n">
        <v>56.1</v>
      </c>
      <c r="F180" s="19" t="inlineStr">
        <is>
          <t>An ice jam on Fall Kill at Poughkeepsie, NY caused a maximum annual gage height of 2.17 ft on February 3, 1994.  The daily mean discharge was estimated to be 32 cfs.  -- Keywords: Fall Kill at Poughkeepsie, NY on Feb 03, 1994 [20040824171429]</t>
        </is>
      </c>
    </row>
    <row r="181" ht="34.5" customHeight="1" s="13">
      <c r="A181" s="19" t="inlineStr">
        <is>
          <t>1994-02-02</t>
        </is>
      </c>
      <c r="B181" s="19" t="inlineStr">
        <is>
          <t>Gilboa</t>
        </is>
      </c>
      <c r="C181" s="19" t="inlineStr">
        <is>
          <t>Platter Kill</t>
        </is>
      </c>
      <c r="D181" s="19" t="inlineStr">
        <is>
          <t>?</t>
        </is>
      </c>
      <c r="E181" s="19" t="n">
        <v>21.9</v>
      </c>
      <c r="F181" s="19" t="inlineStr">
        <is>
          <t>An ice jam on Platter Kill at Gilboa, NY caused a maximum annual gage height of 3.88 ft on February 2, 1994.  The daily mean discharge was estimated to be 20 cfs.  -- Keywords: Platter Kill at Gilboa, NY on Feb 02, 1994 [20040824170025]</t>
        </is>
      </c>
    </row>
    <row r="182" ht="45.75" customHeight="1" s="13">
      <c r="A182" s="19" t="inlineStr">
        <is>
          <t>1994-01-29</t>
        </is>
      </c>
      <c r="B182" s="19" t="inlineStr">
        <is>
          <t>Petersburg</t>
        </is>
      </c>
      <c r="C182" s="19" t="inlineStr">
        <is>
          <t>Little Hoosic River</t>
        </is>
      </c>
      <c r="D182" s="19" t="inlineStr">
        <is>
          <t>?</t>
        </is>
      </c>
      <c r="E182" s="19" t="n">
        <v>39.8</v>
      </c>
      <c r="F182" s="19" t="inlineStr">
        <is>
          <t>An ice jam on the Little Hoosic River at Petersburg, NY caused a maximum annual gage height of 6.02 ft on January 29, 1994.  The daily mean discharge was estimated to be 400 cfs.  -- Keywords: Little Hoosic River at Petersburg, NY on Jan 29, 1994 [20040824164820]</t>
        </is>
      </c>
    </row>
    <row r="183" ht="45.75" customHeight="1" s="13">
      <c r="A183" s="19" t="inlineStr">
        <is>
          <t>1994-01-28</t>
        </is>
      </c>
      <c r="B183" s="19" t="inlineStr">
        <is>
          <t>Frost Valley</t>
        </is>
      </c>
      <c r="C183" s="19" t="inlineStr">
        <is>
          <t>High Falls Brook</t>
        </is>
      </c>
      <c r="D183" s="19" t="inlineStr">
        <is>
          <t>?</t>
        </is>
      </c>
      <c r="E183" s="19" t="n">
        <v>44.6</v>
      </c>
      <c r="F183" s="19" t="inlineStr">
        <is>
          <t>An ice jam on High Falls Brook at Frost Valley, NY resulted in the maximum annual gage height of 2.11 ft on January 28, 1994, as well as for the period of record Oct 1990-Sept 1994. The daily mean discharge was estimated to be 20 cfs.    -- Keywords: High Falls Brook at Frost Valley, NY on Jan 28, 1994 [20040826151718]</t>
        </is>
      </c>
    </row>
    <row r="184" ht="34.5" customHeight="1" s="13">
      <c r="A184" s="19" t="inlineStr">
        <is>
          <t>1994-01-06</t>
        </is>
      </c>
      <c r="B184" s="19" t="inlineStr">
        <is>
          <t>Dunraven</t>
        </is>
      </c>
      <c r="C184" s="19" t="inlineStr">
        <is>
          <t>Mill Brook</t>
        </is>
      </c>
      <c r="D184" s="19" t="inlineStr">
        <is>
          <t>?</t>
        </is>
      </c>
      <c r="E184" s="19" t="n">
        <v>45.1</v>
      </c>
      <c r="F184" s="19" t="inlineStr">
        <is>
          <t>An ice jam on Mill Brook near Dunraven, NY caused a maximum annual gage height of 8.69 ft on January 6, 1994.  The daily mean discharge was estimated to be 22 cfs.  -- Keywords: Mill Brook at Dunraven, NY on Jan 06, 1994 [20040826142647]</t>
        </is>
      </c>
    </row>
    <row r="185" ht="57" customHeight="1" s="13">
      <c r="A185" s="19" t="inlineStr">
        <is>
          <t>1993-03-29</t>
        </is>
      </c>
      <c r="B185" s="19" t="inlineStr">
        <is>
          <t>Esperance</t>
        </is>
      </c>
      <c r="C185" s="19" t="inlineStr">
        <is>
          <t>Schoharie Creek</t>
        </is>
      </c>
      <c r="D185" s="19" t="inlineStr">
        <is>
          <t>?</t>
        </is>
      </c>
      <c r="E185" s="19" t="n">
        <v>27.4</v>
      </c>
      <c r="F185" s="19" t="inlineStr">
        <is>
          <t>"A massive ice jam has formed along the Schoharie Creek in the vicinity of the Village of Esperance. Local fire department officals report the creek has risen 3 feet in the past half hour in the Village of Esperance. (NWS) A flood warning was in effect until midnight for the Scharie Creek in Schoharie County downstream of Gilboa Dam.   -- Keywords: Schoharie Creek at Esperance, NY on Mar 29, 1993 [1409]</t>
        </is>
      </c>
    </row>
    <row r="186" ht="45.75" customHeight="1" s="13">
      <c r="A186" s="19" t="inlineStr">
        <is>
          <t>1993-03-14</t>
        </is>
      </c>
      <c r="B186" s="19" t="inlineStr">
        <is>
          <t>Claryville</t>
        </is>
      </c>
      <c r="C186" s="19" t="inlineStr">
        <is>
          <t>Neversink River</t>
        </is>
      </c>
      <c r="D186" s="19" t="inlineStr">
        <is>
          <t>Freeze-up</t>
        </is>
      </c>
      <c r="E186" s="19" t="n">
        <v>49.4</v>
      </c>
      <c r="F186" s="19" t="inlineStr">
        <is>
          <t>USGS Water Resources Data for New York WY 2003 reported a minimum average daily discharge of 5.90cfs on 14-MAR-1993 due to freezeup at USGS gaging station 01434498 West Branch of Neversink River at Claryville, NY. The gage height was not reported.</t>
        </is>
      </c>
    </row>
    <row r="187" ht="34.5" customHeight="1" s="13">
      <c r="A187" s="19" t="inlineStr">
        <is>
          <t>1989-03-16</t>
        </is>
      </c>
      <c r="B187" s="19" t="inlineStr">
        <is>
          <t>Ilion</t>
        </is>
      </c>
      <c r="C187" s="19" t="inlineStr">
        <is>
          <t>Steele Creek</t>
        </is>
      </c>
      <c r="D187" s="19" t="inlineStr">
        <is>
          <t>Break-up</t>
        </is>
      </c>
      <c r="E187" s="19" t="n">
        <v>61.5</v>
      </c>
      <c r="F187" s="19" t="inlineStr">
        <is>
          <t>slope change at old arch bridge with low conveyance thought to be cause of jam; no damage at this time but poses serious threat   -- Keywords: Steele Creek at Ilion, NY on Mar 16, 1989 [1490]</t>
        </is>
      </c>
    </row>
    <row r="188" ht="34.5" customHeight="1" s="13">
      <c r="A188" s="19" t="inlineStr">
        <is>
          <t>1985-02-01</t>
        </is>
      </c>
      <c r="B188" s="19" t="inlineStr">
        <is>
          <t>Corinth</t>
        </is>
      </c>
      <c r="C188" s="19" t="inlineStr">
        <is>
          <t>Hudson River</t>
        </is>
      </c>
      <c r="D188" s="19" t="inlineStr">
        <is>
          <t>Controlled</t>
        </is>
      </c>
      <c r="E188" s="19" t="n">
        <v>51.4</v>
      </c>
      <c r="F188" s="19" t="inlineStr">
        <is>
          <t>controlled river ice breakup on Hudson River using pulses from Hydro plants on the Sacandago River. Jam formed at Section CW (see reference) near carwash in Corinth. -- Keywords: Hudson River at Corinth, NY on Feb ?, 1985 [476]</t>
        </is>
      </c>
    </row>
    <row r="189" ht="57" customHeight="1" s="13">
      <c r="A189" s="19" t="inlineStr">
        <is>
          <t>1983-02-11</t>
        </is>
      </c>
      <c r="B189" s="19" t="inlineStr">
        <is>
          <t>Lake George</t>
        </is>
      </c>
      <c r="C189" s="19" t="inlineStr">
        <is>
          <t>English Brook</t>
        </is>
      </c>
      <c r="D189" s="19" t="inlineStr">
        <is>
          <t>?</t>
        </is>
      </c>
      <c r="E189" s="19" t="n">
        <v>65.5</v>
      </c>
      <c r="F189" s="19" t="inlineStr">
        <is>
          <t>An ice jam caused the maximum annual gage height of 3.92 ft on English Brook at Lake George NY, on February 11 1983. The mean daily discharge was 13 cfs.  An ice jam on Feb 11, 1981 caused the maximum gage height of 4.88 ft., for the period of record Jun 1980-Sep 1983.  -- Keywords: English Brook at Lake George, NY on Feb 11, 1983 [20040823145420]</t>
        </is>
      </c>
    </row>
    <row r="190" ht="45.75" customHeight="1" s="13">
      <c r="A190" s="19" t="inlineStr">
        <is>
          <t>1982-02-12</t>
        </is>
      </c>
      <c r="B190" s="19" t="inlineStr">
        <is>
          <t>Gilboa</t>
        </is>
      </c>
      <c r="C190" s="19" t="inlineStr">
        <is>
          <t>Platter Kill</t>
        </is>
      </c>
      <c r="D190" s="19" t="inlineStr">
        <is>
          <t>?</t>
        </is>
      </c>
      <c r="E190" s="19" t="n">
        <v>21.9</v>
      </c>
      <c r="F190" s="19" t="inlineStr">
        <is>
          <t>On February 4 1982, a maximum annual gage height of 4.84 ft was recorded on Platter Kill at Gilboa NY, caused by an ice jam.  The mean daily discharge was 17 cfs.  This was also the maximum gage height for the period of record January 1975 - 1982.   -- Keywords: Platter Kill at Gilboa, NY on Feb 12, 1982 [20040823135633]</t>
        </is>
      </c>
    </row>
    <row r="191" ht="45.75" customHeight="1" s="13">
      <c r="A191" s="19" t="inlineStr">
        <is>
          <t>1982-02-04</t>
        </is>
      </c>
      <c r="B191" s="19" t="inlineStr">
        <is>
          <t>Callicoon</t>
        </is>
      </c>
      <c r="C191" s="19" t="inlineStr">
        <is>
          <t>Delaware River</t>
        </is>
      </c>
      <c r="D191" s="19" t="inlineStr">
        <is>
          <t>?</t>
        </is>
      </c>
      <c r="E191" s="19" t="n">
        <v>73.8</v>
      </c>
      <c r="F191" s="19" t="inlineStr">
        <is>
          <t>The maximum annual gage height of 10.96 ft occurred on Delaware River at Callicoon, NY on 4 February 1982, as a result of an ice jam.  The average daily discharge recorded was 8,000 cfs.  -- Keywords: Delaware River at Callicoon, NY on Feb 04, 1982 [20040702153320]</t>
        </is>
      </c>
    </row>
    <row r="192" ht="68.25" customHeight="1" s="13">
      <c r="A192" s="19" t="inlineStr">
        <is>
          <t>1982-02-04</t>
        </is>
      </c>
      <c r="B192" s="19" t="inlineStr">
        <is>
          <t>Walton</t>
        </is>
      </c>
      <c r="C192" s="19" t="inlineStr">
        <is>
          <t>West Branch Delaware River</t>
        </is>
      </c>
      <c r="D192" s="19" t="inlineStr">
        <is>
          <t>?</t>
        </is>
      </c>
      <c r="E192" s="19" t="n">
        <v>61</v>
      </c>
      <c r="F192" s="19" t="inlineStr">
        <is>
          <t>The maximum annual gage height of 11.23 ft occurred on West Branch Delaware River at Walton, NY at 0200 on 4 February 1982, as a result of an ice jam.  The discharge at the time was unknown.  At 0830 the same day, the maximum annual discharge of 7,600 cfs was recorded, the gage height at the time 10.30 ft.  -- Keywords: West Branch Delaware River at Walton, NY on Feb 04, 1982 [20040702154606]</t>
        </is>
      </c>
    </row>
    <row r="193" ht="34.5" customHeight="1" s="13">
      <c r="A193" s="19" t="inlineStr">
        <is>
          <t>1982-02-04</t>
        </is>
      </c>
      <c r="B193" s="19" t="inlineStr">
        <is>
          <t>Gardiner</t>
        </is>
      </c>
      <c r="C193" s="19" t="inlineStr">
        <is>
          <t>Wallkill River</t>
        </is>
      </c>
      <c r="D193" s="19" t="inlineStr">
        <is>
          <t>?</t>
        </is>
      </c>
      <c r="E193" s="19" t="n">
        <v>57.7</v>
      </c>
      <c r="F193" s="19" t="inlineStr">
        <is>
          <t>An ice jam 4 February 1982 on Wallkill River at Gardiner, NY resulted in a gage height of 12.27 ft. The discharge was estimated to be 8,000 cfs.  -- Keywords: Wallkill River at Gardiner, NY on Feb 04, 1982 [20040702160844]</t>
        </is>
      </c>
    </row>
    <row r="194" ht="45.75" customHeight="1" s="13">
      <c r="A194" s="19" t="inlineStr">
        <is>
          <t>1982-02-04</t>
        </is>
      </c>
      <c r="B194" s="19" t="inlineStr">
        <is>
          <t>Burtonsville</t>
        </is>
      </c>
      <c r="C194" s="19" t="inlineStr">
        <is>
          <t>Schoharie Creek</t>
        </is>
      </c>
      <c r="D194" s="19" t="inlineStr">
        <is>
          <t>?</t>
        </is>
      </c>
      <c r="E194" s="19" t="n">
        <v>22.5</v>
      </c>
      <c r="F194" s="19" t="inlineStr">
        <is>
          <t>On February 4 1982, a maximum annual gage height of 6.86 ft was recorded on Schoharie Creek at Burtonsville NY, caused by an ice jam.  The mean daily discharge was 4000 cfs.   -- Keywords: Schoharie Creek at Burtonsville, NY on Feb 04, 1982 [20040823135031]</t>
        </is>
      </c>
    </row>
    <row r="195" ht="45.75" customHeight="1" s="13">
      <c r="A195" s="19" t="inlineStr">
        <is>
          <t>1982-02-04</t>
        </is>
      </c>
      <c r="B195" s="19" t="inlineStr">
        <is>
          <t>Rosendale</t>
        </is>
      </c>
      <c r="C195" s="19" t="inlineStr">
        <is>
          <t>Rondout Creek</t>
        </is>
      </c>
      <c r="D195" s="19" t="inlineStr">
        <is>
          <t>?</t>
        </is>
      </c>
      <c r="E195" s="19" t="n">
        <v>46.6</v>
      </c>
      <c r="F195" s="19" t="inlineStr">
        <is>
          <t>An ice jam 4 February 1982 on Rondout Creek at Rosendale, NY resulted in a maximum annual gage height of 16.91 ft. The daily average discharge recorded was 3,500 cfs.  -- Keywords: Rondout Creek at Rosendale, NY on Feb 04, 1982 [20040702161428]</t>
        </is>
      </c>
    </row>
    <row r="196" ht="68.25" customHeight="1" s="13">
      <c r="A196" s="19" t="inlineStr">
        <is>
          <t>1982-02-04</t>
        </is>
      </c>
      <c r="B196" s="19" t="inlineStr">
        <is>
          <t>Castleton-On-Hudson</t>
        </is>
      </c>
      <c r="C196" s="19" t="inlineStr">
        <is>
          <t>Moordener Kill</t>
        </is>
      </c>
      <c r="D196" s="19" t="inlineStr">
        <is>
          <t>?</t>
        </is>
      </c>
      <c r="E196" s="19" t="n">
        <v>15.7</v>
      </c>
      <c r="F196" s="19" t="inlineStr">
        <is>
          <t>On February 4 1982, a maximum annual gage height of 3.37 ft was recorded on Moordener Kill at Castleton-on-Hudson, NY, caused by an ice jam. The associated discharge was estimated to be 600 cfs.  The maximum gage height for period of record, Oct 1957 - 1982, was 4.02 ft on January 27 1976, caused by an ice jam.  -- Keywords: Moordener Kill at Castleton-On-Hudson, NY on Feb 04, 1982 [20040823133243]</t>
        </is>
      </c>
    </row>
    <row r="197" ht="45.75" customHeight="1" s="13">
      <c r="A197" s="19" t="inlineStr">
        <is>
          <t>1982-02-04</t>
        </is>
      </c>
      <c r="B197" s="19" t="inlineStr">
        <is>
          <t>Fishs Eddy</t>
        </is>
      </c>
      <c r="C197" s="19" t="inlineStr">
        <is>
          <t>East Branch Delaware River</t>
        </is>
      </c>
      <c r="D197" s="19" t="inlineStr">
        <is>
          <t>?</t>
        </is>
      </c>
      <c r="E197" s="19" t="n">
        <v>68.90000000000001</v>
      </c>
      <c r="F197" s="19" t="inlineStr">
        <is>
          <t>The maximum annual gage height of 15.23 ft occurred on East Branch Delaware River at Fishs Eddy, NY on 4 February 1982, as a result of an ice jam. The daily average discharge recorded was 3,900 cfs.  -- Keywords: East Branch Delaware River at Fishs Eddy, NY on Feb 04, 1982 [20040702155229]</t>
        </is>
      </c>
    </row>
    <row r="198" ht="57" customHeight="1" s="13">
      <c r="A198" s="19" t="inlineStr">
        <is>
          <t>1982-02-03</t>
        </is>
      </c>
      <c r="B198" s="19" t="inlineStr">
        <is>
          <t>Prattsville</t>
        </is>
      </c>
      <c r="C198" s="19" t="inlineStr">
        <is>
          <t>Schoharie Creek</t>
        </is>
      </c>
      <c r="D198" s="19" t="inlineStr">
        <is>
          <t>?</t>
        </is>
      </c>
      <c r="E198" s="19" t="n">
        <v>24.2</v>
      </c>
      <c r="F198" s="19" t="inlineStr">
        <is>
          <t>On February 3 1982, a maximum annual gage height of 12.73 ft was recorded on Schoharie Creek at Prattsville NY, caused by an ice jam.  The mean daily discharge was 1500 cfs.  The maximum gage height for the period of record from November 1902 - 1982 was 19.57 ft., caused by an ice jam on March 5 1979.   -- Keywords: Schoharie Creek at Prattsville, NY on Feb 03, 1982 [20040823140331]</t>
        </is>
      </c>
    </row>
    <row r="199" ht="34.5" customHeight="1" s="13">
      <c r="A199" s="19" t="inlineStr">
        <is>
          <t>1982-01-20</t>
        </is>
      </c>
      <c r="B199" s="19" t="inlineStr">
        <is>
          <t>Whitesboro</t>
        </is>
      </c>
      <c r="C199" s="19" t="inlineStr">
        <is>
          <t>Sauquoit Creek</t>
        </is>
      </c>
      <c r="D199" s="19" t="inlineStr">
        <is>
          <t>?</t>
        </is>
      </c>
      <c r="E199" s="19" t="n">
        <v>68.7</v>
      </c>
      <c r="F199" s="19" t="inlineStr">
        <is>
          <t>-Creek was filled w/ 60 to 80 % of frazil slush -Solid ice was 10 to 14 inches thick -Measurements of ice thickness   -- Keywords: Sauquoit Creek at Whitesboro, NY on Jan 20, 1982 [1406]</t>
        </is>
      </c>
    </row>
    <row r="200" ht="57" customHeight="1" s="13">
      <c r="A200" s="19" t="inlineStr">
        <is>
          <t>1981-02-20</t>
        </is>
      </c>
      <c r="B200" s="19" t="inlineStr">
        <is>
          <t>Hope</t>
        </is>
      </c>
      <c r="C200" s="19" t="inlineStr">
        <is>
          <t>Sacandaga River</t>
        </is>
      </c>
      <c r="D200" s="19" t="inlineStr">
        <is>
          <t>?</t>
        </is>
      </c>
      <c r="E200" s="19" t="n">
        <v>58.9</v>
      </c>
      <c r="F200" s="19" t="inlineStr">
        <is>
          <t>The maximum annual gage height of 12.10 ft occurred on the Sacandaga River near Hope, NY on Feb 20, 1981, caused by an ice jam.  The associated discharge was 12,000 cfs.  An ice jam also occurred on Feb 12, 1981.  Gage height was 7.69 ft and average daily discharge was 660 cfs.     -- Keywords: Sacandaga River at Hope, NY on Feb 20, 1981 [20040630155519]</t>
        </is>
      </c>
    </row>
    <row r="201" ht="57" customHeight="1" s="13">
      <c r="A201" s="19" t="inlineStr">
        <is>
          <t>1981-02-12</t>
        </is>
      </c>
      <c r="B201" s="19" t="inlineStr">
        <is>
          <t>Callicoon</t>
        </is>
      </c>
      <c r="C201" s="19" t="inlineStr">
        <is>
          <t>Delaware River</t>
        </is>
      </c>
      <c r="D201" s="19" t="inlineStr">
        <is>
          <t>?</t>
        </is>
      </c>
      <c r="E201" s="19" t="n">
        <v>73.8</v>
      </c>
      <c r="F201" s="19" t="inlineStr">
        <is>
          <t>A gage height of 13.19 ft and a discharge of 75,300 cfs occurred on Delaware River at Callicoon NY, on February 12, 1981 as a result of an ice jam release. This was the maximum gage height and discharge for the year as well as for the period of record 1975-1981.  -- Keywords: Delaware River at Callicoon, NY on Feb 12, 1981 [20040701132937]</t>
        </is>
      </c>
    </row>
    <row r="202" ht="57" customHeight="1" s="13">
      <c r="A202" s="19" t="inlineStr">
        <is>
          <t>1981-02-12</t>
        </is>
      </c>
      <c r="B202" s="19" t="inlineStr">
        <is>
          <t>Gardiner</t>
        </is>
      </c>
      <c r="C202" s="19" t="inlineStr">
        <is>
          <t>Wallkill River</t>
        </is>
      </c>
      <c r="D202" s="19" t="inlineStr">
        <is>
          <t>?</t>
        </is>
      </c>
      <c r="E202" s="19" t="n">
        <v>57.7</v>
      </c>
      <c r="F202" s="19" t="inlineStr">
        <is>
          <t>An ice jam occurred on Wallkill River at Gardiner, NY on February 12, 1981, resulting in the maximum annual gage height of 12.66 ft. and discharge of 5,000 cfs (not annual maximum).   Another ice jam occurred February 2, resulting in a gage height of 8.25 ft and discharge of 500 cfs.  -- Keywords: Wallkill River at Gardiner, NY on Feb 12, 1981 [20040701125627]</t>
        </is>
      </c>
    </row>
    <row r="203" ht="57" customHeight="1" s="13">
      <c r="A203" s="19" t="inlineStr">
        <is>
          <t>1981-02-12</t>
        </is>
      </c>
      <c r="B203" s="19" t="inlineStr">
        <is>
          <t>Hope</t>
        </is>
      </c>
      <c r="C203" s="19" t="inlineStr">
        <is>
          <t>Sacandaga River</t>
        </is>
      </c>
      <c r="D203" s="19" t="inlineStr">
        <is>
          <t>?</t>
        </is>
      </c>
      <c r="E203" s="19" t="n">
        <v>58.9</v>
      </c>
      <c r="F203" s="19" t="inlineStr">
        <is>
          <t>An ice jam occurred on the Sacandaga River near Hope, NY on Feb 12, 1981.  Gage height was 7.69 ft and average daily discharge was 660 cfs.    The maximum annual gage height of 12.10 ft occurred on Feb 20, 1981, also caused by an ice jam.  The associated discharge was 12,000 cfs.  -- Keywords: Sacandaga River at Hope, NY on Feb 12, 1981 [20040630155041]</t>
        </is>
      </c>
    </row>
    <row r="204" ht="34.5" customHeight="1" s="13">
      <c r="A204" s="19" t="inlineStr">
        <is>
          <t>1981-02-12</t>
        </is>
      </c>
      <c r="B204" s="19" t="inlineStr">
        <is>
          <t>Albany</t>
        </is>
      </c>
      <c r="C204" s="19" t="inlineStr">
        <is>
          <t>Normans Kill</t>
        </is>
      </c>
      <c r="D204" s="19" t="inlineStr">
        <is>
          <t>?</t>
        </is>
      </c>
      <c r="E204" s="19" t="n">
        <v>14.6</v>
      </c>
      <c r="F204" s="19" t="inlineStr">
        <is>
          <t>An ice jam occurred on Normans Kill at Albany, NY on February 12, 1981, resulting in the maximum annual gage height of 9.99 ft. The discharge was unknown.  -- Keywords: Normans Kill at Albany, NY on Feb 12, 1981 [20040701120512]</t>
        </is>
      </c>
    </row>
    <row r="205" ht="34.5" customHeight="1" s="13">
      <c r="A205" s="19" t="inlineStr">
        <is>
          <t>1981-02-12</t>
        </is>
      </c>
      <c r="B205" s="19" t="inlineStr">
        <is>
          <t>Eagle Bridge</t>
        </is>
      </c>
      <c r="C205" s="19" t="inlineStr">
        <is>
          <t>Hoosic River</t>
        </is>
      </c>
      <c r="D205" s="19" t="inlineStr">
        <is>
          <t>?</t>
        </is>
      </c>
      <c r="E205" s="19" t="n">
        <v>44.7</v>
      </c>
      <c r="F205" s="19" t="inlineStr">
        <is>
          <t>An ice jam was reported on the Hoosic River near Eagle Bridge, NY on Feb 12, 1981 resulting in the maximum annual gage height of 13.35 ft and discharge of 3,500 cfs.  -- Keywords: Hoosic River at Eagle Bridge, NY on Feb 12, 1981 [20040630163629]</t>
        </is>
      </c>
    </row>
    <row r="206" ht="45.75" customHeight="1" s="13">
      <c r="A206" s="19" t="inlineStr">
        <is>
          <t>1981-02-11</t>
        </is>
      </c>
      <c r="B206" s="19" t="inlineStr">
        <is>
          <t>Dunham Basin</t>
        </is>
      </c>
      <c r="C206" s="19" t="inlineStr">
        <is>
          <t>Bond Creek</t>
        </is>
      </c>
      <c r="D206" s="19" t="inlineStr">
        <is>
          <t>?</t>
        </is>
      </c>
      <c r="E206" s="19" t="n">
        <v>60</v>
      </c>
      <c r="F206" s="19" t="inlineStr">
        <is>
          <t>The maximum annual gage height of 6.88 ft occurred on the Bond Creek at Dunham Basin, NY on Feb 11, 1981, caused by an ice jam.  The associated discharge was 733 cfs.   -- Keywords: Bond Creek at Dunham Basin, NY on Feb 11, 1981 [20040630160301]</t>
        </is>
      </c>
    </row>
    <row r="207" ht="45.75" customHeight="1" s="13">
      <c r="A207" s="19" t="inlineStr">
        <is>
          <t>1981-02-11</t>
        </is>
      </c>
      <c r="B207" s="19" t="inlineStr">
        <is>
          <t>Kast Bridge</t>
        </is>
      </c>
      <c r="C207" s="19" t="inlineStr">
        <is>
          <t>West Canada Creek</t>
        </is>
      </c>
      <c r="D207" s="19" t="inlineStr">
        <is>
          <t>?</t>
        </is>
      </c>
      <c r="E207" s="19" t="n">
        <v>61.2</v>
      </c>
      <c r="F207" s="19" t="inlineStr">
        <is>
          <t>An ice jam was reported on West Canada Creek at Kast Bridge, NY on February 11, 1981 resulting in the maximum annual gage height of 6.35 ft and discharge of 1,200 cfs.  -- Keywords: West Canada Creek at Kast Bridge, NY on Feb 11, 1981 [20040630164207]</t>
        </is>
      </c>
    </row>
    <row r="208" ht="45.75" customHeight="1" s="13">
      <c r="A208" s="19" t="inlineStr">
        <is>
          <t>1981-02-11</t>
        </is>
      </c>
      <c r="B208" s="19" t="inlineStr">
        <is>
          <t>Andes</t>
        </is>
      </c>
      <c r="C208" s="19" t="inlineStr">
        <is>
          <t>Tremper Kill</t>
        </is>
      </c>
      <c r="D208" s="19" t="inlineStr">
        <is>
          <t>?</t>
        </is>
      </c>
      <c r="E208" s="19" t="n">
        <v>48.1</v>
      </c>
      <c r="F208" s="19" t="inlineStr">
        <is>
          <t>The maximum annual gage height of 6.13 ft and maximum annual discharge of about 1,800 cfs  occurred on Tremper Kill near Andes, NY on February 11, 1981 as a result of backwater from ice jam.   -- Keywords: Tremper Kill at Andes, NY on Feb 11, 1981 [20040701130850]</t>
        </is>
      </c>
    </row>
    <row r="209" ht="34.5" customHeight="1" s="13">
      <c r="A209" s="19" t="inlineStr">
        <is>
          <t>1981-02-11</t>
        </is>
      </c>
      <c r="B209" s="19" t="inlineStr">
        <is>
          <t>Prattsville</t>
        </is>
      </c>
      <c r="C209" s="19" t="inlineStr">
        <is>
          <t>Schoharie Creek</t>
        </is>
      </c>
      <c r="D209" s="19" t="inlineStr">
        <is>
          <t>?</t>
        </is>
      </c>
      <c r="E209" s="19" t="n">
        <v>24.2</v>
      </c>
      <c r="F209" s="19" t="inlineStr">
        <is>
          <t>An ice jam occurred on Schoharie Creek at Prattsville, NY on February 11, 1981.  Gage height recorded 10.76 ft, and discharge 5,000 cfs.  -- Keywords: Schoharie Creek at Prattsville, NY on Feb 11, 1981 [20040701105605]</t>
        </is>
      </c>
    </row>
    <row r="210" ht="45.75" customHeight="1" s="13">
      <c r="A210" s="19" t="inlineStr">
        <is>
          <t>1981-02-11</t>
        </is>
      </c>
      <c r="B210" s="19" t="inlineStr">
        <is>
          <t>Gilboa</t>
        </is>
      </c>
      <c r="C210" s="19" t="inlineStr">
        <is>
          <t>Platter Kill</t>
        </is>
      </c>
      <c r="D210" s="19" t="inlineStr">
        <is>
          <t>?</t>
        </is>
      </c>
      <c r="E210" s="19" t="n">
        <v>21.9</v>
      </c>
      <c r="F210" s="19" t="inlineStr">
        <is>
          <t>An ice jam occurred on Platter Kill at Gilboa, NY on February 11, 1981, resulting in the maximum gage height, 4.59 ft and maximum discharge, 410 cfs, for the year as well as for the period of record; 1975-1981.  -- Keywords: Platter Kill at Gilboa, NY on Feb 11, 1981 [20040701114526]</t>
        </is>
      </c>
    </row>
    <row r="211" ht="34.5" customHeight="1" s="13">
      <c r="A211" s="19" t="inlineStr">
        <is>
          <t>1981-02-11</t>
        </is>
      </c>
      <c r="B211" s="19" t="inlineStr">
        <is>
          <t>North Blenheim</t>
        </is>
      </c>
      <c r="C211" s="19" t="inlineStr">
        <is>
          <t>Mine Kill</t>
        </is>
      </c>
      <c r="D211" s="19" t="inlineStr">
        <is>
          <t>?</t>
        </is>
      </c>
      <c r="E211" s="19" t="n">
        <v>22.7</v>
      </c>
      <c r="F211" s="19" t="inlineStr">
        <is>
          <t>An ice jam occurred on Mine Kill near North Blenheim, NY on February 11, 1981, resulting in a gage height of 3.47 ft and discharge of 300 cfs.   -- Keywords: Mine Kill at North Blenheim, NY on Feb 11, 1981 [20040701115932]</t>
        </is>
      </c>
    </row>
    <row r="212" ht="34.5" customHeight="1" s="13">
      <c r="A212" s="19" t="inlineStr">
        <is>
          <t>1981-02-11</t>
        </is>
      </c>
      <c r="B212" s="19" t="inlineStr">
        <is>
          <t>Petersburg</t>
        </is>
      </c>
      <c r="C212" s="19" t="inlineStr">
        <is>
          <t>Little Hoosic River</t>
        </is>
      </c>
      <c r="D212" s="19" t="inlineStr">
        <is>
          <t>?</t>
        </is>
      </c>
      <c r="E212" s="19" t="n">
        <v>39.8</v>
      </c>
      <c r="F212" s="19" t="inlineStr">
        <is>
          <t>An ice jam was reported on the Little Hoosic River at Petersburg, NY on Feb 11, 1981 resulting in the maximum annual gage height of 6.65 ft and discharge of 290 cfs.  -- Keywords: Little Hoosic River at Petersburg, NY on Feb 11, 1981 [20040630162632]</t>
        </is>
      </c>
    </row>
    <row r="213" ht="45.75" customHeight="1" s="13">
      <c r="A213" s="19" t="inlineStr">
        <is>
          <t>1981-02-11</t>
        </is>
      </c>
      <c r="B213" s="19" t="inlineStr">
        <is>
          <t>Shandaken</t>
        </is>
      </c>
      <c r="C213" s="19" t="inlineStr">
        <is>
          <t>Esopus Creek</t>
        </is>
      </c>
      <c r="D213" s="19" t="inlineStr">
        <is>
          <t>?</t>
        </is>
      </c>
      <c r="E213" s="19" t="n">
        <v>32.8</v>
      </c>
      <c r="F213" s="19" t="inlineStr">
        <is>
          <t>An ice jam occurred on Esopus Creek at Shandaken, NY on February 11, 1981, resulting in a gage height of 7.78 and discharge of 450 cfs.  Another ice jam occurred February 2, resulting in a gage height of 7.82 ft. and discharge of 120 cfs.  -- Keywords: Esopus Creek at Shandaken, NY on Feb 11, 1981 [20040701124352]</t>
        </is>
      </c>
    </row>
    <row r="214" ht="45.75" customHeight="1" s="13">
      <c r="A214" s="19" t="inlineStr">
        <is>
          <t>1981-02-11</t>
        </is>
      </c>
      <c r="B214" s="19" t="inlineStr">
        <is>
          <t>Lake George</t>
        </is>
      </c>
      <c r="C214" s="19" t="inlineStr">
        <is>
          <t>English Brook</t>
        </is>
      </c>
      <c r="D214" s="19" t="inlineStr">
        <is>
          <t>?</t>
        </is>
      </c>
      <c r="E214" s="19" t="n">
        <v>65.5</v>
      </c>
      <c r="F214" s="19" t="inlineStr">
        <is>
          <t>The maximum annual gage height of 4.88 ft occurred on English Brook at Lake George, NY on 11 February 1981, caused by and ice jam.  The average daily discharge was unknown.   -- Keywords: English Brook at Lake George, NY on Feb 11, 1981 [20040702134121]</t>
        </is>
      </c>
    </row>
    <row r="215" ht="45.75" customHeight="1" s="13">
      <c r="A215" s="19" t="inlineStr">
        <is>
          <t>1981-02-02</t>
        </is>
      </c>
      <c r="B215" s="19" t="inlineStr">
        <is>
          <t>Shandaken</t>
        </is>
      </c>
      <c r="C215" s="19" t="inlineStr">
        <is>
          <t>Esopus Creek</t>
        </is>
      </c>
      <c r="D215" s="19" t="inlineStr">
        <is>
          <t>?</t>
        </is>
      </c>
      <c r="E215" s="19" t="n">
        <v>32.8</v>
      </c>
      <c r="F215" s="19" t="inlineStr">
        <is>
          <t>An ice jam occurred on Esopus Creek at Shandaken, NY on February 2, 1981, resulting in a gage height of 7.82 ft. and discharge of 120 cfs.  Another ice jam occurred February 11, with a gage height of 7.78 and discharge of 450 cfs.  -- Keywords: Esopus Creek at Shandaken, NY on Feb 02, 1981 [20040701122529]</t>
        </is>
      </c>
    </row>
    <row r="216" ht="45.75" customHeight="1" s="13">
      <c r="A216" s="19" t="inlineStr">
        <is>
          <t>1981-02-02</t>
        </is>
      </c>
      <c r="B216" s="19" t="inlineStr">
        <is>
          <t>Walton</t>
        </is>
      </c>
      <c r="C216" s="19" t="inlineStr">
        <is>
          <t>West Branch Delaware River</t>
        </is>
      </c>
      <c r="D216" s="19" t="inlineStr">
        <is>
          <t>?</t>
        </is>
      </c>
      <c r="E216" s="19" t="n">
        <v>61</v>
      </c>
      <c r="F216" s="19" t="inlineStr">
        <is>
          <t>A gage height of 11.07 ft and a discharge of 2,800 cfs occurred on West Branch Delaware River at Walton NY, on February 2, 1981 as a result of an ice jam.   -- Keywords: West Branch Delaware River at Walton, NY on Feb 02, 1981 [20040701131617]</t>
        </is>
      </c>
    </row>
    <row r="217" ht="57" customHeight="1" s="13">
      <c r="A217" s="19" t="inlineStr">
        <is>
          <t>1981-02-02</t>
        </is>
      </c>
      <c r="B217" s="19" t="inlineStr">
        <is>
          <t>Gardiner</t>
        </is>
      </c>
      <c r="C217" s="19" t="inlineStr">
        <is>
          <t>Wallkill River</t>
        </is>
      </c>
      <c r="D217" s="19" t="inlineStr">
        <is>
          <t>?</t>
        </is>
      </c>
      <c r="E217" s="19" t="n">
        <v>57.7</v>
      </c>
      <c r="F217" s="19" t="inlineStr">
        <is>
          <t>An ice jam occurred on Wallkill River at Gardiner, NY on February 2, 1981, resulting in a gage height of 8.25 ft and discharge of 500 cfs.  Another ice jam occurred February 12, resulting in the maximum annual gage height of 12.66 ft. and discharge of 5,000 cfs (not annual maximum).  -- Keywords: Wallkill River at Gardiner, NY on Feb 02, 1981 [20040701125114]</t>
        </is>
      </c>
    </row>
    <row r="218" ht="34.5" customHeight="1" s="13">
      <c r="A218" s="19" t="inlineStr">
        <is>
          <t>1981-02-02</t>
        </is>
      </c>
      <c r="B218" s="19" t="inlineStr">
        <is>
          <t>Gilboa</t>
        </is>
      </c>
      <c r="C218" s="19" t="inlineStr">
        <is>
          <t>Platter Kill</t>
        </is>
      </c>
      <c r="D218" s="19" t="inlineStr">
        <is>
          <t>?</t>
        </is>
      </c>
      <c r="E218" s="19" t="n">
        <v>21.9</v>
      </c>
      <c r="F218" s="19" t="inlineStr">
        <is>
          <t>An ice jam occurred on Platter Kill at Gilboa, NY on February 2, 1981, resulting in a gage height of 3.54 ft and discharge of 25 cfs.  -- Keywords: Platter Kill at Gilboa, NY on Feb 02, 1981 [20040701114951]</t>
        </is>
      </c>
    </row>
    <row r="219" ht="45.75" customHeight="1" s="13">
      <c r="A219" s="19" t="inlineStr">
        <is>
          <t>1981-02-02</t>
        </is>
      </c>
      <c r="B219" s="19" t="inlineStr">
        <is>
          <t>North Blenheim</t>
        </is>
      </c>
      <c r="C219" s="19" t="inlineStr">
        <is>
          <t>Mine Kill</t>
        </is>
      </c>
      <c r="D219" s="19" t="inlineStr">
        <is>
          <t>?</t>
        </is>
      </c>
      <c r="E219" s="19" t="n">
        <v>22.7</v>
      </c>
      <c r="F219" s="19" t="inlineStr">
        <is>
          <t>An ice jam occurred on Mine Kill near North Blenheim, NY on February 2, 1981, resulting in a maximum gage height of 3.60 ft and maximum discharge of 738 cfs for the year as well as for the period of record; 1974-1981.   -- Keywords: Mine Kill at North Blenheim, NY on Feb 02, 1981 [20040701115625]</t>
        </is>
      </c>
    </row>
    <row r="220" ht="34.5" customHeight="1" s="13">
      <c r="A220" s="19" t="inlineStr">
        <is>
          <t>1981-02-02</t>
        </is>
      </c>
      <c r="B220" s="19" t="inlineStr">
        <is>
          <t>Petersburg</t>
        </is>
      </c>
      <c r="C220" s="19" t="inlineStr">
        <is>
          <t>Little Hoosic River</t>
        </is>
      </c>
      <c r="D220" s="19" t="inlineStr">
        <is>
          <t>?</t>
        </is>
      </c>
      <c r="E220" s="19" t="n">
        <v>39.8</v>
      </c>
      <c r="F220" s="19" t="inlineStr">
        <is>
          <t>An ice jam was reported on the Little Hoosic River at Petersburg, NY on Feb 2, 1981.  The gage height was 6.24 ft and discharge 64 cfs.  -- Keywords: Little Hoosic River at Petersburg, NY on Feb 02, 1981 [20040630162219]</t>
        </is>
      </c>
    </row>
    <row r="221" ht="34.5" customHeight="1" s="13">
      <c r="A221" s="19" t="inlineStr">
        <is>
          <t>1981-02-02</t>
        </is>
      </c>
      <c r="B221" s="19" t="inlineStr">
        <is>
          <t>Eagle Bridge</t>
        </is>
      </c>
      <c r="C221" s="19" t="inlineStr">
        <is>
          <t>Hoosic River</t>
        </is>
      </c>
      <c r="D221" s="19" t="inlineStr">
        <is>
          <t>?</t>
        </is>
      </c>
      <c r="E221" s="19" t="n">
        <v>44.7</v>
      </c>
      <c r="F221" s="19" t="inlineStr">
        <is>
          <t>An ice jam was reported on the Hoosic River near Eagle Bridge, NY on Feb 2, 1981 resulting in the a gage height of 9.19 ft and discharge of 800 cfs.  -- Keywords: Hoosic River at Eagle Bridge, NY on Feb 02, 1981 [20040630163224]</t>
        </is>
      </c>
    </row>
    <row r="222" ht="34.5" customHeight="1" s="13">
      <c r="A222" s="19" t="inlineStr">
        <is>
          <t>1980-11-18</t>
        </is>
      </c>
      <c r="B222" s="19" t="inlineStr">
        <is>
          <t>Gilboa</t>
        </is>
      </c>
      <c r="C222" s="19" t="inlineStr">
        <is>
          <t>Platter Kill</t>
        </is>
      </c>
      <c r="D222" s="19" t="inlineStr">
        <is>
          <t>Freeze-up</t>
        </is>
      </c>
      <c r="E222" s="19" t="n">
        <v>21.9</v>
      </c>
      <c r="F222" s="19" t="inlineStr">
        <is>
          <t>USGS Water Resources Data for New York WY 2003 reported an annual minimum average daily discharge of 0.32cfs on 18-NOV-1980 due to freezeup at USGS gaging station 013501200 Platter Kill at Gilboa, NY. The gage height was not reported.</t>
        </is>
      </c>
    </row>
    <row r="223" ht="34.5" customHeight="1" s="13">
      <c r="A223" s="19" t="inlineStr">
        <is>
          <t>1980-11-18</t>
        </is>
      </c>
      <c r="B223" s="19" t="inlineStr">
        <is>
          <t>Gilboa</t>
        </is>
      </c>
      <c r="C223" s="19" t="inlineStr">
        <is>
          <t>Platter Kill</t>
        </is>
      </c>
      <c r="D223" s="19" t="inlineStr">
        <is>
          <t>Freeze-up</t>
        </is>
      </c>
      <c r="E223" s="19" t="n">
        <v>21.9</v>
      </c>
      <c r="F223" s="19" t="inlineStr">
        <is>
          <t>USGS Water Resources Data for New York WY 2003 reported an annual minimum average daily discharge of 0.32cfs on 18-NOV-1980 due to freezeup at USGS gaging station 01350120 Platter Kill at Gilboa, NY. The gage height was not reported.</t>
        </is>
      </c>
    </row>
    <row r="224" ht="45.75" customHeight="1" s="13">
      <c r="A224" s="19" t="inlineStr">
        <is>
          <t>1979-03-07</t>
        </is>
      </c>
      <c r="B224" s="19" t="inlineStr">
        <is>
          <t>West Milton</t>
        </is>
      </c>
      <c r="C224" s="19" t="inlineStr">
        <is>
          <t>Kayaderosseras Creek</t>
        </is>
      </c>
      <c r="D224" s="19" t="inlineStr">
        <is>
          <t>?</t>
        </is>
      </c>
      <c r="E224" s="19" t="n">
        <v>36.7</v>
      </c>
      <c r="F224" s="19" t="inlineStr">
        <is>
          <t>The USGS reported an ice jam on the Kayaderosseras Creek near West Milton, NY on March 7, 1979. The water discharge was 1400 cubic feet per second. The gage height was 6.18 ft.   -- Keywords: Kayaderosseras Creek at West Milton, NY on Mar 07, 1979 [20031211111330]</t>
        </is>
      </c>
    </row>
    <row r="225" ht="102" customHeight="1" s="13">
      <c r="A225" s="19" t="inlineStr">
        <is>
          <t>1979-03-05</t>
        </is>
      </c>
      <c r="B225" s="19" t="inlineStr">
        <is>
          <t>Prattsville</t>
        </is>
      </c>
      <c r="C225" s="19" t="inlineStr">
        <is>
          <t>Schoharie Creek</t>
        </is>
      </c>
      <c r="D225" s="19" t="inlineStr">
        <is>
          <t>?</t>
        </is>
      </c>
      <c r="E225" s="19" t="n">
        <v>24.1</v>
      </c>
      <c r="F225" s="19" t="inlineStr">
        <is>
          <t>The USGS reported an ice jam on the Schoharie Creek at Prattsville, NY on March 5, 1979. The water discharge was 8600 cfs and gage height was 19.57 ft.  Earlier in the month, on January 1, 1979 an ice jam was reported at the same location: the water discharge was 1300 cubic feet per second. The gage height was 8.75 ft.  Another jam was reported here on January 21, 1979. The water discharge was 860 cfs, gage height was 14.53 and then on January 25, water discharge was 2400 cfs, gage height 11.34.  The maximum annual gage height on March 5, 1979 also resulted in the maximum gage height for the period of record between 1902 - 1981.    -- Keywords: Schoharie Creek at Prattsville, NY on Mar 05, 1979 [20031203131000]</t>
        </is>
      </c>
    </row>
    <row r="226" ht="34.5" customHeight="1" s="13">
      <c r="A226" s="19" t="inlineStr">
        <is>
          <t>1979-03-05</t>
        </is>
      </c>
      <c r="B226" s="19" t="inlineStr">
        <is>
          <t>Fort Plain</t>
        </is>
      </c>
      <c r="C226" s="19" t="inlineStr">
        <is>
          <t>Otsquago Creek</t>
        </is>
      </c>
      <c r="D226" s="19" t="inlineStr">
        <is>
          <t>?</t>
        </is>
      </c>
      <c r="E226" s="19" t="n">
        <v>41</v>
      </c>
      <c r="F226" s="19" t="inlineStr">
        <is>
          <t>The USGS reported an ice jam on the Otsquago Creek at Fort Plain, NY on March 5, 1979. The water discharge was 1000 cubic feet per second, gage height was 7.28 ft.   -- Keywords: Otsquago Creek at Fort Plain, NY on Mar 05, 1979 [20031125101703]</t>
        </is>
      </c>
    </row>
    <row r="227" ht="34.5" customHeight="1" s="13">
      <c r="A227" s="19" t="inlineStr">
        <is>
          <t>1979-03-05</t>
        </is>
      </c>
      <c r="B227" s="19" t="inlineStr">
        <is>
          <t>New Berlin</t>
        </is>
      </c>
      <c r="C227" s="19" t="inlineStr">
        <is>
          <t>Mill Brook</t>
        </is>
      </c>
      <c r="D227" s="19" t="inlineStr">
        <is>
          <t>?</t>
        </is>
      </c>
      <c r="E227" s="19" t="n">
        <v>65.7</v>
      </c>
      <c r="F227" s="19" t="inlineStr">
        <is>
          <t>The USGS reported backwater from ice on the Mill Brook at New Berlin, NY on March 5, 1979. The water discharge was 190 cubic feet per second, gage height was 3.19 ft.     -- Keywords: Mill Brook at New Berlin, NY on Mar 05, 1979 [20031119113537]</t>
        </is>
      </c>
    </row>
    <row r="228" ht="45.75" customHeight="1" s="13">
      <c r="A228" s="19" t="inlineStr">
        <is>
          <t>1979-03-02</t>
        </is>
      </c>
      <c r="B228" s="19" t="inlineStr">
        <is>
          <t>Castleton-On-Hudson</t>
        </is>
      </c>
      <c r="C228" s="19" t="inlineStr">
        <is>
          <t>Moordener Kill</t>
        </is>
      </c>
      <c r="D228" s="19" t="inlineStr">
        <is>
          <t>?</t>
        </is>
      </c>
      <c r="E228" s="19" t="n">
        <v>15.7</v>
      </c>
      <c r="F228" s="19" t="inlineStr">
        <is>
          <t>The USGS reported an ice jam on the Moordener Kill at Castleton-on-Hudson, NY on March 2, 1979. The water discharge was 596 cubic feet per second, gage height was 2.29 ft.   -- Keywords: Moordener Kill at Castleton-On-Hudson, NY on Mar 02, 1979 [20031125094831]</t>
        </is>
      </c>
    </row>
    <row r="229" ht="90.75" customHeight="1" s="13">
      <c r="A229" s="19" t="inlineStr">
        <is>
          <t>1979-02-27</t>
        </is>
      </c>
      <c r="B229" s="19" t="inlineStr">
        <is>
          <t>Gardiner</t>
        </is>
      </c>
      <c r="C229" s="19" t="inlineStr">
        <is>
          <t>Wallkill River</t>
        </is>
      </c>
      <c r="D229" s="19" t="inlineStr">
        <is>
          <t>?</t>
        </is>
      </c>
      <c r="E229" s="19" t="n">
        <v>57.7</v>
      </c>
      <c r="F229" s="19" t="inlineStr">
        <is>
          <t>The USGS reported an ice jam on the Wallkill River at Gardiner, NY on February 27, 1979. The water discharge was 2800 cubic feet per second, gage height was 17.79 ft.  The USGS also reported an ice jam on the Wallkill River at  Gardiner, NY on February 3, 1979 (discharge was 1200 cubic feet  per second) and on January 12, 16 and 22, 1979. The water  discharge was 1800 cubic feet per second on January 12, gage  height was 10.10 ft.; 860 cfs, gage height 9.24 ft. on January  16; and 3500 cfs, gage height 13.54 ft. on January 22.  -- Keywords: Wallkill River at Gardiner, NY on Feb 27, 1979 [20031119123135]</t>
        </is>
      </c>
    </row>
    <row r="230" ht="68.25" customHeight="1" s="13">
      <c r="A230" s="19" t="inlineStr">
        <is>
          <t>1979-02-25</t>
        </is>
      </c>
      <c r="B230" s="19" t="inlineStr">
        <is>
          <t>Castleton-On-Hudson</t>
        </is>
      </c>
      <c r="C230" s="19" t="inlineStr">
        <is>
          <t>Moordener Kill</t>
        </is>
      </c>
      <c r="D230" s="19" t="inlineStr">
        <is>
          <t>?</t>
        </is>
      </c>
      <c r="E230" s="19" t="n">
        <v>15.7</v>
      </c>
      <c r="F230" s="19" t="inlineStr">
        <is>
          <t>The USGS reported an ice jam on the Moordener Kill at  Castleton-on-Hudson, NY on February 25, 1979. The water  discharge was 560 cubic feet per second, gage height was 2.92  ft.  Jams were also reported on January 8, 1979 with water  discharge of 76 cubic feet per second, gage height 2.47 ft and  January 25, 1979 with discharge of 600 cubic feet per second and  gage height of 3.33 ft. -- Keywords: Moordener Kill at Castleton-On-Hudson, NY on Feb 25, 1979 [20031125094759]</t>
        </is>
      </c>
    </row>
    <row r="231" ht="102" customHeight="1" s="13">
      <c r="A231" s="19" t="inlineStr">
        <is>
          <t>1979-02-03</t>
        </is>
      </c>
      <c r="B231" s="19" t="inlineStr">
        <is>
          <t>Gardiner</t>
        </is>
      </c>
      <c r="C231" s="19" t="inlineStr">
        <is>
          <t>Wallkill River</t>
        </is>
      </c>
      <c r="D231" s="19" t="inlineStr">
        <is>
          <t>?</t>
        </is>
      </c>
      <c r="E231" s="19" t="n">
        <v>57.7</v>
      </c>
      <c r="F231" s="19" t="inlineStr">
        <is>
          <t>The USGS reported an ice jam on the Wallkill River at Gardiner, NY on February 3, 1979. The water discharge was 1200 cubic feet per second.   Jams were also reported on the on the Wallkill River at  Gardiner, NY on January 12, 16 and 22, 1979. The water discharge  was 1800 cubic feet per second on January 12, gage height was  10.10 ft.; 860 cfs, gage height 9.24 ft. on January 16; and 3500 cfs, gage height 13.54 ft. on January 22.   The USGS also reported an ice jam on the Wallkill River at  Gardiner, NY on February 27, 1979. The water discharge was 2800  cubic feet per second, gage height was 17.79 ft. -- Keywords: Wallkill River at Gardiner, NY on Feb 03, 1979 [20031119123044]</t>
        </is>
      </c>
    </row>
    <row r="232" ht="68.25" customHeight="1" s="13">
      <c r="A232" s="19" t="inlineStr">
        <is>
          <t>1979-01-25</t>
        </is>
      </c>
      <c r="B232" s="19" t="inlineStr">
        <is>
          <t>Castleton-On-Hudson</t>
        </is>
      </c>
      <c r="C232" s="19" t="inlineStr">
        <is>
          <t>Moordener Kill</t>
        </is>
      </c>
      <c r="D232" s="19" t="inlineStr">
        <is>
          <t>?</t>
        </is>
      </c>
      <c r="E232" s="19" t="n">
        <v>15.7</v>
      </c>
      <c r="F232" s="19" t="inlineStr">
        <is>
          <t>The USGS reported an ice jam on the Moordener Kill at  Castleton-on-Hudson, NY on January 25, 1979. The water discharge  was 600 cubic feet per second, gage height was 3.33 ft.  Jams were also reported on January 8, 1979 with water discharge  of 76 cubic feet per second, gage height 2.47 ft and February  25, 1979 with discharge of 560 cubic feet per second and gage  height of 2.92 ft. -- Keywords: Moordener Kill at Castleton-On-Hudson, NY on Jan 25, 1979 [20031125094724]</t>
        </is>
      </c>
    </row>
    <row r="233" ht="45.75" customHeight="1" s="13">
      <c r="A233" s="19" t="inlineStr">
        <is>
          <t>1979-01-22</t>
        </is>
      </c>
      <c r="B233" s="19" t="inlineStr">
        <is>
          <t>Fishs Eddy</t>
        </is>
      </c>
      <c r="C233" s="19" t="inlineStr">
        <is>
          <t>East Branch Delaware River</t>
        </is>
      </c>
      <c r="D233" s="19" t="inlineStr">
        <is>
          <t>?</t>
        </is>
      </c>
      <c r="E233" s="19" t="n">
        <v>68.90000000000001</v>
      </c>
      <c r="F233" s="19" t="inlineStr">
        <is>
          <t>The USGS reported backwater from ice on the East Branch Delaware River at Fishs Eddy, NY on January 22, 1979. The water discharge was 2800 cubic feet per second, gage height was 14.01 ft.   -- Keywords: East Branch Delaware River at Fishs Eddy, NY on Jan 22, 1979 [20031119115411]</t>
        </is>
      </c>
    </row>
    <row r="234" ht="34.5" customHeight="1" s="13">
      <c r="A234" s="19" t="inlineStr">
        <is>
          <t>1979-01-22</t>
        </is>
      </c>
      <c r="B234" s="19" t="inlineStr">
        <is>
          <t>North Blenheim</t>
        </is>
      </c>
      <c r="C234" s="19" t="inlineStr">
        <is>
          <t>West Kill</t>
        </is>
      </c>
      <c r="D234" s="19" t="inlineStr">
        <is>
          <t>?</t>
        </is>
      </c>
      <c r="E234" s="19" t="n">
        <v>21.4</v>
      </c>
      <c r="F234" s="19" t="inlineStr">
        <is>
          <t>The USGS reported an ice jam on the West Kill at North Blenheim, NY on January 22, 1979. The water discharge was 200 cubic feet per second, gage height was 5.39 ft.    -- Keywords: West Kill at North Blenheim, NY on Jan 22, 1979 [20031125095254]</t>
        </is>
      </c>
    </row>
    <row r="235" ht="57" customHeight="1" s="13">
      <c r="A235" s="19" t="inlineStr">
        <is>
          <t>1979-01-22</t>
        </is>
      </c>
      <c r="B235" s="19" t="inlineStr">
        <is>
          <t>Eagle Bridge</t>
        </is>
      </c>
      <c r="C235" s="19" t="inlineStr">
        <is>
          <t>Hoosic River</t>
        </is>
      </c>
      <c r="D235" s="19" t="inlineStr">
        <is>
          <t>?</t>
        </is>
      </c>
      <c r="E235" s="19" t="n">
        <v>44.7</v>
      </c>
      <c r="F235" s="19" t="inlineStr">
        <is>
          <t>The USGS reported an ice jam on the Hoosic River near Eagle Bridge, NY on January 22, 1979. The water discharge was 5000 cfs, gage height was 9.73.  Another jam was reported here earlier on January 11, 1979. The water discharge was 1600 cfs and gage height was 8.88 ft.   -- Keywords: Hoosic River at Eagle Bridge, NY on Jan 22, 1979 [20031203132902]</t>
        </is>
      </c>
    </row>
    <row r="236" ht="90.75" customHeight="1" s="13">
      <c r="A236" s="19" t="inlineStr">
        <is>
          <t>1979-01-21</t>
        </is>
      </c>
      <c r="B236" s="19" t="inlineStr">
        <is>
          <t>Prattsville</t>
        </is>
      </c>
      <c r="C236" s="19" t="inlineStr">
        <is>
          <t>Schoharie Creek</t>
        </is>
      </c>
      <c r="D236" s="19" t="inlineStr">
        <is>
          <t>?</t>
        </is>
      </c>
      <c r="E236" s="19" t="n">
        <v>24.1</v>
      </c>
      <c r="F236" s="19" t="inlineStr">
        <is>
          <t>The USGS reported an ice jam on the Schoharie Creek at Prattsville, NY on January 21, 1979. The water discharge was 860 cfs, gage height was 14.53 and then on January 25, water discharge was 2400 cfs, gage height 11.34. Earlier in the month, on January 1, 1979 an ice jam was reported at the same location: the water discharge was 1300 cubic feet per second. The gage height was 8.75 ft.  Another jam was reported here on March 5, 1979, water discharge was 8600 cfs and gage height was 19.57 ft.  -- Keywords: Schoharie Creek at Prattsville, NY on Jan 21, 1979 [20031203130528]</t>
        </is>
      </c>
    </row>
    <row r="237" ht="34.5" customHeight="1" s="13">
      <c r="A237" s="19" t="inlineStr">
        <is>
          <t>1979-01-21</t>
        </is>
      </c>
      <c r="B237" s="19" t="inlineStr">
        <is>
          <t>Andes</t>
        </is>
      </c>
      <c r="C237" s="19" t="inlineStr">
        <is>
          <t>Tremper Kill</t>
        </is>
      </c>
      <c r="D237" s="19" t="inlineStr">
        <is>
          <t>?</t>
        </is>
      </c>
      <c r="E237" s="19" t="n">
        <v>48.1</v>
      </c>
      <c r="F237" s="19" t="inlineStr">
        <is>
          <t>The USGS reported an ice jam on the Tremper Kill near Andes, NY on January 21, 1979. The water discharge was 220 cubic feet per second.    -- Keywords: Tremper Kill at Andes, NY on Jan 21, 1979 [20031119122149]</t>
        </is>
      </c>
    </row>
    <row r="238" ht="90.75" customHeight="1" s="13">
      <c r="A238" s="19" t="inlineStr">
        <is>
          <t>1979-01-12</t>
        </is>
      </c>
      <c r="B238" s="19" t="inlineStr">
        <is>
          <t>Gardiner</t>
        </is>
      </c>
      <c r="C238" s="19" t="inlineStr">
        <is>
          <t>Wallkill River</t>
        </is>
      </c>
      <c r="D238" s="19" t="inlineStr">
        <is>
          <t>?</t>
        </is>
      </c>
      <c r="E238" s="19" t="n">
        <v>57.7</v>
      </c>
      <c r="F238" s="19" t="inlineStr">
        <is>
          <t>The USGS reported an ice jam on the Wallkill River at  Gardiner, NY on January 12,16 and 22, 1979. The water discharge  was 1800 cubic feet per second on January 12, gage height was  10.10 ft.; 860 cfs, gage height 9.24 ft. on January 16; and 3500  cfs, gage height 13.54 ft. on January 22.   The USGS also reported an ice jam on the Wallkill River at  Gardiner, NY on February 3, 1979 (discharge was 1200 cubic  feet per second) and on February 27, 1979. The water discharge  was 2800 cubic feet per second, gage height was 17.79 ft. -- Keywords: Wallkill River at Gardiner, NY on Jan 12, 1979 [20031119122943]</t>
        </is>
      </c>
    </row>
    <row r="239" ht="57" customHeight="1" s="13">
      <c r="A239" s="19" t="inlineStr">
        <is>
          <t>1979-01-11</t>
        </is>
      </c>
      <c r="B239" s="19" t="inlineStr">
        <is>
          <t>Eagle Bridge</t>
        </is>
      </c>
      <c r="C239" s="19" t="inlineStr">
        <is>
          <t>Hoosic River</t>
        </is>
      </c>
      <c r="D239" s="19" t="inlineStr">
        <is>
          <t>?</t>
        </is>
      </c>
      <c r="E239" s="19" t="n">
        <v>44.7</v>
      </c>
      <c r="F239" s="19" t="inlineStr">
        <is>
          <t>The USGS reported an ice jam on the Hoosic River near Eagle Bridge, NY on January 11, 1979. The water discharge was 1600 cfs and gage height was 8.88 ft.  Another jam was reported here on January 22, 1979. The water discharge was 5000 cfs, gage height was 9.73.     -- Keywords: Hoosic River at Eagle Bridge, NY on Jan 11, 1979 [20031203132722]</t>
        </is>
      </c>
    </row>
    <row r="240" ht="34.5" customHeight="1" s="13">
      <c r="A240" s="19" t="inlineStr">
        <is>
          <t>1979-01-09</t>
        </is>
      </c>
      <c r="B240" s="19" t="inlineStr">
        <is>
          <t>Callicoon</t>
        </is>
      </c>
      <c r="C240" s="19" t="inlineStr">
        <is>
          <t>Delaware River</t>
        </is>
      </c>
      <c r="D240" s="19" t="inlineStr">
        <is>
          <t>?</t>
        </is>
      </c>
      <c r="E240" s="19" t="n">
        <v>73.90000000000001</v>
      </c>
      <c r="F240" s="19" t="inlineStr">
        <is>
          <t>The USGS reported ice jam on the Delaware River at Callicoon, NY on January 9, 1979. The water discharge was 4500 cubic feet per second, gage height was 14.83 ft.  -- Keywords: Delaware River at Callicoon, NY on Jan 09, 1979 [20031119114406]</t>
        </is>
      </c>
    </row>
    <row r="241" ht="68.25" customHeight="1" s="13">
      <c r="A241" s="19" t="inlineStr">
        <is>
          <t>1979-01-08</t>
        </is>
      </c>
      <c r="B241" s="19" t="inlineStr">
        <is>
          <t>Castleton-On-Hudson</t>
        </is>
      </c>
      <c r="C241" s="19" t="inlineStr">
        <is>
          <t>Moordener Kill</t>
        </is>
      </c>
      <c r="D241" s="19" t="inlineStr">
        <is>
          <t>?</t>
        </is>
      </c>
      <c r="E241" s="19" t="n">
        <v>15.7</v>
      </c>
      <c r="F241" s="19" t="inlineStr">
        <is>
          <t>The USGS reported an ice jam on the Moordener Kill at  Castleton-on-Hudson, NY on January 8, 1979. The water discharge  was 76 cubic feet per second, gage height was 2.47 ft.  Jams were also reported on January 29 and February 25, 1979,  when the water discharge was 560 cubic feet per second and gage  height was 2.92 ft. -- Keywords: Moordener Kill at Castleton-On-Hudson, NY on Jan 08, 1979 [20031125094416]</t>
        </is>
      </c>
    </row>
    <row r="242" ht="79.5" customHeight="1" s="13">
      <c r="A242" s="19" t="inlineStr">
        <is>
          <t>1979-01-06</t>
        </is>
      </c>
      <c r="B242" s="19" t="inlineStr">
        <is>
          <t>Gilboa</t>
        </is>
      </c>
      <c r="C242" s="19" t="inlineStr">
        <is>
          <t>Platter Kill</t>
        </is>
      </c>
      <c r="D242" s="19" t="inlineStr">
        <is>
          <t>?</t>
        </is>
      </c>
      <c r="E242" s="19" t="n">
        <v>21.7</v>
      </c>
      <c r="F242" s="19" t="inlineStr">
        <is>
          <t>The USGS reported an ice jam on the Platter Kill at Gilboa, NY on January 6, 1979. The water discharge was 133 cubic feet per second, the gage height was 3.98 ft. The same ice jam was referenced on the following dates: on January 13, the gage height was 3.48, the water discharge was 22 cfs. On January 21, the gage height was 3.59, the water discharge was 50 cfs, and on February 5, the gage height was 3.02 and the water discharge was 13 cfs.  -- Keywords: Platter Kill at Gilboa, NY on Jan 06, 1979 [20031125133420]</t>
        </is>
      </c>
    </row>
    <row r="243" ht="34.5" customHeight="1" s="13">
      <c r="A243" s="19" t="inlineStr">
        <is>
          <t>1979-01-02</t>
        </is>
      </c>
      <c r="B243" s="19" t="inlineStr">
        <is>
          <t>Grahamsville</t>
        </is>
      </c>
      <c r="C243" s="19" t="inlineStr">
        <is>
          <t>Chestnut Creek</t>
        </is>
      </c>
      <c r="D243" s="19" t="inlineStr">
        <is>
          <t>?</t>
        </is>
      </c>
      <c r="E243" s="19" t="n">
        <v>52.9</v>
      </c>
      <c r="F243" s="19" t="inlineStr">
        <is>
          <t>The USGS reported an ice jam on the Chestnut Creek at Grahamsville, NY on January 2, 1979. The water discharge was 417 cubic feet per second, gage height was 2.34 ft.   -- Keywords: Chestnut Creek at Grahamsville, NY on Jan 02, 1979 [20031125092403]</t>
        </is>
      </c>
    </row>
    <row r="244" ht="79.5" customHeight="1" s="13">
      <c r="A244" s="19" t="inlineStr">
        <is>
          <t>1979-01-01</t>
        </is>
      </c>
      <c r="B244" s="19" t="inlineStr">
        <is>
          <t>Prattsville</t>
        </is>
      </c>
      <c r="C244" s="19" t="inlineStr">
        <is>
          <t>Schoharie Creek</t>
        </is>
      </c>
      <c r="D244" s="19" t="inlineStr">
        <is>
          <t>?</t>
        </is>
      </c>
      <c r="E244" s="19" t="n">
        <v>24.1</v>
      </c>
      <c r="F244" s="19" t="inlineStr">
        <is>
          <t>The USGS reported an ice jam on the Schoharie Creek at Prattsville, NY on January 1, 1979. The water discharge was 1300 cubic feet per second. The gage height was 8.75 ft.  Another jam was reported later in the month on January 21, 1979: water discharge was 860 cfs, gage height was 14.53 and then on January 25, water discharge was 2400 cfs, gage height 11.34. Also reported was a jam on March 5, 1979, water discharge was 8600 cfs and gage height was 19.57 ft.  -- Keywords: Schoharie Creek at Prattsville, NY on Jan 01, 1979 [20031203125727]</t>
        </is>
      </c>
    </row>
    <row r="245" ht="34.5" customHeight="1" s="13">
      <c r="A245" s="19" t="inlineStr">
        <is>
          <t>1979-01-01</t>
        </is>
      </c>
      <c r="B245" s="19" t="inlineStr">
        <is>
          <t>Fort Plain</t>
        </is>
      </c>
      <c r="C245" s="19" t="inlineStr">
        <is>
          <t>Otsquago Creek</t>
        </is>
      </c>
      <c r="D245" s="19" t="inlineStr">
        <is>
          <t>?</t>
        </is>
      </c>
      <c r="E245" s="19" t="n">
        <v>41</v>
      </c>
      <c r="F245" s="19" t="inlineStr">
        <is>
          <t>The USGS reported an ice jam on the Otsquago Creek at Fort Plain, NY on January 1, 1979. The water discharge was 350 cubic feet per second, gage height was 5.37 ft.   -- Keywords: Otsquago Creek at Fort Plain, NY on Jan 01, 1979 [20031125101359]</t>
        </is>
      </c>
    </row>
    <row r="246" ht="45.75" customHeight="1" s="13">
      <c r="A246" s="19" t="inlineStr">
        <is>
          <t>1978-03-16</t>
        </is>
      </c>
      <c r="B246" s="19" t="inlineStr">
        <is>
          <t>Gardiner</t>
        </is>
      </c>
      <c r="C246" s="19" t="inlineStr">
        <is>
          <t>Wallkill River</t>
        </is>
      </c>
      <c r="D246" s="19" t="inlineStr">
        <is>
          <t>?</t>
        </is>
      </c>
      <c r="E246" s="19" t="n">
        <v>57.7</v>
      </c>
      <c r="F246" s="19" t="inlineStr">
        <is>
          <t>The USGS reported an ice jam on the Wallkill River at Gardiner, NY on March 16 and 21, 1978. The water discharge was 5000 cubic feet per second, gage height was 12.46 ft. on March 16, and 4500 cfs, gage height 12.43 ft. on March 21.   -- Keywords: Wallkill River at Gardiner, NY on Mar 16, 1978 [20031114134951]</t>
        </is>
      </c>
    </row>
    <row r="247" ht="34.5" customHeight="1" s="13">
      <c r="A247" s="19" t="inlineStr">
        <is>
          <t>1978-03-14</t>
        </is>
      </c>
      <c r="B247" s="19" t="inlineStr">
        <is>
          <t>Dunraven</t>
        </is>
      </c>
      <c r="C247" s="19" t="inlineStr">
        <is>
          <t>Mill Brook</t>
        </is>
      </c>
      <c r="D247" s="19" t="inlineStr">
        <is>
          <t>?</t>
        </is>
      </c>
      <c r="E247" s="19" t="n">
        <v>45.1</v>
      </c>
      <c r="F247" s="19" t="inlineStr">
        <is>
          <t>The USGS reported an ice jam on the Mill Brook near Dunraven, NY on March 14, 1978. The water discharge was 45 cubic feet per second, gage height was 5.18 ft.   -- Keywords: Mill Brook at Dunraven, NY on Mar 14, 1978 [20031114134219]</t>
        </is>
      </c>
    </row>
    <row r="248" ht="34.5" customHeight="1" s="13">
      <c r="A248" s="19" t="inlineStr">
        <is>
          <t>1978-02-22</t>
        </is>
      </c>
      <c r="B248" s="19" t="inlineStr">
        <is>
          <t>Gilboa</t>
        </is>
      </c>
      <c r="C248" s="19" t="inlineStr">
        <is>
          <t>Platter Kill</t>
        </is>
      </c>
      <c r="D248" s="19" t="inlineStr">
        <is>
          <t>?</t>
        </is>
      </c>
      <c r="E248" s="19" t="n">
        <v>21.7</v>
      </c>
      <c r="F248" s="19" t="inlineStr">
        <is>
          <t>The USGS reported an ice jam on the Platter Kill at Gilboa, NY on February 22, 1978. The water discharge was 16 cubic feet per second, gage height was 4.33 ft.   -- Keywords: Platter Kill at Gilboa, NY on Feb 22, 1978 [20031117092302]</t>
        </is>
      </c>
    </row>
    <row r="249" ht="34.5" customHeight="1" s="13">
      <c r="A249" s="19" t="inlineStr">
        <is>
          <t>1978-02-10</t>
        </is>
      </c>
      <c r="B249" s="19" t="inlineStr">
        <is>
          <t>Dunraven</t>
        </is>
      </c>
      <c r="C249" s="19" t="inlineStr">
        <is>
          <t>Mill Brook</t>
        </is>
      </c>
      <c r="D249" s="19" t="inlineStr">
        <is>
          <t>?</t>
        </is>
      </c>
      <c r="E249" s="19" t="n">
        <v>45.1</v>
      </c>
      <c r="F249" s="19" t="inlineStr">
        <is>
          <t>The USGS reported an ice jam on the Mill Brook near Dunraven, NY on February 10, 1978. The water discharge was 30 cubic feet per second, gage height was 4.76 ft.   -- Keywords: Mill Brook at Dunraven, NY on Feb 10, 1978 [20031114134122]</t>
        </is>
      </c>
    </row>
    <row r="250" ht="34.5" customHeight="1" s="13">
      <c r="A250" s="19" t="inlineStr">
        <is>
          <t>1978-02-10</t>
        </is>
      </c>
      <c r="B250" s="19" t="inlineStr">
        <is>
          <t>North Blenheim</t>
        </is>
      </c>
      <c r="C250" s="19" t="inlineStr">
        <is>
          <t>West Kill</t>
        </is>
      </c>
      <c r="D250" s="19" t="inlineStr">
        <is>
          <t>?</t>
        </is>
      </c>
      <c r="E250" s="19" t="n">
        <v>21.4</v>
      </c>
      <c r="F250" s="19" t="inlineStr">
        <is>
          <t>The USGS reported an ice jam on the West Kill at North Blenheim, NY on February 10, 1978. The water discharge was 64 cubic feet per second, gage height was 5.78 ft.   -- Keywords: West Kill at North Blenheim, NY on Feb 10, 1978 [20031117091123]</t>
        </is>
      </c>
    </row>
    <row r="251" ht="34.5" customHeight="1" s="13">
      <c r="A251" s="19" t="inlineStr">
        <is>
          <t>1978-01-26</t>
        </is>
      </c>
      <c r="B251" s="19" t="inlineStr">
        <is>
          <t>Callicoon</t>
        </is>
      </c>
      <c r="C251" s="19" t="inlineStr">
        <is>
          <t>Callicoon Creek</t>
        </is>
      </c>
      <c r="D251" s="19" t="inlineStr">
        <is>
          <t>?</t>
        </is>
      </c>
      <c r="E251" s="19" t="n">
        <v>73.3</v>
      </c>
      <c r="F251" s="19" t="inlineStr">
        <is>
          <t>The USGS reported an ice jam on the Callicoon Creek at Callicoon, NY on January 26, 1978. The water discharge was 1500 cubic feet per second, gage height was 5.88 ft.   -- Keywords: Callicoon Creek at Callicoon, NY on Jan 26, 1978 [20031114133057]</t>
        </is>
      </c>
    </row>
    <row r="252" ht="34.5" customHeight="1" s="13">
      <c r="A252" s="19" t="inlineStr">
        <is>
          <t>1978-01-26</t>
        </is>
      </c>
      <c r="B252" s="19" t="inlineStr">
        <is>
          <t>Gardiner</t>
        </is>
      </c>
      <c r="C252" s="19" t="inlineStr">
        <is>
          <t>Wallkill River</t>
        </is>
      </c>
      <c r="D252" s="19" t="inlineStr">
        <is>
          <t>?</t>
        </is>
      </c>
      <c r="E252" s="19" t="n">
        <v>57.7</v>
      </c>
      <c r="F252" s="19" t="inlineStr">
        <is>
          <t>The USGS reported an ice jam on the Wallkill River at Gardiner, NY on January 26, 1978. The water discharge was 7000 cubic feet per second, gage height was 14.15 ft.   -- Keywords: Wallkill River at Gardiner, NY on Jan 26, 1978 [20031114134715]</t>
        </is>
      </c>
    </row>
    <row r="253" ht="90.75" customHeight="1" s="13">
      <c r="A253" s="19" t="inlineStr">
        <is>
          <t>1978-01-26</t>
        </is>
      </c>
      <c r="B253" s="19" t="inlineStr">
        <is>
          <t>Prattsville</t>
        </is>
      </c>
      <c r="C253" s="19" t="inlineStr">
        <is>
          <t>Schoharie Creek</t>
        </is>
      </c>
      <c r="D253" s="19" t="inlineStr">
        <is>
          <t>Freeze-up</t>
        </is>
      </c>
      <c r="E253" s="19" t="n">
        <v>24.5</v>
      </c>
      <c r="F253" s="19" t="inlineStr">
        <is>
          <t>Reported by the Bioengineering Group, Inc.: The 1978 flood, the flood of record, has a recurrence interval of approximately 100 years. A 10' by 30' berm, approximately 2400' long was constructed in response to flooding which occurred in the winter of 1978, the last major flood event associated with ice jamming.  As reported by the NOAA: January, 1978: Severe ice jam in Prattsville effectively blocked the streamflow from the full reservoir. Widespread flooding in the region. An entire herd of dairy cattle drowned in their barn. No other information found.  -- Keywords: Schoharie Creek at Prattsville, NY on Jan ?, 1978 [20030508084552]</t>
        </is>
      </c>
    </row>
    <row r="254" ht="34.5" customHeight="1" s="13">
      <c r="A254" s="19" t="inlineStr">
        <is>
          <t>1978-01-26</t>
        </is>
      </c>
      <c r="B254" s="19" t="inlineStr">
        <is>
          <t>Gilboa</t>
        </is>
      </c>
      <c r="C254" s="19" t="inlineStr">
        <is>
          <t>Platter Kill</t>
        </is>
      </c>
      <c r="D254" s="19" t="inlineStr">
        <is>
          <t>?</t>
        </is>
      </c>
      <c r="E254" s="19" t="n">
        <v>21.7</v>
      </c>
      <c r="F254" s="19" t="inlineStr">
        <is>
          <t>The USGS reported an ice jam on the Platter Kill at Gilboa, NY on January 26, 1978. The water discharge was 100 cubic feet per second, gage height was 2.82 ft.     -- Keywords: Platter Kill at Gilboa, NY on Jan 26, 1978 [20031117091656]</t>
        </is>
      </c>
    </row>
    <row r="255" ht="45.75" customHeight="1" s="13">
      <c r="A255" s="19" t="inlineStr">
        <is>
          <t>1978-01-26</t>
        </is>
      </c>
      <c r="B255" s="19" t="inlineStr">
        <is>
          <t>Castleton-On-Hudson</t>
        </is>
      </c>
      <c r="C255" s="19" t="inlineStr">
        <is>
          <t>Moordener Kill</t>
        </is>
      </c>
      <c r="D255" s="19" t="inlineStr">
        <is>
          <t>?</t>
        </is>
      </c>
      <c r="E255" s="19" t="n">
        <v>15.7</v>
      </c>
      <c r="F255" s="19" t="inlineStr">
        <is>
          <t>The USGS reported an ice jam on the Moordener Kill at Castleton-on-Hudson, NY on January 26, 1978. The water discharge was 480 cubic feet per second, gage height was 3.31 ft.   -- Keywords: Moordener Kill at Castleton-On-Hudson, NY on Jan 26, 1978 [20031117090556]</t>
        </is>
      </c>
    </row>
    <row r="256" ht="34.5" customHeight="1" s="13">
      <c r="A256" s="19" t="inlineStr">
        <is>
          <t>1978-01-26</t>
        </is>
      </c>
      <c r="B256" s="19" t="inlineStr">
        <is>
          <t>Dunraven</t>
        </is>
      </c>
      <c r="C256" s="19" t="inlineStr">
        <is>
          <t>Mill Brook</t>
        </is>
      </c>
      <c r="D256" s="19" t="inlineStr">
        <is>
          <t>?</t>
        </is>
      </c>
      <c r="E256" s="19" t="n">
        <v>45.1</v>
      </c>
      <c r="F256" s="19" t="inlineStr">
        <is>
          <t>The USGS reported an ice jam on the Mill Brook near Dunraven, NY on January 26, 1978. The water discharge was 450 cubic feet per second, gage height was 4.69 ft.   -- Keywords: Mill Brook at Dunraven, NY on Jan 26, 1978 [20031114133918]</t>
        </is>
      </c>
    </row>
    <row r="257" ht="45.75" customHeight="1" s="13">
      <c r="A257" s="19" t="inlineStr">
        <is>
          <t>1978-01-11</t>
        </is>
      </c>
      <c r="B257" s="19" t="inlineStr">
        <is>
          <t>Fort Edward</t>
        </is>
      </c>
      <c r="C257" s="19" t="inlineStr">
        <is>
          <t>Hudson River</t>
        </is>
      </c>
      <c r="D257" s="19" t="inlineStr">
        <is>
          <t>?</t>
        </is>
      </c>
      <c r="E257" s="19" t="n">
        <v>56.7</v>
      </c>
      <c r="F257" s="19" t="inlineStr">
        <is>
          <t>The USGS reported an ice jam on the Hudson River at Fort Edward, NY on January 11, 1978. The water discharge was 17,000 cubic feet per second, gage height was 28.71 ft.   -- Keywords: Hudson River at Fort Edward, NY on Jan 11, 1978 [20031117094452]</t>
        </is>
      </c>
    </row>
    <row r="258" ht="34.5" customHeight="1" s="13">
      <c r="A258" s="19" t="inlineStr">
        <is>
          <t>1978-01-09</t>
        </is>
      </c>
      <c r="B258" s="19" t="inlineStr">
        <is>
          <t>Callicoon</t>
        </is>
      </c>
      <c r="C258" s="19" t="inlineStr">
        <is>
          <t>Callicoon Creek</t>
        </is>
      </c>
      <c r="D258" s="19" t="inlineStr">
        <is>
          <t>?</t>
        </is>
      </c>
      <c r="E258" s="19" t="n">
        <v>73.3</v>
      </c>
      <c r="F258" s="19" t="inlineStr">
        <is>
          <t>The USGS reported an ice jam on the Callicoon Creek at Callicoon, NY on January 9, 1978. The water discharge was 4500 cubic feet per second, gage height was 8.39 ft.   -- Keywords: Callicoon Creek at Callicoon, NY on Jan 09, 1978 [20031114133009]</t>
        </is>
      </c>
    </row>
    <row r="259" ht="34.5" customHeight="1" s="13">
      <c r="A259" s="19" t="inlineStr">
        <is>
          <t>1978-01-09</t>
        </is>
      </c>
      <c r="B259" s="19" t="inlineStr">
        <is>
          <t>Eagle Bridge</t>
        </is>
      </c>
      <c r="C259" s="19" t="inlineStr">
        <is>
          <t>Hoosic River</t>
        </is>
      </c>
      <c r="D259" s="19" t="inlineStr">
        <is>
          <t>?</t>
        </is>
      </c>
      <c r="E259" s="19" t="n">
        <v>44.7</v>
      </c>
      <c r="F259" s="19" t="inlineStr">
        <is>
          <t>The USGS reported an ice jam on the Hoosic River at Eagle Bridge, NY on January 9, 1978. The water discharge was 6000 cubic feet per second, gage height was 11.84 ft.   -- Keywords: Hoosic River at Eagle Bridge, NY on Jan 09, 1978 [20031117094015]</t>
        </is>
      </c>
    </row>
    <row r="260" ht="45.75" customHeight="1" s="13">
      <c r="A260" s="19" t="inlineStr">
        <is>
          <t>1977-12-10</t>
        </is>
      </c>
      <c r="B260" s="19" t="inlineStr">
        <is>
          <t>Prattsville</t>
        </is>
      </c>
      <c r="C260" s="19" t="inlineStr">
        <is>
          <t>Schoharie Creek</t>
        </is>
      </c>
      <c r="D260" s="19" t="inlineStr">
        <is>
          <t>?</t>
        </is>
      </c>
      <c r="E260" s="19" t="n">
        <v>24.1</v>
      </c>
      <c r="F260" s="19" t="inlineStr">
        <is>
          <t>The USGS reported an ice jam on the Schoharie Creek at Prattsville, NY on December 10 and 14, 1977. The water discharge was 720 cubic feet per second, gage height was 7.24  ft. on December 10; and 1500 cfs, gage height 9.54 ft. on  December 14.   -- Keywords: Schoharie Creek at Prattsville, NY on Dec 10, 1977 [20031117093540]</t>
        </is>
      </c>
    </row>
    <row r="261" ht="34.5" customHeight="1" s="13">
      <c r="A261" s="19" t="inlineStr">
        <is>
          <t>1976-01-27</t>
        </is>
      </c>
      <c r="B261" s="19" t="inlineStr">
        <is>
          <t>Castleton-On-Hudson</t>
        </is>
      </c>
      <c r="C261" s="19" t="inlineStr">
        <is>
          <t>Moordener Kill</t>
        </is>
      </c>
      <c r="D261" s="19" t="inlineStr">
        <is>
          <t>?</t>
        </is>
      </c>
      <c r="E261" s="19" t="n">
        <v>15.7</v>
      </c>
      <c r="F261" s="19" t="inlineStr">
        <is>
          <t>The USGS reported an ice jam on the Moordener Kill at Castleton-on-Hudson, NY on January 27, 1976, gage height was 4.02 ft.    -- Keywords: Moordener Kill at Castleton-On-Hudson, NY on Jan 27, 1976 [20031117090332]</t>
        </is>
      </c>
    </row>
    <row r="262" ht="34.5" customHeight="1" s="13">
      <c r="A262" s="19" t="inlineStr">
        <is>
          <t>1976-01-26</t>
        </is>
      </c>
      <c r="B262" s="19" t="inlineStr">
        <is>
          <t>Andes</t>
        </is>
      </c>
      <c r="C262" s="19" t="inlineStr">
        <is>
          <t>Tremper Kill</t>
        </is>
      </c>
      <c r="D262" s="19" t="inlineStr">
        <is>
          <t>?</t>
        </is>
      </c>
      <c r="E262" s="19" t="n">
        <v>48.1</v>
      </c>
      <c r="F262" s="19" t="inlineStr">
        <is>
          <t>An ice jam on Tremper Kill near Andes, NY resulted in the maximum gage height of 7.92 ft on January 26, 1976 for the period of record Feb 1937-Sep 1994.    -- Keywords: Tremper Kill at Andes, NY on Jan 26, 1976 [20040826145130]</t>
        </is>
      </c>
    </row>
    <row r="263" ht="45.75" customHeight="1" s="13">
      <c r="A263" s="19" t="inlineStr">
        <is>
          <t>1964-03-06</t>
        </is>
      </c>
      <c r="B263" s="19" t="inlineStr">
        <is>
          <t>Cohoes</t>
        </is>
      </c>
      <c r="C263" s="19" t="inlineStr">
        <is>
          <t>Mohawk River</t>
        </is>
      </c>
      <c r="D263" s="19" t="inlineStr">
        <is>
          <t>Unknown</t>
        </is>
      </c>
      <c r="E263" s="19" t="n">
        <v>25.2</v>
      </c>
      <c r="F263" s="19" t="inlineStr">
        <is>
          <t>USGS Water Resources Data for New York WY 2003 reported an annual maximum average daily discharge of 143,000cfs on 6 March 1964 due to a release from an ice jam at USGS gaging station 01357500 Mohawk River at Cohoes, NY. The gage height was 23.15ft.</t>
        </is>
      </c>
    </row>
    <row r="264" ht="45.75" customHeight="1" s="13">
      <c r="A264" s="19" t="inlineStr">
        <is>
          <t>1964-03-06</t>
        </is>
      </c>
      <c r="B264" s="19" t="inlineStr">
        <is>
          <t>Cohoes</t>
        </is>
      </c>
      <c r="C264" s="19" t="inlineStr">
        <is>
          <t>Mohawk River</t>
        </is>
      </c>
      <c r="D264" s="19" t="inlineStr">
        <is>
          <t>?</t>
        </is>
      </c>
      <c r="E264" s="19" t="n">
        <v>25.2</v>
      </c>
      <c r="F264" s="19" t="inlineStr">
        <is>
          <t>An ice jam release on Mohawk River at Cohoes, NY on March 6, 1964 resulted in the maximum gage height of 23.15 ft. and the maximum discharge of 143,000 cfs for the period of record Dec 1917-Sep 2000.  -- Keywords: Mohawk River at Cohoes, NY on Mar 06, 1964 [20040827132949]</t>
        </is>
      </c>
    </row>
    <row r="265" ht="45.75" customHeight="1" s="13">
      <c r="A265" s="19" t="inlineStr">
        <is>
          <t>1964-03-05</t>
        </is>
      </c>
      <c r="B265" s="19" t="inlineStr">
        <is>
          <t>Dunham Basin</t>
        </is>
      </c>
      <c r="C265" s="19" t="inlineStr">
        <is>
          <t>Bond Creek</t>
        </is>
      </c>
      <c r="D265" s="19" t="inlineStr">
        <is>
          <t>?</t>
        </is>
      </c>
      <c r="E265" s="19" t="n">
        <v>60</v>
      </c>
      <c r="F265" s="19" t="inlineStr">
        <is>
          <t>The maximum gage height of 8.66 ft for the period of record 1943-1981 occurred on the Bond Creek at Dunham Basin, NY on March 5, 1964, caused by backwater from ice.     -- Keywords: Bond Creek at Dunham Basin, NY on Mar 05, 1964 [20040630161040]</t>
        </is>
      </c>
    </row>
    <row r="266" ht="57" customHeight="1" s="13">
      <c r="A266" s="19" t="inlineStr">
        <is>
          <t>1964-01-26</t>
        </is>
      </c>
      <c r="B266" s="19" t="inlineStr">
        <is>
          <t>Gardiner</t>
        </is>
      </c>
      <c r="C266" s="19" t="inlineStr">
        <is>
          <t>Wallkill River</t>
        </is>
      </c>
      <c r="D266" s="19" t="inlineStr">
        <is>
          <t>?</t>
        </is>
      </c>
      <c r="E266" s="19" t="n">
        <v>57.7</v>
      </c>
      <c r="F266" s="19" t="inlineStr">
        <is>
          <t>On 26 January 1964, USGS reported the maximum annual gage height of 13.93 ft on Wallkill River at Gardiner, NY, caused by an ice jam.  The maximum annual discharge also occurred the between 26-27 Jan, but actual value was not determined.  Daily average discharge recorded for 26 Jan was 7,000 cfs.  -- Keywords: Wallkill River at Gardiner, NY on Jan 26, 1964 [20040622165309]</t>
        </is>
      </c>
    </row>
    <row r="267" ht="45.75" customHeight="1" s="13">
      <c r="A267" s="19" t="inlineStr">
        <is>
          <t>1964-01-25</t>
        </is>
      </c>
      <c r="B267" s="19" t="inlineStr">
        <is>
          <t>Craigie Clair</t>
        </is>
      </c>
      <c r="C267" s="19" t="inlineStr">
        <is>
          <t>Beaver Kill</t>
        </is>
      </c>
      <c r="D267" s="19" t="inlineStr">
        <is>
          <t>?</t>
        </is>
      </c>
      <c r="E267" s="19" t="n">
        <v>57.1</v>
      </c>
      <c r="F267" s="19" t="inlineStr">
        <is>
          <t>The maximum annual gage height of 7.71 ft on Beaver Kill at Craigie Clair, NY occurred on 25 Jan 1964 and was caused by an ice jam.  The associated discharge was 1,400 cfs.  -- Keywords: Beaver Kill at Craigie Clair, NY on Jan 25, 1964 [20040628120459]</t>
        </is>
      </c>
    </row>
    <row r="268" ht="45.75" customHeight="1" s="13">
      <c r="A268" s="19" t="inlineStr">
        <is>
          <t>1964-01-25</t>
        </is>
      </c>
      <c r="B268" s="19" t="inlineStr">
        <is>
          <t>Pine Bush</t>
        </is>
      </c>
      <c r="C268" s="19" t="inlineStr">
        <is>
          <t>Shawangunk Kill</t>
        </is>
      </c>
      <c r="D268" s="19" t="inlineStr">
        <is>
          <t>?</t>
        </is>
      </c>
      <c r="E268" s="19" t="n">
        <v>63.4</v>
      </c>
      <c r="F268" s="19" t="inlineStr">
        <is>
          <t>On 25 January 1964, USGS reported the maximum annual gage height of 8.04 ft on Shawangunk Kill at Pine Bush, NY, due to an ice jam.  The maximum annual discharge of 2,660 cfs also occurred the same day.  -- Keywords: Shawangunk Kill at Pine Bush, NY on Jan 25, 1964 [20040622164452]</t>
        </is>
      </c>
    </row>
    <row r="269" ht="45.75" customHeight="1" s="13">
      <c r="A269" s="19" t="inlineStr">
        <is>
          <t>1964-01-25</t>
        </is>
      </c>
      <c r="B269" s="19" t="inlineStr">
        <is>
          <t>Prattsville</t>
        </is>
      </c>
      <c r="C269" s="19" t="inlineStr">
        <is>
          <t>Schoharie Creek</t>
        </is>
      </c>
      <c r="D269" s="19" t="inlineStr">
        <is>
          <t>?</t>
        </is>
      </c>
      <c r="E269" s="19" t="n">
        <v>24.2</v>
      </c>
      <c r="F269" s="19" t="inlineStr">
        <is>
          <t>On 25 January 1964, the maximum annual gage height of 10.25 ft was recorded on Schoharie Creek at Prattsville, NY, caused by an ice jam.  Discharge for the day was 4,100 cfs.  -- Keywords: Schoharie Creek at Prattsville, NY on Jan 25, 1964 [20040622160618]</t>
        </is>
      </c>
    </row>
    <row r="270" ht="34.5" customHeight="1" s="13">
      <c r="A270" s="19" t="inlineStr">
        <is>
          <t>1964-01-25</t>
        </is>
      </c>
      <c r="B270" s="19" t="inlineStr">
        <is>
          <t>Troy</t>
        </is>
      </c>
      <c r="C270" s="19" t="inlineStr">
        <is>
          <t>Poesten Kill</t>
        </is>
      </c>
      <c r="D270" s="19" t="inlineStr">
        <is>
          <t>?</t>
        </is>
      </c>
      <c r="E270" s="19" t="n">
        <v>25.7</v>
      </c>
      <c r="F270" s="19" t="inlineStr">
        <is>
          <t>USGS reported "maximum (annual) gage height, about 5.2 ft (probably Jan. 25) from floodmarks (ice jam)" on Poesten Kill near Troy, NY.  Discharge for Jan 25, 1964 was 650 cfs.  -- Keywords: Poesten Kill at Troy, NY on Jan 25, 1964 [20040622161424]</t>
        </is>
      </c>
    </row>
    <row r="271" ht="45.75" customHeight="1" s="13">
      <c r="A271" s="19" t="inlineStr">
        <is>
          <t>1964-01-25</t>
        </is>
      </c>
      <c r="B271" s="19" t="inlineStr">
        <is>
          <t>Harvard</t>
        </is>
      </c>
      <c r="C271" s="19" t="inlineStr">
        <is>
          <t>East Branch Delaware River</t>
        </is>
      </c>
      <c r="D271" s="19" t="inlineStr">
        <is>
          <t>?</t>
        </is>
      </c>
      <c r="E271" s="19" t="n">
        <v>64.7</v>
      </c>
      <c r="F271" s="19" t="inlineStr">
        <is>
          <t>The maximum annual gage height of 7.63 ft on the East Branch Delaware River in Harvard, NY occurred on 25 Jan 1964 and was caused by an ice jam.  The associated discharge was 1,000 cfs.  -- Keywords: East Branch Delaware River at Harvard, NY on Jan 25, 1964 [20040628115844]</t>
        </is>
      </c>
    </row>
    <row r="272" ht="45.75" customHeight="1" s="13">
      <c r="A272" s="19" t="inlineStr">
        <is>
          <t>1964-01-25</t>
        </is>
      </c>
      <c r="B272" s="19" t="inlineStr">
        <is>
          <t>Callicoon</t>
        </is>
      </c>
      <c r="C272" s="19" t="inlineStr">
        <is>
          <t>Callicoon Creek</t>
        </is>
      </c>
      <c r="D272" s="19" t="inlineStr">
        <is>
          <t>?</t>
        </is>
      </c>
      <c r="E272" s="19" t="n">
        <v>73.3</v>
      </c>
      <c r="F272" s="19" t="inlineStr">
        <is>
          <t>The maximum annual gage height for 1964 of 6.42 ft on Callicoon Creek at Callicoon, NY occurred on 13 Jan 1964 and was caused by an ice jam. The associated discharge was 1,700 cfs.  -- Keywords: Callicoon Creek at Callicoon, NY on Jan 25, 1964 [20040628122058]</t>
        </is>
      </c>
    </row>
    <row r="273" ht="45.75" customHeight="1" s="13">
      <c r="A273" s="19" t="inlineStr">
        <is>
          <t>1964-01-22</t>
        </is>
      </c>
      <c r="B273" s="19" t="inlineStr">
        <is>
          <t>Hopewell Junction</t>
        </is>
      </c>
      <c r="C273" s="19" t="inlineStr">
        <is>
          <t>Fishkill Creek</t>
        </is>
      </c>
      <c r="D273" s="19" t="inlineStr">
        <is>
          <t>?</t>
        </is>
      </c>
      <c r="E273" s="19" t="n">
        <v>66.40000000000001</v>
      </c>
      <c r="F273" s="19" t="inlineStr">
        <is>
          <t>The maximum annual gage height of 5.61 ft on Fishkill Creek in Hopewill Junction, NY occurred on 22 Jan 1964 and was caused by an ice jam.  The associated discharge was 300 cfs.   -- Keywords: Fishkill Creek at Hopewell Junction, NY on Jan 22, 1964 [20040628114135]</t>
        </is>
      </c>
    </row>
    <row r="274" ht="45.75" customHeight="1" s="13">
      <c r="A274" s="19" t="inlineStr">
        <is>
          <t>1964-01-13</t>
        </is>
      </c>
      <c r="B274" s="19" t="inlineStr">
        <is>
          <t>Livingston Manor</t>
        </is>
      </c>
      <c r="C274" s="19" t="inlineStr">
        <is>
          <t>Willowemoc Creek</t>
        </is>
      </c>
      <c r="D274" s="19" t="inlineStr">
        <is>
          <t>?</t>
        </is>
      </c>
      <c r="E274" s="19" t="n">
        <v>57.8</v>
      </c>
      <c r="F274" s="19" t="inlineStr">
        <is>
          <t>The maximum annual gage height of 4.37 ft on Willowemoc Creek near Livingston Manor, NY occurred on 13 Jan 1964 and was caused by an ice jam.  The associated discharge was 120 cfs.  -- Keywords: Willowemoc Creek at Livingston Manor, NY on Jan 13, 1964 [20040628121223]</t>
        </is>
      </c>
    </row>
    <row r="275" ht="45.75" customHeight="1" s="13">
      <c r="A275" s="19" t="inlineStr">
        <is>
          <t>1963-03-27</t>
        </is>
      </c>
      <c r="B275" s="19" t="inlineStr">
        <is>
          <t>Burtonsville</t>
        </is>
      </c>
      <c r="C275" s="19" t="inlineStr">
        <is>
          <t>Schoharie Creek</t>
        </is>
      </c>
      <c r="D275" s="19" t="inlineStr">
        <is>
          <t>?</t>
        </is>
      </c>
      <c r="E275" s="19" t="n">
        <v>22.5</v>
      </c>
      <c r="F275" s="19" t="inlineStr">
        <is>
          <t>The maximum annual gage height observed on Schoharie Creek at Burtonsville, NY was 5.82 ft., on 27 March 1963, caused by an ice jam.  The associated discharge of approx. 16,500 cfs was also an annual maximum.  -- Keywords: Schoharie Creek at Burtonsville, NY on Mar 27, 1963 [20040618170745]</t>
        </is>
      </c>
    </row>
    <row r="276" ht="45.75" customHeight="1" s="13">
      <c r="A276" s="19" t="inlineStr">
        <is>
          <t>1963-03-27</t>
        </is>
      </c>
      <c r="B276" s="19" t="inlineStr">
        <is>
          <t>Fort Plain</t>
        </is>
      </c>
      <c r="C276" s="19" t="inlineStr">
        <is>
          <t>Otsquago Creek</t>
        </is>
      </c>
      <c r="D276" s="19" t="inlineStr">
        <is>
          <t>?</t>
        </is>
      </c>
      <c r="E276" s="19" t="n">
        <v>41</v>
      </c>
      <c r="F276" s="19" t="inlineStr">
        <is>
          <t>The maximum annual gage height observed on Otsquago Creek at Fort Plain, NY was 5.17 ft., on 27 March 1963, caused by an ice jam.  The associated discharge of 2,390 cfs was also an annual maximum.    -- Keywords: Otsquago Creek at Fort Plain, NY on Mar 27, 1963 [20040618165312]</t>
        </is>
      </c>
    </row>
    <row r="277" ht="45.75" customHeight="1" s="13">
      <c r="A277" s="19" t="inlineStr">
        <is>
          <t>1963-03-18</t>
        </is>
      </c>
      <c r="B277" s="19" t="inlineStr">
        <is>
          <t>Gardiner</t>
        </is>
      </c>
      <c r="C277" s="19" t="inlineStr">
        <is>
          <t>Wallkill River</t>
        </is>
      </c>
      <c r="D277" s="19" t="inlineStr">
        <is>
          <t>?</t>
        </is>
      </c>
      <c r="E277" s="19" t="n">
        <v>57.7</v>
      </c>
      <c r="F277" s="19" t="inlineStr">
        <is>
          <t>The maximum annual gage height observed on Wallkill River at Gardiner, NY was 14.32 ft., on 18 March 1963, caused by an ice jam.  The associated discharge was 6,000 cfs.  -- Keywords: Wallkill River at Gardiner, NY on Mar 18, 1963 [20040618174315]</t>
        </is>
      </c>
    </row>
    <row r="278" ht="45.75" customHeight="1" s="13">
      <c r="A278" s="19" t="inlineStr">
        <is>
          <t>1963-03-18</t>
        </is>
      </c>
      <c r="B278" s="19" t="inlineStr">
        <is>
          <t>Pine Bush</t>
        </is>
      </c>
      <c r="C278" s="19" t="inlineStr">
        <is>
          <t>Shawangunk Kill</t>
        </is>
      </c>
      <c r="D278" s="19" t="inlineStr">
        <is>
          <t>?</t>
        </is>
      </c>
      <c r="E278" s="19" t="n">
        <v>63.4</v>
      </c>
      <c r="F278" s="19" t="inlineStr">
        <is>
          <t>The maximum annual gage height observed on Shawangunk Kill at Pine Bush, NY was 8.58 ft., on 18 March 1963, caused by an ice jam.  The associated discharge was 1,500 cfs.  -- Keywords: Shawangunk Kill at Pine Bush, NY on Mar 18, 1963 [20040618173414]</t>
        </is>
      </c>
    </row>
    <row r="279" ht="34.5" customHeight="1" s="13">
      <c r="A279" s="19" t="inlineStr">
        <is>
          <t>1962-03-13</t>
        </is>
      </c>
      <c r="B279" s="19" t="inlineStr">
        <is>
          <t>Gardiner</t>
        </is>
      </c>
      <c r="C279" s="19" t="inlineStr">
        <is>
          <t>Wallkill River</t>
        </is>
      </c>
      <c r="D279" s="19" t="inlineStr">
        <is>
          <t>?</t>
        </is>
      </c>
      <c r="E279" s="19" t="n">
        <v>57.7</v>
      </c>
      <c r="F279" s="19" t="inlineStr">
        <is>
          <t>On the Wallkill River in Gardiner, NY, the maximum annual gage height of 17.38 ft was recorded on 13 Mar 1962, due to an ice jam.  The discharge was 6,400 cfs.  -- Keywords: Wallkill River at Gardiner, NY on Mar 13, 1962 [20040610150651]</t>
        </is>
      </c>
    </row>
    <row r="280" ht="34.5" customHeight="1" s="13">
      <c r="A280" s="19" t="inlineStr">
        <is>
          <t>1962-03-13</t>
        </is>
      </c>
      <c r="B280" s="19" t="inlineStr">
        <is>
          <t>Rosendale</t>
        </is>
      </c>
      <c r="C280" s="19" t="inlineStr">
        <is>
          <t>Rondout Creek</t>
        </is>
      </c>
      <c r="D280" s="19" t="inlineStr">
        <is>
          <t>?</t>
        </is>
      </c>
      <c r="E280" s="19" t="n">
        <v>46.6</v>
      </c>
      <c r="F280" s="19" t="inlineStr">
        <is>
          <t>On the Rondout Creek at Rosendale, NY the maximum annual gage height of 13.7 ft was recorded on 13 Mar 1962, due to an ice jam.  Discharge was 3,200 cfs.   -- Keywords: Rondout Creek at Rosendale, NY on Mar 13, 1962 [20040610132631]</t>
        </is>
      </c>
    </row>
    <row r="281" ht="34.5" customHeight="1" s="13">
      <c r="A281" s="19" t="inlineStr">
        <is>
          <t>1962-03-13</t>
        </is>
      </c>
      <c r="B281" s="19" t="inlineStr">
        <is>
          <t>Woodbourne</t>
        </is>
      </c>
      <c r="C281" s="19" t="inlineStr">
        <is>
          <t>Neversink River</t>
        </is>
      </c>
      <c r="D281" s="19" t="inlineStr">
        <is>
          <t>?</t>
        </is>
      </c>
      <c r="E281" s="19" t="n">
        <v>59.7</v>
      </c>
      <c r="F281" s="19" t="inlineStr">
        <is>
          <t>On the Neversink River in Woodbourne, NY the maximum annual gage height of 3.27 ft was recorded on Mar 13, 1962, due to an ice jam.  Discharge was 100 cfs.   -- Keywords: Neversink River at Woodbourne, NY on Mar 13, 1962 [20040610155811]</t>
        </is>
      </c>
    </row>
    <row r="282" ht="57" customHeight="1" s="13">
      <c r="A282" s="19" t="inlineStr">
        <is>
          <t>1961-02-26</t>
        </is>
      </c>
      <c r="B282" s="19" t="inlineStr">
        <is>
          <t>Gardiner</t>
        </is>
      </c>
      <c r="C282" s="19" t="inlineStr">
        <is>
          <t>Wallkill River</t>
        </is>
      </c>
      <c r="D282" s="19" t="inlineStr">
        <is>
          <t>?</t>
        </is>
      </c>
      <c r="E282" s="19" t="n">
        <v>57.4</v>
      </c>
      <c r="F282" s="19" t="inlineStr">
        <is>
          <t>maximum annual gage height of 18.49 feet, affected by backwater from ice, reported at USGS gage Wallkill River at Gardiner, on February 26, 1916. Additional ice-affected gage height of 12.44 feet, reported on February 28, 1961. Discharge 11,000 cfs. NWSFO/NERFC flood stage 15 ft   -- Keywords: Wallkill River at Gardiner, NY on Feb 26, 1961 [4479]</t>
        </is>
      </c>
    </row>
    <row r="283" ht="34.5" customHeight="1" s="13">
      <c r="A283" s="19" t="inlineStr">
        <is>
          <t>1961-02-25</t>
        </is>
      </c>
      <c r="B283" s="19" t="inlineStr">
        <is>
          <t>Battenville</t>
        </is>
      </c>
      <c r="C283" s="19" t="inlineStr">
        <is>
          <t>Batten Kill</t>
        </is>
      </c>
      <c r="D283" s="19" t="inlineStr">
        <is>
          <t>?</t>
        </is>
      </c>
      <c r="E283" s="19" t="n">
        <v>51</v>
      </c>
      <c r="F283" s="19" t="inlineStr">
        <is>
          <t>maximum annual gage height of 9.5 feet, affected by backwater from ice, reported at USGS gage Batten Kill at Battenville, on February 25, 1961. NWSFO/NERFC flood stage 11 ft -- Keywords: Batten Kill at Battenville, NY on Feb 25, 1961 [3632]</t>
        </is>
      </c>
    </row>
    <row r="284" ht="45.75" customHeight="1" s="13">
      <c r="A284" s="19" t="inlineStr">
        <is>
          <t>1961-02-25</t>
        </is>
      </c>
      <c r="B284" s="19" t="inlineStr">
        <is>
          <t>Kast Bridge</t>
        </is>
      </c>
      <c r="C284" s="19" t="inlineStr">
        <is>
          <t>West Canada Creek</t>
        </is>
      </c>
      <c r="D284" s="19" t="inlineStr">
        <is>
          <t>?</t>
        </is>
      </c>
      <c r="E284" s="19" t="n">
        <v>61.6</v>
      </c>
      <c r="F284" s="19" t="inlineStr">
        <is>
          <t>maximum annual gage height of 7.16 feet, affected by backwater from ice, reported at USGS gage West Canada Creek at Kast Bridge, on February 25, 1961. Approximate discharge 8,000 cfs. -- Keywords: West Canada Creek at Kast Bridge, NY on Feb 25, 1961 [3668]</t>
        </is>
      </c>
    </row>
    <row r="285" ht="45.75" customHeight="1" s="13">
      <c r="A285" s="19" t="inlineStr">
        <is>
          <t>1961-02-25</t>
        </is>
      </c>
      <c r="B285" s="19" t="inlineStr">
        <is>
          <t>Pine Bush</t>
        </is>
      </c>
      <c r="C285" s="19" t="inlineStr">
        <is>
          <t>Shawangunk Kill</t>
        </is>
      </c>
      <c r="D285" s="19" t="inlineStr">
        <is>
          <t>?</t>
        </is>
      </c>
      <c r="E285" s="19" t="n">
        <v>63.4</v>
      </c>
      <c r="F285" s="19" t="inlineStr">
        <is>
          <t>maximum annual gage height of 9.49 feet, affected by backwater from ice, reported at USGS gage Shawangunk Kill at Pine Bush, on February 25, 1961. Additional ice-affected gage height of 7.32 feet, reported on February 26, 1961. Discharge 3,400 cfs. -- Keywords: Shawangunk Kill at Pine Bush, NY on Feb 25, 1961 [3745]</t>
        </is>
      </c>
    </row>
    <row r="286" ht="34.5" customHeight="1" s="13">
      <c r="A286" s="19" t="inlineStr">
        <is>
          <t>1961-02-25</t>
        </is>
      </c>
      <c r="B286" s="19" t="inlineStr">
        <is>
          <t>Hope</t>
        </is>
      </c>
      <c r="C286" s="19" t="inlineStr">
        <is>
          <t>Sacandaga River</t>
        </is>
      </c>
      <c r="D286" s="19" t="inlineStr">
        <is>
          <t>?</t>
        </is>
      </c>
      <c r="E286" s="19" t="n">
        <v>58.9</v>
      </c>
      <c r="F286" s="19" t="inlineStr">
        <is>
          <t>maximum annual gage height of 8.28 feet, affected by backwater from ice, reported at USGS gage Sacandaga River near Hope, on February 25, 1961. -- Keywords: Sacandaga River at Hope, NY on Feb 25, 1961 [3609]</t>
        </is>
      </c>
    </row>
    <row r="287" ht="34.5" customHeight="1" s="13">
      <c r="A287" s="19" t="inlineStr">
        <is>
          <t>1961-02-25</t>
        </is>
      </c>
      <c r="B287" s="19" t="inlineStr">
        <is>
          <t>Rossman</t>
        </is>
      </c>
      <c r="C287" s="19" t="inlineStr">
        <is>
          <t>Kinderhook Creek</t>
        </is>
      </c>
      <c r="D287" s="19" t="inlineStr">
        <is>
          <t>?</t>
        </is>
      </c>
      <c r="E287" s="19" t="n">
        <v>20</v>
      </c>
      <c r="F287" s="19" t="inlineStr">
        <is>
          <t>maximum annual gage height of 7.26 feet, affected by backwater from ice, reported at USGS gage Kinderhook Creek at Rossman, on February 25, 1961. -- Keywords: Kinderhook Creek at Rossman, NY on Feb 25, 1961 [3716]</t>
        </is>
      </c>
    </row>
    <row r="288" ht="34.5" customHeight="1" s="13">
      <c r="A288" s="19" t="inlineStr">
        <is>
          <t>1961-02-19</t>
        </is>
      </c>
      <c r="B288" s="19" t="inlineStr">
        <is>
          <t>Dunraven</t>
        </is>
      </c>
      <c r="C288" s="19" t="inlineStr">
        <is>
          <t>Platte Kill</t>
        </is>
      </c>
      <c r="D288" s="19" t="inlineStr">
        <is>
          <t>?</t>
        </is>
      </c>
      <c r="E288" s="19" t="n">
        <v>42.2</v>
      </c>
      <c r="F288" s="19" t="inlineStr">
        <is>
          <t>maximum annual gage height of 5.16 feet, affected by backwater from ice, reported at USGS gage Platte Kill at Dunraven, on February 19, 1961. -- Keywords: Platte Kill at Dunraven, NY on Feb 19, 1961 [3794]</t>
        </is>
      </c>
    </row>
    <row r="289" ht="34.5" customHeight="1" s="13">
      <c r="A289" s="19" t="inlineStr">
        <is>
          <t>1961-02-19</t>
        </is>
      </c>
      <c r="B289" s="19" t="inlineStr">
        <is>
          <t>Petersburg</t>
        </is>
      </c>
      <c r="C289" s="19" t="inlineStr">
        <is>
          <t>Little Hoosic River</t>
        </is>
      </c>
      <c r="D289" s="19" t="inlineStr">
        <is>
          <t>?</t>
        </is>
      </c>
      <c r="E289" s="19" t="n">
        <v>40</v>
      </c>
      <c r="F289" s="19" t="inlineStr">
        <is>
          <t>maximum annual gage height of 6.38 feet, affected by backwater from ice, reported at USGS gage Little Hoosic River at Petersburg, on February 19, 1961. -- Keywords: Little Hoosic River at Petersburg, NY on Feb 19, 1961 [3651]</t>
        </is>
      </c>
    </row>
    <row r="290" ht="34.5" customHeight="1" s="13">
      <c r="A290" s="19" t="inlineStr">
        <is>
          <t>1960-03-31</t>
        </is>
      </c>
      <c r="B290" s="19" t="inlineStr">
        <is>
          <t>Arena</t>
        </is>
      </c>
      <c r="C290" s="19" t="inlineStr">
        <is>
          <t>Mill Brook</t>
        </is>
      </c>
      <c r="D290" s="19" t="inlineStr">
        <is>
          <t>?</t>
        </is>
      </c>
      <c r="E290" s="19" t="n">
        <v>44.9</v>
      </c>
      <c r="F290" s="19" t="inlineStr">
        <is>
          <t>gage height of 6.79 feet, affected by backwater from ice, reported at USGS gage Mill Brook at Arena, on March 31, 1960. Discharge 1,300 cfs. -- Keywords: Mill Brook at Arena, NY on Mar 31, 1960 [3800]</t>
        </is>
      </c>
    </row>
    <row r="291" ht="45.75" customHeight="1" s="13">
      <c r="A291" s="19" t="inlineStr">
        <is>
          <t>1960-02-11</t>
        </is>
      </c>
      <c r="B291" s="19" t="inlineStr">
        <is>
          <t>Prattsville</t>
        </is>
      </c>
      <c r="C291" s="19" t="inlineStr">
        <is>
          <t>Schoharie Creek</t>
        </is>
      </c>
      <c r="D291" s="19" t="inlineStr">
        <is>
          <t>?</t>
        </is>
      </c>
      <c r="E291" s="19" t="n">
        <v>24.5</v>
      </c>
      <c r="F291" s="19" t="inlineStr">
        <is>
          <t>gage height of 11.75 feet, affected by backwater from ice, reported at USGS gage Schoharie Creek at Prattsville, on February 11, 1960. Discharge 12,800 cfs. NWSFO/NERFC flood stage 10 ft -- Keywords: Schoharie Creek at Prattsville, NY on Feb 11, 1960 [3691]</t>
        </is>
      </c>
    </row>
    <row r="292" ht="34.5" customHeight="1" s="13">
      <c r="A292" s="19" t="inlineStr">
        <is>
          <t>1960-02-11</t>
        </is>
      </c>
      <c r="B292" s="19" t="inlineStr">
        <is>
          <t>Fort Plain</t>
        </is>
      </c>
      <c r="C292" s="19" t="inlineStr">
        <is>
          <t>Otsquago Creek</t>
        </is>
      </c>
      <c r="D292" s="19" t="inlineStr">
        <is>
          <t>?</t>
        </is>
      </c>
      <c r="E292" s="19" t="n">
        <v>41.1</v>
      </c>
      <c r="F292" s="19" t="inlineStr">
        <is>
          <t>discharge of 3,080 cfs due to release from upstream ice jam, reported at USGS gage Otsquago Creek at Fort Plain, on February 11, 1960. Gage height of 5.57 feet. -- Keywords: Otsquago Creek at Fort Plain, NY on Feb 11, 1960 [3679]</t>
        </is>
      </c>
    </row>
    <row r="293" ht="45.75" customHeight="1" s="13">
      <c r="A293" s="19" t="inlineStr">
        <is>
          <t>1960-01-03</t>
        </is>
      </c>
      <c r="B293" s="19" t="inlineStr">
        <is>
          <t>Burtonsville</t>
        </is>
      </c>
      <c r="C293" s="19" t="inlineStr">
        <is>
          <t>Schoharie Creek</t>
        </is>
      </c>
      <c r="D293" s="19" t="inlineStr">
        <is>
          <t>?</t>
        </is>
      </c>
      <c r="E293" s="19" t="n">
        <v>22.5</v>
      </c>
      <c r="F293" s="19" t="inlineStr">
        <is>
          <t>gage height of 5.58 feet, affected by backwater from ice, reported at USGS gage Schoharie Creek at Burtonsville, on January 3, 1960. Discharge 17,400 cfs. NWSFO/NERFC flood stage 6 ft -- Keywords: Schoharie Creek at Burtonsville, NY on Jan 03, 1960 [3700]</t>
        </is>
      </c>
    </row>
    <row r="294" ht="45.75" customHeight="1" s="13">
      <c r="A294" s="19" t="inlineStr">
        <is>
          <t>1959-04-03</t>
        </is>
      </c>
      <c r="B294" s="19" t="inlineStr">
        <is>
          <t>Griffin</t>
        </is>
      </c>
      <c r="C294" s="19" t="inlineStr">
        <is>
          <t>East Branch Sacandaga River</t>
        </is>
      </c>
      <c r="D294" s="19" t="inlineStr">
        <is>
          <t>?</t>
        </is>
      </c>
      <c r="E294" s="19" t="n">
        <v>66.7</v>
      </c>
      <c r="F294" s="19" t="inlineStr">
        <is>
          <t>maximum annual gage height of 7.46 feet, affected by backwater from ice, reported at USGS gage East Branch Sacandaga River at Griffin, on April 3, 1959. Discharge 2,290 cfs. -- Keywords: East Branch Sacandaga River at Griffin, NY on Apr 03, 1959 [3596]</t>
        </is>
      </c>
    </row>
    <row r="295" ht="34.5" customHeight="1" s="13">
      <c r="A295" s="19" t="inlineStr">
        <is>
          <t>1959-03-20</t>
        </is>
      </c>
      <c r="B295" s="19" t="inlineStr">
        <is>
          <t>Dunham Basin</t>
        </is>
      </c>
      <c r="C295" s="19" t="inlineStr">
        <is>
          <t>Bond Creek</t>
        </is>
      </c>
      <c r="D295" s="19" t="inlineStr">
        <is>
          <t>?</t>
        </is>
      </c>
      <c r="E295" s="19" t="n">
        <v>60.3</v>
      </c>
      <c r="F295" s="19" t="inlineStr">
        <is>
          <t>maximum annual gage height of 7.81 feet, affected by backwater from ice, reported at USGS gage Bond Creek at Dunham Basin, on March 20, 1959. -- Keywords: Bond Creek at Dunham Basin, NY on Mar 20, 1959 [3617]</t>
        </is>
      </c>
    </row>
    <row r="296" ht="34.5" customHeight="1" s="13">
      <c r="A296" s="19" t="inlineStr">
        <is>
          <t>1959-03-06</t>
        </is>
      </c>
      <c r="B296" s="19" t="inlineStr">
        <is>
          <t>Ellenville</t>
        </is>
      </c>
      <c r="C296" s="19" t="inlineStr">
        <is>
          <t>Sandburg Creek</t>
        </is>
      </c>
      <c r="D296" s="19" t="inlineStr">
        <is>
          <t>?</t>
        </is>
      </c>
      <c r="E296" s="19" t="n">
        <v>58.2</v>
      </c>
      <c r="F296" s="19" t="inlineStr">
        <is>
          <t>maximum annual gage height of 5.75 feet, affected by backwater from ice, reported at USGS gage Sandburg Creek at Ellenville, on March 6, 1959. Discharge 3,120 cfs. -- Keywords: Sandburg Creek at Ellenville, NY on Mar 06, 1959 [3719]</t>
        </is>
      </c>
    </row>
    <row r="297" ht="34.5" customHeight="1" s="13">
      <c r="A297" s="19" t="inlineStr">
        <is>
          <t>1959-03-01</t>
        </is>
      </c>
      <c r="B297" s="19" t="inlineStr">
        <is>
          <t>Troy</t>
        </is>
      </c>
      <c r="C297" s="19" t="inlineStr">
        <is>
          <t>Poesten Kill</t>
        </is>
      </c>
      <c r="D297" s="19" t="inlineStr">
        <is>
          <t>?</t>
        </is>
      </c>
      <c r="E297" s="19" t="n">
        <v>25.2</v>
      </c>
      <c r="F297" s="19" t="inlineStr">
        <is>
          <t>maximum annual gage height of 5.32 feet, affected by backwater from ice, reported at USGS gage Poesten Kill near Troy, on March 1, 1959. -- Keywords: Poesten Kill at Troy, NY on Mar 01, 1959 [3713]</t>
        </is>
      </c>
    </row>
    <row r="298" ht="34.5" customHeight="1" s="13">
      <c r="A298" s="19" t="inlineStr">
        <is>
          <t>1959-02-10</t>
        </is>
      </c>
      <c r="B298" s="19" t="inlineStr">
        <is>
          <t>Arena</t>
        </is>
      </c>
      <c r="C298" s="19" t="inlineStr">
        <is>
          <t>Mill Brook</t>
        </is>
      </c>
      <c r="D298" s="19" t="inlineStr">
        <is>
          <t>?</t>
        </is>
      </c>
      <c r="E298" s="19" t="n">
        <v>44.9</v>
      </c>
      <c r="F298" s="19" t="inlineStr">
        <is>
          <t>maximum annual gage height of 7.88 feet, affected by backwater from ice, reported at USGS gage Mill Brook at Arena, on February 10, 1959. -- Keywords: Mill Brook at Arena, NY on Feb 10, 1959 [3799]</t>
        </is>
      </c>
    </row>
    <row r="299" ht="45.75" customHeight="1" s="13">
      <c r="A299" s="19" t="inlineStr">
        <is>
          <t>1959-02-10</t>
        </is>
      </c>
      <c r="B299" s="19" t="inlineStr">
        <is>
          <t>Gardiner</t>
        </is>
      </c>
      <c r="C299" s="19" t="inlineStr">
        <is>
          <t>Wallkill River</t>
        </is>
      </c>
      <c r="D299" s="19" t="inlineStr">
        <is>
          <t>?</t>
        </is>
      </c>
      <c r="E299" s="19" t="n">
        <v>57.4</v>
      </c>
      <c r="F299" s="19" t="inlineStr">
        <is>
          <t>maximum annual gage height of 12.90 feet, affected by backwater from ice, reported at USGS gage Wallkill River at Gardiner, on February 10, 1959. Additional ice-affected gage height of 11.44 feet, reported on January 22, 1959. NWSFO/NERFC flood stage 15 ft  -- Keywords: Wallkill River at Gardiner, NY on Feb 10, 1959 [4478]</t>
        </is>
      </c>
    </row>
    <row r="300" ht="34.5" customHeight="1" s="13">
      <c r="A300" s="19" t="inlineStr">
        <is>
          <t>1959-01-22</t>
        </is>
      </c>
      <c r="B300" s="19" t="inlineStr">
        <is>
          <t>Livingston Manor</t>
        </is>
      </c>
      <c r="C300" s="19" t="inlineStr">
        <is>
          <t>Willowemoc Creek</t>
        </is>
      </c>
      <c r="D300" s="19" t="inlineStr">
        <is>
          <t>?</t>
        </is>
      </c>
      <c r="E300" s="19" t="n">
        <v>57.8</v>
      </c>
      <c r="F300" s="19" t="inlineStr">
        <is>
          <t>maximum annual gage height of 7.34 feet, affected by backwater from ice, reported at USGS gage WIllowemoc Creek near Livingston, on January 22, 1959. -- Keywords: Willowemoc Creek at Livingston Manor, NY on Jan 22, 1959 [3821]</t>
        </is>
      </c>
    </row>
    <row r="301" ht="34.5" customHeight="1" s="13">
      <c r="A301" s="19" t="inlineStr">
        <is>
          <t>1959-01-22</t>
        </is>
      </c>
      <c r="B301" s="19" t="inlineStr">
        <is>
          <t>Unadilla</t>
        </is>
      </c>
      <c r="C301" s="19" t="inlineStr">
        <is>
          <t>Susquehanna River</t>
        </is>
      </c>
      <c r="D301" s="19" t="inlineStr">
        <is>
          <t>?</t>
        </is>
      </c>
      <c r="E301" s="19" t="n">
        <v>66.90000000000001</v>
      </c>
      <c r="F301" s="19" t="inlineStr">
        <is>
          <t>maximum annual gage height of 13.42 feet, affected by backwater from ice, reported at USGS gage Susquehanna River at Unadilla, on January 22, 1959. Discharge 17,000 cfs. -- Keywords: Susquehanna River at Unadilla, NY on Jan 22, 1959 [3941]</t>
        </is>
      </c>
    </row>
    <row r="302" ht="34.5" customHeight="1" s="13">
      <c r="A302" s="19" t="inlineStr">
        <is>
          <t>1959-01-22</t>
        </is>
      </c>
      <c r="B302" s="19" t="inlineStr">
        <is>
          <t>Pine Bush</t>
        </is>
      </c>
      <c r="C302" s="19" t="inlineStr">
        <is>
          <t>Shawangunk Kill</t>
        </is>
      </c>
      <c r="D302" s="19" t="inlineStr">
        <is>
          <t>?</t>
        </is>
      </c>
      <c r="E302" s="19" t="n">
        <v>63.4</v>
      </c>
      <c r="F302" s="19" t="inlineStr">
        <is>
          <t>gage height of 7.53 feet, affected by backwater from ice, reported at USGS gage Shawangunk Kill at Pine Bush, on January 22, 1959. Discharge 2,100 cfs. -- Keywords: Shawangunk Kill at Pine Bush, NY on Jan 22, 1959 [3744]</t>
        </is>
      </c>
    </row>
    <row r="303" ht="34.5" customHeight="1" s="13">
      <c r="A303" s="19" t="inlineStr">
        <is>
          <t>1959-01-22</t>
        </is>
      </c>
      <c r="B303" s="19" t="inlineStr">
        <is>
          <t>Hope</t>
        </is>
      </c>
      <c r="C303" s="19" t="inlineStr">
        <is>
          <t>Sacandaga River</t>
        </is>
      </c>
      <c r="D303" s="19" t="inlineStr">
        <is>
          <t>?</t>
        </is>
      </c>
      <c r="E303" s="19" t="n">
        <v>58.9</v>
      </c>
      <c r="F303" s="19" t="inlineStr">
        <is>
          <t>maximum annual gage height of 8.18 feet, affected by backwater from ice, reported at USGS gage Sacandaga River near Hope, on January 22, 1959. -- Keywords: Sacandaga River at Hope, NY on Jan 22, 1959 [3608]</t>
        </is>
      </c>
    </row>
    <row r="304" ht="45.75" customHeight="1" s="13">
      <c r="A304" s="19" t="inlineStr">
        <is>
          <t>1959-01-22</t>
        </is>
      </c>
      <c r="B304" s="19" t="inlineStr">
        <is>
          <t>Rosendale</t>
        </is>
      </c>
      <c r="C304" s="19" t="inlineStr">
        <is>
          <t>Rondout Creek</t>
        </is>
      </c>
      <c r="D304" s="19" t="inlineStr">
        <is>
          <t>?</t>
        </is>
      </c>
      <c r="E304" s="19" t="n">
        <v>46.6</v>
      </c>
      <c r="F304" s="19" t="inlineStr">
        <is>
          <t>maximum annual gage height of 13.22 feet, affected by backwater from ice, reported at USGS gage Rondout Creek at Rosendale, on January 22, 1959. Discharge 9,100 cfs. NWSFO/NERFC flood stage 18 ft -- Keywords: Rondout Creek at Rosendale, NY on Jan 22, 1959 [3727]</t>
        </is>
      </c>
    </row>
    <row r="305" ht="34.5" customHeight="1" s="13">
      <c r="A305" s="19" t="inlineStr">
        <is>
          <t>1959-01-22</t>
        </is>
      </c>
      <c r="B305" s="19" t="inlineStr">
        <is>
          <t>Oneonta</t>
        </is>
      </c>
      <c r="C305" s="19" t="inlineStr">
        <is>
          <t>Otego Creek</t>
        </is>
      </c>
      <c r="D305" s="19" t="inlineStr">
        <is>
          <t>?</t>
        </is>
      </c>
      <c r="E305" s="19" t="n">
        <v>55.3</v>
      </c>
      <c r="F305" s="19" t="inlineStr">
        <is>
          <t>maximum annual gage height of 14.46 feet, affected by backwater from ice, reported at USGS gage Otego Creek near Oneonta, on January 22, 1959. Discharge 4,200 cfs.  -- Keywords: Otego Creek at Oneonta, NY on Jan 22, 1959 [2280]</t>
        </is>
      </c>
    </row>
    <row r="306" ht="34.5" customHeight="1" s="13">
      <c r="A306" s="19" t="inlineStr">
        <is>
          <t>1959-01-22</t>
        </is>
      </c>
      <c r="B306" s="19" t="inlineStr">
        <is>
          <t>Salt Point</t>
        </is>
      </c>
      <c r="C306" s="19" t="inlineStr">
        <is>
          <t>Little Wappinger Creek</t>
        </is>
      </c>
      <c r="D306" s="19" t="inlineStr">
        <is>
          <t>?</t>
        </is>
      </c>
      <c r="E306" s="19" t="n">
        <v>51.4</v>
      </c>
      <c r="F306" s="19" t="inlineStr">
        <is>
          <t>maximum annual gage height of 6.00 feet, affected by backwater from ice, reported at USGS gage Little Wappinger Creek at Salt Point, on January 22, 1959.  -- Keywords: Little Wappinger Creek at Salt Point, NY on Jan 22, 1959 [4455]</t>
        </is>
      </c>
    </row>
    <row r="307" ht="34.5" customHeight="1" s="13">
      <c r="A307" s="19" t="inlineStr">
        <is>
          <t>1959-01-22</t>
        </is>
      </c>
      <c r="B307" s="19" t="inlineStr">
        <is>
          <t>Craigie Clair</t>
        </is>
      </c>
      <c r="C307" s="19" t="inlineStr">
        <is>
          <t>Beaver Kill</t>
        </is>
      </c>
      <c r="D307" s="19" t="inlineStr">
        <is>
          <t>?</t>
        </is>
      </c>
      <c r="E307" s="19" t="n">
        <v>57.1</v>
      </c>
      <c r="F307" s="19" t="inlineStr">
        <is>
          <t>maximum annual gage height of 10.02 feet, affected by backwater from ice, reported at USGS gage Beaver Kill near Craigie Clair, on January 22, 1959. -- Keywords: Beaver Kill at Craigie Clair, NY on Jan 22, 1959 [3818]</t>
        </is>
      </c>
    </row>
    <row r="308" ht="34.5" customHeight="1" s="13">
      <c r="A308" s="19" t="inlineStr">
        <is>
          <t>1959-01-22</t>
        </is>
      </c>
      <c r="B308" s="19" t="inlineStr">
        <is>
          <t>Turnwood</t>
        </is>
      </c>
      <c r="C308" s="19" t="inlineStr">
        <is>
          <t>Beaver Kill</t>
        </is>
      </c>
      <c r="D308" s="19" t="inlineStr">
        <is>
          <t>?</t>
        </is>
      </c>
      <c r="E308" s="19" t="n">
        <v>48.2</v>
      </c>
      <c r="F308" s="19" t="inlineStr">
        <is>
          <t>maximum annual gage height of 6.97 feet, affected by backwater from ice, reported at USGS gage Beaver Kill near Turnwood, on January 22, 1959. -- Keywords: Beaver Kill at Turnwood, NY on Jan 22, 1959 [3815]</t>
        </is>
      </c>
    </row>
    <row r="309" ht="45.75" customHeight="1" s="13">
      <c r="A309" s="19" t="inlineStr">
        <is>
          <t>1959-01-22</t>
        </is>
      </c>
      <c r="B309" s="19" t="inlineStr">
        <is>
          <t>Battenville</t>
        </is>
      </c>
      <c r="C309" s="19" t="inlineStr">
        <is>
          <t>Batten Kill</t>
        </is>
      </c>
      <c r="D309" s="19" t="inlineStr">
        <is>
          <t>?</t>
        </is>
      </c>
      <c r="E309" s="19" t="n">
        <v>51</v>
      </c>
      <c r="F309" s="19" t="inlineStr">
        <is>
          <t>maximum annual gage height of 15.60 feet, affected by backwater from ice, reported at USGS gage Batten Kill at Battenville, on January 22, 1959. Discharge 8,640 cfs. NWSFO/NERFC flood stage 11 ft -- Keywords: Batten Kill at Battenville, NY on Jan 22, 1959 [3631]</t>
        </is>
      </c>
    </row>
    <row r="310" ht="34.5" customHeight="1" s="13">
      <c r="A310" s="19" t="inlineStr">
        <is>
          <t>1959-01-21</t>
        </is>
      </c>
      <c r="B310" s="19" t="inlineStr">
        <is>
          <t>East Sidney</t>
        </is>
      </c>
      <c r="C310" s="19" t="inlineStr">
        <is>
          <t>Ouleout Creek</t>
        </is>
      </c>
      <c r="D310" s="19" t="inlineStr">
        <is>
          <t>?</t>
        </is>
      </c>
      <c r="E310" s="19" t="n">
        <v>62.5</v>
      </c>
      <c r="F310" s="19" t="inlineStr">
        <is>
          <t>maximum annual gage height of 4.12 feet, affected by backwater from ice, reported at USGS gage Ouleout Creek at East Sidney, on January 21, 1959. -- Keywords: Ouleout Creek at East Sidney, NY on Jan 21, 1959 [3939]</t>
        </is>
      </c>
    </row>
    <row r="311" ht="34.5" customHeight="1" s="13">
      <c r="A311" s="19" t="inlineStr">
        <is>
          <t>1959-01-21</t>
        </is>
      </c>
      <c r="B311" s="19" t="inlineStr">
        <is>
          <t>Livingston Manor</t>
        </is>
      </c>
      <c r="C311" s="19" t="inlineStr">
        <is>
          <t>Little Beaver Kill</t>
        </is>
      </c>
      <c r="D311" s="19" t="inlineStr">
        <is>
          <t>?</t>
        </is>
      </c>
      <c r="E311" s="19" t="n">
        <v>58.8</v>
      </c>
      <c r="F311" s="19" t="inlineStr">
        <is>
          <t>maximum annual gage height of 5.15 feet, affected by backwater from ice, reported at USGS gage Little Beaver Kill near Livingston, on January 21, 1959. -- Keywords: Little Beaver Kill at Livingston Manor, NY on Jan 21, 1959 [3823]</t>
        </is>
      </c>
    </row>
    <row r="312" ht="34.5" customHeight="1" s="13">
      <c r="A312" s="19" t="inlineStr">
        <is>
          <t>1959-01-21</t>
        </is>
      </c>
      <c r="B312" s="19" t="inlineStr">
        <is>
          <t>Rossman</t>
        </is>
      </c>
      <c r="C312" s="19" t="inlineStr">
        <is>
          <t>Kinderhook Creek</t>
        </is>
      </c>
      <c r="D312" s="19" t="inlineStr">
        <is>
          <t>?</t>
        </is>
      </c>
      <c r="E312" s="19" t="n">
        <v>20</v>
      </c>
      <c r="F312" s="19" t="inlineStr">
        <is>
          <t>maximum annual gage height of 7.00 feet, affected by backwater from ice, reported at USGS gage Kinderhook Creek at Rossman, on January 21, 1959. -- Keywords: Kinderhook Creek at Rossman, NY on Jan 21, 1959 [3715]</t>
        </is>
      </c>
    </row>
    <row r="313" ht="45.75" customHeight="1" s="13">
      <c r="A313" s="19" t="inlineStr">
        <is>
          <t>1959-01-21</t>
        </is>
      </c>
      <c r="B313" s="19" t="inlineStr">
        <is>
          <t>Eagle Bridge</t>
        </is>
      </c>
      <c r="C313" s="19" t="inlineStr">
        <is>
          <t>Hoosic River</t>
        </is>
      </c>
      <c r="D313" s="19" t="inlineStr">
        <is>
          <t>?</t>
        </is>
      </c>
      <c r="E313" s="19" t="n">
        <v>44.9</v>
      </c>
      <c r="F313" s="19" t="inlineStr">
        <is>
          <t>maximum annual gage height of 13.90 feet, affected by backwater from ice, reported at USGS gage Hoosic River near Eagle Bridge, on January 21, 1959. NWSFO/NERFC flood stage 11 ft -- Keywords: Hoosic River at Eagle Bridge, NY on Jan 21, 1959 [3657]</t>
        </is>
      </c>
    </row>
    <row r="314" ht="34.5" customHeight="1" s="13">
      <c r="A314" s="19" t="inlineStr">
        <is>
          <t>1958-02-01</t>
        </is>
      </c>
      <c r="B314" s="19" t="inlineStr">
        <is>
          <t>Kast Bridge</t>
        </is>
      </c>
      <c r="C314" s="19" t="inlineStr">
        <is>
          <t>West Canada Creek</t>
        </is>
      </c>
      <c r="D314" s="19" t="inlineStr">
        <is>
          <t>?</t>
        </is>
      </c>
      <c r="E314" s="19" t="n">
        <v>61.6</v>
      </c>
      <c r="F314" s="19" t="inlineStr">
        <is>
          <t>maximum annual gage height of 6.99 feet, affected by backwater from ice, reported at USGS gage West Canada Creek at Kast Bridge, in February 1958. -- Keywords: West Canada Creek at Kast Bridge, NY on Feb ?, 1958 [3667]</t>
        </is>
      </c>
    </row>
    <row r="315" ht="34.5" customHeight="1" s="13">
      <c r="A315" s="19" t="inlineStr">
        <is>
          <t>1958-01-28</t>
        </is>
      </c>
      <c r="B315" s="19" t="inlineStr">
        <is>
          <t>West Milton</t>
        </is>
      </c>
      <c r="C315" s="19" t="inlineStr">
        <is>
          <t>Kayaderosseras Creek</t>
        </is>
      </c>
      <c r="D315" s="19" t="inlineStr">
        <is>
          <t>?</t>
        </is>
      </c>
      <c r="E315" s="19" t="n">
        <v>36.6</v>
      </c>
      <c r="F315" s="19" t="inlineStr">
        <is>
          <t>maximum annual gage height of 4.69 feet, affected by backwater from ice, reported at USGS gage Kayaderosseras Creek near West Milton, on January 28, 1958. -- Keywords: Kayaderosseras Creek at West Milton, NY on Jan 28, 1958 [3641]</t>
        </is>
      </c>
    </row>
    <row r="316" ht="57" customHeight="1" s="13">
      <c r="A316" s="19" t="inlineStr">
        <is>
          <t>1958-01-26</t>
        </is>
      </c>
      <c r="B316" s="19" t="inlineStr">
        <is>
          <t>Gardiner</t>
        </is>
      </c>
      <c r="C316" s="19" t="inlineStr">
        <is>
          <t>Wallkill River</t>
        </is>
      </c>
      <c r="D316" s="19" t="inlineStr">
        <is>
          <t>?</t>
        </is>
      </c>
      <c r="E316" s="19" t="n">
        <v>57.4</v>
      </c>
      <c r="F316" s="19" t="inlineStr">
        <is>
          <t>maximum annual gage height of 12.67 feet, affected by backwater from ice, reported at USGS gage Wallkill River at Gardiner, on January 26, 1958. Additional ice-affected gage height of 9.75 feet, reported on January 27, 1958. Discharge 7,000 cfs. NWSFO/NERFC flood stage 15 ft  -- Keywords: Wallkill River at Gardiner, NY on Jan 26, 1958 [4477]</t>
        </is>
      </c>
    </row>
    <row r="317" ht="34.5" customHeight="1" s="13">
      <c r="A317" s="19" t="inlineStr">
        <is>
          <t>1957-12-21</t>
        </is>
      </c>
      <c r="B317" s="19" t="inlineStr">
        <is>
          <t>Ellenville</t>
        </is>
      </c>
      <c r="C317" s="19" t="inlineStr">
        <is>
          <t>Sandburg Creek</t>
        </is>
      </c>
      <c r="D317" s="19" t="inlineStr">
        <is>
          <t>?</t>
        </is>
      </c>
      <c r="E317" s="19" t="n">
        <v>58.2</v>
      </c>
      <c r="F317" s="19" t="inlineStr">
        <is>
          <t>maximum annual gage height of 6.1 feet, affected by backwater from ice, reported at USGS gage Sandburg Creek at Ellenville, on December 21, 1957. Discharge 3,570 cfs. -- Keywords: Sandburg Creek at Ellenville, NY on Dec 21, 1957 [3718]</t>
        </is>
      </c>
    </row>
    <row r="318" ht="34.5" customHeight="1" s="13">
      <c r="A318" s="19" t="inlineStr">
        <is>
          <t>1957-02-26</t>
        </is>
      </c>
      <c r="B318" s="19" t="inlineStr">
        <is>
          <t>Fort Plain</t>
        </is>
      </c>
      <c r="C318" s="19" t="inlineStr">
        <is>
          <t>Otsquago Creek</t>
        </is>
      </c>
      <c r="D318" s="19" t="inlineStr">
        <is>
          <t>?</t>
        </is>
      </c>
      <c r="E318" s="19" t="n">
        <v>41.1</v>
      </c>
      <c r="F318" s="19" t="inlineStr">
        <is>
          <t>maximum annual gage height of 5.90 feet, affected by backwater from ice, reported at USGS gage Otsquago Creek at Fort Plain, on February 26, 1957. -- Keywords: Otsquago Creek at Fort Plain, NY on Feb 26, 1957 [3678]</t>
        </is>
      </c>
    </row>
    <row r="319" ht="34.5" customHeight="1" s="13">
      <c r="A319" s="19" t="inlineStr">
        <is>
          <t>1957-01-23</t>
        </is>
      </c>
      <c r="B319" s="19" t="inlineStr">
        <is>
          <t>Livingston Manor</t>
        </is>
      </c>
      <c r="C319" s="19" t="inlineStr">
        <is>
          <t>Willowemoc Creek</t>
        </is>
      </c>
      <c r="D319" s="19" t="inlineStr">
        <is>
          <t>?</t>
        </is>
      </c>
      <c r="E319" s="19" t="n">
        <v>57.8</v>
      </c>
      <c r="F319" s="19" t="inlineStr">
        <is>
          <t>maximum annual gage height of 4.75 feet, affected by backwater from ice, reported at USGS gage Willowemoc Creek near Livingston Manor, on January 23, 1957. -- Keywords: Willowemoc Creek at Livingston Manor, NY on Jan 23, 1957 [3820]</t>
        </is>
      </c>
    </row>
    <row r="320" ht="34.5" customHeight="1" s="13">
      <c r="A320" s="19" t="inlineStr">
        <is>
          <t>1957-01-23</t>
        </is>
      </c>
      <c r="B320" s="19" t="inlineStr">
        <is>
          <t>Gardiner</t>
        </is>
      </c>
      <c r="C320" s="19" t="inlineStr">
        <is>
          <t>Wallkill River</t>
        </is>
      </c>
      <c r="D320" s="19" t="inlineStr">
        <is>
          <t>?</t>
        </is>
      </c>
      <c r="E320" s="19" t="n">
        <v>57.4</v>
      </c>
      <c r="F320" s="19" t="inlineStr">
        <is>
          <t>maximum annual gage height of 10.46 feet, affected by backwater from ice, reported at USGS gage Wallkill River at Gardiner, on January 23, 1957. NWSFO/NERFC flood stage 15 ft  -- Keywords: Wallkill River at Gardiner, NY on Jan 23, 1957 [4476]</t>
        </is>
      </c>
    </row>
    <row r="321" ht="34.5" customHeight="1" s="13">
      <c r="A321" s="19" t="inlineStr">
        <is>
          <t>1957-01-23</t>
        </is>
      </c>
      <c r="B321" s="19" t="inlineStr">
        <is>
          <t>Rockdale</t>
        </is>
      </c>
      <c r="C321" s="19" t="inlineStr">
        <is>
          <t>Unadilla River</t>
        </is>
      </c>
      <c r="D321" s="19" t="inlineStr">
        <is>
          <t>?</t>
        </is>
      </c>
      <c r="E321" s="19" t="n">
        <v>70.3</v>
      </c>
      <c r="F321" s="19" t="inlineStr">
        <is>
          <t>maximum annual gage height of 8.39 feet, affected by backwater from ice, reported at USGS gage Unadilla River at Rockdale, on January 23, 1957. Discharge "estimated" 6,000 cfs. -- Keywords: Unadilla River at Rockdale, NY on Jan 23, 1957 [3944]</t>
        </is>
      </c>
    </row>
    <row r="322" ht="45.75" customHeight="1" s="13">
      <c r="A322" s="19" t="inlineStr">
        <is>
          <t>1957-01-23</t>
        </is>
      </c>
      <c r="B322" s="19" t="inlineStr">
        <is>
          <t>Burtonsville</t>
        </is>
      </c>
      <c r="C322" s="19" t="inlineStr">
        <is>
          <t>Schoharie Creek</t>
        </is>
      </c>
      <c r="D322" s="19" t="inlineStr">
        <is>
          <t>?</t>
        </is>
      </c>
      <c r="E322" s="19" t="n">
        <v>22.5</v>
      </c>
      <c r="F322" s="19" t="inlineStr">
        <is>
          <t>maximum annual gage height of 4.69 feet, affected by backwater from ice, reported at USGS gage Schoharie Creek at Burtonsville, on January 23, 1957. Discharge 11,600 cfs. NWSFO/NERFC flood stage 6 ft -- Keywords: Schoharie Creek at Burtonsville, NY on Jan 23, 1957 [3699]</t>
        </is>
      </c>
    </row>
    <row r="323" ht="45.75" customHeight="1" s="13">
      <c r="A323" s="19" t="inlineStr">
        <is>
          <t>1957-01-23</t>
        </is>
      </c>
      <c r="B323" s="19" t="inlineStr">
        <is>
          <t>Prattsville</t>
        </is>
      </c>
      <c r="C323" s="19" t="inlineStr">
        <is>
          <t>Schoharie Creek</t>
        </is>
      </c>
      <c r="D323" s="19" t="inlineStr">
        <is>
          <t>?</t>
        </is>
      </c>
      <c r="E323" s="19" t="n">
        <v>24.5</v>
      </c>
      <c r="F323" s="19" t="inlineStr">
        <is>
          <t>maximum annual gage height of 8.52 feet, affected by backwater from ice, reported at USGS gage Schoharie Creek at Prattsville, on January 23, 1957. NWSFO/NERFC flood stage 10 ft -- Keywords: Schoharie Creek at Prattsville, NY on Jan 23, 1957 [3690]</t>
        </is>
      </c>
    </row>
    <row r="324" ht="34.5" customHeight="1" s="13">
      <c r="A324" s="19" t="inlineStr">
        <is>
          <t>1957-01-23</t>
        </is>
      </c>
      <c r="B324" s="19" t="inlineStr">
        <is>
          <t>Hope</t>
        </is>
      </c>
      <c r="C324" s="19" t="inlineStr">
        <is>
          <t>Sacandaga River</t>
        </is>
      </c>
      <c r="D324" s="19" t="inlineStr">
        <is>
          <t>?</t>
        </is>
      </c>
      <c r="E324" s="19" t="n">
        <v>58.9</v>
      </c>
      <c r="F324" s="19" t="inlineStr">
        <is>
          <t>maximum annual gage height of 8.15 feet, affected by backwater from ice, reported at USGS gage Sacandaga River near Hope, on January 23, 1957. -- Keywords: Sacandaga River at Hope, NY on Jan 23, 1957 [3607]</t>
        </is>
      </c>
    </row>
    <row r="325" ht="34.5" customHeight="1" s="13">
      <c r="A325" s="19" t="inlineStr">
        <is>
          <t>1957-01-23</t>
        </is>
      </c>
      <c r="B325" s="19" t="inlineStr">
        <is>
          <t>Index</t>
        </is>
      </c>
      <c r="C325" s="19" t="inlineStr">
        <is>
          <t>Oaks Creek</t>
        </is>
      </c>
      <c r="D325" s="19" t="inlineStr">
        <is>
          <t>?</t>
        </is>
      </c>
      <c r="E325" s="19" t="n">
        <v>47.8</v>
      </c>
      <c r="F325" s="19" t="inlineStr">
        <is>
          <t>maximum annual gage height of 5.06 feet, affected by backwater from ice, reported at USGS gage Oaks Creek at Index, on January 23, 1957. Discharge 800 cfs. -- Keywords: Oaks Creek at Index, NY on Jan 23, 1957 [3938]</t>
        </is>
      </c>
    </row>
    <row r="326" ht="34.5" customHeight="1" s="13">
      <c r="A326" s="19" t="inlineStr">
        <is>
          <t>1957-01-23</t>
        </is>
      </c>
      <c r="B326" s="19" t="inlineStr">
        <is>
          <t>Little Falls</t>
        </is>
      </c>
      <c r="C326" s="19" t="inlineStr">
        <is>
          <t>Mohawk River</t>
        </is>
      </c>
      <c r="D326" s="19" t="inlineStr">
        <is>
          <t>?</t>
        </is>
      </c>
      <c r="E326" s="19" t="n">
        <v>50.6</v>
      </c>
      <c r="F326" s="19" t="inlineStr">
        <is>
          <t>maximum annual gage height of 15.34 feet, affected by backwater from ice, reported at USGS gage Mohawk River near Little Falls, on January 23, 1957. NWSFO/NERFC flood stage 15 ft -- Keywords: Mohawk River at Little Falls, NY on Jan 23, 1957 [3669]</t>
        </is>
      </c>
    </row>
    <row r="327" ht="34.5" customHeight="1" s="13">
      <c r="A327" s="19" t="inlineStr">
        <is>
          <t>1957-01-23</t>
        </is>
      </c>
      <c r="B327" s="19" t="inlineStr">
        <is>
          <t>West Milton</t>
        </is>
      </c>
      <c r="C327" s="19" t="inlineStr">
        <is>
          <t>Kayaderosseras Creek</t>
        </is>
      </c>
      <c r="D327" s="19" t="inlineStr">
        <is>
          <t>?</t>
        </is>
      </c>
      <c r="E327" s="19" t="n">
        <v>36.6</v>
      </c>
      <c r="F327" s="19" t="inlineStr">
        <is>
          <t>maximum annual gage height of 5.46 feet, affected by backwater from ice, reported at USGS gage Kayaderosseras Creek near West Milton, on January 23, 1957. -- Keywords: Kayaderosseras Creek at West Milton, NY on Jan 23, 1957 [3640]</t>
        </is>
      </c>
    </row>
    <row r="328" ht="45.75" customHeight="1" s="13">
      <c r="A328" s="19" t="inlineStr">
        <is>
          <t>1957-01-23</t>
        </is>
      </c>
      <c r="B328" s="19" t="inlineStr">
        <is>
          <t>Eagle Bridge</t>
        </is>
      </c>
      <c r="C328" s="19" t="inlineStr">
        <is>
          <t>Hoosic River</t>
        </is>
      </c>
      <c r="D328" s="19" t="inlineStr">
        <is>
          <t>?</t>
        </is>
      </c>
      <c r="E328" s="19" t="n">
        <v>44.9</v>
      </c>
      <c r="F328" s="19" t="inlineStr">
        <is>
          <t>maximum annual gage height of 11.49 feet, affected by backwater from ice, reported at USGS gage Hoosic River near Eagle Bridge, on January 23, 1957. NWSFO/NERFC flood stage 11 ft -- Keywords: Hoosic River at Eagle Bridge, NY on Jan 23, 1957 [3656]</t>
        </is>
      </c>
    </row>
    <row r="329" ht="34.5" customHeight="1" s="13">
      <c r="A329" s="19" t="inlineStr">
        <is>
          <t>1957-01-23</t>
        </is>
      </c>
      <c r="B329" s="19" t="inlineStr">
        <is>
          <t>Griffin</t>
        </is>
      </c>
      <c r="C329" s="19" t="inlineStr">
        <is>
          <t>East Branch Sacandaga River</t>
        </is>
      </c>
      <c r="D329" s="19" t="inlineStr">
        <is>
          <t>?</t>
        </is>
      </c>
      <c r="E329" s="19" t="n">
        <v>66.7</v>
      </c>
      <c r="F329" s="19" t="inlineStr">
        <is>
          <t>maximum annual gage height of 7.70 feet, affected by backwater from ice, reported at USGS gage East Branch Sacandaga River at Griffin, on January 23, 1957. -- Keywords: East Branch Sacandaga River at Griffin, NY on Jan 23, 1957 [3595]</t>
        </is>
      </c>
    </row>
    <row r="330" ht="34.5" customHeight="1" s="13">
      <c r="A330" s="19" t="inlineStr">
        <is>
          <t>1957-01-23</t>
        </is>
      </c>
      <c r="B330" s="19" t="inlineStr">
        <is>
          <t>Cooks Falls</t>
        </is>
      </c>
      <c r="C330" s="19" t="inlineStr">
        <is>
          <t>Beaver Kill</t>
        </is>
      </c>
      <c r="D330" s="19" t="inlineStr">
        <is>
          <t>?</t>
        </is>
      </c>
      <c r="E330" s="19" t="n">
        <v>62</v>
      </c>
      <c r="F330" s="19" t="inlineStr">
        <is>
          <t>maximum annual gage height of 8.09 feet, affected by backwater from ice, reported at USGS gage Beaver Kill at Cooks Falls, on January 23, 1957. -- Keywords: Beaver Kill at Cooks Falls, NY on Jan 23, 1957 [3827]</t>
        </is>
      </c>
    </row>
    <row r="331" ht="34.5" customHeight="1" s="13">
      <c r="A331" s="19" t="inlineStr">
        <is>
          <t>1957-01-23</t>
        </is>
      </c>
      <c r="B331" s="19" t="inlineStr">
        <is>
          <t>Craigie Clair</t>
        </is>
      </c>
      <c r="C331" s="19" t="inlineStr">
        <is>
          <t>Beaver Kill</t>
        </is>
      </c>
      <c r="D331" s="19" t="inlineStr">
        <is>
          <t>?</t>
        </is>
      </c>
      <c r="E331" s="19" t="n">
        <v>57.1</v>
      </c>
      <c r="F331" s="19" t="inlineStr">
        <is>
          <t>maximum annual gage height of 7.72 feet, affected by backwater from ice, reported at USGS gage Beaver Kill near Craigie Clair, on January 23, 1957. -- Keywords: Beaver Kill at Craigie Clair, NY on Jan 23, 1957 [3817]</t>
        </is>
      </c>
    </row>
    <row r="332" ht="34.5" customHeight="1" s="13">
      <c r="A332" s="19" t="inlineStr">
        <is>
          <t>1957-01-23</t>
        </is>
      </c>
      <c r="B332" s="19" t="inlineStr">
        <is>
          <t>Turnwood</t>
        </is>
      </c>
      <c r="C332" s="19" t="inlineStr">
        <is>
          <t>Beaver Kill</t>
        </is>
      </c>
      <c r="D332" s="19" t="inlineStr">
        <is>
          <t>?</t>
        </is>
      </c>
      <c r="E332" s="19" t="n">
        <v>48.2</v>
      </c>
      <c r="F332" s="19" t="inlineStr">
        <is>
          <t>maximum annual gage height of 6.17 feet, affected by backwater from ice, reported at USGS gage Beaver Kill near Turnwood, on January 23, 1957. -- Keywords: Beaver Kill at Turnwood, NY on Jan 23, 1957 [3814]</t>
        </is>
      </c>
    </row>
    <row r="333" ht="57" customHeight="1" s="13">
      <c r="A333" s="19" t="inlineStr">
        <is>
          <t>1957-01-23</t>
        </is>
      </c>
      <c r="B333" s="19" t="inlineStr">
        <is>
          <t>Battenville</t>
        </is>
      </c>
      <c r="C333" s="19" t="inlineStr">
        <is>
          <t>Batten Kill</t>
        </is>
      </c>
      <c r="D333" s="19" t="inlineStr">
        <is>
          <t>?</t>
        </is>
      </c>
      <c r="E333" s="19" t="n">
        <v>51</v>
      </c>
      <c r="F333" s="19" t="inlineStr">
        <is>
          <t>maximum annual gage height of 8.88 feet, affected by backwater from ice, reported at USGS gage Batten Kill at Battenville, on January 23, 1957. Additional ice-affected gage height of 7.39 feet, reported on January 23, 1957. Discharge "estimated" 3,000 cfs. NWSFO/NERFC flood stage 11 ft -- Keywords: Batten Kill at Battenville, NY on Jan 23, 1957 [3630]</t>
        </is>
      </c>
    </row>
    <row r="334" ht="34.5" customHeight="1" s="13">
      <c r="A334" s="19" t="inlineStr">
        <is>
          <t>1957-01-22</t>
        </is>
      </c>
      <c r="B334" s="19" t="inlineStr">
        <is>
          <t>Dunraven</t>
        </is>
      </c>
      <c r="C334" s="19" t="inlineStr">
        <is>
          <t>Platte Kill</t>
        </is>
      </c>
      <c r="D334" s="19" t="inlineStr">
        <is>
          <t>?</t>
        </is>
      </c>
      <c r="E334" s="19" t="n">
        <v>42.2</v>
      </c>
      <c r="F334" s="19" t="inlineStr">
        <is>
          <t>maximum annual gage height of 5.31 feet, affected by backwater from ice, reported at USGS gage Platte Kill at Dunraven, on January 22, 1957. -- Keywords: Platte Kill at Dunraven, NY on Jan 22, 1957 [3793]</t>
        </is>
      </c>
    </row>
    <row r="335" ht="34.5" customHeight="1" s="13">
      <c r="A335" s="19" t="inlineStr">
        <is>
          <t>1956-04-04</t>
        </is>
      </c>
      <c r="B335" s="19" t="inlineStr">
        <is>
          <t>Rock Royal</t>
        </is>
      </c>
      <c r="C335" s="19" t="inlineStr">
        <is>
          <t>Trout Creek</t>
        </is>
      </c>
      <c r="D335" s="19" t="inlineStr">
        <is>
          <t>?</t>
        </is>
      </c>
      <c r="E335" s="19" t="n">
        <v>67.2</v>
      </c>
      <c r="F335" s="19" t="inlineStr">
        <is>
          <t>maximum annual gage height of 5.85 feet, affected by backwater from ice, reported at USGS gage Trout Creek near Rock Royal, on April 4, 1956. -- Keywords: Trout Creek at Rock Royal, NY on Apr 04, 1956 [3841]</t>
        </is>
      </c>
    </row>
    <row r="336" ht="34.5" customHeight="1" s="13">
      <c r="A336" s="19" t="inlineStr">
        <is>
          <t>1956-01-10</t>
        </is>
      </c>
      <c r="B336" s="19" t="inlineStr">
        <is>
          <t>Battenville</t>
        </is>
      </c>
      <c r="C336" s="19" t="inlineStr">
        <is>
          <t>Batten Kill</t>
        </is>
      </c>
      <c r="D336" s="19" t="inlineStr">
        <is>
          <t>?</t>
        </is>
      </c>
      <c r="E336" s="19" t="n">
        <v>51</v>
      </c>
      <c r="F336" s="19" t="inlineStr">
        <is>
          <t>maximum annual gage height of 10.75 feet, affected by backwater from ice, reported at USGS gage Batten Kill at Battenville, on January 10, 1956. NWSFO/NERFC flood stage 11 ft -- Keywords: Batten Kill at Battenville, NY on Jan 10, 1956 [3629]</t>
        </is>
      </c>
    </row>
    <row r="337" ht="34.5" customHeight="1" s="13">
      <c r="A337" s="19" t="inlineStr">
        <is>
          <t>1955-03-11</t>
        </is>
      </c>
      <c r="B337" s="19" t="inlineStr">
        <is>
          <t>West Milton</t>
        </is>
      </c>
      <c r="C337" s="19" t="inlineStr">
        <is>
          <t>Glowegee Creek</t>
        </is>
      </c>
      <c r="D337" s="19" t="inlineStr">
        <is>
          <t>?</t>
        </is>
      </c>
      <c r="E337" s="19" t="n">
        <v>35.9</v>
      </c>
      <c r="F337" s="19" t="inlineStr">
        <is>
          <t>gage height of 5.98 feet, affected by backwater from ice, reported at USGS gage Glowegee Creek at West Milton, on March 11, 1955. Discharge 575 cfs. -- Keywords: Glowegee Creek at West Milton, NY on Mar 11, 1955 [3634]</t>
        </is>
      </c>
    </row>
    <row r="338" ht="57" customHeight="1" s="13">
      <c r="A338" s="19" t="inlineStr">
        <is>
          <t>1955-03-01</t>
        </is>
      </c>
      <c r="B338" s="19" t="inlineStr">
        <is>
          <t>Hope</t>
        </is>
      </c>
      <c r="C338" s="19" t="inlineStr">
        <is>
          <t>Sacandaga River</t>
        </is>
      </c>
      <c r="D338" s="19" t="inlineStr">
        <is>
          <t>?</t>
        </is>
      </c>
      <c r="E338" s="19" t="n">
        <v>58.9</v>
      </c>
      <c r="F338" s="19" t="inlineStr">
        <is>
          <t>maximum annual gage height of 13.32 feet, affected by backwater from ice, reported at USGS gage Sacandaga River near Hope, NY on March 1, 1955.  This remains the maximum gage height for the period of record Sep 1911-Sep 2000.  The 2000 report also specifies cause as 'ice jam'.  -- Keywords: Sacandaga River at Hope, NY on Mar 01, 1955 [3606]</t>
        </is>
      </c>
    </row>
    <row r="339" ht="34.5" customHeight="1" s="13">
      <c r="A339" s="19" t="inlineStr">
        <is>
          <t>1955-03-01</t>
        </is>
      </c>
      <c r="B339" s="19" t="inlineStr">
        <is>
          <t>West Milton</t>
        </is>
      </c>
      <c r="C339" s="19" t="inlineStr">
        <is>
          <t>Kayaderosseras Creek</t>
        </is>
      </c>
      <c r="D339" s="19" t="inlineStr">
        <is>
          <t>?</t>
        </is>
      </c>
      <c r="E339" s="19" t="n">
        <v>36.6</v>
      </c>
      <c r="F339" s="19" t="inlineStr">
        <is>
          <t>maximum annual gage height of 5.87 feet, affected by backwater from ice, reported at USGS gage Kayaderosseras Creek near West Milton, on March 1, 1955. -- Keywords: Kayaderosseras Creek at West Milton, NY on Mar 01, 1955 [3639]</t>
        </is>
      </c>
    </row>
    <row r="340" ht="34.5" customHeight="1" s="13">
      <c r="A340" s="19" t="inlineStr">
        <is>
          <t>1955-02-23</t>
        </is>
      </c>
      <c r="B340" s="19" t="inlineStr">
        <is>
          <t>Battenville</t>
        </is>
      </c>
      <c r="C340" s="19" t="inlineStr">
        <is>
          <t>Batten Kill</t>
        </is>
      </c>
      <c r="D340" s="19" t="inlineStr">
        <is>
          <t>?</t>
        </is>
      </c>
      <c r="E340" s="19" t="n">
        <v>51</v>
      </c>
      <c r="F340" s="19" t="inlineStr">
        <is>
          <t>maximum annual gage height of 10.48 feet, affected by backwater from ice, reported at USGS gage Batten Kill at Battenville, on February 23, 1955. NWSFO/NERFC flood stage 11 ft -- Keywords: Batten Kill at Battenville, NY on Feb 23, 1955 [3628]</t>
        </is>
      </c>
    </row>
    <row r="341" ht="57" customHeight="1" s="13">
      <c r="A341" s="19" t="inlineStr">
        <is>
          <t>1955-02-23</t>
        </is>
      </c>
      <c r="B341" s="19" t="inlineStr">
        <is>
          <t>Fort Plain</t>
        </is>
      </c>
      <c r="C341" s="19" t="inlineStr">
        <is>
          <t>Otsquago Creek</t>
        </is>
      </c>
      <c r="D341" s="19" t="inlineStr">
        <is>
          <t>?</t>
        </is>
      </c>
      <c r="E341" s="19" t="n">
        <v>41.1</v>
      </c>
      <c r="F341" s="19" t="inlineStr">
        <is>
          <t>discharge of 2,110 cfs due to release from upstream ice jam, reported at USGS gage Otsquago Creek at Fort Plain, on February 23, 1955. Gage height of 4.68 feet. Additional discharge of 2,600 cfs, due to release from upstream ice jam, reported on March 1, 1955. Gage height of 5.15 feet. -- Keywords: Otsquago Creek at Fort Plain, NY on Feb 23, 1955 [3677]</t>
        </is>
      </c>
    </row>
    <row r="342" ht="34.5" customHeight="1" s="13">
      <c r="A342" s="19" t="inlineStr">
        <is>
          <t>1955-02-11</t>
        </is>
      </c>
      <c r="B342" s="19" t="inlineStr">
        <is>
          <t>Cannonsville</t>
        </is>
      </c>
      <c r="C342" s="19" t="inlineStr">
        <is>
          <t>Trout Creek</t>
        </is>
      </c>
      <c r="D342" s="19" t="inlineStr">
        <is>
          <t>?</t>
        </is>
      </c>
      <c r="E342" s="19" t="n">
        <v>71.90000000000001</v>
      </c>
      <c r="F342" s="19" t="inlineStr">
        <is>
          <t>maximum annual gage height of 7.01 feet, affected by backwater from ice, reported at USGS gage Trout Creek at Cannonsville, on February 11, 1955. -- Keywords: Trout Creek at Cannonsville, NY on Feb 11, 1955 [3844]</t>
        </is>
      </c>
    </row>
    <row r="343" ht="45.75" customHeight="1" s="13">
      <c r="A343" s="19" t="inlineStr">
        <is>
          <t>1955-02-07</t>
        </is>
      </c>
      <c r="B343" s="19" t="inlineStr">
        <is>
          <t>Eagle Bridge</t>
        </is>
      </c>
      <c r="C343" s="19" t="inlineStr">
        <is>
          <t>Hoosic River</t>
        </is>
      </c>
      <c r="D343" s="19" t="inlineStr">
        <is>
          <t>?</t>
        </is>
      </c>
      <c r="E343" s="19" t="n">
        <v>44.9</v>
      </c>
      <c r="F343" s="19" t="inlineStr">
        <is>
          <t>maximum annual gage height of 13.19 feet, affected by backwater from ice, reported at USGS gage Hoosic River near Eagle Bridge, on February 7, 1955. NWSFO/NERFC flood stage 11 ft -- Keywords: Hoosic River at Eagle Bridge, NY on Feb 07, 1955 [3655]</t>
        </is>
      </c>
    </row>
    <row r="344" ht="34.5" customHeight="1" s="13">
      <c r="A344" s="19" t="inlineStr">
        <is>
          <t>1955-02-07</t>
        </is>
      </c>
      <c r="B344" s="19" t="inlineStr">
        <is>
          <t>Petersburg</t>
        </is>
      </c>
      <c r="C344" s="19" t="inlineStr">
        <is>
          <t>Little Hoosic River</t>
        </is>
      </c>
      <c r="D344" s="19" t="inlineStr">
        <is>
          <t>?</t>
        </is>
      </c>
      <c r="E344" s="19" t="n">
        <v>40</v>
      </c>
      <c r="F344" s="19" t="inlineStr">
        <is>
          <t>maximum annual gage height of 5.67 feet, affected by backwater from ice, reported at USGS gage Little Hoosic River at Petersburg, on February 7, 1955. -- Keywords: Little Hoosic River at Petersburg, NY on Feb 07, 1955 [3650]</t>
        </is>
      </c>
    </row>
    <row r="345" ht="34.5" customHeight="1" s="13">
      <c r="A345" s="19" t="inlineStr">
        <is>
          <t>1954-02-18</t>
        </is>
      </c>
      <c r="B345" s="19" t="inlineStr">
        <is>
          <t>West Milton</t>
        </is>
      </c>
      <c r="C345" s="19" t="inlineStr">
        <is>
          <t>Kayaderosseras Creek</t>
        </is>
      </c>
      <c r="D345" s="19" t="inlineStr">
        <is>
          <t>?</t>
        </is>
      </c>
      <c r="E345" s="19" t="n">
        <v>36.6</v>
      </c>
      <c r="F345" s="19" t="inlineStr">
        <is>
          <t>maximum annual gage height of 5.06 feet, affected by backwater from ice, reported at USGS gage Kayaderosseras Creek near West Milton, on February 18, 1954. -- Keywords: Kayaderosseras Creek at West Milton, NY on Feb 18, 1954 [3638]</t>
        </is>
      </c>
    </row>
    <row r="346" ht="34.5" customHeight="1" s="13">
      <c r="A346" s="19" t="inlineStr">
        <is>
          <t>1954-02-17</t>
        </is>
      </c>
      <c r="B346" s="19" t="inlineStr">
        <is>
          <t>Battenville</t>
        </is>
      </c>
      <c r="C346" s="19" t="inlineStr">
        <is>
          <t>Batten Kill</t>
        </is>
      </c>
      <c r="D346" s="19" t="inlineStr">
        <is>
          <t>?</t>
        </is>
      </c>
      <c r="E346" s="19" t="n">
        <v>51</v>
      </c>
      <c r="F346" s="19" t="inlineStr">
        <is>
          <t>maximum annual gage height of 9.21 feet, affected by backwater from ice, reported at USGS gage Batten Kill at Battenville, on February 17, 1954. NWSFO/NERFC flood stage 11 ft -- Keywords: Batten Kill at Battenville, NY on Feb 17, 1954 [3627]</t>
        </is>
      </c>
    </row>
    <row r="347" ht="34.5" customHeight="1" s="13">
      <c r="A347" s="19" t="inlineStr">
        <is>
          <t>1954-02-17</t>
        </is>
      </c>
      <c r="B347" s="19" t="inlineStr">
        <is>
          <t>Hope</t>
        </is>
      </c>
      <c r="C347" s="19" t="inlineStr">
        <is>
          <t>Sacandaga River</t>
        </is>
      </c>
      <c r="D347" s="19" t="inlineStr">
        <is>
          <t>?</t>
        </is>
      </c>
      <c r="E347" s="19" t="n">
        <v>58.9</v>
      </c>
      <c r="F347" s="19" t="inlineStr">
        <is>
          <t>maximum annual gage height of 8.04 feet, affected by backwater from ice, reported at USGS gage Sacandaga River near Hope, on February 17, 1954. -- Keywords: Sacandaga River at Hope, NY on Feb 17, 1954 [3605]</t>
        </is>
      </c>
    </row>
    <row r="348" ht="34.5" customHeight="1" s="13">
      <c r="A348" s="19" t="inlineStr">
        <is>
          <t>1954-02-17</t>
        </is>
      </c>
      <c r="B348" s="19" t="inlineStr">
        <is>
          <t>Index</t>
        </is>
      </c>
      <c r="C348" s="19" t="inlineStr">
        <is>
          <t>Oaks Creek</t>
        </is>
      </c>
      <c r="D348" s="19" t="inlineStr">
        <is>
          <t>?</t>
        </is>
      </c>
      <c r="E348" s="19" t="n">
        <v>47.8</v>
      </c>
      <c r="F348" s="19" t="inlineStr">
        <is>
          <t>maximum annual gage height of 5.33 feet, affected by backwater from ice, reported at USGS gage Oaks Creek at Index, on February 17, 1954. Discharge 1,100 cfs. -- Keywords: Oaks Creek at Index, NY on Feb 17, 1954 [3937]</t>
        </is>
      </c>
    </row>
    <row r="349" ht="34.5" customHeight="1" s="13">
      <c r="A349" s="19" t="inlineStr">
        <is>
          <t>1954-02-17</t>
        </is>
      </c>
      <c r="B349" s="19" t="inlineStr">
        <is>
          <t>Dunham Basin</t>
        </is>
      </c>
      <c r="C349" s="19" t="inlineStr">
        <is>
          <t>Bond Creek</t>
        </is>
      </c>
      <c r="D349" s="19" t="inlineStr">
        <is>
          <t>?</t>
        </is>
      </c>
      <c r="E349" s="19" t="n">
        <v>60.3</v>
      </c>
      <c r="F349" s="19" t="inlineStr">
        <is>
          <t>maximum annual gage height of 7.78 feet, affected by backwater from ice, reported at USGS gage Bond Creek at Dunham Basin, on February 17, 1954. -- Keywords: Bond Creek at Dunham Basin, NY on Feb 17, 1954 [3616]</t>
        </is>
      </c>
    </row>
    <row r="350" ht="34.5" customHeight="1" s="13">
      <c r="A350" s="19" t="inlineStr">
        <is>
          <t>1954-01-27</t>
        </is>
      </c>
      <c r="B350" s="19" t="inlineStr">
        <is>
          <t>Cooks Falls</t>
        </is>
      </c>
      <c r="C350" s="19" t="inlineStr">
        <is>
          <t>Beaver Kill</t>
        </is>
      </c>
      <c r="D350" s="19" t="inlineStr">
        <is>
          <t>?</t>
        </is>
      </c>
      <c r="E350" s="19" t="n">
        <v>62</v>
      </c>
      <c r="F350" s="19" t="inlineStr">
        <is>
          <t>maximum annual gage height of 9.63 feet, affected by backwater from ice, reported at USGS gage Beaver Kill at Cooks Falls, on January 27, 1954. -- Keywords: Beaver Kill at Cooks Falls, NY on Jan 27, 1954 [3826]</t>
        </is>
      </c>
    </row>
    <row r="351" ht="34.5" customHeight="1" s="13">
      <c r="A351" s="19" t="inlineStr">
        <is>
          <t>1954-01-27</t>
        </is>
      </c>
      <c r="B351" s="19" t="inlineStr">
        <is>
          <t>Livingston Manor</t>
        </is>
      </c>
      <c r="C351" s="19" t="inlineStr">
        <is>
          <t>Willowemoc Creek</t>
        </is>
      </c>
      <c r="D351" s="19" t="inlineStr">
        <is>
          <t>?</t>
        </is>
      </c>
      <c r="E351" s="19" t="n">
        <v>57.8</v>
      </c>
      <c r="F351" s="19" t="inlineStr">
        <is>
          <t>maximum annual gage height of 4.46 feet, affected by backwater from ice, reported at USGS gage Willowemoc Creek near Livingston Manor, on January 27, 1954. -- Keywords: Willowemoc Creek at Livingston Manor, NY on Jan 27, 1954 [3819]</t>
        </is>
      </c>
    </row>
    <row r="352" ht="34.5" customHeight="1" s="13">
      <c r="A352" s="19" t="inlineStr">
        <is>
          <t>1954-01-27</t>
        </is>
      </c>
      <c r="B352" s="19" t="inlineStr">
        <is>
          <t>Callicoon</t>
        </is>
      </c>
      <c r="C352" s="19" t="inlineStr">
        <is>
          <t>Callicoon Creek</t>
        </is>
      </c>
      <c r="D352" s="19" t="inlineStr">
        <is>
          <t>?</t>
        </is>
      </c>
      <c r="E352" s="19" t="n">
        <v>73</v>
      </c>
      <c r="F352" s="19" t="inlineStr">
        <is>
          <t>maximum annual gage height of 4.62 feet, affected by backwater from ice, reported at USGS gage Callicoon Creek at Callicoon, on January 27, 1954. -- Keywords: Callicoon Creek at Callicoon, NY on Jan 27, 1954 [3857]</t>
        </is>
      </c>
    </row>
    <row r="353" ht="45.75" customHeight="1" s="13">
      <c r="A353" s="19" t="inlineStr">
        <is>
          <t>1952-01-27</t>
        </is>
      </c>
      <c r="B353" s="19" t="inlineStr">
        <is>
          <t>Burtonsville</t>
        </is>
      </c>
      <c r="C353" s="19" t="inlineStr">
        <is>
          <t>Schoharie Creek</t>
        </is>
      </c>
      <c r="D353" s="19" t="inlineStr">
        <is>
          <t>?</t>
        </is>
      </c>
      <c r="E353" s="19" t="n">
        <v>22.5</v>
      </c>
      <c r="F353" s="19" t="inlineStr">
        <is>
          <t>gage height of 4.48 feet, affected by backwater from ice, reported at USGS gage Schoharie Creek at Burtonsville, on January 27, 1952. Discharge 10,000 cfs. NWSFO/NERFC flood stage 6 ft -- Keywords: Schoharie Creek at Burtonsville, NY on Jan 27, 1952 [3698]</t>
        </is>
      </c>
    </row>
    <row r="354" ht="57" customHeight="1" s="13">
      <c r="A354" s="19" t="inlineStr">
        <is>
          <t>1952-01-01</t>
        </is>
      </c>
      <c r="B354" s="19" t="inlineStr">
        <is>
          <t>Fort Plain</t>
        </is>
      </c>
      <c r="C354" s="19" t="inlineStr">
        <is>
          <t>Otsquago Creek</t>
        </is>
      </c>
      <c r="D354" s="19" t="inlineStr">
        <is>
          <t>?</t>
        </is>
      </c>
      <c r="E354" s="19" t="n">
        <v>41.1</v>
      </c>
      <c r="F354" s="19" t="inlineStr">
        <is>
          <t>Discharge of 2,910 cfs due to release from upstream ice jam, reported at USGS gage Otsquago Creek at Fort Plain, on January 1, 1952. Gage height of 5.53 feet.  Additional discharge of 2,210 cfs due to release from upstream ice jam, reported on March 12, 1952. Gage height of 5.00 feet. -- Keywords: Otsquago Creek at Fort Plain, NY on Jan 01, 1952 [3676]</t>
        </is>
      </c>
    </row>
    <row r="355" ht="34.5" customHeight="1" s="13">
      <c r="A355" s="19" t="inlineStr">
        <is>
          <t>1951-12-26</t>
        </is>
      </c>
      <c r="B355" s="19" t="inlineStr">
        <is>
          <t>Livingston Manor</t>
        </is>
      </c>
      <c r="C355" s="19" t="inlineStr">
        <is>
          <t>Little Beaver Kill</t>
        </is>
      </c>
      <c r="D355" s="19" t="inlineStr">
        <is>
          <t>?</t>
        </is>
      </c>
      <c r="E355" s="19" t="n">
        <v>58.8</v>
      </c>
      <c r="F355" s="19" t="inlineStr">
        <is>
          <t>maximum annual gage height of 5.49 feet, affected by backwater from ice, reported at USGS gage Little Beaver Kill near Livingston Manor, on December 26, 1951. -- Keywords: Little Beaver Kill at Livingston Manor, NY on Dec 26, 1951 [3822]</t>
        </is>
      </c>
    </row>
    <row r="356" ht="34.5" customHeight="1" s="13">
      <c r="A356" s="19" t="inlineStr">
        <is>
          <t>1951-12-22</t>
        </is>
      </c>
      <c r="B356" s="19" t="inlineStr">
        <is>
          <t>Battenville</t>
        </is>
      </c>
      <c r="C356" s="19" t="inlineStr">
        <is>
          <t>Batten Kill</t>
        </is>
      </c>
      <c r="D356" s="19" t="inlineStr">
        <is>
          <t>?</t>
        </is>
      </c>
      <c r="E356" s="19" t="n">
        <v>51</v>
      </c>
      <c r="F356" s="19" t="inlineStr">
        <is>
          <t>maximum annual gage height of 8.38 feet, affected by backwater from ice, reported at USGS gage Batten Kill at Battenville, on December 22, 1951. NWSFO/NERFC flood stage 11 ft -- Keywords: Batten Kill at Battenville, NY on Dec 22, 1951 [3626]</t>
        </is>
      </c>
    </row>
    <row r="357" ht="45.75" customHeight="1" s="13">
      <c r="A357" s="19" t="inlineStr">
        <is>
          <t>1951-12-21</t>
        </is>
      </c>
      <c r="B357" s="19" t="inlineStr">
        <is>
          <t>Prattsville</t>
        </is>
      </c>
      <c r="C357" s="19" t="inlineStr">
        <is>
          <t>Schoharie Creek</t>
        </is>
      </c>
      <c r="D357" s="19" t="inlineStr">
        <is>
          <t>?</t>
        </is>
      </c>
      <c r="E357" s="19" t="n">
        <v>24.5</v>
      </c>
      <c r="F357" s="19" t="inlineStr">
        <is>
          <t>maximum annual gage height of 14.92 feet, affected by backwater from ice, reported at USGS gage Schoharie Creek at Prattsville, on December 21, 1951. NWSFO/NERFC flood stage 10 ft -- Keywords: Schoharie Creek at Prattsville, NY on Dec 21, 1951 [3689]</t>
        </is>
      </c>
    </row>
    <row r="358" ht="34.5" customHeight="1" s="13">
      <c r="A358" s="19" t="inlineStr">
        <is>
          <t>1951-02-07</t>
        </is>
      </c>
      <c r="B358" s="19" t="inlineStr">
        <is>
          <t>Dunham Basin</t>
        </is>
      </c>
      <c r="C358" s="19" t="inlineStr">
        <is>
          <t>Bond Creek</t>
        </is>
      </c>
      <c r="D358" s="19" t="inlineStr">
        <is>
          <t>?</t>
        </is>
      </c>
      <c r="E358" s="19" t="n">
        <v>60.3</v>
      </c>
      <c r="F358" s="19" t="inlineStr">
        <is>
          <t>maximum annual gage height of 6.47 feet, affected by backwater from ice, reported at USGS gage Bond Creek at Dunham Basin, on February 7, 1951. -- Keywords: Bond Creek at Dunham Basin, NY on Feb 07, 1951 [3615]</t>
        </is>
      </c>
    </row>
    <row r="359" ht="34.5" customHeight="1" s="13">
      <c r="A359" s="19" t="inlineStr">
        <is>
          <t>1951-02-01</t>
        </is>
      </c>
      <c r="B359" s="19" t="inlineStr">
        <is>
          <t>Prattsville</t>
        </is>
      </c>
      <c r="C359" s="19" t="inlineStr">
        <is>
          <t>Schoharie Creek</t>
        </is>
      </c>
      <c r="D359" s="19" t="inlineStr">
        <is>
          <t>?</t>
        </is>
      </c>
      <c r="E359" s="19" t="n">
        <v>24.5</v>
      </c>
      <c r="F359" s="19" t="inlineStr">
        <is>
          <t>gage height of 12.28 feet, affected by backwater from ice, reported at USGS gage Schoharie Creek at Prattsville, on February 1, 1951. NWSFO/NERFC flood stage 10 ft -- Keywords: Schoharie Creek at Prattsville, NY on Feb 01, 1951 [3688]</t>
        </is>
      </c>
    </row>
    <row r="360" ht="34.5" customHeight="1" s="13">
      <c r="A360" s="19" t="inlineStr">
        <is>
          <t>1951-01-05</t>
        </is>
      </c>
      <c r="B360" s="19" t="inlineStr">
        <is>
          <t>Gardiner</t>
        </is>
      </c>
      <c r="C360" s="19" t="inlineStr">
        <is>
          <t>Wallkill River</t>
        </is>
      </c>
      <c r="D360" s="19" t="inlineStr">
        <is>
          <t>?</t>
        </is>
      </c>
      <c r="E360" s="19" t="n">
        <v>57.4</v>
      </c>
      <c r="F360" s="19" t="inlineStr">
        <is>
          <t>maximum annual gage height of 12.08 feet, affected by backwater from ice, reported at USGS gage Wallkill River at Gardiner, on January 5, 1951. NWSFO/NERFC flood stage 15 ft  -- Keywords: Wallkill River at Gardiner, NY on Jan 05, 1951 [4475]</t>
        </is>
      </c>
    </row>
    <row r="361" ht="45.75" customHeight="1" s="13">
      <c r="A361" s="19" t="inlineStr">
        <is>
          <t>1951-01-04</t>
        </is>
      </c>
      <c r="B361" s="19" t="inlineStr">
        <is>
          <t>Burtonsville</t>
        </is>
      </c>
      <c r="C361" s="19" t="inlineStr">
        <is>
          <t>Schoharie Creek</t>
        </is>
      </c>
      <c r="D361" s="19" t="inlineStr">
        <is>
          <t>?</t>
        </is>
      </c>
      <c r="E361" s="19" t="n">
        <v>22.5</v>
      </c>
      <c r="F361" s="19" t="inlineStr">
        <is>
          <t>gage height of 4.64 feet, affected by backwater from ice, reported at USGS gage Schoharie Creek at Burtonsville, on January 4, 1951. Discharge 8,600 cfs. NWSFO/NERFC flood stage 6 ft -- Keywords: Schoharie Creek at Burtonsville, NY on Jan 04, 1951 [3697]</t>
        </is>
      </c>
    </row>
    <row r="362" ht="34.5" customHeight="1" s="13">
      <c r="A362" s="19" t="inlineStr">
        <is>
          <t>1950-03-09</t>
        </is>
      </c>
      <c r="B362" s="19" t="inlineStr">
        <is>
          <t>Delhi</t>
        </is>
      </c>
      <c r="C362" s="19" t="inlineStr">
        <is>
          <t>West Branch Delaware River</t>
        </is>
      </c>
      <c r="D362" s="19" t="inlineStr">
        <is>
          <t>?</t>
        </is>
      </c>
      <c r="E362" s="19" t="n">
        <v>48.3</v>
      </c>
      <c r="F362" s="19" t="inlineStr">
        <is>
          <t>maximum annual gage height of 6.20 feet, affected by backwater from ice, reported at USGS gage West Branch Delaware River at Delhi, on March 9, 1950. Discharge 2,800 cfs. -- Keywords: West Branch Delaware River at Delhi, NY on Mar 09, 1950 [3834]</t>
        </is>
      </c>
    </row>
    <row r="363" ht="34.5" customHeight="1" s="13">
      <c r="A363" s="19" t="inlineStr">
        <is>
          <t>1950-03-09</t>
        </is>
      </c>
      <c r="B363" s="19" t="inlineStr">
        <is>
          <t>Gardiner</t>
        </is>
      </c>
      <c r="C363" s="19" t="inlineStr">
        <is>
          <t>Wallkill River</t>
        </is>
      </c>
      <c r="D363" s="19" t="inlineStr">
        <is>
          <t>?</t>
        </is>
      </c>
      <c r="E363" s="19" t="n">
        <v>57.4</v>
      </c>
      <c r="F363" s="19" t="inlineStr">
        <is>
          <t>maximum annual gage height of 10.94 feet, affected by backwater from ice, reported at USGS gage Wallkill River at Gardiner, on March 9, 1950. NWSFO/NERFC flood stage 15 ft  -- Keywords: Wallkill River at Gardiner, NY on Mar 09, 1950 [4474]</t>
        </is>
      </c>
    </row>
    <row r="364" ht="34.5" customHeight="1" s="13">
      <c r="A364" s="19" t="inlineStr">
        <is>
          <t>1950-03-09</t>
        </is>
      </c>
      <c r="B364" s="19" t="inlineStr">
        <is>
          <t>Harvard</t>
        </is>
      </c>
      <c r="C364" s="19" t="inlineStr">
        <is>
          <t>East Branch Delaware River</t>
        </is>
      </c>
      <c r="D364" s="19" t="inlineStr">
        <is>
          <t>?</t>
        </is>
      </c>
      <c r="E364" s="19" t="n">
        <v>65</v>
      </c>
      <c r="F364" s="19" t="inlineStr">
        <is>
          <t>maximum annual gage height of 12.96 feet, affected by backwater from ice, reported at USGS gage East Branch Delaware River at Harvard, on March 9, 1950. -- Keywords: East Branch Delaware River at Harvard, NY on Mar 09, 1950 [3813]</t>
        </is>
      </c>
    </row>
    <row r="365" ht="34.5" customHeight="1" s="13">
      <c r="A365" s="19" t="inlineStr">
        <is>
          <t>1950-03-08</t>
        </is>
      </c>
      <c r="B365" s="19" t="inlineStr">
        <is>
          <t>Troy</t>
        </is>
      </c>
      <c r="C365" s="19" t="inlineStr">
        <is>
          <t>Poesten Kill</t>
        </is>
      </c>
      <c r="D365" s="19" t="inlineStr">
        <is>
          <t>?</t>
        </is>
      </c>
      <c r="E365" s="19" t="n">
        <v>25.2</v>
      </c>
      <c r="F365" s="19" t="inlineStr">
        <is>
          <t>gage height of 4.91 feet, affected by backwater from ice, reported at USGS gage Poesten Kill near Troy, on March 8, 1950. -- Keywords: Poesten Kill at Troy, NY on Mar 08, 1950 [3712]</t>
        </is>
      </c>
    </row>
    <row r="366" ht="34.5" customHeight="1" s="13">
      <c r="A366" s="19" t="inlineStr">
        <is>
          <t>1950-03-08</t>
        </is>
      </c>
      <c r="B366" s="19" t="inlineStr">
        <is>
          <t>Dunraven</t>
        </is>
      </c>
      <c r="C366" s="19" t="inlineStr">
        <is>
          <t>Platte Kill</t>
        </is>
      </c>
      <c r="D366" s="19" t="inlineStr">
        <is>
          <t>?</t>
        </is>
      </c>
      <c r="E366" s="19" t="n">
        <v>42.2</v>
      </c>
      <c r="F366" s="19" t="inlineStr">
        <is>
          <t>gage height of 5.18 feet, affected by backwater from ice, reported at USGS gage Platte Kill at Dunraven, on March 8, 1950. Discharge 1,000 cfs. -- Keywords: Platte Kill at Dunraven, NY on Mar 08, 1950 [3792]</t>
        </is>
      </c>
    </row>
    <row r="367" ht="34.5" customHeight="1" s="13">
      <c r="A367" s="19" t="inlineStr">
        <is>
          <t>1950-03-08</t>
        </is>
      </c>
      <c r="B367" s="19" t="inlineStr">
        <is>
          <t>Arena</t>
        </is>
      </c>
      <c r="C367" s="19" t="inlineStr">
        <is>
          <t>Mill Brook</t>
        </is>
      </c>
      <c r="D367" s="19" t="inlineStr">
        <is>
          <t>?</t>
        </is>
      </c>
      <c r="E367" s="19" t="n">
        <v>44.9</v>
      </c>
      <c r="F367" s="19" t="inlineStr">
        <is>
          <t>maximum annual gage height of 6.21 feet, affected by backwater from ice, reported at USGS gage Mill Brook at Arena, on March 8, 1950. -- Keywords: Mill Brook at Arena, NY on Mar 08, 1950 [3798]</t>
        </is>
      </c>
    </row>
    <row r="368" ht="34.5" customHeight="1" s="13">
      <c r="A368" s="19" t="inlineStr">
        <is>
          <t>1950-01-26</t>
        </is>
      </c>
      <c r="B368" s="19" t="inlineStr">
        <is>
          <t>West Milton</t>
        </is>
      </c>
      <c r="C368" s="19" t="inlineStr">
        <is>
          <t>Glowegee Creek</t>
        </is>
      </c>
      <c r="D368" s="19" t="inlineStr">
        <is>
          <t>?</t>
        </is>
      </c>
      <c r="E368" s="19" t="n">
        <v>35.9</v>
      </c>
      <c r="F368" s="19" t="inlineStr">
        <is>
          <t>gage height of 4.29 feet, affected by backwater from ice, reported at USGS gage Glowegee Creek at West Milton, on January 26, 1950. Discharge 401 cfs. -- Keywords: Glowegee Creek at West Milton, NY on Jan 26, 1950 [3633]</t>
        </is>
      </c>
    </row>
    <row r="369" ht="34.5" customHeight="1" s="13">
      <c r="A369" s="19" t="inlineStr">
        <is>
          <t>1948-03-23</t>
        </is>
      </c>
      <c r="B369" s="19" t="inlineStr">
        <is>
          <t>Hadley</t>
        </is>
      </c>
      <c r="C369" s="19" t="inlineStr">
        <is>
          <t>Hudson River</t>
        </is>
      </c>
      <c r="D369" s="19" t="inlineStr">
        <is>
          <t>?</t>
        </is>
      </c>
      <c r="E369" s="19" t="n">
        <v>56.4</v>
      </c>
      <c r="F369" s="19" t="inlineStr">
        <is>
          <t>maximum annual gage height of 11.98 feet, affected by backwater from ice, reported at USGS gage Hudson River at Hadley, on March 23, 1948. NWSFO/NERFC flood stage 14 ft -- Keywords: Hudson River at Hadley, NY on Mar 23, 1948 [3594]</t>
        </is>
      </c>
    </row>
    <row r="370" ht="34.5" customHeight="1" s="13">
      <c r="A370" s="19" t="inlineStr">
        <is>
          <t>1948-03-17</t>
        </is>
      </c>
      <c r="B370" s="19" t="inlineStr">
        <is>
          <t>Gardiner</t>
        </is>
      </c>
      <c r="C370" s="19" t="inlineStr">
        <is>
          <t>Wallkill River</t>
        </is>
      </c>
      <c r="D370" s="19" t="inlineStr">
        <is>
          <t>?</t>
        </is>
      </c>
      <c r="E370" s="19" t="n">
        <v>57.4</v>
      </c>
      <c r="F370" s="19" t="inlineStr">
        <is>
          <t>maximum annual gage height of 13.89 feet, affected by backwater from ice, reported at USGS gage Wallkill River at Gardiner, on March 17, 1948. NWSFO/NERFC flood stage 15 ft  -- Keywords: Wallkill River at Gardiner, NY on Mar 17, 1948 [4473]</t>
        </is>
      </c>
    </row>
    <row r="371" ht="34.5" customHeight="1" s="13">
      <c r="A371" s="19" t="inlineStr">
        <is>
          <t>1948-03-17</t>
        </is>
      </c>
      <c r="B371" s="19" t="inlineStr">
        <is>
          <t>Rossman</t>
        </is>
      </c>
      <c r="C371" s="19" t="inlineStr">
        <is>
          <t>Kinderhook Creek</t>
        </is>
      </c>
      <c r="D371" s="19" t="inlineStr">
        <is>
          <t>?</t>
        </is>
      </c>
      <c r="E371" s="19" t="n">
        <v>20</v>
      </c>
      <c r="F371" s="19" t="inlineStr">
        <is>
          <t>maximum annual gage height of 6.97 feet, affected by backwater from ice, reported at USGS gage Kinderhook Creek at Rossman, on March 17, 1948. -- Keywords: Kinderhook Creek at Rossman, NY on Mar 17, 1948 [3714]</t>
        </is>
      </c>
    </row>
    <row r="372" ht="34.5" customHeight="1" s="13">
      <c r="A372" s="19" t="inlineStr">
        <is>
          <t>1948-03-16</t>
        </is>
      </c>
      <c r="B372" s="19" t="inlineStr">
        <is>
          <t>Craigie Clair</t>
        </is>
      </c>
      <c r="C372" s="19" t="inlineStr">
        <is>
          <t>Beaver Kill</t>
        </is>
      </c>
      <c r="D372" s="19" t="inlineStr">
        <is>
          <t>?</t>
        </is>
      </c>
      <c r="E372" s="19" t="n">
        <v>57.1</v>
      </c>
      <c r="F372" s="19" t="inlineStr">
        <is>
          <t>maximum annual gage height of 9.68 feet, affected by backwater from ice, reported at USGS gage Beaver Kill at Craigie Clair, on March 16, 1948. -- Keywords: Beaver Kill at Craigie Clair, NY on Mar 16, 1948 [3816]</t>
        </is>
      </c>
    </row>
    <row r="373" ht="45.75" customHeight="1" s="13">
      <c r="A373" s="19" t="inlineStr">
        <is>
          <t>1948-03-16</t>
        </is>
      </c>
      <c r="B373" s="19" t="inlineStr">
        <is>
          <t>Burtonsville</t>
        </is>
      </c>
      <c r="C373" s="19" t="inlineStr">
        <is>
          <t>Schoharie Creek</t>
        </is>
      </c>
      <c r="D373" s="19" t="inlineStr">
        <is>
          <t>?</t>
        </is>
      </c>
      <c r="E373" s="19" t="n">
        <v>22.5</v>
      </c>
      <c r="F373" s="19" t="inlineStr">
        <is>
          <t>maximum annual gage height of 6.44 feet, affected by backwater from ice, reported at USGS gage Schoharie Creek at Burtonsville, on March 16, 1948. NWSFO/NERFC flood stage 6 ft -- Keywords: Schoharie Creek at Burtonsville, NY on Mar 16, 1948 [3696]</t>
        </is>
      </c>
    </row>
    <row r="374" ht="45.75" customHeight="1" s="13">
      <c r="A374" s="19" t="inlineStr">
        <is>
          <t>1948-03-16</t>
        </is>
      </c>
      <c r="B374" s="19" t="inlineStr">
        <is>
          <t>Rosendale</t>
        </is>
      </c>
      <c r="C374" s="19" t="inlineStr">
        <is>
          <t>Rondout Creek</t>
        </is>
      </c>
      <c r="D374" s="19" t="inlineStr">
        <is>
          <t>?</t>
        </is>
      </c>
      <c r="E374" s="19" t="n">
        <v>46.6</v>
      </c>
      <c r="F374" s="19" t="inlineStr">
        <is>
          <t>maximum annual gage height of 13.42 feet, affected by backwater from ice, reported at USGS gage Rondout Creek at Rosendale, on March 16, 1948. NWSFO/NERFC flood stage 18 ft -- Keywords: Rondout Creek at Rosendale, NY on Mar 16, 1948 [3726]</t>
        </is>
      </c>
    </row>
    <row r="375" ht="34.5" customHeight="1" s="13">
      <c r="A375" s="19" t="inlineStr">
        <is>
          <t>1948-03-16</t>
        </is>
      </c>
      <c r="B375" s="19" t="inlineStr">
        <is>
          <t>Dunraven</t>
        </is>
      </c>
      <c r="C375" s="19" t="inlineStr">
        <is>
          <t>Platte Kill</t>
        </is>
      </c>
      <c r="D375" s="19" t="inlineStr">
        <is>
          <t>?</t>
        </is>
      </c>
      <c r="E375" s="19" t="n">
        <v>42.2</v>
      </c>
      <c r="F375" s="19" t="inlineStr">
        <is>
          <t>gage height of 5.32 feet, affected by backwater from ice, reported at USGS gage Platte Kill at Dunraven, on March 16, 1948. Discharge 1,060 cfs. -- Keywords: Platte Kill at Dunraven, NY on Mar 16, 1948 [3791]</t>
        </is>
      </c>
    </row>
    <row r="376" ht="34.5" customHeight="1" s="13">
      <c r="A376" s="19" t="inlineStr">
        <is>
          <t>1948-02-20</t>
        </is>
      </c>
      <c r="B376" s="19" t="inlineStr">
        <is>
          <t>Harvard</t>
        </is>
      </c>
      <c r="C376" s="19" t="inlineStr">
        <is>
          <t>East Branch Delaware River</t>
        </is>
      </c>
      <c r="D376" s="19" t="inlineStr">
        <is>
          <t>?</t>
        </is>
      </c>
      <c r="E376" s="19" t="n">
        <v>65</v>
      </c>
      <c r="F376" s="19" t="inlineStr">
        <is>
          <t>gage height of 12.12 feet, affected by backwater from ice, reported at USGS gage East Branch Delaware River at Harvard, on February 20, 1948. Discharge 11,900 cfs. -- Keywords: East Branch Delaware River at Harvard, NY on Feb 20, 1948 [3812]</t>
        </is>
      </c>
    </row>
    <row r="377" ht="34.5" customHeight="1" s="13">
      <c r="A377" s="19" t="inlineStr">
        <is>
          <t>1948-02-14</t>
        </is>
      </c>
      <c r="B377" s="19" t="inlineStr">
        <is>
          <t>Grahamsville</t>
        </is>
      </c>
      <c r="C377" s="19" t="inlineStr">
        <is>
          <t>Chestnut Creek</t>
        </is>
      </c>
      <c r="D377" s="19" t="inlineStr">
        <is>
          <t>?</t>
        </is>
      </c>
      <c r="E377" s="19" t="n">
        <v>52.9</v>
      </c>
      <c r="F377" s="19" t="inlineStr">
        <is>
          <t>maximum annual gage height of 3.26 feet, affected by backwater from ice, reported at USGS gage Chestnut Creek at Grahamsville, on February 14, 1948. -- Keywords: Chestnut Creek at Grahamsville, NY on Feb 14, 1948 [3717]</t>
        </is>
      </c>
    </row>
    <row r="378" ht="45.75" customHeight="1" s="13">
      <c r="A378" s="19" t="inlineStr">
        <is>
          <t>1948-02-14</t>
        </is>
      </c>
      <c r="B378" s="19" t="inlineStr">
        <is>
          <t>Prattsville</t>
        </is>
      </c>
      <c r="C378" s="19" t="inlineStr">
        <is>
          <t>Schoharie Creek</t>
        </is>
      </c>
      <c r="D378" s="19" t="inlineStr">
        <is>
          <t>?</t>
        </is>
      </c>
      <c r="E378" s="19" t="n">
        <v>24.5</v>
      </c>
      <c r="F378" s="19" t="inlineStr">
        <is>
          <t>maximum annual gage height of 9.49 feet, affected by backwater from ice, reported at USGS gage Schoharie Creek at Prattsville, on February 14, 1948. NWSFO/NERFC flood stage 10 ft -- Keywords: Schoharie Creek at Prattsville, NY on Feb 14, 1948 [3687]</t>
        </is>
      </c>
    </row>
    <row r="379" ht="34.5" customHeight="1" s="13">
      <c r="A379" s="19" t="inlineStr">
        <is>
          <t>1948-02-14</t>
        </is>
      </c>
      <c r="B379" s="19" t="inlineStr">
        <is>
          <t>Curry</t>
        </is>
      </c>
      <c r="C379" s="19" t="inlineStr">
        <is>
          <t>Neversink River</t>
        </is>
      </c>
      <c r="D379" s="19" t="inlineStr">
        <is>
          <t>?</t>
        </is>
      </c>
      <c r="E379" s="19" t="n">
        <v>52.7</v>
      </c>
      <c r="F379" s="19" t="inlineStr">
        <is>
          <t>maximum annual gage height of 7.01 feet, affected by backwater from ice, reported at USGS gage Neversink River at Halls Mills, near Curry, on February 14, 1948. -- Keywords: Neversink River at Curry, NY on Feb 14, 1948 [3866]</t>
        </is>
      </c>
    </row>
    <row r="380" ht="34.5" customHeight="1" s="13">
      <c r="A380" s="19" t="inlineStr">
        <is>
          <t>1948-02-14</t>
        </is>
      </c>
      <c r="B380" s="19" t="inlineStr">
        <is>
          <t>Pepacton</t>
        </is>
      </c>
      <c r="C380" s="19" t="inlineStr">
        <is>
          <t>Coles Clove Kill</t>
        </is>
      </c>
      <c r="D380" s="19" t="inlineStr">
        <is>
          <t>?</t>
        </is>
      </c>
      <c r="E380" s="19" t="n">
        <v>52.6</v>
      </c>
      <c r="F380" s="19" t="inlineStr">
        <is>
          <t>gage height of 6.00 feet, affected by backwater from ice, reported at USGS gage Coles Clove Kill near Pepacton, on February 14, 1948. -- Keywords: Coles Clove Kill at Pepacton, NY on Feb 14, 1948 [3805]</t>
        </is>
      </c>
    </row>
    <row r="381" ht="34.5" customHeight="1" s="13">
      <c r="A381" s="19" t="inlineStr">
        <is>
          <t>1947-03-14</t>
        </is>
      </c>
      <c r="B381" s="19" t="inlineStr">
        <is>
          <t>Harvard</t>
        </is>
      </c>
      <c r="C381" s="19" t="inlineStr">
        <is>
          <t>East Branch Delaware River</t>
        </is>
      </c>
      <c r="D381" s="19" t="inlineStr">
        <is>
          <t>?</t>
        </is>
      </c>
      <c r="E381" s="19" t="n">
        <v>65</v>
      </c>
      <c r="F381" s="19" t="inlineStr">
        <is>
          <t>maximum annual gage height of 11.08 feet, affected by backwater from ice, reported at USGS gage East Branch Delaware River at Harvard, on March 14, 1947. -- Keywords: East Branch Delaware River at Harvard, NY on Mar 14, 1947 [3811]</t>
        </is>
      </c>
    </row>
    <row r="382" ht="45.75" customHeight="1" s="13">
      <c r="A382" s="19" t="inlineStr">
        <is>
          <t>1947-03-14</t>
        </is>
      </c>
      <c r="B382" s="19" t="inlineStr">
        <is>
          <t>Prattsville</t>
        </is>
      </c>
      <c r="C382" s="19" t="inlineStr">
        <is>
          <t>Schoharie Creek</t>
        </is>
      </c>
      <c r="D382" s="19" t="inlineStr">
        <is>
          <t>?</t>
        </is>
      </c>
      <c r="E382" s="19" t="n">
        <v>24.5</v>
      </c>
      <c r="F382" s="19" t="inlineStr">
        <is>
          <t>gage height of 6.94 feet, affected by backwater from ice, reported at USGS gage Schoharie Creek at Prattsville, on March 14, 1947. Discharge 5,000 cfs. NWSFO/NERFC flood stage 10 ft -- Keywords: Schoharie Creek at Prattsville, NY on Mar 14, 1947 [3686]</t>
        </is>
      </c>
    </row>
    <row r="383" ht="34.5" customHeight="1" s="13">
      <c r="A383" s="19" t="inlineStr">
        <is>
          <t>1947-03-14</t>
        </is>
      </c>
      <c r="B383" s="19" t="inlineStr">
        <is>
          <t>Dunraven</t>
        </is>
      </c>
      <c r="C383" s="19" t="inlineStr">
        <is>
          <t>Platte Kill</t>
        </is>
      </c>
      <c r="D383" s="19" t="inlineStr">
        <is>
          <t>?</t>
        </is>
      </c>
      <c r="E383" s="19" t="n">
        <v>42.2</v>
      </c>
      <c r="F383" s="19" t="inlineStr">
        <is>
          <t>gage height of 5.09 feet, affected by backwater from ice, reported at USGS gage Platte Kill at Dunraven, on March 14, 1947. Discharge 900 cfs. -- Keywords: Platte Kill at Dunraven, NY on Mar 14, 1947 [3790]</t>
        </is>
      </c>
    </row>
    <row r="384" ht="34.5" customHeight="1" s="13">
      <c r="A384" s="19" t="inlineStr">
        <is>
          <t>1947-03-14</t>
        </is>
      </c>
      <c r="B384" s="19" t="inlineStr">
        <is>
          <t>Delhi</t>
        </is>
      </c>
      <c r="C384" s="19" t="inlineStr">
        <is>
          <t>Little Delaware River</t>
        </is>
      </c>
      <c r="D384" s="19" t="inlineStr">
        <is>
          <t>?</t>
        </is>
      </c>
      <c r="E384" s="19" t="n">
        <v>47.8</v>
      </c>
      <c r="F384" s="19" t="inlineStr">
        <is>
          <t>maximum annual gage height of 7.44 feet, affected by backwater from ice, reported at USGS gage Little Delaware River near Delhi, on March 14, 1947. -- Keywords: Little Delaware River at Delhi, NY on Mar 14, 1947 [3840]</t>
        </is>
      </c>
    </row>
    <row r="385" ht="34.5" customHeight="1" s="13">
      <c r="A385" s="19" t="inlineStr">
        <is>
          <t>1947-01-20</t>
        </is>
      </c>
      <c r="B385" s="19" t="inlineStr">
        <is>
          <t>Troy</t>
        </is>
      </c>
      <c r="C385" s="19" t="inlineStr">
        <is>
          <t>Poesten Kill</t>
        </is>
      </c>
      <c r="D385" s="19" t="inlineStr">
        <is>
          <t>?</t>
        </is>
      </c>
      <c r="E385" s="19" t="n">
        <v>25.2</v>
      </c>
      <c r="F385" s="19" t="inlineStr">
        <is>
          <t>maximum annual gage height of 7.25 feet, affected by backwater from ice, reported at USGS gage Poesten Kill near Troy, on January 20, 1947. -- Keywords: Poesten Kill at Troy, NY on Jan 20, 1947 [3711]</t>
        </is>
      </c>
    </row>
    <row r="386" ht="34.5" customHeight="1" s="13">
      <c r="A386" s="19" t="inlineStr">
        <is>
          <t>1947-01-19</t>
        </is>
      </c>
      <c r="B386" s="19" t="inlineStr">
        <is>
          <t>Rockdale</t>
        </is>
      </c>
      <c r="C386" s="19" t="inlineStr">
        <is>
          <t>Unadilla River</t>
        </is>
      </c>
      <c r="D386" s="19" t="inlineStr">
        <is>
          <t>?</t>
        </is>
      </c>
      <c r="E386" s="19" t="n">
        <v>70.09999999999999</v>
      </c>
      <c r="F386" s="19" t="inlineStr">
        <is>
          <t>On January 19, 1947 the Unadilla River at Rockdale, New York was recorded at 5.2 feet due to an ice gorge above the gage. Flood stage is 11 feet.    -- Keywords: Unadilla River at Rockdale, NY on Jan 19, 1947 [20020104082339]</t>
        </is>
      </c>
    </row>
    <row r="387" ht="68.25" customHeight="1" s="13">
      <c r="A387" s="19" t="inlineStr">
        <is>
          <t>1947-01-16</t>
        </is>
      </c>
      <c r="B387" s="19" t="inlineStr">
        <is>
          <t>Bainbridge</t>
        </is>
      </c>
      <c r="C387" s="19" t="inlineStr">
        <is>
          <t>Susquehanna River</t>
        </is>
      </c>
      <c r="D387" s="19" t="inlineStr">
        <is>
          <t>?</t>
        </is>
      </c>
      <c r="E387" s="19" t="n">
        <v>74.90000000000001</v>
      </c>
      <c r="F387" s="19" t="inlineStr">
        <is>
          <t>Weather Bureau reports ice jam downstream from gage Susquehanna River at Bainbridge on January 16, 1947, with peak stage of 9.4 ft at 1500 hours. Ice jam also reported downstream from gage on January 17 and 18, February 6, February 12, February 14 through 17, February 19 through 21, February 23, and February 25 through March 14 (stages less than peak of Janaury 16). Flood stage 13 ft. -- Keywords: Susquehanna River at Bainbridge, NY on Jan 16, 1947 [3948]</t>
        </is>
      </c>
    </row>
    <row r="388" ht="34.5" customHeight="1" s="13">
      <c r="A388" s="19" t="inlineStr">
        <is>
          <t>1946-03-09</t>
        </is>
      </c>
      <c r="B388" s="19" t="inlineStr">
        <is>
          <t>Broadalbin</t>
        </is>
      </c>
      <c r="C388" s="19" t="inlineStr">
        <is>
          <t>Kennyetto Creek</t>
        </is>
      </c>
      <c r="D388" s="19" t="inlineStr">
        <is>
          <t>?</t>
        </is>
      </c>
      <c r="E388" s="19" t="n">
        <v>38.4</v>
      </c>
      <c r="F388" s="19" t="inlineStr">
        <is>
          <t>maximum annual gage height of 5.27 feet, affected by backwater from ice, reported at USGS gage Kennyetto Creek near Broadalbin, on March 9, 1946. -- Keywords: Kennyetto Creek at Broadalbin, NY on Mar 09, 1946 [3614]</t>
        </is>
      </c>
    </row>
    <row r="389" ht="34.5" customHeight="1" s="13">
      <c r="A389" s="19" t="inlineStr">
        <is>
          <t>1946-03-08</t>
        </is>
      </c>
      <c r="B389" s="19" t="inlineStr">
        <is>
          <t>Troy</t>
        </is>
      </c>
      <c r="C389" s="19" t="inlineStr">
        <is>
          <t>Poesten Kill</t>
        </is>
      </c>
      <c r="D389" s="19" t="inlineStr">
        <is>
          <t>?</t>
        </is>
      </c>
      <c r="E389" s="19" t="n">
        <v>25.2</v>
      </c>
      <c r="F389" s="19" t="inlineStr">
        <is>
          <t>maximum annual gage height of 4.67 feet, affected by backwater from ice, reported at USGS gage Poesten Kill, on March 7, 1946. Discharge 1,710 cfs. -- Keywords: Poesten Kill at Troy, NY on Mar 08, 1946 [3710]</t>
        </is>
      </c>
    </row>
    <row r="390" ht="34.5" customHeight="1" s="13">
      <c r="A390" s="19" t="inlineStr">
        <is>
          <t>1946-03-08</t>
        </is>
      </c>
      <c r="B390" s="19" t="inlineStr">
        <is>
          <t>Hope</t>
        </is>
      </c>
      <c r="C390" s="19" t="inlineStr">
        <is>
          <t>Sacandaga River</t>
        </is>
      </c>
      <c r="D390" s="19" t="inlineStr">
        <is>
          <t>?</t>
        </is>
      </c>
      <c r="E390" s="19" t="n">
        <v>58.9</v>
      </c>
      <c r="F390" s="19" t="inlineStr">
        <is>
          <t>maximum annual gage height of 10.28 feet, affected by backwater from ice, reported at USGS gage Sacandaga River near Hope, on March 8, 1946. -- Keywords: Sacandaga River at Hope, NY on Mar 08, 1946 [3604]</t>
        </is>
      </c>
    </row>
    <row r="391" ht="57" customHeight="1" s="13">
      <c r="A391" s="19" t="inlineStr">
        <is>
          <t>1946-03-01</t>
        </is>
      </c>
      <c r="B391" s="19" t="inlineStr">
        <is>
          <t>Bainbridge</t>
        </is>
      </c>
      <c r="C391" s="19" t="inlineStr">
        <is>
          <t>Susquehanna River</t>
        </is>
      </c>
      <c r="D391" s="19" t="inlineStr">
        <is>
          <t>?</t>
        </is>
      </c>
      <c r="E391" s="19" t="n">
        <v>74.90000000000001</v>
      </c>
      <c r="F391" s="19" t="inlineStr">
        <is>
          <t>Weather Bureau reports ice jam upstream from gage Susquehanna River at Bainbridge on March 1, 1946 (stage 6.9 feet). Jam reported downstream from gage on March 1, March 2 (stage 6.6 feet), March 3 (stage 7.9 feet), and March 4 (stage 7.0 feet). Flood stage 13 feet. -- Keywords: Susquehanna River at Bainbridge, NY on Mar 01, 1946 [3947]</t>
        </is>
      </c>
    </row>
    <row r="392" ht="34.5" customHeight="1" s="13">
      <c r="A392" s="19" t="inlineStr">
        <is>
          <t>1946-02-28</t>
        </is>
      </c>
      <c r="B392" s="19" t="inlineStr">
        <is>
          <t>Pepacton</t>
        </is>
      </c>
      <c r="C392" s="19" t="inlineStr">
        <is>
          <t>Coles Clove Kill</t>
        </is>
      </c>
      <c r="D392" s="19" t="inlineStr">
        <is>
          <t>?</t>
        </is>
      </c>
      <c r="E392" s="19" t="n">
        <v>52.6</v>
      </c>
      <c r="F392" s="19" t="inlineStr">
        <is>
          <t>maximum annual gage height of 6.62 feet, affected by backwater from ice, reported at USGS gage Coles Clove Kill near Pepacton, on February 28, 1946. -- Keywords: Coles Clove Kill at Pepacton, NY on Feb 28, 1946 [3804]</t>
        </is>
      </c>
    </row>
    <row r="393" ht="34.5" customHeight="1" s="13">
      <c r="A393" s="19" t="inlineStr">
        <is>
          <t>1946-02-28</t>
        </is>
      </c>
      <c r="B393" s="19" t="inlineStr">
        <is>
          <t>Cannonsville</t>
        </is>
      </c>
      <c r="C393" s="19" t="inlineStr">
        <is>
          <t>Trout Creek</t>
        </is>
      </c>
      <c r="D393" s="19" t="inlineStr">
        <is>
          <t>?</t>
        </is>
      </c>
      <c r="E393" s="19" t="n">
        <v>71.90000000000001</v>
      </c>
      <c r="F393" s="19" t="inlineStr">
        <is>
          <t>maximum annual gage height of 7.11 feet, affected by backwater from ice, reported at USGS gage Trout Creek at Cannonsville, on February 28, 1946. -- Keywords: Trout Creek at Cannonsville, NY on Feb 28, 1946 [3843]</t>
        </is>
      </c>
    </row>
    <row r="394" ht="34.5" customHeight="1" s="13">
      <c r="A394" s="19" t="inlineStr">
        <is>
          <t>1946-02-27</t>
        </is>
      </c>
      <c r="B394" s="19" t="inlineStr">
        <is>
          <t>Pepacton</t>
        </is>
      </c>
      <c r="C394" s="19" t="inlineStr">
        <is>
          <t>Terry Clove Kill</t>
        </is>
      </c>
      <c r="D394" s="19" t="inlineStr">
        <is>
          <t>?</t>
        </is>
      </c>
      <c r="E394" s="19" t="n">
        <v>51.7</v>
      </c>
      <c r="F394" s="19" t="inlineStr">
        <is>
          <t>maximum annual gage height of 3.25 feet, affected by backwater from ice, reported at USGS gage Terry Clove Kill near Pepacton, on February 27, 1946. -- Keywords: Terry Clove Kill at Pepacton, NY on Feb 27, 1946 [3803]</t>
        </is>
      </c>
    </row>
    <row r="395" ht="34.5" customHeight="1" s="13">
      <c r="A395" s="19" t="inlineStr">
        <is>
          <t>1946-02-14</t>
        </is>
      </c>
      <c r="B395" s="19" t="inlineStr">
        <is>
          <t>Callicoon</t>
        </is>
      </c>
      <c r="C395" s="19" t="inlineStr">
        <is>
          <t>Callicoon Creek</t>
        </is>
      </c>
      <c r="D395" s="19" t="inlineStr">
        <is>
          <t>?</t>
        </is>
      </c>
      <c r="E395" s="19" t="n">
        <v>73</v>
      </c>
      <c r="F395" s="19" t="inlineStr">
        <is>
          <t>maximum annual gage height of 5.48 feet, affected by backwater from ice, reported at USGS gage Callicoon Creek at Callicoon, on February 14, 1946. -- Keywords: Callicoon Creek at Callicoon, NY on Feb 14, 1946 [3856]</t>
        </is>
      </c>
    </row>
    <row r="396" ht="45.75" customHeight="1" s="13">
      <c r="A396" s="19" t="inlineStr">
        <is>
          <t>1946-01-06</t>
        </is>
      </c>
      <c r="B396" s="19" t="inlineStr">
        <is>
          <t>Prattsville</t>
        </is>
      </c>
      <c r="C396" s="19" t="inlineStr">
        <is>
          <t>Schoharie Creek</t>
        </is>
      </c>
      <c r="D396" s="19" t="inlineStr">
        <is>
          <t>?</t>
        </is>
      </c>
      <c r="E396" s="19" t="n">
        <v>24.5</v>
      </c>
      <c r="F396" s="19" t="inlineStr">
        <is>
          <t>maximum annual gage height of 14.66 feet, affected by backwater from ice, reported at USGS gage Schoharie Creek at Prattsville, on January 6, 1946. NWSFO/NERFC flood stage 10 ft -- Keywords: Schoharie Creek at Prattsville, NY on Jan 06, 1946 [3685]</t>
        </is>
      </c>
    </row>
    <row r="397" ht="45.75" customHeight="1" s="13">
      <c r="A397" s="19" t="inlineStr">
        <is>
          <t>1946-01-06</t>
        </is>
      </c>
      <c r="B397" s="19" t="inlineStr">
        <is>
          <t>Harvard</t>
        </is>
      </c>
      <c r="C397" s="19" t="inlineStr">
        <is>
          <t>East Branch Delaware River</t>
        </is>
      </c>
      <c r="D397" s="19" t="inlineStr">
        <is>
          <t>?</t>
        </is>
      </c>
      <c r="E397" s="19" t="n">
        <v>65</v>
      </c>
      <c r="F397" s="19" t="inlineStr">
        <is>
          <t>maximum annual gage height of 10.83 feet, affected by backwater from ice, reported at USGS gage East Branch Delaware River at Harvard, on January 6, 1946. Discharge 9,350 cfs. -- Keywords: East Branch Delaware River at Harvard, NY on Jan 06, 1946 [3810]</t>
        </is>
      </c>
    </row>
    <row r="398" ht="34.5" customHeight="1" s="13">
      <c r="A398" s="19" t="inlineStr">
        <is>
          <t>1946-01-01</t>
        </is>
      </c>
      <c r="B398" s="19" t="inlineStr">
        <is>
          <t>Unadilla</t>
        </is>
      </c>
      <c r="C398" s="19" t="inlineStr">
        <is>
          <t>Susquehanna River</t>
        </is>
      </c>
      <c r="D398" s="19" t="inlineStr">
        <is>
          <t>?</t>
        </is>
      </c>
      <c r="E398" s="19" t="n">
        <v>66.90000000000001</v>
      </c>
      <c r="F398" s="19" t="inlineStr">
        <is>
          <t>Weather Bureau reports ice jam upstream from gage Susquehanna River at Unadilla on January 1, 1946. STage 4.2 feet, flood stage 11 feet. -- Keywords: Susquehanna River at Unadilla, NY on Jan 01, 1946 [3940]</t>
        </is>
      </c>
    </row>
    <row r="399" ht="34.5" customHeight="1" s="13">
      <c r="A399" s="19" t="inlineStr">
        <is>
          <t>1945-12-26</t>
        </is>
      </c>
      <c r="B399" s="19" t="inlineStr">
        <is>
          <t>Fishs Eddy</t>
        </is>
      </c>
      <c r="C399" s="19" t="inlineStr">
        <is>
          <t>East Branch Delaware River</t>
        </is>
      </c>
      <c r="D399" s="19" t="inlineStr">
        <is>
          <t>?</t>
        </is>
      </c>
      <c r="E399" s="19" t="n">
        <v>68.59999999999999</v>
      </c>
      <c r="F399" s="19" t="inlineStr">
        <is>
          <t>maximum annual gage height of 13.82 feet, affected by backwater from ice, reported at USGS gage East Branch Delaware River at Fishs Eddy, on December 26, 1945. -- Keywords: East Branch Delaware River at Fishs Eddy, NY on Dec 26, 1945 [3833]</t>
        </is>
      </c>
    </row>
    <row r="400" ht="45.75" customHeight="1" s="13">
      <c r="A400" s="19" t="inlineStr">
        <is>
          <t>1945-12-26</t>
        </is>
      </c>
      <c r="B400" s="19" t="inlineStr">
        <is>
          <t>Gardiner</t>
        </is>
      </c>
      <c r="C400" s="19" t="inlineStr">
        <is>
          <t>Wallkill River</t>
        </is>
      </c>
      <c r="D400" s="19" t="inlineStr">
        <is>
          <t>?</t>
        </is>
      </c>
      <c r="E400" s="19" t="n">
        <v>57.4</v>
      </c>
      <c r="F400" s="19" t="inlineStr">
        <is>
          <t>maximum annual gage height of 12.09 feet, affected by backwater from ice, reported at USGS gage Wallkill River at Gardiner, on December 26, 1945. Additional ice-affected gage height of 10.32 feet, reported on January 8, 1946. NWSFO/NERFC flood stage 15 ft  -- Keywords: Wallkill River at Gardiner, NY on Dec 26, 1945 [4472]</t>
        </is>
      </c>
    </row>
    <row r="401" ht="34.5" customHeight="1" s="13">
      <c r="A401" s="19" t="inlineStr">
        <is>
          <t>1945-03-07</t>
        </is>
      </c>
      <c r="B401" s="19" t="inlineStr">
        <is>
          <t>Gardiner</t>
        </is>
      </c>
      <c r="C401" s="19" t="inlineStr">
        <is>
          <t>Wallkill River</t>
        </is>
      </c>
      <c r="D401" s="19" t="inlineStr">
        <is>
          <t>?</t>
        </is>
      </c>
      <c r="E401" s="19" t="n">
        <v>57.4</v>
      </c>
      <c r="F401" s="19" t="inlineStr">
        <is>
          <t>maximum annual gage height of 18.83 feet, affected by backwater from ice, reported at USGS gage Wallkill River at Gardiner, on March 7, 1945. NWSFO/NERFC flood stage 15 ft    -- Keywords: Wallkill River at Gardiner, NY on Mar 07, 1945 [4471]</t>
        </is>
      </c>
    </row>
    <row r="402" ht="34.5" customHeight="1" s="13">
      <c r="A402" s="19" t="inlineStr">
        <is>
          <t>1945-03-04</t>
        </is>
      </c>
      <c r="B402" s="19" t="inlineStr">
        <is>
          <t>Rosendale</t>
        </is>
      </c>
      <c r="C402" s="19" t="inlineStr">
        <is>
          <t>Rondout Creek</t>
        </is>
      </c>
      <c r="D402" s="19" t="inlineStr">
        <is>
          <t>?</t>
        </is>
      </c>
      <c r="E402" s="19" t="n">
        <v>46.6</v>
      </c>
      <c r="F402" s="19" t="inlineStr">
        <is>
          <t>maximum annual gage height of 13.29 feet, affected by backwater from ice, reported at USGS gage Rondout Creek at Rosendale, on March 3, 1945. NWSFO/NERFC flood stage 18 ft -- Keywords: Rondout Creek at Rosendale, NY on Mar 04, 1945 [3725]</t>
        </is>
      </c>
    </row>
    <row r="403" ht="34.5" customHeight="1" s="13">
      <c r="A403" s="19" t="inlineStr">
        <is>
          <t>1945-03-01</t>
        </is>
      </c>
      <c r="B403" s="19" t="inlineStr">
        <is>
          <t>Battenville</t>
        </is>
      </c>
      <c r="C403" s="19" t="inlineStr">
        <is>
          <t>Batten Kill</t>
        </is>
      </c>
      <c r="D403" s="19" t="inlineStr">
        <is>
          <t>?</t>
        </is>
      </c>
      <c r="E403" s="19" t="n">
        <v>51</v>
      </c>
      <c r="F403" s="19" t="inlineStr">
        <is>
          <t>maximum annual gage height of 8.21 feet, affected by backwater from ice, reported at USGS gage Batten Kill at Battenville, on March 1, 1945. NWSFO/NERFC flood stage 11 ft -- Keywords: Batten Kill at Battenville, NY on Mar 01, 1945 [3625]</t>
        </is>
      </c>
    </row>
    <row r="404" ht="45.75" customHeight="1" s="13">
      <c r="A404" s="19" t="inlineStr">
        <is>
          <t>1945-02-27</t>
        </is>
      </c>
      <c r="B404" s="19" t="inlineStr">
        <is>
          <t>Harvard</t>
        </is>
      </c>
      <c r="C404" s="19" t="inlineStr">
        <is>
          <t>East Branch Delaware River</t>
        </is>
      </c>
      <c r="D404" s="19" t="inlineStr">
        <is>
          <t>?</t>
        </is>
      </c>
      <c r="E404" s="19" t="n">
        <v>65</v>
      </c>
      <c r="F404" s="19" t="inlineStr">
        <is>
          <t>maximum annual gage height of 12.74 feet, affected by backwater from ice, reported at USGS gage East Branch Delaware River at Harvard, on February 27, 1945. Discharge 14,800 cfs. -- Keywords: East Branch Delaware River at Harvard, NY on Feb 27, 1945 [3809]</t>
        </is>
      </c>
    </row>
    <row r="405" ht="45.75" customHeight="1" s="13">
      <c r="A405" s="19" t="inlineStr">
        <is>
          <t>1945-02-27</t>
        </is>
      </c>
      <c r="B405" s="19" t="inlineStr">
        <is>
          <t>Burtonsville</t>
        </is>
      </c>
      <c r="C405" s="19" t="inlineStr">
        <is>
          <t>Schoharie Creek</t>
        </is>
      </c>
      <c r="D405" s="19" t="inlineStr">
        <is>
          <t>?</t>
        </is>
      </c>
      <c r="E405" s="19" t="n">
        <v>22.5</v>
      </c>
      <c r="F405" s="19" t="inlineStr">
        <is>
          <t>maximum annual gage height of 4.98 feet, affected by backwater from ice, reported at USGS gage Schoharie Creek at Burtonsville, on February 27, 1945. NWSFO/NERFC flood stage 6 ft -- Keywords: Schoharie Creek at Burtonsville, NY on Feb 27, 1945 [3695]</t>
        </is>
      </c>
    </row>
    <row r="406" ht="34.5" customHeight="1" s="13">
      <c r="A406" s="19" t="inlineStr">
        <is>
          <t>1945-02-23</t>
        </is>
      </c>
      <c r="B406" s="19" t="inlineStr">
        <is>
          <t>Broadalbin</t>
        </is>
      </c>
      <c r="C406" s="19" t="inlineStr">
        <is>
          <t>Kennyetto Creek</t>
        </is>
      </c>
      <c r="D406" s="19" t="inlineStr">
        <is>
          <t>?</t>
        </is>
      </c>
      <c r="E406" s="19" t="n">
        <v>38.4</v>
      </c>
      <c r="F406" s="19" t="inlineStr">
        <is>
          <t>maximum annual gage height of 4.0 feet, affected by backwater from ice, reported at USGS gage Kennyetto Creek near Broadalbin, on February 23, 1945. -- Keywords: Kennyetto Creek at Broadalbin, NY on Feb 23, 1945 [3613]</t>
        </is>
      </c>
    </row>
    <row r="407" ht="45.75" customHeight="1" s="13">
      <c r="A407" s="19" t="inlineStr">
        <is>
          <t>1945-02-22</t>
        </is>
      </c>
      <c r="B407" s="19" t="inlineStr">
        <is>
          <t>Dunraven</t>
        </is>
      </c>
      <c r="C407" s="19" t="inlineStr">
        <is>
          <t>Platte Kill</t>
        </is>
      </c>
      <c r="D407" s="19" t="inlineStr">
        <is>
          <t>?</t>
        </is>
      </c>
      <c r="E407" s="19" t="n">
        <v>42.2</v>
      </c>
      <c r="F407" s="19" t="inlineStr">
        <is>
          <t>maximum annual gage height of 6.18 feet, affected by backwater from ice, reported at USGS gage Platte Kill at Dunraven, on February 22, 1945. Additional ice-affected gage height of 5.60 feet, reported on January 1, 1945. -- Keywords: Platte Kill at Dunraven, NY on Feb 22, 1945 [3789]</t>
        </is>
      </c>
    </row>
    <row r="408" ht="34.5" customHeight="1" s="13">
      <c r="A408" s="19" t="inlineStr">
        <is>
          <t>1945-02-22</t>
        </is>
      </c>
      <c r="B408" s="19" t="inlineStr">
        <is>
          <t>Delhi</t>
        </is>
      </c>
      <c r="C408" s="19" t="inlineStr">
        <is>
          <t>Little Delaware River</t>
        </is>
      </c>
      <c r="D408" s="19" t="inlineStr">
        <is>
          <t>?</t>
        </is>
      </c>
      <c r="E408" s="19" t="n">
        <v>47.8</v>
      </c>
      <c r="F408" s="19" t="inlineStr">
        <is>
          <t>maximum annual gage height of 5.98 feet, affected by backwater from ice, reported at USGS gage Little Delaware River near Delhi, on February 22, 1945. -- Keywords: Little Delaware River at Delhi, NY on Feb 22, 1945 [3839]</t>
        </is>
      </c>
    </row>
    <row r="409" ht="45.75" customHeight="1" s="13">
      <c r="A409" s="19" t="inlineStr">
        <is>
          <t>1945-01-02</t>
        </is>
      </c>
      <c r="B409" s="19" t="inlineStr">
        <is>
          <t>Bainbridge</t>
        </is>
      </c>
      <c r="C409" s="19" t="inlineStr">
        <is>
          <t>Susquehanna River</t>
        </is>
      </c>
      <c r="D409" s="19" t="inlineStr">
        <is>
          <t>?</t>
        </is>
      </c>
      <c r="E409" s="19" t="n">
        <v>74.90000000000001</v>
      </c>
      <c r="F409" s="19" t="inlineStr">
        <is>
          <t>Weather Bureau reports ice jam downstream from gage Susquehanna River at Bainbridge on Janaury 2 through 31, 1945. Peak stage 12.1 ft on January 4 and 5. Flood stage 12 ft. -- Keywords: Susquehanna River at Bainbridge, NY on Jan 02, 1945 [3949]</t>
        </is>
      </c>
    </row>
    <row r="410" ht="34.5" customHeight="1" s="13">
      <c r="A410" s="19" t="inlineStr">
        <is>
          <t>1945-01-01</t>
        </is>
      </c>
      <c r="B410" s="19" t="inlineStr">
        <is>
          <t>Arena</t>
        </is>
      </c>
      <c r="C410" s="19" t="inlineStr">
        <is>
          <t>Mill Brook</t>
        </is>
      </c>
      <c r="D410" s="19" t="inlineStr">
        <is>
          <t>?</t>
        </is>
      </c>
      <c r="E410" s="19" t="n">
        <v>44.9</v>
      </c>
      <c r="F410" s="19" t="inlineStr">
        <is>
          <t>maximum annual gage height of 8.68 feet, affected by backwater from ice, reported at USGS gage Mill Brook at Arena, on January 1, 1945. -- Keywords: Mill Brook at Arena, NY on Jan 01, 1945 [3797]</t>
        </is>
      </c>
    </row>
    <row r="411" ht="34.5" customHeight="1" s="13">
      <c r="A411" s="19" t="inlineStr">
        <is>
          <t>1945-01-01</t>
        </is>
      </c>
      <c r="B411" s="19" t="inlineStr">
        <is>
          <t>Shavertown</t>
        </is>
      </c>
      <c r="C411" s="19" t="inlineStr">
        <is>
          <t>Tremper Kill</t>
        </is>
      </c>
      <c r="D411" s="19" t="inlineStr">
        <is>
          <t>?</t>
        </is>
      </c>
      <c r="E411" s="19" t="n">
        <v>48.7</v>
      </c>
      <c r="F411" s="19" t="inlineStr">
        <is>
          <t>maximum annual gage height of 3.92 feet, affected by backwater from ice, reported at USGS gage Tremper Kill near Shavertown, on January 1, 1945. -- Keywords: Tremper Kill at Shavertown, NY on Jan 01, 1945 [3802]</t>
        </is>
      </c>
    </row>
    <row r="412" ht="45.75" customHeight="1" s="13">
      <c r="A412" s="19" t="inlineStr">
        <is>
          <t>1945-01-01</t>
        </is>
      </c>
      <c r="B412" s="19" t="inlineStr">
        <is>
          <t>Prattsville</t>
        </is>
      </c>
      <c r="C412" s="19" t="inlineStr">
        <is>
          <t>Schoharie Creek</t>
        </is>
      </c>
      <c r="D412" s="19" t="inlineStr">
        <is>
          <t>?</t>
        </is>
      </c>
      <c r="E412" s="19" t="n">
        <v>24.5</v>
      </c>
      <c r="F412" s="19" t="inlineStr">
        <is>
          <t>gage height of 6.12 feet, affected by backwater from ice, reported at USGS gage Schoharie Creek at Prattsville, on January 1, 1945. Discharge 5,740 cfs. NWSFO/NERFC flood stage 10 ft -- Keywords: Schoharie Creek at Prattsville, NY on Jan 01, 1945 [3684]</t>
        </is>
      </c>
    </row>
    <row r="413" ht="34.5" customHeight="1" s="13">
      <c r="A413" s="19" t="inlineStr">
        <is>
          <t>1944-03-25</t>
        </is>
      </c>
      <c r="B413" s="19" t="inlineStr">
        <is>
          <t>Hope</t>
        </is>
      </c>
      <c r="C413" s="19" t="inlineStr">
        <is>
          <t>Sacandaga River</t>
        </is>
      </c>
      <c r="D413" s="19" t="inlineStr">
        <is>
          <t>?</t>
        </is>
      </c>
      <c r="E413" s="19" t="n">
        <v>58.9</v>
      </c>
      <c r="F413" s="19" t="inlineStr">
        <is>
          <t>maximum annual gage height of 7.68 feet, affected by backwater from ice, reported at USGS gage Sacandaga River near Hope, on March 25, 1944. -- Keywords: Sacandaga River at Hope, NY on Mar 25, 1944 [3603]</t>
        </is>
      </c>
    </row>
    <row r="414" ht="34.5" customHeight="1" s="13">
      <c r="A414" s="19" t="inlineStr">
        <is>
          <t>1944-03-17</t>
        </is>
      </c>
      <c r="B414" s="19" t="inlineStr">
        <is>
          <t>Cooks Falls</t>
        </is>
      </c>
      <c r="C414" s="19" t="inlineStr">
        <is>
          <t>Beaver Kill</t>
        </is>
      </c>
      <c r="D414" s="19" t="inlineStr">
        <is>
          <t>?</t>
        </is>
      </c>
      <c r="E414" s="19" t="n">
        <v>62</v>
      </c>
      <c r="F414" s="19" t="inlineStr">
        <is>
          <t>maximum annual gage height of 11.66 feet, affected by backwater from ice, reported at USGS gage Beaver Kill at Cooks Falls, on March 17, 1944. -- Keywords: Beaver Kill at Cooks Falls, NY on Mar 17, 1944 [3825]</t>
        </is>
      </c>
    </row>
    <row r="415" ht="34.5" customHeight="1" s="13">
      <c r="A415" s="19" t="inlineStr">
        <is>
          <t>1944-03-17</t>
        </is>
      </c>
      <c r="B415" s="19" t="inlineStr">
        <is>
          <t>Kast Bridge</t>
        </is>
      </c>
      <c r="C415" s="19" t="inlineStr">
        <is>
          <t>West Canada Creek</t>
        </is>
      </c>
      <c r="D415" s="19" t="inlineStr">
        <is>
          <t>?</t>
        </is>
      </c>
      <c r="E415" s="19" t="n">
        <v>61.6</v>
      </c>
      <c r="F415" s="19" t="inlineStr">
        <is>
          <t>maximum annual gage height of 5.69 feet, affected by backwater from ice, reported at USGS gage West Canada Creek at Kast Bridge, on March 17, 1944. -- Keywords: West Canada Creek at Kast Bridge, NY on Mar 17, 1944 [3666]</t>
        </is>
      </c>
    </row>
    <row r="416" ht="34.5" customHeight="1" s="13">
      <c r="A416" s="19" t="inlineStr">
        <is>
          <t>1944-03-17</t>
        </is>
      </c>
      <c r="B416" s="19" t="inlineStr">
        <is>
          <t>Oneonta</t>
        </is>
      </c>
      <c r="C416" s="19" t="inlineStr">
        <is>
          <t>Otego Creek</t>
        </is>
      </c>
      <c r="D416" s="19" t="inlineStr">
        <is>
          <t>?</t>
        </is>
      </c>
      <c r="E416" s="19" t="n">
        <v>55.3</v>
      </c>
      <c r="F416" s="19" t="inlineStr">
        <is>
          <t>maximum annual gage height of 13.12 feet, affected by backwater from ice, reported at USGS gage Otego Creek near Oneonta, on March 17, 1944. Discharge 4,230 cfs.  -- Keywords: Otego Creek at Oneonta, NY on Mar 17, 1944 [2279]</t>
        </is>
      </c>
    </row>
    <row r="417" ht="34.5" customHeight="1" s="13">
      <c r="A417" s="19" t="inlineStr">
        <is>
          <t>1944-03-17</t>
        </is>
      </c>
      <c r="B417" s="19" t="inlineStr">
        <is>
          <t>Harvard</t>
        </is>
      </c>
      <c r="C417" s="19" t="inlineStr">
        <is>
          <t>East Branch Delaware River</t>
        </is>
      </c>
      <c r="D417" s="19" t="inlineStr">
        <is>
          <t>?</t>
        </is>
      </c>
      <c r="E417" s="19" t="n">
        <v>65</v>
      </c>
      <c r="F417" s="19" t="inlineStr">
        <is>
          <t>maximum annual gage height of 11.94 feet, affected by backwater from ice, reported at USGS gage East Branch Delaware River at Harvard, on March 17, 1944. -- Keywords: East Branch Delaware River at Harvard, NY on Mar 17, 1944 [3808]</t>
        </is>
      </c>
    </row>
    <row r="418" ht="34.5" customHeight="1" s="13">
      <c r="A418" s="19" t="inlineStr">
        <is>
          <t>1944-03-16</t>
        </is>
      </c>
      <c r="B418" s="19" t="inlineStr">
        <is>
          <t>Bainbridge</t>
        </is>
      </c>
      <c r="C418" s="19" t="inlineStr">
        <is>
          <t>Susquehanna River</t>
        </is>
      </c>
      <c r="D418" s="19" t="inlineStr">
        <is>
          <t>?</t>
        </is>
      </c>
      <c r="E418" s="19" t="n">
        <v>74.90000000000001</v>
      </c>
      <c r="F418" s="19" t="inlineStr">
        <is>
          <t>Weather Bureau reports ice jam upstream from gage Susquehanna River at Bainbridge on March 16, 1944. Stage 6.5 ft. Flood stage 12 ft. -- Keywords: Susquehanna River at Bainbridge, NY on Mar 16, 1944 [3946]</t>
        </is>
      </c>
    </row>
    <row r="419" ht="34.5" customHeight="1" s="13">
      <c r="A419" s="19" t="inlineStr">
        <is>
          <t>1944-03-16</t>
        </is>
      </c>
      <c r="B419" s="19" t="inlineStr">
        <is>
          <t>Delhi</t>
        </is>
      </c>
      <c r="C419" s="19" t="inlineStr">
        <is>
          <t>Little Delaware River</t>
        </is>
      </c>
      <c r="D419" s="19" t="inlineStr">
        <is>
          <t>?</t>
        </is>
      </c>
      <c r="E419" s="19" t="n">
        <v>47.8</v>
      </c>
      <c r="F419" s="19" t="inlineStr">
        <is>
          <t>maximum annual gage height of 7.01 feet, affected by backwater from ice, reported at USGS gage Little Delaware River near Delhi, on March 16, 1944. -- Keywords: Little Delaware River at Delhi, NY on Mar 16, 1944 [3838]</t>
        </is>
      </c>
    </row>
    <row r="420" ht="34.5" customHeight="1" s="13">
      <c r="A420" s="19" t="inlineStr">
        <is>
          <t>1944-03-13</t>
        </is>
      </c>
      <c r="B420" s="19" t="inlineStr">
        <is>
          <t>Dunraven</t>
        </is>
      </c>
      <c r="C420" s="19" t="inlineStr">
        <is>
          <t>Platte Kill</t>
        </is>
      </c>
      <c r="D420" s="19" t="inlineStr">
        <is>
          <t>?</t>
        </is>
      </c>
      <c r="E420" s="19" t="n">
        <v>42.2</v>
      </c>
      <c r="F420" s="19" t="inlineStr">
        <is>
          <t>maximum annual gage height of 6.45 feet, affected by backwater from ice, reported at USGS gage Platte Kill at Dunraven, on March 13, 1944. -- Keywords: Platte Kill at Dunraven, NY on Mar 13, 1944 [3788]</t>
        </is>
      </c>
    </row>
    <row r="421" ht="34.5" customHeight="1" s="13">
      <c r="A421" s="19" t="inlineStr">
        <is>
          <t>1944-03-07</t>
        </is>
      </c>
      <c r="B421" s="19" t="inlineStr">
        <is>
          <t>Battenville</t>
        </is>
      </c>
      <c r="C421" s="19" t="inlineStr">
        <is>
          <t>Batten Kill</t>
        </is>
      </c>
      <c r="D421" s="19" t="inlineStr">
        <is>
          <t>?</t>
        </is>
      </c>
      <c r="E421" s="19" t="n">
        <v>51</v>
      </c>
      <c r="F421" s="19" t="inlineStr">
        <is>
          <t>maximum annual gage height of 8.50 feet, affected by backwater from ice, reported at USGS gage Batten Kill near Battenville, on March 7, 1944. NWSFO/NERFC flood stage 11 ft -- Keywords: Batten Kill at Battenville, NY on Mar 07, 1944 [3624]</t>
        </is>
      </c>
    </row>
    <row r="422" ht="34.5" customHeight="1" s="13">
      <c r="A422" s="19" t="inlineStr">
        <is>
          <t>1944-02-24</t>
        </is>
      </c>
      <c r="B422" s="19" t="inlineStr">
        <is>
          <t>Callicoon</t>
        </is>
      </c>
      <c r="C422" s="19" t="inlineStr">
        <is>
          <t>Callicoon Creek</t>
        </is>
      </c>
      <c r="D422" s="19" t="inlineStr">
        <is>
          <t>?</t>
        </is>
      </c>
      <c r="E422" s="19" t="n">
        <v>73</v>
      </c>
      <c r="F422" s="19" t="inlineStr">
        <is>
          <t>maximum annual gage height of 6.83 feet, affected by backwater from ice, reported at USGS gage Callicoon Creek at Callicoon, on February 24, 1944. -- Keywords: Callicoon Creek at Callicoon, NY on Feb 24, 1944 [3855]</t>
        </is>
      </c>
    </row>
    <row r="423" ht="34.5" customHeight="1" s="13">
      <c r="A423" s="19" t="inlineStr">
        <is>
          <t>1944-02-23</t>
        </is>
      </c>
      <c r="B423" s="19" t="inlineStr">
        <is>
          <t>Cannonsville</t>
        </is>
      </c>
      <c r="C423" s="19" t="inlineStr">
        <is>
          <t>Trout Creek</t>
        </is>
      </c>
      <c r="D423" s="19" t="inlineStr">
        <is>
          <t>?</t>
        </is>
      </c>
      <c r="E423" s="19" t="n">
        <v>71.90000000000001</v>
      </c>
      <c r="F423" s="19" t="inlineStr">
        <is>
          <t>maximum annual gage height of 6.69 feet, affected by backwater from ice, reported at USGS gage Trout Creek at Cannonsville, on February 23, 1944. -- Keywords: Trout Creek at Cannonsville, NY on Feb 23, 1944 [3842]</t>
        </is>
      </c>
    </row>
    <row r="424" ht="34.5" customHeight="1" s="13">
      <c r="A424" s="19" t="inlineStr">
        <is>
          <t>1943-03-17</t>
        </is>
      </c>
      <c r="B424" s="19" t="inlineStr">
        <is>
          <t>Broadalbin</t>
        </is>
      </c>
      <c r="C424" s="19" t="inlineStr">
        <is>
          <t>Kennyetto Creek</t>
        </is>
      </c>
      <c r="D424" s="19" t="inlineStr">
        <is>
          <t>?</t>
        </is>
      </c>
      <c r="E424" s="19" t="n">
        <v>38.4</v>
      </c>
      <c r="F424" s="19" t="inlineStr">
        <is>
          <t>maximum annual gage height of 4.6 feet, affected by backwater from ice, reported at USGS gage Kennyetto Creek near Broadalbin, on March 17, 1943. -- Keywords: Kennyetto Creek at Broadalbin, NY on Mar 17, 1943 [3612]</t>
        </is>
      </c>
    </row>
    <row r="425" ht="34.5" customHeight="1" s="13">
      <c r="A425" s="19" t="inlineStr">
        <is>
          <t>1943-03-16</t>
        </is>
      </c>
      <c r="B425" s="19" t="inlineStr">
        <is>
          <t>Dolgeville</t>
        </is>
      </c>
      <c r="C425" s="19" t="inlineStr">
        <is>
          <t>East Canada Creek</t>
        </is>
      </c>
      <c r="D425" s="19" t="inlineStr">
        <is>
          <t>?</t>
        </is>
      </c>
      <c r="E425" s="19" t="n">
        <v>54.8</v>
      </c>
      <c r="F425" s="19" t="inlineStr">
        <is>
          <t>maximum annual gage height of 11.37 feet, affected by backwater from ice, reported at USGS gage East Canada Creek at Dolgeville on March 16, 1943. -- Keywords: East Canada Creek at Dolgeville, NY on Mar 16, 1943 [3674]</t>
        </is>
      </c>
    </row>
    <row r="426" ht="34.5" customHeight="1" s="13">
      <c r="A426" s="19" t="inlineStr">
        <is>
          <t>1943-03-12</t>
        </is>
      </c>
      <c r="B426" s="19" t="inlineStr">
        <is>
          <t>Gardiner</t>
        </is>
      </c>
      <c r="C426" s="19" t="inlineStr">
        <is>
          <t>Wallkill River</t>
        </is>
      </c>
      <c r="D426" s="19" t="inlineStr">
        <is>
          <t>?</t>
        </is>
      </c>
      <c r="E426" s="19" t="n">
        <v>57.4</v>
      </c>
      <c r="F426" s="19" t="inlineStr">
        <is>
          <t>maximum annual gage height of 14.87 feet, affected by backwater from ice, reported at USGS gage Wallkill River at Gardiner, on March 12, 1943. NWSFO/NERFC flood stage 15 ft  -- Keywords: Wallkill River at Gardiner, NY on Mar 12, 1943 [4470]</t>
        </is>
      </c>
    </row>
    <row r="427" ht="34.5" customHeight="1" s="13">
      <c r="A427" s="19" t="inlineStr">
        <is>
          <t>1943-02-25</t>
        </is>
      </c>
      <c r="B427" s="19" t="inlineStr">
        <is>
          <t>Hope</t>
        </is>
      </c>
      <c r="C427" s="19" t="inlineStr">
        <is>
          <t>Sacandaga River</t>
        </is>
      </c>
      <c r="D427" s="19" t="inlineStr">
        <is>
          <t>?</t>
        </is>
      </c>
      <c r="E427" s="19" t="n">
        <v>58.9</v>
      </c>
      <c r="F427" s="19" t="inlineStr">
        <is>
          <t>maximum annual gage height of 8.0 feet, affected by backwater from ice, reported at USGS gage Sacandaga River near Hope, on February 25, 1943. -- Keywords: Sacandaga River at Hope, NY on Feb 25, 1943 [3602]</t>
        </is>
      </c>
    </row>
    <row r="428" ht="34.5" customHeight="1" s="13">
      <c r="A428" s="19" t="inlineStr">
        <is>
          <t>1943-02-24</t>
        </is>
      </c>
      <c r="B428" s="19" t="inlineStr">
        <is>
          <t>Battenville</t>
        </is>
      </c>
      <c r="C428" s="19" t="inlineStr">
        <is>
          <t>Batten Kill</t>
        </is>
      </c>
      <c r="D428" s="19" t="inlineStr">
        <is>
          <t>?</t>
        </is>
      </c>
      <c r="E428" s="19" t="n">
        <v>51</v>
      </c>
      <c r="F428" s="19" t="inlineStr">
        <is>
          <t>maximum annual gage height of 7.65 feet, affected by backwater from ice, reported at USGS gage Batten Kill at Battenville, on February 24, 1943. NWSFO/NERFC flood stage 11 ft -- Keywords: Batten Kill at Battenville, NY on Feb 24, 1943 [3623]</t>
        </is>
      </c>
    </row>
    <row r="429" ht="34.5" customHeight="1" s="13">
      <c r="A429" s="19" t="inlineStr">
        <is>
          <t>1943-02-24</t>
        </is>
      </c>
      <c r="B429" s="19" t="inlineStr">
        <is>
          <t>Bainbridge</t>
        </is>
      </c>
      <c r="C429" s="19" t="inlineStr">
        <is>
          <t>Susquehanna River</t>
        </is>
      </c>
      <c r="D429" s="19" t="inlineStr">
        <is>
          <t>?</t>
        </is>
      </c>
      <c r="E429" s="19" t="n">
        <v>74.90000000000001</v>
      </c>
      <c r="F429" s="19" t="inlineStr">
        <is>
          <t>Weather Bureau reports ice jam upstream from gage Susquehanna River at Bainbridge on February 24, 1943. Stage 12.0 ft. Flood stage 12 ft. -- Keywords: Susquehanna River at Bainbridge, NY on Feb 24, 1943 [3945]</t>
        </is>
      </c>
    </row>
    <row r="430" ht="34.5" customHeight="1" s="13">
      <c r="A430" s="19" t="inlineStr">
        <is>
          <t>1943-02-24</t>
        </is>
      </c>
      <c r="B430" s="19" t="inlineStr">
        <is>
          <t>Troy</t>
        </is>
      </c>
      <c r="C430" s="19" t="inlineStr">
        <is>
          <t>Poesten Kill</t>
        </is>
      </c>
      <c r="D430" s="19" t="inlineStr">
        <is>
          <t>?</t>
        </is>
      </c>
      <c r="E430" s="19" t="n">
        <v>25.2</v>
      </c>
      <c r="F430" s="19" t="inlineStr">
        <is>
          <t>maximum annual gage height of 6.68 feet, affected by backwater from ice, reported at USGS gage Poesten Kill near Troy, on February 24, 1943. -- Keywords: Poesten Kill at Troy, NY on Feb 24, 1943 [3709]</t>
        </is>
      </c>
    </row>
    <row r="431" ht="34.5" customHeight="1" s="13">
      <c r="A431" s="19" t="inlineStr">
        <is>
          <t>1943-02-22</t>
        </is>
      </c>
      <c r="B431" s="19" t="inlineStr">
        <is>
          <t>Fishs Eddy</t>
        </is>
      </c>
      <c r="C431" s="19" t="inlineStr">
        <is>
          <t>East Branch Delaware River</t>
        </is>
      </c>
      <c r="D431" s="19" t="inlineStr">
        <is>
          <t>?</t>
        </is>
      </c>
      <c r="E431" s="19" t="n">
        <v>68.59999999999999</v>
      </c>
      <c r="F431" s="19" t="inlineStr">
        <is>
          <t>gage height of 13.65 feet, affected by backwater from ice, reported at USGS gage East Branch Delaware River at Fishs Eddy, on February 22, 1943. -- Keywords: East Branch Delaware River at Fishs Eddy, NY on Feb 22, 1943 [3832]</t>
        </is>
      </c>
    </row>
    <row r="432" ht="34.5" customHeight="1" s="13">
      <c r="A432" s="19" t="inlineStr">
        <is>
          <t>1943-02-22</t>
        </is>
      </c>
      <c r="B432" s="19" t="inlineStr">
        <is>
          <t>Delhi</t>
        </is>
      </c>
      <c r="C432" s="19" t="inlineStr">
        <is>
          <t>Little Delaware River</t>
        </is>
      </c>
      <c r="D432" s="19" t="inlineStr">
        <is>
          <t>?</t>
        </is>
      </c>
      <c r="E432" s="19" t="n">
        <v>47.8</v>
      </c>
      <c r="F432" s="19" t="inlineStr">
        <is>
          <t>maximum annual gage height of 7.45 feet, affected by backwater from ice, reported at USGS gage Little Delaware River near Delhi, on February 22, 1943. -- Keywords: Little Delaware River at Delhi, NY on Feb 22, 1943 [3837]</t>
        </is>
      </c>
    </row>
    <row r="433" ht="45.75" customHeight="1" s="13">
      <c r="A433" s="19" t="inlineStr">
        <is>
          <t>1943-02-21</t>
        </is>
      </c>
      <c r="B433" s="19" t="inlineStr">
        <is>
          <t>Burtonsville</t>
        </is>
      </c>
      <c r="C433" s="19" t="inlineStr">
        <is>
          <t>Schoharie Creek</t>
        </is>
      </c>
      <c r="D433" s="19" t="inlineStr">
        <is>
          <t>?</t>
        </is>
      </c>
      <c r="E433" s="19" t="n">
        <v>22.5</v>
      </c>
      <c r="F433" s="19" t="inlineStr">
        <is>
          <t>maximum annual gage height of 5.77 feet, affected by backwater from ice, reported at USGS gage Schoharie Creek at Burtonsville, on February 21, 1943. NWSFO/NERFC flood stage 6 ft -- Keywords: Schoharie Creek at Burtonsville, NY on Feb 21, 1943 [3694]</t>
        </is>
      </c>
    </row>
    <row r="434" ht="57" customHeight="1" s="13">
      <c r="A434" s="19" t="inlineStr">
        <is>
          <t>1943-02-17</t>
        </is>
      </c>
      <c r="B434" s="19" t="inlineStr">
        <is>
          <t>Kast Bridge</t>
        </is>
      </c>
      <c r="C434" s="19" t="inlineStr">
        <is>
          <t>West Canada Creek</t>
        </is>
      </c>
      <c r="D434" s="19" t="inlineStr">
        <is>
          <t>?</t>
        </is>
      </c>
      <c r="E434" s="19" t="n">
        <v>61.6</v>
      </c>
      <c r="F434" s="19" t="inlineStr">
        <is>
          <t>maximum annual gage height of 10.47 feet, affected by backwater from ice, reported at USGS gage West Canada Creek at Kast Bridge, NY on February 17, 1943.  According to USGS Water Resources Data New York Water Year 1981 Volume 1, this was also the maximum for period of record 1920-1981.     -- Keywords: West Canada Creek at Kast Bridge, NY on Feb 17, 1943 [3665]</t>
        </is>
      </c>
    </row>
    <row r="435" ht="68.25" customHeight="1" s="13">
      <c r="A435" s="19" t="inlineStr">
        <is>
          <t>1942-12-30</t>
        </is>
      </c>
      <c r="B435" s="19" t="inlineStr">
        <is>
          <t>Prattsville</t>
        </is>
      </c>
      <c r="C435" s="19" t="inlineStr">
        <is>
          <t>Schoharie Creek</t>
        </is>
      </c>
      <c r="D435" s="19" t="inlineStr">
        <is>
          <t>?</t>
        </is>
      </c>
      <c r="E435" s="19" t="n">
        <v>24.5</v>
      </c>
      <c r="F435" s="19" t="inlineStr">
        <is>
          <t>gage height of 8.32 feet, affected by backwater from ice, reported at USGS gage Schoharie Creek at Prattsville, on December 30, 1942. Discharge 10,400 cfs. Additional ice-affected gage height of 10.80 feet (maximum for year) reported on February 23, 1943. Also ice-affected gage height of 10.75 feet, reported on March 12, 1943. Discharge 6,000 cfs. NWSFO/NERFC flood stage 10 ft -- Keywords: Schoharie Creek at Prattsville, NY on Dec 30, 1942 [3683]</t>
        </is>
      </c>
    </row>
    <row r="436" ht="34.5" customHeight="1" s="13">
      <c r="A436" s="19" t="inlineStr">
        <is>
          <t>1942-12-30</t>
        </is>
      </c>
      <c r="B436" s="19" t="inlineStr">
        <is>
          <t>Index</t>
        </is>
      </c>
      <c r="C436" s="19" t="inlineStr">
        <is>
          <t>Oaks Creek</t>
        </is>
      </c>
      <c r="D436" s="19" t="inlineStr">
        <is>
          <t>?</t>
        </is>
      </c>
      <c r="E436" s="19" t="n">
        <v>47.8</v>
      </c>
      <c r="F436" s="19" t="inlineStr">
        <is>
          <t>maximum annual gage height of 6.69 feet, affected by backwater from ice, reported at USGS gage Oaks Creek at Index, on December 30, 1942. Discharge 2,140 cfs. -- Keywords: Oaks Creek at Index, NY on Dec 30, 1942 [3936]</t>
        </is>
      </c>
    </row>
    <row r="437" ht="34.5" customHeight="1" s="13">
      <c r="A437" s="19" t="inlineStr">
        <is>
          <t>1942-12-30</t>
        </is>
      </c>
      <c r="B437" s="19" t="inlineStr">
        <is>
          <t>West Milton</t>
        </is>
      </c>
      <c r="C437" s="19" t="inlineStr">
        <is>
          <t>Kayaderosseras Creek</t>
        </is>
      </c>
      <c r="D437" s="19" t="inlineStr">
        <is>
          <t>?</t>
        </is>
      </c>
      <c r="E437" s="19" t="n">
        <v>36.6</v>
      </c>
      <c r="F437" s="19" t="inlineStr">
        <is>
          <t>maximum annual gage height of 5.48 feet, affected by backwater from ice, reported at USGS gage Kayaderosseras Creek near West Milton, on December 30, 1942. -- Keywords: Kayaderosseras Creek at West Milton, NY on Dec 30, 1942 [3637]</t>
        </is>
      </c>
    </row>
    <row r="438" ht="45.75" customHeight="1" s="13">
      <c r="A438" s="19" t="inlineStr">
        <is>
          <t>1942-03-09</t>
        </is>
      </c>
      <c r="B438" s="19" t="inlineStr">
        <is>
          <t>Burtonsville</t>
        </is>
      </c>
      <c r="C438" s="19" t="inlineStr">
        <is>
          <t>Schoharie Creek</t>
        </is>
      </c>
      <c r="D438" s="19" t="inlineStr">
        <is>
          <t>?</t>
        </is>
      </c>
      <c r="E438" s="19" t="n">
        <v>22.5</v>
      </c>
      <c r="F438" s="19" t="inlineStr">
        <is>
          <t>maximum annual gage height of 6.34 feet, affected by backwater from ice, reported at USGS gage Schoharie Creek at Burtonsville, on March 9, 1942. Discharge 20,100 cfs. NWSFO/NERFC flood stage 6 ft -- Keywords: Schoharie Creek at Burtonsville, NY on Mar 09, 1942 [3693]</t>
        </is>
      </c>
    </row>
    <row r="439" ht="45.75" customHeight="1" s="13">
      <c r="A439" s="19" t="inlineStr">
        <is>
          <t>1942-03-09</t>
        </is>
      </c>
      <c r="B439" s="19" t="inlineStr">
        <is>
          <t>Prattsville</t>
        </is>
      </c>
      <c r="C439" s="19" t="inlineStr">
        <is>
          <t>Schoharie Creek</t>
        </is>
      </c>
      <c r="D439" s="19" t="inlineStr">
        <is>
          <t>?</t>
        </is>
      </c>
      <c r="E439" s="19" t="n">
        <v>24.5</v>
      </c>
      <c r="F439" s="19" t="inlineStr">
        <is>
          <t>gage height of 8.80 feet, affected by backwater from ice, reported at USGS gage Schoharie Creek at Prattsville, on March 9, 1942. Discharge 12,200 cfs. NWSFO/NERFC flood stage 10 ft -- Keywords: Schoharie Creek at Prattsville, NY on Mar 09, 1942 [3682]</t>
        </is>
      </c>
    </row>
    <row r="440" ht="34.5" customHeight="1" s="13">
      <c r="A440" s="19" t="inlineStr">
        <is>
          <t>1942-03-09</t>
        </is>
      </c>
      <c r="B440" s="19" t="inlineStr">
        <is>
          <t>Delhi</t>
        </is>
      </c>
      <c r="C440" s="19" t="inlineStr">
        <is>
          <t>Little Delaware River</t>
        </is>
      </c>
      <c r="D440" s="19" t="inlineStr">
        <is>
          <t>?</t>
        </is>
      </c>
      <c r="E440" s="19" t="n">
        <v>47.8</v>
      </c>
      <c r="F440" s="19" t="inlineStr">
        <is>
          <t>maximum annual gage height of 7.40 feet, affected by backwater from ice, reported at USGS gage Little Delaware River near Delhi, on March 9, 1942. Discharge 2,550 cfs. -- Keywords: Little Delaware River at Delhi, NY on Mar 09, 1942 [3836]</t>
        </is>
      </c>
    </row>
    <row r="441" ht="34.5" customHeight="1" s="13">
      <c r="A441" s="19" t="inlineStr">
        <is>
          <t>1942-03-03</t>
        </is>
      </c>
      <c r="B441" s="19" t="inlineStr">
        <is>
          <t>Callicoon</t>
        </is>
      </c>
      <c r="C441" s="19" t="inlineStr">
        <is>
          <t>Callicoon Creek</t>
        </is>
      </c>
      <c r="D441" s="19" t="inlineStr">
        <is>
          <t>?</t>
        </is>
      </c>
      <c r="E441" s="19" t="n">
        <v>73</v>
      </c>
      <c r="F441" s="19" t="inlineStr">
        <is>
          <t>maximum annual gage height of 7.00 feet, affected by backwater from ice, reported at USGS gage Callicoon Creek at Callicoon, on March 3, 1942. -- Keywords: Callicoon Creek at Callicoon, NY on Mar 03, 1942 [3854]</t>
        </is>
      </c>
    </row>
    <row r="442" ht="45.75" customHeight="1" s="13">
      <c r="A442" s="19" t="inlineStr">
        <is>
          <t>1941-03-20</t>
        </is>
      </c>
      <c r="B442" s="19" t="inlineStr">
        <is>
          <t>Sherburne</t>
        </is>
      </c>
      <c r="C442" s="19" t="inlineStr">
        <is>
          <t>Chenango River</t>
        </is>
      </c>
      <c r="D442" s="19" t="inlineStr">
        <is>
          <t>Break-up</t>
        </is>
      </c>
      <c r="E442" s="19" t="n">
        <v>74.90000000000001</v>
      </c>
      <c r="F442" s="19" t="inlineStr">
        <is>
          <t>Weather Bureau reports ice jam downstream from gage Chenango River at Sherburne on March 20, 21, and 22, 1941. Stages 5.8, 5.2,and 4.6 ft, respectively. River reported to be obstructed by rough ice March 16, 20-22 (no records on weekends). Flood stage 8 ft. -- Keywords: Chenango River at Sherburne, NY on Mar 20, 1941 [3957]</t>
        </is>
      </c>
    </row>
    <row r="443" ht="34.5" customHeight="1" s="13">
      <c r="A443" s="19" t="inlineStr">
        <is>
          <t>1941-03-07</t>
        </is>
      </c>
      <c r="B443" s="19" t="inlineStr">
        <is>
          <t>Delhi</t>
        </is>
      </c>
      <c r="C443" s="19" t="inlineStr">
        <is>
          <t>Little Delaware River</t>
        </is>
      </c>
      <c r="D443" s="19" t="inlineStr">
        <is>
          <t>?</t>
        </is>
      </c>
      <c r="E443" s="19" t="n">
        <v>47.8</v>
      </c>
      <c r="F443" s="19" t="inlineStr">
        <is>
          <t>maximum annual gage height of 5.73 feet, affected by backwater from ice, reported at USGS gage Little Delaware River near Delhi, on March 7, 1941. -- Keywords: Little Delaware River at Delhi, NY on Mar 07, 1941 [3835]</t>
        </is>
      </c>
    </row>
    <row r="444" ht="34.5" customHeight="1" s="13">
      <c r="A444" s="19" t="inlineStr">
        <is>
          <t>1941-03-04</t>
        </is>
      </c>
      <c r="B444" s="19" t="inlineStr">
        <is>
          <t>Arena</t>
        </is>
      </c>
      <c r="C444" s="19" t="inlineStr">
        <is>
          <t>Mill Brook</t>
        </is>
      </c>
      <c r="D444" s="19" t="inlineStr">
        <is>
          <t>?</t>
        </is>
      </c>
      <c r="E444" s="19" t="n">
        <v>44.9</v>
      </c>
      <c r="F444" s="19" t="inlineStr">
        <is>
          <t>maximum annual gage height of 6.16 feet, affected by backwater from ice, reported at USGS gage Mill Brook at Arena, on March 4, 1941. -- Keywords: Mill Brook at Arena, NY on Mar 04, 1941 [3796]</t>
        </is>
      </c>
    </row>
    <row r="445" ht="34.5" customHeight="1" s="13">
      <c r="A445" s="19" t="inlineStr">
        <is>
          <t>1941-02-08</t>
        </is>
      </c>
      <c r="B445" s="19" t="inlineStr">
        <is>
          <t>Callicoon</t>
        </is>
      </c>
      <c r="C445" s="19" t="inlineStr">
        <is>
          <t>Callicoon Creek</t>
        </is>
      </c>
      <c r="D445" s="19" t="inlineStr">
        <is>
          <t>?</t>
        </is>
      </c>
      <c r="E445" s="19" t="n">
        <v>73</v>
      </c>
      <c r="F445" s="19" t="inlineStr">
        <is>
          <t>maximum annual gage height of 4.82 feet, affected by backwater from ice, reported at USGS gage Callicoon Creek at Callicoon, on February 8, 1941. -- Keywords: Callicoon Creek at Callicoon, NY on Feb 08, 1941 [3853]</t>
        </is>
      </c>
    </row>
    <row r="446" ht="34.5" customHeight="1" s="13">
      <c r="A446" s="19" t="inlineStr">
        <is>
          <t>1941-02-08</t>
        </is>
      </c>
      <c r="B446" s="19" t="inlineStr">
        <is>
          <t>Gardiner</t>
        </is>
      </c>
      <c r="C446" s="19" t="inlineStr">
        <is>
          <t>Wallkill River</t>
        </is>
      </c>
      <c r="D446" s="19" t="inlineStr">
        <is>
          <t>?</t>
        </is>
      </c>
      <c r="E446" s="19" t="n">
        <v>57.4</v>
      </c>
      <c r="F446" s="19" t="inlineStr">
        <is>
          <t>maximum annual gage height of 12.37 feet, affected by backwater from ice, reported at USGS gage Wallkill River at Gardiner, on February 8, 1941. NWSFO/NERFC flood stage 15 ft  -- Keywords: Wallkill River at Gardiner, NY on Feb 08, 1941 [4469]</t>
        </is>
      </c>
    </row>
    <row r="447" ht="45.75" customHeight="1" s="13">
      <c r="A447" s="19" t="inlineStr">
        <is>
          <t>1941-02-08</t>
        </is>
      </c>
      <c r="B447" s="19" t="inlineStr">
        <is>
          <t>Burtonsville</t>
        </is>
      </c>
      <c r="C447" s="19" t="inlineStr">
        <is>
          <t>Schoharie Creek</t>
        </is>
      </c>
      <c r="D447" s="19" t="inlineStr">
        <is>
          <t>?</t>
        </is>
      </c>
      <c r="E447" s="19" t="n">
        <v>22.5</v>
      </c>
      <c r="F447" s="19" t="inlineStr">
        <is>
          <t>maximum annual gage height of 4.28 feet, affected by backwater from ice, reported at USGS gage Schoharie Creek at Burtonsville, on February 8, 1941. NWSFO/NERFC flood stage 6 ft -- Keywords: Schoharie Creek at Burtonsville, NY on Feb 08, 1941 [3692]</t>
        </is>
      </c>
    </row>
    <row r="448" ht="45.75" customHeight="1" s="13">
      <c r="A448" s="19" t="inlineStr">
        <is>
          <t>1941-02-08</t>
        </is>
      </c>
      <c r="B448" s="19" t="inlineStr">
        <is>
          <t>Prattsville</t>
        </is>
      </c>
      <c r="C448" s="19" t="inlineStr">
        <is>
          <t>Schoharie Creek</t>
        </is>
      </c>
      <c r="D448" s="19" t="inlineStr">
        <is>
          <t>?</t>
        </is>
      </c>
      <c r="E448" s="19" t="n">
        <v>24.5</v>
      </c>
      <c r="F448" s="19" t="inlineStr">
        <is>
          <t>maximum annual gage height of 6.76 feet, affected by backwater from ice, reported at USGS gage Schoharie Creek at Prattsville, on February 8, 1941. NWSFO/NERFC flood stage 10 ft -- Keywords: Schoharie Creek at Prattsville, NY on Feb 08, 1941 [3681]</t>
        </is>
      </c>
    </row>
    <row r="449" ht="45.75" customHeight="1" s="13">
      <c r="A449" s="19" t="inlineStr">
        <is>
          <t>1941-02-08</t>
        </is>
      </c>
      <c r="B449" s="19" t="inlineStr">
        <is>
          <t>Rosendale</t>
        </is>
      </c>
      <c r="C449" s="19" t="inlineStr">
        <is>
          <t>Rondout Creek</t>
        </is>
      </c>
      <c r="D449" s="19" t="inlineStr">
        <is>
          <t>?</t>
        </is>
      </c>
      <c r="E449" s="19" t="n">
        <v>46.6</v>
      </c>
      <c r="F449" s="19" t="inlineStr">
        <is>
          <t>maximum annual gage height of 11.37 feet, affected by backwater from ice, reported at USGS gage Rondout Creek at Rosendale, on February 8, 1941. NWSFO/NERFC flood stage 18 ft -- Keywords: Rondout Creek at Rosendale, NY on Feb 08, 1941 [3724]</t>
        </is>
      </c>
    </row>
    <row r="450" ht="34.5" customHeight="1" s="13">
      <c r="A450" s="19" t="inlineStr">
        <is>
          <t>1941-02-08</t>
        </is>
      </c>
      <c r="B450" s="19" t="inlineStr">
        <is>
          <t>Troy</t>
        </is>
      </c>
      <c r="C450" s="19" t="inlineStr">
        <is>
          <t>Poesten Kill</t>
        </is>
      </c>
      <c r="D450" s="19" t="inlineStr">
        <is>
          <t>?</t>
        </is>
      </c>
      <c r="E450" s="19" t="n">
        <v>25.2</v>
      </c>
      <c r="F450" s="19" t="inlineStr">
        <is>
          <t>gage height of 6.20 feet, affected by backwater from ice, reported at USGS gage Poesten Kill, near Troy, on February 8, 1941. -- Keywords: Poesten Kill at Troy, NY on Feb 08, 1941 [3708]</t>
        </is>
      </c>
    </row>
    <row r="451" ht="34.5" customHeight="1" s="13">
      <c r="A451" s="19" t="inlineStr">
        <is>
          <t>1940-12-28</t>
        </is>
      </c>
      <c r="B451" s="19" t="inlineStr">
        <is>
          <t>Broadalbin</t>
        </is>
      </c>
      <c r="C451" s="19" t="inlineStr">
        <is>
          <t>Kennyetto Creek</t>
        </is>
      </c>
      <c r="D451" s="19" t="inlineStr">
        <is>
          <t>?</t>
        </is>
      </c>
      <c r="E451" s="19" t="n">
        <v>38.4</v>
      </c>
      <c r="F451" s="19" t="inlineStr">
        <is>
          <t>maximum annual gage height of 5.65 feet, affected by backwater from ice, reported at USGS gage Kennyetto Creek near Broadalbin, on December 28, 1940. -- Keywords: Kennyetto Creek at Broadalbin, NY on Dec 28, 1940 [3611]</t>
        </is>
      </c>
    </row>
    <row r="452" ht="34.5" customHeight="1" s="13">
      <c r="A452" s="19" t="inlineStr">
        <is>
          <t>1940-04-08</t>
        </is>
      </c>
      <c r="B452" s="19" t="inlineStr">
        <is>
          <t>Broadalbin</t>
        </is>
      </c>
      <c r="C452" s="19" t="inlineStr">
        <is>
          <t>Kennyetto Creek</t>
        </is>
      </c>
      <c r="D452" s="19" t="inlineStr">
        <is>
          <t>?</t>
        </is>
      </c>
      <c r="E452" s="19" t="n">
        <v>38.4</v>
      </c>
      <c r="F452" s="19" t="inlineStr">
        <is>
          <t>maximum annual gage height of 5.7 feet, affected by backwater from ice, reported at USGS gage Kennyetto Creek near Broadalbin, on April 8, 1940. Discharge 860 cfs. -- Keywords: Kennyetto Creek at Broadalbin, NY on Apr 08, 1940 [3610]</t>
        </is>
      </c>
    </row>
    <row r="453" ht="34.5" customHeight="1" s="13">
      <c r="A453" s="19" t="inlineStr">
        <is>
          <t>1940-04-01</t>
        </is>
      </c>
      <c r="B453" s="19" t="inlineStr">
        <is>
          <t>Hope</t>
        </is>
      </c>
      <c r="C453" s="19" t="inlineStr">
        <is>
          <t>Sacandaga River</t>
        </is>
      </c>
      <c r="D453" s="19" t="inlineStr">
        <is>
          <t>?</t>
        </is>
      </c>
      <c r="E453" s="19" t="n">
        <v>58.9</v>
      </c>
      <c r="F453" s="19" t="inlineStr">
        <is>
          <t>maximum annual gage height of 8.40 feet, affected by backwater from ice, reported at USGS gage Sacandaga River near Hope, on April 1, 1940. -- Keywords: Sacandaga River at Hope, NY on Apr 01, 1940 [3601]</t>
        </is>
      </c>
    </row>
    <row r="454" ht="34.5" customHeight="1" s="13">
      <c r="A454" s="19" t="inlineStr">
        <is>
          <t>1940-03-15</t>
        </is>
      </c>
      <c r="B454" s="19" t="inlineStr">
        <is>
          <t>Arena</t>
        </is>
      </c>
      <c r="C454" s="19" t="inlineStr">
        <is>
          <t>Mill Brook</t>
        </is>
      </c>
      <c r="D454" s="19" t="inlineStr">
        <is>
          <t>?</t>
        </is>
      </c>
      <c r="E454" s="19" t="n">
        <v>44.9</v>
      </c>
      <c r="F454" s="19" t="inlineStr">
        <is>
          <t>maximum annual gage height of 5.11 feet, affected by backwater from ice, reported at USGS gage Mill Brook at Arena, on March 15, 1940. -- Keywords: Mill Brook at Arena, NY on Mar 15, 1940 [3795]</t>
        </is>
      </c>
    </row>
    <row r="455" ht="57" customHeight="1" s="13">
      <c r="A455" s="19" t="inlineStr">
        <is>
          <t>1940-03-15</t>
        </is>
      </c>
      <c r="B455" s="19" t="inlineStr">
        <is>
          <t>Gardiner</t>
        </is>
      </c>
      <c r="C455" s="19" t="inlineStr">
        <is>
          <t>Wallkill River</t>
        </is>
      </c>
      <c r="D455" s="19" t="inlineStr">
        <is>
          <t>?</t>
        </is>
      </c>
      <c r="E455" s="19" t="n">
        <v>57.4</v>
      </c>
      <c r="F455" s="19" t="inlineStr">
        <is>
          <t>maximum annual gage height of 13.24 feet, affected by backwater from ice, reported at USGS gage Wallkill River at Gardiner, on March 15, 1940. Additional ice-affected gage height of 12.40 feet, reported on March 20, 1940. Discharge 8,000 cfs. NWSFO/NERFC flood stage 15 ft  -- Keywords: Wallkill River at Gardiner, NY on Mar 15, 1940 [4468]</t>
        </is>
      </c>
    </row>
    <row r="456" ht="45.75" customHeight="1" s="13">
      <c r="A456" s="19" t="inlineStr">
        <is>
          <t>1940-03-15</t>
        </is>
      </c>
      <c r="B456" s="19" t="inlineStr">
        <is>
          <t>Rosendale</t>
        </is>
      </c>
      <c r="C456" s="19" t="inlineStr">
        <is>
          <t>Rondout Creek</t>
        </is>
      </c>
      <c r="D456" s="19" t="inlineStr">
        <is>
          <t>?</t>
        </is>
      </c>
      <c r="E456" s="19" t="n">
        <v>46.6</v>
      </c>
      <c r="F456" s="19" t="inlineStr">
        <is>
          <t>maximum annual gage height of 14.38 feet, affected by backwater from ice, reported at USGS gage Rondout Creek at Rosendale, on March 15, 1940. NWSFO/NERFC flood stage 18 ft -- Keywords: Rondout Creek at Rosendale, NY on Mar 15, 1940 [3723]</t>
        </is>
      </c>
    </row>
    <row r="457" ht="34.5" customHeight="1" s="13">
      <c r="A457" s="19" t="inlineStr">
        <is>
          <t>1939-02-21</t>
        </is>
      </c>
      <c r="B457" s="19" t="inlineStr">
        <is>
          <t>Hope</t>
        </is>
      </c>
      <c r="C457" s="19" t="inlineStr">
        <is>
          <t>Sacandaga River</t>
        </is>
      </c>
      <c r="D457" s="19" t="inlineStr">
        <is>
          <t>?</t>
        </is>
      </c>
      <c r="E457" s="19" t="n">
        <v>58.9</v>
      </c>
      <c r="F457" s="19" t="inlineStr">
        <is>
          <t>maximum annual gage height of 7.46 feet, affected by backwater from ice, reported at USGS gage Sacandaga River near Hope, on February 21, 1939. -- Keywords: Sacandaga River at Hope, NY on Feb 21, 1939 [3600]</t>
        </is>
      </c>
    </row>
    <row r="458" ht="45.75" customHeight="1" s="13">
      <c r="A458" s="19" t="inlineStr">
        <is>
          <t>1939-02-17</t>
        </is>
      </c>
      <c r="B458" s="19" t="inlineStr">
        <is>
          <t>Prattsville</t>
        </is>
      </c>
      <c r="C458" s="19" t="inlineStr">
        <is>
          <t>Schoharie Creek</t>
        </is>
      </c>
      <c r="D458" s="19" t="inlineStr">
        <is>
          <t>?</t>
        </is>
      </c>
      <c r="E458" s="19" t="n">
        <v>24.5</v>
      </c>
      <c r="F458" s="19" t="inlineStr">
        <is>
          <t>maximum annual gage height of 10.09 feet, affected by backwater from ice, reported at USGS gage Schoharie Creek at Prattsville, on February 17, 1939. NWSFO/NERFC flood stage 10 ft -- Keywords: Schoharie Creek at Prattsville, NY on Feb 17, 1939 [3680]</t>
        </is>
      </c>
    </row>
    <row r="459" ht="34.5" customHeight="1" s="13">
      <c r="A459" s="19" t="inlineStr">
        <is>
          <t>1939-02-16</t>
        </is>
      </c>
      <c r="B459" s="19" t="inlineStr">
        <is>
          <t>Gardiner</t>
        </is>
      </c>
      <c r="C459" s="19" t="inlineStr">
        <is>
          <t>Wallkill River</t>
        </is>
      </c>
      <c r="D459" s="19" t="inlineStr">
        <is>
          <t>?</t>
        </is>
      </c>
      <c r="E459" s="19" t="n">
        <v>57.4</v>
      </c>
      <c r="F459" s="19" t="inlineStr">
        <is>
          <t>maximum annual gage height of 14.18 feet, affected by backwater from ice, reported at USGS gage Wallkill River at Gardiner, on February 16, 1939. NWSFO/NERFC flood stage 15 ft  -- Keywords: Wallkill River at Gardiner, NY on Feb 16, 1939 [4467]</t>
        </is>
      </c>
    </row>
    <row r="460" ht="34.5" customHeight="1" s="13">
      <c r="A460" s="19" t="inlineStr">
        <is>
          <t>1939-02-15</t>
        </is>
      </c>
      <c r="B460" s="19" t="inlineStr">
        <is>
          <t>Battenville</t>
        </is>
      </c>
      <c r="C460" s="19" t="inlineStr">
        <is>
          <t>Batten Kill</t>
        </is>
      </c>
      <c r="D460" s="19" t="inlineStr">
        <is>
          <t>?</t>
        </is>
      </c>
      <c r="E460" s="19" t="n">
        <v>51</v>
      </c>
      <c r="F460" s="19" t="inlineStr">
        <is>
          <t>maximum annual gage height of 10.01 feet, affected by backwater from ice, reported at USGS gage Batten Kill at Battenville, on February 15, 1939. NWSFO/NERFC flood stage 11 ft -- Keywords: Batten Kill at Battenville, NY on Feb 15, 1939 [3622]</t>
        </is>
      </c>
    </row>
    <row r="461" ht="45.75" customHeight="1" s="13">
      <c r="A461" s="19" t="inlineStr">
        <is>
          <t>1939-02-15</t>
        </is>
      </c>
      <c r="B461" s="19" t="inlineStr">
        <is>
          <t>Eagle Bridge</t>
        </is>
      </c>
      <c r="C461" s="19" t="inlineStr">
        <is>
          <t>Hoosic River</t>
        </is>
      </c>
      <c r="D461" s="19" t="inlineStr">
        <is>
          <t>?</t>
        </is>
      </c>
      <c r="E461" s="19" t="n">
        <v>44.9</v>
      </c>
      <c r="F461" s="19" t="inlineStr">
        <is>
          <t>maximum annual gage height of 11.05 feet, affected by backwater from ice, reported at USGS gage Hoosic River near Eagle Bridge, on February 15, 1939. NWSFO/NERFC flood stage 11 ft -- Keywords: Hoosic River at Eagle Bridge, NY on Feb 15, 1939 [3654]</t>
        </is>
      </c>
    </row>
    <row r="462" ht="34.5" customHeight="1" s="13">
      <c r="A462" s="19" t="inlineStr">
        <is>
          <t>1939-02-15</t>
        </is>
      </c>
      <c r="B462" s="19" t="inlineStr">
        <is>
          <t>Fishs Eddy</t>
        </is>
      </c>
      <c r="C462" s="19" t="inlineStr">
        <is>
          <t>East Branch Delaware River</t>
        </is>
      </c>
      <c r="D462" s="19" t="inlineStr">
        <is>
          <t>?</t>
        </is>
      </c>
      <c r="E462" s="19" t="n">
        <v>68.59999999999999</v>
      </c>
      <c r="F462" s="19" t="inlineStr">
        <is>
          <t>maximum annual gage height of 13.63 feet, affected by backwater from ice, reported at USGS gage East Branch Delaware River at Fishs Eddy, on February 15, 1939. -- Keywords: East Branch Delaware River at Fishs Eddy, NY on Feb 15, 1939 [3831]</t>
        </is>
      </c>
    </row>
    <row r="463" ht="34.5" customHeight="1" s="13">
      <c r="A463" s="19" t="inlineStr">
        <is>
          <t>1939-02-15</t>
        </is>
      </c>
      <c r="B463" s="19" t="inlineStr">
        <is>
          <t>Harvard</t>
        </is>
      </c>
      <c r="C463" s="19" t="inlineStr">
        <is>
          <t>East Branch Delaware River</t>
        </is>
      </c>
      <c r="D463" s="19" t="inlineStr">
        <is>
          <t>?</t>
        </is>
      </c>
      <c r="E463" s="19" t="n">
        <v>65</v>
      </c>
      <c r="F463" s="19" t="inlineStr">
        <is>
          <t>maximum annual gage height of 13.33 feet, affected by backwater from ice, reported at USGS gage East Branch Delaware River at Harvard, on February 15, 1939. -- Keywords: East Branch Delaware River at Harvard, NY on Feb 15, 1939 [3807]</t>
        </is>
      </c>
    </row>
    <row r="464" ht="34.5" customHeight="1" s="13">
      <c r="A464" s="19" t="inlineStr">
        <is>
          <t>1938-02-07</t>
        </is>
      </c>
      <c r="B464" s="19" t="inlineStr">
        <is>
          <t>Rockdale</t>
        </is>
      </c>
      <c r="C464" s="19" t="inlineStr">
        <is>
          <t>Unadilla River</t>
        </is>
      </c>
      <c r="D464" s="19" t="inlineStr">
        <is>
          <t>?</t>
        </is>
      </c>
      <c r="E464" s="19" t="n">
        <v>70.3</v>
      </c>
      <c r="F464" s="19" t="inlineStr">
        <is>
          <t>maximum annual gage height of 8.85 feet, affected by backwater from ice, reported at USGS gage Unadilla River at Rockdale, on February 7, 1938. -- Keywords: Unadilla River at Rockdale, NY on Feb 07, 1938 [3943]</t>
        </is>
      </c>
    </row>
    <row r="465" ht="34.5" customHeight="1" s="13">
      <c r="A465" s="19" t="inlineStr">
        <is>
          <t>1938-01-25</t>
        </is>
      </c>
      <c r="B465" s="19" t="inlineStr">
        <is>
          <t>Shavertown</t>
        </is>
      </c>
      <c r="C465" s="19" t="inlineStr">
        <is>
          <t>Tremper Kill</t>
        </is>
      </c>
      <c r="D465" s="19" t="inlineStr">
        <is>
          <t>?</t>
        </is>
      </c>
      <c r="E465" s="19" t="n">
        <v>48.7</v>
      </c>
      <c r="F465" s="19" t="inlineStr">
        <is>
          <t>gage height of 4.22 feet, affected by backwater from ice, reported at USGS gage Tremper Kill near Shavertown, on January 25, 1938. Discharge 900 cfs. -- Keywords: Tremper Kill at Shavertown, NY on Jan 25, 1938 [3801]</t>
        </is>
      </c>
    </row>
    <row r="466" ht="34.5" customHeight="1" s="13">
      <c r="A466" s="19" t="inlineStr">
        <is>
          <t>1938-01-25</t>
        </is>
      </c>
      <c r="B466" s="19" t="inlineStr">
        <is>
          <t>South New Berlin</t>
        </is>
      </c>
      <c r="C466" s="19" t="inlineStr">
        <is>
          <t>Sage Brook</t>
        </is>
      </c>
      <c r="D466" s="19" t="inlineStr">
        <is>
          <t>?</t>
        </is>
      </c>
      <c r="E466" s="19" t="n">
        <v>70.59999999999999</v>
      </c>
      <c r="F466" s="19" t="inlineStr">
        <is>
          <t>gage height of 3.44 feet, affected by backwater from ice, reported at USGS gage Sage Brook near South New Berlin, on January 25, 1938. Discharge 27.7 cfs. -- Keywords: Sage Brook at South New Berlin, NY on Jan 25, 1938 [3942]</t>
        </is>
      </c>
    </row>
    <row r="467" ht="79.5" customHeight="1" s="13">
      <c r="A467" s="19" t="inlineStr">
        <is>
          <t>1936-03-19</t>
        </is>
      </c>
      <c r="B467" s="19" t="inlineStr">
        <is>
          <t>Coxsackie</t>
        </is>
      </c>
      <c r="C467" s="19" t="inlineStr">
        <is>
          <t>Hudson River</t>
        </is>
      </c>
      <c r="D467" s="19" t="inlineStr">
        <is>
          <t>Break-up</t>
        </is>
      </c>
      <c r="E467" s="19" t="n">
        <v>14.3</v>
      </c>
      <c r="F467" s="19" t="inlineStr">
        <is>
          <t>Picture caption in The Caledonian-Record on Friday, March 20, 1936, "Ice Jam Smashes Boats As Hudson Floods - Numerous boats were smashed or torn loose from their mooring along the Hudson river as winter ice broke up and was hurled downstream by flood waters. This picture demonstrates the tremendous force of the jam.  Anchored in the path of the ice, the Storm King, salvage boat, was torn loose and tossed ashore near Coxsackie, N.Y." -- Keywords: Hudson River at Coxsackie, NY on Mar 19, 1936 [477]</t>
        </is>
      </c>
    </row>
    <row r="468" ht="45.75" customHeight="1" s="13">
      <c r="A468" s="19" t="inlineStr">
        <is>
          <t>1936-03-17</t>
        </is>
      </c>
      <c r="B468" s="19" t="inlineStr">
        <is>
          <t>Kast Bridge</t>
        </is>
      </c>
      <c r="C468" s="19" t="inlineStr">
        <is>
          <t>West Canada Creek</t>
        </is>
      </c>
      <c r="D468" s="19" t="inlineStr">
        <is>
          <t>?</t>
        </is>
      </c>
      <c r="E468" s="19" t="n">
        <v>61.3</v>
      </c>
      <c r="F468" s="19" t="inlineStr">
        <is>
          <t>Maximum gage height of 6.12 feet due to backwater from ice reported at USGS gage West Canada Creek at Kast Bridge at 9:30 p.m. on March 17, 1936. Average daily discharge 3,200 cfs. -- Keywords: West Canada Creek at Kast Bridge, NY on Mar 17, 1936 [1673]</t>
        </is>
      </c>
    </row>
    <row r="469" ht="34.5" customHeight="1" s="13">
      <c r="A469" s="19" t="inlineStr">
        <is>
          <t>1936-03-17</t>
        </is>
      </c>
      <c r="B469" s="19" t="inlineStr">
        <is>
          <t>Kast Bridge</t>
        </is>
      </c>
      <c r="C469" s="19" t="inlineStr">
        <is>
          <t>West Canada Creek</t>
        </is>
      </c>
      <c r="D469" s="19" t="inlineStr">
        <is>
          <t>?</t>
        </is>
      </c>
      <c r="E469" s="19" t="n">
        <v>61.6</v>
      </c>
      <c r="F469" s="19" t="inlineStr">
        <is>
          <t>maximum annual gage height of 6.12 feet, affected by backwater from ice, reported at USGS gage West Canada Creek at Kast Bridge, on March 17, 1936. -- Keywords: West Canada Creek at Kast Bridge, NY on Mar 17, 1936 [3664]</t>
        </is>
      </c>
    </row>
    <row r="470" ht="135.75" customHeight="1" s="13">
      <c r="A470" s="19" t="inlineStr">
        <is>
          <t>1936-03-13</t>
        </is>
      </c>
      <c r="B470" s="19" t="inlineStr">
        <is>
          <t>Albany</t>
        </is>
      </c>
      <c r="C470" s="19" t="inlineStr">
        <is>
          <t>Hudson River</t>
        </is>
      </c>
      <c r="D470" s="19" t="inlineStr">
        <is>
          <t>?</t>
        </is>
      </c>
      <c r="E470" s="19" t="n">
        <v>17.4</v>
      </c>
      <c r="F470" s="19" t="inlineStr">
        <is>
          <t>As reported in The Middletown Press on Friday evening, March 13, 1936, "Tons of ice jammed in the Hudson River near Castleton early today, threatening to back up water into communities of the lower Hudson. ... Tons of ice, released when jams in the upper Hudson and the Mohawk rivers broke yesterday, piled up today near Castleton, creating a grave threat to the safety of communities along the lower Hudson. In the Southern tier of New York counties which bore the brunt of last July's floods, conditions remained uncertain with ice jams forming and breaking. The condition along the lower Hudson was made more serious by the ice not having gone today. If the vast store of water being impounded by the Castleton jam is released suddenly villages and towns along the river front probably will be flooded. The Castleton jam backed up water as far North as Albany, which was inundated along the river front to a depth of two to three feet." -- Keywords: Hudson River at Albany, NY on Mar 13, 1936 [473]</t>
        </is>
      </c>
    </row>
    <row r="471" ht="34.5" customHeight="1" s="13">
      <c r="A471" s="19" t="inlineStr">
        <is>
          <t>1936-03-12</t>
        </is>
      </c>
      <c r="B471" s="19" t="inlineStr">
        <is>
          <t>Northville</t>
        </is>
      </c>
      <c r="C471" s="19" t="inlineStr">
        <is>
          <t>West Stony Creek</t>
        </is>
      </c>
      <c r="D471" s="19" t="inlineStr">
        <is>
          <t>?</t>
        </is>
      </c>
      <c r="E471" s="19" t="n">
        <v>51.7</v>
      </c>
      <c r="F471" s="19" t="inlineStr">
        <is>
          <t>Gage height of 6.80 feet due to backwater from ice reported at USGS gage West Stony Creek near Northville at 5:30 a.m. on March 12, 1936. -- Keywords: West Stony Creek at Northville, NY on Mar 12, 1936 [1688]</t>
        </is>
      </c>
    </row>
    <row r="472" ht="34.5" customHeight="1" s="13">
      <c r="A472" s="19" t="inlineStr">
        <is>
          <t>1936-03-12</t>
        </is>
      </c>
      <c r="B472" s="19" t="inlineStr">
        <is>
          <t>Gardiner</t>
        </is>
      </c>
      <c r="C472" s="19" t="inlineStr">
        <is>
          <t>Wallkill River</t>
        </is>
      </c>
      <c r="D472" s="19" t="inlineStr">
        <is>
          <t>?</t>
        </is>
      </c>
      <c r="E472" s="19" t="n">
        <v>57.7</v>
      </c>
      <c r="F472" s="19" t="inlineStr">
        <is>
          <t>Maximum gage height of 16.42 feet due to backwater from ice reported at USGS gage Wallkill River at Gardiner on March 12, 1936. -- Keywords: Wallkill River at Gardiner, NY on Mar 12, 1936 [1646]</t>
        </is>
      </c>
    </row>
    <row r="473" ht="34.5" customHeight="1" s="13">
      <c r="A473" s="19" t="inlineStr">
        <is>
          <t>1936-03-12</t>
        </is>
      </c>
      <c r="B473" s="19" t="inlineStr">
        <is>
          <t>Gardiner</t>
        </is>
      </c>
      <c r="C473" s="19" t="inlineStr">
        <is>
          <t>Wallkill River</t>
        </is>
      </c>
      <c r="D473" s="19" t="inlineStr">
        <is>
          <t>?</t>
        </is>
      </c>
      <c r="E473" s="19" t="n">
        <v>57.4</v>
      </c>
      <c r="F473" s="19" t="inlineStr">
        <is>
          <t>maximum annual gage height of 16.42 feet, affected by backwater from ice, reported at USGS gage Wallkill River at Gardiner, on March 12, 1936. NWSFO/NERFC flood stage 15 ft  -- Keywords: Wallkill River at Gardiner, NY on Mar 12, 1936 [4466]</t>
        </is>
      </c>
    </row>
    <row r="474" ht="57" customHeight="1" s="13">
      <c r="A474" s="19" t="inlineStr">
        <is>
          <t>1936-03-12</t>
        </is>
      </c>
      <c r="B474" s="19" t="inlineStr">
        <is>
          <t>Hope</t>
        </is>
      </c>
      <c r="C474" s="19" t="inlineStr">
        <is>
          <t>Sacandaga River</t>
        </is>
      </c>
      <c r="D474" s="19" t="inlineStr">
        <is>
          <t>?</t>
        </is>
      </c>
      <c r="E474" s="19" t="n">
        <v>58.9</v>
      </c>
      <c r="F474" s="19" t="inlineStr">
        <is>
          <t>Gage height of 10.08 feet due to backwater from ice reported at USGS gage Sacandaga River near Hope at 5:00 a.m. on March 12, 1936; gage height of 8.74 feet due to backwater from ice reported at 6:50 a.m. on March 12; gage height of 7.40 feet due to backwater from ice reported at 6:20 p.m. on March 12. -- Keywords: Sacandaga River at Hope, NY on Mar 12, 1936 [1376]</t>
        </is>
      </c>
    </row>
    <row r="475" ht="34.5" customHeight="1" s="13">
      <c r="A475" s="19" t="inlineStr">
        <is>
          <t>1936-03-12</t>
        </is>
      </c>
      <c r="B475" s="19" t="inlineStr">
        <is>
          <t>Hope</t>
        </is>
      </c>
      <c r="C475" s="19" t="inlineStr">
        <is>
          <t>Sacandaga River</t>
        </is>
      </c>
      <c r="D475" s="19" t="inlineStr">
        <is>
          <t>?</t>
        </is>
      </c>
      <c r="E475" s="19" t="n">
        <v>58.9</v>
      </c>
      <c r="F475" s="19" t="inlineStr">
        <is>
          <t>maximum annual gage height of 10.08 feet, affected by backwater from ice, reported at USGS gage Sacandaga River near Hope, on March 12, 1936. -- Keywords: Sacandaga River at Hope, NY on Mar 12, 1936 [3599]</t>
        </is>
      </c>
    </row>
    <row r="476" ht="135.75" customHeight="1" s="13">
      <c r="A476" s="19" t="inlineStr">
        <is>
          <t>1936-03-12</t>
        </is>
      </c>
      <c r="B476" s="19" t="inlineStr">
        <is>
          <t>Hudson</t>
        </is>
      </c>
      <c r="C476" s="19" t="inlineStr">
        <is>
          <t>Rondout Creek</t>
        </is>
      </c>
      <c r="D476" s="19" t="inlineStr">
        <is>
          <t>?</t>
        </is>
      </c>
      <c r="E476" s="19" t="n">
        <v>55.3</v>
      </c>
      <c r="F476" s="19" t="inlineStr">
        <is>
          <t>As reported in The Caledonian-Record on Friday, March 13, 1936, "Portnons of Schenectady, Elmira, Watkins Glen, Montour Falls and Kingston, in New York state, were inundated, and at the latter place a score of barges, tugs and other craft were swept down Rondout Creek until they were halted by an ice jam and remoored.  Three watermen were rescued. Nine Ulster county hamlets were abandoned dut to rising waters on the Watkill river. . . . Fog hitting from the Hudson River today disclosed a fleet of tugs and barges jammed in a huge ice pack where they were swept by raging Roundout Creek yesterday. No one was believed to be aboard.  Watchers said they counted 20 or 30 vessels. In the group was a 100-foot steam yacht. This and others were torn away from dry docks a mile and a half up Roundout Creek when an ice jam broke. Roundout Creek is a Hudson River tributary."  -- Keywords: Rondout Creek at Hudson, NY on Mar 12, 1936 [1372]</t>
        </is>
      </c>
    </row>
    <row r="477" ht="34.5" customHeight="1" s="13">
      <c r="A477" s="19" t="inlineStr">
        <is>
          <t>1936-03-12</t>
        </is>
      </c>
      <c r="B477" s="19" t="inlineStr">
        <is>
          <t>Cohoes</t>
        </is>
      </c>
      <c r="C477" s="19" t="inlineStr">
        <is>
          <t>Mohawk River</t>
        </is>
      </c>
      <c r="D477" s="19" t="inlineStr">
        <is>
          <t>?</t>
        </is>
      </c>
      <c r="E477" s="19" t="n">
        <v>25.2</v>
      </c>
      <c r="F477" s="19" t="inlineStr">
        <is>
          <t>Gage height of 18.31 feet due to backwater from ice reported at USGS gage Mohawk River at Conoes at 7:00 p.m. on March 12, 1936. -- Keywords: Mohawk River at Cohoes, NY on Mar 12, 1936 [1080]</t>
        </is>
      </c>
    </row>
    <row r="478" ht="168.75" customHeight="1" s="13">
      <c r="A478" s="19" t="inlineStr">
        <is>
          <t>1936-03-12</t>
        </is>
      </c>
      <c r="B478" s="19" t="inlineStr">
        <is>
          <t>Dolgeville</t>
        </is>
      </c>
      <c r="C478" s="19" t="inlineStr">
        <is>
          <t>East Canada Creek</t>
        </is>
      </c>
      <c r="D478" s="19" t="inlineStr">
        <is>
          <t>?</t>
        </is>
      </c>
      <c r="E478" s="19" t="n">
        <v>54.6</v>
      </c>
      <c r="F478" s="19" t="inlineStr">
        <is>
          <t>Gage height of 9.00 feet due to ice reported at 5:30 a.m.; gage height of 7.88 feet due to ice reported at 5:40 a.m.; gage height of 8.66 feet due to ice reported at 4:00 p.m. on March 12, 1936 at USGS gage East Canada Creek at Dolgeville. Gage height of 9.54 feet due to ice reported at 2:00 p.m. on March 13, 1936 at USGS gage East Canada Creek at Dolgeville. Gage height of 9.32 feet due to ice reported at 2:25 p.m. on March 14, 1936 at USGS gage East Canada Creek at Dolgeville. Gage height of 8.71 feet due to ice reported at 12:20 a.m.; gage height of 7.88 feet due to ice reported at 12:25 a.m. with discharge of 2,250 cfs on March 15, 1936 at USGS gage East Canada Creek at Dolgeville.  Gage height of 9.16 feet due to ice reported at 6:05 p.m.; gage height of 9.75 feet due to ice reported at midnight on March 16, 1936 at USGS gage East Canada Creek at Dolgeville.  Gage height of 10.73 feet due to ice reported at 7:20 a.m. on March 17, 1936 at USGS gage East Canada Creek at Dolgeville.  Gage height of 11.11 feet due to ice reported at 3:10 a.m. on March 18, 1936 at USGS gage East Canada Creek at Dolgeville. -- Keywords: East Canada Creek at Dolgeville, NY on Mar 12, 1936 [372]</t>
        </is>
      </c>
    </row>
    <row r="479" ht="34.5" customHeight="1" s="13">
      <c r="A479" s="19" t="inlineStr">
        <is>
          <t>1936-03-12</t>
        </is>
      </c>
      <c r="B479" s="19" t="inlineStr">
        <is>
          <t>Dolgeville</t>
        </is>
      </c>
      <c r="C479" s="19" t="inlineStr">
        <is>
          <t>East Canada Creek</t>
        </is>
      </c>
      <c r="D479" s="19" t="inlineStr">
        <is>
          <t>?</t>
        </is>
      </c>
      <c r="E479" s="19" t="n">
        <v>54.8</v>
      </c>
      <c r="F479" s="19" t="inlineStr">
        <is>
          <t>maximum annual gage height of 11.16 feet, affected by backwater from ice, reported at USGS gage East Canada Creek at Dolgeville, on March 12, 1936. -- Keywords: East Canada Creek at Dolgeville, NY on Mar 12, 1936 [3673]</t>
        </is>
      </c>
    </row>
    <row r="480" ht="34.5" customHeight="1" s="13">
      <c r="A480" s="19" t="inlineStr">
        <is>
          <t>1936-03-11</t>
        </is>
      </c>
      <c r="B480" s="19" t="inlineStr">
        <is>
          <t>Battenville</t>
        </is>
      </c>
      <c r="C480" s="19" t="inlineStr">
        <is>
          <t>Batten Kill</t>
        </is>
      </c>
      <c r="D480" s="19" t="inlineStr">
        <is>
          <t>?</t>
        </is>
      </c>
      <c r="E480" s="19" t="n">
        <v>51</v>
      </c>
      <c r="F480" s="19" t="inlineStr">
        <is>
          <t>Gage height of 8.87 feet due to backwater from ice reported at USGS gage Batten Kill at Battenville at 4:30 p.m. on March 11, 1936. -- Keywords: Batten Kill at Battenville, NY on Mar 11, 1936 [70]</t>
        </is>
      </c>
    </row>
    <row r="481" ht="34.5" customHeight="1" s="13">
      <c r="A481" s="19" t="inlineStr">
        <is>
          <t>1935-03-18</t>
        </is>
      </c>
      <c r="B481" s="19" t="inlineStr">
        <is>
          <t>Northville</t>
        </is>
      </c>
      <c r="C481" s="19" t="inlineStr">
        <is>
          <t>West Stony Creek</t>
        </is>
      </c>
      <c r="D481" s="19" t="inlineStr">
        <is>
          <t>?</t>
        </is>
      </c>
      <c r="E481" s="19" t="n">
        <v>51.7</v>
      </c>
      <c r="F481" s="19" t="inlineStr">
        <is>
          <t>Maximum gage height of 7.90 feet due to backwater from ice reported at USGS gage West Stony Creek near Northville on March 18, 1935 (period of record 1933-35). -- Keywords: West Stony Creek at Northville, NY on Mar 18, 1935 [1687]</t>
        </is>
      </c>
    </row>
    <row r="482" ht="34.5" customHeight="1" s="13">
      <c r="A482" s="19" t="inlineStr">
        <is>
          <t>1935-03-07</t>
        </is>
      </c>
      <c r="B482" s="19" t="inlineStr">
        <is>
          <t>Gardiner</t>
        </is>
      </c>
      <c r="C482" s="19" t="inlineStr">
        <is>
          <t>Wallkill River</t>
        </is>
      </c>
      <c r="D482" s="19" t="inlineStr">
        <is>
          <t>?</t>
        </is>
      </c>
      <c r="E482" s="19" t="n">
        <v>57.4</v>
      </c>
      <c r="F482" s="19" t="inlineStr">
        <is>
          <t>maximum annual gage height of 13.42 feet, affected by backwater from ice, reported at USGS gage Wallkill River at Gardiner, on March 7, 1935. NWSFO/NERFC flood stage 15 ft  -- Keywords: Wallkill River at Gardiner, NY on Mar 07, 1935 [4465]</t>
        </is>
      </c>
    </row>
    <row r="483" ht="34.5" customHeight="1" s="13">
      <c r="A483" s="19" t="inlineStr">
        <is>
          <t>1935-03-06</t>
        </is>
      </c>
      <c r="B483" s="19" t="inlineStr">
        <is>
          <t>Harvard</t>
        </is>
      </c>
      <c r="C483" s="19" t="inlineStr">
        <is>
          <t>East Branch Delaware River</t>
        </is>
      </c>
      <c r="D483" s="19" t="inlineStr">
        <is>
          <t>?</t>
        </is>
      </c>
      <c r="E483" s="19" t="n">
        <v>65</v>
      </c>
      <c r="F483" s="19" t="inlineStr">
        <is>
          <t>maximum annual gage height of 12.25 feet, affected by backwater from ice, reported at USGS gage East Branch Delaware River at Harvard, on March 6, 1935. -- Keywords: East Branch Delaware River at Harvard, NY on Mar 06, 1935 [3806]</t>
        </is>
      </c>
    </row>
    <row r="484" ht="34.5" customHeight="1" s="13">
      <c r="A484" s="19" t="inlineStr">
        <is>
          <t>1935-03-06</t>
        </is>
      </c>
      <c r="B484" s="19" t="inlineStr">
        <is>
          <t>Fishs Eddy</t>
        </is>
      </c>
      <c r="C484" s="19" t="inlineStr">
        <is>
          <t>East Branch Delaware River</t>
        </is>
      </c>
      <c r="D484" s="19" t="inlineStr">
        <is>
          <t>?</t>
        </is>
      </c>
      <c r="E484" s="19" t="n">
        <v>68.59999999999999</v>
      </c>
      <c r="F484" s="19" t="inlineStr">
        <is>
          <t>maximum annual gage height of 17.10 feet, affected by backwater from ice, reported at USGS gage East Branch Delaware River at Fishs Eddy, on March 6, 1935. -- Keywords: East Branch Delaware River at Fishs Eddy, NY on Mar 06, 1935 [3830]</t>
        </is>
      </c>
    </row>
    <row r="485" ht="34.5" customHeight="1" s="13">
      <c r="A485" s="19" t="inlineStr">
        <is>
          <t>1935-03-06</t>
        </is>
      </c>
      <c r="B485" s="19" t="inlineStr">
        <is>
          <t>Harvard</t>
        </is>
      </c>
      <c r="C485" s="19" t="inlineStr">
        <is>
          <t>East Branch Delaware River</t>
        </is>
      </c>
      <c r="D485" s="19" t="inlineStr">
        <is>
          <t>?</t>
        </is>
      </c>
      <c r="E485" s="19" t="n">
        <v>64.7</v>
      </c>
      <c r="F485" s="19" t="inlineStr">
        <is>
          <t>Maximum gage height of 12.25 feet due to backwater from ice reported at USGS gage East Branch of Delaware River at Harvard on March 6, 1935. -- Keywords: East Branch of Delaware River at Harvard, NY on Mar 06, 1935 [370]</t>
        </is>
      </c>
    </row>
    <row r="486" ht="34.5" customHeight="1" s="13">
      <c r="A486" s="19" t="inlineStr">
        <is>
          <t>1935-01-10</t>
        </is>
      </c>
      <c r="B486" s="19" t="inlineStr">
        <is>
          <t>Dolgeville</t>
        </is>
      </c>
      <c r="C486" s="19" t="inlineStr">
        <is>
          <t>East Canada Creek</t>
        </is>
      </c>
      <c r="D486" s="19" t="inlineStr">
        <is>
          <t>?</t>
        </is>
      </c>
      <c r="E486" s="19" t="n">
        <v>54.8</v>
      </c>
      <c r="F486" s="19" t="inlineStr">
        <is>
          <t>maximum annual gage height of 11.37 feet, affected by backwater from ice, reported at USGS gage East Canada Creek at Dolgeville, on January 10, 1935. -- Keywords: East Canada Creek at Dolgeville, NY on Jan 10, 1935 [3672]</t>
        </is>
      </c>
    </row>
    <row r="487" ht="45.75" customHeight="1" s="13">
      <c r="A487" s="19" t="inlineStr">
        <is>
          <t>1935-01-10</t>
        </is>
      </c>
      <c r="B487" s="19" t="inlineStr">
        <is>
          <t>Cohoes</t>
        </is>
      </c>
      <c r="C487" s="19" t="inlineStr">
        <is>
          <t>Mohawk River</t>
        </is>
      </c>
      <c r="D487" s="19" t="inlineStr">
        <is>
          <t>?</t>
        </is>
      </c>
      <c r="E487" s="19" t="n">
        <v>25.3</v>
      </c>
      <c r="F487" s="19" t="inlineStr">
        <is>
          <t>maximum annual gage height of 18.15 feet, occurred earlier in day; result of an ice jam, reported at USGS gage Mohawk River at Cohoes, on January 10, 1935. Discharge 61,100 cfs. NWSFO/NERFC flood stage 20 ft -- Keywords: Mohawk River at Cohoes, NY on Jan 10, 1935 [3704]</t>
        </is>
      </c>
    </row>
    <row r="488" ht="34.5" customHeight="1" s="13">
      <c r="A488" s="19" t="inlineStr">
        <is>
          <t>1935-01-10</t>
        </is>
      </c>
      <c r="B488" s="19" t="inlineStr">
        <is>
          <t>West Milton</t>
        </is>
      </c>
      <c r="C488" s="19" t="inlineStr">
        <is>
          <t>Kayaderosseras Creek</t>
        </is>
      </c>
      <c r="D488" s="19" t="inlineStr">
        <is>
          <t>?</t>
        </is>
      </c>
      <c r="E488" s="19" t="n">
        <v>36.6</v>
      </c>
      <c r="F488" s="19" t="inlineStr">
        <is>
          <t>gage height of 6.95 feet, affected by backwater from ice, reported at USGS gage Kayaderosseras Creek near West Milton, on January 10, 1935. Discharge 1,900 cfs. -- Keywords: Kayaderosseras Creek at West Milton, NY on Jan 10, 1935 [3636]</t>
        </is>
      </c>
    </row>
    <row r="489" ht="34.5" customHeight="1" s="13">
      <c r="A489" s="19" t="inlineStr">
        <is>
          <t>1935-01-10</t>
        </is>
      </c>
      <c r="B489" s="19" t="inlineStr">
        <is>
          <t>Northville</t>
        </is>
      </c>
      <c r="C489" s="19" t="inlineStr">
        <is>
          <t>East Stony Creek</t>
        </is>
      </c>
      <c r="D489" s="19" t="inlineStr">
        <is>
          <t>?</t>
        </is>
      </c>
      <c r="E489" s="19" t="n">
        <v>54.4</v>
      </c>
      <c r="F489" s="19" t="inlineStr">
        <is>
          <t>Maximum gage height 4.5 feet due to backwater from ice reported at USGS gage East Stony Creek near Northville on January 10, 1935 (period of record: 1933-35). -- Keywords: East Stony Creek at Northville, NY on Jan 10, 1935 [394]</t>
        </is>
      </c>
    </row>
    <row r="490" ht="34.5" customHeight="1" s="13">
      <c r="A490" s="19" t="inlineStr">
        <is>
          <t>1935-01-09</t>
        </is>
      </c>
      <c r="B490" s="19" t="inlineStr">
        <is>
          <t>Kast Bridge</t>
        </is>
      </c>
      <c r="C490" s="19" t="inlineStr">
        <is>
          <t>West Canada Creek</t>
        </is>
      </c>
      <c r="D490" s="19" t="inlineStr">
        <is>
          <t>?</t>
        </is>
      </c>
      <c r="E490" s="19" t="n">
        <v>61.6</v>
      </c>
      <c r="F490" s="19" t="inlineStr">
        <is>
          <t>maximum annual gage height of 6.37 feet, affected by backwater from ice, reported at USGS gage West Canada Creek, at Kast Bridge, on January 9, 1935. -- Keywords: West Canada Creek at Kast Bridge, NY on Jan 09, 1935 [3663]</t>
        </is>
      </c>
    </row>
    <row r="491" ht="34.5" customHeight="1" s="13">
      <c r="A491" s="19" t="inlineStr">
        <is>
          <t>1935-01-09</t>
        </is>
      </c>
      <c r="B491" s="19" t="inlineStr">
        <is>
          <t>Hope</t>
        </is>
      </c>
      <c r="C491" s="19" t="inlineStr">
        <is>
          <t>Sacandaga River</t>
        </is>
      </c>
      <c r="D491" s="19" t="inlineStr">
        <is>
          <t>?</t>
        </is>
      </c>
      <c r="E491" s="19" t="n">
        <v>58.9</v>
      </c>
      <c r="F491" s="19" t="inlineStr">
        <is>
          <t>maximum annual gage height of 8.10 feet, affected by backwater from ice, reported at USGS gage Sacandaga River near Hope, on January 9, 1935. -- Keywords: Sacandaga River at Hope, NY on Jan 09, 1935 [3598]</t>
        </is>
      </c>
    </row>
    <row r="492" ht="34.5" customHeight="1" s="13">
      <c r="A492" s="19" t="inlineStr">
        <is>
          <t>1934-03-29</t>
        </is>
      </c>
      <c r="B492" s="19" t="inlineStr">
        <is>
          <t>Dolgeville</t>
        </is>
      </c>
      <c r="C492" s="19" t="inlineStr">
        <is>
          <t>East Canada Creek</t>
        </is>
      </c>
      <c r="D492" s="19" t="inlineStr">
        <is>
          <t>?</t>
        </is>
      </c>
      <c r="E492" s="19" t="n">
        <v>54.8</v>
      </c>
      <c r="F492" s="19" t="inlineStr">
        <is>
          <t>maximum annual gage height of 12.93 feet, affected by backwater from ice, reported at USGS gage East Canada Creek at Dolgeville, on March 29, 1934. -- Keywords: East Canada Creek at Dolgeville, NY on Mar 29, 1934 [3671]</t>
        </is>
      </c>
    </row>
    <row r="493" ht="34.5" customHeight="1" s="13">
      <c r="A493" s="19" t="inlineStr">
        <is>
          <t>1934-03-05</t>
        </is>
      </c>
      <c r="B493" s="19" t="inlineStr">
        <is>
          <t>Cooks Falls</t>
        </is>
      </c>
      <c r="C493" s="19" t="inlineStr">
        <is>
          <t>Beaver Kill</t>
        </is>
      </c>
      <c r="D493" s="19" t="inlineStr">
        <is>
          <t>?</t>
        </is>
      </c>
      <c r="E493" s="19" t="n">
        <v>62</v>
      </c>
      <c r="F493" s="19" t="inlineStr">
        <is>
          <t>maximum annual gage height of 8.50 feet, affected by backwater from ice, reported at USGS gage Beaver Kill at Cooks Falls, on March 5, 1934. -- Keywords: Beaver Kill at Cooks Falls, NY on Mar 05, 1934 [3824]</t>
        </is>
      </c>
    </row>
    <row r="494" ht="34.5" customHeight="1" s="13">
      <c r="A494" s="19" t="inlineStr">
        <is>
          <t>1934-03-05</t>
        </is>
      </c>
      <c r="B494" s="19" t="inlineStr">
        <is>
          <t>Wappingers Falls</t>
        </is>
      </c>
      <c r="C494" s="19" t="inlineStr">
        <is>
          <t>Wappinger Creek</t>
        </is>
      </c>
      <c r="D494" s="19" t="inlineStr">
        <is>
          <t>?</t>
        </is>
      </c>
      <c r="E494" s="19" t="n">
        <v>60.3</v>
      </c>
      <c r="F494" s="19" t="inlineStr">
        <is>
          <t>maximum annual gage height of 11.78 feet, affected by backwater from ice, reported at USGS gage Wappinger Creek at Wappingers Falls, on March 5, 1934. -- Keywords: Wappinger Creek at Wappingers Falls, NY on Mar 05, 1934 [3747]</t>
        </is>
      </c>
    </row>
    <row r="495" ht="34.5" customHeight="1" s="13">
      <c r="A495" s="19" t="inlineStr">
        <is>
          <t>1934-03-05</t>
        </is>
      </c>
      <c r="B495" s="19" t="inlineStr">
        <is>
          <t>Gardiner</t>
        </is>
      </c>
      <c r="C495" s="19" t="inlineStr">
        <is>
          <t>Wallkill River</t>
        </is>
      </c>
      <c r="D495" s="19" t="inlineStr">
        <is>
          <t>?</t>
        </is>
      </c>
      <c r="E495" s="19" t="n">
        <v>57.4</v>
      </c>
      <c r="F495" s="19" t="inlineStr">
        <is>
          <t>maximum annual gage height of 17.04 feet, affected by backwater from ice, reported at USGS gage Wallkill River at Gardiner, on March 5, 1934. NWSFO/NERFC flood stage 15 ft  -- Keywords: Wallkill River at Gardiner, NY on Mar 05, 1934 [4464]</t>
        </is>
      </c>
    </row>
    <row r="496" ht="34.5" customHeight="1" s="13">
      <c r="A496" s="19" t="inlineStr">
        <is>
          <t>1934-03-05</t>
        </is>
      </c>
      <c r="B496" s="19" t="inlineStr">
        <is>
          <t>West Milton</t>
        </is>
      </c>
      <c r="C496" s="19" t="inlineStr">
        <is>
          <t>Kayaderosseras Creek</t>
        </is>
      </c>
      <c r="D496" s="19" t="inlineStr">
        <is>
          <t>?</t>
        </is>
      </c>
      <c r="E496" s="19" t="n">
        <v>36.6</v>
      </c>
      <c r="F496" s="19" t="inlineStr">
        <is>
          <t>maximum annual gage height of 7.34 feet, affected by backwater from ice, reported at USGS gage Kayaderosseras Creek near West Milton, on March 5, 1934. -- Keywords: Kayaderosseras Creek at West Milton, NY on Mar 05, 1934 [3635]</t>
        </is>
      </c>
    </row>
    <row r="497" ht="34.5" customHeight="1" s="13">
      <c r="A497" s="19" t="inlineStr">
        <is>
          <t>1934-03-04</t>
        </is>
      </c>
      <c r="B497" s="19" t="inlineStr">
        <is>
          <t>Rosendale</t>
        </is>
      </c>
      <c r="C497" s="19" t="inlineStr">
        <is>
          <t>Rondout Creek</t>
        </is>
      </c>
      <c r="D497" s="19" t="inlineStr">
        <is>
          <t>?</t>
        </is>
      </c>
      <c r="E497" s="19" t="n">
        <v>46.6</v>
      </c>
      <c r="F497" s="19" t="inlineStr">
        <is>
          <t>maximum annual gage height of 11.44 feet, affected by backwater from ice, reported at USGS gage Rondout Creek at Rosendale, on March 4, 1934. NWSFO/NERFC flood stage 18 ft -- Keywords: Rondout Creek at Rosendale, NY on Mar 04, 1934 [3722]</t>
        </is>
      </c>
    </row>
    <row r="498" ht="34.5" customHeight="1" s="13">
      <c r="A498" s="19" t="inlineStr">
        <is>
          <t>1934-03-04</t>
        </is>
      </c>
      <c r="B498" s="19" t="inlineStr">
        <is>
          <t>Fishs Eddy</t>
        </is>
      </c>
      <c r="C498" s="19" t="inlineStr">
        <is>
          <t>East Branch Delaware River</t>
        </is>
      </c>
      <c r="D498" s="19" t="inlineStr">
        <is>
          <t>?</t>
        </is>
      </c>
      <c r="E498" s="19" t="n">
        <v>68.59999999999999</v>
      </c>
      <c r="F498" s="19" t="inlineStr">
        <is>
          <t>maximum annual gage height of 13.25 feet, affected by backwater from ice, reported at USGS gage East Branch Delaware River at Fishs Eddy, on March 4, 1934. -- Keywords: East Branch Delaware River at Fishs Eddy, NY on Mar 04, 1934 [3829]</t>
        </is>
      </c>
    </row>
    <row r="499" ht="34.5" customHeight="1" s="13">
      <c r="A499" s="19" t="inlineStr">
        <is>
          <t>1934-03-03</t>
        </is>
      </c>
      <c r="B499" s="19" t="inlineStr">
        <is>
          <t>Troy</t>
        </is>
      </c>
      <c r="C499" s="19" t="inlineStr">
        <is>
          <t>Poesten Kill</t>
        </is>
      </c>
      <c r="D499" s="19" t="inlineStr">
        <is>
          <t>?</t>
        </is>
      </c>
      <c r="E499" s="19" t="n">
        <v>25.2</v>
      </c>
      <c r="F499" s="19" t="inlineStr">
        <is>
          <t>maximum annual gage height of 6.66 feet, affected by backwater from ice, reported at USGS gage Poesten Kill near Troy, on March 3, 1934. Discharge 1,760 cfs. -- Keywords: Poesten Kill at Troy, NY on Mar 03, 1934 [3707]</t>
        </is>
      </c>
    </row>
    <row r="500" ht="34.5" customHeight="1" s="13">
      <c r="A500" s="19" t="inlineStr">
        <is>
          <t>1934-03-03</t>
        </is>
      </c>
      <c r="B500" s="19" t="inlineStr">
        <is>
          <t>Kast Bridge</t>
        </is>
      </c>
      <c r="C500" s="19" t="inlineStr">
        <is>
          <t>West Canada Creek</t>
        </is>
      </c>
      <c r="D500" s="19" t="inlineStr">
        <is>
          <t>?</t>
        </is>
      </c>
      <c r="E500" s="19" t="n">
        <v>61.6</v>
      </c>
      <c r="F500" s="19" t="inlineStr">
        <is>
          <t>maximum annual gage height of 7.67 feet, affected by backwater from ice, reported at USGS gage West Canada Creek at Kast Bridge, on March 3, 1934. -- Keywords: West Canada Creek at Kast Bridge, NY on Mar 03, 1934 [3662]</t>
        </is>
      </c>
    </row>
    <row r="501" ht="34.5" customHeight="1" s="13">
      <c r="A501" s="19" t="inlineStr">
        <is>
          <t>1931-02-19</t>
        </is>
      </c>
      <c r="B501" s="19" t="inlineStr">
        <is>
          <t>Gardiner</t>
        </is>
      </c>
      <c r="C501" s="19" t="inlineStr">
        <is>
          <t>Wallkill River</t>
        </is>
      </c>
      <c r="D501" s="19" t="inlineStr">
        <is>
          <t>?</t>
        </is>
      </c>
      <c r="E501" s="19" t="n">
        <v>57.4</v>
      </c>
      <c r="F501" s="19" t="inlineStr">
        <is>
          <t>maximum annual gage height of 11.12 feet, affected by backwater from ice, reported at USGS gage Wallkill River at Gardiner, on February 19, 1931. NWSFO/NERFC flood stage 15 ft  -- Keywords: Wallkill River at Gardiner, NY on Feb 19, 1931 [4463]</t>
        </is>
      </c>
    </row>
    <row r="502" ht="34.5" customHeight="1" s="13">
      <c r="A502" s="19" t="inlineStr">
        <is>
          <t>1930-02-21</t>
        </is>
      </c>
      <c r="B502" s="19" t="inlineStr">
        <is>
          <t>Fishs Eddy</t>
        </is>
      </c>
      <c r="C502" s="19" t="inlineStr">
        <is>
          <t>East Branch Delaware River</t>
        </is>
      </c>
      <c r="D502" s="19" t="inlineStr">
        <is>
          <t>?</t>
        </is>
      </c>
      <c r="E502" s="19" t="n">
        <v>68.59999999999999</v>
      </c>
      <c r="F502" s="19" t="inlineStr">
        <is>
          <t>maximum annual gage height of 13.51 feet, affected by backwater from ice, reported at USGS gage East Branch Delaware River at Fishs Eddy, on February 21, 1930. -- Keywords: East Branch Delaware River at Fishs Eddy, NY on Feb 21, 1930 [3828]</t>
        </is>
      </c>
    </row>
    <row r="503" ht="34.5" customHeight="1" s="13">
      <c r="A503" s="19" t="inlineStr">
        <is>
          <t>1930-02-21</t>
        </is>
      </c>
      <c r="B503" s="19" t="inlineStr">
        <is>
          <t>Gardiner</t>
        </is>
      </c>
      <c r="C503" s="19" t="inlineStr">
        <is>
          <t>Wallkill River</t>
        </is>
      </c>
      <c r="D503" s="19" t="inlineStr">
        <is>
          <t>?</t>
        </is>
      </c>
      <c r="E503" s="19" t="n">
        <v>57.4</v>
      </c>
      <c r="F503" s="19" t="inlineStr">
        <is>
          <t>maximum annual gage height of 10.69 feet, affected by backwater from ice, reported at USGS gage Wallkill River at Gardiner, on February 21, 1930. NWSFO/NERFC flood stage 15 ft  -- Keywords: Wallkill River at Gardiner, NY on Feb 21, 1930 [4462]</t>
        </is>
      </c>
    </row>
    <row r="504" ht="45.75" customHeight="1" s="13">
      <c r="A504" s="19" t="inlineStr">
        <is>
          <t>1929-02-08</t>
        </is>
      </c>
      <c r="B504" s="19" t="inlineStr">
        <is>
          <t>Wappingers Falls</t>
        </is>
      </c>
      <c r="C504" s="19" t="inlineStr">
        <is>
          <t>Wappinger Creek</t>
        </is>
      </c>
      <c r="D504" s="19" t="inlineStr">
        <is>
          <t>?</t>
        </is>
      </c>
      <c r="E504" s="19" t="n">
        <v>60.3</v>
      </c>
      <c r="F504" s="19" t="inlineStr">
        <is>
          <t>maximum annual gage height of 8.35 feet, affected by backwater from ice, reported at USGS gage Wappinger Creek near Wappingers Falls, on February 8, 1929. Discharge 2,600 cfs. -- Keywords: Wappinger Creek at Wappingers Falls, NY on Feb 08, 1929 [3746]</t>
        </is>
      </c>
    </row>
    <row r="505" ht="45.75" customHeight="1" s="13">
      <c r="A505" s="19" t="inlineStr">
        <is>
          <t>1929-02-07</t>
        </is>
      </c>
      <c r="B505" s="19" t="inlineStr">
        <is>
          <t>Rosendale</t>
        </is>
      </c>
      <c r="C505" s="19" t="inlineStr">
        <is>
          <t>Rondout Creek</t>
        </is>
      </c>
      <c r="D505" s="19" t="inlineStr">
        <is>
          <t>?</t>
        </is>
      </c>
      <c r="E505" s="19" t="n">
        <v>46.6</v>
      </c>
      <c r="F505" s="19" t="inlineStr">
        <is>
          <t>maximum annual gage height of 10.00 feet, affected by backwater from ice, reported at USGS gage Rondout Creek at Rosendale, on February 7, 1929. NWSFO/NERFC flood stage 18 ft -- Keywords: Rondout Creek at Rosendale, NY on Feb 07, 1929 [3721]</t>
        </is>
      </c>
    </row>
    <row r="506" ht="34.5" customHeight="1" s="13">
      <c r="A506" s="19" t="inlineStr">
        <is>
          <t>1928-02-09</t>
        </is>
      </c>
      <c r="B506" s="19" t="inlineStr">
        <is>
          <t>Gardiner</t>
        </is>
      </c>
      <c r="C506" s="19" t="inlineStr">
        <is>
          <t>Wallkill River</t>
        </is>
      </c>
      <c r="D506" s="19" t="inlineStr">
        <is>
          <t>?</t>
        </is>
      </c>
      <c r="E506" s="19" t="n">
        <v>57.4</v>
      </c>
      <c r="F506" s="19" t="inlineStr">
        <is>
          <t>maximum annual gage height of 11.30 feet, affected by backwater from ice, reported at USGS gage Wallkill River at Gardiner, on February 9, 1928. NWSFO/NERFC flood stage 15 ft  -- Keywords: Wallkill River at Gardiner, NY on Feb 09, 1928 [4461]</t>
        </is>
      </c>
    </row>
    <row r="507" ht="34.5" customHeight="1" s="13">
      <c r="A507" s="19" t="inlineStr">
        <is>
          <t>1928-01-31</t>
        </is>
      </c>
      <c r="B507" s="19" t="inlineStr">
        <is>
          <t>Tribes Hill</t>
        </is>
      </c>
      <c r="C507" s="19" t="inlineStr">
        <is>
          <t>Hudson - Mohawk River</t>
        </is>
      </c>
      <c r="D507" s="19" t="inlineStr">
        <is>
          <t>?</t>
        </is>
      </c>
      <c r="E507" s="19" t="n">
        <v>32.7</v>
      </c>
      <c r="F507" s="19" t="inlineStr">
        <is>
          <t>The USDA Weather Bureau reported an ice gorge below the gage on the Hudson - Mohawk River at Tribes Hill, NY  on January 31-February 15, 1928.  -- Keywords: Hudson - Mohawk River at Tribes Hill, NY on Jan 31, 1928 [20031017133046]</t>
        </is>
      </c>
    </row>
    <row r="508" ht="34.5" customHeight="1" s="13">
      <c r="A508" s="19" t="inlineStr">
        <is>
          <t>1927-03-19</t>
        </is>
      </c>
      <c r="B508" s="19" t="inlineStr">
        <is>
          <t>Hadley</t>
        </is>
      </c>
      <c r="C508" s="19" t="inlineStr">
        <is>
          <t>Hudson River</t>
        </is>
      </c>
      <c r="D508" s="19" t="inlineStr">
        <is>
          <t>?</t>
        </is>
      </c>
      <c r="E508" s="19" t="n">
        <v>56.4</v>
      </c>
      <c r="F508" s="19" t="inlineStr">
        <is>
          <t>maximum annual gage height of 10.7 feet, affected by backwater from ice, reported at USGS gage Hudson River at Hadley, on March 19, 1927. NWSFO/NERFC flood stage 14 ft -- Keywords: Hudson River at Hadley, NY on Mar 19, 1927 [3593]</t>
        </is>
      </c>
    </row>
    <row r="509" ht="45.75" customHeight="1" s="13">
      <c r="A509" s="19" t="inlineStr">
        <is>
          <t>1927-01-23</t>
        </is>
      </c>
      <c r="B509" s="19" t="inlineStr">
        <is>
          <t>Rosendale</t>
        </is>
      </c>
      <c r="C509" s="19" t="inlineStr">
        <is>
          <t>Rondout Creek</t>
        </is>
      </c>
      <c r="D509" s="19" t="inlineStr">
        <is>
          <t>?</t>
        </is>
      </c>
      <c r="E509" s="19" t="n">
        <v>46.6</v>
      </c>
      <c r="F509" s="19" t="inlineStr">
        <is>
          <t>maximum annual gage height of 11.48 feet, affected by backwater from ice, reported at USGS gage Rondout Creek at Rosendale, on January 23, 1927. NWSFO/NERFC flood stage 18 ft -- Keywords: Rondout Creek at Rosendale, NY on Jan 23, 1927 [3720]</t>
        </is>
      </c>
    </row>
    <row r="510" ht="34.5" customHeight="1" s="13">
      <c r="A510" s="19" t="inlineStr">
        <is>
          <t>1926-03-20</t>
        </is>
      </c>
      <c r="B510" s="19" t="inlineStr">
        <is>
          <t>Troy</t>
        </is>
      </c>
      <c r="C510" s="19" t="inlineStr">
        <is>
          <t>Poesten Kill</t>
        </is>
      </c>
      <c r="D510" s="19" t="inlineStr">
        <is>
          <t>?</t>
        </is>
      </c>
      <c r="E510" s="19" t="n">
        <v>25.2</v>
      </c>
      <c r="F510" s="19" t="inlineStr">
        <is>
          <t>maximum annual gage height of 7.7 feet, affected by backwater from ice, reported at USGS gage Poesten Kill near Troy, on March 20, 1926. -- Keywords: Poesten Kill at Troy, NY on Mar 20, 1926 [3706]</t>
        </is>
      </c>
    </row>
    <row r="511" ht="45.75" customHeight="1" s="13">
      <c r="A511" s="19" t="inlineStr">
        <is>
          <t>1926-03-03</t>
        </is>
      </c>
      <c r="B511" s="19" t="inlineStr">
        <is>
          <t>Gardiner</t>
        </is>
      </c>
      <c r="C511" s="19" t="inlineStr">
        <is>
          <t>Wallkill River</t>
        </is>
      </c>
      <c r="D511" s="19" t="inlineStr">
        <is>
          <t>?</t>
        </is>
      </c>
      <c r="E511" s="19" t="n">
        <v>57.4</v>
      </c>
      <c r="F511" s="19" t="inlineStr">
        <is>
          <t>maximum annual gage height of 11.7 feet, affected by backwater from ice, reported at USGS gage Wallkill River at Gardiner, on March 3, 1926. Discharge 5,500 cfs. NWSFO/NERFC flood stage 15 ft  -- Keywords: Wallkill River at Gardiner, NY on Mar 03, 1926 [4460]</t>
        </is>
      </c>
    </row>
    <row r="512" ht="34.5" customHeight="1" s="13">
      <c r="A512" s="19" t="inlineStr">
        <is>
          <t>1926-01-19</t>
        </is>
      </c>
      <c r="B512" s="19" t="inlineStr">
        <is>
          <t>Battenville</t>
        </is>
      </c>
      <c r="C512" s="19" t="inlineStr">
        <is>
          <t>Batten Kill</t>
        </is>
      </c>
      <c r="D512" s="19" t="inlineStr">
        <is>
          <t>?</t>
        </is>
      </c>
      <c r="E512" s="19" t="n">
        <v>51</v>
      </c>
      <c r="F512" s="19" t="inlineStr">
        <is>
          <t>maximum annual gage height of 7.80 feet, affected by backwater from ice, reported at USGS gage Batten Kill at Battenville, on January 19, 1926. NWSFO/NERFC flood stage 11 ft -- Keywords: Batten Kill at Battenville, NY on Jan 19, 1926 [3621]</t>
        </is>
      </c>
    </row>
    <row r="513" ht="45.75" customHeight="1" s="13">
      <c r="A513" s="19" t="inlineStr">
        <is>
          <t>1925-02-12</t>
        </is>
      </c>
      <c r="B513" s="19" t="inlineStr">
        <is>
          <t>Gardiner</t>
        </is>
      </c>
      <c r="C513" s="19" t="inlineStr">
        <is>
          <t>Wallkill River</t>
        </is>
      </c>
      <c r="D513" s="19" t="inlineStr">
        <is>
          <t>?</t>
        </is>
      </c>
      <c r="E513" s="19" t="n">
        <v>57.4</v>
      </c>
      <c r="F513" s="19" t="inlineStr">
        <is>
          <t>maximum annual gage height of 13.31 feet, affected by backwater from ice, reported at USGS gage Wallkill River at Gardiner, on February 12, 1925. Discharge 8,500 cfs. NWSFO/NERFC flood stage 15 ft  -- Keywords: Wallkill River at Gardiner, NY on Feb 12, 1925 [4459]</t>
        </is>
      </c>
    </row>
    <row r="514" ht="34.5" customHeight="1" s="13">
      <c r="A514" s="19" t="inlineStr">
        <is>
          <t>1925-02-11</t>
        </is>
      </c>
      <c r="B514" s="19" t="inlineStr">
        <is>
          <t>Battenville</t>
        </is>
      </c>
      <c r="C514" s="19" t="inlineStr">
        <is>
          <t>Batten Kill</t>
        </is>
      </c>
      <c r="D514" s="19" t="inlineStr">
        <is>
          <t>?</t>
        </is>
      </c>
      <c r="E514" s="19" t="n">
        <v>51</v>
      </c>
      <c r="F514" s="19" t="inlineStr">
        <is>
          <t>maximum annual gage height of 11.52 feet, affected by backwater from ice, reported at USGS gage Batten Kill at Battenville, on February 11, 1925. NWSFO/NERFC flood stage 11 ft -- Keywords: Batten Kill at Battenville, NY on Feb 11, 1925 [3620]</t>
        </is>
      </c>
    </row>
    <row r="515" ht="45.75" customHeight="1" s="13">
      <c r="A515" s="19" t="inlineStr">
        <is>
          <t>1925-02-11</t>
        </is>
      </c>
      <c r="B515" s="19" t="inlineStr">
        <is>
          <t>Eagle Bridge</t>
        </is>
      </c>
      <c r="C515" s="19" t="inlineStr">
        <is>
          <t>Hoosic River</t>
        </is>
      </c>
      <c r="D515" s="19" t="inlineStr">
        <is>
          <t>?</t>
        </is>
      </c>
      <c r="E515" s="19" t="n">
        <v>44.9</v>
      </c>
      <c r="F515" s="19" t="inlineStr">
        <is>
          <t>maximum annual gage height of 11.87 feet, affected by backwater from ice, reported at USGS gage Hoosic River near Eagle Bridge, on February 11, 1925. NWSFO/NERFC flood stage 11 ft -- Keywords: Hoosic River at Eagle Bridge, NY on Feb 11, 1925 [3653]</t>
        </is>
      </c>
    </row>
    <row r="516" ht="34.5" customHeight="1" s="13">
      <c r="A516" s="19" t="inlineStr">
        <is>
          <t>1923-03-19</t>
        </is>
      </c>
      <c r="B516" s="19" t="inlineStr">
        <is>
          <t>Battenville</t>
        </is>
      </c>
      <c r="C516" s="19" t="inlineStr">
        <is>
          <t>Batten Kill</t>
        </is>
      </c>
      <c r="D516" s="19" t="inlineStr">
        <is>
          <t>?</t>
        </is>
      </c>
      <c r="E516" s="19" t="n">
        <v>51</v>
      </c>
      <c r="F516" s="19" t="inlineStr">
        <is>
          <t>maximum annual gage height of 8.86 feet, affected by backwater from ice, reported at USGS gage Batten Kill at Battenville, on March 19, 1923. NWSFO/NERFC flood stage 11 ft -- Keywords: Batten Kill at Battenville, NY on Mar 19, 1923 [3619]</t>
        </is>
      </c>
    </row>
    <row r="517" ht="34.5" customHeight="1" s="13">
      <c r="A517" s="19" t="inlineStr">
        <is>
          <t>1920-03-16</t>
        </is>
      </c>
      <c r="B517" s="19" t="inlineStr">
        <is>
          <t>Hope</t>
        </is>
      </c>
      <c r="C517" s="19" t="inlineStr">
        <is>
          <t>Sacandaga River</t>
        </is>
      </c>
      <c r="D517" s="19" t="inlineStr">
        <is>
          <t>?</t>
        </is>
      </c>
      <c r="E517" s="19" t="n">
        <v>58.9</v>
      </c>
      <c r="F517" s="19" t="inlineStr">
        <is>
          <t>maximum annual gage height of 6.90 feet, affected by backwater from ice, reported at USGS gage Sacandaga River near Hope, on March 16, 1920. -- Keywords: Sacandaga River at Hope, NY on Mar 16, 1920 [3597]</t>
        </is>
      </c>
    </row>
    <row r="518" ht="45.75" customHeight="1" s="13">
      <c r="A518" s="19" t="inlineStr">
        <is>
          <t>1920-03-13</t>
        </is>
      </c>
      <c r="B518" s="19" t="inlineStr">
        <is>
          <t>Eagle Bridge</t>
        </is>
      </c>
      <c r="C518" s="19" t="inlineStr">
        <is>
          <t>Hoosic River</t>
        </is>
      </c>
      <c r="D518" s="19" t="inlineStr">
        <is>
          <t>?</t>
        </is>
      </c>
      <c r="E518" s="19" t="n">
        <v>44.9</v>
      </c>
      <c r="F518" s="19" t="inlineStr">
        <is>
          <t>maximum annual gage height of 13.8 feet, affected by backwater from ice, reported at USGS gage Hoosic River near Eagle Bridge, on March 13, 1920. NWSFO/NERFC flood stage 11 ft -- Keywords: Hoosic River at Eagle Bridge, NY on Mar 13, 1920 [3652]</t>
        </is>
      </c>
    </row>
    <row r="519" ht="113.25" customHeight="1" s="13">
      <c r="A519" s="19" t="inlineStr">
        <is>
          <t>1914-03-28</t>
        </is>
      </c>
      <c r="B519" s="19" t="inlineStr">
        <is>
          <t>Vischer Ferry</t>
        </is>
      </c>
      <c r="C519" s="19" t="inlineStr">
        <is>
          <t>Mohawk River</t>
        </is>
      </c>
      <c r="D519" s="19" t="inlineStr">
        <is>
          <t>?</t>
        </is>
      </c>
      <c r="E519" s="19" t="n">
        <v>22.5</v>
      </c>
      <c r="F519" s="19" t="inlineStr">
        <is>
          <t>Discharge of 140,000 cfs result of release from ice jam; discharge estimated by State engineer and surveyor of New York. Gage height of 7.6 feet, reported at USGS gage Mohawk River at Vischer Ferry Dam, on March 28, 1914. -- Keywords: Mohawk River at Vischer Ferry Dam, NY on Mar 28, 1914 [3702] 
A 2014 look-back article describes the Mohawk sending 23' of water into Schenectady and blocks of ice the size of cattle.   "Gazette articles from the time recount wrecked bridges, hundreds of people forced from their homes and several deaths. No Schenectady flood since has equaled the water levels measured on March 28, 1914. Tropical Storm Irene missed the record by a full 7 feet."</t>
        </is>
      </c>
    </row>
    <row r="520" ht="34.5" customHeight="1" s="13">
      <c r="A520" s="19" t="inlineStr">
        <is>
          <t>1908-01-11</t>
        </is>
      </c>
      <c r="B520" s="19" t="inlineStr">
        <is>
          <t>Thurman</t>
        </is>
      </c>
      <c r="C520" s="19" t="inlineStr">
        <is>
          <t>Hudson River</t>
        </is>
      </c>
      <c r="D520" s="19" t="inlineStr">
        <is>
          <t>?</t>
        </is>
      </c>
      <c r="E520" s="19" t="n">
        <v>67.40000000000001</v>
      </c>
      <c r="F520" s="19" t="inlineStr">
        <is>
          <t>maximum annual gage height of 8.38 feet, affected by backwater from ice, reported at USGS gage Hudson River at Thurman, on January 11, 1908. -- Keywords: Hudson River at Thurman, NY on Jan 11, 1908 [3592]</t>
        </is>
      </c>
    </row>
    <row r="521" ht="34.5" customHeight="1" s="13">
      <c r="A521" s="19" t="inlineStr">
        <is>
          <t>1907-03-14</t>
        </is>
      </c>
      <c r="B521" s="19" t="inlineStr">
        <is>
          <t>Buskirk</t>
        </is>
      </c>
      <c r="C521" s="19" t="inlineStr">
        <is>
          <t>Hoosic River</t>
        </is>
      </c>
      <c r="D521" s="19" t="inlineStr">
        <is>
          <t>?</t>
        </is>
      </c>
      <c r="E521" s="19" t="n">
        <v>43.2</v>
      </c>
      <c r="F521" s="19" t="inlineStr">
        <is>
          <t>maximum annual gage height of 14.9 feet, affected by backwater from ice, reported at USGS gage Hoosic River at Buskirk, on March 14, 1907. -- Keywords: Hoosic River at Buskirk, NY on Mar 14, 1907 [3659]</t>
        </is>
      </c>
    </row>
    <row r="522" ht="34.5" customHeight="1" s="13">
      <c r="A522" s="19" t="inlineStr">
        <is>
          <t>1904-03-08</t>
        </is>
      </c>
      <c r="B522" s="19" t="inlineStr">
        <is>
          <t>Buskirk</t>
        </is>
      </c>
      <c r="C522" s="19" t="inlineStr">
        <is>
          <t>Hoosic River</t>
        </is>
      </c>
      <c r="D522" s="19" t="inlineStr">
        <is>
          <t>?</t>
        </is>
      </c>
      <c r="E522" s="19" t="n">
        <v>43.2</v>
      </c>
      <c r="F522" s="19" t="inlineStr">
        <is>
          <t>maximum annual gage height of 17.0 feet, affected by backwater from ice, reported at USGS gage Hoosic River at Buskirk, on March 8, 1904. -- Keywords: Hoosic River at Buskirk, NY on Mar 08, 1904 [3658]</t>
        </is>
      </c>
    </row>
    <row r="523" ht="34.5" customHeight="1" s="13">
      <c r="A523" s="19" t="inlineStr">
        <is>
          <t>1857-02-09</t>
        </is>
      </c>
      <c r="B523" s="19" t="inlineStr">
        <is>
          <t>Albany</t>
        </is>
      </c>
      <c r="C523" s="19" t="inlineStr">
        <is>
          <t>Hudson River</t>
        </is>
      </c>
      <c r="D523" s="19" t="inlineStr">
        <is>
          <t>Unknown</t>
        </is>
      </c>
      <c r="E523" s="19" t="n">
        <v>17.5</v>
      </c>
      <c r="F523" s="19" t="inlineStr">
        <is>
          <t>USGS Water Resources Data for New York WY 2003 reported an annual maximum peak stage of 21.71ft on 09-FEB-1857 due to an ice jam at USGS gaging station 01359139 Hudson River at Albany, NY. The average daily discharge was not reported.</t>
        </is>
      </c>
    </row>
    <row r="525" ht="15" customHeight="1" s="13">
      <c r="A525" s="20" t="inlineStr">
        <is>
          <t>Source: USACE CRREL Ice Jam Database, NY records within 75 mi of Westerlo — the Catskills / Hudson Valley / Mohawk Valley / Capital Region footprint (retrieved 2026-09-20). 522 records, 1857–2026. Far-western NY, Adirondack north, St. Lawrence and Southern Tier excluded as outside the region. Sort/filter the Dist. column to tighten.</t>
        </is>
      </c>
    </row>
    <row r="526" ht="15" customHeight="1" s="13">
      <c r="A526" s="23" t="inlineStr">
        <is>
          <t>REPORTING BIAS: record density reflects when CRREL was collecting reports (heavy 1940s–2000s), NOT when jams occurred. Do not read the count per year as frequency. Many rows share one jam event across nearby towns.</t>
        </is>
      </c>
    </row>
  </sheetData>
  <autoFilter ref="A1:F523"/>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K47"/>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6" customWidth="1" style="12" min="1" max="1"/>
    <col width="22" customWidth="1" style="12" min="2" max="2"/>
    <col width="26" customWidth="1" style="12" min="3" max="3"/>
    <col width="40" customWidth="1" style="12" min="4" max="4"/>
    <col width="38" customWidth="1" style="12" min="5" max="5"/>
    <col width="44" customWidth="1" style="12" min="6" max="6"/>
    <col width="60" customWidth="1" style="12" min="7" max="7"/>
  </cols>
  <sheetData>
    <row r="1" ht="15" customHeight="1" s="13">
      <c r="A1" s="18" t="inlineStr">
        <is>
          <t>Feature</t>
        </is>
      </c>
      <c r="B1" s="18" t="inlineStr">
        <is>
          <t>Town</t>
        </is>
      </c>
      <c r="C1" s="18" t="inlineStr">
        <is>
          <t>Formation (rock)</t>
        </is>
      </c>
      <c r="D1" s="18" t="inlineStr">
        <is>
          <t>Entrance / sink description</t>
        </is>
      </c>
      <c r="E1" s="18" t="inlineStr">
        <is>
          <t>Dimensions</t>
        </is>
      </c>
      <c r="F1" s="18" t="inlineStr">
        <is>
          <t>Hydrology</t>
        </is>
      </c>
      <c r="G1" s="18" t="inlineStr">
        <is>
          <t>Status / notes</t>
        </is>
      </c>
      <c r="H1" s="12" t="inlineStr">
        <is>
          <t>Lat</t>
        </is>
      </c>
      <c r="I1" s="12" t="inlineStr">
        <is>
          <t>Lon</t>
        </is>
      </c>
      <c r="J1" s="12" t="inlineStr">
        <is>
          <t>Coord precision</t>
        </is>
      </c>
      <c r="K1" s="12" t="inlineStr">
        <is>
          <t>Coord source / note</t>
        </is>
      </c>
    </row>
    <row r="2" ht="57" customHeight="1" s="13">
      <c r="A2" s="19" t="inlineStr">
        <is>
          <t>Knox Cave</t>
        </is>
      </c>
      <c r="B2" s="19" t="inlineStr">
        <is>
          <t>Knox (Albany Co.)</t>
        </is>
      </c>
      <c r="C2" s="19" t="inlineStr">
        <is>
          <t>Manlius &amp; Coeymans Ls (Helderberg Grp)</t>
        </is>
      </c>
      <c r="D2" s="19" t="inlineStr">
        <is>
          <t>Steep-sided entrance sinkhole with two vertical walls; mouth near bottom of a ~60-ft ravine</t>
        </is>
      </c>
      <c r="E2" s="19" t="inlineStr">
        <is>
          <t>3000+ ft passage; famous 'Gun Barrel' 47 ft long x 14 in dia; commercial tour reached ~110 ft below surface</t>
        </is>
      </c>
      <c r="F2" s="19" t="inlineStr">
        <is>
          <t>Two intermittent streams sink into it; a lower ~1000-ft stream canyon (dug open 1990s below the Alabaster Room) resurges as an artesian spring to Onesquethaw Creek - the only flowing water in an otherwise dry NY cave</t>
        </is>
      </c>
      <c r="G2" s="19" t="inlineStr">
        <is>
          <t>ACTIVE karst sink. 1975 fatal ice collapse (see Events). NCC preserve, permit required. 72 new timber steps Aug 2025.</t>
        </is>
      </c>
      <c r="H2" s="12" t="n">
        <v>42.6697</v>
      </c>
      <c r="I2" s="12" t="n">
        <v>-74.1182</v>
      </c>
      <c r="J2" s="12" t="inlineStr">
        <is>
          <t>access/marker locus</t>
        </is>
      </c>
      <c r="K2" s="12" t="inlineStr">
        <is>
          <t>2025 Pomeroy/Knox Hist. Soc. marker on Berne-Altamont Rd (Rte 156); cave off Knox Cave Rd, 'located nearby' - NCC permit, exact entrance not published. HMdb/WGP Foundation.</t>
        </is>
      </c>
    </row>
    <row r="3" ht="90.75" customHeight="1" s="13">
      <c r="A3" s="19" t="inlineStr">
        <is>
          <t>Onesquethaw Cave</t>
        </is>
      </c>
      <c r="B3" s="19" t="inlineStr">
        <is>
          <t>Clarksville / New Scotland</t>
        </is>
      </c>
      <c r="C3" s="19" t="inlineStr">
        <is>
          <t>Onondaga Ls (Middle Devonian)</t>
        </is>
      </c>
      <c r="D3" s="19" t="inlineStr">
        <is>
          <t>Sinking-stream cave; low-lying flooded entrance sink surrounded on the W by steep shale hills</t>
        </is>
      </c>
      <c r="E3" s="19" t="inlineStr">
        <is>
          <t>1.4 sq mi drainage; can flood to the ceiling its entire length; only 15 ft elevation loss over much of it</t>
        </is>
      </c>
      <c r="F3" s="19" t="inlineStr">
        <is>
          <t>Stream sinks ~1000 ft NW of entrance (or directly into it in high runoff); flow resurges at a gravity spring ~1 mi away off Route 32 (also traced to Jordan Cave); steep shale hills on the W side dump huge runoff volumes into the sink. Upstream at Rtes 443 &amp; 85 the creek runs underground through a limestone-pavement conduit most of the year but overflows to surface plunge-pools/rapids in snowmelt or heavy rain</t>
        </is>
      </c>
      <c r="G3" s="19" t="inlineStr">
        <is>
          <t>ACTIVE. Prone to sudden flooding after intense rain. A cornfield sink is forming between entrance &amp; road; Irene opened an 18-in x 6-ft hole (2011, see Events). NCC preserve.</t>
        </is>
      </c>
      <c r="H3" s="12" t="n">
        <v>42.565</v>
      </c>
      <c r="I3" s="12" t="n">
        <v>-73.98</v>
      </c>
      <c r="J3" s="12" t="inlineStr">
        <is>
          <t>vicinity (approx)</t>
        </is>
      </c>
      <c r="K3" s="12" t="inlineStr">
        <is>
          <t>Clarksville / New Scotland, ~1 mi SW of Clarksville hamlet; NCC permit-only, floods; exact entrance not published. Approximate - verify.</t>
        </is>
      </c>
    </row>
    <row r="4" ht="102" customHeight="1" s="13">
      <c r="A4" s="19" t="inlineStr">
        <is>
          <t>Clarksville Cave (Ward-Gregory)</t>
        </is>
      </c>
      <c r="B4" s="19" t="inlineStr">
        <is>
          <t>Clarksville (New Scotland)</t>
        </is>
      </c>
      <c r="C4" s="19" t="inlineStr">
        <is>
          <t>Onondaga Ls</t>
        </is>
      </c>
      <c r="D4" s="19" t="inlineStr">
        <is>
          <t>Multiple entrances (Ward, Gregory, Osborn); former North Entrance now filled in. Formed along a tectonic fault (slickensides &amp; folds exposed in the Onesquethaw Creek bed just E of the Plank Rd stone bridge); passage ceilings tilt W-to-E from fault movement</t>
        </is>
      </c>
      <c r="E4" s="19" t="inlineStr">
        <is>
          <t>Preserve 14.2 acres (older mgmt plan) / 19.4 acres (2023); Ward section ~1200 ft (subway-like) to The Lake artesian pool; Gregory section ~450 ft to a sump. The two caves were joined in summer 1962 when drought dropped the Gregory sump ~3 ft, letting explorers wade the connection</t>
        </is>
      </c>
      <c r="F4" s="19" t="inlineStr">
        <is>
          <t>Same Onondaga karst zone as Onesquethaw. Gregory Entrance produces a TEMPORARY ARTESIAN SPRING several times a year - a surging pool that flows up out of the cave; in warm weather it can form and vanish within 24 hrs after sudden heavy rain, then runs under Route 443. Passages hold glacial meltwater pebble/cobble-in-clay fill (deglaciation ~12,000 yr ago) even in the loftiest parts - so the cave predates the last ice-sheet retreat</t>
        </is>
      </c>
      <c r="G4" s="19" t="inlineStr">
        <is>
          <t>ACTIVE. Most-visited non-commercial cave in the Northeast; periodic rescues. NCC preserve.</t>
        </is>
      </c>
      <c r="H4" s="12" t="n">
        <v>42.5758</v>
      </c>
      <c r="I4" s="12" t="n">
        <v>-73.9639</v>
      </c>
      <c r="J4" s="12" t="inlineStr">
        <is>
          <t>hamlet locus</t>
        </is>
      </c>
      <c r="K4" s="12" t="inlineStr">
        <is>
          <t>Clarksville hamlet just off Rte 443; NCC preserve open to public; hamlet-centroid locus (Wikipedia/NCC).</t>
        </is>
      </c>
    </row>
    <row r="5" ht="23.25" customHeight="1" s="13">
      <c r="A5" s="19" t="inlineStr">
        <is>
          <t>Ella Armstrong Cave</t>
        </is>
      </c>
      <c r="B5" s="19" t="inlineStr">
        <is>
          <t>near Knox (Helderberg crest)</t>
        </is>
      </c>
      <c r="C5" s="19" t="inlineStr">
        <is>
          <t>Onondaga Ls</t>
        </is>
      </c>
      <c r="D5" s="19" t="inlineStr">
        <is>
          <t>Narrow slot dropping 8 ft from a shallow sinkhole into a canyon, then a 23-ft drop</t>
        </is>
      </c>
      <c r="E5" s="19" t="inlineStr">
        <is>
          <t>~260 ft main passage, 10–20 ft high; formed by waterfall headward dissolution</t>
        </is>
      </c>
      <c r="F5" s="19" t="inlineStr">
        <is>
          <t>Small infeeder streams</t>
        </is>
      </c>
      <c r="G5" s="19" t="inlineStr">
        <is>
          <t>ACTIVE sink. NCC preserve near Knox &amp; Skull caves.</t>
        </is>
      </c>
      <c r="H5" s="12" t="n">
        <v>42.665</v>
      </c>
      <c r="I5" s="12" t="n">
        <v>-74.125</v>
      </c>
      <c r="J5" s="12" t="inlineStr">
        <is>
          <t>cluster locus (exact not public)</t>
        </is>
      </c>
      <c r="K5" s="12" t="inlineStr">
        <is>
          <t>Knox cluster, near Knox &amp; Skull caves; NCC; exact entrance not published. Shares Knox-crest locus.</t>
        </is>
      </c>
    </row>
    <row r="6" ht="15" customHeight="1" s="13">
      <c r="A6" s="19" t="inlineStr">
        <is>
          <t>Skull Cave</t>
        </is>
      </c>
      <c r="B6" s="19" t="inlineStr">
        <is>
          <t>near Knox</t>
        </is>
      </c>
      <c r="C6" s="19" t="inlineStr">
        <is>
          <t>Manlius/Coeymans Ls</t>
        </is>
      </c>
      <c r="D6" s="19" t="inlineStr">
        <is>
          <t>Vertical/sink entrance near Knox Cave</t>
        </is>
      </c>
      <c r="E6" s="19" t="inlineStr">
        <is>
          <t>Small; part of the Knox cluster</t>
        </is>
      </c>
      <c r="F6" s="19" t="n"/>
      <c r="G6" s="19" t="inlineStr">
        <is>
          <t>Near Knox Cave; on the same karst crest.</t>
        </is>
      </c>
      <c r="H6" s="12" t="n">
        <v>42.665</v>
      </c>
      <c r="I6" s="12" t="n">
        <v>-74.125</v>
      </c>
      <c r="J6" s="12" t="inlineStr">
        <is>
          <t>cluster locus (exact not public)</t>
        </is>
      </c>
      <c r="K6" s="12" t="inlineStr">
        <is>
          <t>Knox cluster, on Middle Rd near Knox Cave; exact entrance not published. Shares Knox-crest locus.</t>
        </is>
      </c>
    </row>
    <row r="7" ht="23.25" customHeight="1" s="13">
      <c r="A7" s="19" t="inlineStr">
        <is>
          <t>Slingerland (Chatter-Stone-Hole) / Leonard / Jordan</t>
        </is>
      </c>
      <c r="B7" s="19" t="inlineStr">
        <is>
          <t>New Scotland karst bench</t>
        </is>
      </c>
      <c r="C7" s="19" t="inlineStr">
        <is>
          <t>Onondaga Ls</t>
        </is>
      </c>
      <c r="D7" s="19" t="inlineStr">
        <is>
          <t>Sinks and resurgences in the Onondaga bench</t>
        </is>
      </c>
      <c r="E7" s="19" t="n"/>
      <c r="F7" s="19" t="inlineStr">
        <is>
          <t>Part of the Onesquethaw–Clarksville karst zone; Jordan Cave is a resurgence</t>
        </is>
      </c>
      <c r="G7" s="19" t="inlineStr">
        <is>
          <t>ACTIVE karst zone bounded W by Hamilton shale hills, E by the Onondaga escarpment.</t>
        </is>
      </c>
      <c r="H7" s="12" t="n">
        <v>42.58</v>
      </c>
      <c r="I7" s="12" t="n">
        <v>-73.95</v>
      </c>
      <c r="J7" s="12" t="inlineStr">
        <is>
          <t>bench locus (approx)</t>
        </is>
      </c>
      <c r="K7" s="12" t="inlineStr">
        <is>
          <t>New Scotland Onondaga karst bench, part of the Onesquethaw-Clarksville zone; sinks/resurgences, not a single point. Approximate.</t>
        </is>
      </c>
    </row>
    <row r="8" ht="57" customHeight="1" s="13">
      <c r="A8" s="19" t="inlineStr">
        <is>
          <t>McFails Cave</t>
        </is>
      </c>
      <c r="B8" s="19" t="inlineStr">
        <is>
          <t>Cobleskill plateau (Schoharie Co.)</t>
        </is>
      </c>
      <c r="C8" s="19" t="inlineStr">
        <is>
          <t>Manlius &amp; Coeymans Ls</t>
        </is>
      </c>
      <c r="D8" s="19" t="inlineStr">
        <is>
          <t>Historic 110-ft vertical entrance sink (now collapsed/unstable); current access via two rope drops (Ackshack; a silo-like waterfall pit)</t>
        </is>
      </c>
      <c r="E8" s="19" t="inlineStr">
        <is>
          <t>7+ mi surveyed (longest in the NE); high canyons &amp; large decorated chambers; downstream sumps flood to the ceiling; entrance requires a 70-ft rappel (through a waterfall in wet weather)</t>
        </is>
      </c>
      <c r="F8" s="19" t="inlineStr">
        <is>
          <t>Fed by many fissures, sinks &amp; disappearing streams; normal flow dye-traced to Doc Shauls Spring (2+ mi); in heavy snowmelt/tropical-storm flow the excess overflows into Howe Caverns (2+ mi)</t>
        </is>
      </c>
      <c r="G8" s="19" t="inlineStr">
        <is>
          <t>ACTIVE. Historic entrance became unstable and COLLAPSED (see Events, date approx). NSS-owned, NCC-managed. Wetsuit required; trips up to 12 hrs.</t>
        </is>
      </c>
      <c r="H8" s="12" t="n">
        <v>42.71</v>
      </c>
      <c r="I8" s="12" t="n">
        <v>-74.43000000000001</v>
      </c>
      <c r="J8" s="12" t="inlineStr">
        <is>
          <t>approx (triangulated)</t>
        </is>
      </c>
      <c r="K8" s="12" t="inlineStr">
        <is>
          <t>Carlisle (Cobleskill quad); NSS McFails Cave Nature Preserve - historic 'McFails Hole' entrance (+ Halls Hole, Coeymans Dome Sink parcels); landlocked, entrance not published; DEC unique-geologic-feature. Placed ~12 mi W of Gage Preserve. Approx - verify. LiDAR inventory: no match (nearest is an anthropogenic detention basin 2.8 mi W).</t>
        </is>
      </c>
    </row>
    <row r="9" ht="23.25" customHeight="1" s="13">
      <c r="A9" s="19" t="inlineStr">
        <is>
          <t>Doc Shauls Spring</t>
        </is>
      </c>
      <c r="B9" s="19" t="inlineStr">
        <is>
          <t>Cobleskill plateau</t>
        </is>
      </c>
      <c r="C9" s="19" t="inlineStr">
        <is>
          <t>Manlius/Coeymans Ls</t>
        </is>
      </c>
      <c r="D9" s="19" t="inlineStr">
        <is>
          <t>Enormous artesian spring rising in a crater-like depression</t>
        </is>
      </c>
      <c r="E9" s="19" t="n"/>
      <c r="F9" s="19" t="inlineStr">
        <is>
          <t>Resurgence of the McFails stream in normal flow; becomes tributary to Cobleskill Creek</t>
        </is>
      </c>
      <c r="G9" s="19" t="inlineStr">
        <is>
          <t>Karst resurgence / spring — the discharge end of the McFails system.</t>
        </is>
      </c>
      <c r="H9" s="12" t="n">
        <v>42.7</v>
      </c>
      <c r="I9" s="12" t="n">
        <v>-74.41500000000001</v>
      </c>
      <c r="J9" s="12" t="inlineStr">
        <is>
          <t>approx</t>
        </is>
      </c>
      <c r="K9" s="12" t="inlineStr">
        <is>
          <t>McFails-system karst resurgence discharging toward Cobleskill Creek, ~2 mi from McFails Hole; approx - verify.</t>
        </is>
      </c>
    </row>
    <row r="10" ht="34.5" customHeight="1" s="13">
      <c r="A10" s="19" t="inlineStr">
        <is>
          <t>Howe/Barytes/Bensons/Secret Caverns complex</t>
        </is>
      </c>
      <c r="B10" s="19" t="inlineStr">
        <is>
          <t>Howe Caves / Cobleskill (Schoharie Co.)</t>
        </is>
      </c>
      <c r="C10" s="19" t="inlineStr">
        <is>
          <t>Manlius &amp; Coeymans Ls (common base level)</t>
        </is>
      </c>
      <c r="D10" s="19" t="inlineStr">
        <is>
          <t>Interconnected caves + sinks; part of a suspected ~26-mi plateau system if fragments joined</t>
        </is>
      </c>
      <c r="E10" s="19" t="inlineStr">
        <is>
          <t>Howe Caverns commercial; Barytes joined to the quarried remnant of Howe; Bensons connects hydrologically to Secret Caverns</t>
        </is>
      </c>
      <c r="F10" s="19" t="inlineStr">
        <is>
          <t>McFails overflow reaches Howe in high water; shared base level over the aquiclude</t>
        </is>
      </c>
      <c r="G10" s="19" t="inlineStr">
        <is>
          <t>ACTIVE karst complex. The plateau above Cobleskill is pockmarked with sinkholes 70+ ft deep swallowing streams.</t>
        </is>
      </c>
      <c r="H10" s="12" t="n">
        <v>42.6965</v>
      </c>
      <c r="I10" s="12" t="n">
        <v>-74.3986</v>
      </c>
      <c r="J10" s="12" t="inlineStr">
        <is>
          <t>published point (anchor)</t>
        </is>
      </c>
      <c r="K10" s="12" t="inlineStr">
        <is>
          <t>Anchored at Howe Caverns 42.6965,-74.3986 (255 Discovery Dr, commercial; Wikipedia). Secret Caverns 42.7091,-74.3913 (671 Caverns Rd). Complex spans several km of the Cobleskill plateau.</t>
        </is>
      </c>
    </row>
    <row r="11" ht="34.5" customHeight="1" s="13">
      <c r="A11" s="19" t="inlineStr">
        <is>
          <t>Schoharie Caverns</t>
        </is>
      </c>
      <c r="B11" s="19" t="inlineStr">
        <is>
          <t>Barton Hill, Schoharie Co.</t>
        </is>
      </c>
      <c r="C11" s="19" t="inlineStr">
        <is>
          <t>Manlius/Coeymans/Onondaga Ls</t>
        </is>
      </c>
      <c r="D11" s="19" t="inlineStr">
        <is>
          <t>Slot-canyon cave; entrance at the base of a limestone cliff on the edge of the plateau above Fox &amp; Schoharie creeks</t>
        </is>
      </c>
      <c r="E11" s="19" t="inlineStr">
        <is>
          <t>~0.5 mi of streamway with intact stalactites/stalagmites</t>
        </is>
      </c>
      <c r="F11" s="19" t="inlineStr">
        <is>
          <t>Active streamway</t>
        </is>
      </c>
      <c r="G11" s="19" t="inlineStr">
        <is>
          <t>NSS-owned (donated by Jim Gage). Cabin on site for visiting cavers. Barton Hill is riddled with caves.</t>
        </is>
      </c>
      <c r="H11" s="12" t="n">
        <v>42.67869</v>
      </c>
      <c r="I11" s="12" t="n">
        <v>-74.24263000000001</v>
      </c>
      <c r="J11" s="12" t="inlineStr">
        <is>
          <t>USGS NWIS gage locus</t>
        </is>
      </c>
      <c r="K11" s="12" t="inlineStr">
        <is>
          <t>USGS NWIS gage 01351150 'Schoharie Cavern at Shutter Corners' (1:24000, NAD83) - the cave's own stream-monitoring point; best-anchored Barton Hill cave. Entrance at the plateau edge above Fox/Schoharie creeks.</t>
        </is>
      </c>
    </row>
    <row r="12" ht="23.25" customHeight="1" s="13">
      <c r="A12" s="19" t="inlineStr">
        <is>
          <t>Balls Cave</t>
        </is>
      </c>
      <c r="B12" s="19" t="inlineStr">
        <is>
          <t>Barton Hill, Schoharie Co.</t>
        </is>
      </c>
      <c r="C12" s="19" t="inlineStr">
        <is>
          <t>Manlius/Coeymans Ls</t>
        </is>
      </c>
      <c r="D12" s="19" t="inlineStr">
        <is>
          <t>Vertical entrance in heavily-wooded hillside; visited 150+ years</t>
        </is>
      </c>
      <c r="E12" s="19" t="inlineStr">
        <is>
          <t>Immense rooms + low crawlways; a flooded 'Lost Passage' requires an 'ear dip'</t>
        </is>
      </c>
      <c r="F12" s="19" t="n"/>
      <c r="G12" s="19" t="inlineStr">
        <is>
          <t>NSS-owned: the James Gage Karst Preserve (Barton Hill), donated by the Gage family. Cave named for its 19th-c. landowner.</t>
        </is>
      </c>
      <c r="H12" s="12" t="n">
        <v>42.678</v>
      </c>
      <c r="I12" s="12" t="n">
        <v>-74.24299999999999</v>
      </c>
      <c r="J12" s="12" t="inlineStr">
        <is>
          <t>cluster locus (exact not public)</t>
        </is>
      </c>
      <c r="K12" s="12" t="inlineStr">
        <is>
          <t>James Gage Karst Preserve, Barton Hill ridge; re-anchored near the Schoharie Cavern USGS gage (Shutters Corners), ~9 mi W of Knox / 12 mi E of McFails per NSS; exact entrance not published. Cluster locus (~2-3 mi ridge spread).</t>
        </is>
      </c>
    </row>
    <row r="13" ht="23.25" customHeight="1" s="13">
      <c r="A13" s="19" t="inlineStr">
        <is>
          <t>Spider Cave</t>
        </is>
      </c>
      <c r="B13" s="19" t="inlineStr">
        <is>
          <t>Barton Hill, Schoharie Co.</t>
        </is>
      </c>
      <c r="C13" s="19" t="inlineStr">
        <is>
          <t>Manlius/Coeymans Ls</t>
        </is>
      </c>
      <c r="D13" s="19" t="inlineStr">
        <is>
          <t>'Storybook' entrance; agonizingly tight wet main passage 1000+ ft into the plateau</t>
        </is>
      </c>
      <c r="E13" s="19" t="inlineStr">
        <is>
          <t>1000+ ft; first ~100 ft easily accessible (and full of spiders)</t>
        </is>
      </c>
      <c r="F13" s="19" t="n"/>
      <c r="G13" s="19" t="inlineStr">
        <is>
          <t>Recently donated to the NCC by a local landowner.</t>
        </is>
      </c>
      <c r="H13" s="12" t="n">
        <v>42.678</v>
      </c>
      <c r="I13" s="12" t="n">
        <v>-74.24299999999999</v>
      </c>
      <c r="J13" s="12" t="inlineStr">
        <is>
          <t>cluster locus (exact not public)</t>
        </is>
      </c>
      <c r="K13" s="12" t="inlineStr">
        <is>
          <t>Barton Hill ridge (NCC), near the Schoharie Cavern USGS gage (Shutters Corners); exact entrance not published. Cluster locus.</t>
        </is>
      </c>
    </row>
    <row r="14" ht="45.75" customHeight="1" s="13">
      <c r="A14" s="19" t="inlineStr">
        <is>
          <t>TV Tower Cave</t>
        </is>
      </c>
      <c r="B14" s="19" t="inlineStr">
        <is>
          <t>Beaver Dam Rd, above Thacher Park (Albany Co.)</t>
        </is>
      </c>
      <c r="C14" s="19" t="inlineStr">
        <is>
          <t>Onondaga Ls (base) under Hamilton shale/sandstone</t>
        </is>
      </c>
      <c r="D14" s="19" t="inlineStr">
        <is>
          <t>Insurgence sinkhole with a mossy natural bridge; sits precisely at the contact between soluble Onondaga limestone and the overlying insoluble Hamilton strata</t>
        </is>
      </c>
      <c r="E14" s="19" t="n"/>
      <c r="F14" s="19" t="inlineStr">
        <is>
          <t>Surface streams off the non-dissolving Hamilton uplands sink here where they meet the Onondaga limestone — a textbook insurgence point</t>
        </is>
      </c>
      <c r="G14" s="19" t="inlineStr">
        <is>
          <t>ACTIVE insurgence sink. Illustrates the limestone/shale contact that localizes plateau karst; marks the toe of the Catskill Delta.</t>
        </is>
      </c>
      <c r="H14" s="12" t="n">
        <v>42.63428</v>
      </c>
      <c r="I14" s="12" t="n">
        <v>-74.02888</v>
      </c>
      <c r="J14" s="12" t="inlineStr">
        <is>
          <t>LiDAR depression (probable match)</t>
        </is>
      </c>
      <c r="K14" s="12" t="inlineStr">
        <is>
          <t>Matched to USGS LiDAR closed depression LiDAR-36-001-16 (Onondaga Ls, natural, drainage-terminating 'sinkhole' signature), 0.5 mi WSW of the Beaver Dam Rd landmark estimate. PROBABLE identity - a natural Onondaga insurgence at the right contact, but not field-confirmed as the exact TV Tower entrance. Verify.</t>
        </is>
      </c>
    </row>
    <row r="15" ht="45.75" customHeight="1" s="13">
      <c r="A15" s="19" t="inlineStr">
        <is>
          <t>Old Skull Cave sinkhole (filled)</t>
        </is>
      </c>
      <c r="B15" s="19" t="inlineStr">
        <is>
          <t>Knox (Albany Co.)</t>
        </is>
      </c>
      <c r="C15" s="19" t="inlineStr">
        <is>
          <t>Manlius &amp; Coeymans Ls</t>
        </is>
      </c>
      <c r="D15" s="19" t="inlineStr">
        <is>
          <t>Wide vertical sink ~60 ft deep, a few hundred yards from the Knox &amp; New Skull entrances; wall fluting shows it was a major water-insurgence point in the past</t>
        </is>
      </c>
      <c r="E15" s="19" t="inlineStr">
        <is>
          <t>~60 ft deep; upper ~10 ft still visible in the 1960s; now filled level with the fields</t>
        </is>
      </c>
      <c r="F15" s="19" t="inlineStr">
        <is>
          <t>Former insurgence point; underlying Old Skull Cave never re-entered</t>
        </is>
      </c>
      <c r="G15" s="19" t="inlineStr">
        <is>
          <t>FILLED / ERASED feature. A mid-1800s farmer dumped boulders then dirt into it after reportedly finding human &amp; large-animal bones (steer or Ice-Age ground sloth, per legend) on the chamber floor. Deliberately obliterated by hand - a human-filled karst sink.</t>
        </is>
      </c>
      <c r="H15" s="12" t="n">
        <v>42.665</v>
      </c>
      <c r="I15" s="12" t="n">
        <v>-74.125</v>
      </c>
      <c r="J15" s="12" t="inlineStr">
        <is>
          <t>cluster locus (exact not public)</t>
        </is>
      </c>
      <c r="K15" s="12" t="inlineStr">
        <is>
          <t>Knox, a few hundred yards from Knox &amp; New Skull; FILLED/erased feature. Knox-crest locus.</t>
        </is>
      </c>
    </row>
    <row r="16" ht="34.5" customHeight="1" s="13">
      <c r="A16" s="19" t="inlineStr">
        <is>
          <t>New Skull Cave</t>
        </is>
      </c>
      <c r="B16" s="19" t="inlineStr">
        <is>
          <t>Knox (Albany Co.)</t>
        </is>
      </c>
      <c r="C16" s="19" t="inlineStr">
        <is>
          <t>Manlius &amp; Coeymans Ls</t>
        </is>
      </c>
      <c r="D16" s="19" t="inlineStr">
        <is>
          <t>Separate cave system &lt;1000 ft from Knox Cave; Knox's 'Frustration Crawl' heads straight toward it but is blocked by flowstone curtains</t>
        </is>
      </c>
      <c r="E16" s="19" t="inlineStr">
        <is>
          <t>5+ mi of tortuous wet muddy passage, not fully explored</t>
        </is>
      </c>
      <c r="F16" s="19" t="inlineStr">
        <is>
          <t>Own system; a Knox–New Skull connection would make one of the Northeast's largest caves</t>
        </is>
      </c>
      <c r="G16" s="19" t="inlineStr">
        <is>
          <t>ACTIVE, off-limits to sport cavers for years. Named for the nearby Old Skull sinkhole.</t>
        </is>
      </c>
      <c r="H16" s="12" t="n">
        <v>42.665</v>
      </c>
      <c r="I16" s="12" t="n">
        <v>-74.125</v>
      </c>
      <c r="J16" s="12" t="inlineStr">
        <is>
          <t>cluster locus (exact not public)</t>
        </is>
      </c>
      <c r="K16" s="12" t="inlineStr">
        <is>
          <t>Knox, &lt;1000 ft from Knox Cave; off-limits. Knox-crest locus; exact entrance not published.</t>
        </is>
      </c>
    </row>
    <row r="17" ht="57" customHeight="1" s="13">
      <c r="A17" s="19" t="inlineStr">
        <is>
          <t>Loden sinkhole</t>
        </is>
      </c>
      <c r="B17" s="19" t="inlineStr">
        <is>
          <t>Wright (Schoharie Co.), Middle Rd</t>
        </is>
      </c>
      <c r="C17" s="19" t="inlineStr">
        <is>
          <t>Becraft Ls over New Scotland Ls</t>
        </is>
      </c>
      <c r="D17" s="19" t="inlineStr">
        <is>
          <t>Steep-walled monster sink ~50 ft deep, large enough to appear on topo maps; punches through surface Becraft limestone into the underlying New Scotland limestone; close to Middle Rd</t>
        </is>
      </c>
      <c r="E17" s="19" t="inlineStr">
        <is>
          <t>~50 ft deep; takes a stream; muddy rubble-strewn bottom over a suspected sizable cave</t>
        </is>
      </c>
      <c r="F17" s="19" t="inlineStr">
        <is>
          <t>Dye-traced to Bogardus Spring near Route 443, ~2 mi away (crow-flies); water reaches the karst aquifer with no filtration</t>
        </is>
      </c>
      <c r="G17" s="19" t="inlineStr">
        <is>
          <t>ACTIVE stream-swallowing sink on private land (Loden family since 1918). Chronic illegal dumping (carcasses, tires, trash) enters the aquifer directly — a karst water-quality hazard. Near Skull Cave, also on Middle Rd. DEC notified 2014.</t>
        </is>
      </c>
      <c r="H17" s="12" t="n">
        <v>42.66</v>
      </c>
      <c r="I17" s="12" t="n">
        <v>-74.20999999999999</v>
      </c>
      <c r="J17" s="12" t="inlineStr">
        <is>
          <t>approx</t>
        </is>
      </c>
      <c r="K17" s="12" t="inlineStr">
        <is>
          <t>Wright (Schoharie Co.), Middle Rd; large enough to show on topo maps; private land. Approximate - verify from topo. LiDAR inventory: no natural carbonate match within 2 mi (nearest is 2.4 mi E, Albany Co.).</t>
        </is>
      </c>
    </row>
    <row r="18" ht="57" customHeight="1" s="13">
      <c r="A18" s="19" t="inlineStr">
        <is>
          <t>Helderberg–Cobleskill karst (regional)</t>
        </is>
      </c>
      <c r="B18" s="19" t="inlineStr">
        <is>
          <t>Knox, Berne, Clarksville, Cobleskill plateau</t>
        </is>
      </c>
      <c r="C18" s="19" t="inlineStr">
        <is>
          <t>Coeymans, Manlius, Onondaga Ls</t>
        </is>
      </c>
      <c r="D18" s="19" t="inlineStr">
        <is>
          <t>Thousands of sinkholes, swallets, fissures and grikes across many sq mi; disappearing streams</t>
        </is>
      </c>
      <c r="E18" s="19" t="inlineStr">
        <is>
          <t>Largest karst drainage in the Northeast</t>
        </is>
      </c>
      <c r="F18" s="19" t="inlineStr">
        <is>
          <t>Cobleskill Creek loses most of its flow underground where it crosses the Coeymans Ls; surface streams vanish into 'gaping fissures'</t>
        </is>
      </c>
      <c r="G18" s="19" t="inlineStr">
        <is>
          <t>STANDING HAZARD, not an event. Limestone dissolved by mildly acidic water down to an aquiclude (shale/sandstone) that sets base level; water then resurges as springs (Thacher Park cliffs, artesian springs). Bedrock within inches of the surface in places; sinkholes 70+ ft deep. Discrete collapses rarely reported/dated.</t>
        </is>
      </c>
    </row>
    <row r="19" ht="45.75" customHeight="1" s="13">
      <c r="A19" s="19" t="inlineStr">
        <is>
          <t>Caboose Cave</t>
        </is>
      </c>
      <c r="B19" s="19" t="inlineStr">
        <is>
          <t>Barton Hill (Gallupville, Schoharie Co.)</t>
        </is>
      </c>
      <c r="C19" s="19" t="inlineStr">
        <is>
          <t>Helderberg Grp Ls (Manlius/Coeymans)</t>
        </is>
      </c>
      <c r="D19" s="19" t="inlineStr">
        <is>
          <t>One of the Barton Hill caves; entrances/passages follow the gentle SW dip of the strata, with cold springs bursting from the cliff base along Rtes 146/443</t>
        </is>
      </c>
      <c r="E19" s="19" t="inlineStr">
        <is>
          <t>(not measured in source)</t>
        </is>
      </c>
      <c r="F19" s="19" t="inlineStr">
        <is>
          <t>Part of the Barton Hill dip-parallel set; some insurgence points known, others buried under glacial cover</t>
        </is>
      </c>
      <c r="G19" s="19" t="inlineStr">
        <is>
          <t>Known cave (Nardacci, Altamont Enterprise 21 Apr 2016). Coordinates/dimensions NEEDED — Mylroie 1977 (NY Cave Survey Bull. 2) is the systematic source. Confidence C.</t>
        </is>
      </c>
      <c r="H19" s="12" t="n">
        <v>42.678</v>
      </c>
      <c r="I19" s="12" t="n">
        <v>-74.24299999999999</v>
      </c>
      <c r="J19" s="12" t="inlineStr">
        <is>
          <t>cluster locus (exact not public)</t>
        </is>
      </c>
      <c r="K19" s="12" t="inlineStr">
        <is>
          <t>Barton Hill ridge (Gallupville/Shutters Corners), dip-parallel set; exact entrance not published. Cluster locus.</t>
        </is>
      </c>
    </row>
    <row r="20" ht="15" customHeight="1" s="13">
      <c r="A20" s="19" t="inlineStr">
        <is>
          <t>Single X Cave</t>
        </is>
      </c>
      <c r="B20" s="19" t="inlineStr">
        <is>
          <t>Barton Hill (Gallupville, Schoharie Co.)</t>
        </is>
      </c>
      <c r="C20" s="19" t="inlineStr">
        <is>
          <t>Helderberg Grp Ls (Manlius/Coeymans)</t>
        </is>
      </c>
      <c r="D20" s="19" t="inlineStr">
        <is>
          <t>Barton Hill cave known to sport cavers; parallels the other systems along the SW dip</t>
        </is>
      </c>
      <c r="E20" s="19" t="inlineStr">
        <is>
          <t>(not measured in source)</t>
        </is>
      </c>
      <c r="F20" s="19" t="inlineStr">
        <is>
          <t>Barton Hill karst; insurgence not individually documented in source</t>
        </is>
      </c>
      <c r="G20" s="19" t="inlineStr">
        <is>
          <t>Known cave (Nardacci 2016). Coordinates/dimensions NEEDED. Confidence C.</t>
        </is>
      </c>
      <c r="H20" s="12" t="n">
        <v>42.678</v>
      </c>
      <c r="I20" s="12" t="n">
        <v>-74.24299999999999</v>
      </c>
      <c r="J20" s="12" t="inlineStr">
        <is>
          <t>cluster locus (exact not public)</t>
        </is>
      </c>
      <c r="K20" s="12" t="inlineStr">
        <is>
          <t>Barton Hill ridge (Gallupville/Shutters Corners); exact entrance not published. Cluster locus.</t>
        </is>
      </c>
    </row>
    <row r="21" ht="15" customHeight="1" s="13">
      <c r="A21" s="19" t="inlineStr">
        <is>
          <t>Joober Hole</t>
        </is>
      </c>
      <c r="B21" s="19" t="inlineStr">
        <is>
          <t>Barton Hill (Gallupville, Schoharie Co.)</t>
        </is>
      </c>
      <c r="C21" s="19" t="inlineStr">
        <is>
          <t>Helderberg Grp Ls</t>
        </is>
      </c>
      <c r="D21" s="19" t="inlineStr">
        <is>
          <t>Enormous OCCLUDED sinkhole — wholly/partly blocked by sediment; one of several on Barton Hill that imply far more cave than is currently enterable</t>
        </is>
      </c>
      <c r="E21" s="19" t="inlineStr">
        <is>
          <t>(large; not measured in source)</t>
        </is>
      </c>
      <c r="F21" s="19" t="inlineStr">
        <is>
          <t>Occluded sink: surface debris cuts off human entry and most water; the cave below is inferred, not entered</t>
        </is>
      </c>
      <c r="G21" s="19" t="inlineStr">
        <is>
          <t>Named occluded sinkhole (Nardacci 2016), Barton Hill. Coordinates NEEDED. Confidence C.</t>
        </is>
      </c>
      <c r="H21" s="12" t="n">
        <v>42.678</v>
      </c>
      <c r="I21" s="12" t="n">
        <v>-74.24299999999999</v>
      </c>
      <c r="J21" s="12" t="inlineStr">
        <is>
          <t>cluster locus (exact not public)</t>
        </is>
      </c>
      <c r="K21" s="12" t="inlineStr">
        <is>
          <t>Barton Hill ridge (Gallupville/Shutters Corners); occluded sinkhole; exact location not published. Cluster locus.</t>
        </is>
      </c>
    </row>
    <row r="22" ht="15" customHeight="1" s="13">
      <c r="A22" s="19" t="inlineStr">
        <is>
          <t>Hannacroix Maze</t>
        </is>
      </c>
      <c r="B22" s="19" t="inlineStr">
        <is>
          <t>Joralemon Park, near Ravena (Coeymans, Albany Co.)</t>
        </is>
      </c>
      <c r="C22" s="19" t="inlineStr">
        <is>
          <t>Onondaga Ls</t>
        </is>
      </c>
      <c r="D22" s="19" t="inlineStr">
        <is>
          <t>Joint-controlled MAZE cave — acidic floodwater injected under pressure into a dense joint set carved a labyrinth</t>
        </is>
      </c>
      <c r="E22" s="19" t="inlineStr">
        <is>
          <t>True maze; NSS-mapped</t>
        </is>
      </c>
      <c r="F22" s="19" t="inlineStr">
        <is>
          <t>Drains an adjacent beaver pond; fetid standing water; feeds the Hannacroix Creek</t>
        </is>
      </c>
      <c r="G22" s="19" t="inlineStr">
        <is>
          <t>ACTIVE. A lowland Onondaga karst pocket SE of the escarpment cluster — the register's first Ravena/Coeymans-area feature. Nardacci 'Back Roads Geology'.</t>
        </is>
      </c>
      <c r="H22" s="12" t="n">
        <v>42.49</v>
      </c>
      <c r="I22" s="12" t="n">
        <v>-73.88</v>
      </c>
      <c r="J22" s="12" t="inlineStr">
        <is>
          <t>park locus (approx)</t>
        </is>
      </c>
      <c r="K22" s="12" t="inlineStr">
        <is>
          <t>Joralemon Park, Rte 102 (Starr Rd), Coeymans; lowland Onondaga karst; approximate park locus - verify.</t>
        </is>
      </c>
    </row>
    <row r="23" ht="15" customHeight="1" s="13">
      <c r="A23" s="19" t="inlineStr">
        <is>
          <t>Joralemon Cave</t>
        </is>
      </c>
      <c r="B23" s="19" t="inlineStr">
        <is>
          <t>Joralemon Park, Rte 102, Ravena (Coeymans, Albany Co.)</t>
        </is>
      </c>
      <c r="C23" s="19" t="inlineStr">
        <is>
          <t>Onondaga Ls</t>
        </is>
      </c>
      <c r="D23" s="19" t="inlineStr">
        <is>
          <t>Entrance on the E side of Rte 102 in a limestone bluff; a segment of a long-vanished cave system (erosional remnant)</t>
        </is>
      </c>
      <c r="E23" s="19" t="inlineStr">
        <is>
          <t>(not given in source)</t>
        </is>
      </c>
      <c r="F23" s="19" t="inlineStr">
        <is>
          <t>Part of the Joralemon karst — seeps, springs, sinkholes &amp; karst ponds under moisture-trapping hardwoods</t>
        </is>
      </c>
      <c r="G23" s="19" t="inlineStr">
        <is>
          <t>Named cave (Nardacci 'Back Roads Geology'). Coordinates/dimensions NEEDED. Lowland Onondaga karst near Ravena.</t>
        </is>
      </c>
      <c r="H23" s="12" t="n">
        <v>42.49</v>
      </c>
      <c r="I23" s="12" t="n">
        <v>-73.88</v>
      </c>
      <c r="J23" s="12" t="inlineStr">
        <is>
          <t>park locus (approx)</t>
        </is>
      </c>
      <c r="K23" s="12" t="inlineStr">
        <is>
          <t>Joralemon Park, E side of Rte 102, Coeymans; approximate park locus - verify. Distinct feature from Hannacroix Maze within the same park.</t>
        </is>
      </c>
    </row>
    <row r="24" ht="15" customHeight="1" s="13"/>
    <row r="25" ht="15" customHeight="1" s="13">
      <c r="A25" s="20" t="inlineStr">
        <is>
          <t>This sheet is an INVENTORY of standing karst subsidence features on the Helderberg plateau, NOT a list of dated events. Karst collapse mostly happens unwitnessed; discrete DATED collapses (1975 Knox ice fall; 2011 Irene hole at Onesquethaw) are in the Events sheet under category 'Sinkhole / karst (event)'.</t>
        </is>
      </c>
    </row>
    <row r="26" ht="15" customHeight="1" s="13">
      <c r="A26" s="23" t="inlineStr">
        <is>
          <t>Mechanism note: these are dissolution/collapse features in Devonian limestone — a DIFFERENT process from the infrastructure 'sinkholes' (water-main / culvert washouts: Madison Ave 2016, Troy 2023, McKownville 2023–24) which are in Events, tagged as human-caused. Filter by category, not the word 'sinkhole'.</t>
        </is>
      </c>
    </row>
    <row r="27" ht="15" customHeight="1" s="13">
      <c r="A27" s="20" t="inlineStr">
        <is>
          <t>Source: Northeastern Cave Conservancy preserve management plans (necaveconservancy.org/preserves/), NSS 1991 Knox writeup, Altamont Enterprise 'Back Roads Geology' (Nardacci), NYSGA 1991 Helderberg karst field guide.</t>
        </is>
      </c>
    </row>
    <row r="28" ht="15" customHeight="1" s="13">
      <c r="A28" s="20" t="inlineStr">
        <is>
          <t>Stratigraphy (oldest/lowest to youngest/highest, per Ver Straeten/Nardacci): Schenectady &amp; Indian Ladder beds (Ordovician) &lt; Brayman sh, Rondout (Silurian) &lt; Manlius, Coeymans (escarpment cave-formers) &lt; Kalkberg, New Scotland &lt; Becraft &lt; Oriskany Ss &lt; Esopus sh &lt; Onondaga Ls (Clarksville/Onesquethaw cave-former) &lt; Hamilton sh/ss (insoluble caprock). Caves form in the pure limestones (Manlius, Coeymans, Onondaga); insoluble shales above/below set the insurgence &amp; resurgence contacts.</t>
        </is>
      </c>
    </row>
    <row r="29" ht="15" customHeight="1" s="13">
      <c r="A29" s="20" t="inlineStr">
        <is>
          <t>SYSTEMATIC DATA SOURCES (the way to catch collapses no newspaper covered): (1) USGS Kappel et al. 2020, Statewide Assessment of Karst Aquifers in NY, SIR 2020-5030 - GIS karst datasets, closed depressions, karst-prone bedrock, incl. Knox Cave. (2) USGS SIR 2021-5094, Albany-Buffalo karst aquifer methods. (3) SUNY Brockport (Paul Richards) LiDAR study of Albany Co. karst, 2014-15: classified 2,174 Definitely Karst / 412 Not Karst / 2,775 Possible Karst features, 150 field surveys, 17 GPR profiles. (4) Cornell karst / manure-management database (hydrology.bee.cornell.edu/Karst_Webpage). These are the register-grade inventory sources; the Nardacci columns are narrative color.</t>
        </is>
      </c>
    </row>
    <row r="30" ht="34.5" customHeight="1" s="13">
      <c r="A30" s="15" t="inlineStr">
        <is>
          <t>Natural Stone Bridge &amp; Caves</t>
        </is>
      </c>
      <c r="B30" s="15" t="inlineStr">
        <is>
          <t>Pottersville (Horicon, Warren Co.) — LOWER ADK</t>
        </is>
      </c>
      <c r="C30" s="15" t="inlineStr">
        <is>
          <t>Grenville MARBLE (~1.1 Ga metamorphic — NOT Helderberg limestone)</t>
        </is>
      </c>
      <c r="D30" s="15" t="inlineStr">
        <is>
          <t>11-cave marble-karst system, potholes &amp; grottos along an E-W fault; 'largest marble cave entrance in the East'</t>
        </is>
      </c>
      <c r="E30" s="15" t="inlineStr">
        <is>
          <t>show trail ~0.75 mi; 43.7475,-73.8523, 929 ft</t>
        </is>
      </c>
      <c r="F30" s="15" t="inlineStr">
        <is>
          <t>Trout Brook sinks, runs underground, resurfaces ~200 m away at 'The Clamshell' pothole</t>
        </is>
      </c>
      <c r="G30" s="15" t="inlineStr">
        <is>
          <t>Commercial show cave (Path Through History). Rapidly dissolved by acidic glacial meltwater. NEW ROCK TYPE for this sheet — marble, not Devonian limestone. Verified (Wikipedia/park).</t>
        </is>
      </c>
      <c r="H30" s="12" t="n">
        <v>43.7475</v>
      </c>
      <c r="I30" s="12" t="n">
        <v>-73.8523</v>
      </c>
      <c r="J30" s="12" t="inlineStr">
        <is>
          <t>published point</t>
        </is>
      </c>
      <c r="K30" s="12" t="inlineStr">
        <is>
          <t>Commercial show cave, Pottersville (Horicon, Warren Co.); published (park/Wikipedia). Grenville marble.</t>
        </is>
      </c>
    </row>
    <row r="31" ht="34.5" customHeight="1" s="13">
      <c r="A31" s="15" t="inlineStr">
        <is>
          <t>Bartholomew's Cobble (Eldon's Cave)</t>
        </is>
      </c>
      <c r="B31" s="15" t="inlineStr">
        <is>
          <t>Ashley Falls, Sheffield (Berkshire Co., MA) — TACONIC / BERKSHIRE</t>
        </is>
      </c>
      <c r="C31" s="15" t="inlineStr">
        <is>
          <t>Stockbridge (Cambro-Ordovician) MARBLE</t>
        </is>
      </c>
      <c r="D31" s="15" t="inlineStr">
        <is>
          <t>Two marble-karst knolls ('the Cobbles'); Eldon's Cave is a marble cave with a 'Disappearing Brook'</t>
        </is>
      </c>
      <c r="E31" s="15" t="inlineStr">
        <is>
          <t>329-acre preserve; 42.0572,-73.3508</t>
        </is>
      </c>
      <c r="F31" s="15" t="inlineStr">
        <is>
          <t>Disappearing/resurging brook in the marble; Housatonic/Konkapot floodplain</t>
        </is>
      </c>
      <c r="G31" s="15" t="inlineStr">
        <is>
          <t>Trustees of Reservations; National Natural Landmark (1971). Berkshire marble karst, ACROSS the Hudson in the Housatonic valley. Verified.</t>
        </is>
      </c>
      <c r="H31" s="12" t="n">
        <v>42.0572</v>
      </c>
      <c r="I31" s="12" t="n">
        <v>-73.35080000000001</v>
      </c>
      <c r="J31" s="12" t="inlineStr">
        <is>
          <t>published point</t>
        </is>
      </c>
      <c r="K31" s="12" t="inlineStr">
        <is>
          <t>Trustees of Reservations preserve; National Natural Landmark; published point. Stockbridge marble.</t>
        </is>
      </c>
    </row>
    <row r="32" ht="34.5" customHeight="1" s="13">
      <c r="A32" s="15" t="inlineStr">
        <is>
          <t>Rosendale karst &amp; cement district (Widow Jane Mine)</t>
        </is>
      </c>
      <c r="B32" s="15" t="inlineStr">
        <is>
          <t>Rosendale (Ulster Co.) — MID-HUDSON</t>
        </is>
      </c>
      <c r="C32" s="15" t="inlineStr">
        <is>
          <t>Rondout dolostone / Onondaga limestone</t>
        </is>
      </c>
      <c r="D32" s="15" t="inlineStr">
        <is>
          <t>Natural karst + the famous Rosendale natural-CEMENT mines (Widow Jane Mine); Binnewater lakes are karst-fed</t>
        </is>
      </c>
      <c r="E32" s="15" t="inlineStr">
        <is>
          <t>—</t>
        </is>
      </c>
      <c r="F32" s="15" t="inlineStr">
        <is>
          <t>Karst springs; the flooded cement mines host bats</t>
        </is>
      </c>
      <c r="G32" s="15" t="inlineStr">
        <is>
          <t>Grade C — the cement MINES are anthropogenic but sit in genuine Rondout/Onondaga karst. POI + karst. Verify extent in a fresh session.</t>
        </is>
      </c>
      <c r="H32" s="12" t="n">
        <v>41.8416</v>
      </c>
      <c r="I32" s="12" t="n">
        <v>-74.0988</v>
      </c>
      <c r="J32" s="12" t="inlineStr">
        <is>
          <t>published point (anchor)</t>
        </is>
      </c>
      <c r="K32" s="12" t="inlineStr">
        <is>
          <t>Widow Jane Mine, Century House Historical District, 668 NY-213, Rosendale; published (showcaves/Backroads). Anchors the Rondout/Onondaga karst + cement district.</t>
        </is>
      </c>
    </row>
    <row r="33" ht="57" customHeight="1" s="13">
      <c r="A33" s="15" t="inlineStr">
        <is>
          <t>Tory Cave</t>
        </is>
      </c>
      <c r="B33" s="15" t="inlineStr">
        <is>
          <t>Voorheesville / New Scotland (Thacher Park, Albany Co.)</t>
        </is>
      </c>
      <c r="C33" s="15" t="inlineStr">
        <is>
          <t>Coeymans &amp; Manlius Ls (Helderberg Grp)</t>
        </is>
      </c>
      <c r="D33" s="15" t="inlineStr">
        <is>
          <t>Escarpment-top limestone cave near the Indian Ladder Trail; entrance a hidden cleft among the cliffs; a natural chimney/flue rises from the rear chamber to the surface above</t>
        </is>
      </c>
      <c r="E33" s="15" t="inlineStr">
        <is>
          <t>Small single chamber with a rear chimney; most formations stripped by 19th-c. collectors</t>
        </is>
      </c>
      <c r="F33" s="15" t="inlineStr">
        <is>
          <t>Seepage-fed; the chimney vents air so spring meltwater builds unusually large ICE stalagmites (a partial rockfall blocks the drafts that would otherwise prevent them)</t>
        </is>
      </c>
      <c r="G33" s="15" t="inlineStr">
        <is>
          <t>Historic 'Tory Cave': in 1777 Loyalist spy Jacob Salsbury sheltered here after raiding valley farms; fire-smoke rose through the chimney and betrayed him (captured/hanged, per lore). In John Boyd Thacher State Park near Indian Ladder; same Coeymans/Manlius cave-former as Howe &amp; Secret. Verified (Wikipedia/HMdb/DAR).</t>
        </is>
      </c>
      <c r="H33" s="12" t="n">
        <v>42.65547</v>
      </c>
      <c r="I33" s="12" t="n">
        <v>-74.01687</v>
      </c>
      <c r="J33" s="12" t="inlineStr">
        <is>
          <t>access/marker locus</t>
        </is>
      </c>
      <c r="K33" s="12" t="inlineStr">
        <is>
          <t>1994 Tawasentha DAR 'Tory Cave 1777' marker at the Indian Ladder trailhead, Thacher Park (Rte 157); the cave is ~0.3 mi from the marker near the escarpment top. HMdb.</t>
        </is>
      </c>
    </row>
    <row r="34" ht="68.25" customHeight="1" s="13">
      <c r="A34" s="15" t="inlineStr">
        <is>
          <t>Wolf Hollow (Hoffmans Fault gorge)</t>
        </is>
      </c>
      <c r="B34" s="15" t="inlineStr">
        <is>
          <t>Glenville (Schenectady Co.), Hoffmans</t>
        </is>
      </c>
      <c r="C34" s="15" t="inlineStr">
        <is>
          <t>FAULT gorge - NOT karst: Hoffmans normal fault juxtaposing Schenectady Fm sandstone/shale (E) against Beekmantown dolostone + Trenton Ls (W)</t>
        </is>
      </c>
      <c r="D34" s="15" t="inlineStr">
        <is>
          <t>~1-mi confined gorge of Chaughtanoonda Creek cut ALONG the fault by differential erosion + glacial meltwater; cliffs to ~200 ft; not a cave or sink</t>
        </is>
      </c>
      <c r="E34" s="15" t="inlineStr">
        <is>
          <t>~1 mi long; ~1000 ft of fault displacement; cliffs ~100-200 ft</t>
        </is>
      </c>
      <c r="F34" s="15" t="inlineStr">
        <is>
          <t>Chaughtanoonda Creek runs the gorge floor from the Glenville Hills to the Mohawk at Hoffmans - surface drainage, not a karst conduit</t>
        </is>
      </c>
      <c r="G34" s="15" t="inlineStr">
        <is>
          <t>NOT KARST - a FAULT-LINE GORGE (differential erosion along the Hoffmans Fault). Filed as a flagged non-karst contrast (cf. the Catskills &amp; Mohawk scope notes) so it isn't mis-added as dissolution karst. Mohawk Hudson Land Conservancy ~400 ac; walkers' road off Rte 5. Also the 1669 Mohawk-Algonquian battle site (Kinaquariones). Verified (Union College/Garver; HMdb).</t>
        </is>
      </c>
      <c r="H34" s="12" t="n">
        <v>42.91</v>
      </c>
      <c r="I34" s="12" t="n">
        <v>-74.072</v>
      </c>
      <c r="J34" s="12" t="inlineStr">
        <is>
          <t>gorge-midpoint locus</t>
        </is>
      </c>
      <c r="K34" s="12" t="inlineStr">
        <is>
          <t>Midpoint of the ~1-mi Wolf Hollow Rd gorge, bracketed by DAR markers at 42.9040,-74.0742 (S) and 42.9175,-74.0697 (N); linear feature, so the point is a placeholder. Access off Rte 5 (Amsterdam Rd). HMdb.</t>
        </is>
      </c>
    </row>
    <row r="35" ht="15" customHeight="1" s="13">
      <c r="A35" s="12" t="inlineStr">
        <is>
          <t>Stoodley's Cave (1949 tentative name)</t>
        </is>
      </c>
      <c r="B35" s="12" t="inlineStr">
        <is>
          <t>escarpment above Schoharie (Schoharie Co.)</t>
        </is>
      </c>
      <c r="D35" s="12" t="inlineStr">
        <is>
          <t>Entered by a rope drop into a sinkhole ~20 ft deep</t>
        </is>
      </c>
      <c r="G35" s="12" t="inlineStr">
        <is>
          <t>Discovered week of May 7 1949 by NSS members Duane Featherstonhaugh (NSS district director, NY &amp; New England) and Charles Stoodley on a routine society trip in the Schoharie hills; no previous record, tentatively named. CHECK: may have been renamed or absorbed into the known Schoharie cave inventory since 1949. 2026-09-23 (v850, atlas session): PRIMARY SOURCE found — Altamont Enterprise, May 13 1949, 'Two New Caves Found Near Schoharie': discovered 'last week' (early May 1949) by Duane Featherstonhaugh (NSS district director for NY/New England) and Charles Stoodley (Schenectady) on a routine NSS trip 'in the escarpment above Schoharie'; no prior record or sign of exploration; land in the hands of a real-estate agent; names tentative. Stoodley's = rope drop into a ~20-ft sinkhole; Featherstonhaugh's = walk-in entrance then a crawlway of unknown length.</t>
        </is>
      </c>
      <c r="K35" s="12" t="inlineStr">
        <is>
          <t>Coordinates Needed — 1949 discovery, land then held by a real-estate agent, exact location not published. Source: The Altamont Enterprise, May 13 1949 ("Two New Caves Found Near Schoharie").</t>
        </is>
      </c>
    </row>
    <row r="36" ht="15" customHeight="1" s="13">
      <c r="A36" s="12" t="inlineStr">
        <is>
          <t>Featherstonhaugh's Cave (1949 tentative name)</t>
        </is>
      </c>
      <c r="B36" s="12" t="inlineStr">
        <is>
          <t>escarpment above Schoharie (Schoharie Co.)</t>
        </is>
      </c>
      <c r="D36" s="12" t="inlineStr">
        <is>
          <t>A "walk-in" entrance followed by a "crawl-way" of unknown length</t>
        </is>
      </c>
      <c r="G36" s="12" t="inlineStr">
        <is>
          <t>Same 1949 NSS discovery as Stoodley's Cave (above); tentatively named for Duane Featherstonhaugh. CHECK: possible identity with a Featherstonhaugh-area / already-known Schoharie cave. 2026-09-23 (v850, atlas session): PRIMARY SOURCE found — Altamont Enterprise, May 13 1949, 'Two New Caves Found Near Schoharie': discovered 'last week' (early May 1949) by Duane Featherstonhaugh (NSS district director for NY/New England) and Charles Stoodley (Schenectady) on a routine NSS trip 'in the escarpment above Schoharie'; no prior record or sign of exploration; land in the hands of a real-estate agent; names tentative. Stoodley's = rope drop into a ~20-ft sinkhole; Featherstonhaugh's = walk-in entrance then a crawlway of unknown length.</t>
        </is>
      </c>
      <c r="K36" s="12" t="inlineStr">
        <is>
          <t>Coordinates Needed. Source: The Altamont Enterprise, May 13 1949 ("Two New Caves Found Near Schoharie").</t>
        </is>
      </c>
    </row>
    <row r="37" ht="15" customHeight="1" s="13">
      <c r="A37" s="12" t="inlineStr">
        <is>
          <t>Fox Creek sinkhole (swallow)</t>
        </is>
      </c>
      <c r="B37" s="12" t="inlineStr">
        <is>
          <t>West Berne / Knox (Albany Co.)</t>
        </is>
      </c>
      <c r="C37" s="12" t="inlineStr">
        <is>
          <t>Helderberg-plateau carbonate (karst)</t>
        </is>
      </c>
      <c r="D37" s="12" t="inlineStr">
        <is>
          <t>A large sinkhole/swallow ~50 m wide where the Fox Creek pools and sinks, just below the Bradt Hollow Rd bridge; upstream end in West Berne, the bulk in Knox</t>
        </is>
      </c>
      <c r="E37" s="12" t="inlineStr">
        <is>
          <t>~50 m wide</t>
        </is>
      </c>
      <c r="F37" s="12" t="inlineStr">
        <is>
          <t>The Fox Creek flows through it; nutrients and sediment accumulate in the sink (documented downstream of the Rte 443 bridge during a 1992 NYS DEC biomonitoring stream survey)</t>
        </is>
      </c>
      <c r="G37" s="12" t="inlineStr">
        <is>
          <t>Helderberg-plateau karst swallow on the Fox Creek. Documented in a 1992 Altamont Enterprise report on a DEC biomonitoring survey (biologist Lawrence Abele). Water-quality context (agricultural runoff / septic) in the source is not a geohazard event — the feature itself is the karst record. 2026-09-23 (v852, atlas session): LOCUS FOUND — Altamont Enterprise, Oct 1992, 'Stream sample reveals worms in Fox Creek': DEC biologist Lawrence Abele describes a pool just BELOW the Bradt Hollow Rd bridge where Fox Creek flows through 'a large sinkhole approximately 60 meters wide'; the upstream end of the pool is in West Berne, the bulk in Knox; locally 'the swimming hole', used by children, nutrient-enriched (green algae, filter-feeding caddis larvae), septic effluent and failed leach fields upstream in West Berne (dye test). Places query: Bradt Hollow Rd bridge over Fox Creek. Also: a large sinkhole receiving a natural drainage path under Rte 157A near Sawmill Rd (Berne Conservation Committee, Enterprise Nov 10 1988, Ames Acres subdivision) — separate feature. 2026-09-23 (v855, atlas session): coordinate set; pinned.</t>
        </is>
      </c>
      <c r="H37" s="12" t="n">
        <v>42.628935</v>
      </c>
      <c r="I37" s="12" t="n">
        <v>-74.184551</v>
      </c>
      <c r="J37" s="12" t="inlineStr">
        <is>
          <t>approximate (bridge; pool is just downstream)</t>
        </is>
      </c>
      <c r="K37" s="12" t="inlineStr">
        <is>
          <t>Bradt Hollow Rd bridge coordinate supplied by Laurie 2026-09-23; the ~60 m sinkhole pool lies immediately below the bridge</t>
        </is>
      </c>
    </row>
    <row r="38" ht="15" customHeight="1" s="13">
      <c r="A38" s="12" t="inlineStr">
        <is>
          <t>Beaverdam Road natural bridge &amp; sinkhole belt</t>
        </is>
      </c>
      <c r="B38" s="12" t="inlineStr">
        <is>
          <t>Beaverdam Rd above John Boyd Thacher State Park (near Rtes 157 &amp; 157A), Albany Co.</t>
        </is>
      </c>
      <c r="C38" s="12" t="inlineStr">
        <is>
          <t>Onondaga limestone (natural bridge); Helderberg/Onondaga carbonate belt</t>
        </is>
      </c>
      <c r="D38" s="12" t="inlineStr">
        <is>
          <t>A stretch of many small-to-moderate sinkholes just south of Beaverdam Rd that swallow small streams after heavy rain / spring melt; one notable sink (behind a small metal shed near the service road to the transmitting towers) is crossed by a small natural bridge of Onondaga limestone</t>
        </is>
      </c>
      <c r="E38" s="12" t="inlineStr">
        <is>
          <t>Natural bridge is small; the sink belt spans a stretch of the road</t>
        </is>
      </c>
      <c r="F38" s="12" t="inlineStr">
        <is>
          <t>Small streams sink into the depressions and disappear, resurging as springs in the Helderberg escarpment (dye-traced by geologists; some destinations still unknown)</t>
        </is>
      </c>
      <c r="G38" s="12" t="inlineStr">
        <is>
          <t>Described in a 2003 Altamont Enterprise "Backroads geology" column by Mike Nardacci (CBA earth-science teacher). Near the existing TV Tower Cave locus (Beaver Dam Rd, above Thacher Park) — CHECK relation to / possible overlap with that feature. The natural bridge over the sink is the notable point feature; the belt of disappearing-stream sinks is the areal context.</t>
        </is>
      </c>
      <c r="K38" s="12" t="inlineStr">
        <is>
          <t>Coordinates Needed — the natural-bridge sink is "behind a small metal shed close to where a service road leaves Beaverdam Rd and ascends to the transmitting towers," above Thacher Park; approximate locus (near the TV towers). Source: The Altamont Enterprise, Jul 24 2003 ("The Natural Bridge of Beaverdam Road", Mike Nardacci).</t>
        </is>
      </c>
    </row>
    <row r="39" ht="180" customHeight="1" s="13">
      <c r="A39" s="12" t="inlineStr">
        <is>
          <t>Becker's Store cellar sinkhole, 125 Maple Ave, Altamont (natural sink in a c.1818 building's cellar)</t>
        </is>
      </c>
      <c r="B39" s="12" t="inlineStr">
        <is>
          <t>Altamont (Guilderland)</t>
        </is>
      </c>
      <c r="G39" s="12" t="inlineStr">
        <is>
          <t>2026-09-23 (v850, atlas session): added per Laurie from the Altamont Enterprise, Feb 17 1983 ('A Tribute to Helen Becker by Barn School Children' — reprinting 'Helen Becker's Store' from the first Barn School Gazette, by Howard Gage and Danny Wellman): the building, ~1818, was moved by horses from Main St to 125 Maple Ave; under Mr. Beebe the cellar was a summer kitchen, then a wine store, then a fish store — 'The cellar has a natural sinkhole. Men washed the fish over it.' Then Minton Becker's harness/shoe-repair shop, later Helen Becker's shoe-repair and candy store. Children's-newspaper account → confidence C for the 'natural' claim; the village sits on Helderberg-foot till over limestone, so a karst drain is plausible but unconfirmed.</t>
        </is>
      </c>
      <c r="H39" s="12" t="n">
        <v>42.702436</v>
      </c>
      <c r="I39" s="12" t="n">
        <v>-74.033582</v>
      </c>
      <c r="J39" s="12" t="inlineStr">
        <is>
          <t>exact (street address; the sink is under the building)</t>
        </is>
      </c>
      <c r="K39" s="12" t="inlineStr">
        <is>
          <t>Places-confirmed 125 Maple Ave, Altamont</t>
        </is>
      </c>
    </row>
    <row r="40" ht="135.75" customHeight="1" s="13">
      <c r="A40" s="12" t="inlineStr">
        <is>
          <t>Sinkhole receiving drainage under Rte 157A near Sawmill Rd, Berne</t>
        </is>
      </c>
      <c r="B40" s="12" t="inlineStr">
        <is>
          <t>Berne</t>
        </is>
      </c>
      <c r="G40" s="12" t="inlineStr">
        <is>
          <t>2026-09-23 (v852, atlas session): added per Laurie from the Altamont Enterprise, Nov 10 1988, 'More development bids for the Berne planners': the Berne Conservation Committee opposed a 4-lot subdivision because 'a natural drainage path… flows under Route 157A, towards a large sinkhole', on Vergennes/Ilion silt loam over shale/limestone with poor percolation — septic risk to sinkholes and 'perhaps the aquifer'; Albany Co. Soil Conservation Board concurred. Same theme in the 2002 Helderberg planning guide (Enterprise Jun 27 2002): karst aquifers move contamination hundreds to thousands of feet per day; a small sinkhole opened in a committee member's driveway during editing; Clarksville Cave has 0–32 ft of cover. 2026-09-23 (v856, atlas session): coordinate set from map inspection; pinned.</t>
        </is>
      </c>
      <c r="H40" s="12" t="n">
        <v>42.632703</v>
      </c>
      <c r="I40" s="12" t="n">
        <v>-74.047496</v>
      </c>
      <c r="J40" s="12" t="inlineStr">
        <is>
          <t>approximate (map-identified depression, unverified against the 1988 parcel)</t>
        </is>
      </c>
      <c r="K40" s="12" t="inlineStr">
        <is>
          <t>Laurie 2026-09-23: round closed depression visible on the map near the Rte 157A / Sawmill Rd junction; not yet confirmed as the Ames Acres sink named in the 1988 article</t>
        </is>
      </c>
    </row>
    <row r="41" ht="202.5" customHeight="1" s="13">
      <c r="A41" s="12" t="inlineStr">
        <is>
          <t>New sinkhole in the Rte 443 drainage ditch, Berne hamlet (spring 2004) — 200 ft W of the BKW bus garage</t>
        </is>
      </c>
      <c r="B41" s="12" t="inlineStr">
        <is>
          <t>Berne</t>
        </is>
      </c>
      <c r="G41" s="12" t="inlineStr">
        <is>
          <t>2026-09-23 (v853, atlas session): added per Laurie from the Altamont Enterprise, Oct 21 2004, letter 'Mind the karst terrain' (P. David Smith, Berne): 'Just this last spring of 2004, a new sinkhole appeared in the hamlet. The drainage ditch on the southern side of Route 443… used to convey stormwater runoff to the wetland by the town garage. Now… the stormwater runoff channels into the sinkhole where it directly enters the limestone groundwater aquifer.' Cited against siting gas stations in the hamlet; the Helderberg Escarpment Planning Guide (2002, Stolzenburg) recommends a karst-feature inventory for Berne. Conf B (eyewitness resident, dated to the season).</t>
        </is>
      </c>
      <c r="J41" s="12" t="inlineStr">
        <is>
          <t>none</t>
        </is>
      </c>
      <c r="K41" s="12" t="inlineStr">
        <is>
          <t>Coordinates Needed — south-side ditch of Rte 443, ~200 ft west of the Berne-Knox-Westerlo bus garage; Places should resolve the garage</t>
        </is>
      </c>
    </row>
    <row r="42" ht="147" customHeight="1" s="13">
      <c r="A42" s="15" t="inlineStr">
        <is>
          <t>GEOLOGICAL SCOPE NOTE — CATSKILLS PROPER = NON-KARST: the high Catskills (Greene/Delaware/Ulster) are Devonian sandstone/shale (Catskill-delta clastics) with NO solution karst. The 'greater-Catskill' karst IS the Helderberg/Schoharie/Onondaga CARBONATE MARGIN inventoried above. The Shawangunk 'Ice Caves' (Sam's Point, Ellenville) are conglomerate CREVICE/TALUS caves, not dissolution karst.</t>
        </is>
      </c>
      <c r="B42" s="15" t="n"/>
      <c r="C42" s="15" t="n"/>
      <c r="D42" s="15" t="n"/>
      <c r="E42" s="15" t="n"/>
      <c r="F42" s="15" t="n"/>
      <c r="G42" s="15" t="n"/>
    </row>
    <row r="43" ht="191.25" customHeight="1" s="13">
      <c r="A43" s="15" t="inlineStr">
        <is>
          <t>GEOLOGICAL SCOPE NOTE — MOHAWK VALLEY karst is LIMITED: the Helderberg/Onondaga carbonate belt thins westward; only minor karst (e.g., Little Falls dolostone). Wolf Hollow (Glenville) is a FAULT gorge, not karst. The dense cave country is the Schoharie/Helderberg belt to the south.</t>
        </is>
      </c>
      <c r="B43" s="15" t="n"/>
      <c r="C43" s="15" t="n"/>
      <c r="D43" s="15" t="n"/>
      <c r="E43" s="15" t="n"/>
      <c r="F43" s="15" t="n"/>
      <c r="G43" s="15" t="n"/>
    </row>
    <row r="44" ht="157.5" customHeight="1" s="13">
      <c r="A44" s="15" t="inlineStr">
        <is>
          <t>EXPANSION STATUS (added this session): marble karst — Natural Stone Bridge (lower ADK) + Bartholomew's Cobble/Eldon's Cave (Berkshire) — plus Rosendale (mid-Hudson). STILL TO ADD in a fresh session (context-limited): more Schoharie show/wild caves (Gage Caverns, Ball's Cave detail, Gebhard/Central Bridge), Kingston-area Onondaga karst, additional Berkshire/Taconic marble caves (Salisbury CT, Beartown/Stockbridge), and coordinates/DEM placement for map layers.</t>
        </is>
      </c>
      <c r="B44" s="15" t="n"/>
      <c r="C44" s="15" t="n"/>
      <c r="D44" s="15" t="n"/>
      <c r="E44" s="15" t="n"/>
      <c r="F44" s="15" t="n"/>
      <c r="G44" s="15" t="n"/>
    </row>
    <row r="45" ht="157.5" customHeight="1" s="13">
      <c r="A45" s="15" t="inlineStr">
        <is>
          <t>MAP LAYER - REGIONAL CARBONATE-BELT FILL: the 'Helderberg-Cobleskill karst (regional)' row is an areal province (~40 mi of carbonate outcrop), NOT a point. Render it as a translucent POLYGON fill UNDER the cave markers. Use the authoritative carbonate polygon (kn11) for a real fill; the placeholder below (kn10) only brackets the known cave clusters.</t>
        </is>
      </c>
      <c r="B45" s="15" t="n"/>
      <c r="C45" s="15" t="n"/>
      <c r="D45" s="15" t="n"/>
      <c r="E45" s="15" t="n"/>
      <c r="F45" s="15" t="n"/>
      <c r="G45" s="15" t="n"/>
    </row>
    <row r="46" ht="157.5" customHeight="1" s="13">
      <c r="A46" s="15" t="inlineStr">
        <is>
          <t>Placeholder envelope (APPROXIMATE coarse hull around the cave clusters, NOT the true carbonate contact). WKT (lon-lat): POLYGON((-73.92 42.53, -74.22 42.58, -74.40 42.63, -74.50 42.66, -74.47 42.74, -74.25 42.76, -74.00 42.72, -73.90 42.64, -73.92 42.53)). Leaflet [lat,lon]: [[42.53,-73.92],[42.58,-74.22],[42.63,-74.40],[42.66,-74.50],[42.74,-74.47],[42.76,-74.25],[42.72,-74.00],[42.64,-73.90],[42.53,-73.92]]. NB WKT is lon-lat, Leaflet is lat-lon - do not swap the axes.</t>
        </is>
      </c>
      <c r="B46" s="15" t="n"/>
      <c r="C46" s="15" t="n"/>
      <c r="D46" s="15" t="n"/>
      <c r="E46" s="15" t="n"/>
      <c r="F46" s="15" t="n"/>
      <c r="G46" s="15" t="n"/>
    </row>
    <row r="47" ht="157.5" customHeight="1" s="13">
      <c r="A47" s="15" t="inlineStr">
        <is>
          <t>Authoritative fill source (replace the placeholder): USGS Kappel 2020, Statewide Assessment of Karst Aquifers in NY, SIR 2020-5030 - the 'karst-prone bedrock' (carbonate outcrop) GIS layer, ScienceBase data release. Alt: NYS Museum bedrock carbonate units (Manlius, Coeymans, Kalkberg, New Scotland, Becraft, Onondaga) via the NYS GIS Clearinghouse. Clip to the ~75-mi footprint.</t>
        </is>
      </c>
      <c r="B47" s="15" t="n"/>
      <c r="C47" s="15" t="n"/>
      <c r="D47" s="15" t="n"/>
      <c r="E47" s="15" t="n"/>
      <c r="F47" s="15" t="n"/>
      <c r="G47" s="15" t="n"/>
    </row>
  </sheetData>
  <autoFilter ref="A1:G23"/>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I196"/>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6" customWidth="1" style="12" min="1" max="1"/>
    <col width="14" customWidth="1" style="12" min="2" max="2"/>
    <col width="16" customWidth="1" style="12" min="3" max="3"/>
    <col width="22" customWidth="1" style="12" min="4" max="4"/>
    <col width="20" customWidth="1" style="12" min="5" max="5"/>
    <col width="14" customWidth="1" style="12" min="6" max="6"/>
    <col width="50" customWidth="1" style="12" min="7" max="7"/>
    <col width="11" customWidth="1" style="12" min="8" max="9"/>
  </cols>
  <sheetData>
    <row r="1" ht="34.5" customHeight="1" s="13">
      <c r="A1" s="18" t="inlineStr">
        <is>
          <t>FeatID</t>
        </is>
      </c>
      <c r="B1" s="18" t="inlineStr">
        <is>
          <t>Dist. from Westerlo (mi)</t>
        </is>
      </c>
      <c r="C1" s="18" t="inlineStr">
        <is>
          <t>County</t>
        </is>
      </c>
      <c r="D1" s="18" t="inlineStr">
        <is>
          <t>Bedrock unit (MapUnit)</t>
        </is>
      </c>
      <c r="E1" s="18" t="inlineStr">
        <is>
          <t>Karst class</t>
        </is>
      </c>
      <c r="F1" s="18" t="inlineStr">
        <is>
          <t>Likely origin</t>
        </is>
      </c>
      <c r="G1" s="18" t="inlineStr">
        <is>
          <t>Description (USGS)</t>
        </is>
      </c>
      <c r="H1" s="18" t="inlineStr">
        <is>
          <t>Lat</t>
        </is>
      </c>
      <c r="I1" s="18" t="inlineStr">
        <is>
          <t>Lon</t>
        </is>
      </c>
    </row>
    <row r="2" ht="23.25" customHeight="1" s="13">
      <c r="A2" s="19" t="inlineStr">
        <is>
          <t>LiDAR-36-001-16</t>
        </is>
      </c>
      <c r="B2" s="19" t="n">
        <v>8.1</v>
      </c>
      <c r="C2" s="19" t="inlineStr">
        <is>
          <t>Albany County</t>
        </is>
      </c>
      <c r="D2" s="19" t="inlineStr">
        <is>
          <t>Onondaga</t>
        </is>
      </c>
      <c r="E2" s="19" t="inlineStr">
        <is>
          <t>karst-prone (carbonate)</t>
        </is>
      </c>
      <c r="F2" s="19" t="inlineStr">
        <is>
          <t>natural?</t>
        </is>
      </c>
      <c r="G2" s="19" t="inlineStr">
        <is>
          <t>Located in agricultural land, surface drainage terminates at copse of trees, "sinkhole" signature</t>
        </is>
      </c>
      <c r="H2" s="19" t="n">
        <v>42.63428</v>
      </c>
      <c r="I2" s="19" t="n">
        <v>-74.02888</v>
      </c>
    </row>
    <row r="3" ht="15" customHeight="1" s="13">
      <c r="A3" s="19" t="inlineStr">
        <is>
          <t>LiDAR-36-001-17</t>
        </is>
      </c>
      <c r="B3" s="19" t="n">
        <v>10</v>
      </c>
      <c r="C3" s="19" t="inlineStr">
        <is>
          <t>Albany County</t>
        </is>
      </c>
      <c r="D3" s="19" t="inlineStr">
        <is>
          <t>Onondaga</t>
        </is>
      </c>
      <c r="E3" s="19" t="inlineStr">
        <is>
          <t>karst-prone (carbonate)</t>
        </is>
      </c>
      <c r="F3" s="19" t="inlineStr">
        <is>
          <t>natural?</t>
        </is>
      </c>
      <c r="G3" s="19" t="inlineStr">
        <is>
          <t>Forested area</t>
        </is>
      </c>
      <c r="H3" s="19" t="n">
        <v>42.49291</v>
      </c>
      <c r="I3" s="19" t="n">
        <v>-73.85062000000001</v>
      </c>
    </row>
    <row r="4" ht="15" customHeight="1" s="13">
      <c r="A4" s="19" t="inlineStr">
        <is>
          <t>LiDAR-36-001-14</t>
        </is>
      </c>
      <c r="B4" s="19" t="n">
        <v>10.4</v>
      </c>
      <c r="C4" s="19" t="inlineStr">
        <is>
          <t>Albany County</t>
        </is>
      </c>
      <c r="D4" s="19" t="inlineStr">
        <is>
          <t>Non-carbonate</t>
        </is>
      </c>
      <c r="E4" s="19" t="inlineStr">
        <is>
          <t>non-carbonate</t>
        </is>
      </c>
      <c r="F4" s="19" t="inlineStr">
        <is>
          <t>non-karst</t>
        </is>
      </c>
      <c r="G4" s="19" t="inlineStr">
        <is>
          <t>Forested area</t>
        </is>
      </c>
      <c r="H4" s="19" t="n">
        <v>42.66082</v>
      </c>
      <c r="I4" s="19" t="n">
        <v>-73.98735000000001</v>
      </c>
    </row>
    <row r="5" ht="15" customHeight="1" s="13">
      <c r="A5" s="19" t="inlineStr">
        <is>
          <t>LiDAR-36-001-13</t>
        </is>
      </c>
      <c r="B5" s="19" t="n">
        <v>11.5</v>
      </c>
      <c r="C5" s="19" t="inlineStr">
        <is>
          <t>Albany County</t>
        </is>
      </c>
      <c r="D5" s="19" t="inlineStr">
        <is>
          <t>Non-carbonate</t>
        </is>
      </c>
      <c r="E5" s="19" t="inlineStr">
        <is>
          <t>non-carbonate</t>
        </is>
      </c>
      <c r="F5" s="19" t="inlineStr">
        <is>
          <t>non-karst</t>
        </is>
      </c>
      <c r="G5" s="19" t="inlineStr">
        <is>
          <t>Possible shallow depression in wooded area</t>
        </is>
      </c>
      <c r="H5" s="19" t="n">
        <v>42.66437</v>
      </c>
      <c r="I5" s="19" t="n">
        <v>-73.94105</v>
      </c>
    </row>
    <row r="6" ht="15" customHeight="1" s="13">
      <c r="A6" s="19" t="inlineStr">
        <is>
          <t>LiDAR-36-001-15</t>
        </is>
      </c>
      <c r="B6" s="19" t="n">
        <v>11.6</v>
      </c>
      <c r="C6" s="19" t="inlineStr">
        <is>
          <t>Albany County</t>
        </is>
      </c>
      <c r="D6" s="19" t="inlineStr">
        <is>
          <t>Onondaga</t>
        </is>
      </c>
      <c r="E6" s="19" t="inlineStr">
        <is>
          <t>karst-prone (carbonate)</t>
        </is>
      </c>
      <c r="F6" s="19" t="inlineStr">
        <is>
          <t>natural?</t>
        </is>
      </c>
      <c r="G6" s="19" t="inlineStr">
        <is>
          <t>Forested area adjacent to agricultural land.</t>
        </is>
      </c>
      <c r="H6" s="19" t="n">
        <v>42.66053</v>
      </c>
      <c r="I6" s="19" t="n">
        <v>-74.16354</v>
      </c>
    </row>
    <row r="7" ht="15" customHeight="1" s="13">
      <c r="A7" s="19" t="inlineStr">
        <is>
          <t>LiDAR-36-039-1</t>
        </is>
      </c>
      <c r="B7" s="19" t="n">
        <v>12.3</v>
      </c>
      <c r="C7" s="19" t="inlineStr">
        <is>
          <t>Greene County</t>
        </is>
      </c>
      <c r="D7" s="19" t="inlineStr">
        <is>
          <t>Akron</t>
        </is>
      </c>
      <c r="E7" s="19" t="inlineStr">
        <is>
          <t>karst-prone (carbonate)</t>
        </is>
      </c>
      <c r="F7" s="19" t="inlineStr">
        <is>
          <t>anthropogenic</t>
        </is>
      </c>
      <c r="G7" s="19" t="inlineStr">
        <is>
          <t>Former gravel pit</t>
        </is>
      </c>
      <c r="H7" s="19" t="n">
        <v>42.44523</v>
      </c>
      <c r="I7" s="19" t="n">
        <v>-73.8241</v>
      </c>
    </row>
    <row r="8" ht="23.25" customHeight="1" s="13">
      <c r="A8" s="19" t="inlineStr">
        <is>
          <t>LiDAR-36-001-7</t>
        </is>
      </c>
      <c r="B8" s="19" t="n">
        <v>14.6</v>
      </c>
      <c r="C8" s="19" t="inlineStr">
        <is>
          <t>Albany County</t>
        </is>
      </c>
      <c r="D8" s="19" t="inlineStr">
        <is>
          <t>Non-carbonate</t>
        </is>
      </c>
      <c r="E8" s="19" t="inlineStr">
        <is>
          <t>non-carbonate</t>
        </is>
      </c>
      <c r="F8" s="19" t="inlineStr">
        <is>
          <t>anthropogenic</t>
        </is>
      </c>
      <c r="G8" s="19" t="inlineStr">
        <is>
          <t>Shallow depression, partially wooded, adjacent to gravel pit, usually wet or ponded</t>
        </is>
      </c>
      <c r="H8" s="19" t="n">
        <v>42.72409</v>
      </c>
      <c r="I8" s="19" t="n">
        <v>-73.99007</v>
      </c>
    </row>
    <row r="9" ht="15" customHeight="1" s="13">
      <c r="A9" s="19" t="inlineStr">
        <is>
          <t>LiDAR-36-001-6</t>
        </is>
      </c>
      <c r="B9" s="19" t="n">
        <v>14.7</v>
      </c>
      <c r="C9" s="19" t="inlineStr">
        <is>
          <t>Albany County</t>
        </is>
      </c>
      <c r="D9" s="19" t="inlineStr">
        <is>
          <t>Non-carbonate</t>
        </is>
      </c>
      <c r="E9" s="19" t="inlineStr">
        <is>
          <t>non-carbonate</t>
        </is>
      </c>
      <c r="F9" s="19" t="inlineStr">
        <is>
          <t>anthropogenic</t>
        </is>
      </c>
      <c r="G9" s="19" t="inlineStr">
        <is>
          <t>Shallow depression, partially wooded, adjacent to gravel pit</t>
        </is>
      </c>
      <c r="H9" s="19" t="n">
        <v>42.7246</v>
      </c>
      <c r="I9" s="19" t="n">
        <v>-73.986</v>
      </c>
    </row>
    <row r="10" ht="15" customHeight="1" s="13">
      <c r="A10" s="19" t="inlineStr">
        <is>
          <t>LiDAR-36-001-11</t>
        </is>
      </c>
      <c r="B10" s="19" t="n">
        <v>15</v>
      </c>
      <c r="C10" s="19" t="inlineStr">
        <is>
          <t>Albany County</t>
        </is>
      </c>
      <c r="D10" s="19" t="inlineStr">
        <is>
          <t>Non-carbonate</t>
        </is>
      </c>
      <c r="E10" s="19" t="inlineStr">
        <is>
          <t>non-carbonate</t>
        </is>
      </c>
      <c r="F10" s="19" t="inlineStr">
        <is>
          <t>non-karst</t>
        </is>
      </c>
      <c r="G10" s="19" t="inlineStr">
        <is>
          <t>Forested area adjacent to agricultural land</t>
        </is>
      </c>
      <c r="H10" s="19" t="n">
        <v>42.7143</v>
      </c>
      <c r="I10" s="19" t="n">
        <v>-73.9216</v>
      </c>
    </row>
    <row r="11" ht="15" customHeight="1" s="13">
      <c r="A11" s="19" t="inlineStr">
        <is>
          <t>LiDAR-36-001-12</t>
        </is>
      </c>
      <c r="B11" s="19" t="n">
        <v>15.4</v>
      </c>
      <c r="C11" s="19" t="inlineStr">
        <is>
          <t>Albany County</t>
        </is>
      </c>
      <c r="D11" s="19" t="inlineStr">
        <is>
          <t>Non-carbonate</t>
        </is>
      </c>
      <c r="E11" s="19" t="inlineStr">
        <is>
          <t>non-carbonate</t>
        </is>
      </c>
      <c r="F11" s="19" t="inlineStr">
        <is>
          <t>non-karst</t>
        </is>
      </c>
      <c r="G11" s="19" t="inlineStr">
        <is>
          <t>Forested area</t>
        </is>
      </c>
      <c r="H11" s="19" t="n">
        <v>42.70977</v>
      </c>
      <c r="I11" s="19" t="n">
        <v>-73.89335</v>
      </c>
    </row>
    <row r="12" ht="15" customHeight="1" s="13">
      <c r="A12" s="19" t="inlineStr">
        <is>
          <t>LiDAR-36-001-9</t>
        </is>
      </c>
      <c r="B12" s="19" t="n">
        <v>16.1</v>
      </c>
      <c r="C12" s="19" t="inlineStr">
        <is>
          <t>Albany County</t>
        </is>
      </c>
      <c r="D12" s="19" t="inlineStr">
        <is>
          <t>Non-carbonate</t>
        </is>
      </c>
      <c r="E12" s="19" t="inlineStr">
        <is>
          <t>non-carbonate</t>
        </is>
      </c>
      <c r="F12" s="19" t="inlineStr">
        <is>
          <t>non-karst</t>
        </is>
      </c>
      <c r="G12" s="19" t="inlineStr">
        <is>
          <t>Partially forested area</t>
        </is>
      </c>
      <c r="H12" s="19" t="n">
        <v>42.71792</v>
      </c>
      <c r="I12" s="19" t="n">
        <v>-73.88442999999999</v>
      </c>
    </row>
    <row r="13" ht="15" customHeight="1" s="13">
      <c r="A13" s="19" t="inlineStr">
        <is>
          <t>LiDAR-36-001-10</t>
        </is>
      </c>
      <c r="B13" s="19" t="n">
        <v>16.2</v>
      </c>
      <c r="C13" s="19" t="inlineStr">
        <is>
          <t>Albany County</t>
        </is>
      </c>
      <c r="D13" s="19" t="inlineStr">
        <is>
          <t>Non-carbonate</t>
        </is>
      </c>
      <c r="E13" s="19" t="inlineStr">
        <is>
          <t>non-carbonate</t>
        </is>
      </c>
      <c r="F13" s="19" t="inlineStr">
        <is>
          <t>non-karst</t>
        </is>
      </c>
      <c r="G13" s="19" t="inlineStr">
        <is>
          <t>Partially forested area</t>
        </is>
      </c>
      <c r="H13" s="19" t="n">
        <v>42.71784</v>
      </c>
      <c r="I13" s="19" t="n">
        <v>-73.88231</v>
      </c>
    </row>
    <row r="14" ht="15" customHeight="1" s="13">
      <c r="A14" s="19" t="inlineStr">
        <is>
          <t>LiDAR-36-001-5</t>
        </is>
      </c>
      <c r="B14" s="19" t="n">
        <v>16.3</v>
      </c>
      <c r="C14" s="19" t="inlineStr">
        <is>
          <t>Albany County</t>
        </is>
      </c>
      <c r="D14" s="19" t="inlineStr">
        <is>
          <t>Non-carbonate</t>
        </is>
      </c>
      <c r="E14" s="19" t="inlineStr">
        <is>
          <t>non-carbonate</t>
        </is>
      </c>
      <c r="F14" s="19" t="inlineStr">
        <is>
          <t>non-karst</t>
        </is>
      </c>
      <c r="G14" s="19" t="inlineStr">
        <is>
          <t>Forested area</t>
        </is>
      </c>
      <c r="H14" s="19" t="n">
        <v>42.72629</v>
      </c>
      <c r="I14" s="19" t="n">
        <v>-73.89886</v>
      </c>
    </row>
    <row r="15" ht="15" customHeight="1" s="13">
      <c r="A15" s="19" t="inlineStr">
        <is>
          <t>LiDAR-36-001-8</t>
        </is>
      </c>
      <c r="B15" s="19" t="n">
        <v>16.3</v>
      </c>
      <c r="C15" s="19" t="inlineStr">
        <is>
          <t>Albany County</t>
        </is>
      </c>
      <c r="D15" s="19" t="inlineStr">
        <is>
          <t>Non-carbonate</t>
        </is>
      </c>
      <c r="E15" s="19" t="inlineStr">
        <is>
          <t>non-carbonate</t>
        </is>
      </c>
      <c r="F15" s="19" t="inlineStr">
        <is>
          <t>non-karst</t>
        </is>
      </c>
      <c r="G15" s="19" t="inlineStr">
        <is>
          <t>Partially forested area</t>
        </is>
      </c>
      <c r="H15" s="19" t="n">
        <v>42.71917</v>
      </c>
      <c r="I15" s="19" t="n">
        <v>-73.88086</v>
      </c>
    </row>
    <row r="16" ht="15" customHeight="1" s="13">
      <c r="A16" s="19" t="inlineStr">
        <is>
          <t>LiDAR-36-039-2</t>
        </is>
      </c>
      <c r="B16" s="19" t="n">
        <v>16.3</v>
      </c>
      <c r="C16" s="19" t="inlineStr">
        <is>
          <t>Greene County</t>
        </is>
      </c>
      <c r="D16" s="19" t="inlineStr">
        <is>
          <t>Non-carbonate</t>
        </is>
      </c>
      <c r="E16" s="19" t="inlineStr">
        <is>
          <t>non-carbonate</t>
        </is>
      </c>
      <c r="F16" s="19" t="inlineStr">
        <is>
          <t>anthropogenic</t>
        </is>
      </c>
      <c r="G16" s="19" t="inlineStr">
        <is>
          <t>Former gravel pit</t>
        </is>
      </c>
      <c r="H16" s="19" t="n">
        <v>42.2908</v>
      </c>
      <c r="I16" s="19" t="n">
        <v>-73.95274000000001</v>
      </c>
    </row>
    <row r="17" ht="15" customHeight="1" s="13">
      <c r="A17" s="19" t="inlineStr">
        <is>
          <t>LiDAR-36-039-3</t>
        </is>
      </c>
      <c r="B17" s="19" t="n">
        <v>16.4</v>
      </c>
      <c r="C17" s="19" t="inlineStr">
        <is>
          <t>Greene County</t>
        </is>
      </c>
      <c r="D17" s="19" t="inlineStr">
        <is>
          <t>Non-carbonate</t>
        </is>
      </c>
      <c r="E17" s="19" t="inlineStr">
        <is>
          <t>non-carbonate</t>
        </is>
      </c>
      <c r="F17" s="19" t="inlineStr">
        <is>
          <t>anthropogenic</t>
        </is>
      </c>
      <c r="G17" s="19" t="inlineStr">
        <is>
          <t>Private residence, former gravel pit</t>
        </is>
      </c>
      <c r="H17" s="19" t="n">
        <v>42.28986</v>
      </c>
      <c r="I17" s="19" t="n">
        <v>-73.95493</v>
      </c>
    </row>
    <row r="18" ht="23.25" customHeight="1" s="13">
      <c r="A18" s="19" t="inlineStr">
        <is>
          <t>LiDAR-36-001-2</t>
        </is>
      </c>
      <c r="B18" s="19" t="n">
        <v>16.5</v>
      </c>
      <c r="C18" s="19" t="inlineStr">
        <is>
          <t>Albany County</t>
        </is>
      </c>
      <c r="D18" s="19" t="inlineStr">
        <is>
          <t>Non-carbonate</t>
        </is>
      </c>
      <c r="E18" s="19" t="inlineStr">
        <is>
          <t>non-carbonate</t>
        </is>
      </c>
      <c r="F18" s="19" t="inlineStr">
        <is>
          <t>non-karst</t>
        </is>
      </c>
      <c r="G18" s="19" t="inlineStr">
        <is>
          <t>Transects agricultural land and wooded area, no crop stress or standing liquid observed.</t>
        </is>
      </c>
      <c r="H18" s="19" t="n">
        <v>42.7319</v>
      </c>
      <c r="I18" s="19" t="n">
        <v>-73.90284</v>
      </c>
    </row>
    <row r="19" ht="15" customHeight="1" s="13">
      <c r="A19" s="19" t="inlineStr">
        <is>
          <t>LiDAR-36-001-4</t>
        </is>
      </c>
      <c r="B19" s="19" t="n">
        <v>16.8</v>
      </c>
      <c r="C19" s="19" t="inlineStr">
        <is>
          <t>Albany County</t>
        </is>
      </c>
      <c r="D19" s="19" t="inlineStr">
        <is>
          <t>Non-carbonate</t>
        </is>
      </c>
      <c r="E19" s="19" t="inlineStr">
        <is>
          <t>non-carbonate</t>
        </is>
      </c>
      <c r="F19" s="19" t="inlineStr">
        <is>
          <t>non-karst</t>
        </is>
      </c>
      <c r="G19" s="19" t="inlineStr">
        <is>
          <t>Partially forested</t>
        </is>
      </c>
      <c r="H19" s="19" t="n">
        <v>42.72699</v>
      </c>
      <c r="I19" s="19" t="n">
        <v>-73.87879</v>
      </c>
    </row>
    <row r="20" ht="15" customHeight="1" s="13">
      <c r="A20" s="19" t="inlineStr">
        <is>
          <t>LiDAR-36-001-1</t>
        </is>
      </c>
      <c r="B20" s="19" t="n">
        <v>17</v>
      </c>
      <c r="C20" s="19" t="inlineStr">
        <is>
          <t>Albany County</t>
        </is>
      </c>
      <c r="D20" s="19" t="inlineStr">
        <is>
          <t>Non-carbonate</t>
        </is>
      </c>
      <c r="E20" s="19" t="inlineStr">
        <is>
          <t>non-carbonate</t>
        </is>
      </c>
      <c r="F20" s="19" t="inlineStr">
        <is>
          <t>anthropogenic</t>
        </is>
      </c>
      <c r="G20" s="19" t="inlineStr">
        <is>
          <t>Transects wooded area and scrap yard</t>
        </is>
      </c>
      <c r="H20" s="19" t="n">
        <v>42.73475</v>
      </c>
      <c r="I20" s="19" t="n">
        <v>-73.88760000000001</v>
      </c>
    </row>
    <row r="21" ht="15" customHeight="1" s="13">
      <c r="A21" s="19" t="inlineStr">
        <is>
          <t>LiDAR-36-001-3</t>
        </is>
      </c>
      <c r="B21" s="19" t="n">
        <v>17</v>
      </c>
      <c r="C21" s="19" t="inlineStr">
        <is>
          <t>Albany County</t>
        </is>
      </c>
      <c r="D21" s="19" t="inlineStr">
        <is>
          <t>Non-carbonate</t>
        </is>
      </c>
      <c r="E21" s="19" t="inlineStr">
        <is>
          <t>non-carbonate</t>
        </is>
      </c>
      <c r="F21" s="19" t="inlineStr">
        <is>
          <t>non-karst</t>
        </is>
      </c>
      <c r="G21" s="19" t="inlineStr">
        <is>
          <t>Partially forested</t>
        </is>
      </c>
      <c r="H21" s="19" t="n">
        <v>42.73009</v>
      </c>
      <c r="I21" s="19" t="n">
        <v>-73.87779999999999</v>
      </c>
    </row>
    <row r="22" ht="15" customHeight="1" s="13">
      <c r="A22" s="19" t="inlineStr">
        <is>
          <t>LiDAR-36-039-4</t>
        </is>
      </c>
      <c r="B22" s="19" t="n">
        <v>18.5</v>
      </c>
      <c r="C22" s="19" t="inlineStr">
        <is>
          <t>Greene County</t>
        </is>
      </c>
      <c r="D22" s="19" t="inlineStr">
        <is>
          <t>Non-carbonate</t>
        </is>
      </c>
      <c r="E22" s="19" t="inlineStr">
        <is>
          <t>non-carbonate</t>
        </is>
      </c>
      <c r="F22" s="19" t="inlineStr">
        <is>
          <t>non-karst</t>
        </is>
      </c>
      <c r="G22" s="19" t="inlineStr">
        <is>
          <t>Forested area</t>
        </is>
      </c>
      <c r="H22" s="19" t="n">
        <v>42.25498</v>
      </c>
      <c r="I22" s="19" t="n">
        <v>-73.9659</v>
      </c>
    </row>
    <row r="23" ht="15" customHeight="1" s="13">
      <c r="A23" s="19" t="inlineStr">
        <is>
          <t>LiDAR-36-021-3</t>
        </is>
      </c>
      <c r="B23" s="19" t="n">
        <v>20.8</v>
      </c>
      <c r="C23" s="19" t="inlineStr">
        <is>
          <t>Columbia County</t>
        </is>
      </c>
      <c r="D23" s="19" t="inlineStr">
        <is>
          <t>Non-carbonate</t>
        </is>
      </c>
      <c r="E23" s="19" t="inlineStr">
        <is>
          <t>non-carbonate</t>
        </is>
      </c>
      <c r="F23" s="19" t="inlineStr">
        <is>
          <t>anthropogenic</t>
        </is>
      </c>
      <c r="G23" s="19" t="inlineStr">
        <is>
          <t>Gravel pit</t>
        </is>
      </c>
      <c r="H23" s="19" t="n">
        <v>42.35485</v>
      </c>
      <c r="I23" s="19" t="n">
        <v>-73.70184</v>
      </c>
    </row>
    <row r="24" ht="15" customHeight="1" s="13">
      <c r="A24" s="19" t="inlineStr">
        <is>
          <t>LiDAR-36-021-5</t>
        </is>
      </c>
      <c r="B24" s="19" t="n">
        <v>22.2</v>
      </c>
      <c r="C24" s="19" t="inlineStr">
        <is>
          <t>Columbia County</t>
        </is>
      </c>
      <c r="D24" s="19" t="inlineStr">
        <is>
          <t>Non-carbonate</t>
        </is>
      </c>
      <c r="E24" s="19" t="inlineStr">
        <is>
          <t>non-carbonate</t>
        </is>
      </c>
      <c r="F24" s="19" t="inlineStr">
        <is>
          <t>anthropogenic</t>
        </is>
      </c>
      <c r="G24" s="19" t="inlineStr">
        <is>
          <t>Detention basin in mixed-use development area</t>
        </is>
      </c>
      <c r="H24" s="19" t="n">
        <v>42.27935</v>
      </c>
      <c r="I24" s="19" t="n">
        <v>-73.75349</v>
      </c>
    </row>
    <row r="25" ht="23.25" customHeight="1" s="13">
      <c r="A25" s="19" t="inlineStr">
        <is>
          <t>LiDAR-36-021-4</t>
        </is>
      </c>
      <c r="B25" s="19" t="n">
        <v>23.2</v>
      </c>
      <c r="C25" s="19" t="inlineStr">
        <is>
          <t>Columbia County</t>
        </is>
      </c>
      <c r="D25" s="19" t="inlineStr">
        <is>
          <t>Non-carbonate</t>
        </is>
      </c>
      <c r="E25" s="19" t="inlineStr">
        <is>
          <t>non-carbonate</t>
        </is>
      </c>
      <c r="F25" s="19" t="inlineStr">
        <is>
          <t>non-karst</t>
        </is>
      </c>
      <c r="G25" s="19" t="inlineStr">
        <is>
          <t>Located in partially forested area adjacent to agricultural land, possible sinkhole 50m NE at edge of forested area.</t>
        </is>
      </c>
      <c r="H25" s="19" t="n">
        <v>42.31337</v>
      </c>
      <c r="I25" s="19" t="n">
        <v>-73.68359</v>
      </c>
    </row>
    <row r="26" ht="15" customHeight="1" s="13">
      <c r="A26" s="19" t="inlineStr">
        <is>
          <t>LiDAR-36-039-5</t>
        </is>
      </c>
      <c r="B26" s="19" t="n">
        <v>23.3</v>
      </c>
      <c r="C26" s="19" t="inlineStr">
        <is>
          <t>Greene County</t>
        </is>
      </c>
      <c r="D26" s="19" t="inlineStr">
        <is>
          <t>Non-carbonate</t>
        </is>
      </c>
      <c r="E26" s="19" t="inlineStr">
        <is>
          <t>non-carbonate</t>
        </is>
      </c>
      <c r="F26" s="19" t="inlineStr">
        <is>
          <t>anthropogenic</t>
        </is>
      </c>
      <c r="G26" s="19" t="inlineStr">
        <is>
          <t>Quarry</t>
        </is>
      </c>
      <c r="H26" s="19" t="n">
        <v>42.19496</v>
      </c>
      <c r="I26" s="19" t="n">
        <v>-73.90871</v>
      </c>
    </row>
    <row r="27" ht="15" customHeight="1" s="13">
      <c r="A27" s="19" t="inlineStr">
        <is>
          <t>LiDAR-36-039-6</t>
        </is>
      </c>
      <c r="B27" s="19" t="n">
        <v>23.4</v>
      </c>
      <c r="C27" s="19" t="inlineStr">
        <is>
          <t>Greene County</t>
        </is>
      </c>
      <c r="D27" s="19" t="inlineStr">
        <is>
          <t>Non-carbonate</t>
        </is>
      </c>
      <c r="E27" s="19" t="inlineStr">
        <is>
          <t>non-carbonate</t>
        </is>
      </c>
      <c r="F27" s="19" t="inlineStr">
        <is>
          <t>anthropogenic</t>
        </is>
      </c>
      <c r="G27" s="19" t="inlineStr">
        <is>
          <t>Quarry</t>
        </is>
      </c>
      <c r="H27" s="19" t="n">
        <v>42.19355</v>
      </c>
      <c r="I27" s="19" t="n">
        <v>-73.90634</v>
      </c>
    </row>
    <row r="28" ht="15" customHeight="1" s="13">
      <c r="A28" s="19" t="inlineStr">
        <is>
          <t>LiDAR-36-039-7</t>
        </is>
      </c>
      <c r="B28" s="19" t="n">
        <v>23.6</v>
      </c>
      <c r="C28" s="19" t="inlineStr">
        <is>
          <t>Greene County</t>
        </is>
      </c>
      <c r="D28" s="19" t="inlineStr">
        <is>
          <t>Non-carbonate</t>
        </is>
      </c>
      <c r="E28" s="19" t="inlineStr">
        <is>
          <t>non-carbonate</t>
        </is>
      </c>
      <c r="F28" s="19" t="inlineStr">
        <is>
          <t>anthropogenic</t>
        </is>
      </c>
      <c r="G28" s="19" t="inlineStr">
        <is>
          <t>Quarry</t>
        </is>
      </c>
      <c r="H28" s="19" t="n">
        <v>42.19</v>
      </c>
      <c r="I28" s="19" t="n">
        <v>-73.91</v>
      </c>
    </row>
    <row r="29" ht="15" customHeight="1" s="13">
      <c r="A29" s="19" t="inlineStr">
        <is>
          <t>LiDAR-36-021-8</t>
        </is>
      </c>
      <c r="B29" s="19" t="n">
        <v>23.7</v>
      </c>
      <c r="C29" s="19" t="inlineStr">
        <is>
          <t>Columbia County</t>
        </is>
      </c>
      <c r="D29" s="19" t="inlineStr">
        <is>
          <t>Non-carbonate</t>
        </is>
      </c>
      <c r="E29" s="19" t="inlineStr">
        <is>
          <t>non-carbonate</t>
        </is>
      </c>
      <c r="F29" s="19" t="inlineStr">
        <is>
          <t>anthropogenic</t>
        </is>
      </c>
      <c r="G29" s="19" t="inlineStr">
        <is>
          <t>Detention basin at industrial facility, wet/ponded some years</t>
        </is>
      </c>
      <c r="H29" s="19" t="n">
        <v>42.22974</v>
      </c>
      <c r="I29" s="19" t="n">
        <v>-73.79115</v>
      </c>
    </row>
    <row r="30" ht="15" customHeight="1" s="13">
      <c r="A30" s="19" t="inlineStr">
        <is>
          <t>LiDAR-36-021-7</t>
        </is>
      </c>
      <c r="B30" s="19" t="n">
        <v>23.9</v>
      </c>
      <c r="C30" s="19" t="inlineStr">
        <is>
          <t>Columbia County</t>
        </is>
      </c>
      <c r="D30" s="19" t="inlineStr">
        <is>
          <t>Akron</t>
        </is>
      </c>
      <c r="E30" s="19" t="inlineStr">
        <is>
          <t>karst-prone (carbonate)</t>
        </is>
      </c>
      <c r="F30" s="19" t="inlineStr">
        <is>
          <t>anthropogenic</t>
        </is>
      </c>
      <c r="G30" s="19" t="inlineStr">
        <is>
          <t>Former gravel pit</t>
        </is>
      </c>
      <c r="H30" s="19" t="n">
        <v>42.23317</v>
      </c>
      <c r="I30" s="19" t="n">
        <v>-73.77867000000001</v>
      </c>
    </row>
    <row r="31" ht="23.25" customHeight="1" s="13">
      <c r="A31" s="19" t="inlineStr">
        <is>
          <t>LiDAR-36-095-2</t>
        </is>
      </c>
      <c r="B31" s="19" t="n">
        <v>24.2</v>
      </c>
      <c r="C31" s="19" t="inlineStr">
        <is>
          <t>Schoharie County</t>
        </is>
      </c>
      <c r="D31" s="19" t="inlineStr">
        <is>
          <t>Onondaga</t>
        </is>
      </c>
      <c r="E31" s="19" t="inlineStr">
        <is>
          <t>karst-prone (carbonate)</t>
        </is>
      </c>
      <c r="F31" s="19" t="inlineStr">
        <is>
          <t>anthropogenic</t>
        </is>
      </c>
      <c r="G31" s="19" t="inlineStr">
        <is>
          <t>Probable detention basin, located in wooded area adjacent to agricultural land, near Cobleskill Creek</t>
        </is>
      </c>
      <c r="H31" s="19" t="n">
        <v>42.67867</v>
      </c>
      <c r="I31" s="19" t="n">
        <v>-74.46634</v>
      </c>
    </row>
    <row r="32" ht="15" customHeight="1" s="13">
      <c r="A32" s="19" t="inlineStr">
        <is>
          <t>LiDAR-36-039-8</t>
        </is>
      </c>
      <c r="B32" s="19" t="n">
        <v>25</v>
      </c>
      <c r="C32" s="19" t="inlineStr">
        <is>
          <t>Greene County</t>
        </is>
      </c>
      <c r="D32" s="19" t="inlineStr">
        <is>
          <t>Non-carbonate</t>
        </is>
      </c>
      <c r="E32" s="19" t="inlineStr">
        <is>
          <t>non-carbonate</t>
        </is>
      </c>
      <c r="F32" s="19" t="inlineStr">
        <is>
          <t>anthropogenic</t>
        </is>
      </c>
      <c r="G32" s="19" t="inlineStr">
        <is>
          <t>Quarry</t>
        </is>
      </c>
      <c r="H32" s="19" t="n">
        <v>42.16704</v>
      </c>
      <c r="I32" s="19" t="n">
        <v>-73.92124</v>
      </c>
    </row>
    <row r="33" ht="23.25" customHeight="1" s="13">
      <c r="A33" s="19" t="inlineStr">
        <is>
          <t>LiDAR-36-093-2</t>
        </is>
      </c>
      <c r="B33" s="19" t="n">
        <v>25.1</v>
      </c>
      <c r="C33" s="19" t="inlineStr">
        <is>
          <t>Schenectady County</t>
        </is>
      </c>
      <c r="D33" s="19" t="inlineStr">
        <is>
          <t>Non-carbonate</t>
        </is>
      </c>
      <c r="E33" s="19" t="inlineStr">
        <is>
          <t>non-carbonate</t>
        </is>
      </c>
      <c r="F33" s="19" t="inlineStr">
        <is>
          <t>non-karst</t>
        </is>
      </c>
      <c r="G33" s="19" t="inlineStr">
        <is>
          <t>Forested area, adjacent to a mix of agricultural land and residential development.</t>
        </is>
      </c>
      <c r="H33" s="19" t="n">
        <v>42.87998</v>
      </c>
      <c r="I33" s="19" t="n">
        <v>-74.05264</v>
      </c>
    </row>
    <row r="34" ht="15" customHeight="1" s="13">
      <c r="A34" s="19" t="inlineStr">
        <is>
          <t>LiDAR-36-021-9</t>
        </is>
      </c>
      <c r="B34" s="19" t="n">
        <v>25.9</v>
      </c>
      <c r="C34" s="19" t="inlineStr">
        <is>
          <t>Columbia County</t>
        </is>
      </c>
      <c r="D34" s="19" t="inlineStr">
        <is>
          <t>Non-carbonate</t>
        </is>
      </c>
      <c r="E34" s="19" t="inlineStr">
        <is>
          <t>non-carbonate</t>
        </is>
      </c>
      <c r="F34" s="19" t="inlineStr">
        <is>
          <t>anthropogenic</t>
        </is>
      </c>
      <c r="G34" s="19" t="inlineStr">
        <is>
          <t>Detention basin adjacent to orchard/agricultural land</t>
        </is>
      </c>
      <c r="H34" s="19" t="n">
        <v>42.18125</v>
      </c>
      <c r="I34" s="19" t="n">
        <v>-73.81919000000001</v>
      </c>
    </row>
    <row r="35" ht="23.25" customHeight="1" s="13">
      <c r="A35" s="19" t="inlineStr">
        <is>
          <t>LiDAR-36-021-6</t>
        </is>
      </c>
      <c r="B35" s="19" t="n">
        <v>26.1</v>
      </c>
      <c r="C35" s="19" t="inlineStr">
        <is>
          <t>Columbia County</t>
        </is>
      </c>
      <c r="D35" s="19" t="inlineStr">
        <is>
          <t>Non-carbonate</t>
        </is>
      </c>
      <c r="E35" s="19" t="inlineStr">
        <is>
          <t>non-carbonate</t>
        </is>
      </c>
      <c r="F35" s="19" t="inlineStr">
        <is>
          <t>non-karst</t>
        </is>
      </c>
      <c r="G35" s="19" t="inlineStr">
        <is>
          <t>Shallow depression in agricultural land, copse of trees in farm field, wet some years</t>
        </is>
      </c>
      <c r="H35" s="19" t="n">
        <v>42.27336</v>
      </c>
      <c r="I35" s="19" t="n">
        <v>-73.65416999999999</v>
      </c>
    </row>
    <row r="36" ht="15" customHeight="1" s="13">
      <c r="A36" s="19" t="inlineStr">
        <is>
          <t>LiDAR-36-039-9</t>
        </is>
      </c>
      <c r="B36" s="19" t="n">
        <v>26.8</v>
      </c>
      <c r="C36" s="19" t="inlineStr">
        <is>
          <t>Greene County</t>
        </is>
      </c>
      <c r="D36" s="19" t="inlineStr">
        <is>
          <t>Non-carbonate</t>
        </is>
      </c>
      <c r="E36" s="19" t="inlineStr">
        <is>
          <t>non-carbonate</t>
        </is>
      </c>
      <c r="F36" s="19" t="inlineStr">
        <is>
          <t>anthropogenic</t>
        </is>
      </c>
      <c r="G36" s="19" t="inlineStr">
        <is>
          <t>Former gravel pit</t>
        </is>
      </c>
      <c r="H36" s="19" t="n">
        <v>42.13942</v>
      </c>
      <c r="I36" s="19" t="n">
        <v>-73.92564</v>
      </c>
    </row>
    <row r="37" ht="23.25" customHeight="1" s="13">
      <c r="A37" s="19" t="inlineStr">
        <is>
          <t>LiDAR-36-093-1</t>
        </is>
      </c>
      <c r="B37" s="19" t="n">
        <v>29.2</v>
      </c>
      <c r="C37" s="19" t="inlineStr">
        <is>
          <t>Schenectady County</t>
        </is>
      </c>
      <c r="D37" s="19" t="inlineStr">
        <is>
          <t>Non-carbonate</t>
        </is>
      </c>
      <c r="E37" s="19" t="inlineStr">
        <is>
          <t>non-carbonate</t>
        </is>
      </c>
      <c r="F37" s="19" t="inlineStr">
        <is>
          <t>anthropogenic</t>
        </is>
      </c>
      <c r="G37" s="19" t="inlineStr">
        <is>
          <t>Wooded area, probable former gravel pit</t>
        </is>
      </c>
      <c r="H37" s="19" t="n">
        <v>42.93895</v>
      </c>
      <c r="I37" s="19" t="n">
        <v>-74.0506</v>
      </c>
    </row>
    <row r="38" ht="15" customHeight="1" s="13">
      <c r="A38" s="19" t="inlineStr">
        <is>
          <t>LiDAR-36-021-10</t>
        </is>
      </c>
      <c r="B38" s="19" t="n">
        <v>29.7</v>
      </c>
      <c r="C38" s="19" t="inlineStr">
        <is>
          <t>Columbia County</t>
        </is>
      </c>
      <c r="D38" s="19" t="inlineStr">
        <is>
          <t>Non-carbonate</t>
        </is>
      </c>
      <c r="E38" s="19" t="inlineStr">
        <is>
          <t>non-carbonate</t>
        </is>
      </c>
      <c r="F38" s="19" t="inlineStr">
        <is>
          <t>anthropogenic</t>
        </is>
      </c>
      <c r="G38" s="19" t="inlineStr">
        <is>
          <t>Gravel pit</t>
        </is>
      </c>
      <c r="H38" s="19" t="n">
        <v>42.13076</v>
      </c>
      <c r="I38" s="19" t="n">
        <v>-73.78804</v>
      </c>
    </row>
    <row r="39" ht="23.25" customHeight="1" s="13">
      <c r="A39" s="19" t="inlineStr">
        <is>
          <t>LiDAR-36-057-1</t>
        </is>
      </c>
      <c r="B39" s="19" t="n">
        <v>30</v>
      </c>
      <c r="C39" s="19" t="inlineStr">
        <is>
          <t>Montgomery County</t>
        </is>
      </c>
      <c r="D39" s="19" t="inlineStr">
        <is>
          <t>Beekmantown</t>
        </is>
      </c>
      <c r="E39" s="19" t="inlineStr">
        <is>
          <t>karst-prone (carbonate)</t>
        </is>
      </c>
      <c r="F39" s="19" t="inlineStr">
        <is>
          <t>anthropogenic</t>
        </is>
      </c>
      <c r="G39" s="19" t="inlineStr">
        <is>
          <t>Former quarry, ponded most years.</t>
        </is>
      </c>
      <c r="H39" s="19" t="n">
        <v>42.94641</v>
      </c>
      <c r="I39" s="19" t="n">
        <v>-74.13708</v>
      </c>
    </row>
    <row r="40" ht="15" customHeight="1" s="13">
      <c r="A40" s="19" t="inlineStr">
        <is>
          <t>LiDAR-36-095-3</t>
        </is>
      </c>
      <c r="B40" s="19" t="n">
        <v>30.5</v>
      </c>
      <c r="C40" s="19" t="inlineStr">
        <is>
          <t>Schoharie County</t>
        </is>
      </c>
      <c r="D40" s="19" t="inlineStr">
        <is>
          <t>Non-carbonate</t>
        </is>
      </c>
      <c r="E40" s="19" t="inlineStr">
        <is>
          <t>non-carbonate</t>
        </is>
      </c>
      <c r="F40" s="19" t="inlineStr">
        <is>
          <t>anthropogenic</t>
        </is>
      </c>
      <c r="G40" s="19" t="inlineStr">
        <is>
          <t>Excavated pond associated with private residence</t>
        </is>
      </c>
      <c r="H40" s="19" t="n">
        <v>42.63985</v>
      </c>
      <c r="I40" s="19" t="n">
        <v>-74.62067999999999</v>
      </c>
    </row>
    <row r="41" ht="23.25" customHeight="1" s="13">
      <c r="A41" s="19" t="inlineStr">
        <is>
          <t>LiDAR-36-057-3</t>
        </is>
      </c>
      <c r="B41" s="19" t="n">
        <v>30.6</v>
      </c>
      <c r="C41" s="19" t="inlineStr">
        <is>
          <t>Montgomery County</t>
        </is>
      </c>
      <c r="D41" s="19" t="inlineStr">
        <is>
          <t>Non-carbonate</t>
        </is>
      </c>
      <c r="E41" s="19" t="inlineStr">
        <is>
          <t>non-carbonate</t>
        </is>
      </c>
      <c r="F41" s="19" t="inlineStr">
        <is>
          <t>anthropogenic</t>
        </is>
      </c>
      <c r="G41" s="19" t="inlineStr">
        <is>
          <t>Detention basin in light-industrial development area</t>
        </is>
      </c>
      <c r="H41" s="19" t="n">
        <v>42.93935</v>
      </c>
      <c r="I41" s="19" t="n">
        <v>-74.22431</v>
      </c>
    </row>
    <row r="42" ht="23.25" customHeight="1" s="13">
      <c r="A42" s="19" t="inlineStr">
        <is>
          <t>LiDAR-36-057-4</t>
        </is>
      </c>
      <c r="B42" s="19" t="n">
        <v>30.7</v>
      </c>
      <c r="C42" s="19" t="inlineStr">
        <is>
          <t>Montgomery County</t>
        </is>
      </c>
      <c r="D42" s="19" t="inlineStr">
        <is>
          <t>Non-carbonate</t>
        </is>
      </c>
      <c r="E42" s="19" t="inlineStr">
        <is>
          <t>non-carbonate</t>
        </is>
      </c>
      <c r="F42" s="19" t="inlineStr">
        <is>
          <t>anthropogenic</t>
        </is>
      </c>
      <c r="G42" s="19" t="inlineStr">
        <is>
          <t>Detention basin in light-industrial development area</t>
        </is>
      </c>
      <c r="H42" s="19" t="n">
        <v>42.93652</v>
      </c>
      <c r="I42" s="19" t="n">
        <v>-74.24587</v>
      </c>
    </row>
    <row r="43" ht="23.25" customHeight="1" s="13">
      <c r="A43" s="19" t="inlineStr">
        <is>
          <t>LiDAR-36-057-2</t>
        </is>
      </c>
      <c r="B43" s="19" t="n">
        <v>30.9</v>
      </c>
      <c r="C43" s="19" t="inlineStr">
        <is>
          <t>Montgomery County</t>
        </is>
      </c>
      <c r="D43" s="19" t="inlineStr">
        <is>
          <t>Non-carbonate</t>
        </is>
      </c>
      <c r="E43" s="19" t="inlineStr">
        <is>
          <t>non-carbonate</t>
        </is>
      </c>
      <c r="F43" s="19" t="inlineStr">
        <is>
          <t>anthropogenic</t>
        </is>
      </c>
      <c r="G43" s="19" t="inlineStr">
        <is>
          <t>Detention basin in light-industrial development area</t>
        </is>
      </c>
      <c r="H43" s="19" t="n">
        <v>42.94283</v>
      </c>
      <c r="I43" s="19" t="n">
        <v>-74.22789</v>
      </c>
    </row>
    <row r="44" ht="15" customHeight="1" s="13">
      <c r="A44" s="19" t="inlineStr">
        <is>
          <t>LiDAR-36-021-11</t>
        </is>
      </c>
      <c r="B44" s="19" t="n">
        <v>31.5</v>
      </c>
      <c r="C44" s="19" t="inlineStr">
        <is>
          <t>Columbia County</t>
        </is>
      </c>
      <c r="D44" s="19" t="inlineStr">
        <is>
          <t>Non-carbonate</t>
        </is>
      </c>
      <c r="E44" s="19" t="inlineStr">
        <is>
          <t>non-carbonate</t>
        </is>
      </c>
      <c r="F44" s="19" t="inlineStr">
        <is>
          <t>non-karst</t>
        </is>
      </c>
      <c r="G44" s="19" t="inlineStr">
        <is>
          <t>Shallow depression in agricultural land</t>
        </is>
      </c>
      <c r="H44" s="19" t="n">
        <v>42.09892</v>
      </c>
      <c r="I44" s="19" t="n">
        <v>-73.79792999999999</v>
      </c>
    </row>
    <row r="45" ht="15" customHeight="1" s="13">
      <c r="A45" s="19" t="inlineStr">
        <is>
          <t>LiDAR-36-021-12</t>
        </is>
      </c>
      <c r="B45" s="19" t="n">
        <v>31.6</v>
      </c>
      <c r="C45" s="19" t="inlineStr">
        <is>
          <t>Columbia County</t>
        </is>
      </c>
      <c r="D45" s="19" t="inlineStr">
        <is>
          <t>Non-carbonate</t>
        </is>
      </c>
      <c r="E45" s="19" t="inlineStr">
        <is>
          <t>non-carbonate</t>
        </is>
      </c>
      <c r="F45" s="19" t="inlineStr">
        <is>
          <t>non-karst</t>
        </is>
      </c>
      <c r="G45" s="19" t="inlineStr">
        <is>
          <t>Shallow depression in agricultural land</t>
        </is>
      </c>
      <c r="H45" s="19" t="n">
        <v>42.09122</v>
      </c>
      <c r="I45" s="19" t="n">
        <v>-73.81713000000001</v>
      </c>
    </row>
    <row r="46" ht="15" customHeight="1" s="13">
      <c r="A46" s="19" t="inlineStr">
        <is>
          <t>LiDAR-36-083-1</t>
        </is>
      </c>
      <c r="B46" s="19" t="n">
        <v>31.7</v>
      </c>
      <c r="C46" s="19" t="inlineStr">
        <is>
          <t>Rensselaer County</t>
        </is>
      </c>
      <c r="D46" s="19" t="inlineStr">
        <is>
          <t>Non-carbonate</t>
        </is>
      </c>
      <c r="E46" s="19" t="inlineStr">
        <is>
          <t>non-carbonate</t>
        </is>
      </c>
      <c r="F46" s="19" t="inlineStr">
        <is>
          <t>non-karst</t>
        </is>
      </c>
      <c r="G46" s="19" t="inlineStr">
        <is>
          <t>Forested area</t>
        </is>
      </c>
      <c r="H46" s="19" t="n">
        <v>42.67</v>
      </c>
      <c r="I46" s="19" t="n">
        <v>-73.45827</v>
      </c>
    </row>
    <row r="47" ht="15" customHeight="1" s="13">
      <c r="A47" s="19" t="inlineStr">
        <is>
          <t>LiDAR-36-111-1</t>
        </is>
      </c>
      <c r="B47" s="19" t="n">
        <v>32.8</v>
      </c>
      <c r="C47" s="19" t="inlineStr">
        <is>
          <t>Ulster County</t>
        </is>
      </c>
      <c r="D47" s="19" t="inlineStr">
        <is>
          <t>Akron</t>
        </is>
      </c>
      <c r="E47" s="19" t="inlineStr">
        <is>
          <t>karst-prone (carbonate)</t>
        </is>
      </c>
      <c r="F47" s="19" t="inlineStr">
        <is>
          <t>anthropogenic</t>
        </is>
      </c>
      <c r="G47" s="19" t="inlineStr">
        <is>
          <t>Bedrock quarry</t>
        </is>
      </c>
      <c r="H47" s="19" t="n">
        <v>42.0449</v>
      </c>
      <c r="I47" s="19" t="n">
        <v>-73.97185</v>
      </c>
    </row>
    <row r="48" ht="15" customHeight="1" s="13">
      <c r="A48" s="19" t="inlineStr">
        <is>
          <t>LiDAR-36-021-2</t>
        </is>
      </c>
      <c r="B48" s="19" t="n">
        <v>33.4</v>
      </c>
      <c r="C48" s="19" t="inlineStr">
        <is>
          <t>Columbia County</t>
        </is>
      </c>
      <c r="D48" s="19" t="inlineStr">
        <is>
          <t>CalciticDolomiticMarble</t>
        </is>
      </c>
      <c r="E48" s="19" t="inlineStr">
        <is>
          <t>karst-prone (carbonate)</t>
        </is>
      </c>
      <c r="F48" s="19" t="inlineStr">
        <is>
          <t>natural?</t>
        </is>
      </c>
      <c r="G48" s="19" t="inlineStr">
        <is>
          <t>Forested area</t>
        </is>
      </c>
      <c r="H48" s="19" t="n">
        <v>42.39714</v>
      </c>
      <c r="I48" s="19" t="n">
        <v>-73.41038</v>
      </c>
    </row>
    <row r="49" ht="15" customHeight="1" s="13">
      <c r="A49" s="19" t="inlineStr">
        <is>
          <t>LiDAR-36-021-1</t>
        </is>
      </c>
      <c r="B49" s="19" t="n">
        <v>33.8</v>
      </c>
      <c r="C49" s="19" t="inlineStr">
        <is>
          <t>Columbia County</t>
        </is>
      </c>
      <c r="D49" s="19" t="inlineStr">
        <is>
          <t>CalciticDolomiticMarble</t>
        </is>
      </c>
      <c r="E49" s="19" t="inlineStr">
        <is>
          <t>karst-prone (carbonate)</t>
        </is>
      </c>
      <c r="F49" s="19" t="inlineStr">
        <is>
          <t>anthropogenic</t>
        </is>
      </c>
      <c r="G49" s="19" t="inlineStr">
        <is>
          <t>Gravel pit</t>
        </is>
      </c>
      <c r="H49" s="19" t="n">
        <v>42.48072</v>
      </c>
      <c r="I49" s="19" t="n">
        <v>-73.38267</v>
      </c>
    </row>
    <row r="50" ht="34.5" customHeight="1" s="13">
      <c r="A50" s="19" t="inlineStr">
        <is>
          <t>LiDAR-36-057-6</t>
        </is>
      </c>
      <c r="B50" s="19" t="n">
        <v>33.8</v>
      </c>
      <c r="C50" s="19" t="inlineStr">
        <is>
          <t>Montgomery County</t>
        </is>
      </c>
      <c r="D50" s="19" t="inlineStr">
        <is>
          <t>Non-carbonate</t>
        </is>
      </c>
      <c r="E50" s="19" t="inlineStr">
        <is>
          <t>non-carbonate</t>
        </is>
      </c>
      <c r="F50" s="19" t="inlineStr">
        <is>
          <t>non-karst</t>
        </is>
      </c>
      <c r="G50" s="19" t="inlineStr">
        <is>
          <t>Extent includes agricultural land and wetland land cover, wet area in the southwest portion noted on several years of imagery</t>
        </is>
      </c>
      <c r="H50" s="19" t="n">
        <v>42.90739</v>
      </c>
      <c r="I50" s="19" t="n">
        <v>-74.44665000000001</v>
      </c>
    </row>
    <row r="51" ht="23.25" customHeight="1" s="13">
      <c r="A51" s="19" t="inlineStr">
        <is>
          <t>LiDAR-36-057-5</t>
        </is>
      </c>
      <c r="B51" s="19" t="n">
        <v>33.9</v>
      </c>
      <c r="C51" s="19" t="inlineStr">
        <is>
          <t>Montgomery County</t>
        </is>
      </c>
      <c r="D51" s="19" t="inlineStr">
        <is>
          <t>Non-carbonate</t>
        </is>
      </c>
      <c r="E51" s="19" t="inlineStr">
        <is>
          <t>non-carbonate</t>
        </is>
      </c>
      <c r="F51" s="19" t="inlineStr">
        <is>
          <t>anthropogenic</t>
        </is>
      </c>
      <c r="G51" s="19" t="inlineStr">
        <is>
          <t>Former gravel pit</t>
        </is>
      </c>
      <c r="H51" s="19" t="n">
        <v>42.91182</v>
      </c>
      <c r="I51" s="19" t="n">
        <v>-74.44087</v>
      </c>
    </row>
    <row r="52" ht="15" customHeight="1" s="13">
      <c r="A52" s="19" t="inlineStr">
        <is>
          <t>LiDAR-36-021-15</t>
        </is>
      </c>
      <c r="B52" s="19" t="n">
        <v>34.5</v>
      </c>
      <c r="C52" s="19" t="inlineStr">
        <is>
          <t>Columbia County</t>
        </is>
      </c>
      <c r="D52" s="19" t="inlineStr">
        <is>
          <t>Non-carbonate</t>
        </is>
      </c>
      <c r="E52" s="19" t="inlineStr">
        <is>
          <t>non-carbonate</t>
        </is>
      </c>
      <c r="F52" s="19" t="inlineStr">
        <is>
          <t>non-karst</t>
        </is>
      </c>
      <c r="G52" s="19" t="inlineStr">
        <is>
          <t>Shallow depression located in athletic field at campground</t>
        </is>
      </c>
      <c r="H52" s="19" t="n">
        <v>42.05282</v>
      </c>
      <c r="I52" s="19" t="n">
        <v>-73.79429</v>
      </c>
    </row>
    <row r="53" ht="15" customHeight="1" s="13">
      <c r="A53" s="19" t="inlineStr">
        <is>
          <t>LiDAR-36-083-2</t>
        </is>
      </c>
      <c r="B53" s="19" t="n">
        <v>34.6</v>
      </c>
      <c r="C53" s="19" t="inlineStr">
        <is>
          <t>Rensselaer County</t>
        </is>
      </c>
      <c r="D53" s="19" t="inlineStr">
        <is>
          <t>Non-carbonate</t>
        </is>
      </c>
      <c r="E53" s="19" t="inlineStr">
        <is>
          <t>non-carbonate</t>
        </is>
      </c>
      <c r="F53" s="19" t="inlineStr">
        <is>
          <t>non-karst</t>
        </is>
      </c>
      <c r="G53" s="19" t="inlineStr">
        <is>
          <t>Copse of trees transecting agricultural land</t>
        </is>
      </c>
      <c r="H53" s="19" t="n">
        <v>42.6035</v>
      </c>
      <c r="I53" s="19" t="n">
        <v>-73.37604</v>
      </c>
    </row>
    <row r="54" ht="34.5" customHeight="1" s="13">
      <c r="A54" s="19" t="inlineStr">
        <is>
          <t>LiDAR-36-095-1</t>
        </is>
      </c>
      <c r="B54" s="19" t="n">
        <v>36.5</v>
      </c>
      <c r="C54" s="19" t="inlineStr">
        <is>
          <t>Schoharie County</t>
        </is>
      </c>
      <c r="D54" s="19" t="inlineStr">
        <is>
          <t>Akron</t>
        </is>
      </c>
      <c r="E54" s="19" t="inlineStr">
        <is>
          <t>karst-prone (carbonate)</t>
        </is>
      </c>
      <c r="F54" s="19" t="inlineStr">
        <is>
          <t>natural?</t>
        </is>
      </c>
      <c r="G54" s="19" t="inlineStr">
        <is>
          <t>Copse of trees in agricultural land, similar but smaller features observed 150m S and 250m E, smaller features exhibit "sinkhole" signature</t>
        </is>
      </c>
      <c r="H54" s="19" t="n">
        <v>42.80917</v>
      </c>
      <c r="I54" s="19" t="n">
        <v>-74.64461</v>
      </c>
    </row>
    <row r="55" ht="23.25" customHeight="1" s="13">
      <c r="A55" s="19" t="inlineStr">
        <is>
          <t>LiDAR-36-091-27</t>
        </is>
      </c>
      <c r="B55" s="19" t="n">
        <v>36.6</v>
      </c>
      <c r="C55" s="19" t="inlineStr">
        <is>
          <t>Saratoga County</t>
        </is>
      </c>
      <c r="D55" s="19" t="inlineStr">
        <is>
          <t>Non-carbonate</t>
        </is>
      </c>
      <c r="E55" s="19" t="inlineStr">
        <is>
          <t>non-carbonate</t>
        </is>
      </c>
      <c r="F55" s="19" t="inlineStr">
        <is>
          <t>anthropogenic</t>
        </is>
      </c>
      <c r="G55" s="19" t="inlineStr">
        <is>
          <t>Wooded area, identified as nature preserve on Google Maps, possible former sand/gravel pit.</t>
        </is>
      </c>
      <c r="H55" s="19" t="n">
        <v>43.02566</v>
      </c>
      <c r="I55" s="19" t="n">
        <v>-73.84396</v>
      </c>
    </row>
    <row r="56" ht="15" customHeight="1" s="13">
      <c r="A56" s="19" t="inlineStr">
        <is>
          <t>LiDAR-36-027-3</t>
        </is>
      </c>
      <c r="B56" s="19" t="n">
        <v>36.8</v>
      </c>
      <c r="C56" s="19" t="inlineStr">
        <is>
          <t>Dutchess County</t>
        </is>
      </c>
      <c r="D56" s="19" t="inlineStr">
        <is>
          <t>Non-carbonate</t>
        </is>
      </c>
      <c r="E56" s="19" t="inlineStr">
        <is>
          <t>non-carbonate</t>
        </is>
      </c>
      <c r="F56" s="19" t="inlineStr">
        <is>
          <t>non-karst</t>
        </is>
      </c>
      <c r="G56" s="19" t="inlineStr">
        <is>
          <t>Possible shallow depression in agricultural land.</t>
        </is>
      </c>
      <c r="H56" s="19" t="n">
        <v>42.00184</v>
      </c>
      <c r="I56" s="19" t="n">
        <v>-73.86127999999999</v>
      </c>
    </row>
    <row r="57" ht="15" customHeight="1" s="13">
      <c r="A57" s="19" t="inlineStr">
        <is>
          <t>LiDAR-36-027-1</t>
        </is>
      </c>
      <c r="B57" s="19" t="n">
        <v>36.9</v>
      </c>
      <c r="C57" s="19" t="inlineStr">
        <is>
          <t>Dutchess County</t>
        </is>
      </c>
      <c r="D57" s="19" t="inlineStr">
        <is>
          <t>Non-carbonate</t>
        </is>
      </c>
      <c r="E57" s="19" t="inlineStr">
        <is>
          <t>non-carbonate</t>
        </is>
      </c>
      <c r="F57" s="19" t="inlineStr">
        <is>
          <t>non-karst</t>
        </is>
      </c>
      <c r="G57" s="19" t="inlineStr">
        <is>
          <t>Located adjacent to agricultural land, ponded some years</t>
        </is>
      </c>
      <c r="H57" s="19" t="n">
        <v>42.01212</v>
      </c>
      <c r="I57" s="19" t="n">
        <v>-73.80767</v>
      </c>
    </row>
    <row r="58" ht="15" customHeight="1" s="13">
      <c r="A58" s="19" t="inlineStr">
        <is>
          <t>LiDAR-36-111-2</t>
        </is>
      </c>
      <c r="B58" s="19" t="n">
        <v>36.9</v>
      </c>
      <c r="C58" s="19" t="inlineStr">
        <is>
          <t>Ulster County</t>
        </is>
      </c>
      <c r="D58" s="19" t="inlineStr">
        <is>
          <t>Akron</t>
        </is>
      </c>
      <c r="E58" s="19" t="inlineStr">
        <is>
          <t>karst-prone (carbonate)</t>
        </is>
      </c>
      <c r="F58" s="19" t="inlineStr">
        <is>
          <t>natural?</t>
        </is>
      </c>
      <c r="G58" s="19" t="inlineStr">
        <is>
          <t>Forested area, no indication of plant stress or standing water</t>
        </is>
      </c>
      <c r="H58" s="19" t="n">
        <v>41.98535</v>
      </c>
      <c r="I58" s="19" t="n">
        <v>-73.9735</v>
      </c>
    </row>
    <row r="59" ht="15" customHeight="1" s="13">
      <c r="A59" s="19" t="inlineStr">
        <is>
          <t>LiDAR-36-027-2</t>
        </is>
      </c>
      <c r="B59" s="19" t="n">
        <v>37.1</v>
      </c>
      <c r="C59" s="19" t="inlineStr">
        <is>
          <t>Dutchess County</t>
        </is>
      </c>
      <c r="D59" s="19" t="inlineStr">
        <is>
          <t>Non-carbonate</t>
        </is>
      </c>
      <c r="E59" s="19" t="inlineStr">
        <is>
          <t>non-carbonate</t>
        </is>
      </c>
      <c r="F59" s="19" t="inlineStr">
        <is>
          <t>non-karst</t>
        </is>
      </c>
      <c r="G59" s="19" t="inlineStr">
        <is>
          <t>Shallow depression in agricultural land.</t>
        </is>
      </c>
      <c r="H59" s="19" t="n">
        <v>42.00974</v>
      </c>
      <c r="I59" s="19" t="n">
        <v>-73.80831000000001</v>
      </c>
    </row>
    <row r="60" ht="15" customHeight="1" s="13">
      <c r="A60" s="19" t="inlineStr">
        <is>
          <t>LiDAR-36-111-3</t>
        </is>
      </c>
      <c r="B60" s="19" t="n">
        <v>37.2</v>
      </c>
      <c r="C60" s="19" t="inlineStr">
        <is>
          <t>Ulster County</t>
        </is>
      </c>
      <c r="D60" s="19" t="inlineStr">
        <is>
          <t>Non-carbonate</t>
        </is>
      </c>
      <c r="E60" s="19" t="inlineStr">
        <is>
          <t>non-carbonate</t>
        </is>
      </c>
      <c r="F60" s="19" t="inlineStr">
        <is>
          <t>anthropogenic</t>
        </is>
      </c>
      <c r="G60" s="19" t="inlineStr">
        <is>
          <t>Created by driveway roadbed, wet/ponded most years.</t>
        </is>
      </c>
      <c r="H60" s="19" t="n">
        <v>41.97953</v>
      </c>
      <c r="I60" s="19" t="n">
        <v>-74.09014999999999</v>
      </c>
    </row>
    <row r="61" ht="23.25" customHeight="1" s="13">
      <c r="A61" s="19" t="inlineStr">
        <is>
          <t>LiDAR-36-027-4</t>
        </is>
      </c>
      <c r="B61" s="19" t="n">
        <v>37.6</v>
      </c>
      <c r="C61" s="19" t="inlineStr">
        <is>
          <t>Dutchess County</t>
        </is>
      </c>
      <c r="D61" s="19" t="inlineStr">
        <is>
          <t>Non-carbonate</t>
        </is>
      </c>
      <c r="E61" s="19" t="inlineStr">
        <is>
          <t>non-carbonate</t>
        </is>
      </c>
      <c r="F61" s="19" t="inlineStr">
        <is>
          <t>non-karst</t>
        </is>
      </c>
      <c r="G61" s="19" t="inlineStr">
        <is>
          <t>Wooded wetland in agricultural land, similar feature located 100 meters due east</t>
        </is>
      </c>
      <c r="H61" s="19" t="n">
        <v>42.00065</v>
      </c>
      <c r="I61" s="19" t="n">
        <v>-73.81028000000001</v>
      </c>
    </row>
    <row r="62" ht="15" customHeight="1" s="13">
      <c r="A62" s="19" t="inlineStr">
        <is>
          <t>LiDAR-36-091-26</t>
        </is>
      </c>
      <c r="B62" s="19" t="n">
        <v>37.8</v>
      </c>
      <c r="C62" s="19" t="inlineStr">
        <is>
          <t>Saratoga County</t>
        </is>
      </c>
      <c r="D62" s="19" t="inlineStr">
        <is>
          <t>Non-carbonate</t>
        </is>
      </c>
      <c r="E62" s="19" t="inlineStr">
        <is>
          <t>non-carbonate</t>
        </is>
      </c>
      <c r="F62" s="19" t="inlineStr">
        <is>
          <t>non-karst</t>
        </is>
      </c>
      <c r="G62" s="19" t="inlineStr">
        <is>
          <t>Forested area</t>
        </is>
      </c>
      <c r="H62" s="19" t="n">
        <v>43.04356</v>
      </c>
      <c r="I62" s="19" t="n">
        <v>-73.84141</v>
      </c>
    </row>
    <row r="63" ht="15" customHeight="1" s="13">
      <c r="A63" s="19" t="inlineStr">
        <is>
          <t>LiDAR-36-111-4</t>
        </is>
      </c>
      <c r="B63" s="19" t="n">
        <v>38</v>
      </c>
      <c r="C63" s="19" t="inlineStr">
        <is>
          <t>Ulster County</t>
        </is>
      </c>
      <c r="D63" s="19" t="inlineStr">
        <is>
          <t>Akron</t>
        </is>
      </c>
      <c r="E63" s="19" t="inlineStr">
        <is>
          <t>karst-prone (carbonate)</t>
        </is>
      </c>
      <c r="F63" s="19" t="inlineStr">
        <is>
          <t>natural?</t>
        </is>
      </c>
      <c r="G63" s="19" t="inlineStr">
        <is>
          <t>Forested area, no indication of plant stress or standing water</t>
        </is>
      </c>
      <c r="H63" s="19" t="n">
        <v>41.96933</v>
      </c>
      <c r="I63" s="19" t="n">
        <v>-73.97718999999999</v>
      </c>
    </row>
    <row r="64" ht="15" customHeight="1" s="13">
      <c r="A64" s="19" t="inlineStr">
        <is>
          <t>LiDAR-36-111-6</t>
        </is>
      </c>
      <c r="B64" s="19" t="n">
        <v>38.6</v>
      </c>
      <c r="C64" s="19" t="inlineStr">
        <is>
          <t>Ulster County</t>
        </is>
      </c>
      <c r="D64" s="19" t="inlineStr">
        <is>
          <t>Akron</t>
        </is>
      </c>
      <c r="E64" s="19" t="inlineStr">
        <is>
          <t>karst-prone (carbonate)</t>
        </is>
      </c>
      <c r="F64" s="19" t="inlineStr">
        <is>
          <t>anthropogenic</t>
        </is>
      </c>
      <c r="G64" s="19" t="inlineStr">
        <is>
          <t>Quarry</t>
        </is>
      </c>
      <c r="H64" s="19" t="n">
        <v>41.96015</v>
      </c>
      <c r="I64" s="19" t="n">
        <v>-73.9766</v>
      </c>
    </row>
    <row r="65" ht="15" customHeight="1" s="13">
      <c r="A65" s="19" t="inlineStr">
        <is>
          <t>LiDAR-36-111-5</t>
        </is>
      </c>
      <c r="B65" s="19" t="n">
        <v>38.7</v>
      </c>
      <c r="C65" s="19" t="inlineStr">
        <is>
          <t>Ulster County</t>
        </is>
      </c>
      <c r="D65" s="19" t="inlineStr">
        <is>
          <t>Akron</t>
        </is>
      </c>
      <c r="E65" s="19" t="inlineStr">
        <is>
          <t>karst-prone (carbonate)</t>
        </is>
      </c>
      <c r="F65" s="19" t="inlineStr">
        <is>
          <t>anthropogenic</t>
        </is>
      </c>
      <c r="G65" s="19" t="inlineStr">
        <is>
          <t>Quarry</t>
        </is>
      </c>
      <c r="H65" s="19" t="n">
        <v>41.95923</v>
      </c>
      <c r="I65" s="19" t="n">
        <v>-73.97408</v>
      </c>
    </row>
    <row r="66" ht="15" customHeight="1" s="13">
      <c r="A66" s="19" t="inlineStr">
        <is>
          <t>LiDAR-36-111-7</t>
        </is>
      </c>
      <c r="B66" s="19" t="n">
        <v>38.7</v>
      </c>
      <c r="C66" s="19" t="inlineStr">
        <is>
          <t>Ulster County</t>
        </is>
      </c>
      <c r="D66" s="19" t="inlineStr">
        <is>
          <t>Non-carbonate</t>
        </is>
      </c>
      <c r="E66" s="19" t="inlineStr">
        <is>
          <t>non-carbonate</t>
        </is>
      </c>
      <c r="F66" s="19" t="inlineStr">
        <is>
          <t>anthropogenic</t>
        </is>
      </c>
      <c r="G66" s="19" t="inlineStr">
        <is>
          <t>Former quarry</t>
        </is>
      </c>
      <c r="H66" s="19" t="n">
        <v>41.95802</v>
      </c>
      <c r="I66" s="19" t="n">
        <v>-74.00978000000001</v>
      </c>
    </row>
    <row r="67" ht="15" customHeight="1" s="13">
      <c r="A67" s="19" t="inlineStr">
        <is>
          <t>LiDAR-36-091-25</t>
        </is>
      </c>
      <c r="B67" s="19" t="n">
        <v>39.2</v>
      </c>
      <c r="C67" s="19" t="inlineStr">
        <is>
          <t>Saratoga County</t>
        </is>
      </c>
      <c r="D67" s="19" t="inlineStr">
        <is>
          <t>Non-carbonate</t>
        </is>
      </c>
      <c r="E67" s="19" t="inlineStr">
        <is>
          <t>non-carbonate</t>
        </is>
      </c>
      <c r="F67" s="19" t="inlineStr">
        <is>
          <t>non-karst</t>
        </is>
      </c>
      <c r="G67" s="19" t="inlineStr">
        <is>
          <t>Wooded wetland</t>
        </is>
      </c>
      <c r="H67" s="19" t="n">
        <v>43.06602</v>
      </c>
      <c r="I67" s="19" t="n">
        <v>-73.84923999999999</v>
      </c>
    </row>
    <row r="68" ht="15" customHeight="1" s="13">
      <c r="A68" s="19" t="inlineStr">
        <is>
          <t>LiDAR-36-021-13</t>
        </is>
      </c>
      <c r="B68" s="19" t="n">
        <v>39.8</v>
      </c>
      <c r="C68" s="19" t="inlineStr">
        <is>
          <t>Columbia County</t>
        </is>
      </c>
      <c r="D68" s="19" t="inlineStr">
        <is>
          <t>Non-carbonate</t>
        </is>
      </c>
      <c r="E68" s="19" t="inlineStr">
        <is>
          <t>non-carbonate</t>
        </is>
      </c>
      <c r="F68" s="19" t="inlineStr">
        <is>
          <t>non-karst</t>
        </is>
      </c>
      <c r="G68" s="19" t="inlineStr">
        <is>
          <t>Forested area</t>
        </is>
      </c>
      <c r="H68" s="19" t="n">
        <v>42.06316</v>
      </c>
      <c r="I68" s="19" t="n">
        <v>-73.56541</v>
      </c>
    </row>
    <row r="69" ht="15" customHeight="1" s="13">
      <c r="A69" s="19" t="inlineStr">
        <is>
          <t>LiDAR-36-111-8</t>
        </is>
      </c>
      <c r="B69" s="19" t="n">
        <v>40</v>
      </c>
      <c r="C69" s="19" t="inlineStr">
        <is>
          <t>Ulster County</t>
        </is>
      </c>
      <c r="D69" s="19" t="inlineStr">
        <is>
          <t>Non-carbonate</t>
        </is>
      </c>
      <c r="E69" s="19" t="inlineStr">
        <is>
          <t>non-carbonate</t>
        </is>
      </c>
      <c r="F69" s="19" t="inlineStr">
        <is>
          <t>anthropogenic</t>
        </is>
      </c>
      <c r="G69" s="19" t="inlineStr">
        <is>
          <t>Former quarry</t>
        </is>
      </c>
      <c r="H69" s="19" t="n">
        <v>41.94043</v>
      </c>
      <c r="I69" s="19" t="n">
        <v>-73.9714</v>
      </c>
    </row>
    <row r="70" ht="15" customHeight="1" s="13">
      <c r="A70" s="19" t="inlineStr">
        <is>
          <t>LiDAR-36-077-5</t>
        </is>
      </c>
      <c r="B70" s="19" t="n">
        <v>40.3</v>
      </c>
      <c r="C70" s="19" t="inlineStr">
        <is>
          <t>Otsego County</t>
        </is>
      </c>
      <c r="D70" s="19" t="inlineStr">
        <is>
          <t>Akron</t>
        </is>
      </c>
      <c r="E70" s="19" t="inlineStr">
        <is>
          <t>karst-prone (carbonate)</t>
        </is>
      </c>
      <c r="F70" s="19" t="inlineStr">
        <is>
          <t>anthropogenic</t>
        </is>
      </c>
      <c r="G70" s="19" t="inlineStr">
        <is>
          <t>Sand or gravel pit</t>
        </is>
      </c>
      <c r="H70" s="19" t="n">
        <v>42.82897</v>
      </c>
      <c r="I70" s="19" t="n">
        <v>-74.71584</v>
      </c>
    </row>
    <row r="71" ht="15" customHeight="1" s="13">
      <c r="A71" s="19" t="inlineStr">
        <is>
          <t>LiDAR-36-091-24</t>
        </is>
      </c>
      <c r="B71" s="19" t="n">
        <v>40.5</v>
      </c>
      <c r="C71" s="19" t="inlineStr">
        <is>
          <t>Saratoga County</t>
        </is>
      </c>
      <c r="D71" s="19" t="inlineStr">
        <is>
          <t>CalciticDolomiticMarble</t>
        </is>
      </c>
      <c r="E71" s="19" t="inlineStr">
        <is>
          <t>karst-prone (carbonate)</t>
        </is>
      </c>
      <c r="F71" s="19" t="inlineStr">
        <is>
          <t>natural?</t>
        </is>
      </c>
      <c r="G71" s="19" t="inlineStr">
        <is>
          <t>Forested area</t>
        </is>
      </c>
      <c r="H71" s="19" t="n">
        <v>43.10381</v>
      </c>
      <c r="I71" s="19" t="n">
        <v>-74.04173</v>
      </c>
    </row>
    <row r="72" ht="23.25" customHeight="1" s="13">
      <c r="A72" s="19" t="inlineStr">
        <is>
          <t>LiDAR-36-027-5</t>
        </is>
      </c>
      <c r="B72" s="19" t="n">
        <v>40.7</v>
      </c>
      <c r="C72" s="19" t="inlineStr">
        <is>
          <t>Dutchess County</t>
        </is>
      </c>
      <c r="D72" s="19" t="inlineStr">
        <is>
          <t>Non-carbonate</t>
        </is>
      </c>
      <c r="E72" s="19" t="inlineStr">
        <is>
          <t>non-carbonate</t>
        </is>
      </c>
      <c r="F72" s="19" t="inlineStr">
        <is>
          <t>non-karst</t>
        </is>
      </c>
      <c r="G72" s="19" t="inlineStr">
        <is>
          <t>Possible shallow depression in area of mixed forest/rural residential land use.</t>
        </is>
      </c>
      <c r="H72" s="19" t="n">
        <v>41.93929</v>
      </c>
      <c r="I72" s="19" t="n">
        <v>-73.88748</v>
      </c>
    </row>
    <row r="73" ht="15" customHeight="1" s="13">
      <c r="A73" s="19" t="inlineStr">
        <is>
          <t>LiDAR-36-021-16</t>
        </is>
      </c>
      <c r="B73" s="19" t="n">
        <v>40.9</v>
      </c>
      <c r="C73" s="19" t="inlineStr">
        <is>
          <t>Columbia County</t>
        </is>
      </c>
      <c r="D73" s="19" t="inlineStr">
        <is>
          <t>Non-carbonate</t>
        </is>
      </c>
      <c r="E73" s="19" t="inlineStr">
        <is>
          <t>non-carbonate</t>
        </is>
      </c>
      <c r="F73" s="19" t="inlineStr">
        <is>
          <t>anthropogenic</t>
        </is>
      </c>
      <c r="G73" s="19" t="inlineStr">
        <is>
          <t>Excavated farm pond</t>
        </is>
      </c>
      <c r="H73" s="19" t="n">
        <v>42.04913</v>
      </c>
      <c r="I73" s="19" t="n">
        <v>-73.55415000000001</v>
      </c>
    </row>
    <row r="74" ht="15" customHeight="1" s="13">
      <c r="A74" s="19" t="inlineStr">
        <is>
          <t>LiDAR-36-021-14</t>
        </is>
      </c>
      <c r="B74" s="19" t="n">
        <v>41.7</v>
      </c>
      <c r="C74" s="19" t="inlineStr">
        <is>
          <t>Columbia County</t>
        </is>
      </c>
      <c r="D74" s="19" t="inlineStr">
        <is>
          <t>Non-carbonate</t>
        </is>
      </c>
      <c r="E74" s="19" t="inlineStr">
        <is>
          <t>non-carbonate</t>
        </is>
      </c>
      <c r="F74" s="19" t="inlineStr">
        <is>
          <t>anthropogenic</t>
        </is>
      </c>
      <c r="G74" s="19" t="inlineStr">
        <is>
          <t>Gravel pit</t>
        </is>
      </c>
      <c r="H74" s="19" t="n">
        <v>42.0528</v>
      </c>
      <c r="I74" s="19" t="n">
        <v>-73.52503</v>
      </c>
    </row>
    <row r="75" ht="15" customHeight="1" s="13">
      <c r="A75" s="19" t="inlineStr">
        <is>
          <t>LiDAR-36-021-17</t>
        </is>
      </c>
      <c r="B75" s="19" t="n">
        <v>42.8</v>
      </c>
      <c r="C75" s="19" t="inlineStr">
        <is>
          <t>Columbia County</t>
        </is>
      </c>
      <c r="D75" s="19" t="inlineStr">
        <is>
          <t>Non-carbonate</t>
        </is>
      </c>
      <c r="E75" s="19" t="inlineStr">
        <is>
          <t>non-carbonate</t>
        </is>
      </c>
      <c r="F75" s="19" t="inlineStr">
        <is>
          <t>anthropogenic</t>
        </is>
      </c>
      <c r="G75" s="19" t="inlineStr">
        <is>
          <t>Former gravel pit</t>
        </is>
      </c>
      <c r="H75" s="19" t="n">
        <v>42.00164</v>
      </c>
      <c r="I75" s="19" t="n">
        <v>-73.57943</v>
      </c>
    </row>
    <row r="76" ht="23.25" customHeight="1" s="13">
      <c r="A76" s="19" t="inlineStr">
        <is>
          <t>LiDAR-36-077-4</t>
        </is>
      </c>
      <c r="B76" s="19" t="n">
        <v>43.2</v>
      </c>
      <c r="C76" s="19" t="inlineStr">
        <is>
          <t>Otsego County</t>
        </is>
      </c>
      <c r="D76" s="19" t="inlineStr">
        <is>
          <t>Non-carbonate over carbonate</t>
        </is>
      </c>
      <c r="E76" s="19" t="inlineStr">
        <is>
          <t>mixed (non-carb/carb)</t>
        </is>
      </c>
      <c r="F76" s="19" t="inlineStr">
        <is>
          <t>anthropogenic</t>
        </is>
      </c>
      <c r="G76" s="19" t="inlineStr">
        <is>
          <t>Created by US RT 20 roadbed, adjacent to agricultural land, ponded some years.</t>
        </is>
      </c>
      <c r="H76" s="19" t="n">
        <v>42.8324</v>
      </c>
      <c r="I76" s="19" t="n">
        <v>-74.77818000000001</v>
      </c>
    </row>
    <row r="77" ht="15" customHeight="1" s="13">
      <c r="A77" s="19" t="inlineStr">
        <is>
          <t>LiDAR-36-111-9</t>
        </is>
      </c>
      <c r="B77" s="19" t="n">
        <v>43.7</v>
      </c>
      <c r="C77" s="19" t="inlineStr">
        <is>
          <t>Ulster County</t>
        </is>
      </c>
      <c r="D77" s="19" t="inlineStr">
        <is>
          <t>Onondaga</t>
        </is>
      </c>
      <c r="E77" s="19" t="inlineStr">
        <is>
          <t>karst-prone (carbonate)</t>
        </is>
      </c>
      <c r="F77" s="19" t="inlineStr">
        <is>
          <t>natural?</t>
        </is>
      </c>
      <c r="G77" s="19" t="inlineStr">
        <is>
          <t>Forested area</t>
        </is>
      </c>
      <c r="H77" s="19" t="n">
        <v>41.88436</v>
      </c>
      <c r="I77" s="19" t="n">
        <v>-74.06591</v>
      </c>
    </row>
    <row r="78" ht="15" customHeight="1" s="13">
      <c r="A78" s="19" t="inlineStr">
        <is>
          <t>LiDAR-36-035-3</t>
        </is>
      </c>
      <c r="B78" s="19" t="n">
        <v>44.3</v>
      </c>
      <c r="C78" s="19" t="inlineStr">
        <is>
          <t>Fulton County</t>
        </is>
      </c>
      <c r="D78" s="19" t="inlineStr">
        <is>
          <t>Non-carbonate</t>
        </is>
      </c>
      <c r="E78" s="19" t="inlineStr">
        <is>
          <t>non-carbonate</t>
        </is>
      </c>
      <c r="F78" s="19" t="inlineStr">
        <is>
          <t>anthropogenic</t>
        </is>
      </c>
      <c r="G78" s="19" t="inlineStr">
        <is>
          <t>Former gravel pit</t>
        </is>
      </c>
      <c r="H78" s="19" t="n">
        <v>43.03921</v>
      </c>
      <c r="I78" s="19" t="n">
        <v>-74.55155999999999</v>
      </c>
    </row>
    <row r="79" ht="23.25" customHeight="1" s="13">
      <c r="A79" s="19" t="inlineStr">
        <is>
          <t>LiDAR-36-077-2</t>
        </is>
      </c>
      <c r="B79" s="19" t="n">
        <v>44.5</v>
      </c>
      <c r="C79" s="19" t="inlineStr">
        <is>
          <t>Otsego County</t>
        </is>
      </c>
      <c r="D79" s="19" t="inlineStr">
        <is>
          <t>Akron</t>
        </is>
      </c>
      <c r="E79" s="19" t="inlineStr">
        <is>
          <t>karst-prone (carbonate)</t>
        </is>
      </c>
      <c r="F79" s="19" t="inlineStr">
        <is>
          <t>natural?</t>
        </is>
      </c>
      <c r="G79" s="19" t="inlineStr">
        <is>
          <t>Possible shallow depression in agricultural land, no crop stress or standing liquid noted.</t>
        </is>
      </c>
      <c r="H79" s="19" t="n">
        <v>42.86637</v>
      </c>
      <c r="I79" s="19" t="n">
        <v>-74.78124</v>
      </c>
    </row>
    <row r="80" ht="15" customHeight="1" s="13">
      <c r="A80" s="19" t="inlineStr">
        <is>
          <t>LiDAR-36-111-10</t>
        </is>
      </c>
      <c r="B80" s="19" t="n">
        <v>44.5</v>
      </c>
      <c r="C80" s="19" t="inlineStr">
        <is>
          <t>Ulster County</t>
        </is>
      </c>
      <c r="D80" s="19" t="inlineStr">
        <is>
          <t>Onondaga</t>
        </is>
      </c>
      <c r="E80" s="19" t="inlineStr">
        <is>
          <t>karst-prone (carbonate)</t>
        </is>
      </c>
      <c r="F80" s="19" t="inlineStr">
        <is>
          <t>natural?</t>
        </is>
      </c>
      <c r="G80" s="19" t="inlineStr">
        <is>
          <t>Forested area</t>
        </is>
      </c>
      <c r="H80" s="19" t="n">
        <v>41.87291</v>
      </c>
      <c r="I80" s="19" t="n">
        <v>-74.07465000000001</v>
      </c>
    </row>
    <row r="81" ht="23.25" customHeight="1" s="13">
      <c r="A81" s="19" t="inlineStr">
        <is>
          <t>LiDAR-36-027-6</t>
        </is>
      </c>
      <c r="B81" s="19" t="n">
        <v>44.8</v>
      </c>
      <c r="C81" s="19" t="inlineStr">
        <is>
          <t>Dutchess County</t>
        </is>
      </c>
      <c r="D81" s="19" t="inlineStr">
        <is>
          <t>Wappinger Group</t>
        </is>
      </c>
      <c r="E81" s="19" t="inlineStr">
        <is>
          <t>karst-prone (carbonate)</t>
        </is>
      </c>
      <c r="F81" s="19" t="inlineStr">
        <is>
          <t>natural?</t>
        </is>
      </c>
      <c r="G81" s="19" t="inlineStr">
        <is>
          <t>Shallow depression in wooded area, ponding evident some years</t>
        </is>
      </c>
      <c r="H81" s="19" t="n">
        <v>41.89258</v>
      </c>
      <c r="I81" s="19" t="n">
        <v>-73.80625999999999</v>
      </c>
    </row>
    <row r="82" ht="15" customHeight="1" s="13">
      <c r="A82" s="19" t="inlineStr">
        <is>
          <t>LiDAR-36-111-11</t>
        </is>
      </c>
      <c r="B82" s="19" t="n">
        <v>44.8</v>
      </c>
      <c r="C82" s="19" t="inlineStr">
        <is>
          <t>Ulster County</t>
        </is>
      </c>
      <c r="D82" s="19" t="inlineStr">
        <is>
          <t>Onondaga</t>
        </is>
      </c>
      <c r="E82" s="19" t="inlineStr">
        <is>
          <t>karst-prone (carbonate)</t>
        </is>
      </c>
      <c r="F82" s="19" t="inlineStr">
        <is>
          <t>natural?</t>
        </is>
      </c>
      <c r="G82" s="19" t="inlineStr">
        <is>
          <t>Forested area</t>
        </is>
      </c>
      <c r="H82" s="19" t="n">
        <v>41.86946</v>
      </c>
      <c r="I82" s="19" t="n">
        <v>-74.07638</v>
      </c>
    </row>
    <row r="83" ht="15" customHeight="1" s="13">
      <c r="A83" s="19" t="inlineStr">
        <is>
          <t>LiDAR-36-035-2</t>
        </is>
      </c>
      <c r="B83" s="19" t="n">
        <v>45</v>
      </c>
      <c r="C83" s="19" t="inlineStr">
        <is>
          <t>Fulton County</t>
        </is>
      </c>
      <c r="D83" s="19" t="inlineStr">
        <is>
          <t>Non-carbonate</t>
        </is>
      </c>
      <c r="E83" s="19" t="inlineStr">
        <is>
          <t>non-carbonate</t>
        </is>
      </c>
      <c r="F83" s="19" t="inlineStr">
        <is>
          <t>non-karst</t>
        </is>
      </c>
      <c r="G83" s="19" t="inlineStr">
        <is>
          <t>Heavily wooded area, possible tree plantation site</t>
        </is>
      </c>
      <c r="H83" s="19" t="n">
        <v>43.03976</v>
      </c>
      <c r="I83" s="19" t="n">
        <v>-74.57273000000001</v>
      </c>
    </row>
    <row r="84" ht="15" customHeight="1" s="13">
      <c r="A84" s="19" t="inlineStr">
        <is>
          <t>LiDAR-36-035-1</t>
        </is>
      </c>
      <c r="B84" s="19" t="n">
        <v>45.3</v>
      </c>
      <c r="C84" s="19" t="inlineStr">
        <is>
          <t>Fulton County</t>
        </is>
      </c>
      <c r="D84" s="19" t="inlineStr">
        <is>
          <t>Non-carbonate</t>
        </is>
      </c>
      <c r="E84" s="19" t="inlineStr">
        <is>
          <t>non-carbonate</t>
        </is>
      </c>
      <c r="F84" s="19" t="inlineStr">
        <is>
          <t>non-karst</t>
        </is>
      </c>
      <c r="G84" s="19" t="inlineStr">
        <is>
          <t>Heavily wooded area, possible tree plantation site</t>
        </is>
      </c>
      <c r="H84" s="19" t="n">
        <v>43.04731</v>
      </c>
      <c r="I84" s="19" t="n">
        <v>-74.56856000000001</v>
      </c>
    </row>
    <row r="85" ht="15" customHeight="1" s="13">
      <c r="A85" s="19" t="inlineStr">
        <is>
          <t>LiDAR-36-091-21</t>
        </is>
      </c>
      <c r="B85" s="19" t="n">
        <v>45.5</v>
      </c>
      <c r="C85" s="19" t="inlineStr">
        <is>
          <t>Saratoga County</t>
        </is>
      </c>
      <c r="D85" s="19" t="inlineStr">
        <is>
          <t>Non-carbonate</t>
        </is>
      </c>
      <c r="E85" s="19" t="inlineStr">
        <is>
          <t>non-carbonate</t>
        </is>
      </c>
      <c r="F85" s="19" t="inlineStr">
        <is>
          <t>non-karst</t>
        </is>
      </c>
      <c r="G85" s="19" t="inlineStr">
        <is>
          <t>Golf course water feature</t>
        </is>
      </c>
      <c r="H85" s="19" t="n">
        <v>43.13638</v>
      </c>
      <c r="I85" s="19" t="n">
        <v>-73.74178000000001</v>
      </c>
    </row>
    <row r="86" ht="15" customHeight="1" s="13">
      <c r="A86" s="19" t="inlineStr">
        <is>
          <t>LiDAR-36-091-22</t>
        </is>
      </c>
      <c r="B86" s="19" t="n">
        <v>45.5</v>
      </c>
      <c r="C86" s="19" t="inlineStr">
        <is>
          <t>Saratoga County</t>
        </is>
      </c>
      <c r="D86" s="19" t="inlineStr">
        <is>
          <t>Non-carbonate</t>
        </is>
      </c>
      <c r="E86" s="19" t="inlineStr">
        <is>
          <t>non-carbonate</t>
        </is>
      </c>
      <c r="F86" s="19" t="inlineStr">
        <is>
          <t>non-karst</t>
        </is>
      </c>
      <c r="G86" s="19" t="inlineStr">
        <is>
          <t>Partially wooded, wet/ponded some years</t>
        </is>
      </c>
      <c r="H86" s="19" t="n">
        <v>43.13424</v>
      </c>
      <c r="I86" s="19" t="n">
        <v>-73.7307</v>
      </c>
    </row>
    <row r="87" ht="23.25" customHeight="1" s="13">
      <c r="A87" s="19" t="inlineStr">
        <is>
          <t>LiDAR-36-043-18</t>
        </is>
      </c>
      <c r="B87" s="19" t="n">
        <v>45.6</v>
      </c>
      <c r="C87" s="19" t="inlineStr">
        <is>
          <t>Herkimer County</t>
        </is>
      </c>
      <c r="D87" s="19" t="inlineStr">
        <is>
          <t>Akron</t>
        </is>
      </c>
      <c r="E87" s="19" t="inlineStr">
        <is>
          <t>karst-prone (carbonate)</t>
        </is>
      </c>
      <c r="F87" s="19" t="inlineStr">
        <is>
          <t>natural?</t>
        </is>
      </c>
      <c r="G87" s="19" t="inlineStr">
        <is>
          <t>Shallow depression transecting agricultural/plantation/fallow land</t>
        </is>
      </c>
      <c r="H87" s="19" t="n">
        <v>42.88648</v>
      </c>
      <c r="I87" s="19" t="n">
        <v>-74.78888000000001</v>
      </c>
    </row>
    <row r="88" ht="15" customHeight="1" s="13">
      <c r="A88" s="19" t="inlineStr">
        <is>
          <t>LiDAR-36-091-20</t>
        </is>
      </c>
      <c r="B88" s="19" t="n">
        <v>45.6</v>
      </c>
      <c r="C88" s="19" t="inlineStr">
        <is>
          <t>Saratoga County</t>
        </is>
      </c>
      <c r="D88" s="19" t="inlineStr">
        <is>
          <t>Non-carbonate</t>
        </is>
      </c>
      <c r="E88" s="19" t="inlineStr">
        <is>
          <t>non-carbonate</t>
        </is>
      </c>
      <c r="F88" s="19" t="inlineStr">
        <is>
          <t>non-karst</t>
        </is>
      </c>
      <c r="G88" s="19" t="inlineStr">
        <is>
          <t>Golf course water feature</t>
        </is>
      </c>
      <c r="H88" s="19" t="n">
        <v>43.13716</v>
      </c>
      <c r="I88" s="19" t="n">
        <v>-73.73911</v>
      </c>
    </row>
    <row r="89" ht="23.25" customHeight="1" s="13">
      <c r="A89" s="19" t="inlineStr">
        <is>
          <t>LiDAR-36-077-1</t>
        </is>
      </c>
      <c r="B89" s="19" t="n">
        <v>45.8</v>
      </c>
      <c r="C89" s="19" t="inlineStr">
        <is>
          <t>Otsego County</t>
        </is>
      </c>
      <c r="D89" s="19" t="inlineStr">
        <is>
          <t>Onondaga</t>
        </is>
      </c>
      <c r="E89" s="19" t="inlineStr">
        <is>
          <t>karst-prone (carbonate)</t>
        </is>
      </c>
      <c r="F89" s="19" t="inlineStr">
        <is>
          <t>natural?</t>
        </is>
      </c>
      <c r="G89" s="19" t="inlineStr">
        <is>
          <t>Located in agricultural land, "sinkhole" signature, wet or ponded most years</t>
        </is>
      </c>
      <c r="H89" s="19" t="n">
        <v>42.8702</v>
      </c>
      <c r="I89" s="19" t="n">
        <v>-74.80894000000001</v>
      </c>
    </row>
    <row r="90" ht="23.25" customHeight="1" s="13">
      <c r="A90" s="19" t="inlineStr">
        <is>
          <t>LiDAR-36-111-12</t>
        </is>
      </c>
      <c r="B90" s="19" t="n">
        <v>45.9</v>
      </c>
      <c r="C90" s="19" t="inlineStr">
        <is>
          <t>Ulster County</t>
        </is>
      </c>
      <c r="D90" s="19" t="inlineStr">
        <is>
          <t>Onondaga</t>
        </is>
      </c>
      <c r="E90" s="19" t="inlineStr">
        <is>
          <t>karst-prone (carbonate)</t>
        </is>
      </c>
      <c r="F90" s="19" t="inlineStr">
        <is>
          <t>natural?</t>
        </is>
      </c>
      <c r="G90" s="19" t="inlineStr">
        <is>
          <t>Transects wooded wetland/agricultural land, no indication of crop stress or standing liquid.</t>
        </is>
      </c>
      <c r="H90" s="19" t="n">
        <v>41.85766</v>
      </c>
      <c r="I90" s="19" t="n">
        <v>-74.15384</v>
      </c>
    </row>
    <row r="91" ht="23.25" customHeight="1" s="13">
      <c r="A91" s="19" t="inlineStr">
        <is>
          <t>LiDAR-36-111-13</t>
        </is>
      </c>
      <c r="B91" s="19" t="n">
        <v>45.9</v>
      </c>
      <c r="C91" s="19" t="inlineStr">
        <is>
          <t>Ulster County</t>
        </is>
      </c>
      <c r="D91" s="19" t="inlineStr">
        <is>
          <t>Non-carbonate</t>
        </is>
      </c>
      <c r="E91" s="19" t="inlineStr">
        <is>
          <t>non-carbonate</t>
        </is>
      </c>
      <c r="F91" s="19" t="inlineStr">
        <is>
          <t>non-karst</t>
        </is>
      </c>
      <c r="G91" s="19" t="inlineStr">
        <is>
          <t>Disturbed ground in wooded area adjacent to residential and agricutural land use.</t>
        </is>
      </c>
      <c r="H91" s="19" t="n">
        <v>41.8546</v>
      </c>
      <c r="I91" s="19" t="n">
        <v>-73.97584000000001</v>
      </c>
    </row>
    <row r="92" ht="15" customHeight="1" s="13">
      <c r="A92" s="19" t="inlineStr">
        <is>
          <t>LiDAR-36-091-23</t>
        </is>
      </c>
      <c r="B92" s="19" t="n">
        <v>46.2</v>
      </c>
      <c r="C92" s="19" t="inlineStr">
        <is>
          <t>Saratoga County</t>
        </is>
      </c>
      <c r="D92" s="19" t="inlineStr">
        <is>
          <t>Non-carbonate</t>
        </is>
      </c>
      <c r="E92" s="19" t="inlineStr">
        <is>
          <t>non-carbonate</t>
        </is>
      </c>
      <c r="F92" s="19" t="inlineStr">
        <is>
          <t>non-karst</t>
        </is>
      </c>
      <c r="G92" s="19" t="inlineStr">
        <is>
          <t>Forested area</t>
        </is>
      </c>
      <c r="H92" s="19" t="n">
        <v>43.128</v>
      </c>
      <c r="I92" s="19" t="n">
        <v>-73.67267</v>
      </c>
    </row>
    <row r="93" ht="15" customHeight="1" s="13">
      <c r="A93" s="19" t="inlineStr">
        <is>
          <t>LiDAR-36-043-20</t>
        </is>
      </c>
      <c r="B93" s="19" t="n">
        <v>46.3</v>
      </c>
      <c r="C93" s="19" t="inlineStr">
        <is>
          <t>Herkimer County</t>
        </is>
      </c>
      <c r="D93" s="19" t="inlineStr">
        <is>
          <t>Akron</t>
        </is>
      </c>
      <c r="E93" s="19" t="inlineStr">
        <is>
          <t>karst-prone (carbonate)</t>
        </is>
      </c>
      <c r="F93" s="19" t="inlineStr">
        <is>
          <t>natural?</t>
        </is>
      </c>
      <c r="G93" s="19" t="inlineStr">
        <is>
          <t>Shallow depression transecting agricultural/fallow land</t>
        </is>
      </c>
      <c r="H93" s="19" t="n">
        <v>42.88418</v>
      </c>
      <c r="I93" s="19" t="n">
        <v>-74.80673</v>
      </c>
    </row>
    <row r="94" ht="23.25" customHeight="1" s="13">
      <c r="A94" s="19" t="inlineStr">
        <is>
          <t>LiDAR-36-111-15</t>
        </is>
      </c>
      <c r="B94" s="19" t="n">
        <v>46.3</v>
      </c>
      <c r="C94" s="19" t="inlineStr">
        <is>
          <t>Ulster County</t>
        </is>
      </c>
      <c r="D94" s="19" t="inlineStr">
        <is>
          <t>Onondaga</t>
        </is>
      </c>
      <c r="E94" s="19" t="inlineStr">
        <is>
          <t>karst-prone (carbonate)</t>
        </is>
      </c>
      <c r="F94" s="19" t="inlineStr">
        <is>
          <t>natural?</t>
        </is>
      </c>
      <c r="G94" s="19" t="inlineStr">
        <is>
          <t>Wooded area at private residence, adjacent to agricultural land, no indication of wet soil or ponding.</t>
        </is>
      </c>
      <c r="H94" s="19" t="n">
        <v>41.85209</v>
      </c>
      <c r="I94" s="19" t="n">
        <v>-74.16191000000001</v>
      </c>
    </row>
    <row r="95" ht="15" customHeight="1" s="13">
      <c r="A95" s="19" t="inlineStr">
        <is>
          <t>LiDAR-36-091-19</t>
        </is>
      </c>
      <c r="B95" s="19" t="n">
        <v>46.9</v>
      </c>
      <c r="C95" s="19" t="inlineStr">
        <is>
          <t>Saratoga County</t>
        </is>
      </c>
      <c r="D95" s="19" t="inlineStr">
        <is>
          <t>Non-carbonate</t>
        </is>
      </c>
      <c r="E95" s="19" t="inlineStr">
        <is>
          <t>non-carbonate</t>
        </is>
      </c>
      <c r="F95" s="19" t="inlineStr">
        <is>
          <t>non-karst</t>
        </is>
      </c>
      <c r="G95" s="19" t="inlineStr">
        <is>
          <t>Forested area</t>
        </is>
      </c>
      <c r="H95" s="19" t="n">
        <v>43.13954</v>
      </c>
      <c r="I95" s="19" t="n">
        <v>-73.67773</v>
      </c>
    </row>
    <row r="96" ht="15" customHeight="1" s="13">
      <c r="A96" s="19" t="inlineStr">
        <is>
          <t>LiDAR-36-091-16</t>
        </is>
      </c>
      <c r="B96" s="19" t="n">
        <v>47.1</v>
      </c>
      <c r="C96" s="19" t="inlineStr">
        <is>
          <t>Saratoga County</t>
        </is>
      </c>
      <c r="D96" s="19" t="inlineStr">
        <is>
          <t>Non-carbonate</t>
        </is>
      </c>
      <c r="E96" s="19" t="inlineStr">
        <is>
          <t>non-carbonate</t>
        </is>
      </c>
      <c r="F96" s="19" t="inlineStr">
        <is>
          <t>non-karst</t>
        </is>
      </c>
      <c r="G96" s="19" t="inlineStr">
        <is>
          <t>Forested area</t>
        </is>
      </c>
      <c r="H96" s="19" t="n">
        <v>43.14444</v>
      </c>
      <c r="I96" s="19" t="n">
        <v>-73.68111</v>
      </c>
    </row>
    <row r="97" ht="15" customHeight="1" s="13">
      <c r="A97" s="19" t="inlineStr">
        <is>
          <t>LiDAR-36-091-18</t>
        </is>
      </c>
      <c r="B97" s="19" t="n">
        <v>47.1</v>
      </c>
      <c r="C97" s="19" t="inlineStr">
        <is>
          <t>Saratoga County</t>
        </is>
      </c>
      <c r="D97" s="19" t="inlineStr">
        <is>
          <t>Non-carbonate</t>
        </is>
      </c>
      <c r="E97" s="19" t="inlineStr">
        <is>
          <t>non-carbonate</t>
        </is>
      </c>
      <c r="F97" s="19" t="inlineStr">
        <is>
          <t>non-karst</t>
        </is>
      </c>
      <c r="G97" s="19" t="inlineStr">
        <is>
          <t>Forested area</t>
        </is>
      </c>
      <c r="H97" s="19" t="n">
        <v>43.14207</v>
      </c>
      <c r="I97" s="19" t="n">
        <v>-73.67412</v>
      </c>
    </row>
    <row r="98" ht="15" customHeight="1" s="13">
      <c r="A98" s="19" t="inlineStr">
        <is>
          <t>LiDAR-36-091-6</t>
        </is>
      </c>
      <c r="B98" s="19" t="n">
        <v>47.2</v>
      </c>
      <c r="C98" s="19" t="inlineStr">
        <is>
          <t>Saratoga County</t>
        </is>
      </c>
      <c r="D98" s="19" t="inlineStr">
        <is>
          <t>CalciticDolomiticMarble</t>
        </is>
      </c>
      <c r="E98" s="19" t="inlineStr">
        <is>
          <t>karst-prone (carbonate)</t>
        </is>
      </c>
      <c r="F98" s="19" t="inlineStr">
        <is>
          <t>natural?</t>
        </is>
      </c>
      <c r="G98" s="19" t="inlineStr">
        <is>
          <t>Shallow depression located at golf course</t>
        </is>
      </c>
      <c r="H98" s="19" t="n">
        <v>43.18963</v>
      </c>
      <c r="I98" s="19" t="n">
        <v>-73.88278</v>
      </c>
    </row>
    <row r="99" ht="15" customHeight="1" s="13">
      <c r="A99" s="19" t="inlineStr">
        <is>
          <t>LiDAR-36-091-17</t>
        </is>
      </c>
      <c r="B99" s="19" t="n">
        <v>47.2</v>
      </c>
      <c r="C99" s="19" t="inlineStr">
        <is>
          <t>Saratoga County</t>
        </is>
      </c>
      <c r="D99" s="19" t="inlineStr">
        <is>
          <t>Non-carbonate</t>
        </is>
      </c>
      <c r="E99" s="19" t="inlineStr">
        <is>
          <t>non-carbonate</t>
        </is>
      </c>
      <c r="F99" s="19" t="inlineStr">
        <is>
          <t>non-karst</t>
        </is>
      </c>
      <c r="G99" s="19" t="inlineStr">
        <is>
          <t>Forested area</t>
        </is>
      </c>
      <c r="H99" s="19" t="n">
        <v>43.14453</v>
      </c>
      <c r="I99" s="19" t="n">
        <v>-73.67675</v>
      </c>
    </row>
    <row r="100" ht="15" customHeight="1" s="13">
      <c r="A100" s="19" t="inlineStr">
        <is>
          <t>LiDAR-36-111-14</t>
        </is>
      </c>
      <c r="B100" s="19" t="n">
        <v>47.2</v>
      </c>
      <c r="C100" s="19" t="inlineStr">
        <is>
          <t>Ulster County</t>
        </is>
      </c>
      <c r="D100" s="19" t="inlineStr">
        <is>
          <t>Non-carbonate</t>
        </is>
      </c>
      <c r="E100" s="19" t="inlineStr">
        <is>
          <t>non-carbonate</t>
        </is>
      </c>
      <c r="F100" s="19" t="inlineStr">
        <is>
          <t>non-karst</t>
        </is>
      </c>
      <c r="G100" s="19" t="inlineStr">
        <is>
          <t>Forested area</t>
        </is>
      </c>
      <c r="H100" s="19" t="n">
        <v>41.85534</v>
      </c>
      <c r="I100" s="19" t="n">
        <v>-74.27494</v>
      </c>
    </row>
    <row r="101" ht="15" customHeight="1" s="13">
      <c r="A101" s="19" t="inlineStr">
        <is>
          <t>LiDAR-36-091-13</t>
        </is>
      </c>
      <c r="B101" s="19" t="n">
        <v>47.3</v>
      </c>
      <c r="C101" s="19" t="inlineStr">
        <is>
          <t>Saratoga County</t>
        </is>
      </c>
      <c r="D101" s="19" t="inlineStr">
        <is>
          <t>Non-carbonate</t>
        </is>
      </c>
      <c r="E101" s="19" t="inlineStr">
        <is>
          <t>non-carbonate</t>
        </is>
      </c>
      <c r="F101" s="19" t="inlineStr">
        <is>
          <t>non-karst</t>
        </is>
      </c>
      <c r="G101" s="19" t="inlineStr">
        <is>
          <t>Forested area</t>
        </is>
      </c>
      <c r="H101" s="19" t="n">
        <v>43.1492</v>
      </c>
      <c r="I101" s="19" t="n">
        <v>-73.68483999999999</v>
      </c>
    </row>
    <row r="102" ht="15" customHeight="1" s="13">
      <c r="A102" s="19" t="inlineStr">
        <is>
          <t>LiDAR-36-091-14</t>
        </is>
      </c>
      <c r="B102" s="19" t="n">
        <v>47.3</v>
      </c>
      <c r="C102" s="19" t="inlineStr">
        <is>
          <t>Saratoga County</t>
        </is>
      </c>
      <c r="D102" s="19" t="inlineStr">
        <is>
          <t>Non-carbonate</t>
        </is>
      </c>
      <c r="E102" s="19" t="inlineStr">
        <is>
          <t>non-carbonate</t>
        </is>
      </c>
      <c r="F102" s="19" t="inlineStr">
        <is>
          <t>non-karst</t>
        </is>
      </c>
      <c r="G102" s="19" t="inlineStr">
        <is>
          <t>Forested area</t>
        </is>
      </c>
      <c r="H102" s="19" t="n">
        <v>43.1479</v>
      </c>
      <c r="I102" s="19" t="n">
        <v>-73.68082</v>
      </c>
    </row>
    <row r="103" ht="15" customHeight="1" s="13">
      <c r="A103" s="19" t="inlineStr">
        <is>
          <t>LiDAR-36-091-12</t>
        </is>
      </c>
      <c r="B103" s="19" t="n">
        <v>47.4</v>
      </c>
      <c r="C103" s="19" t="inlineStr">
        <is>
          <t>Saratoga County</t>
        </is>
      </c>
      <c r="D103" s="19" t="inlineStr">
        <is>
          <t>Non-carbonate</t>
        </is>
      </c>
      <c r="E103" s="19" t="inlineStr">
        <is>
          <t>non-carbonate</t>
        </is>
      </c>
      <c r="F103" s="19" t="inlineStr">
        <is>
          <t>non-karst</t>
        </is>
      </c>
      <c r="G103" s="19" t="inlineStr">
        <is>
          <t>Forested area</t>
        </is>
      </c>
      <c r="H103" s="19" t="n">
        <v>43.14988</v>
      </c>
      <c r="I103" s="19" t="n">
        <v>-73.68468</v>
      </c>
    </row>
    <row r="104" ht="15" customHeight="1" s="13">
      <c r="A104" s="19" t="inlineStr">
        <is>
          <t>LiDAR-36-091-15</t>
        </is>
      </c>
      <c r="B104" s="19" t="n">
        <v>47.4</v>
      </c>
      <c r="C104" s="19" t="inlineStr">
        <is>
          <t>Saratoga County</t>
        </is>
      </c>
      <c r="D104" s="19" t="inlineStr">
        <is>
          <t>Non-carbonate</t>
        </is>
      </c>
      <c r="E104" s="19" t="inlineStr">
        <is>
          <t>non-carbonate</t>
        </is>
      </c>
      <c r="F104" s="19" t="inlineStr">
        <is>
          <t>non-karst</t>
        </is>
      </c>
      <c r="G104" s="19" t="inlineStr">
        <is>
          <t>Forested area</t>
        </is>
      </c>
      <c r="H104" s="19" t="n">
        <v>43.14709</v>
      </c>
      <c r="I104" s="19" t="n">
        <v>-73.67372</v>
      </c>
    </row>
    <row r="105" ht="15" customHeight="1" s="13">
      <c r="A105" s="19" t="inlineStr">
        <is>
          <t>LiDAR-36-091-8</t>
        </is>
      </c>
      <c r="B105" s="19" t="n">
        <v>47.5</v>
      </c>
      <c r="C105" s="19" t="inlineStr">
        <is>
          <t>Saratoga County</t>
        </is>
      </c>
      <c r="D105" s="19" t="inlineStr">
        <is>
          <t>Beekmantown</t>
        </is>
      </c>
      <c r="E105" s="19" t="inlineStr">
        <is>
          <t>karst-prone (carbonate)</t>
        </is>
      </c>
      <c r="F105" s="19" t="inlineStr">
        <is>
          <t>natural?</t>
        </is>
      </c>
      <c r="G105" s="19" t="inlineStr">
        <is>
          <t>Forested area</t>
        </is>
      </c>
      <c r="H105" s="19" t="n">
        <v>43.17151</v>
      </c>
      <c r="I105" s="19" t="n">
        <v>-73.75745000000001</v>
      </c>
    </row>
    <row r="106" ht="15" customHeight="1" s="13">
      <c r="A106" s="19" t="inlineStr">
        <is>
          <t>LiDAR-36-091-9</t>
        </is>
      </c>
      <c r="B106" s="19" t="n">
        <v>47.5</v>
      </c>
      <c r="C106" s="19" t="inlineStr">
        <is>
          <t>Saratoga County</t>
        </is>
      </c>
      <c r="D106" s="19" t="inlineStr">
        <is>
          <t>Non-carbonate</t>
        </is>
      </c>
      <c r="E106" s="19" t="inlineStr">
        <is>
          <t>non-carbonate</t>
        </is>
      </c>
      <c r="F106" s="19" t="inlineStr">
        <is>
          <t>non-karst</t>
        </is>
      </c>
      <c r="G106" s="19" t="inlineStr">
        <is>
          <t>Possible shallow depression in wooded area</t>
        </is>
      </c>
      <c r="H106" s="19" t="n">
        <v>43.15505</v>
      </c>
      <c r="I106" s="19" t="n">
        <v>-73.69417</v>
      </c>
    </row>
    <row r="107" ht="15" customHeight="1" s="13">
      <c r="A107" s="19" t="inlineStr">
        <is>
          <t>LiDAR-36-077-3</t>
        </is>
      </c>
      <c r="B107" s="19" t="n">
        <v>47.6</v>
      </c>
      <c r="C107" s="19" t="inlineStr">
        <is>
          <t>Otsego County</t>
        </is>
      </c>
      <c r="D107" s="19" t="inlineStr">
        <is>
          <t>Onondaga</t>
        </is>
      </c>
      <c r="E107" s="19" t="inlineStr">
        <is>
          <t>karst-prone (carbonate)</t>
        </is>
      </c>
      <c r="F107" s="19" t="inlineStr">
        <is>
          <t>anthropogenic</t>
        </is>
      </c>
      <c r="G107" s="19" t="inlineStr">
        <is>
          <t>Gravel pit, rock quarry, very evident structure on quarry floor</t>
        </is>
      </c>
      <c r="H107" s="19" t="n">
        <v>42.84132</v>
      </c>
      <c r="I107" s="19" t="n">
        <v>-74.87187</v>
      </c>
    </row>
    <row r="108" ht="15" customHeight="1" s="13">
      <c r="A108" s="19" t="inlineStr">
        <is>
          <t>LiDAR-36-091-10</t>
        </is>
      </c>
      <c r="B108" s="19" t="n">
        <v>47.7</v>
      </c>
      <c r="C108" s="19" t="inlineStr">
        <is>
          <t>Saratoga County</t>
        </is>
      </c>
      <c r="D108" s="19" t="inlineStr">
        <is>
          <t>Non-carbonate</t>
        </is>
      </c>
      <c r="E108" s="19" t="inlineStr">
        <is>
          <t>non-carbonate</t>
        </is>
      </c>
      <c r="F108" s="19" t="inlineStr">
        <is>
          <t>non-karst</t>
        </is>
      </c>
      <c r="G108" s="19" t="inlineStr">
        <is>
          <t>Forested area</t>
        </is>
      </c>
      <c r="H108" s="19" t="n">
        <v>43.1524</v>
      </c>
      <c r="I108" s="19" t="n">
        <v>-73.67744</v>
      </c>
    </row>
    <row r="109" ht="23.25" customHeight="1" s="13">
      <c r="A109" s="19" t="inlineStr">
        <is>
          <t>LiDAR-36-091-11</t>
        </is>
      </c>
      <c r="B109" s="19" t="n">
        <v>47.9</v>
      </c>
      <c r="C109" s="19" t="inlineStr">
        <is>
          <t>Saratoga County</t>
        </is>
      </c>
      <c r="D109" s="19" t="inlineStr">
        <is>
          <t>Non-carbonate</t>
        </is>
      </c>
      <c r="E109" s="19" t="inlineStr">
        <is>
          <t>non-carbonate</t>
        </is>
      </c>
      <c r="F109" s="19" t="inlineStr">
        <is>
          <t>non-karst</t>
        </is>
      </c>
      <c r="G109" s="19" t="inlineStr">
        <is>
          <t>Shallow depression in partially-cleared/forested area, adjacent to rural-residential development</t>
        </is>
      </c>
      <c r="H109" s="19" t="n">
        <v>43.15008</v>
      </c>
      <c r="I109" s="19" t="n">
        <v>-73.66182000000001</v>
      </c>
    </row>
    <row r="110" ht="23.25" customHeight="1" s="13">
      <c r="A110" s="19" t="inlineStr">
        <is>
          <t>LiDAR-36-043-15</t>
        </is>
      </c>
      <c r="B110" s="19" t="n">
        <v>48</v>
      </c>
      <c r="C110" s="19" t="inlineStr">
        <is>
          <t>Herkimer County</t>
        </is>
      </c>
      <c r="D110" s="19" t="inlineStr">
        <is>
          <t>Akron</t>
        </is>
      </c>
      <c r="E110" s="19" t="inlineStr">
        <is>
          <t>karst-prone (carbonate)</t>
        </is>
      </c>
      <c r="F110" s="19" t="inlineStr">
        <is>
          <t>natural?</t>
        </is>
      </c>
      <c r="G110" s="19" t="inlineStr">
        <is>
          <t>Probable shallow depression in agricultural land, crop stress noted some years.</t>
        </is>
      </c>
      <c r="H110" s="19" t="n">
        <v>42.90931</v>
      </c>
      <c r="I110" s="19" t="n">
        <v>-74.82483000000001</v>
      </c>
    </row>
    <row r="111" ht="15" customHeight="1" s="13">
      <c r="A111" s="19" t="inlineStr">
        <is>
          <t>LiDAR-36-091-7</t>
        </is>
      </c>
      <c r="B111" s="19" t="n">
        <v>48.5</v>
      </c>
      <c r="C111" s="19" t="inlineStr">
        <is>
          <t>Saratoga County</t>
        </is>
      </c>
      <c r="D111" s="19" t="inlineStr">
        <is>
          <t>Beekmantown</t>
        </is>
      </c>
      <c r="E111" s="19" t="inlineStr">
        <is>
          <t>karst-prone (carbonate)</t>
        </is>
      </c>
      <c r="F111" s="19" t="inlineStr">
        <is>
          <t>anthropogenic</t>
        </is>
      </c>
      <c r="G111" s="19" t="inlineStr">
        <is>
          <t>Detention basin in light-industrial development area</t>
        </is>
      </c>
      <c r="H111" s="19" t="n">
        <v>43.17741</v>
      </c>
      <c r="I111" s="19" t="n">
        <v>-73.72171</v>
      </c>
    </row>
    <row r="112" ht="15" customHeight="1" s="13">
      <c r="A112" s="19" t="inlineStr">
        <is>
          <t>LiDAR-36-091-5</t>
        </is>
      </c>
      <c r="B112" s="19" t="n">
        <v>49.6</v>
      </c>
      <c r="C112" s="19" t="inlineStr">
        <is>
          <t>Saratoga County</t>
        </is>
      </c>
      <c r="D112" s="19" t="inlineStr">
        <is>
          <t>CalciticDolomiticMarble</t>
        </is>
      </c>
      <c r="E112" s="19" t="inlineStr">
        <is>
          <t>karst-prone (carbonate)</t>
        </is>
      </c>
      <c r="F112" s="19" t="inlineStr">
        <is>
          <t>natural?</t>
        </is>
      </c>
      <c r="G112" s="19" t="inlineStr">
        <is>
          <t>Forested area</t>
        </is>
      </c>
      <c r="H112" s="19" t="n">
        <v>43.21631</v>
      </c>
      <c r="I112" s="19" t="n">
        <v>-73.8216</v>
      </c>
    </row>
    <row r="113" ht="15" customHeight="1" s="13">
      <c r="A113" s="19" t="inlineStr">
        <is>
          <t>LiDAR-36-027-7</t>
        </is>
      </c>
      <c r="B113" s="19" t="n">
        <v>49.8</v>
      </c>
      <c r="C113" s="19" t="inlineStr">
        <is>
          <t>Dutchess County</t>
        </is>
      </c>
      <c r="D113" s="19" t="inlineStr">
        <is>
          <t>Non-carbonate</t>
        </is>
      </c>
      <c r="E113" s="19" t="inlineStr">
        <is>
          <t>non-carbonate</t>
        </is>
      </c>
      <c r="F113" s="19" t="inlineStr">
        <is>
          <t>anthropogenic</t>
        </is>
      </c>
      <c r="G113" s="19" t="inlineStr">
        <is>
          <t>Possible former gravel/borrow pit</t>
        </is>
      </c>
      <c r="H113" s="19" t="n">
        <v>41.84005</v>
      </c>
      <c r="I113" s="19" t="n">
        <v>-73.7122</v>
      </c>
    </row>
    <row r="114" ht="15" customHeight="1" s="13">
      <c r="A114" s="19" t="inlineStr">
        <is>
          <t>LiDAR-36-027-9</t>
        </is>
      </c>
      <c r="B114" s="19" t="n">
        <v>49.9</v>
      </c>
      <c r="C114" s="19" t="inlineStr">
        <is>
          <t>Dutchess County</t>
        </is>
      </c>
      <c r="D114" s="19" t="inlineStr">
        <is>
          <t>Non-carbonate</t>
        </is>
      </c>
      <c r="E114" s="19" t="inlineStr">
        <is>
          <t>non-carbonate</t>
        </is>
      </c>
      <c r="F114" s="19" t="inlineStr">
        <is>
          <t>non-karst</t>
        </is>
      </c>
      <c r="G114" s="19" t="inlineStr">
        <is>
          <t>Forested area adjacent to agricultural land.</t>
        </is>
      </c>
      <c r="H114" s="19" t="n">
        <v>41.80718</v>
      </c>
      <c r="I114" s="19" t="n">
        <v>-73.86368</v>
      </c>
    </row>
    <row r="115" ht="15" customHeight="1" s="13">
      <c r="A115" s="19" t="inlineStr">
        <is>
          <t>LiDAR-36-091-4</t>
        </is>
      </c>
      <c r="B115" s="19" t="n">
        <v>50.4</v>
      </c>
      <c r="C115" s="19" t="inlineStr">
        <is>
          <t>Saratoga County</t>
        </is>
      </c>
      <c r="D115" s="19" t="inlineStr">
        <is>
          <t>CalciticDolomiticMarble</t>
        </is>
      </c>
      <c r="E115" s="19" t="inlineStr">
        <is>
          <t>karst-prone (carbonate)</t>
        </is>
      </c>
      <c r="F115" s="19" t="inlineStr">
        <is>
          <t>natural?</t>
        </is>
      </c>
      <c r="G115" s="19" t="inlineStr">
        <is>
          <t>Forested area</t>
        </is>
      </c>
      <c r="H115" s="19" t="n">
        <v>43.23206</v>
      </c>
      <c r="I115" s="19" t="n">
        <v>-73.85326000000001</v>
      </c>
    </row>
    <row r="116" ht="15" customHeight="1" s="13">
      <c r="A116" s="19" t="inlineStr">
        <is>
          <t>LiDAR-36-111-16</t>
        </is>
      </c>
      <c r="B116" s="19" t="n">
        <v>50.9</v>
      </c>
      <c r="C116" s="19" t="inlineStr">
        <is>
          <t>Ulster County</t>
        </is>
      </c>
      <c r="D116" s="19" t="inlineStr">
        <is>
          <t>Non-carbonate</t>
        </is>
      </c>
      <c r="E116" s="19" t="inlineStr">
        <is>
          <t>non-carbonate</t>
        </is>
      </c>
      <c r="F116" s="19" t="inlineStr">
        <is>
          <t>anthropogenic</t>
        </is>
      </c>
      <c r="G116" s="19" t="inlineStr">
        <is>
          <t>Former gravel pit</t>
        </is>
      </c>
      <c r="H116" s="19" t="n">
        <v>41.80717</v>
      </c>
      <c r="I116" s="19" t="n">
        <v>-74.3108</v>
      </c>
    </row>
    <row r="117" ht="15" customHeight="1" s="13">
      <c r="A117" s="19" t="inlineStr">
        <is>
          <t>LiDAR-36-027-8</t>
        </is>
      </c>
      <c r="B117" s="19" t="n">
        <v>51.1</v>
      </c>
      <c r="C117" s="19" t="inlineStr">
        <is>
          <t>Dutchess County</t>
        </is>
      </c>
      <c r="D117" s="19" t="inlineStr">
        <is>
          <t>Non-carbonate</t>
        </is>
      </c>
      <c r="E117" s="19" t="inlineStr">
        <is>
          <t>non-carbonate</t>
        </is>
      </c>
      <c r="F117" s="19" t="inlineStr">
        <is>
          <t>anthropogenic</t>
        </is>
      </c>
      <c r="G117" s="19" t="inlineStr">
        <is>
          <t>Sand/gravel pit</t>
        </is>
      </c>
      <c r="H117" s="19" t="n">
        <v>41.81055</v>
      </c>
      <c r="I117" s="19" t="n">
        <v>-73.74795</v>
      </c>
    </row>
    <row r="118" ht="15" customHeight="1" s="13">
      <c r="A118" s="19" t="inlineStr">
        <is>
          <t>LiDAR-36-111-17</t>
        </is>
      </c>
      <c r="B118" s="19" t="n">
        <v>51.2</v>
      </c>
      <c r="C118" s="19" t="inlineStr">
        <is>
          <t>Ulster County</t>
        </is>
      </c>
      <c r="D118" s="19" t="inlineStr">
        <is>
          <t>Onondaga</t>
        </is>
      </c>
      <c r="E118" s="19" t="inlineStr">
        <is>
          <t>karst-prone (carbonate)</t>
        </is>
      </c>
      <c r="F118" s="19" t="inlineStr">
        <is>
          <t>anthropogenic</t>
        </is>
      </c>
      <c r="G118" s="19" t="inlineStr">
        <is>
          <t>Possible former gravel pit, ponded</t>
        </is>
      </c>
      <c r="H118" s="19" t="n">
        <v>41.79922</v>
      </c>
      <c r="I118" s="19" t="n">
        <v>-74.29401</v>
      </c>
    </row>
    <row r="119" ht="15" customHeight="1" s="13">
      <c r="A119" s="19" t="inlineStr">
        <is>
          <t>LiDAR-36-091-3</t>
        </is>
      </c>
      <c r="B119" s="19" t="n">
        <v>51.8</v>
      </c>
      <c r="C119" s="19" t="inlineStr">
        <is>
          <t>Saratoga County</t>
        </is>
      </c>
      <c r="D119" s="19" t="inlineStr">
        <is>
          <t>CalciticDolomiticMarble</t>
        </is>
      </c>
      <c r="E119" s="19" t="inlineStr">
        <is>
          <t>karst-prone (carbonate)</t>
        </is>
      </c>
      <c r="F119" s="19" t="inlineStr">
        <is>
          <t>anthropogenic</t>
        </is>
      </c>
      <c r="G119" s="19" t="inlineStr">
        <is>
          <t>Shallow depression located at landfill</t>
        </is>
      </c>
      <c r="H119" s="19" t="n">
        <v>43.24591</v>
      </c>
      <c r="I119" s="19" t="n">
        <v>-73.80195999999999</v>
      </c>
    </row>
    <row r="120" ht="15" customHeight="1" s="13">
      <c r="A120" s="19" t="inlineStr">
        <is>
          <t>LiDAR-36-111-18</t>
        </is>
      </c>
      <c r="B120" s="19" t="n">
        <v>52</v>
      </c>
      <c r="C120" s="19" t="inlineStr">
        <is>
          <t>Ulster County</t>
        </is>
      </c>
      <c r="D120" s="19" t="inlineStr">
        <is>
          <t>Onondaga</t>
        </is>
      </c>
      <c r="E120" s="19" t="inlineStr">
        <is>
          <t>karst-prone (carbonate)</t>
        </is>
      </c>
      <c r="F120" s="19" t="inlineStr">
        <is>
          <t>natural?</t>
        </is>
      </c>
      <c r="G120" s="19" t="inlineStr">
        <is>
          <t>Depression located within wooded area, ponded most years</t>
        </is>
      </c>
      <c r="H120" s="19" t="n">
        <v>41.78898</v>
      </c>
      <c r="I120" s="19" t="n">
        <v>-74.30329</v>
      </c>
    </row>
    <row r="121" ht="23.25" customHeight="1" s="13">
      <c r="A121" s="19" t="inlineStr">
        <is>
          <t>LiDAR-36-043-9</t>
        </is>
      </c>
      <c r="B121" s="19" t="n">
        <v>52.3</v>
      </c>
      <c r="C121" s="19" t="inlineStr">
        <is>
          <t>Herkimer County</t>
        </is>
      </c>
      <c r="D121" s="19" t="inlineStr">
        <is>
          <t>Onondaga</t>
        </is>
      </c>
      <c r="E121" s="19" t="inlineStr">
        <is>
          <t>karst-prone (carbonate)</t>
        </is>
      </c>
      <c r="F121" s="19" t="inlineStr">
        <is>
          <t>natural?</t>
        </is>
      </c>
      <c r="G121" s="19" t="inlineStr">
        <is>
          <t>Possible shallow depression in wooded area adjacent to agricultural land</t>
        </is>
      </c>
      <c r="H121" s="19" t="n">
        <v>42.94067</v>
      </c>
      <c r="I121" s="19" t="n">
        <v>-74.89906999999999</v>
      </c>
    </row>
    <row r="122" ht="15" customHeight="1" s="13">
      <c r="A122" s="19" t="inlineStr">
        <is>
          <t>LiDAR-36-111-20</t>
        </is>
      </c>
      <c r="B122" s="19" t="n">
        <v>52.5</v>
      </c>
      <c r="C122" s="19" t="inlineStr">
        <is>
          <t>Ulster County</t>
        </is>
      </c>
      <c r="D122" s="19" t="inlineStr">
        <is>
          <t>Non-carbonate</t>
        </is>
      </c>
      <c r="E122" s="19" t="inlineStr">
        <is>
          <t>non-carbonate</t>
        </is>
      </c>
      <c r="F122" s="19" t="inlineStr">
        <is>
          <t>anthropogenic</t>
        </is>
      </c>
      <c r="G122" s="19" t="inlineStr">
        <is>
          <t>Detention basin</t>
        </is>
      </c>
      <c r="H122" s="19" t="n">
        <v>41.75702</v>
      </c>
      <c r="I122" s="19" t="n">
        <v>-74.06632</v>
      </c>
    </row>
    <row r="123" ht="15" customHeight="1" s="13">
      <c r="A123" s="19" t="inlineStr">
        <is>
          <t>LiDAR-36-043-4</t>
        </is>
      </c>
      <c r="B123" s="19" t="n">
        <v>52.9</v>
      </c>
      <c r="C123" s="19" t="inlineStr">
        <is>
          <t>Herkimer County</t>
        </is>
      </c>
      <c r="D123" s="19" t="inlineStr">
        <is>
          <t>Non-carbonate</t>
        </is>
      </c>
      <c r="E123" s="19" t="inlineStr">
        <is>
          <t>non-carbonate</t>
        </is>
      </c>
      <c r="F123" s="19" t="inlineStr">
        <is>
          <t>non-karst</t>
        </is>
      </c>
      <c r="G123" s="19" t="inlineStr">
        <is>
          <t>Impeded drainage along former Erie Canal</t>
        </is>
      </c>
      <c r="H123" s="19" t="n">
        <v>43.0285</v>
      </c>
      <c r="I123" s="19" t="n">
        <v>-74.82213</v>
      </c>
    </row>
    <row r="124" ht="15" customHeight="1" s="13">
      <c r="A124" s="19" t="inlineStr">
        <is>
          <t>LiDAR-36-027-10</t>
        </is>
      </c>
      <c r="B124" s="19" t="n">
        <v>54.4</v>
      </c>
      <c r="C124" s="19" t="inlineStr">
        <is>
          <t>Dutchess County</t>
        </is>
      </c>
      <c r="D124" s="19" t="inlineStr">
        <is>
          <t>Non-carbonate</t>
        </is>
      </c>
      <c r="E124" s="19" t="inlineStr">
        <is>
          <t>non-carbonate</t>
        </is>
      </c>
      <c r="F124" s="19" t="inlineStr">
        <is>
          <t>non-karst</t>
        </is>
      </c>
      <c r="G124" s="19" t="inlineStr">
        <is>
          <t>Forested area</t>
        </is>
      </c>
      <c r="H124" s="19" t="n">
        <v>41.76275</v>
      </c>
      <c r="I124" s="19" t="n">
        <v>-73.74196999999999</v>
      </c>
    </row>
    <row r="125" ht="15" customHeight="1" s="13">
      <c r="A125" s="19" t="inlineStr">
        <is>
          <t>LiDAR-36-091-1</t>
        </is>
      </c>
      <c r="B125" s="19" t="n">
        <v>54.7</v>
      </c>
      <c r="C125" s="19" t="inlineStr">
        <is>
          <t>Saratoga County</t>
        </is>
      </c>
      <c r="D125" s="19" t="inlineStr">
        <is>
          <t>Non-carbonate</t>
        </is>
      </c>
      <c r="E125" s="19" t="inlineStr">
        <is>
          <t>non-carbonate</t>
        </is>
      </c>
      <c r="F125" s="19" t="inlineStr">
        <is>
          <t>anthropogenic</t>
        </is>
      </c>
      <c r="G125" s="19" t="inlineStr">
        <is>
          <t>Probable former sand/gravel pit</t>
        </is>
      </c>
      <c r="H125" s="19" t="n">
        <v>43.26896</v>
      </c>
      <c r="I125" s="19" t="n">
        <v>-73.70587999999999</v>
      </c>
    </row>
    <row r="126" ht="15" customHeight="1" s="13">
      <c r="A126" s="19" t="inlineStr">
        <is>
          <t>LiDAR-36-111-19</t>
        </is>
      </c>
      <c r="B126" s="19" t="n">
        <v>54.8</v>
      </c>
      <c r="C126" s="19" t="inlineStr">
        <is>
          <t>Ulster County</t>
        </is>
      </c>
      <c r="D126" s="19" t="inlineStr">
        <is>
          <t>Non-carbonate</t>
        </is>
      </c>
      <c r="E126" s="19" t="inlineStr">
        <is>
          <t>non-carbonate</t>
        </is>
      </c>
      <c r="F126" s="19" t="inlineStr">
        <is>
          <t>non-karst</t>
        </is>
      </c>
      <c r="G126" s="19" t="inlineStr">
        <is>
          <t>Forested area</t>
        </is>
      </c>
      <c r="H126" s="19" t="n">
        <v>41.76</v>
      </c>
      <c r="I126" s="19" t="n">
        <v>-74.36394</v>
      </c>
    </row>
    <row r="127" ht="15" customHeight="1" s="13">
      <c r="A127" s="19" t="inlineStr">
        <is>
          <t>LiDAR-36-111-21</t>
        </is>
      </c>
      <c r="B127" s="19" t="n">
        <v>55.1</v>
      </c>
      <c r="C127" s="19" t="inlineStr">
        <is>
          <t>Ulster County</t>
        </is>
      </c>
      <c r="D127" s="19" t="inlineStr">
        <is>
          <t>Non-carbonate</t>
        </is>
      </c>
      <c r="E127" s="19" t="inlineStr">
        <is>
          <t>non-carbonate</t>
        </is>
      </c>
      <c r="F127" s="19" t="inlineStr">
        <is>
          <t>anthropogenic</t>
        </is>
      </c>
      <c r="G127" s="19" t="inlineStr">
        <is>
          <t>Possible former sand/gravel pit.</t>
        </is>
      </c>
      <c r="H127" s="19" t="n">
        <v>41.75823</v>
      </c>
      <c r="I127" s="19" t="n">
        <v>-74.37298</v>
      </c>
    </row>
    <row r="128" ht="15" customHeight="1" s="13">
      <c r="A128" s="19" t="inlineStr">
        <is>
          <t>LiDAR-36-091-2</t>
        </is>
      </c>
      <c r="B128" s="19" t="n">
        <v>55.5</v>
      </c>
      <c r="C128" s="19" t="inlineStr">
        <is>
          <t>Saratoga County</t>
        </is>
      </c>
      <c r="D128" s="19" t="inlineStr">
        <is>
          <t>Non-carbonate</t>
        </is>
      </c>
      <c r="E128" s="19" t="inlineStr">
        <is>
          <t>non-carbonate</t>
        </is>
      </c>
      <c r="F128" s="19" t="inlineStr">
        <is>
          <t>non-karst</t>
        </is>
      </c>
      <c r="G128" s="19" t="inlineStr">
        <is>
          <t>Forested area</t>
        </is>
      </c>
      <c r="H128" s="19" t="n">
        <v>43.26635</v>
      </c>
      <c r="I128" s="19" t="n">
        <v>-73.64972</v>
      </c>
    </row>
    <row r="129" ht="23.25" customHeight="1" s="13">
      <c r="A129" s="19" t="inlineStr">
        <is>
          <t>LiDAR-36-043-7</t>
        </is>
      </c>
      <c r="B129" s="19" t="n">
        <v>55.9</v>
      </c>
      <c r="C129" s="19" t="inlineStr">
        <is>
          <t>Herkimer County</t>
        </is>
      </c>
      <c r="D129" s="19" t="inlineStr">
        <is>
          <t>Non-carbonate</t>
        </is>
      </c>
      <c r="E129" s="19" t="inlineStr">
        <is>
          <t>non-carbonate</t>
        </is>
      </c>
      <c r="F129" s="19" t="inlineStr">
        <is>
          <t>anthropogenic</t>
        </is>
      </c>
      <c r="G129" s="19" t="inlineStr">
        <is>
          <t>Wooded area, former sand/gravel pit, adjacent to agricultural land and Mohawk River</t>
        </is>
      </c>
      <c r="H129" s="19" t="n">
        <v>43.01832</v>
      </c>
      <c r="I129" s="19" t="n">
        <v>-74.90879</v>
      </c>
    </row>
    <row r="130" ht="23.25" customHeight="1" s="13">
      <c r="A130" s="19" t="inlineStr">
        <is>
          <t>LiDAR-36-043-3</t>
        </is>
      </c>
      <c r="B130" s="19" t="n">
        <v>56.8</v>
      </c>
      <c r="C130" s="19" t="inlineStr">
        <is>
          <t>Herkimer County</t>
        </is>
      </c>
      <c r="D130" s="19" t="inlineStr">
        <is>
          <t>Non-carbonate</t>
        </is>
      </c>
      <c r="E130" s="19" t="inlineStr">
        <is>
          <t>non-carbonate</t>
        </is>
      </c>
      <c r="F130" s="19" t="inlineStr">
        <is>
          <t>non-karst</t>
        </is>
      </c>
      <c r="G130" s="19" t="inlineStr">
        <is>
          <t>Shallow depression in golf course, former agricultural land, small copse of trees 50m SW exhibits "sinkhole" signature.</t>
        </is>
      </c>
      <c r="H130" s="19" t="n">
        <v>43.02957</v>
      </c>
      <c r="I130" s="19" t="n">
        <v>-74.92161</v>
      </c>
    </row>
    <row r="131" ht="15" customHeight="1" s="13">
      <c r="A131" s="19" t="inlineStr">
        <is>
          <t>LiDAR-36-113-23</t>
        </is>
      </c>
      <c r="B131" s="19" t="n">
        <v>57.5</v>
      </c>
      <c r="C131" s="19" t="inlineStr">
        <is>
          <t>Warren County</t>
        </is>
      </c>
      <c r="D131" s="19" t="inlineStr">
        <is>
          <t>Non-carbonate</t>
        </is>
      </c>
      <c r="E131" s="19" t="inlineStr">
        <is>
          <t>non-carbonate</t>
        </is>
      </c>
      <c r="F131" s="19" t="inlineStr">
        <is>
          <t>non-karst</t>
        </is>
      </c>
      <c r="G131" s="19" t="inlineStr">
        <is>
          <t>Forested area adjacent to residential development.</t>
        </is>
      </c>
      <c r="H131" s="19" t="n">
        <v>43.30997</v>
      </c>
      <c r="I131" s="19" t="n">
        <v>-73.69983999999999</v>
      </c>
    </row>
    <row r="132" ht="15" customHeight="1" s="13">
      <c r="A132" s="19" t="inlineStr">
        <is>
          <t>LiDAR-36-113-21</t>
        </is>
      </c>
      <c r="B132" s="19" t="n">
        <v>57.8</v>
      </c>
      <c r="C132" s="19" t="inlineStr">
        <is>
          <t>Warren County</t>
        </is>
      </c>
      <c r="D132" s="19" t="inlineStr">
        <is>
          <t>Non-carbonate</t>
        </is>
      </c>
      <c r="E132" s="19" t="inlineStr">
        <is>
          <t>non-carbonate</t>
        </is>
      </c>
      <c r="F132" s="19" t="inlineStr">
        <is>
          <t>non-karst</t>
        </is>
      </c>
      <c r="G132" s="19" t="inlineStr">
        <is>
          <t>Possible shallow depression in residential development</t>
        </is>
      </c>
      <c r="H132" s="19" t="n">
        <v>43.31443</v>
      </c>
      <c r="I132" s="19" t="n">
        <v>-73.6973</v>
      </c>
    </row>
    <row r="133" ht="23.25" customHeight="1" s="13">
      <c r="A133" s="19" t="inlineStr">
        <is>
          <t>LiDAR-36-113-22</t>
        </is>
      </c>
      <c r="B133" s="19" t="n">
        <v>57.9</v>
      </c>
      <c r="C133" s="19" t="inlineStr">
        <is>
          <t>Warren County</t>
        </is>
      </c>
      <c r="D133" s="19" t="inlineStr">
        <is>
          <t>Non-carbonate</t>
        </is>
      </c>
      <c r="E133" s="19" t="inlineStr">
        <is>
          <t>non-carbonate</t>
        </is>
      </c>
      <c r="F133" s="19" t="inlineStr">
        <is>
          <t>non-karst</t>
        </is>
      </c>
      <c r="G133" s="19" t="inlineStr">
        <is>
          <t>Possible shallow depression transects residential development and wooded area</t>
        </is>
      </c>
      <c r="H133" s="19" t="n">
        <v>43.31367</v>
      </c>
      <c r="I133" s="19" t="n">
        <v>-73.69267000000001</v>
      </c>
    </row>
    <row r="134" ht="15" customHeight="1" s="13">
      <c r="A134" s="19" t="inlineStr">
        <is>
          <t>LiDAR-36-113-20</t>
        </is>
      </c>
      <c r="B134" s="19" t="n">
        <v>58.6</v>
      </c>
      <c r="C134" s="19" t="inlineStr">
        <is>
          <t>Warren County</t>
        </is>
      </c>
      <c r="D134" s="19" t="inlineStr">
        <is>
          <t>Non-carbonate</t>
        </is>
      </c>
      <c r="E134" s="19" t="inlineStr">
        <is>
          <t>non-carbonate</t>
        </is>
      </c>
      <c r="F134" s="19" t="inlineStr">
        <is>
          <t>anthropogenic</t>
        </is>
      </c>
      <c r="G134" s="19" t="inlineStr">
        <is>
          <t>Former gravel pit</t>
        </is>
      </c>
      <c r="H134" s="19" t="n">
        <v>43.32259</v>
      </c>
      <c r="I134" s="19" t="n">
        <v>-73.68371</v>
      </c>
    </row>
    <row r="135" ht="23.25" customHeight="1" s="13">
      <c r="A135" s="19" t="inlineStr">
        <is>
          <t>LiDAR-36-115-11</t>
        </is>
      </c>
      <c r="B135" s="19" t="n">
        <v>58.6</v>
      </c>
      <c r="C135" s="19" t="inlineStr">
        <is>
          <t>Washington County</t>
        </is>
      </c>
      <c r="D135" s="19" t="inlineStr">
        <is>
          <t>Non-carbonate</t>
        </is>
      </c>
      <c r="E135" s="19" t="inlineStr">
        <is>
          <t>non-carbonate</t>
        </is>
      </c>
      <c r="F135" s="19" t="inlineStr">
        <is>
          <t>anthropogenic</t>
        </is>
      </c>
      <c r="G135" s="19" t="inlineStr">
        <is>
          <t>Former gravel pit</t>
        </is>
      </c>
      <c r="H135" s="19" t="n">
        <v>43.25377</v>
      </c>
      <c r="I135" s="19" t="n">
        <v>-73.47329999999999</v>
      </c>
    </row>
    <row r="136" ht="15" customHeight="1" s="13">
      <c r="A136" s="19" t="inlineStr">
        <is>
          <t>LiDAR-36-043-6</t>
        </is>
      </c>
      <c r="B136" s="19" t="n">
        <v>58.7</v>
      </c>
      <c r="C136" s="19" t="inlineStr">
        <is>
          <t>Herkimer County</t>
        </is>
      </c>
      <c r="D136" s="19" t="inlineStr">
        <is>
          <t>Non-carbonate</t>
        </is>
      </c>
      <c r="E136" s="19" t="inlineStr">
        <is>
          <t>non-carbonate</t>
        </is>
      </c>
      <c r="F136" s="19" t="inlineStr">
        <is>
          <t>non-karst</t>
        </is>
      </c>
      <c r="G136" s="19" t="inlineStr">
        <is>
          <t>Impeded drainage by RR bed</t>
        </is>
      </c>
      <c r="H136" s="19" t="n">
        <v>43.02302</v>
      </c>
      <c r="I136" s="19" t="n">
        <v>-74.97407</v>
      </c>
    </row>
    <row r="137" ht="23.25" customHeight="1" s="13">
      <c r="A137" s="19" t="inlineStr">
        <is>
          <t>LiDAR-36-115-10</t>
        </is>
      </c>
      <c r="B137" s="19" t="n">
        <v>58.7</v>
      </c>
      <c r="C137" s="19" t="inlineStr">
        <is>
          <t>Washington County</t>
        </is>
      </c>
      <c r="D137" s="19" t="inlineStr">
        <is>
          <t>Non-carbonate</t>
        </is>
      </c>
      <c r="E137" s="19" t="inlineStr">
        <is>
          <t>non-carbonate</t>
        </is>
      </c>
      <c r="F137" s="19" t="inlineStr">
        <is>
          <t>anthropogenic</t>
        </is>
      </c>
      <c r="G137" s="19" t="inlineStr">
        <is>
          <t>Former gravel pit</t>
        </is>
      </c>
      <c r="H137" s="19" t="n">
        <v>43.25513</v>
      </c>
      <c r="I137" s="19" t="n">
        <v>-73.47266999999999</v>
      </c>
    </row>
    <row r="138" ht="15" customHeight="1" s="13">
      <c r="A138" s="19" t="inlineStr">
        <is>
          <t>LiDAR-36-043-2</t>
        </is>
      </c>
      <c r="B138" s="19" t="n">
        <v>58.8</v>
      </c>
      <c r="C138" s="19" t="inlineStr">
        <is>
          <t>Herkimer County</t>
        </is>
      </c>
      <c r="D138" s="19" t="inlineStr">
        <is>
          <t>Non-carbonate</t>
        </is>
      </c>
      <c r="E138" s="19" t="inlineStr">
        <is>
          <t>non-carbonate</t>
        </is>
      </c>
      <c r="F138" s="19" t="inlineStr">
        <is>
          <t>anthropogenic</t>
        </is>
      </c>
      <c r="G138" s="19" t="inlineStr">
        <is>
          <t>Shallow depression, possible detention basin</t>
        </is>
      </c>
      <c r="H138" s="19" t="n">
        <v>43.03488</v>
      </c>
      <c r="I138" s="19" t="n">
        <v>-74.96384999999999</v>
      </c>
    </row>
    <row r="139" ht="23.25" customHeight="1" s="13">
      <c r="A139" s="19" t="inlineStr">
        <is>
          <t>LiDAR-36-115-9</t>
        </is>
      </c>
      <c r="B139" s="19" t="n">
        <v>58.9</v>
      </c>
      <c r="C139" s="19" t="inlineStr">
        <is>
          <t>Washington County</t>
        </is>
      </c>
      <c r="D139" s="19" t="inlineStr">
        <is>
          <t>Non-carbonate</t>
        </is>
      </c>
      <c r="E139" s="19" t="inlineStr">
        <is>
          <t>non-carbonate</t>
        </is>
      </c>
      <c r="F139" s="19" t="inlineStr">
        <is>
          <t>anthropogenic</t>
        </is>
      </c>
      <c r="G139" s="19" t="inlineStr">
        <is>
          <t>Former gravel pit</t>
        </is>
      </c>
      <c r="H139" s="19" t="n">
        <v>43.25907</v>
      </c>
      <c r="I139" s="19" t="n">
        <v>-73.47169</v>
      </c>
    </row>
    <row r="140" ht="23.25" customHeight="1" s="13">
      <c r="A140" s="19" t="inlineStr">
        <is>
          <t>LiDAR-36-043-5</t>
        </is>
      </c>
      <c r="B140" s="19" t="n">
        <v>59</v>
      </c>
      <c r="C140" s="19" t="inlineStr">
        <is>
          <t>Herkimer County</t>
        </is>
      </c>
      <c r="D140" s="19" t="inlineStr">
        <is>
          <t>Non-carbonate</t>
        </is>
      </c>
      <c r="E140" s="19" t="inlineStr">
        <is>
          <t>non-carbonate</t>
        </is>
      </c>
      <c r="F140" s="19" t="inlineStr">
        <is>
          <t>anthropogenic</t>
        </is>
      </c>
      <c r="G140" s="19" t="inlineStr">
        <is>
          <t>Shallow depression, ringed by roadbed/former RR bed, possibley a detention basin</t>
        </is>
      </c>
      <c r="H140" s="19" t="n">
        <v>43.02808</v>
      </c>
      <c r="I140" s="19" t="n">
        <v>-74.97635</v>
      </c>
    </row>
    <row r="141" ht="23.25" customHeight="1" s="13">
      <c r="A141" s="19" t="inlineStr">
        <is>
          <t>LiDAR-36-077-6</t>
        </is>
      </c>
      <c r="B141" s="19" t="n">
        <v>59</v>
      </c>
      <c r="C141" s="19" t="inlineStr">
        <is>
          <t>Otsego County</t>
        </is>
      </c>
      <c r="D141" s="19" t="inlineStr">
        <is>
          <t>Non-carbonate</t>
        </is>
      </c>
      <c r="E141" s="19" t="inlineStr">
        <is>
          <t>non-carbonate</t>
        </is>
      </c>
      <c r="F141" s="19" t="inlineStr">
        <is>
          <t>non-karst</t>
        </is>
      </c>
      <c r="G141" s="19" t="inlineStr">
        <is>
          <t>Wooded wetland adjacent to agricultural land, wet/ponded some years</t>
        </is>
      </c>
      <c r="H141" s="19" t="n">
        <v>42.78589</v>
      </c>
      <c r="I141" s="19" t="n">
        <v>-75.14659</v>
      </c>
    </row>
    <row r="142" ht="23.25" customHeight="1" s="13">
      <c r="A142" s="19" t="inlineStr">
        <is>
          <t>LiDAR-36-043-10</t>
        </is>
      </c>
      <c r="B142" s="19" t="n">
        <v>59.2</v>
      </c>
      <c r="C142" s="19" t="inlineStr">
        <is>
          <t>Herkimer County</t>
        </is>
      </c>
      <c r="D142" s="19" t="inlineStr">
        <is>
          <t>Akron</t>
        </is>
      </c>
      <c r="E142" s="19" t="inlineStr">
        <is>
          <t>karst-prone (carbonate)</t>
        </is>
      </c>
      <c r="F142" s="19" t="inlineStr">
        <is>
          <t>anthropogenic</t>
        </is>
      </c>
      <c r="G142" s="19" t="inlineStr">
        <is>
          <t>Forested area adjacent to agricultural land, possible former sand/gravel pit.</t>
        </is>
      </c>
      <c r="H142" s="19" t="n">
        <v>42.93712</v>
      </c>
      <c r="I142" s="19" t="n">
        <v>-75.06237</v>
      </c>
    </row>
    <row r="143" ht="15" customHeight="1" s="13">
      <c r="A143" s="19" t="inlineStr">
        <is>
          <t>LiDAR-36-113-19</t>
        </is>
      </c>
      <c r="B143" s="19" t="n">
        <v>59.8</v>
      </c>
      <c r="C143" s="19" t="inlineStr">
        <is>
          <t>Warren County</t>
        </is>
      </c>
      <c r="D143" s="19" t="inlineStr">
        <is>
          <t>Non-carbonate</t>
        </is>
      </c>
      <c r="E143" s="19" t="inlineStr">
        <is>
          <t>non-carbonate</t>
        </is>
      </c>
      <c r="F143" s="19" t="inlineStr">
        <is>
          <t>anthropogenic</t>
        </is>
      </c>
      <c r="G143" s="19" t="inlineStr">
        <is>
          <t>Former gravel pit</t>
        </is>
      </c>
      <c r="H143" s="19" t="n">
        <v>43.34378</v>
      </c>
      <c r="I143" s="19" t="n">
        <v>-73.69426</v>
      </c>
    </row>
    <row r="144" ht="15" customHeight="1" s="13">
      <c r="A144" s="19" t="inlineStr">
        <is>
          <t>LiDAR-36-043-12</t>
        </is>
      </c>
      <c r="B144" s="19" t="n">
        <v>60.1</v>
      </c>
      <c r="C144" s="19" t="inlineStr">
        <is>
          <t>Herkimer County</t>
        </is>
      </c>
      <c r="D144" s="19" t="inlineStr">
        <is>
          <t>Akron</t>
        </is>
      </c>
      <c r="E144" s="19" t="inlineStr">
        <is>
          <t>karst-prone (carbonate)</t>
        </is>
      </c>
      <c r="F144" s="19" t="inlineStr">
        <is>
          <t>natural?</t>
        </is>
      </c>
      <c r="G144" s="19" t="inlineStr">
        <is>
          <t>Forested area</t>
        </is>
      </c>
      <c r="H144" s="19" t="n">
        <v>42.91812</v>
      </c>
      <c r="I144" s="19" t="n">
        <v>-75.09466</v>
      </c>
    </row>
    <row r="145" ht="15" customHeight="1" s="13">
      <c r="A145" s="19" t="inlineStr">
        <is>
          <t>LiDAR-36-043-13</t>
        </is>
      </c>
      <c r="B145" s="19" t="n">
        <v>60.2</v>
      </c>
      <c r="C145" s="19" t="inlineStr">
        <is>
          <t>Herkimer County</t>
        </is>
      </c>
      <c r="D145" s="19" t="inlineStr">
        <is>
          <t>Akron</t>
        </is>
      </c>
      <c r="E145" s="19" t="inlineStr">
        <is>
          <t>karst-prone (carbonate)</t>
        </is>
      </c>
      <c r="F145" s="19" t="inlineStr">
        <is>
          <t>anthropogenic</t>
        </is>
      </c>
      <c r="G145" s="19" t="inlineStr">
        <is>
          <t>Former sand/gravel pit</t>
        </is>
      </c>
      <c r="H145" s="19" t="n">
        <v>42.91629</v>
      </c>
      <c r="I145" s="19" t="n">
        <v>-75.09865000000001</v>
      </c>
    </row>
    <row r="146" ht="15" customHeight="1" s="13">
      <c r="A146" s="19" t="inlineStr">
        <is>
          <t>LiDAR-36-043-14</t>
        </is>
      </c>
      <c r="B146" s="19" t="n">
        <v>60.9</v>
      </c>
      <c r="C146" s="19" t="inlineStr">
        <is>
          <t>Herkimer County</t>
        </is>
      </c>
      <c r="D146" s="19" t="inlineStr">
        <is>
          <t>Akron</t>
        </is>
      </c>
      <c r="E146" s="19" t="inlineStr">
        <is>
          <t>karst-prone (carbonate)</t>
        </is>
      </c>
      <c r="F146" s="19" t="inlineStr">
        <is>
          <t>natural?</t>
        </is>
      </c>
      <c r="G146" s="19" t="inlineStr">
        <is>
          <t>Forested area</t>
        </is>
      </c>
      <c r="H146" s="19" t="n">
        <v>42.91487</v>
      </c>
      <c r="I146" s="19" t="n">
        <v>-75.11494</v>
      </c>
    </row>
    <row r="147" ht="23.25" customHeight="1" s="13">
      <c r="A147" s="19" t="inlineStr">
        <is>
          <t>LiDAR-36-043-17</t>
        </is>
      </c>
      <c r="B147" s="19" t="n">
        <v>61</v>
      </c>
      <c r="C147" s="19" t="inlineStr">
        <is>
          <t>Herkimer County</t>
        </is>
      </c>
      <c r="D147" s="19" t="inlineStr">
        <is>
          <t>Non-carbonate over carbonate</t>
        </is>
      </c>
      <c r="E147" s="19" t="inlineStr">
        <is>
          <t>mixed (non-carb/carb)</t>
        </is>
      </c>
      <c r="F147" s="19" t="inlineStr">
        <is>
          <t>anthropogenic</t>
        </is>
      </c>
      <c r="G147" s="19" t="inlineStr">
        <is>
          <t>Forested area, possible former sand/gravel pit, probable sinkhole 200m E in adjacent agricultural field.</t>
        </is>
      </c>
      <c r="H147" s="19" t="n">
        <v>42.89045</v>
      </c>
      <c r="I147" s="19" t="n">
        <v>-75.13289</v>
      </c>
    </row>
    <row r="148" ht="15" customHeight="1" s="13">
      <c r="A148" s="19" t="inlineStr">
        <is>
          <t>LiDAR-36-113-17</t>
        </is>
      </c>
      <c r="B148" s="19" t="n">
        <v>61</v>
      </c>
      <c r="C148" s="19" t="inlineStr">
        <is>
          <t>Warren County</t>
        </is>
      </c>
      <c r="D148" s="19" t="inlineStr">
        <is>
          <t>Non-carbonate</t>
        </is>
      </c>
      <c r="E148" s="19" t="inlineStr">
        <is>
          <t>non-carbonate</t>
        </is>
      </c>
      <c r="F148" s="19" t="inlineStr">
        <is>
          <t>non-karst</t>
        </is>
      </c>
      <c r="G148" s="19" t="inlineStr">
        <is>
          <t>Forested area</t>
        </is>
      </c>
      <c r="H148" s="19" t="n">
        <v>43.35593</v>
      </c>
      <c r="I148" s="19" t="n">
        <v>-73.67202</v>
      </c>
    </row>
    <row r="149" ht="15" customHeight="1" s="13">
      <c r="A149" s="19" t="inlineStr">
        <is>
          <t>LiDAR-36-113-18</t>
        </is>
      </c>
      <c r="B149" s="19" t="n">
        <v>61</v>
      </c>
      <c r="C149" s="19" t="inlineStr">
        <is>
          <t>Warren County</t>
        </is>
      </c>
      <c r="D149" s="19" t="inlineStr">
        <is>
          <t>Non-carbonate</t>
        </is>
      </c>
      <c r="E149" s="19" t="inlineStr">
        <is>
          <t>non-carbonate</t>
        </is>
      </c>
      <c r="F149" s="19" t="inlineStr">
        <is>
          <t>non-karst</t>
        </is>
      </c>
      <c r="G149" s="19" t="inlineStr">
        <is>
          <t>Forested area adjacent to residential development.</t>
        </is>
      </c>
      <c r="H149" s="19" t="n">
        <v>43.35508</v>
      </c>
      <c r="I149" s="19" t="n">
        <v>-73.66654</v>
      </c>
    </row>
    <row r="150" ht="15" customHeight="1" s="13">
      <c r="A150" s="19" t="inlineStr">
        <is>
          <t>LiDAR-36-043-8</t>
        </is>
      </c>
      <c r="B150" s="19" t="n">
        <v>61.1</v>
      </c>
      <c r="C150" s="19" t="inlineStr">
        <is>
          <t>Herkimer County</t>
        </is>
      </c>
      <c r="D150" s="19" t="inlineStr">
        <is>
          <t>Camillus</t>
        </is>
      </c>
      <c r="E150" s="19" t="inlineStr">
        <is>
          <t>karst-prone (carbonate)</t>
        </is>
      </c>
      <c r="F150" s="19" t="inlineStr">
        <is>
          <t>natural?</t>
        </is>
      </c>
      <c r="G150" s="19" t="inlineStr">
        <is>
          <t>Possible shallow depression in agricultural land.</t>
        </is>
      </c>
      <c r="H150" s="19" t="n">
        <v>42.9727</v>
      </c>
      <c r="I150" s="19" t="n">
        <v>-75.07693</v>
      </c>
    </row>
    <row r="151" ht="34.5" customHeight="1" s="13">
      <c r="A151" s="19" t="inlineStr">
        <is>
          <t>LiDAR-36-113-16</t>
        </is>
      </c>
      <c r="B151" s="19" t="n">
        <v>61.5</v>
      </c>
      <c r="C151" s="19" t="inlineStr">
        <is>
          <t>Warren County</t>
        </is>
      </c>
      <c r="D151" s="19" t="inlineStr">
        <is>
          <t>Non-carbonate</t>
        </is>
      </c>
      <c r="E151" s="19" t="inlineStr">
        <is>
          <t>non-carbonate</t>
        </is>
      </c>
      <c r="F151" s="19" t="inlineStr">
        <is>
          <t>anthropogenic</t>
        </is>
      </c>
      <c r="G151" s="19" t="inlineStr">
        <is>
          <t>Located in wooded area adjacent to mixed-use development area, possible impeded drainage (roadbed SR 149), northern extent ponded some years</t>
        </is>
      </c>
      <c r="H151" s="19" t="n">
        <v>43.36894</v>
      </c>
      <c r="I151" s="19" t="n">
        <v>-73.69473000000001</v>
      </c>
    </row>
    <row r="152" ht="15" customHeight="1" s="13">
      <c r="A152" s="19" t="inlineStr">
        <is>
          <t>LiDAR-36-111-22</t>
        </is>
      </c>
      <c r="B152" s="19" t="n">
        <v>61.6</v>
      </c>
      <c r="C152" s="19" t="inlineStr">
        <is>
          <t>Ulster County</t>
        </is>
      </c>
      <c r="D152" s="19" t="inlineStr">
        <is>
          <t>Onondaga</t>
        </is>
      </c>
      <c r="E152" s="19" t="inlineStr">
        <is>
          <t>karst-prone (carbonate)</t>
        </is>
      </c>
      <c r="F152" s="19" t="inlineStr">
        <is>
          <t>natural?</t>
        </is>
      </c>
      <c r="G152" s="19" t="inlineStr">
        <is>
          <t>Forested area</t>
        </is>
      </c>
      <c r="H152" s="19" t="n">
        <v>41.6705</v>
      </c>
      <c r="I152" s="19" t="n">
        <v>-74.42475</v>
      </c>
    </row>
    <row r="153" ht="15" customHeight="1" s="13">
      <c r="A153" s="19" t="inlineStr">
        <is>
          <t>LiDAR-36-027-11</t>
        </is>
      </c>
      <c r="B153" s="19" t="n">
        <v>61.8</v>
      </c>
      <c r="C153" s="19" t="inlineStr">
        <is>
          <t>Dutchess County</t>
        </is>
      </c>
      <c r="D153" s="19" t="inlineStr">
        <is>
          <t>Non-carbonate</t>
        </is>
      </c>
      <c r="E153" s="19" t="inlineStr">
        <is>
          <t>non-carbonate</t>
        </is>
      </c>
      <c r="F153" s="19" t="inlineStr">
        <is>
          <t>anthropogenic</t>
        </is>
      </c>
      <c r="G153" s="19" t="inlineStr">
        <is>
          <t>Excavated farm pond (2004)</t>
        </is>
      </c>
      <c r="H153" s="19" t="n">
        <v>41.65426</v>
      </c>
      <c r="I153" s="19" t="n">
        <v>-73.72602000000001</v>
      </c>
    </row>
    <row r="154" ht="23.25" customHeight="1" s="13">
      <c r="A154" s="19" t="inlineStr">
        <is>
          <t>LiDAR-36-043-16</t>
        </is>
      </c>
      <c r="B154" s="19" t="n">
        <v>62</v>
      </c>
      <c r="C154" s="19" t="inlineStr">
        <is>
          <t>Herkimer County</t>
        </is>
      </c>
      <c r="D154" s="19" t="inlineStr">
        <is>
          <t>Akron</t>
        </is>
      </c>
      <c r="E154" s="19" t="inlineStr">
        <is>
          <t>karst-prone (carbonate)</t>
        </is>
      </c>
      <c r="F154" s="19" t="inlineStr">
        <is>
          <t>natural?</t>
        </is>
      </c>
      <c r="G154" s="19" t="inlineStr">
        <is>
          <t>Wooded area in agricultural land, feature in field to west exhibits "sinkhole" signature in all years</t>
        </is>
      </c>
      <c r="H154" s="19" t="n">
        <v>42.90487</v>
      </c>
      <c r="I154" s="19" t="n">
        <v>-75.14704999999999</v>
      </c>
    </row>
    <row r="155" ht="23.25" customHeight="1" s="13">
      <c r="A155" s="19" t="inlineStr">
        <is>
          <t>LiDAR-36-113-15</t>
        </is>
      </c>
      <c r="B155" s="19" t="n">
        <v>62.2</v>
      </c>
      <c r="C155" s="19" t="inlineStr">
        <is>
          <t>Warren County</t>
        </is>
      </c>
      <c r="D155" s="19" t="inlineStr">
        <is>
          <t>Non-carbonate</t>
        </is>
      </c>
      <c r="E155" s="19" t="inlineStr">
        <is>
          <t>non-carbonate</t>
        </is>
      </c>
      <c r="F155" s="19" t="inlineStr">
        <is>
          <t>anthropogenic</t>
        </is>
      </c>
      <c r="G155" s="19" t="inlineStr">
        <is>
          <t>Possible depression/detention basin in residential development</t>
        </is>
      </c>
      <c r="H155" s="19" t="n">
        <v>43.37023</v>
      </c>
      <c r="I155" s="19" t="n">
        <v>-73.65178</v>
      </c>
    </row>
    <row r="156" ht="23.25" customHeight="1" s="13">
      <c r="A156" s="19" t="inlineStr">
        <is>
          <t>LiDAR-36-043-19</t>
        </is>
      </c>
      <c r="B156" s="19" t="n">
        <v>62.6</v>
      </c>
      <c r="C156" s="19" t="inlineStr">
        <is>
          <t>Herkimer County</t>
        </is>
      </c>
      <c r="D156" s="19" t="inlineStr">
        <is>
          <t>Onondaga</t>
        </is>
      </c>
      <c r="E156" s="19" t="inlineStr">
        <is>
          <t>karst-prone (carbonate)</t>
        </is>
      </c>
      <c r="F156" s="19" t="inlineStr">
        <is>
          <t>natural?</t>
        </is>
      </c>
      <c r="G156" s="19" t="inlineStr">
        <is>
          <t>Wooded area adjacent to agricultural land, ponding noted some years.</t>
        </is>
      </c>
      <c r="H156" s="19" t="n">
        <v>42.88588</v>
      </c>
      <c r="I156" s="19" t="n">
        <v>-75.17158000000001</v>
      </c>
    </row>
    <row r="157" ht="23.25" customHeight="1" s="13">
      <c r="A157" s="19" t="inlineStr">
        <is>
          <t>LiDAR-36-027-13</t>
        </is>
      </c>
      <c r="B157" s="19" t="n">
        <v>62.7</v>
      </c>
      <c r="C157" s="19" t="inlineStr">
        <is>
          <t>Dutchess County</t>
        </is>
      </c>
      <c r="D157" s="19" t="inlineStr">
        <is>
          <t>Wappinger Group</t>
        </is>
      </c>
      <c r="E157" s="19" t="inlineStr">
        <is>
          <t>karst-prone (carbonate)</t>
        </is>
      </c>
      <c r="F157" s="19" t="inlineStr">
        <is>
          <t>natural?</t>
        </is>
      </c>
      <c r="G157" s="19" t="inlineStr">
        <is>
          <t>Wooded area in region of commercial/residential development, no indication of tree stress or ponding.</t>
        </is>
      </c>
      <c r="H157" s="19" t="n">
        <v>41.61415</v>
      </c>
      <c r="I157" s="19" t="n">
        <v>-73.91970000000001</v>
      </c>
    </row>
    <row r="158" ht="23.25" customHeight="1" s="13">
      <c r="A158" s="19" t="inlineStr">
        <is>
          <t>LiDAR-36-113-14</t>
        </is>
      </c>
      <c r="B158" s="19" t="n">
        <v>62.8</v>
      </c>
      <c r="C158" s="19" t="inlineStr">
        <is>
          <t>Warren County</t>
        </is>
      </c>
      <c r="D158" s="19" t="inlineStr">
        <is>
          <t>Non-carbonate</t>
        </is>
      </c>
      <c r="E158" s="19" t="inlineStr">
        <is>
          <t>non-carbonate</t>
        </is>
      </c>
      <c r="F158" s="19" t="inlineStr">
        <is>
          <t>anthropogenic</t>
        </is>
      </c>
      <c r="G158" s="19" t="inlineStr">
        <is>
          <t>Created by roadbed, forested area, no indication of plant stress or standing liquid.</t>
        </is>
      </c>
      <c r="H158" s="19" t="n">
        <v>43.37739</v>
      </c>
      <c r="I158" s="19" t="n">
        <v>-73.64601</v>
      </c>
    </row>
    <row r="159" ht="15" customHeight="1" s="13">
      <c r="A159" s="19" t="inlineStr">
        <is>
          <t>LiDAR-36-113-13</t>
        </is>
      </c>
      <c r="B159" s="19" t="n">
        <v>63.2</v>
      </c>
      <c r="C159" s="19" t="inlineStr">
        <is>
          <t>Warren County</t>
        </is>
      </c>
      <c r="D159" s="19" t="inlineStr">
        <is>
          <t>Non-carbonate</t>
        </is>
      </c>
      <c r="E159" s="19" t="inlineStr">
        <is>
          <t>non-carbonate</t>
        </is>
      </c>
      <c r="F159" s="19" t="inlineStr">
        <is>
          <t>non-karst</t>
        </is>
      </c>
      <c r="G159" s="19" t="inlineStr">
        <is>
          <t>Transects area of forested and agricultural land use.</t>
        </is>
      </c>
      <c r="H159" s="19" t="n">
        <v>43.37977</v>
      </c>
      <c r="I159" s="19" t="n">
        <v>-73.63271</v>
      </c>
    </row>
    <row r="160" ht="15" customHeight="1" s="13">
      <c r="A160" s="19" t="inlineStr">
        <is>
          <t>LiDAR-36-113-12</t>
        </is>
      </c>
      <c r="B160" s="19" t="n">
        <v>63.4</v>
      </c>
      <c r="C160" s="19" t="inlineStr">
        <is>
          <t>Warren County</t>
        </is>
      </c>
      <c r="D160" s="19" t="inlineStr">
        <is>
          <t>Non-carbonate</t>
        </is>
      </c>
      <c r="E160" s="19" t="inlineStr">
        <is>
          <t>non-carbonate</t>
        </is>
      </c>
      <c r="F160" s="19" t="inlineStr">
        <is>
          <t>non-karst</t>
        </is>
      </c>
      <c r="G160" s="19" t="inlineStr">
        <is>
          <t>Forested area</t>
        </is>
      </c>
      <c r="H160" s="19" t="n">
        <v>43.39976</v>
      </c>
      <c r="I160" s="19" t="n">
        <v>-73.69994</v>
      </c>
    </row>
    <row r="161" ht="23.25" customHeight="1" s="13">
      <c r="A161" s="19" t="inlineStr">
        <is>
          <t>LiDAR-36-115-7</t>
        </is>
      </c>
      <c r="B161" s="19" t="n">
        <v>64.09999999999999</v>
      </c>
      <c r="C161" s="19" t="inlineStr">
        <is>
          <t>Washington County</t>
        </is>
      </c>
      <c r="D161" s="19" t="inlineStr">
        <is>
          <t>Non-carbonate</t>
        </is>
      </c>
      <c r="E161" s="19" t="inlineStr">
        <is>
          <t>non-carbonate</t>
        </is>
      </c>
      <c r="F161" s="19" t="inlineStr">
        <is>
          <t>non-karst</t>
        </is>
      </c>
      <c r="G161" s="19" t="inlineStr">
        <is>
          <t>Situated between wooded area and private residence, ponded some years</t>
        </is>
      </c>
      <c r="H161" s="19" t="n">
        <v>43.38675</v>
      </c>
      <c r="I161" s="19" t="n">
        <v>-73.60436</v>
      </c>
    </row>
    <row r="162" ht="23.25" customHeight="1" s="13">
      <c r="A162" s="19" t="inlineStr">
        <is>
          <t>LiDAR-36-027-14</t>
        </is>
      </c>
      <c r="B162" s="19" t="n">
        <v>64.5</v>
      </c>
      <c r="C162" s="19" t="inlineStr">
        <is>
          <t>Dutchess County</t>
        </is>
      </c>
      <c r="D162" s="19" t="inlineStr">
        <is>
          <t>Wappinger Group</t>
        </is>
      </c>
      <c r="E162" s="19" t="inlineStr">
        <is>
          <t>karst-prone (carbonate)</t>
        </is>
      </c>
      <c r="F162" s="19" t="inlineStr">
        <is>
          <t>natural?</t>
        </is>
      </c>
      <c r="G162" s="19" t="inlineStr">
        <is>
          <t>Possible shallow depression in wooded area within residential development</t>
        </is>
      </c>
      <c r="H162" s="19" t="n">
        <v>41.60134</v>
      </c>
      <c r="I162" s="19" t="n">
        <v>-73.79638</v>
      </c>
    </row>
    <row r="163" ht="23.25" customHeight="1" s="13">
      <c r="A163" s="19" t="inlineStr">
        <is>
          <t>LiDAR-36-043-11</t>
        </is>
      </c>
      <c r="B163" s="19" t="n">
        <v>64.59999999999999</v>
      </c>
      <c r="C163" s="19" t="inlineStr">
        <is>
          <t>Herkimer County</t>
        </is>
      </c>
      <c r="D163" s="19" t="inlineStr">
        <is>
          <t>Akron</t>
        </is>
      </c>
      <c r="E163" s="19" t="inlineStr">
        <is>
          <t>karst-prone (carbonate)</t>
        </is>
      </c>
      <c r="F163" s="19" t="inlineStr">
        <is>
          <t>anthropogenic</t>
        </is>
      </c>
      <c r="G163" s="19" t="inlineStr">
        <is>
          <t>Former gravel pit, ponded most years, drains to North Winfield Cr</t>
        </is>
      </c>
      <c r="H163" s="19" t="n">
        <v>42.92477</v>
      </c>
      <c r="I163" s="19" t="n">
        <v>-75.1908</v>
      </c>
    </row>
    <row r="164" ht="23.25" customHeight="1" s="13">
      <c r="A164" s="19" t="inlineStr">
        <is>
          <t>LiDAR-36-115-8</t>
        </is>
      </c>
      <c r="B164" s="19" t="n">
        <v>64.7</v>
      </c>
      <c r="C164" s="19" t="inlineStr">
        <is>
          <t>Washington County</t>
        </is>
      </c>
      <c r="D164" s="19" t="inlineStr">
        <is>
          <t>Non-carbonate</t>
        </is>
      </c>
      <c r="E164" s="19" t="inlineStr">
        <is>
          <t>non-carbonate</t>
        </is>
      </c>
      <c r="F164" s="19" t="inlineStr">
        <is>
          <t>anthropogenic</t>
        </is>
      </c>
      <c r="G164" s="19" t="inlineStr">
        <is>
          <t>Cleared area adjacent to Champlain Canal, possible detention basin, northern extent ponded one year</t>
        </is>
      </c>
      <c r="H164" s="19" t="n">
        <v>43.36135</v>
      </c>
      <c r="I164" s="19" t="n">
        <v>-73.49063</v>
      </c>
    </row>
    <row r="165" ht="15" customHeight="1" s="13">
      <c r="A165" s="19" t="inlineStr">
        <is>
          <t>LiDAR-36-027-12</t>
        </is>
      </c>
      <c r="B165" s="19" t="n">
        <v>65</v>
      </c>
      <c r="C165" s="19" t="inlineStr">
        <is>
          <t>Dutchess County</t>
        </is>
      </c>
      <c r="D165" s="19" t="inlineStr">
        <is>
          <t>Non-carbonate</t>
        </is>
      </c>
      <c r="E165" s="19" t="inlineStr">
        <is>
          <t>non-carbonate</t>
        </is>
      </c>
      <c r="F165" s="19" t="inlineStr">
        <is>
          <t>anthropogenic</t>
        </is>
      </c>
      <c r="G165" s="19" t="inlineStr">
        <is>
          <t>Detention basin at quarry</t>
        </is>
      </c>
      <c r="H165" s="19" t="n">
        <v>41.63378</v>
      </c>
      <c r="I165" s="19" t="n">
        <v>-73.60709</v>
      </c>
    </row>
    <row r="166" ht="15" customHeight="1" s="13">
      <c r="A166" s="19" t="inlineStr">
        <is>
          <t>LiDAR-36-113-11</t>
        </is>
      </c>
      <c r="B166" s="19" t="n">
        <v>65.2</v>
      </c>
      <c r="C166" s="19" t="inlineStr">
        <is>
          <t>Warren County</t>
        </is>
      </c>
      <c r="D166" s="19" t="inlineStr">
        <is>
          <t>Non-carbonate</t>
        </is>
      </c>
      <c r="E166" s="19" t="inlineStr">
        <is>
          <t>non-carbonate</t>
        </is>
      </c>
      <c r="F166" s="19" t="inlineStr">
        <is>
          <t>non-karst</t>
        </is>
      </c>
      <c r="G166" s="19" t="inlineStr">
        <is>
          <t>Small pond in forested area</t>
        </is>
      </c>
      <c r="H166" s="19" t="n">
        <v>43.44639</v>
      </c>
      <c r="I166" s="19" t="n">
        <v>-73.82597</v>
      </c>
    </row>
    <row r="167" ht="23.25" customHeight="1" s="13">
      <c r="A167" s="19" t="inlineStr">
        <is>
          <t>LiDAR-36-115-5</t>
        </is>
      </c>
      <c r="B167" s="19" t="n">
        <v>65.3</v>
      </c>
      <c r="C167" s="19" t="inlineStr">
        <is>
          <t>Washington County</t>
        </is>
      </c>
      <c r="D167" s="19" t="inlineStr">
        <is>
          <t>Non-carbonate</t>
        </is>
      </c>
      <c r="E167" s="19" t="inlineStr">
        <is>
          <t>non-carbonate</t>
        </is>
      </c>
      <c r="F167" s="19" t="inlineStr">
        <is>
          <t>anthropogenic</t>
        </is>
      </c>
      <c r="G167" s="19" t="inlineStr">
        <is>
          <t>Former gravel pit</t>
        </is>
      </c>
      <c r="H167" s="19" t="n">
        <v>43.40227</v>
      </c>
      <c r="I167" s="19" t="n">
        <v>-73.59446</v>
      </c>
    </row>
    <row r="168" ht="15" customHeight="1" s="13">
      <c r="A168" s="19" t="inlineStr">
        <is>
          <t>LiDAR-36-105-1</t>
        </is>
      </c>
      <c r="B168" s="19" t="n">
        <v>65.5</v>
      </c>
      <c r="C168" s="19" t="inlineStr">
        <is>
          <t>Sullivan County</t>
        </is>
      </c>
      <c r="D168" s="19" t="inlineStr">
        <is>
          <t>Onondaga</t>
        </is>
      </c>
      <c r="E168" s="19" t="inlineStr">
        <is>
          <t>karst-prone (carbonate)</t>
        </is>
      </c>
      <c r="F168" s="19" t="inlineStr">
        <is>
          <t>anthropogenic</t>
        </is>
      </c>
      <c r="G168" s="19" t="inlineStr">
        <is>
          <t>Former gravel pit</t>
        </is>
      </c>
      <c r="H168" s="19" t="n">
        <v>41.61773</v>
      </c>
      <c r="I168" s="19" t="n">
        <v>-74.44781</v>
      </c>
    </row>
    <row r="169" ht="23.25" customHeight="1" s="13">
      <c r="A169" s="19" t="inlineStr">
        <is>
          <t>LiDAR-36-115-4</t>
        </is>
      </c>
      <c r="B169" s="19" t="n">
        <v>65.90000000000001</v>
      </c>
      <c r="C169" s="19" t="inlineStr">
        <is>
          <t>Washington County</t>
        </is>
      </c>
      <c r="D169" s="19" t="inlineStr">
        <is>
          <t>Beekmantown</t>
        </is>
      </c>
      <c r="E169" s="19" t="inlineStr">
        <is>
          <t>karst-prone (carbonate)</t>
        </is>
      </c>
      <c r="F169" s="19" t="inlineStr">
        <is>
          <t>natural?</t>
        </is>
      </c>
      <c r="G169" s="19" t="inlineStr">
        <is>
          <t>Forested area</t>
        </is>
      </c>
      <c r="H169" s="19" t="n">
        <v>43.40441</v>
      </c>
      <c r="I169" s="19" t="n">
        <v>-73.56588000000001</v>
      </c>
    </row>
    <row r="170" ht="15" customHeight="1" s="13">
      <c r="A170" s="19" t="inlineStr">
        <is>
          <t>LiDAR-36-105-2</t>
        </is>
      </c>
      <c r="B170" s="19" t="n">
        <v>66.59999999999999</v>
      </c>
      <c r="C170" s="19" t="inlineStr">
        <is>
          <t>Sullivan County</t>
        </is>
      </c>
      <c r="D170" s="19" t="inlineStr">
        <is>
          <t>Non-carbonate</t>
        </is>
      </c>
      <c r="E170" s="19" t="inlineStr">
        <is>
          <t>non-carbonate</t>
        </is>
      </c>
      <c r="F170" s="19" t="inlineStr">
        <is>
          <t>non-karst</t>
        </is>
      </c>
      <c r="G170" s="19" t="inlineStr">
        <is>
          <t>Forested area</t>
        </is>
      </c>
      <c r="H170" s="19" t="n">
        <v>41.60741</v>
      </c>
      <c r="I170" s="19" t="n">
        <v>-74.47620000000001</v>
      </c>
    </row>
    <row r="171" ht="23.25" customHeight="1" s="13">
      <c r="A171" s="19" t="inlineStr">
        <is>
          <t>LiDAR-36-027-15</t>
        </is>
      </c>
      <c r="B171" s="19" t="n">
        <v>66.8</v>
      </c>
      <c r="C171" s="19" t="inlineStr">
        <is>
          <t>Dutchess County</t>
        </is>
      </c>
      <c r="D171" s="19" t="inlineStr">
        <is>
          <t>Wappinger Group</t>
        </is>
      </c>
      <c r="E171" s="19" t="inlineStr">
        <is>
          <t>karst-prone (carbonate)</t>
        </is>
      </c>
      <c r="F171" s="19" t="inlineStr">
        <is>
          <t>natural?</t>
        </is>
      </c>
      <c r="G171" s="19" t="inlineStr">
        <is>
          <t>Possible shallow depression in agricultural land, small intermittent wet area, otherwise no plant stress noted.</t>
        </is>
      </c>
      <c r="H171" s="19" t="n">
        <v>41.5751</v>
      </c>
      <c r="I171" s="19" t="n">
        <v>-73.75447</v>
      </c>
    </row>
    <row r="172" ht="15" customHeight="1" s="13">
      <c r="A172" s="19" t="inlineStr">
        <is>
          <t>LiDAR-36-105-3</t>
        </is>
      </c>
      <c r="B172" s="19" t="n">
        <v>67.5</v>
      </c>
      <c r="C172" s="19" t="inlineStr">
        <is>
          <t>Sullivan County</t>
        </is>
      </c>
      <c r="D172" s="19" t="inlineStr">
        <is>
          <t>Non-carbonate</t>
        </is>
      </c>
      <c r="E172" s="19" t="inlineStr">
        <is>
          <t>non-carbonate</t>
        </is>
      </c>
      <c r="F172" s="19" t="inlineStr">
        <is>
          <t>anthropogenic</t>
        </is>
      </c>
      <c r="G172" s="19" t="inlineStr">
        <is>
          <t>Shallow depression in wooded area, adjacent to gravel pit</t>
        </is>
      </c>
      <c r="H172" s="19" t="n">
        <v>41.57941</v>
      </c>
      <c r="I172" s="19" t="n">
        <v>-74.41309</v>
      </c>
    </row>
    <row r="173" ht="23.25" customHeight="1" s="13">
      <c r="A173" s="19" t="inlineStr">
        <is>
          <t>LiDAR-36-053-9</t>
        </is>
      </c>
      <c r="B173" s="19" t="n">
        <v>67.7</v>
      </c>
      <c r="C173" s="19" t="inlineStr">
        <is>
          <t>Madison County</t>
        </is>
      </c>
      <c r="D173" s="19" t="inlineStr">
        <is>
          <t>Non-carbonate</t>
        </is>
      </c>
      <c r="E173" s="19" t="inlineStr">
        <is>
          <t>non-carbonate</t>
        </is>
      </c>
      <c r="F173" s="19" t="inlineStr">
        <is>
          <t>non-karst</t>
        </is>
      </c>
      <c r="G173" s="19" t="inlineStr">
        <is>
          <t>Located in agricultural land, lake/pond, wet/ponded most years</t>
        </is>
      </c>
      <c r="H173" s="19" t="n">
        <v>42.7625</v>
      </c>
      <c r="I173" s="19" t="n">
        <v>-75.33439</v>
      </c>
    </row>
    <row r="174" ht="23.25" customHeight="1" s="13">
      <c r="A174" s="19" t="inlineStr">
        <is>
          <t>LiDAR-36-065-9</t>
        </is>
      </c>
      <c r="B174" s="19" t="n">
        <v>67.90000000000001</v>
      </c>
      <c r="C174" s="19" t="inlineStr">
        <is>
          <t>Oneida County</t>
        </is>
      </c>
      <c r="D174" s="19" t="inlineStr">
        <is>
          <t>Akron</t>
        </is>
      </c>
      <c r="E174" s="19" t="inlineStr">
        <is>
          <t>karst-prone (carbonate)</t>
        </is>
      </c>
      <c r="F174" s="19" t="inlineStr">
        <is>
          <t>natural?</t>
        </is>
      </c>
      <c r="G174" s="19" t="inlineStr">
        <is>
          <t>Located in agricultural land, "sinkhole" signature, water-filled on several years of imagery</t>
        </is>
      </c>
      <c r="H174" s="19" t="n">
        <v>42.96196</v>
      </c>
      <c r="I174" s="19" t="n">
        <v>-75.23841</v>
      </c>
    </row>
    <row r="175" ht="15" customHeight="1" s="13">
      <c r="A175" s="19" t="inlineStr">
        <is>
          <t>LiDAR-36-043-1</t>
        </is>
      </c>
      <c r="B175" s="19" t="n">
        <v>68.3</v>
      </c>
      <c r="C175" s="19" t="inlineStr">
        <is>
          <t>Herkimer County</t>
        </is>
      </c>
      <c r="D175" s="19" t="inlineStr">
        <is>
          <t>Camillus</t>
        </is>
      </c>
      <c r="E175" s="19" t="inlineStr">
        <is>
          <t>karst-prone (carbonate)</t>
        </is>
      </c>
      <c r="F175" s="19" t="inlineStr">
        <is>
          <t>anthropogenic</t>
        </is>
      </c>
      <c r="G175" s="19" t="inlineStr">
        <is>
          <t>Intermittent gravel pit</t>
        </is>
      </c>
      <c r="H175" s="19" t="n">
        <v>43.03779</v>
      </c>
      <c r="I175" s="19" t="n">
        <v>-75.18974</v>
      </c>
    </row>
    <row r="176" ht="34.5" customHeight="1" s="13">
      <c r="A176" s="19" t="inlineStr">
        <is>
          <t>LiDAR-36-065-11</t>
        </is>
      </c>
      <c r="B176" s="19" t="n">
        <v>69.5</v>
      </c>
      <c r="C176" s="19" t="inlineStr">
        <is>
          <t>Oneida County</t>
        </is>
      </c>
      <c r="D176" s="19" t="inlineStr">
        <is>
          <t>Onondaga</t>
        </is>
      </c>
      <c r="E176" s="19" t="inlineStr">
        <is>
          <t>karst-prone (carbonate)</t>
        </is>
      </c>
      <c r="F176" s="19" t="inlineStr">
        <is>
          <t>natural?</t>
        </is>
      </c>
      <c r="G176" s="19" t="inlineStr">
        <is>
          <t>One of 3 features located in agricultural land along NW-SE axis, northernmost feature exhibits "sinkhole" signature, features appear wet/water-filled on several years of imagery</t>
        </is>
      </c>
      <c r="H176" s="19" t="n">
        <v>42.95315</v>
      </c>
      <c r="I176" s="19" t="n">
        <v>-75.2782</v>
      </c>
    </row>
    <row r="177" ht="15" customHeight="1" s="13">
      <c r="A177" s="19" t="inlineStr">
        <is>
          <t>LiDAR-36-113-10</t>
        </is>
      </c>
      <c r="B177" s="19" t="n">
        <v>69.59999999999999</v>
      </c>
      <c r="C177" s="19" t="inlineStr">
        <is>
          <t>Warren County</t>
        </is>
      </c>
      <c r="D177" s="19" t="inlineStr">
        <is>
          <t>Non-carbonate</t>
        </is>
      </c>
      <c r="E177" s="19" t="inlineStr">
        <is>
          <t>non-carbonate</t>
        </is>
      </c>
      <c r="F177" s="19" t="inlineStr">
        <is>
          <t>non-karst</t>
        </is>
      </c>
      <c r="G177" s="19" t="inlineStr">
        <is>
          <t>Forested area</t>
        </is>
      </c>
      <c r="H177" s="19" t="n">
        <v>43.51055</v>
      </c>
      <c r="I177" s="19" t="n">
        <v>-73.81671</v>
      </c>
    </row>
    <row r="178" ht="23.25" customHeight="1" s="13">
      <c r="A178" s="19" t="inlineStr">
        <is>
          <t>LiDAR-36-115-6</t>
        </is>
      </c>
      <c r="B178" s="19" t="n">
        <v>70.09999999999999</v>
      </c>
      <c r="C178" s="19" t="inlineStr">
        <is>
          <t>Washington County</t>
        </is>
      </c>
      <c r="D178" s="19" t="inlineStr">
        <is>
          <t>Non-carbonate</t>
        </is>
      </c>
      <c r="E178" s="19" t="inlineStr">
        <is>
          <t>non-carbonate</t>
        </is>
      </c>
      <c r="F178" s="19" t="inlineStr">
        <is>
          <t>non-karst</t>
        </is>
      </c>
      <c r="G178" s="19" t="inlineStr">
        <is>
          <t>Small pond in forested area, dry some years</t>
        </is>
      </c>
      <c r="H178" s="19" t="n">
        <v>43.39185</v>
      </c>
      <c r="I178" s="19" t="n">
        <v>-73.34463</v>
      </c>
    </row>
    <row r="179" ht="15" customHeight="1" s="13">
      <c r="A179" s="19" t="inlineStr">
        <is>
          <t>LiDAR-36-113-9</t>
        </is>
      </c>
      <c r="B179" s="19" t="n">
        <v>70.59999999999999</v>
      </c>
      <c r="C179" s="19" t="inlineStr">
        <is>
          <t>Warren County</t>
        </is>
      </c>
      <c r="D179" s="19" t="inlineStr">
        <is>
          <t>CalciticDolomiticMarble</t>
        </is>
      </c>
      <c r="E179" s="19" t="inlineStr">
        <is>
          <t>karst-prone (carbonate)</t>
        </is>
      </c>
      <c r="F179" s="19" t="inlineStr">
        <is>
          <t>natural?</t>
        </is>
      </c>
      <c r="G179" s="19" t="inlineStr">
        <is>
          <t>Wooded wetland</t>
        </is>
      </c>
      <c r="H179" s="19" t="n">
        <v>43.52926</v>
      </c>
      <c r="I179" s="19" t="n">
        <v>-73.84865000000001</v>
      </c>
    </row>
    <row r="180" ht="15" customHeight="1" s="13">
      <c r="A180" s="19" t="inlineStr">
        <is>
          <t>LiDAR-36-027-16</t>
        </is>
      </c>
      <c r="B180" s="19" t="n">
        <v>70.7</v>
      </c>
      <c r="C180" s="19" t="inlineStr">
        <is>
          <t>Dutchess County</t>
        </is>
      </c>
      <c r="D180" s="19" t="inlineStr">
        <is>
          <t>CalciticDolomiticMarble</t>
        </is>
      </c>
      <c r="E180" s="19" t="inlineStr">
        <is>
          <t>karst-prone (carbonate)</t>
        </is>
      </c>
      <c r="F180" s="19" t="inlineStr">
        <is>
          <t>natural?</t>
        </is>
      </c>
      <c r="G180" s="19" t="inlineStr">
        <is>
          <t>Wooded wetland, wet/ponded some years.</t>
        </is>
      </c>
      <c r="H180" s="19" t="n">
        <v>41.5487</v>
      </c>
      <c r="I180" s="19" t="n">
        <v>-73.59993</v>
      </c>
    </row>
    <row r="181" ht="15" customHeight="1" s="13">
      <c r="A181" s="19" t="inlineStr">
        <is>
          <t>LiDAR-36-065-8</t>
        </is>
      </c>
      <c r="B181" s="19" t="n">
        <v>71.8</v>
      </c>
      <c r="C181" s="19" t="inlineStr">
        <is>
          <t>Oneida County</t>
        </is>
      </c>
      <c r="D181" s="19" t="inlineStr">
        <is>
          <t>Onondaga</t>
        </is>
      </c>
      <c r="E181" s="19" t="inlineStr">
        <is>
          <t>karst-prone (carbonate)</t>
        </is>
      </c>
      <c r="F181" s="19" t="inlineStr">
        <is>
          <t>natural?</t>
        </is>
      </c>
      <c r="G181" s="19" t="inlineStr">
        <is>
          <t>In agricultural land, no crop stress or standing liquid observed</t>
        </is>
      </c>
      <c r="H181" s="19" t="n">
        <v>42.98561</v>
      </c>
      <c r="I181" s="19" t="n">
        <v>-75.30802</v>
      </c>
    </row>
    <row r="182" ht="15" customHeight="1" s="13">
      <c r="A182" s="19" t="inlineStr">
        <is>
          <t>LiDAR-36-113-8</t>
        </is>
      </c>
      <c r="B182" s="19" t="n">
        <v>71.8</v>
      </c>
      <c r="C182" s="19" t="inlineStr">
        <is>
          <t>Warren County</t>
        </is>
      </c>
      <c r="D182" s="19" t="inlineStr">
        <is>
          <t>CalciticDolomiticMarble</t>
        </is>
      </c>
      <c r="E182" s="19" t="inlineStr">
        <is>
          <t>karst-prone (carbonate)</t>
        </is>
      </c>
      <c r="F182" s="19" t="inlineStr">
        <is>
          <t>natural?</t>
        </is>
      </c>
      <c r="G182" s="19" t="inlineStr">
        <is>
          <t>Forested area</t>
        </is>
      </c>
      <c r="H182" s="19" t="n">
        <v>43.54219</v>
      </c>
      <c r="I182" s="19" t="n">
        <v>-73.81553</v>
      </c>
    </row>
    <row r="183" ht="23.25" customHeight="1" s="13">
      <c r="A183" s="19" t="inlineStr">
        <is>
          <t>LiDAR-36-065-7</t>
        </is>
      </c>
      <c r="B183" s="19" t="n">
        <v>72.09999999999999</v>
      </c>
      <c r="C183" s="19" t="inlineStr">
        <is>
          <t>Oneida County</t>
        </is>
      </c>
      <c r="D183" s="19" t="inlineStr">
        <is>
          <t>Onondaga</t>
        </is>
      </c>
      <c r="E183" s="19" t="inlineStr">
        <is>
          <t>karst-prone (carbonate)</t>
        </is>
      </c>
      <c r="F183" s="19" t="inlineStr">
        <is>
          <t>natural?</t>
        </is>
      </c>
      <c r="G183" s="19" t="inlineStr">
        <is>
          <t>Extent includes forested, wetland, and agricultural land, possible wet soil observed some years</t>
        </is>
      </c>
      <c r="H183" s="19" t="n">
        <v>42.98796</v>
      </c>
      <c r="I183" s="19" t="n">
        <v>-75.31298</v>
      </c>
    </row>
    <row r="184" ht="15" customHeight="1" s="13">
      <c r="A184" s="19" t="inlineStr">
        <is>
          <t>LiDAR-36-071-1</t>
        </is>
      </c>
      <c r="B184" s="19" t="n">
        <v>72.40000000000001</v>
      </c>
      <c r="C184" s="19" t="inlineStr">
        <is>
          <t>Orange County</t>
        </is>
      </c>
      <c r="D184" s="19" t="inlineStr">
        <is>
          <t>Non-carbonate</t>
        </is>
      </c>
      <c r="E184" s="19" t="inlineStr">
        <is>
          <t>non-carbonate</t>
        </is>
      </c>
      <c r="F184" s="19" t="inlineStr">
        <is>
          <t>anthropogenic</t>
        </is>
      </c>
      <c r="G184" s="19" t="inlineStr">
        <is>
          <t>Former sand/gravel pit</t>
        </is>
      </c>
      <c r="H184" s="19" t="n">
        <v>41.49425</v>
      </c>
      <c r="I184" s="19" t="n">
        <v>-74.34695000000001</v>
      </c>
    </row>
    <row r="185" ht="15" customHeight="1" s="13">
      <c r="A185" s="19" t="inlineStr">
        <is>
          <t>LiDAR-36-113-7</t>
        </is>
      </c>
      <c r="B185" s="19" t="n">
        <v>72.40000000000001</v>
      </c>
      <c r="C185" s="19" t="inlineStr">
        <is>
          <t>Warren County</t>
        </is>
      </c>
      <c r="D185" s="19" t="inlineStr">
        <is>
          <t>CalciticDolomiticMarble</t>
        </is>
      </c>
      <c r="E185" s="19" t="inlineStr">
        <is>
          <t>karst-prone (carbonate)</t>
        </is>
      </c>
      <c r="F185" s="19" t="inlineStr">
        <is>
          <t>anthropogenic</t>
        </is>
      </c>
      <c r="G185" s="19" t="inlineStr">
        <is>
          <t>Forested area, possible former sand/gravel pit</t>
        </is>
      </c>
      <c r="H185" s="19" t="n">
        <v>43.55227</v>
      </c>
      <c r="I185" s="19" t="n">
        <v>-73.82971000000001</v>
      </c>
    </row>
    <row r="186" ht="15" customHeight="1" s="13">
      <c r="A186" s="19" t="inlineStr">
        <is>
          <t>LiDAR-36-113-6</t>
        </is>
      </c>
      <c r="B186" s="19" t="n">
        <v>72.59999999999999</v>
      </c>
      <c r="C186" s="19" t="inlineStr">
        <is>
          <t>Warren County</t>
        </is>
      </c>
      <c r="D186" s="19" t="inlineStr">
        <is>
          <t>CalciticDolomiticMarble</t>
        </is>
      </c>
      <c r="E186" s="19" t="inlineStr">
        <is>
          <t>karst-prone (carbonate)</t>
        </is>
      </c>
      <c r="F186" s="19" t="inlineStr">
        <is>
          <t>natural?</t>
        </is>
      </c>
      <c r="G186" s="19" t="inlineStr">
        <is>
          <t>Forested area</t>
        </is>
      </c>
      <c r="H186" s="19" t="n">
        <v>43.56371</v>
      </c>
      <c r="I186" s="19" t="n">
        <v>-73.93001</v>
      </c>
    </row>
    <row r="187" ht="23.25" customHeight="1" s="13">
      <c r="A187" s="19" t="inlineStr">
        <is>
          <t>LiDAR-36-115-2</t>
        </is>
      </c>
      <c r="B187" s="19" t="n">
        <v>73.40000000000001</v>
      </c>
      <c r="C187" s="19" t="inlineStr">
        <is>
          <t>Washington County</t>
        </is>
      </c>
      <c r="D187" s="19" t="inlineStr">
        <is>
          <t>CalciticDolomiticMarble</t>
        </is>
      </c>
      <c r="E187" s="19" t="inlineStr">
        <is>
          <t>karst-prone (carbonate)</t>
        </is>
      </c>
      <c r="F187" s="19" t="inlineStr">
        <is>
          <t>natural?</t>
        </is>
      </c>
      <c r="G187" s="19" t="inlineStr">
        <is>
          <t>Partially forested area</t>
        </is>
      </c>
      <c r="H187" s="19" t="n">
        <v>43.50195</v>
      </c>
      <c r="I187" s="19" t="n">
        <v>-73.50049</v>
      </c>
    </row>
    <row r="188" ht="15" customHeight="1" s="13">
      <c r="A188" s="19" t="inlineStr">
        <is>
          <t>LiDAR-36-065-10</t>
        </is>
      </c>
      <c r="B188" s="19" t="n">
        <v>74.40000000000001</v>
      </c>
      <c r="C188" s="19" t="inlineStr">
        <is>
          <t>Oneida County</t>
        </is>
      </c>
      <c r="D188" s="19" t="inlineStr">
        <is>
          <t>Onondaga</t>
        </is>
      </c>
      <c r="E188" s="19" t="inlineStr">
        <is>
          <t>karst-prone (carbonate)</t>
        </is>
      </c>
      <c r="F188" s="19" t="inlineStr">
        <is>
          <t>natural?</t>
        </is>
      </c>
      <c r="G188" s="19" t="inlineStr">
        <is>
          <t>In agricultural land, no crop stress or standing liquid observed</t>
        </is>
      </c>
      <c r="H188" s="19" t="n">
        <v>42.9555</v>
      </c>
      <c r="I188" s="19" t="n">
        <v>-75.38498</v>
      </c>
    </row>
    <row r="189" ht="23.25" customHeight="1" s="13">
      <c r="A189" s="19" t="inlineStr">
        <is>
          <t>LiDAR-36-115-3</t>
        </is>
      </c>
      <c r="B189" s="19" t="n">
        <v>74.59999999999999</v>
      </c>
      <c r="C189" s="19" t="inlineStr">
        <is>
          <t>Washington County</t>
        </is>
      </c>
      <c r="D189" s="19" t="inlineStr">
        <is>
          <t>Non-carbonate</t>
        </is>
      </c>
      <c r="E189" s="19" t="inlineStr">
        <is>
          <t>non-carbonate</t>
        </is>
      </c>
      <c r="F189" s="19" t="inlineStr">
        <is>
          <t>anthropogenic</t>
        </is>
      </c>
      <c r="G189" s="19" t="inlineStr">
        <is>
          <t>Gravel pit</t>
        </is>
      </c>
      <c r="H189" s="19" t="n">
        <v>43.45075</v>
      </c>
      <c r="I189" s="19" t="n">
        <v>-73.3058</v>
      </c>
    </row>
    <row r="190" ht="15" customHeight="1" s="13">
      <c r="A190" s="19" t="inlineStr">
        <is>
          <t>LiDAR-36-071-4</t>
        </is>
      </c>
      <c r="B190" s="19" t="n">
        <v>74.90000000000001</v>
      </c>
      <c r="C190" s="19" t="inlineStr">
        <is>
          <t>Orange County</t>
        </is>
      </c>
      <c r="D190" s="19" t="inlineStr">
        <is>
          <t>Non-carbonate</t>
        </is>
      </c>
      <c r="E190" s="19" t="inlineStr">
        <is>
          <t>non-carbonate</t>
        </is>
      </c>
      <c r="F190" s="19" t="inlineStr">
        <is>
          <t>anthropogenic</t>
        </is>
      </c>
      <c r="G190" s="19" t="inlineStr">
        <is>
          <t>Former sand/gravel pit</t>
        </is>
      </c>
      <c r="H190" s="19" t="n">
        <v>41.4552</v>
      </c>
      <c r="I190" s="19" t="n">
        <v>-74.33483</v>
      </c>
    </row>
    <row r="191" ht="23.25" customHeight="1" s="13">
      <c r="A191" s="19" t="inlineStr">
        <is>
          <t>LiDAR-36-071-6</t>
        </is>
      </c>
      <c r="B191" s="19" t="n">
        <v>74.90000000000001</v>
      </c>
      <c r="C191" s="19" t="inlineStr">
        <is>
          <t>Orange County</t>
        </is>
      </c>
      <c r="D191" s="19" t="inlineStr">
        <is>
          <t>Non-carbonate</t>
        </is>
      </c>
      <c r="E191" s="19" t="inlineStr">
        <is>
          <t>non-carbonate</t>
        </is>
      </c>
      <c r="F191" s="19" t="inlineStr">
        <is>
          <t>non-karst</t>
        </is>
      </c>
      <c r="G191" s="19" t="inlineStr">
        <is>
          <t>Wetland within agricultural area, wet/ponded all years, drainage from area partially impeded by RR bed.</t>
        </is>
      </c>
      <c r="H191" s="19" t="n">
        <v>41.44727</v>
      </c>
      <c r="I191" s="19" t="n">
        <v>-74.27834</v>
      </c>
    </row>
    <row r="192" ht="15" customHeight="1" s="13">
      <c r="A192" s="19" t="inlineStr">
        <is>
          <t>LiDAR-36-071-5</t>
        </is>
      </c>
      <c r="B192" s="19" t="n">
        <v>75</v>
      </c>
      <c r="C192" s="19" t="inlineStr">
        <is>
          <t>Orange County</t>
        </is>
      </c>
      <c r="D192" s="19" t="inlineStr">
        <is>
          <t>Non-carbonate</t>
        </is>
      </c>
      <c r="E192" s="19" t="inlineStr">
        <is>
          <t>non-carbonate</t>
        </is>
      </c>
      <c r="F192" s="19" t="inlineStr">
        <is>
          <t>anthropogenic</t>
        </is>
      </c>
      <c r="G192" s="19" t="inlineStr">
        <is>
          <t>Probable former sand/gravel pit</t>
        </is>
      </c>
      <c r="H192" s="19" t="n">
        <v>41.4531</v>
      </c>
      <c r="I192" s="19" t="n">
        <v>-74.33789</v>
      </c>
    </row>
    <row r="194" ht="15" customHeight="1" s="13">
      <c r="A194" s="20" t="inlineStr">
        <is>
          <t>Source: USGS Reddy, Kappel &amp; Root 2020, LiDAR Closed-Depression Database (data release for SIR 2020-5030), doi:10.5066/P9HGN5IJ. Filtered to 191 depressions within 75 mi of Westerlo out of 514 statewide in the file. Centroids computed from polygon vertices.</t>
        </is>
      </c>
    </row>
    <row r="195" ht="15" customHeight="1" s="13">
      <c r="A195" s="23" t="inlineStr">
        <is>
          <t>READING THIS: A 'closed depression' is ANY hollow with no surface outlet - NOT proof of a sinkhole. 'Karst class' = the bedrock unit (Onondaga, Akron, Beekmantown etc. are carbonate/soluble; 'Non-carbonate' is insoluble). 'Likely origin' flags obvious human features (quarries, gravel pits, detention basins, roadbeds) from the USGS description. The best sinkhole candidates are: karst-prone bedrock + natural origin. Of 191 in-footprint depressions: 66 on karst bedrock, of which ~45 look natural and ~21 are quarries/pits on carbonate.</t>
        </is>
      </c>
    </row>
    <row r="196" ht="15" customHeight="1" s="13">
      <c r="A196" s="20" t="inlineStr">
        <is>
          <t>CLOSEST natural karst-prone depressions to Westerlo: 3 Onondaga-limestone depressions in Albany County at 8.1, 10.0 and 11.6 mi (the nearest is in agricultural land where surface drainage terminates - a classic swallow-hole signature). Next natural cluster is 33+ mi out in Ulster/Columbia/Herkimer. NOTE: this statewide file is thresholded coarsely; county-scale LiDAR (10-30 cm depth) would show far more small sinks near Westerlo, incl. any on your own parcel.</t>
        </is>
      </c>
    </row>
  </sheetData>
  <autoFilter ref="A1:I192"/>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2026-09-21T01:00:06Z</dcterms:created>
  <dcterms:modified xmlns:dcterms="http://purl.org/dc/terms/" xmlns:xsi="http://www.w3.org/2001/XMLSchema-instance" xsi:type="dcterms:W3CDTF">2026-09-29T02:33:45Z</dcterms:modified>
  <cp:revision>0</cp:revision>
</cp:coreProperties>
</file>