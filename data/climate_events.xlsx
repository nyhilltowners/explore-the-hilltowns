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Hudson Freeze Dates" sheetId="6" state="visible" r:id="rId8"/>
    <sheet name="CRREL Ice Jams (regional)" sheetId="7" state="visible" r:id="rId9"/>
  </sheets>
  <definedNames>
    <definedName function="false" hidden="true" localSheetId="6" name="_xlnm._FilterDatabase" vbProcedure="false">'CRREL Ice Jams (regional)'!$A$1:$F$523</definedName>
    <definedName function="false" hidden="true" localSheetId="1" name="_xlnm._FilterDatabase" vbProcedure="false">Events!$A$1:$V$255</definedName>
    <definedName function="false" hidden="true" localSheetId="5" name="_xlnm._FilterDatabase" vbProcedure="false">'Hudson Freeze Dates'!$A$1:$E$44</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<sst xmlns="http://schemas.openxmlformats.org/spreadsheetml/2006/main" count="7362" uniqueCount="3129">
  <si>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</si>
  <si>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</si>
  <si>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</si>
  <si>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</si>
  <si>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</si>
  <si>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</si>
  <si>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</si>
  <si>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</si>
  <si>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</si>
  <si>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</si>
  <si>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</si>
  <si>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</si>
  <si>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</si>
  <si>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</si>
  <si>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</si>
  <si>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</si>
  <si>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</si>
  <si>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</si>
  <si>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</si>
  <si>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</si>
  <si>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</si>
  <si>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</si>
  <si>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</si>
  <si>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</si>
  <si>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</si>
  <si>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</si>
  <si>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</si>
  <si>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</si>
  <si>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</si>
  <si>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</si>
  <si>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</si>
  <si>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</si>
  <si>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</si>
  <si>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</si>
  <si>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</si>
  <si>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</si>
  <si>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</si>
  <si>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</si>
  <si>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</si>
  <si>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</si>
  <si>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</si>
  <si>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</si>
  <si>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</si>
  <si>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</si>
  <si>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</si>
  <si>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</si>
  <si>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</si>
  <si>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</si>
  <si>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</si>
  <si>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</si>
  <si>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</si>
  <si>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</si>
  <si>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</si>
  <si>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</si>
  <si>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</si>
  <si>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</si>
  <si>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</si>
  <si>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</si>
  <si>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</si>
  <si>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</si>
  <si>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</si>
  <si>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</si>
  <si>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</si>
  <si>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</si>
  <si>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</si>
  <si>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</si>
  <si>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</si>
  <si>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</si>
  <si>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</si>
  <si>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</si>
  <si>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</si>
  <si>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</si>
  <si>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</si>
  <si>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</si>
  <si>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</si>
  <si>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</si>
  <si>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</si>
  <si>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</si>
  <si>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</si>
  <si>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</si>
  <si>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</si>
  <si>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</si>
  <si>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</si>
  <si>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</si>
  <si>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</si>
  <si>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</si>
  <si>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</si>
  <si>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</si>
  <si>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</si>
  <si>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</si>
  <si>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</si>
  <si>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</si>
  <si>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</si>
  <si>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</si>
  <si>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</si>
  <si>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</si>
  <si>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</si>
  <si>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</si>
  <si>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</si>
  <si>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</si>
  <si>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</si>
  <si>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</si>
  <si>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</si>
  <si>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</si>
  <si>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</si>
  <si>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</si>
  <si>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</si>
  <si>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</si>
  <si>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</si>
  <si>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</si>
  <si>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</si>
  <si>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</si>
  <si>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</si>
  <si>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</si>
  <si>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</si>
  <si>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</si>
  <si>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</si>
  <si>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</si>
  <si>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</si>
  <si>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</si>
  <si>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</si>
  <si>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</si>
  <si>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</si>
  <si>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</si>
  <si>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</si>
  <si>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</si>
  <si>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</si>
  <si>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</si>
  <si>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</si>
  <si>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</si>
  <si>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</si>
  <si>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</si>
  <si>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</si>
  <si>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</si>
  <si>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</si>
  <si>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</si>
  <si>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</si>
  <si>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</si>
  <si>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</si>
  <si>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</si>
  <si>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</si>
  <si>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</si>
  <si>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</si>
  <si>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</si>
  <si>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</si>
  <si>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</si>
  <si>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</si>
  <si>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</si>
  <si>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</si>
  <si>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</si>
  <si>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</si>
  <si>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</si>
  <si>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</si>
  <si>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</si>
  <si>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</si>
  <si>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</si>
  <si>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</si>
  <si>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</si>
  <si>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</si>
  <si>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</si>
  <si>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</si>
  <si>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</si>
  <si>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</si>
  <si>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</si>
  <si>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</si>
  <si>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</si>
  <si>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</si>
  <si>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</si>
  <si>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</si>
  <si>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</si>
  <si>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</si>
  <si>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</si>
  <si>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</si>
  <si>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</si>
  <si>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</si>
  <si>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</si>
  <si>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</si>
  <si>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</si>
  <si>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</si>
  <si>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</si>
  <si>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</si>
  <si>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</si>
  <si>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</si>
  <si>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</si>
  <si>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</si>
  <si>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</si>
  <si>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</si>
  <si>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</si>
  <si>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</si>
  <si>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</si>
  <si>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</si>
  <si>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</si>
  <si>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</si>
  <si>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</si>
  <si>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</si>
  <si>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</si>
  <si>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</si>
  <si>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</si>
  <si>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</si>
  <si>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</si>
  <si>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</si>
  <si>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</si>
  <si>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</si>
  <si>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</si>
  <si>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</si>
  <si>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</si>
  <si>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</si>
  <si>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</si>
  <si>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</si>
  <si>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</si>
  <si>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</si>
  <si>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</si>
  <si>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</si>
  <si>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</si>
  <si>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</si>
  <si>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</si>
  <si>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</si>
  <si>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</si>
  <si>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</si>
  <si>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</si>
  <si>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</si>
  <si>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</si>
  <si>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</si>
  <si>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</si>
  <si>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</si>
  <si>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</si>
  <si>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</si>
  <si>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</si>
  <si>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</si>
  <si>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</si>
  <si>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</si>
  <si>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</si>
  <si>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</si>
  <si>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</si>
  <si>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</si>
  <si>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</si>
  <si>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</si>
  <si>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</si>
  <si>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</si>
  <si>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</si>
  <si>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</si>
  <si>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</si>
  <si>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</si>
  <si>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</si>
  <si>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</si>
  <si>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</si>
  <si>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</si>
  <si>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</si>
  <si>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</si>
  <si>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</si>
  <si>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</si>
  <si>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</si>
  <si>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</si>
  <si>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</si>
  <si>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</si>
  <si>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</si>
  <si>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</si>
  <si>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</si>
  <si>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</si>
  <si>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</si>
  <si>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</si>
  <si>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</si>
  <si>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</si>
  <si>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</si>
  <si>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</si>
  <si>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</si>
  <si>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</si>
  <si>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</si>
  <si>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</si>
  <si>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</si>
  <si>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</si>
  <si>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</si>
  <si>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</si>
  <si>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</si>
  <si>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</si>
  <si>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</si>
  <si>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</si>
  <si>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</si>
  <si>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</si>
  <si>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</si>
  <si>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</si>
  <si>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</si>
  <si>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</si>
  <si>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</si>
  <si>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</si>
  <si>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</si>
  <si>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</si>
  <si>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</si>
  <si>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</si>
  <si>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</si>
  <si>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</si>
  <si>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</si>
  <si>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</si>
  <si>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</si>
  <si>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</si>
  <si>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</si>
  <si>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</si>
  <si>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</si>
  <si>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</si>
  <si>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</si>
  <si>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</si>
  <si>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</si>
  <si>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</si>
  <si>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</si>
  <si>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</si>
  <si>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</si>
  <si>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</si>
  <si>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</si>
  <si>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</si>
  <si>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</si>
  <si>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</si>
  <si>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</si>
  <si>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</si>
  <si>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</si>
  <si>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</si>
  <si>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</si>
  <si>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</si>
  <si>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</si>
  <si>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</si>
  <si>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</si>
  <si>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</si>
  <si>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</si>
  <si>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</si>
  <si>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</si>
  <si>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</si>
  <si>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</si>
  <si>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</si>
  <si>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</si>
  <si>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</si>
  <si>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</si>
  <si>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</si>
  <si>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</si>
  <si>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</si>
  <si>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</si>
  <si>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</si>
  <si>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</si>
  <si>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</si>
  <si>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</si>
  <si>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</si>
  <si>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</si>
  <si>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</si>
  <si>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</si>
  <si>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</si>
  <si>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</si>
  <si>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</si>
  <si>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</si>
  <si>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</si>
  <si>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</si>
  <si>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</si>
  <si>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</si>
  <si>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</si>
  <si>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</si>
  <si>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</si>
  <si>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</si>
  <si>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</si>
  <si>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</si>
  <si>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</si>
  <si>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</si>
  <si>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</si>
  <si>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</si>
  <si>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</si>
  <si>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</si>
  <si>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</si>
  <si>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</si>
  <si>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</si>
  <si>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</si>
  <si>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</si>
  <si>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</si>
  <si>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</si>
  <si>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</si>
  <si>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</si>
  <si>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</si>
  <si>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</si>
  <si>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</si>
  <si>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</si>
  <si>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</si>
  <si>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</si>
  <si>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</si>
  <si>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</si>
  <si>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</si>
  <si>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</si>
  <si>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</si>
  <si>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</si>
  <si>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</si>
  <si>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</si>
  <si>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</si>
  <si>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</si>
  <si>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</si>
  <si>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</si>
  <si>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</si>
  <si>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</si>
  <si>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</si>
  <si>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</si>
  <si>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</si>
  <si>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</si>
  <si>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</si>
  <si>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</si>
  <si>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</si>
  <si>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</si>
  <si>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</si>
  <si>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</si>
  <si>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</si>
  <si>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</si>
  <si>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</si>
  <si>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</si>
  <si>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</si>
  <si>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</si>
  <si>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</si>
  <si>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</si>
  <si>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</si>
  <si>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</si>
  <si>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</si>
  <si>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</si>
  <si>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</si>
  <si>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</si>
  <si>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</si>
  <si>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</si>
  <si>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</si>
  <si>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</si>
  <si>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</si>
  <si>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</si>
  <si>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</si>
  <si>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</si>
  <si>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</si>
  <si>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</si>
  <si>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</si>
  <si>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</si>
  <si>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</si>
  <si>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</si>
  <si>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</si>
  <si>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</si>
  <si>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</si>
  <si>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</si>
  <si>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</si>
  <si>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</si>
  <si>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</si>
  <si>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</si>
  <si>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</si>
  <si>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</si>
  <si>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</si>
  <si>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</si>
  <si>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</si>
  <si>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</si>
  <si>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</si>
  <si>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</si>
  <si>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</si>
  <si>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</si>
  <si>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</si>
  <si>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</si>
  <si>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</si>
  <si>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</si>
  <si>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</si>
  <si>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</si>
  <si>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</si>
  <si>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</si>
  <si>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</si>
  <si>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</si>
  <si>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</si>
  <si>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</si>
  <si>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</si>
  <si>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</si>
  <si>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</si>
  <si>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</si>
  <si>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</si>
  <si>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</si>
  <si>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</si>
  <si>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</si>
  <si>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</si>
  <si>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</si>
  <si>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</si>
  <si>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</si>
  <si>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</si>
  <si>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</si>
  <si>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</si>
  <si>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</si>
  <si>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</si>
  <si>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</si>
  <si>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</si>
  <si>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</si>
  <si>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</si>
  <si>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</si>
  <si>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</si>
  <si>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</si>
  <si>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</si>
  <si>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</si>
  <si>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</si>
  <si>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</si>
  <si>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</si>
  <si>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</si>
  <si>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</si>
  <si>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</si>
  <si>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</si>
  <si>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</si>
  <si>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</si>
  <si>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</si>
  <si>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</si>
  <si>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</si>
  <si>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</si>
  <si>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</si>
  <si>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</si>
  <si>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</si>
  <si>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</si>
  <si>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</si>
  <si>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</si>
  <si>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</si>
  <si>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</si>
  <si>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</si>
  <si>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</si>
  <si>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</si>
  <si>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</si>
  <si>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</si>
  <si>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</si>
  <si>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</si>
  <si>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</si>
  <si>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</si>
  <si>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</si>
  <si>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</si>
  <si>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</si>
  <si>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</si>
  <si>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</si>
  <si>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</si>
  <si>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</si>
  <si>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</si>
  <si>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</si>
  <si>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</si>
  <si>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</si>
  <si>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</si>
  <si>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</si>
  <si>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</si>
  <si>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</si>
  <si>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</si>
  <si>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</si>
  <si>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</si>
  <si>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</si>
  <si>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</si>
  <si>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</si>
  <si>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</si>
  <si>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</si>
  <si>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</si>
  <si>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</si>
  <si>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</si>
  <si>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</si>
  <si>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</si>
  <si>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</si>
  <si>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</si>
  <si>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</si>
  <si>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</si>
  <si>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</si>
  <si>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</si>
  <si>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</si>
  <si>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</si>
  <si>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</si>
  <si>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</si>
  <si>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</si>
  <si>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</si>
  <si>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</si>
  <si>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</si>
  <si>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</si>
  <si>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</si>
  <si>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</si>
  <si>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</si>
  <si>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</si>
  <si>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</si>
  <si>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</si>
  <si>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</si>
  <si>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</si>
  <si>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</si>
  <si>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</si>
  <si>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</si>
  <si>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</si>
  <si>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</si>
  <si>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</si>
  <si>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</si>
  <si>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</si>
  <si>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</si>
  <si>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</si>
  <si>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</si>
  <si>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</si>
  <si>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</si>
  <si>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</si>
  <si>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</si>
  <si>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</si>
  <si>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</si>
  <si>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</si>
  <si>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</si>
  <si>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</si>
  <si>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</si>
  <si>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</si>
  <si>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</si>
  <si>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</si>
  <si>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</si>
  <si>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</si>
  <si>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</si>
  <si>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</si>
  <si>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</si>
  <si>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</si>
  <si>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</si>
  <si>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</si>
  <si>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</si>
  <si>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</si>
  <si>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</si>
  <si>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</si>
  <si>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</si>
  <si>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</si>
  <si>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</si>
  <si>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</si>
  <si>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</si>
  <si>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</si>
  <si>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</si>
  <si>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</si>
  <si>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</si>
  <si>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</si>
  <si>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</si>
  <si>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</si>
  <si>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</si>
  <si>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</si>
  <si>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</si>
  <si>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</si>
  <si>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</si>
  <si>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</si>
  <si>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</si>
  <si>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</si>
  <si>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</si>
  <si>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</si>
  <si>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</si>
  <si>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</si>
  <si>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</si>
  <si>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t>
  </si>
  <si>
    <t xml:space="preserve">https://www.weather.gov/aly/pastevents</t>
  </si>
  <si>
    <t xml:space="preserve">Still the Albany record.</t>
  </si>
  <si>
    <t xml:space="preserve">1857-02-15</t>
  </si>
  <si>
    <t xml:space="preserve">NWS gives month only; ice-jam crest day to pull from Munsell's Annals of Albany</t>
  </si>
  <si>
    <t xml:space="preserve">1859-02-17</t>
  </si>
  <si>
    <t xml:space="preserve">Second Troy Mount Ida landslide</t>
  </si>
  <si>
    <t xml:space="preserve">Troy</t>
  </si>
  <si>
    <t xml:space="preserve">USGS notes &gt;50 lives lost to slides in the Lake Albany clays south of Troy/Albany over the 19th c.; this is the other major Troy slide.</t>
  </si>
  <si>
    <t xml:space="preserve">USGS PP 1183 (regional statement)</t>
  </si>
  <si>
    <t xml:space="preserve">https://pubs.usgs.gov/pp/p1183/pp1183.html</t>
  </si>
  <si>
    <t xml:space="preserve">Date and toll from memory – verify in Troy histories.</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</si>
  <si>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</si>
  <si>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</si>
  <si>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</si>
  <si>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</si>
  <si>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</si>
  <si>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</si>
  <si>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</si>
  <si>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</si>
  <si>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</si>
  <si>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</si>
  <si>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</si>
  <si>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</si>
  <si>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</si>
  <si>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</si>
  <si>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</si>
  <si>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</si>
  <si>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</si>
  <si>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</si>
  <si>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</si>
  <si>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</si>
  <si>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</si>
  <si>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</si>
  <si>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</si>
  <si>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</si>
  <si>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</si>
  <si>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</si>
  <si>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</si>
  <si>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</si>
  <si>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</si>
  <si>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</si>
  <si>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</si>
  <si>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</si>
  <si>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</si>
  <si>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</si>
  <si>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</si>
  <si>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</si>
  <si>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</si>
  <si>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</si>
  <si>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</si>
  <si>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</si>
  <si>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</si>
  <si>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</si>
  <si>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</si>
  <si>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</si>
  <si>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</si>
  <si>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</si>
  <si>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</si>
  <si>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</si>
  <si>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</si>
  <si>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</si>
  <si>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</si>
  <si>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Benchmark storm.</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</si>
  <si>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</si>
  <si>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</si>
  <si>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</si>
  <si>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</si>
  <si>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</si>
  <si>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</si>
  <si>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</si>
  <si>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</si>
  <si>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</si>
  <si>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</si>
  <si>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</si>
  <si>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</si>
  <si>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</si>
  <si>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</si>
  <si>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</si>
  <si>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</si>
  <si>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</si>
  <si>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</si>
  <si>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</si>
  <si>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</si>
  <si>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</si>
  <si>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</si>
  <si>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</si>
  <si>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</si>
  <si>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</si>
  <si>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</si>
  <si>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</si>
  <si>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</si>
  <si>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</si>
  <si>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</si>
  <si>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</si>
  <si>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</si>
  <si>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</si>
  <si>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</si>
  <si>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</si>
  <si>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</si>
  <si>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</si>
  <si>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</si>
  <si>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</si>
  <si>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</si>
  <si>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</si>
  <si>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</si>
  <si>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</si>
  <si>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</si>
  <si>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</si>
  <si>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</si>
  <si>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</si>
  <si>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</si>
  <si>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and lower Hudson tributaries; Passaic record still stands.</t>
  </si>
  <si>
    <t xml:space="preserve">1911-07-03</t>
  </si>
  <si>
    <t xml:space="preserve">1911-07-13</t>
  </si>
  <si>
    <t xml:space="preserve">July 1911 heat wave</t>
  </si>
  <si>
    <t xml:space="preserve">Albany all-time high 104°F (Jul 4, 1911)</t>
  </si>
  <si>
    <t xml:space="preserve">Hundreds dead across the Northeast.</t>
  </si>
  <si>
    <t xml:space="preserve">Verify 104°F/date against NWS ALY ALB_Extremes.pdf.</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</si>
  <si>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</si>
  <si>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</si>
  <si>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</si>
  <si>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</si>
  <si>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</si>
  <si>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</si>
  <si>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</si>
  <si>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</si>
  <si>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</si>
  <si>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</si>
  <si>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</si>
  <si>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</si>
  <si>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</si>
  <si>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</si>
  <si>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</si>
  <si>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</si>
  <si>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</si>
  <si>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</si>
  <si>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</si>
  <si>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</si>
  <si>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</si>
  <si>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</si>
  <si>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</si>
  <si>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</si>
  <si>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</si>
  <si>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</si>
  <si>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</si>
  <si>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</si>
  <si>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</si>
  <si>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</si>
  <si>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</si>
  <si>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</si>
  <si>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</si>
  <si>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</si>
  <si>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</si>
  <si>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</si>
  <si>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</si>
  <si>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</si>
  <si>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</si>
  <si>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</si>
  <si>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</si>
  <si>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</si>
  <si>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</si>
  <si>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</si>
  <si>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</si>
  <si>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</si>
  <si>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</si>
  <si>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</si>
  <si>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</si>
  <si>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</si>
  <si>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</si>
  <si>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</si>
  <si>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</si>
  <si>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</si>
  <si>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</si>
  <si>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</si>
  <si>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</si>
  <si>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</si>
  <si>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</si>
  <si>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</si>
  <si>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</si>
  <si>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</si>
  <si>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</si>
  <si>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</si>
  <si>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</si>
  <si>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</si>
  <si>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</si>
  <si>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</si>
  <si>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</si>
  <si>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</si>
  <si>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</si>
  <si>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</si>
  <si>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</si>
  <si>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</si>
  <si>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</si>
  <si>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</si>
  <si>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</si>
  <si>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</si>
  <si>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</si>
  <si>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</si>
  <si>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</si>
  <si>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</si>
  <si>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</si>
  <si>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</si>
  <si>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</si>
  <si>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</si>
  <si>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</si>
  <si>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</si>
  <si>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</si>
  <si>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</si>
  <si>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</si>
  <si>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</si>
  <si>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</si>
  <si>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</si>
  <si>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</si>
  <si>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</si>
  <si>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</si>
  <si>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</si>
  <si>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Record highs during Dust Bowl summer</t>
  </si>
  <si>
    <t xml:space="preserve">WIK</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</si>
  <si>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</si>
  <si>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</si>
  <si>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</si>
  <si>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</si>
  <si>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</si>
  <si>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</si>
  <si>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</si>
  <si>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</si>
  <si>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</si>
  <si>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</si>
  <si>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</si>
  <si>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</si>
  <si>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</si>
  <si>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</si>
  <si>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</si>
  <si>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</si>
  <si>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</si>
  <si>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</si>
  <si>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</si>
  <si>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</si>
  <si>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</si>
  <si>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</si>
  <si>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</si>
  <si>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</si>
  <si>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</si>
  <si>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</si>
  <si>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</si>
  <si>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</si>
  <si>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</si>
  <si>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</si>
  <si>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</si>
  <si>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</si>
  <si>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</si>
  <si>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</si>
  <si>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</si>
  <si>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</si>
  <si>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</si>
  <si>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</si>
  <si>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</si>
  <si>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</si>
  <si>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</si>
  <si>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</si>
  <si>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</si>
  <si>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</si>
  <si>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</si>
  <si>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</si>
  <si>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</si>
  <si>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</si>
  <si>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</si>
  <si>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</si>
  <si>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</si>
  <si>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</si>
  <si>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</si>
  <si>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</si>
  <si>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</si>
  <si>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</si>
  <si>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</si>
  <si>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</si>
  <si>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</si>
  <si>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</si>
  <si>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</si>
  <si>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</si>
  <si>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</si>
  <si>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</si>
  <si>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</si>
  <si>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</si>
  <si>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</si>
  <si>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</si>
  <si>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</si>
  <si>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</si>
  <si>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</si>
  <si>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</si>
  <si>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</si>
  <si>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</si>
  <si>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</si>
  <si>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</si>
  <si>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</si>
  <si>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</si>
  <si>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</si>
  <si>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</si>
  <si>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</si>
  <si>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</si>
  <si>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</si>
  <si>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</si>
  <si>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</si>
  <si>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</si>
  <si>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</si>
  <si>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</si>
  <si>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</si>
  <si>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</si>
  <si>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</si>
  <si>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</si>
  <si>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</si>
  <si>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</si>
  <si>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</si>
  <si>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</si>
  <si>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</si>
  <si>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</si>
  <si>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</si>
  <si>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</si>
  <si>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</si>
  <si>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</si>
  <si>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</si>
  <si>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</si>
  <si>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</si>
  <si>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</si>
  <si>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</si>
  <si>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</si>
  <si>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</si>
  <si>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</si>
  <si>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</si>
  <si>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</si>
  <si>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</si>
  <si>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</si>
  <si>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</si>
  <si>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</si>
  <si>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</si>
  <si>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</si>
  <si>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</si>
  <si>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</si>
  <si>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</si>
  <si>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</si>
  <si>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</si>
  <si>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</si>
  <si>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</si>
  <si>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</si>
  <si>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</si>
  <si>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</si>
  <si>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</si>
  <si>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</si>
  <si>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</si>
  <si>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</si>
  <si>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</si>
  <si>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</si>
  <si>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</si>
  <si>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</si>
  <si>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</si>
  <si>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</si>
  <si>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</si>
  <si>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</si>
  <si>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</si>
  <si>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</si>
  <si>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</si>
  <si>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</si>
  <si>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</si>
  <si>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</si>
  <si>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</si>
  <si>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</si>
  <si>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</si>
  <si>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</si>
  <si>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</si>
  <si>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</si>
  <si>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</si>
  <si>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</si>
  <si>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</si>
  <si>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</si>
  <si>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</si>
  <si>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</si>
  <si>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</si>
  <si>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</si>
  <si>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</si>
  <si>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</si>
  <si>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</si>
  <si>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</si>
  <si>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</si>
  <si>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</si>
  <si>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</si>
  <si>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</si>
  <si>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</si>
  <si>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</si>
  <si>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</si>
  <si>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</si>
  <si>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</si>
  <si>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</si>
  <si>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</si>
  <si>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</si>
  <si>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</si>
  <si>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</si>
  <si>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</si>
  <si>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</si>
  <si>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</si>
  <si>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</si>
  <si>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</si>
  <si>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</si>
  <si>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</si>
  <si>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</si>
  <si>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</si>
  <si>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</si>
  <si>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</si>
  <si>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</si>
  <si>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</si>
  <si>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</si>
  <si>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</si>
  <si>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</si>
  <si>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</si>
  <si>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</si>
  <si>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</si>
  <si>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</si>
  <si>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</si>
  <si>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</si>
  <si>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</si>
  <si>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Knox Cave entrance-sinkhole ice collapse</t>
  </si>
  <si>
    <t xml:space="preserve">Knox, Albany Co. (Helderberg karst)</t>
  </si>
  <si>
    <t xml:space="preserve">Ice mass fell; 1 killed, 1 paralyzed</t>
  </si>
  <si>
    <t xml:space="preserve">Spring runoff undercut ice encrusting the entrance sinkhole; led to formation of the Northeastern Cave Conservancy.</t>
  </si>
  <si>
    <t xml:space="preserve">Altamont Enterprise – Back Roads Geology</t>
  </si>
  <si>
    <t xml:space="preserve">https://altamontenterprise.com/opinion/columns/back-roads-geology/12062018/cave-preserves-protect-unseen-world-beneath-our-feet</t>
  </si>
  <si>
    <t xml:space="preserve">Sources differ March vs May 1975; day not given.</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</si>
  <si>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</si>
  <si>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</si>
  <si>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</si>
  <si>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</si>
  <si>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</si>
  <si>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</si>
  <si>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</si>
  <si>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</si>
  <si>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</si>
  <si>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</si>
  <si>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</si>
  <si>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</si>
  <si>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</si>
  <si>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</si>
  <si>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</si>
  <si>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</si>
  <si>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</si>
  <si>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</si>
  <si>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</si>
  <si>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</si>
  <si>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</si>
  <si>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</si>
  <si>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</si>
  <si>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</si>
  <si>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</si>
  <si>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</si>
  <si>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</si>
  <si>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</si>
  <si>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</si>
  <si>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</si>
  <si>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</si>
  <si>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</si>
  <si>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</si>
  <si>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</si>
  <si>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</si>
  <si>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</si>
  <si>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</si>
  <si>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</si>
  <si>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</si>
  <si>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</si>
  <si>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</si>
  <si>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</si>
  <si>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</si>
  <si>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</si>
  <si>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</si>
  <si>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</si>
  <si>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</si>
  <si>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</si>
  <si>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</si>
  <si>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</si>
  <si>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</si>
  <si>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</si>
  <si>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</si>
  <si>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</si>
  <si>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</si>
  <si>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</si>
  <si>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</si>
  <si>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</si>
  <si>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</si>
  <si>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</si>
  <si>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</si>
  <si>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</si>
  <si>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</si>
  <si>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</si>
  <si>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</si>
  <si>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</si>
  <si>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</si>
  <si>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</si>
  <si>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</si>
  <si>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</si>
  <si>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</si>
  <si>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</si>
  <si>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</si>
  <si>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</si>
  <si>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</si>
  <si>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</si>
  <si>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</si>
  <si>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</si>
  <si>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</si>
  <si>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</si>
  <si>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</si>
  <si>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</si>
  <si>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</si>
  <si>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</si>
  <si>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</si>
  <si>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</si>
  <si>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</si>
  <si>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</si>
  <si>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</si>
  <si>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</si>
  <si>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</si>
  <si>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</si>
  <si>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</si>
  <si>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</si>
  <si>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</si>
  <si>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</si>
  <si>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</si>
  <si>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</si>
  <si>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</si>
  <si>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</si>
  <si>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</si>
  <si>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</si>
  <si>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</si>
  <si>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</si>
  <si>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</si>
  <si>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</si>
  <si>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</si>
  <si>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</si>
  <si>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</si>
  <si>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</si>
  <si>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</si>
  <si>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</si>
  <si>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</si>
  <si>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</si>
  <si>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Failed hay crops.</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</si>
  <si>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</si>
  <si>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</si>
  <si>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</si>
  <si>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</si>
  <si>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</si>
  <si>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</si>
  <si>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</si>
  <si>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</si>
  <si>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</si>
  <si>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</si>
  <si>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</si>
  <si>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</si>
  <si>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</si>
  <si>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</si>
  <si>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</si>
  <si>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</si>
  <si>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</si>
  <si>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</si>
  <si>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</si>
  <si>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</si>
  <si>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</si>
  <si>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</si>
  <si>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</si>
  <si>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</si>
  <si>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</si>
  <si>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</si>
  <si>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</si>
  <si>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</si>
  <si>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</si>
  <si>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</si>
  <si>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</si>
  <si>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</si>
  <si>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</si>
  <si>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</si>
  <si>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</si>
  <si>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</si>
  <si>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</si>
  <si>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</si>
  <si>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</si>
  <si>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</si>
  <si>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</si>
  <si>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</si>
  <si>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</si>
  <si>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</si>
  <si>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</si>
  <si>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</si>
  <si>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</si>
  <si>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</si>
  <si>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</si>
  <si>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</si>
  <si>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</si>
  <si>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</si>
  <si>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</si>
  <si>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</si>
  <si>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</si>
  <si>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</si>
  <si>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</si>
  <si>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</si>
  <si>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</si>
  <si>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</si>
  <si>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</si>
  <si>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</si>
  <si>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</si>
  <si>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</si>
  <si>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</si>
  <si>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</si>
  <si>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</si>
  <si>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</si>
  <si>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</si>
  <si>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</si>
  <si>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</si>
  <si>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</si>
  <si>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</si>
  <si>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</si>
  <si>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</si>
  <si>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</si>
  <si>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</si>
  <si>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</si>
  <si>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</si>
  <si>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</si>
  <si>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</si>
  <si>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</si>
  <si>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</si>
  <si>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Ag disaster declarations.</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</si>
  <si>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</si>
  <si>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</si>
  <si>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</si>
  <si>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</si>
  <si>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</si>
  <si>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</si>
  <si>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</si>
  <si>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</si>
  <si>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</si>
  <si>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</si>
  <si>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</si>
  <si>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</si>
  <si>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</si>
  <si>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</si>
  <si>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</si>
  <si>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</si>
  <si>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</si>
  <si>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</si>
  <si>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</si>
  <si>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</si>
  <si>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</si>
  <si>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</si>
  <si>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</si>
  <si>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</si>
  <si>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</si>
  <si>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</si>
  <si>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</si>
  <si>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</si>
  <si>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</si>
  <si>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</si>
  <si>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</si>
  <si>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</si>
  <si>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</si>
  <si>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</si>
  <si>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</si>
  <si>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</si>
  <si>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</si>
  <si>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</si>
  <si>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</si>
  <si>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</si>
  <si>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</si>
  <si>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</si>
  <si>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</si>
  <si>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</si>
  <si>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</si>
  <si>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</si>
  <si>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</si>
  <si>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</si>
  <si>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</si>
  <si>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</si>
  <si>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</si>
  <si>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</si>
  <si>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</si>
  <si>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</si>
  <si>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</si>
  <si>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</si>
  <si>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</si>
  <si>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</si>
  <si>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</si>
  <si>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</si>
  <si>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</si>
  <si>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</si>
  <si>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</si>
  <si>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</si>
  <si>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</si>
  <si>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</si>
  <si>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</si>
  <si>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</si>
  <si>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</si>
  <si>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</si>
  <si>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</si>
  <si>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</si>
  <si>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</si>
  <si>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</si>
  <si>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</si>
  <si>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</si>
  <si>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</si>
  <si>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</si>
  <si>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</si>
  <si>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</si>
  <si>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</si>
  <si>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</si>
  <si>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</si>
  <si>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</si>
  <si>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</si>
  <si>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</si>
  <si>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</si>
  <si>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</si>
  <si>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</si>
  <si>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</si>
  <si>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</si>
  <si>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</si>
  <si>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</si>
  <si>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</si>
  <si>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</si>
  <si>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</si>
  <si>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</si>
  <si>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</si>
  <si>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</si>
  <si>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</si>
  <si>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</si>
  <si>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</si>
  <si>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</si>
  <si>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</si>
  <si>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</si>
  <si>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</si>
  <si>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</si>
  <si>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</si>
  <si>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</si>
  <si>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Pattern row: the Glacial Lake Albany silty clays fail repeatedly; individual dates to be pulled.</t>
  </si>
  <si>
    <t xml:space="preserve">The Catskill Geologist</t>
  </si>
  <si>
    <t xml:space="preserve">https://thecatskillgeologist.com/2023/08/17/a-landslide-in-schenectady-8-16-23/</t>
  </si>
  <si>
    <t xml:space="preserve">Pattern row, not an event – use for context, not the timeline.</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</si>
  <si>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</si>
  <si>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</si>
  <si>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</si>
  <si>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</si>
  <si>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</si>
  <si>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</si>
  <si>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</si>
  <si>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</si>
  <si>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</si>
  <si>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</si>
  <si>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</si>
  <si>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</si>
  <si>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</si>
  <si>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</si>
  <si>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</si>
  <si>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</si>
  <si>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</si>
  <si>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</si>
  <si>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</si>
  <si>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</si>
  <si>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</si>
  <si>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</si>
  <si>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</si>
  <si>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</si>
  <si>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</si>
  <si>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</si>
  <si>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</si>
  <si>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</si>
  <si>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</si>
  <si>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</si>
  <si>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</si>
  <si>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</si>
  <si>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</si>
  <si>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</si>
  <si>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</si>
  <si>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</si>
  <si>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</si>
  <si>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</si>
  <si>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</si>
  <si>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</si>
  <si>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</si>
  <si>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</si>
  <si>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</si>
  <si>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</si>
  <si>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t>
  </si>
  <si>
    <t xml:space="preserve">Defining modern flood.</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</si>
  <si>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</si>
  <si>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</si>
  <si>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</si>
  <si>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</si>
  <si>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</si>
  <si>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</si>
  <si>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</si>
  <si>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</si>
  <si>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</si>
  <si>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</si>
  <si>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</si>
  <si>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</si>
  <si>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</si>
  <si>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</si>
  <si>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</si>
  <si>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</si>
  <si>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</si>
  <si>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</si>
  <si>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</si>
  <si>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</si>
  <si>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</si>
  <si>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</si>
  <si>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</si>
  <si>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</si>
  <si>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</si>
  <si>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</si>
  <si>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</si>
  <si>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</si>
  <si>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</si>
  <si>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</si>
  <si>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</si>
  <si>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</si>
  <si>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</si>
  <si>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</si>
  <si>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</si>
  <si>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</si>
  <si>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</si>
  <si>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</si>
  <si>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</si>
  <si>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</si>
  <si>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</si>
  <si>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</si>
  <si>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</si>
  <si>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</si>
  <si>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</si>
  <si>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</si>
  <si>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</si>
  <si>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</si>
  <si>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</si>
  <si>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</si>
  <si>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</si>
  <si>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</si>
  <si>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</si>
  <si>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</si>
  <si>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</si>
  <si>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</si>
  <si>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</si>
  <si>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</si>
  <si>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</si>
  <si>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</si>
  <si>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</si>
  <si>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</si>
  <si>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</si>
  <si>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</si>
  <si>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</si>
  <si>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</si>
  <si>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</si>
  <si>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</si>
  <si>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</si>
  <si>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</si>
  <si>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</si>
  <si>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</si>
  <si>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</si>
  <si>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</si>
  <si>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</si>
  <si>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</si>
  <si>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</si>
  <si>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</si>
  <si>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</si>
  <si>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</si>
  <si>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</si>
  <si>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</si>
  <si>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</si>
  <si>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</si>
  <si>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</si>
  <si>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</si>
  <si>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</si>
  <si>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</si>
  <si>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</si>
  <si>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</si>
  <si>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</si>
  <si>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</si>
  <si>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</si>
  <si>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</si>
  <si>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</si>
  <si>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</si>
  <si>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</si>
  <si>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</si>
  <si>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</si>
  <si>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</si>
  <si>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</si>
  <si>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</si>
  <si>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</si>
  <si>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</si>
  <si>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</si>
  <si>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</si>
  <si>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</si>
  <si>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</si>
  <si>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</si>
  <si>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</si>
  <si>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</si>
  <si>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</si>
  <si>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</si>
  <si>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</si>
  <si>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</si>
  <si>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</si>
  <si>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</si>
  <si>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</si>
  <si>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</si>
  <si>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</si>
  <si>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</si>
  <si>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</si>
  <si>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</si>
  <si>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</si>
  <si>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</si>
  <si>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</si>
  <si>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</si>
  <si>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</si>
  <si>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</si>
  <si>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</si>
  <si>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</si>
  <si>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</si>
  <si>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</si>
  <si>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https://thecatskillgeologist.com/2018/02/</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</si>
  <si>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</si>
  <si>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</si>
  <si>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</si>
  <si>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</si>
  <si>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</si>
  <si>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</si>
  <si>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</si>
  <si>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</si>
  <si>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</si>
  <si>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</si>
  <si>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</si>
  <si>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</si>
  <si>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</si>
  <si>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</si>
  <si>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</si>
  <si>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</si>
  <si>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</si>
  <si>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</si>
  <si>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</si>
  <si>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</si>
  <si>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</si>
  <si>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</si>
  <si>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</si>
  <si>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</si>
  <si>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</si>
  <si>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</si>
  <si>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</si>
  <si>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</si>
  <si>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</si>
  <si>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</si>
  <si>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</si>
  <si>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</si>
  <si>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</si>
  <si>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</si>
  <si>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</si>
  <si>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</si>
  <si>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</si>
  <si>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</si>
  <si>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</si>
  <si>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</si>
  <si>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</si>
  <si>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</si>
  <si>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</si>
  <si>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</si>
  <si>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</si>
  <si>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</si>
  <si>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</si>
  <si>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</si>
  <si>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</si>
  <si>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</si>
  <si>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</si>
  <si>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</si>
  <si>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</si>
  <si>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</si>
  <si>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</si>
  <si>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</si>
  <si>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</si>
  <si>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</si>
  <si>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</si>
  <si>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</si>
  <si>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</si>
  <si>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</si>
  <si>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</si>
  <si>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</si>
  <si>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</si>
  <si>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</si>
  <si>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</si>
  <si>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</si>
  <si>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</si>
  <si>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</si>
  <si>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</si>
  <si>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</si>
  <si>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</si>
  <si>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</si>
  <si>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</si>
  <si>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</si>
  <si>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</si>
  <si>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</si>
  <si>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</si>
  <si>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</si>
  <si>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</si>
  <si>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</si>
  <si>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</si>
  <si>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</si>
  <si>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</si>
  <si>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</si>
  <si>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</si>
  <si>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</si>
  <si>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</si>
  <si>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</si>
  <si>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</si>
  <si>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</si>
  <si>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</si>
  <si>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</si>
  <si>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</si>
  <si>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</si>
  <si>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</si>
  <si>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</si>
  <si>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</si>
  <si>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</si>
  <si>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</si>
  <si>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</si>
  <si>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</si>
  <si>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2023-12-18</t>
  </si>
  <si>
    <t xml:space="preserve">December 18, 2023 heavy rain</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</si>
  <si>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</si>
  <si>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</si>
  <si>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</si>
  <si>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</si>
  <si>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</si>
  <si>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</si>
  <si>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</si>
  <si>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</si>
  <si>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</si>
  <si>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</si>
  <si>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</si>
  <si>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</si>
  <si>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</si>
  <si>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</si>
  <si>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</si>
  <si>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</si>
  <si>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</si>
  <si>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</si>
  <si>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</si>
  <si>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</si>
  <si>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</si>
  <si>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</si>
  <si>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</si>
  <si>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</si>
  <si>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</si>
  <si>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</si>
  <si>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</si>
  <si>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</si>
  <si>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</si>
  <si>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</si>
  <si>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</si>
  <si>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</si>
  <si>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</si>
  <si>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</si>
  <si>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</si>
  <si>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</si>
  <si>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</si>
  <si>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</si>
  <si>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</si>
  <si>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</si>
  <si>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</si>
  <si>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</si>
  <si>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</si>
  <si>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</si>
  <si>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</si>
  <si>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</si>
  <si>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</si>
  <si>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</si>
  <si>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</si>
  <si>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</si>
  <si>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</si>
  <si>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</si>
  <si>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</si>
  <si>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</si>
  <si>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</si>
  <si>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</si>
  <si>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</si>
  <si>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</si>
  <si>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</si>
  <si>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</si>
  <si>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</si>
  <si>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</si>
  <si>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</si>
  <si>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</si>
  <si>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</si>
  <si>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</si>
  <si>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</si>
  <si>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</si>
  <si>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</si>
  <si>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</si>
  <si>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</si>
  <si>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</si>
  <si>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</si>
  <si>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</si>
  <si>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</si>
  <si>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</si>
  <si>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</si>
  <si>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</si>
  <si>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</si>
  <si>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</si>
  <si>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</si>
  <si>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</si>
  <si>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</si>
  <si>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</si>
  <si>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</si>
  <si>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</si>
  <si>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</si>
  <si>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</si>
  <si>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</si>
  <si>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</si>
  <si>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</si>
  <si>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</si>
  <si>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</si>
  <si>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</si>
  <si>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</si>
  <si>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</si>
  <si>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</si>
  <si>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</si>
  <si>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</si>
  <si>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</si>
  <si>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</si>
  <si>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</si>
  <si>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</si>
  <si>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</si>
  <si>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</si>
  <si>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</si>
  <si>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</si>
  <si>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</si>
  <si>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</si>
  <si>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</si>
  <si>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</si>
  <si>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</si>
  <si>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</si>
  <si>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</si>
  <si>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</si>
  <si>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</si>
  <si>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</si>
  <si>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</si>
  <si>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</si>
  <si>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</si>
  <si>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</si>
  <si>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</si>
  <si>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</si>
  <si>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</si>
  <si>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</si>
  <si>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</si>
  <si>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</si>
  <si>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</si>
  <si>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</si>
  <si>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</si>
  <si>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</si>
  <si>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</si>
  <si>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</si>
  <si>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</si>
  <si>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</si>
  <si>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</si>
  <si>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</si>
  <si>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</si>
  <si>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</si>
  <si>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</si>
  <si>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</si>
  <si>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</si>
  <si>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</si>
  <si>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</si>
  <si>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</si>
  <si>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</si>
  <si>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</si>
  <si>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</si>
  <si>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</si>
  <si>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</si>
  <si>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</si>
  <si>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</si>
  <si>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</si>
  <si>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</si>
  <si>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</si>
  <si>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</si>
  <si>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</si>
  <si>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</si>
  <si>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W. Albany Co.</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</si>
  <si>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</si>
  <si>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</si>
  <si>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</si>
  <si>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</si>
  <si>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</si>
  <si>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</si>
  <si>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</si>
  <si>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</si>
  <si>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</si>
  <si>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</si>
  <si>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</si>
  <si>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</si>
  <si>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</si>
  <si>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</si>
  <si>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</si>
  <si>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</si>
  <si>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</si>
  <si>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</si>
  <si>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</si>
  <si>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</si>
  <si>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</si>
  <si>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</si>
  <si>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</si>
  <si>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</si>
  <si>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</si>
  <si>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</si>
  <si>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</si>
  <si>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</si>
  <si>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</si>
  <si>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</si>
  <si>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</si>
  <si>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</si>
  <si>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</si>
  <si>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</si>
  <si>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Thunderstorm wind</t>
  </si>
  <si>
    <t xml:space="preserve">9 injuries</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</si>
  <si>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</si>
  <si>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</si>
  <si>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</si>
  <si>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</si>
  <si>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</si>
  <si>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</si>
  <si>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</si>
  <si>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</si>
  <si>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</si>
  <si>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</si>
  <si>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</si>
  <si>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</si>
  <si>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</si>
  <si>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</si>
  <si>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</si>
  <si>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</si>
  <si>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</si>
  <si>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</si>
  <si>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</si>
  <si>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</si>
  <si>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</si>
  <si>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</si>
  <si>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</si>
  <si>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</si>
  <si>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</si>
  <si>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</si>
  <si>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</si>
  <si>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</si>
  <si>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</si>
  <si>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</si>
  <si>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14:54</t>
  </si>
  <si>
    <t xml:space="preserve">Albany Co. (NW)</t>
  </si>
  <si>
    <t xml:space="preserve">NCEI via tornadopath</t>
  </si>
  <si>
    <t xml:space="preserve">Coords approx; same storm as Duanesburg EF3</t>
  </si>
  <si>
    <t xml:space="preserve">Duanesburg / Delanson</t>
  </si>
  <si>
    <t xml:space="preserve">2014-06-17</t>
  </si>
  <si>
    <t xml:space="preserve">Widespread thunderstorm wind damage</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</si>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</sst>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86.55" hidden="false" customHeight="false" outlineLevel="0" collapsed="false">
      <c r="A1" s="1" t="s">
        <v>0</v>
      </c>
      <c r="B1" s="2"/>
    </row>
    <row r="2" customFormat="false" ht="35.05" hidden="false" customHeight="false" outlineLevel="0" collapsed="false">
      <c r="A2" s="2" t="s">
        <v>1</v>
      </c>
      <c r="B2" s="2"/>
    </row>
    <row r="3" customFormat="false" ht="15" hidden="false" customHeight="false" outlineLevel="0" collapsed="false">
      <c r="A3" s="2" t="s">
        <v>2</v>
      </c>
      <c r="B3" s="3" t="n">
        <v>42.517</v>
      </c>
    </row>
    <row r="4" customFormat="false" ht="15" hidden="false" customHeight="false" outlineLevel="0" collapsed="false">
      <c r="A4" s="2" t="s">
        <v>3</v>
      </c>
      <c r="B4" s="3" t="n">
        <v>-74.045</v>
      </c>
    </row>
    <row r="5" customFormat="false" ht="15" hidden="false" customHeight="false" outlineLevel="0" collapsed="false">
      <c r="A5" s="2" t="s">
        <v>4</v>
      </c>
      <c r="B5" s="3" t="n">
        <v>30</v>
      </c>
    </row>
    <row r="6" customFormat="false" ht="191.75" hidden="false" customHeight="false" outlineLevel="0" collapsed="false">
      <c r="A6" s="2" t="s">
        <v>5</v>
      </c>
      <c r="B6" s="2"/>
    </row>
    <row r="7" customFormat="false" ht="15" hidden="false" customHeight="false" outlineLevel="0" collapsed="false">
      <c r="A7" s="4"/>
      <c r="B7" s="2"/>
    </row>
    <row r="8" customFormat="false" ht="15" hidden="false" customHeight="false" outlineLevel="0" collapsed="false">
      <c r="A8" s="2" t="s">
        <v>6</v>
      </c>
      <c r="B8" s="2"/>
    </row>
    <row r="9" customFormat="false" ht="15" hidden="false" customHeight="false" outlineLevel="0" collapsed="false">
      <c r="A9" s="2" t="s">
        <v>7</v>
      </c>
      <c r="B9" s="2" t="s">
        <v>8</v>
      </c>
    </row>
    <row r="10" customFormat="false" ht="35.05" hidden="false" customHeight="false" outlineLevel="0" collapsed="false">
      <c r="A10" s="2" t="s">
        <v>9</v>
      </c>
      <c r="B10" s="2" t="s">
        <v>10</v>
      </c>
    </row>
    <row r="11" customFormat="false" ht="15" hidden="false" customHeight="false" outlineLevel="0" collapsed="false">
      <c r="A11" s="2" t="s">
        <v>11</v>
      </c>
      <c r="B11" s="2" t="s">
        <v>12</v>
      </c>
    </row>
    <row r="12" customFormat="false" ht="15" hidden="false" customHeight="false" outlineLevel="0" collapsed="false">
      <c r="A12" s="2" t="s">
        <v>13</v>
      </c>
      <c r="B12" s="2" t="s">
        <v>14</v>
      </c>
    </row>
    <row r="13" customFormat="false" ht="15" hidden="false" customHeight="false" outlineLevel="0" collapsed="false">
      <c r="A13" s="4"/>
      <c r="B13" s="2"/>
    </row>
    <row r="14" customFormat="false" ht="15" hidden="false" customHeight="false" outlineLevel="0" collapsed="false">
      <c r="A14" s="2" t="s">
        <v>15</v>
      </c>
      <c r="B14" s="2"/>
    </row>
    <row r="15" customFormat="false" ht="15" hidden="false" customHeight="false" outlineLevel="0" collapsed="false">
      <c r="A15" s="2" t="s">
        <v>16</v>
      </c>
      <c r="B15" s="2" t="s">
        <v>17</v>
      </c>
    </row>
    <row r="16" customFormat="false" ht="15" hidden="false" customHeight="false" outlineLevel="0" collapsed="false">
      <c r="A16" s="2" t="s">
        <v>18</v>
      </c>
      <c r="B16" s="2" t="s">
        <v>19</v>
      </c>
    </row>
    <row r="17" customFormat="false" ht="15" hidden="false" customHeight="false" outlineLevel="0" collapsed="false">
      <c r="A17" s="2" t="s">
        <v>20</v>
      </c>
      <c r="B17" s="2" t="s">
        <v>21</v>
      </c>
    </row>
    <row r="18" customFormat="false" ht="15" hidden="false" customHeight="false" outlineLevel="0" collapsed="false">
      <c r="A18" s="4"/>
      <c r="B18" s="2"/>
    </row>
    <row r="19" customFormat="false" ht="23.85" hidden="false" customHeight="false" outlineLevel="0" collapsed="false">
      <c r="A19" s="2" t="s">
        <v>22</v>
      </c>
      <c r="B19" s="2" t="s">
        <v>23</v>
      </c>
    </row>
    <row r="20" customFormat="false" ht="15" hidden="false" customHeight="false" outlineLevel="0" collapsed="false">
      <c r="A20" s="4"/>
      <c r="B20" s="2"/>
    </row>
    <row r="21" customFormat="false" ht="15" hidden="false" customHeight="false" outlineLevel="0" collapsed="false">
      <c r="A21" s="2" t="s">
        <v>24</v>
      </c>
      <c r="B21" s="2"/>
    </row>
    <row r="22" customFormat="false" ht="23.85" hidden="false" customHeight="false" outlineLevel="0" collapsed="false">
      <c r="A22" s="2" t="s">
        <v>25</v>
      </c>
      <c r="B22" s="2" t="s">
        <v>26</v>
      </c>
    </row>
    <row r="23" customFormat="false" ht="23.85" hidden="false" customHeight="false" outlineLevel="0" collapsed="false">
      <c r="A23" s="2" t="s">
        <v>27</v>
      </c>
      <c r="B23" s="2" t="s">
        <v>28</v>
      </c>
    </row>
    <row r="24" customFormat="false" ht="15" hidden="false" customHeight="false" outlineLevel="0" collapsed="false">
      <c r="A24" s="2" t="s">
        <v>29</v>
      </c>
      <c r="B24" s="2" t="s">
        <v>30</v>
      </c>
    </row>
    <row r="25" customFormat="false" ht="15" hidden="false" customHeight="false" outlineLevel="0" collapsed="false">
      <c r="A25" s="2" t="s">
        <v>31</v>
      </c>
      <c r="B25" s="2" t="s">
        <v>32</v>
      </c>
    </row>
    <row r="26" customFormat="false" ht="23.85" hidden="false" customHeight="false" outlineLevel="0" collapsed="false">
      <c r="A26" s="2" t="s">
        <v>33</v>
      </c>
      <c r="B26" s="2" t="s">
        <v>34</v>
      </c>
    </row>
    <row r="27" customFormat="false" ht="15" hidden="false" customHeight="false" outlineLevel="0" collapsed="false">
      <c r="A27" s="2" t="s">
        <v>35</v>
      </c>
      <c r="B27" s="2" t="s">
        <v>36</v>
      </c>
    </row>
    <row r="28" customFormat="false" ht="15" hidden="false" customHeight="false" outlineLevel="0" collapsed="false">
      <c r="A28" s="2"/>
      <c r="B28" s="2"/>
    </row>
    <row r="29" customFormat="false" ht="35.05" hidden="false" customHeight="false" outlineLevel="0" collapsed="false">
      <c r="A29" s="2" t="s">
        <v>37</v>
      </c>
      <c r="B29" s="2" t="s">
        <v>38</v>
      </c>
    </row>
    <row r="30" customFormat="false" ht="23.85" hidden="false" customHeight="false" outlineLevel="0" collapsed="false">
      <c r="A30" s="2" t="s">
        <v>39</v>
      </c>
      <c r="B30" s="2" t="s">
        <v>40</v>
      </c>
    </row>
    <row r="31" customFormat="false" ht="23.85" hidden="false" customHeight="false" outlineLevel="0" collapsed="false">
      <c r="A31" s="2" t="s">
        <v>41</v>
      </c>
      <c r="B31" s="2" t="s">
        <v>42</v>
      </c>
    </row>
    <row r="32" customFormat="false" ht="35.05" hidden="false" customHeight="false" outlineLevel="0" collapsed="false">
      <c r="A32" s="2" t="s">
        <v>43</v>
      </c>
      <c r="B3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12"/>
    <col collapsed="false" customWidth="true" hidden="false" outlineLevel="0" max="4" min="4" style="0" width="7"/>
    <col collapsed="false" customWidth="true" hidden="false" outlineLevel="0" max="5" min="5" style="0" width="9"/>
    <col collapsed="false" customWidth="true" hidden="false" outlineLevel="0" max="6" min="6" style="0" width="22"/>
    <col collapsed="false" customWidth="true" hidden="false" outlineLevel="0" max="7" min="7" style="0" width="34"/>
    <col collapsed="false" customWidth="true" hidden="false" outlineLevel="0" max="8" min="8" style="0" width="28"/>
    <col collapsed="false" customWidth="true" hidden="false" outlineLevel="0" max="9" min="9" style="0" width="40"/>
    <col collapsed="false" customWidth="true" hidden="false" outlineLevel="0" max="10" min="10" style="0" width="18"/>
    <col collapsed="false" customWidth="true" hidden="false" outlineLevel="0" max="11" min="11" style="0" width="55"/>
    <col collapsed="false" customWidth="true" hidden="false" outlineLevel="0" max="13" min="12" style="0" width="30"/>
    <col collapsed="false" customWidth="true" hidden="false" outlineLevel="0" max="15" min="14" style="0" width="10"/>
    <col collapsed="false" customWidth="true" hidden="false" outlineLevel="0" max="16" min="16" style="0" width="40"/>
    <col collapsed="false" customWidth="true" hidden="false" outlineLevel="0" max="17" min="17" style="0" width="13"/>
    <col collapsed="false" customWidth="true" hidden="false" outlineLevel="0" max="19" min="18" style="0" width="8"/>
    <col collapsed="false" customWidth="true" hidden="false" outlineLevel="0" max="20" min="20" style="0" width="7"/>
    <col collapsed="false" customWidth="true" hidden="false" outlineLevel="0" max="21" min="21" style="0" width="10"/>
    <col collapsed="false" customWidth="true" hidden="false" outlineLevel="0" max="22" min="22" style="0" width="40"/>
  </cols>
  <sheetData>
    <row r="1" customFormat="false" ht="46.25" hidden="false" customHeight="false" outlineLevel="0" collapsed="false">
      <c r="A1" s="5" t="s">
        <v>44</v>
      </c>
      <c r="B1" s="5" t="s">
        <v>45</v>
      </c>
      <c r="C1" s="5" t="s">
        <v>46</v>
      </c>
      <c r="D1" s="5" t="s">
        <v>47</v>
      </c>
      <c r="E1" s="5" t="s">
        <v>48</v>
      </c>
      <c r="F1" s="5" t="s">
        <v>49</v>
      </c>
      <c r="G1" s="5" t="s">
        <v>50</v>
      </c>
      <c r="H1" s="5" t="s">
        <v>51</v>
      </c>
      <c r="I1" s="5" t="s">
        <v>52</v>
      </c>
      <c r="J1" s="5" t="s">
        <v>53</v>
      </c>
      <c r="K1" s="5" t="s">
        <v>54</v>
      </c>
      <c r="L1" s="5" t="s">
        <v>55</v>
      </c>
      <c r="M1" s="5" t="s">
        <v>56</v>
      </c>
      <c r="N1" s="5" t="s">
        <v>57</v>
      </c>
      <c r="O1" s="5" t="s">
        <v>58</v>
      </c>
      <c r="P1" s="5" t="s">
        <v>59</v>
      </c>
      <c r="Q1" s="5" t="s">
        <v>60</v>
      </c>
      <c r="R1" s="5" t="s">
        <v>61</v>
      </c>
      <c r="S1" s="5" t="s">
        <v>62</v>
      </c>
      <c r="T1" s="5" t="s">
        <v>63</v>
      </c>
      <c r="U1" s="5" t="s">
        <v>64</v>
      </c>
      <c r="V1" s="5" t="s">
        <v>65</v>
      </c>
    </row>
    <row r="2" customFormat="false" ht="35.05" hidden="false" customHeight="false" outlineLevel="0" collapsed="false">
      <c r="A2" s="6" t="n">
        <v>1</v>
      </c>
      <c r="B2" s="6" t="s">
        <v>66</v>
      </c>
      <c r="C2" s="6" t="s">
        <v>66</v>
      </c>
      <c r="D2" s="6" t="n">
        <f aca="false">VALUE(LEFT(B2,4))</f>
        <v>1635</v>
      </c>
      <c r="E2" s="6" t="n">
        <f aca="false">INT((D2-1)/100)+1</f>
        <v>17</v>
      </c>
      <c r="F2" s="6" t="s">
        <v>67</v>
      </c>
      <c r="G2" s="6" t="s">
        <v>68</v>
      </c>
      <c r="H2" s="6" t="s">
        <v>69</v>
      </c>
      <c r="I2" s="6" t="s">
        <v>70</v>
      </c>
      <c r="J2" s="6" t="s">
        <v>71</v>
      </c>
      <c r="K2" s="6" t="s">
        <v>72</v>
      </c>
      <c r="L2" s="6" t="s">
        <v>73</v>
      </c>
      <c r="M2" s="6" t="s">
        <v>74</v>
      </c>
      <c r="N2" s="6" t="s">
        <v>20</v>
      </c>
      <c r="O2" s="6" t="s">
        <v>75</v>
      </c>
      <c r="P2" s="6" t="s">
        <v>76</v>
      </c>
      <c r="Q2" s="6" t="s">
        <v>66</v>
      </c>
      <c r="R2" s="6" t="n">
        <f aca="false">VALUE(LEFT(Q2,4))</f>
        <v>1635</v>
      </c>
      <c r="S2" s="6" t="n">
        <f aca="false">VALUE(MID(Q2,6,2))</f>
        <v>8</v>
      </c>
      <c r="T2" s="6" t="n">
        <f aca="false">VALUE(RIGHT(Q2,2))</f>
        <v>25</v>
      </c>
      <c r="U2" s="6" t="s">
        <v>77</v>
      </c>
      <c r="V2" s="6" t="s">
        <v>78</v>
      </c>
    </row>
    <row r="3" customFormat="false" ht="46.25" hidden="false" customHeight="false" outlineLevel="0" collapsed="false">
      <c r="A3" s="6" t="n">
        <v>2</v>
      </c>
      <c r="B3" s="6" t="s">
        <v>79</v>
      </c>
      <c r="C3" s="6" t="s">
        <v>79</v>
      </c>
      <c r="D3" s="6" t="n">
        <f aca="false">VALUE(LEFT(B3,4))</f>
        <v>1645</v>
      </c>
      <c r="E3" s="6" t="n">
        <f aca="false">INT((D3-1)/100)+1</f>
        <v>17</v>
      </c>
      <c r="F3" s="6" t="s">
        <v>80</v>
      </c>
      <c r="G3" s="6" t="s">
        <v>81</v>
      </c>
      <c r="H3" s="6" t="s">
        <v>82</v>
      </c>
      <c r="I3" s="6" t="s">
        <v>83</v>
      </c>
      <c r="J3" s="6" t="s">
        <v>84</v>
      </c>
      <c r="K3" s="6" t="s">
        <v>85</v>
      </c>
      <c r="L3" s="6" t="s">
        <v>86</v>
      </c>
      <c r="M3" s="6"/>
      <c r="N3" s="6" t="s">
        <v>18</v>
      </c>
      <c r="O3" s="6" t="s">
        <v>75</v>
      </c>
      <c r="P3" s="6" t="s">
        <v>87</v>
      </c>
      <c r="Q3" s="6" t="s">
        <v>79</v>
      </c>
      <c r="R3" s="6" t="n">
        <f aca="false">VALUE(LEFT(Q3,4))</f>
        <v>1645</v>
      </c>
      <c r="S3" s="6" t="n">
        <f aca="false">VALUE(MID(Q3,6,2))</f>
        <v>11</v>
      </c>
      <c r="T3" s="6" t="n">
        <f aca="false">VALUE(RIGHT(Q3,2))</f>
        <v>25</v>
      </c>
      <c r="U3" s="6" t="s">
        <v>77</v>
      </c>
      <c r="V3" s="6" t="s">
        <v>78</v>
      </c>
    </row>
    <row r="4" customFormat="false" ht="35.05" hidden="false" customHeight="false" outlineLevel="0" collapsed="false">
      <c r="A4" s="6" t="n">
        <v>3</v>
      </c>
      <c r="B4" s="6" t="s">
        <v>88</v>
      </c>
      <c r="C4" s="6" t="s">
        <v>88</v>
      </c>
      <c r="D4" s="6" t="n">
        <f aca="false">VALUE(LEFT(B4,4))</f>
        <v>1667</v>
      </c>
      <c r="E4" s="6" t="n">
        <f aca="false">INT((D4-1)/100)+1</f>
        <v>17</v>
      </c>
      <c r="F4" s="6" t="s">
        <v>67</v>
      </c>
      <c r="G4" s="6" t="s">
        <v>89</v>
      </c>
      <c r="H4" s="6" t="s">
        <v>90</v>
      </c>
      <c r="I4" s="6" t="s">
        <v>91</v>
      </c>
      <c r="J4" s="6" t="s">
        <v>92</v>
      </c>
      <c r="K4" s="6" t="s">
        <v>93</v>
      </c>
      <c r="L4" s="6" t="s">
        <v>73</v>
      </c>
      <c r="M4" s="6" t="s">
        <v>74</v>
      </c>
      <c r="N4" s="6" t="s">
        <v>20</v>
      </c>
      <c r="O4" s="6" t="s">
        <v>94</v>
      </c>
      <c r="P4" s="6" t="s">
        <v>95</v>
      </c>
      <c r="Q4" s="6" t="s">
        <v>88</v>
      </c>
      <c r="R4" s="6" t="n">
        <f aca="false">VALUE(LEFT(Q4,4))</f>
        <v>1667</v>
      </c>
      <c r="S4" s="6" t="n">
        <f aca="false">VALUE(MID(Q4,6,2))</f>
        <v>8</v>
      </c>
      <c r="T4" s="6" t="n">
        <f aca="false">VALUE(RIGHT(Q4,2))</f>
        <v>27</v>
      </c>
      <c r="U4" s="6" t="s">
        <v>77</v>
      </c>
      <c r="V4" s="6" t="s">
        <v>78</v>
      </c>
    </row>
    <row r="5" customFormat="false" ht="46.25" hidden="false" customHeight="false" outlineLevel="0" collapsed="false">
      <c r="A5" s="6" t="n">
        <v>4</v>
      </c>
      <c r="B5" s="6" t="s">
        <v>96</v>
      </c>
      <c r="C5" s="6" t="s">
        <v>96</v>
      </c>
      <c r="D5" s="6" t="n">
        <f aca="false">VALUE(LEFT(B5,4))</f>
        <v>1683</v>
      </c>
      <c r="E5" s="6" t="n">
        <f aca="false">INT((D5-1)/100)+1</f>
        <v>17</v>
      </c>
      <c r="F5" s="6" t="s">
        <v>97</v>
      </c>
      <c r="G5" s="6" t="s">
        <v>98</v>
      </c>
      <c r="H5" s="6" t="s">
        <v>99</v>
      </c>
      <c r="I5" s="6" t="s">
        <v>100</v>
      </c>
      <c r="J5" s="6" t="s">
        <v>101</v>
      </c>
      <c r="K5" s="6" t="s">
        <v>102</v>
      </c>
      <c r="L5" s="6" t="s">
        <v>73</v>
      </c>
      <c r="M5" s="6" t="s">
        <v>74</v>
      </c>
      <c r="N5" s="6" t="s">
        <v>20</v>
      </c>
      <c r="O5" s="6" t="s">
        <v>75</v>
      </c>
      <c r="P5" s="6" t="s">
        <v>103</v>
      </c>
      <c r="Q5" s="6" t="s">
        <v>96</v>
      </c>
      <c r="R5" s="6" t="n">
        <f aca="false">VALUE(LEFT(Q5,4))</f>
        <v>1683</v>
      </c>
      <c r="S5" s="6" t="n">
        <f aca="false">VALUE(MID(Q5,6,2))</f>
        <v>8</v>
      </c>
      <c r="T5" s="6" t="n">
        <f aca="false">VALUE(RIGHT(Q5,2))</f>
        <v>23</v>
      </c>
      <c r="U5" s="6" t="s">
        <v>77</v>
      </c>
      <c r="V5" s="6" t="s">
        <v>78</v>
      </c>
    </row>
    <row r="6" customFormat="false" ht="57.45" hidden="false" customHeight="false" outlineLevel="0" collapsed="false">
      <c r="A6" s="6" t="n">
        <v>5</v>
      </c>
      <c r="B6" s="6" t="s">
        <v>104</v>
      </c>
      <c r="C6" s="6" t="s">
        <v>105</v>
      </c>
      <c r="D6" s="6" t="n">
        <f aca="false">VALUE(LEFT(B6,4))</f>
        <v>1697</v>
      </c>
      <c r="E6" s="6" t="n">
        <f aca="false">INT((D6-1)/100)+1</f>
        <v>17</v>
      </c>
      <c r="F6" s="6" t="s">
        <v>106</v>
      </c>
      <c r="G6" s="6" t="s">
        <v>107</v>
      </c>
      <c r="H6" s="6" t="s">
        <v>108</v>
      </c>
      <c r="I6" s="6" t="s">
        <v>109</v>
      </c>
      <c r="J6" s="6" t="s">
        <v>110</v>
      </c>
      <c r="K6" s="6" t="s">
        <v>111</v>
      </c>
      <c r="L6" s="6" t="s">
        <v>86</v>
      </c>
      <c r="M6" s="6"/>
      <c r="N6" s="6" t="s">
        <v>18</v>
      </c>
      <c r="O6" s="6" t="s">
        <v>75</v>
      </c>
      <c r="P6" s="6" t="s">
        <v>112</v>
      </c>
      <c r="Q6" s="6" t="s">
        <v>113</v>
      </c>
      <c r="R6" s="6" t="n">
        <f aca="false">VALUE(LEFT(Q6,4))</f>
        <v>1698</v>
      </c>
      <c r="S6" s="6" t="n">
        <f aca="false">VALUE(MID(Q6,6,2))</f>
        <v>2</v>
      </c>
      <c r="T6" s="6" t="n">
        <f aca="false">VALUE(RIGHT(Q6,2))</f>
        <v>15</v>
      </c>
      <c r="U6" s="6" t="s">
        <v>114</v>
      </c>
      <c r="V6" s="6" t="s">
        <v>115</v>
      </c>
    </row>
    <row r="7" customFormat="false" ht="35.05" hidden="false" customHeight="false" outlineLevel="0" collapsed="false">
      <c r="A7" s="6" t="n">
        <v>6</v>
      </c>
      <c r="B7" s="6" t="s">
        <v>116</v>
      </c>
      <c r="C7" s="6" t="s">
        <v>117</v>
      </c>
      <c r="D7" s="6" t="n">
        <f aca="false">VALUE(LEFT(B7,4))</f>
        <v>1705</v>
      </c>
      <c r="E7" s="6" t="n">
        <f aca="false">INT((D7-1)/100)+1</f>
        <v>18</v>
      </c>
      <c r="F7" s="6" t="s">
        <v>118</v>
      </c>
      <c r="G7" s="6" t="s">
        <v>119</v>
      </c>
      <c r="H7" s="6" t="s">
        <v>120</v>
      </c>
      <c r="I7" s="6" t="s">
        <v>121</v>
      </c>
      <c r="J7" s="6" t="s">
        <v>122</v>
      </c>
      <c r="K7" s="6" t="s">
        <v>123</v>
      </c>
      <c r="L7" s="6" t="s">
        <v>86</v>
      </c>
      <c r="M7" s="6"/>
      <c r="N7" s="6" t="s">
        <v>18</v>
      </c>
      <c r="O7" s="6" t="s">
        <v>75</v>
      </c>
      <c r="P7" s="6" t="s">
        <v>124</v>
      </c>
      <c r="Q7" s="6" t="s">
        <v>116</v>
      </c>
      <c r="R7" s="6" t="n">
        <f aca="false">VALUE(LEFT(Q7,4))</f>
        <v>1705</v>
      </c>
      <c r="S7" s="6" t="n">
        <f aca="false">VALUE(MID(Q7,6,2))</f>
        <v>12</v>
      </c>
      <c r="T7" s="6" t="n">
        <f aca="false">VALUE(RIGHT(Q7,2))</f>
        <v>30</v>
      </c>
      <c r="U7" s="6" t="s">
        <v>125</v>
      </c>
      <c r="V7" s="6" t="s">
        <v>126</v>
      </c>
    </row>
    <row r="8" customFormat="false" ht="46.25" hidden="false" customHeight="false" outlineLevel="0" collapsed="false">
      <c r="A8" s="6" t="n">
        <v>7</v>
      </c>
      <c r="B8" s="6" t="s">
        <v>127</v>
      </c>
      <c r="C8" s="6" t="s">
        <v>128</v>
      </c>
      <c r="D8" s="6" t="n">
        <f aca="false">VALUE(LEFT(B8,4))</f>
        <v>1706</v>
      </c>
      <c r="E8" s="6" t="n">
        <f aca="false">INT((D8-1)/100)+1</f>
        <v>18</v>
      </c>
      <c r="F8" s="6" t="s">
        <v>129</v>
      </c>
      <c r="G8" s="6" t="s">
        <v>130</v>
      </c>
      <c r="H8" s="6" t="s">
        <v>131</v>
      </c>
      <c r="I8" s="6" t="s">
        <v>132</v>
      </c>
      <c r="J8" s="6" t="s">
        <v>133</v>
      </c>
      <c r="K8" s="6" t="s">
        <v>134</v>
      </c>
      <c r="L8" s="6" t="s">
        <v>73</v>
      </c>
      <c r="M8" s="6" t="s">
        <v>74</v>
      </c>
      <c r="N8" s="6" t="s">
        <v>18</v>
      </c>
      <c r="O8" s="6" t="s">
        <v>75</v>
      </c>
      <c r="P8" s="6" t="s">
        <v>135</v>
      </c>
      <c r="Q8" s="6" t="s">
        <v>127</v>
      </c>
      <c r="R8" s="6" t="n">
        <f aca="false">VALUE(LEFT(Q8,4))</f>
        <v>1706</v>
      </c>
      <c r="S8" s="6" t="n">
        <f aca="false">VALUE(MID(Q8,6,2))</f>
        <v>10</v>
      </c>
      <c r="T8" s="6" t="n">
        <f aca="false">VALUE(RIGHT(Q8,2))</f>
        <v>14</v>
      </c>
      <c r="U8" s="6" t="s">
        <v>125</v>
      </c>
      <c r="V8" s="6" t="s">
        <v>136</v>
      </c>
    </row>
    <row r="9" customFormat="false" ht="46.25" hidden="false" customHeight="false" outlineLevel="0" collapsed="false">
      <c r="A9" s="6" t="n">
        <v>8</v>
      </c>
      <c r="B9" s="6" t="s">
        <v>137</v>
      </c>
      <c r="C9" s="6" t="s">
        <v>138</v>
      </c>
      <c r="D9" s="6" t="n">
        <f aca="false">VALUE(LEFT(B9,4))</f>
        <v>1717</v>
      </c>
      <c r="E9" s="6" t="n">
        <f aca="false">INT((D9-1)/100)+1</f>
        <v>18</v>
      </c>
      <c r="F9" s="6" t="s">
        <v>139</v>
      </c>
      <c r="G9" s="6" t="s">
        <v>140</v>
      </c>
      <c r="H9" s="6" t="s">
        <v>141</v>
      </c>
      <c r="I9" s="6" t="s">
        <v>142</v>
      </c>
      <c r="J9" s="6" t="s">
        <v>143</v>
      </c>
      <c r="K9" s="6" t="s">
        <v>144</v>
      </c>
      <c r="L9" s="6" t="s">
        <v>86</v>
      </c>
      <c r="M9" s="6"/>
      <c r="N9" s="6" t="s">
        <v>18</v>
      </c>
      <c r="O9" s="6" t="s">
        <v>75</v>
      </c>
      <c r="P9" s="6" t="s">
        <v>145</v>
      </c>
      <c r="Q9" s="6" t="s">
        <v>138</v>
      </c>
      <c r="R9" s="6" t="n">
        <f aca="false">VALUE(LEFT(Q9,4))</f>
        <v>1717</v>
      </c>
      <c r="S9" s="6" t="n">
        <f aca="false">VALUE(MID(Q9,6,2))</f>
        <v>3</v>
      </c>
      <c r="T9" s="6" t="n">
        <f aca="false">VALUE(RIGHT(Q9,2))</f>
        <v>7</v>
      </c>
      <c r="U9" s="6" t="s">
        <v>125</v>
      </c>
      <c r="V9" s="6" t="s">
        <v>146</v>
      </c>
    </row>
    <row r="10" customFormat="false" ht="68.65" hidden="false" customHeight="false" outlineLevel="0" collapsed="false">
      <c r="A10" s="6" t="n">
        <v>9</v>
      </c>
      <c r="B10" s="6" t="s">
        <v>147</v>
      </c>
      <c r="C10" s="6" t="s">
        <v>148</v>
      </c>
      <c r="D10" s="6" t="n">
        <f aca="false">VALUE(LEFT(B10,4))</f>
        <v>1740</v>
      </c>
      <c r="E10" s="6" t="n">
        <f aca="false">INT((D10-1)/100)+1</f>
        <v>18</v>
      </c>
      <c r="F10" s="6" t="s">
        <v>106</v>
      </c>
      <c r="G10" s="6" t="s">
        <v>149</v>
      </c>
      <c r="H10" s="6" t="s">
        <v>150</v>
      </c>
      <c r="I10" s="6" t="s">
        <v>151</v>
      </c>
      <c r="J10" s="6" t="s">
        <v>152</v>
      </c>
      <c r="K10" s="6" t="s">
        <v>153</v>
      </c>
      <c r="L10" s="6" t="s">
        <v>86</v>
      </c>
      <c r="M10" s="6"/>
      <c r="N10" s="6" t="s">
        <v>18</v>
      </c>
      <c r="O10" s="6" t="s">
        <v>75</v>
      </c>
      <c r="P10" s="6" t="s">
        <v>154</v>
      </c>
      <c r="Q10" s="6" t="s">
        <v>155</v>
      </c>
      <c r="R10" s="6" t="n">
        <f aca="false">VALUE(LEFT(Q10,4))</f>
        <v>1740</v>
      </c>
      <c r="S10" s="6" t="n">
        <f aca="false">VALUE(MID(Q10,6,2))</f>
        <v>12</v>
      </c>
      <c r="T10" s="6" t="n">
        <f aca="false">VALUE(RIGHT(Q10,2))</f>
        <v>28</v>
      </c>
      <c r="U10" s="6" t="s">
        <v>77</v>
      </c>
      <c r="V10" s="6" t="s">
        <v>156</v>
      </c>
    </row>
    <row r="11" customFormat="false" ht="35.05" hidden="false" customHeight="false" outlineLevel="0" collapsed="false">
      <c r="A11" s="6" t="n">
        <v>10</v>
      </c>
      <c r="B11" s="6" t="s">
        <v>157</v>
      </c>
      <c r="C11" s="6" t="s">
        <v>158</v>
      </c>
      <c r="D11" s="6" t="n">
        <f aca="false">VALUE(LEFT(B11,4))</f>
        <v>1741</v>
      </c>
      <c r="E11" s="6" t="n">
        <f aca="false">INT((D11-1)/100)+1</f>
        <v>18</v>
      </c>
      <c r="F11" s="6" t="s">
        <v>159</v>
      </c>
      <c r="G11" s="6" t="s">
        <v>160</v>
      </c>
      <c r="H11" s="6" t="s">
        <v>161</v>
      </c>
      <c r="I11" s="6" t="s">
        <v>162</v>
      </c>
      <c r="J11" s="6" t="s">
        <v>163</v>
      </c>
      <c r="K11" s="6" t="s">
        <v>164</v>
      </c>
      <c r="L11" s="6" t="s">
        <v>86</v>
      </c>
      <c r="M11" s="6"/>
      <c r="N11" s="6" t="s">
        <v>18</v>
      </c>
      <c r="O11" s="6" t="s">
        <v>75</v>
      </c>
      <c r="P11" s="6" t="s">
        <v>165</v>
      </c>
      <c r="Q11" s="6" t="s">
        <v>157</v>
      </c>
      <c r="R11" s="6" t="n">
        <f aca="false">VALUE(LEFT(Q11,4))</f>
        <v>1741</v>
      </c>
      <c r="S11" s="6" t="n">
        <f aca="false">VALUE(MID(Q11,6,2))</f>
        <v>2</v>
      </c>
      <c r="T11" s="6" t="n">
        <f aca="false">VALUE(RIGHT(Q11,2))</f>
        <v>8</v>
      </c>
      <c r="U11" s="6" t="s">
        <v>125</v>
      </c>
      <c r="V11" s="6" t="s">
        <v>126</v>
      </c>
    </row>
    <row r="12" customFormat="false" ht="23.85" hidden="false" customHeight="false" outlineLevel="0" collapsed="false">
      <c r="A12" s="6" t="n">
        <v>11</v>
      </c>
      <c r="B12" s="6" t="s">
        <v>166</v>
      </c>
      <c r="C12" s="6" t="s">
        <v>166</v>
      </c>
      <c r="D12" s="6" t="n">
        <f aca="false">VALUE(LEFT(B12,4))</f>
        <v>1741</v>
      </c>
      <c r="E12" s="6" t="n">
        <f aca="false">INT((D12-1)/100)+1</f>
        <v>18</v>
      </c>
      <c r="F12" s="6" t="s">
        <v>167</v>
      </c>
      <c r="G12" s="6" t="s">
        <v>168</v>
      </c>
      <c r="H12" s="6" t="s">
        <v>169</v>
      </c>
      <c r="I12" s="6" t="s">
        <v>170</v>
      </c>
      <c r="J12" s="6" t="s">
        <v>171</v>
      </c>
      <c r="K12" s="6" t="s">
        <v>172</v>
      </c>
      <c r="L12" s="6" t="s">
        <v>86</v>
      </c>
      <c r="M12" s="6"/>
      <c r="N12" s="6" t="s">
        <v>18</v>
      </c>
      <c r="O12" s="6" t="s">
        <v>75</v>
      </c>
      <c r="P12" s="6" t="s">
        <v>173</v>
      </c>
      <c r="Q12" s="6" t="s">
        <v>166</v>
      </c>
      <c r="R12" s="6" t="n">
        <f aca="false">VALUE(LEFT(Q12,4))</f>
        <v>1741</v>
      </c>
      <c r="S12" s="6" t="n">
        <f aca="false">VALUE(MID(Q12,6,2))</f>
        <v>4</v>
      </c>
      <c r="T12" s="6" t="n">
        <f aca="false">VALUE(RIGHT(Q12,2))</f>
        <v>1</v>
      </c>
      <c r="U12" s="6" t="s">
        <v>77</v>
      </c>
      <c r="V12" s="6" t="s">
        <v>78</v>
      </c>
    </row>
    <row r="13" customFormat="false" ht="35.05" hidden="false" customHeight="false" outlineLevel="0" collapsed="false">
      <c r="A13" s="6" t="n">
        <v>12</v>
      </c>
      <c r="B13" s="6" t="s">
        <v>174</v>
      </c>
      <c r="C13" s="6" t="s">
        <v>175</v>
      </c>
      <c r="D13" s="6" t="n">
        <f aca="false">VALUE(LEFT(B13,4))</f>
        <v>1764</v>
      </c>
      <c r="E13" s="6" t="n">
        <f aca="false">INT((D13-1)/100)+1</f>
        <v>18</v>
      </c>
      <c r="F13" s="6" t="s">
        <v>176</v>
      </c>
      <c r="G13" s="6" t="s">
        <v>177</v>
      </c>
      <c r="H13" s="6" t="s">
        <v>178</v>
      </c>
      <c r="I13" s="6" t="s">
        <v>179</v>
      </c>
      <c r="J13" s="6" t="s">
        <v>180</v>
      </c>
      <c r="K13" s="6" t="s">
        <v>181</v>
      </c>
      <c r="L13" s="6" t="s">
        <v>86</v>
      </c>
      <c r="M13" s="6"/>
      <c r="N13" s="6" t="s">
        <v>18</v>
      </c>
      <c r="O13" s="6" t="s">
        <v>75</v>
      </c>
      <c r="P13" s="6"/>
      <c r="Q13" s="6" t="s">
        <v>174</v>
      </c>
      <c r="R13" s="6" t="n">
        <f aca="false">VALUE(LEFT(Q13,4))</f>
        <v>1764</v>
      </c>
      <c r="S13" s="6" t="n">
        <f aca="false">VALUE(MID(Q13,6,2))</f>
        <v>12</v>
      </c>
      <c r="T13" s="6" t="n">
        <f aca="false">VALUE(RIGHT(Q13,2))</f>
        <v>25</v>
      </c>
      <c r="U13" s="6" t="s">
        <v>125</v>
      </c>
      <c r="V13" s="6" t="s">
        <v>126</v>
      </c>
    </row>
    <row r="14" customFormat="false" ht="57.45" hidden="false" customHeight="false" outlineLevel="0" collapsed="false">
      <c r="A14" s="6" t="n">
        <v>13</v>
      </c>
      <c r="B14" s="6" t="s">
        <v>182</v>
      </c>
      <c r="C14" s="6" t="s">
        <v>183</v>
      </c>
      <c r="D14" s="6" t="n">
        <f aca="false">VALUE(LEFT(B14,4))</f>
        <v>1765</v>
      </c>
      <c r="E14" s="6" t="n">
        <f aca="false">INT((D14-1)/100)+1</f>
        <v>18</v>
      </c>
      <c r="F14" s="6" t="s">
        <v>118</v>
      </c>
      <c r="G14" s="6" t="s">
        <v>184</v>
      </c>
      <c r="H14" s="6" t="s">
        <v>120</v>
      </c>
      <c r="I14" s="6" t="s">
        <v>185</v>
      </c>
      <c r="J14" s="6" t="s">
        <v>186</v>
      </c>
      <c r="K14" s="6" t="s">
        <v>187</v>
      </c>
      <c r="L14" s="6" t="s">
        <v>86</v>
      </c>
      <c r="M14" s="6"/>
      <c r="N14" s="6" t="s">
        <v>18</v>
      </c>
      <c r="O14" s="6" t="s">
        <v>75</v>
      </c>
      <c r="P14" s="6"/>
      <c r="Q14" s="6" t="s">
        <v>182</v>
      </c>
      <c r="R14" s="6" t="n">
        <f aca="false">VALUE(LEFT(Q14,4))</f>
        <v>1765</v>
      </c>
      <c r="S14" s="6" t="n">
        <f aca="false">VALUE(MID(Q14,6,2))</f>
        <v>1</v>
      </c>
      <c r="T14" s="6" t="n">
        <f aca="false">VALUE(RIGHT(Q14,2))</f>
        <v>26</v>
      </c>
      <c r="U14" s="6" t="s">
        <v>125</v>
      </c>
      <c r="V14" s="6" t="s">
        <v>126</v>
      </c>
    </row>
    <row r="15" customFormat="false" ht="46.25" hidden="false" customHeight="false" outlineLevel="0" collapsed="false">
      <c r="A15" s="6" t="n">
        <v>14</v>
      </c>
      <c r="B15" s="6" t="s">
        <v>188</v>
      </c>
      <c r="C15" s="6" t="s">
        <v>188</v>
      </c>
      <c r="D15" s="6" t="n">
        <f aca="false">VALUE(LEFT(B15,4))</f>
        <v>1769</v>
      </c>
      <c r="E15" s="6" t="n">
        <f aca="false">INT((D15-1)/100)+1</f>
        <v>18</v>
      </c>
      <c r="F15" s="6" t="s">
        <v>67</v>
      </c>
      <c r="G15" s="6" t="s">
        <v>189</v>
      </c>
      <c r="H15" s="6" t="s">
        <v>190</v>
      </c>
      <c r="I15" s="6" t="s">
        <v>191</v>
      </c>
      <c r="J15" s="6" t="s">
        <v>192</v>
      </c>
      <c r="K15" s="6" t="s">
        <v>193</v>
      </c>
      <c r="L15" s="6" t="s">
        <v>194</v>
      </c>
      <c r="M15" s="6" t="s">
        <v>74</v>
      </c>
      <c r="N15" s="6" t="s">
        <v>20</v>
      </c>
      <c r="O15" s="6" t="s">
        <v>94</v>
      </c>
      <c r="P15" s="6" t="s">
        <v>195</v>
      </c>
      <c r="Q15" s="6" t="s">
        <v>188</v>
      </c>
      <c r="R15" s="6" t="n">
        <f aca="false">VALUE(LEFT(Q15,4))</f>
        <v>1769</v>
      </c>
      <c r="S15" s="6" t="n">
        <f aca="false">VALUE(MID(Q15,6,2))</f>
        <v>9</v>
      </c>
      <c r="T15" s="6" t="n">
        <f aca="false">VALUE(RIGHT(Q15,2))</f>
        <v>8</v>
      </c>
      <c r="U15" s="6" t="s">
        <v>77</v>
      </c>
      <c r="V15" s="6" t="s">
        <v>78</v>
      </c>
    </row>
    <row r="16" customFormat="false" ht="35.05" hidden="false" customHeight="false" outlineLevel="0" collapsed="false">
      <c r="A16" s="6" t="n">
        <v>15</v>
      </c>
      <c r="B16" s="6" t="s">
        <v>196</v>
      </c>
      <c r="C16" s="6" t="s">
        <v>196</v>
      </c>
      <c r="D16" s="6" t="n">
        <f aca="false">VALUE(LEFT(B16,4))</f>
        <v>1775</v>
      </c>
      <c r="E16" s="6" t="n">
        <f aca="false">INT((D16-1)/100)+1</f>
        <v>18</v>
      </c>
      <c r="F16" s="6" t="s">
        <v>67</v>
      </c>
      <c r="G16" s="6" t="s">
        <v>197</v>
      </c>
      <c r="H16" s="6" t="s">
        <v>198</v>
      </c>
      <c r="I16" s="6" t="s">
        <v>199</v>
      </c>
      <c r="J16" s="6" t="s">
        <v>200</v>
      </c>
      <c r="K16" s="6" t="s">
        <v>201</v>
      </c>
      <c r="L16" s="6" t="s">
        <v>194</v>
      </c>
      <c r="M16" s="6" t="s">
        <v>74</v>
      </c>
      <c r="N16" s="6" t="s">
        <v>20</v>
      </c>
      <c r="O16" s="6" t="s">
        <v>94</v>
      </c>
      <c r="P16" s="6" t="s">
        <v>202</v>
      </c>
      <c r="Q16" s="6" t="s">
        <v>196</v>
      </c>
      <c r="R16" s="6" t="n">
        <f aca="false">VALUE(LEFT(Q16,4))</f>
        <v>1775</v>
      </c>
      <c r="S16" s="6" t="n">
        <f aca="false">VALUE(MID(Q16,6,2))</f>
        <v>9</v>
      </c>
      <c r="T16" s="6" t="n">
        <f aca="false">VALUE(RIGHT(Q16,2))</f>
        <v>3</v>
      </c>
      <c r="U16" s="6" t="s">
        <v>77</v>
      </c>
      <c r="V16" s="6" t="s">
        <v>78</v>
      </c>
    </row>
    <row r="17" customFormat="false" ht="46.25" hidden="false" customHeight="false" outlineLevel="0" collapsed="false">
      <c r="A17" s="6" t="n">
        <v>16</v>
      </c>
      <c r="B17" s="6" t="s">
        <v>203</v>
      </c>
      <c r="C17" s="6" t="s">
        <v>203</v>
      </c>
      <c r="D17" s="6" t="n">
        <f aca="false">VALUE(LEFT(B17,4))</f>
        <v>1775</v>
      </c>
      <c r="E17" s="6" t="n">
        <f aca="false">INT((D17-1)/100)+1</f>
        <v>18</v>
      </c>
      <c r="F17" s="6" t="s">
        <v>139</v>
      </c>
      <c r="G17" s="6" t="s">
        <v>204</v>
      </c>
      <c r="H17" s="6" t="s">
        <v>205</v>
      </c>
      <c r="I17" s="6" t="s">
        <v>206</v>
      </c>
      <c r="J17" s="6" t="s">
        <v>207</v>
      </c>
      <c r="K17" s="6" t="s">
        <v>208</v>
      </c>
      <c r="L17" s="6" t="s">
        <v>86</v>
      </c>
      <c r="M17" s="6"/>
      <c r="N17" s="6" t="s">
        <v>18</v>
      </c>
      <c r="O17" s="6" t="s">
        <v>75</v>
      </c>
      <c r="P17" s="6"/>
      <c r="Q17" s="6" t="s">
        <v>203</v>
      </c>
      <c r="R17" s="6" t="n">
        <f aca="false">VALUE(LEFT(Q17,4))</f>
        <v>1775</v>
      </c>
      <c r="S17" s="6" t="n">
        <f aca="false">VALUE(MID(Q17,6,2))</f>
        <v>12</v>
      </c>
      <c r="T17" s="6" t="n">
        <f aca="false">VALUE(RIGHT(Q17,2))</f>
        <v>24</v>
      </c>
      <c r="U17" s="6" t="s">
        <v>77</v>
      </c>
      <c r="V17" s="6" t="s">
        <v>78</v>
      </c>
    </row>
    <row r="18" customFormat="false" ht="46.25" hidden="false" customHeight="false" outlineLevel="0" collapsed="false">
      <c r="A18" s="6" t="n">
        <v>17</v>
      </c>
      <c r="B18" s="6" t="s">
        <v>209</v>
      </c>
      <c r="C18" s="6" t="s">
        <v>210</v>
      </c>
      <c r="D18" s="6" t="n">
        <f aca="false">VALUE(LEFT(B18,4))</f>
        <v>1776</v>
      </c>
      <c r="E18" s="6" t="n">
        <f aca="false">INT((D18-1)/100)+1</f>
        <v>18</v>
      </c>
      <c r="F18" s="6" t="s">
        <v>211</v>
      </c>
      <c r="G18" s="6" t="s">
        <v>212</v>
      </c>
      <c r="H18" s="6" t="s">
        <v>213</v>
      </c>
      <c r="I18" s="6" t="s">
        <v>214</v>
      </c>
      <c r="J18" s="6" t="s">
        <v>215</v>
      </c>
      <c r="K18" s="6" t="s">
        <v>216</v>
      </c>
      <c r="L18" s="6" t="s">
        <v>86</v>
      </c>
      <c r="M18" s="6"/>
      <c r="N18" s="6" t="s">
        <v>18</v>
      </c>
      <c r="O18" s="6" t="s">
        <v>75</v>
      </c>
      <c r="P18" s="6"/>
      <c r="Q18" s="6" t="s">
        <v>209</v>
      </c>
      <c r="R18" s="6" t="n">
        <f aca="false">VALUE(LEFT(Q18,4))</f>
        <v>1776</v>
      </c>
      <c r="S18" s="6" t="n">
        <f aca="false">VALUE(MID(Q18,6,2))</f>
        <v>1</v>
      </c>
      <c r="T18" s="6" t="n">
        <f aca="false">VALUE(RIGHT(Q18,2))</f>
        <v>5</v>
      </c>
      <c r="U18" s="6" t="s">
        <v>125</v>
      </c>
      <c r="V18" s="6" t="s">
        <v>126</v>
      </c>
    </row>
    <row r="19" customFormat="false" ht="57.45" hidden="false" customHeight="false" outlineLevel="0" collapsed="false">
      <c r="A19" s="6" t="n">
        <v>18</v>
      </c>
      <c r="B19" s="6" t="s">
        <v>217</v>
      </c>
      <c r="C19" s="6" t="s">
        <v>218</v>
      </c>
      <c r="D19" s="6" t="n">
        <f aca="false">VALUE(LEFT(B19,4))</f>
        <v>1780</v>
      </c>
      <c r="E19" s="6" t="n">
        <f aca="false">INT((D19-1)/100)+1</f>
        <v>18</v>
      </c>
      <c r="F19" s="6" t="s">
        <v>219</v>
      </c>
      <c r="G19" s="6" t="s">
        <v>220</v>
      </c>
      <c r="H19" s="6" t="s">
        <v>221</v>
      </c>
      <c r="I19" s="6" t="s">
        <v>222</v>
      </c>
      <c r="J19" s="6" t="s">
        <v>223</v>
      </c>
      <c r="K19" s="6" t="s">
        <v>224</v>
      </c>
      <c r="L19" s="6" t="s">
        <v>86</v>
      </c>
      <c r="M19" s="6" t="s">
        <v>225</v>
      </c>
      <c r="N19" s="6" t="s">
        <v>18</v>
      </c>
      <c r="O19" s="6" t="s">
        <v>75</v>
      </c>
      <c r="P19" s="6" t="s">
        <v>226</v>
      </c>
      <c r="Q19" s="6" t="s">
        <v>217</v>
      </c>
      <c r="R19" s="6" t="n">
        <f aca="false">VALUE(LEFT(Q19,4))</f>
        <v>1780</v>
      </c>
      <c r="S19" s="6" t="n">
        <f aca="false">VALUE(MID(Q19,6,2))</f>
        <v>1</v>
      </c>
      <c r="T19" s="6" t="n">
        <f aca="false">VALUE(RIGHT(Q19,2))</f>
        <v>2</v>
      </c>
      <c r="U19" s="6" t="s">
        <v>125</v>
      </c>
      <c r="V19" s="6" t="s">
        <v>126</v>
      </c>
    </row>
    <row r="20" customFormat="false" ht="68.65" hidden="false" customHeight="false" outlineLevel="0" collapsed="false">
      <c r="A20" s="6" t="n">
        <v>19</v>
      </c>
      <c r="B20" s="6" t="s">
        <v>227</v>
      </c>
      <c r="C20" s="6" t="s">
        <v>228</v>
      </c>
      <c r="D20" s="6" t="n">
        <f aca="false">VALUE(LEFT(B20,4))</f>
        <v>1780</v>
      </c>
      <c r="E20" s="6" t="n">
        <f aca="false">INT((D20-1)/100)+1</f>
        <v>18</v>
      </c>
      <c r="F20" s="6" t="s">
        <v>106</v>
      </c>
      <c r="G20" s="6" t="s">
        <v>229</v>
      </c>
      <c r="H20" s="6" t="s">
        <v>230</v>
      </c>
      <c r="I20" s="6" t="s">
        <v>231</v>
      </c>
      <c r="J20" s="6" t="s">
        <v>232</v>
      </c>
      <c r="K20" s="6" t="s">
        <v>233</v>
      </c>
      <c r="L20" s="6" t="s">
        <v>86</v>
      </c>
      <c r="M20" s="6" t="s">
        <v>225</v>
      </c>
      <c r="N20" s="6" t="s">
        <v>18</v>
      </c>
      <c r="O20" s="6" t="s">
        <v>75</v>
      </c>
      <c r="P20" s="6" t="s">
        <v>234</v>
      </c>
      <c r="Q20" s="6" t="s">
        <v>235</v>
      </c>
      <c r="R20" s="6" t="n">
        <f aca="false">VALUE(LEFT(Q20,4))</f>
        <v>1780</v>
      </c>
      <c r="S20" s="6" t="n">
        <f aca="false">VALUE(MID(Q20,6,2))</f>
        <v>1</v>
      </c>
      <c r="T20" s="6" t="n">
        <f aca="false">VALUE(RIGHT(Q20,2))</f>
        <v>16</v>
      </c>
      <c r="U20" s="6" t="s">
        <v>77</v>
      </c>
      <c r="V20" s="6" t="s">
        <v>236</v>
      </c>
    </row>
    <row r="21" customFormat="false" ht="35.05" hidden="false" customHeight="false" outlineLevel="0" collapsed="false">
      <c r="A21" s="6" t="n">
        <v>20</v>
      </c>
      <c r="B21" s="6" t="s">
        <v>237</v>
      </c>
      <c r="C21" s="6" t="s">
        <v>237</v>
      </c>
      <c r="D21" s="6" t="n">
        <f aca="false">VALUE(LEFT(B21,4))</f>
        <v>1780</v>
      </c>
      <c r="E21" s="6" t="n">
        <f aca="false">INT((D21-1)/100)+1</f>
        <v>18</v>
      </c>
      <c r="F21" s="6" t="s">
        <v>238</v>
      </c>
      <c r="G21" s="6" t="s">
        <v>239</v>
      </c>
      <c r="H21" s="6" t="s">
        <v>240</v>
      </c>
      <c r="I21" s="6" t="s">
        <v>241</v>
      </c>
      <c r="J21" s="6" t="s">
        <v>242</v>
      </c>
      <c r="K21" s="6" t="s">
        <v>243</v>
      </c>
      <c r="L21" s="6" t="s">
        <v>86</v>
      </c>
      <c r="M21" s="6"/>
      <c r="N21" s="6" t="s">
        <v>18</v>
      </c>
      <c r="O21" s="6" t="s">
        <v>75</v>
      </c>
      <c r="P21" s="6"/>
      <c r="Q21" s="6" t="s">
        <v>237</v>
      </c>
      <c r="R21" s="6" t="n">
        <f aca="false">VALUE(LEFT(Q21,4))</f>
        <v>1780</v>
      </c>
      <c r="S21" s="6" t="n">
        <f aca="false">VALUE(MID(Q21,6,2))</f>
        <v>1</v>
      </c>
      <c r="T21" s="6" t="n">
        <f aca="false">VALUE(RIGHT(Q21,2))</f>
        <v>29</v>
      </c>
      <c r="U21" s="6" t="s">
        <v>77</v>
      </c>
      <c r="V21" s="6" t="s">
        <v>78</v>
      </c>
    </row>
    <row r="22" customFormat="false" ht="35.05" hidden="false" customHeight="false" outlineLevel="0" collapsed="false">
      <c r="A22" s="6" t="n">
        <v>21</v>
      </c>
      <c r="B22" s="6" t="s">
        <v>244</v>
      </c>
      <c r="C22" s="6" t="s">
        <v>245</v>
      </c>
      <c r="D22" s="6" t="n">
        <f aca="false">VALUE(LEFT(B22,4))</f>
        <v>1780</v>
      </c>
      <c r="E22" s="6" t="n">
        <f aca="false">INT((D22-1)/100)+1</f>
        <v>18</v>
      </c>
      <c r="F22" s="6" t="s">
        <v>80</v>
      </c>
      <c r="G22" s="6" t="s">
        <v>246</v>
      </c>
      <c r="H22" s="6" t="s">
        <v>247</v>
      </c>
      <c r="I22" s="6" t="s">
        <v>248</v>
      </c>
      <c r="J22" s="6" t="s">
        <v>249</v>
      </c>
      <c r="K22" s="6" t="s">
        <v>250</v>
      </c>
      <c r="L22" s="6" t="s">
        <v>86</v>
      </c>
      <c r="M22" s="6"/>
      <c r="N22" s="6" t="s">
        <v>18</v>
      </c>
      <c r="O22" s="6" t="s">
        <v>75</v>
      </c>
      <c r="P22" s="6"/>
      <c r="Q22" s="6" t="s">
        <v>245</v>
      </c>
      <c r="R22" s="6" t="n">
        <f aca="false">VALUE(LEFT(Q22,4))</f>
        <v>1780</v>
      </c>
      <c r="S22" s="6" t="n">
        <f aca="false">VALUE(MID(Q22,6,2))</f>
        <v>11</v>
      </c>
      <c r="T22" s="6" t="n">
        <f aca="false">VALUE(RIGHT(Q22,2))</f>
        <v>11</v>
      </c>
      <c r="U22" s="6" t="s">
        <v>77</v>
      </c>
      <c r="V22" s="6" t="s">
        <v>251</v>
      </c>
    </row>
    <row r="23" customFormat="false" ht="46.25" hidden="false" customHeight="false" outlineLevel="0" collapsed="false">
      <c r="A23" s="6" t="n">
        <v>22</v>
      </c>
      <c r="B23" s="6" t="s">
        <v>252</v>
      </c>
      <c r="C23" s="6" t="s">
        <v>253</v>
      </c>
      <c r="D23" s="6" t="n">
        <f aca="false">VALUE(LEFT(B23,4))</f>
        <v>1781</v>
      </c>
      <c r="E23" s="6" t="n">
        <f aca="false">INT((D23-1)/100)+1</f>
        <v>18</v>
      </c>
      <c r="F23" s="6" t="s">
        <v>254</v>
      </c>
      <c r="G23" s="6" t="s">
        <v>255</v>
      </c>
      <c r="H23" s="6" t="s">
        <v>256</v>
      </c>
      <c r="I23" s="6" t="s">
        <v>257</v>
      </c>
      <c r="J23" s="6" t="s">
        <v>258</v>
      </c>
      <c r="K23" s="6" t="s">
        <v>259</v>
      </c>
      <c r="L23" s="6" t="s">
        <v>86</v>
      </c>
      <c r="M23" s="6"/>
      <c r="N23" s="6" t="s">
        <v>18</v>
      </c>
      <c r="O23" s="6" t="s">
        <v>75</v>
      </c>
      <c r="P23" s="6"/>
      <c r="Q23" s="6" t="s">
        <v>252</v>
      </c>
      <c r="R23" s="6" t="n">
        <f aca="false">VALUE(LEFT(Q23,4))</f>
        <v>1781</v>
      </c>
      <c r="S23" s="6" t="n">
        <f aca="false">VALUE(MID(Q23,6,2))</f>
        <v>1</v>
      </c>
      <c r="T23" s="6" t="n">
        <f aca="false">VALUE(RIGHT(Q23,2))</f>
        <v>22</v>
      </c>
      <c r="U23" s="6" t="s">
        <v>125</v>
      </c>
      <c r="V23" s="6" t="s">
        <v>126</v>
      </c>
    </row>
    <row r="24" customFormat="false" ht="57.45" hidden="false" customHeight="false" outlineLevel="0" collapsed="false">
      <c r="A24" s="6" t="n">
        <v>23</v>
      </c>
      <c r="B24" s="6" t="s">
        <v>260</v>
      </c>
      <c r="C24" s="6" t="s">
        <v>261</v>
      </c>
      <c r="D24" s="6" t="n">
        <f aca="false">VALUE(LEFT(B24,4))</f>
        <v>1783</v>
      </c>
      <c r="E24" s="6" t="n">
        <f aca="false">INT((D24-1)/100)+1</f>
        <v>18</v>
      </c>
      <c r="F24" s="6" t="s">
        <v>262</v>
      </c>
      <c r="G24" s="6" t="s">
        <v>263</v>
      </c>
      <c r="H24" s="6" t="s">
        <v>264</v>
      </c>
      <c r="I24" s="6" t="s">
        <v>265</v>
      </c>
      <c r="J24" s="6" t="s">
        <v>266</v>
      </c>
      <c r="K24" s="6" t="s">
        <v>267</v>
      </c>
      <c r="L24" s="6" t="s">
        <v>194</v>
      </c>
      <c r="M24" s="6" t="s">
        <v>74</v>
      </c>
      <c r="N24" s="6" t="s">
        <v>20</v>
      </c>
      <c r="O24" s="6" t="s">
        <v>75</v>
      </c>
      <c r="P24" s="6" t="s">
        <v>268</v>
      </c>
      <c r="Q24" s="6" t="s">
        <v>260</v>
      </c>
      <c r="R24" s="6" t="n">
        <f aca="false">VALUE(LEFT(Q24,4))</f>
        <v>1783</v>
      </c>
      <c r="S24" s="6" t="n">
        <f aca="false">VALUE(MID(Q24,6,2))</f>
        <v>10</v>
      </c>
      <c r="T24" s="6" t="n">
        <f aca="false">VALUE(RIGHT(Q24,2))</f>
        <v>18</v>
      </c>
      <c r="U24" s="6" t="s">
        <v>125</v>
      </c>
      <c r="V24" s="6" t="s">
        <v>269</v>
      </c>
    </row>
    <row r="25" customFormat="false" ht="35.05" hidden="false" customHeight="false" outlineLevel="0" collapsed="false">
      <c r="A25" s="6" t="n">
        <v>24</v>
      </c>
      <c r="B25" s="6" t="s">
        <v>270</v>
      </c>
      <c r="C25" s="6" t="s">
        <v>271</v>
      </c>
      <c r="D25" s="6" t="n">
        <f aca="false">VALUE(LEFT(B25,4))</f>
        <v>1783</v>
      </c>
      <c r="E25" s="6" t="n">
        <f aca="false">INT((D25-1)/100)+1</f>
        <v>18</v>
      </c>
      <c r="F25" s="6" t="s">
        <v>176</v>
      </c>
      <c r="G25" s="6" t="s">
        <v>272</v>
      </c>
      <c r="H25" s="6" t="s">
        <v>273</v>
      </c>
      <c r="I25" s="6" t="s">
        <v>274</v>
      </c>
      <c r="J25" s="6" t="s">
        <v>275</v>
      </c>
      <c r="K25" s="6" t="s">
        <v>276</v>
      </c>
      <c r="L25" s="6" t="s">
        <v>86</v>
      </c>
      <c r="M25" s="6"/>
      <c r="N25" s="6" t="s">
        <v>18</v>
      </c>
      <c r="O25" s="6" t="s">
        <v>75</v>
      </c>
      <c r="P25" s="6"/>
      <c r="Q25" s="6" t="s">
        <v>270</v>
      </c>
      <c r="R25" s="6" t="n">
        <f aca="false">VALUE(LEFT(Q25,4))</f>
        <v>1783</v>
      </c>
      <c r="S25" s="6" t="n">
        <f aca="false">VALUE(MID(Q25,6,2))</f>
        <v>12</v>
      </c>
      <c r="T25" s="6" t="n">
        <f aca="false">VALUE(RIGHT(Q25,2))</f>
        <v>30</v>
      </c>
      <c r="U25" s="6" t="s">
        <v>125</v>
      </c>
      <c r="V25" s="6" t="s">
        <v>126</v>
      </c>
    </row>
    <row r="26" customFormat="false" ht="46.25" hidden="false" customHeight="false" outlineLevel="0" collapsed="false">
      <c r="A26" s="6" t="n">
        <v>25</v>
      </c>
      <c r="B26" s="6" t="s">
        <v>277</v>
      </c>
      <c r="C26" s="6" t="s">
        <v>278</v>
      </c>
      <c r="D26" s="6" t="n">
        <f aca="false">VALUE(LEFT(B26,4))</f>
        <v>1784</v>
      </c>
      <c r="E26" s="6" t="n">
        <f aca="false">INT((D26-1)/100)+1</f>
        <v>18</v>
      </c>
      <c r="F26" s="6" t="s">
        <v>238</v>
      </c>
      <c r="G26" s="6" t="s">
        <v>279</v>
      </c>
      <c r="H26" s="6" t="s">
        <v>280</v>
      </c>
      <c r="I26" s="6" t="s">
        <v>281</v>
      </c>
      <c r="J26" s="6" t="s">
        <v>282</v>
      </c>
      <c r="K26" s="6" t="s">
        <v>283</v>
      </c>
      <c r="L26" s="6" t="s">
        <v>86</v>
      </c>
      <c r="M26" s="6"/>
      <c r="N26" s="6" t="s">
        <v>18</v>
      </c>
      <c r="O26" s="6" t="s">
        <v>75</v>
      </c>
      <c r="P26" s="6" t="s">
        <v>284</v>
      </c>
      <c r="Q26" s="6" t="s">
        <v>277</v>
      </c>
      <c r="R26" s="6" t="n">
        <f aca="false">VALUE(LEFT(Q26,4))</f>
        <v>1784</v>
      </c>
      <c r="S26" s="6" t="n">
        <f aca="false">VALUE(MID(Q26,6,2))</f>
        <v>2</v>
      </c>
      <c r="T26" s="6" t="n">
        <f aca="false">VALUE(RIGHT(Q26,2))</f>
        <v>10</v>
      </c>
      <c r="U26" s="6" t="s">
        <v>125</v>
      </c>
      <c r="V26" s="6" t="s">
        <v>126</v>
      </c>
    </row>
    <row r="27" customFormat="false" ht="91" hidden="false" customHeight="false" outlineLevel="0" collapsed="false">
      <c r="A27" s="6" t="n">
        <v>26</v>
      </c>
      <c r="B27" s="6" t="s">
        <v>285</v>
      </c>
      <c r="C27" s="6" t="s">
        <v>285</v>
      </c>
      <c r="D27" s="6" t="n">
        <f aca="false">VALUE(LEFT(B27,4))</f>
        <v>1788</v>
      </c>
      <c r="E27" s="6" t="n">
        <f aca="false">INT((D27-1)/100)+1</f>
        <v>18</v>
      </c>
      <c r="F27" s="6" t="s">
        <v>286</v>
      </c>
      <c r="G27" s="6" t="s">
        <v>287</v>
      </c>
      <c r="H27" s="6" t="s">
        <v>288</v>
      </c>
      <c r="I27" s="6" t="s">
        <v>289</v>
      </c>
      <c r="J27" s="6" t="s">
        <v>290</v>
      </c>
      <c r="K27" s="6" t="s">
        <v>291</v>
      </c>
      <c r="L27" s="6" t="s">
        <v>194</v>
      </c>
      <c r="M27" s="6" t="s">
        <v>74</v>
      </c>
      <c r="N27" s="6" t="s">
        <v>18</v>
      </c>
      <c r="O27" s="6" t="s">
        <v>75</v>
      </c>
      <c r="P27" s="6" t="s">
        <v>292</v>
      </c>
      <c r="Q27" s="6" t="s">
        <v>285</v>
      </c>
      <c r="R27" s="6" t="n">
        <f aca="false">VALUE(LEFT(Q27,4))</f>
        <v>1788</v>
      </c>
      <c r="S27" s="6" t="n">
        <f aca="false">VALUE(MID(Q27,6,2))</f>
        <v>8</v>
      </c>
      <c r="T27" s="6" t="n">
        <f aca="false">VALUE(RIGHT(Q27,2))</f>
        <v>19</v>
      </c>
      <c r="U27" s="6" t="s">
        <v>77</v>
      </c>
      <c r="V27" s="6" t="s">
        <v>78</v>
      </c>
    </row>
    <row r="28" customFormat="false" ht="57.45" hidden="false" customHeight="false" outlineLevel="0" collapsed="false">
      <c r="A28" s="6" t="n">
        <v>27</v>
      </c>
      <c r="B28" s="6" t="s">
        <v>293</v>
      </c>
      <c r="C28" s="6" t="s">
        <v>294</v>
      </c>
      <c r="D28" s="6" t="n">
        <f aca="false">VALUE(LEFT(B28,4))</f>
        <v>1789</v>
      </c>
      <c r="E28" s="6" t="n">
        <f aca="false">INT((D28-1)/100)+1</f>
        <v>18</v>
      </c>
      <c r="F28" s="6" t="s">
        <v>238</v>
      </c>
      <c r="G28" s="6" t="s">
        <v>295</v>
      </c>
      <c r="H28" s="6" t="s">
        <v>296</v>
      </c>
      <c r="I28" s="6" t="s">
        <v>297</v>
      </c>
      <c r="J28" s="6" t="s">
        <v>298</v>
      </c>
      <c r="K28" s="6" t="s">
        <v>299</v>
      </c>
      <c r="L28" s="6" t="s">
        <v>86</v>
      </c>
      <c r="M28" s="6"/>
      <c r="N28" s="6" t="s">
        <v>18</v>
      </c>
      <c r="O28" s="6" t="s">
        <v>75</v>
      </c>
      <c r="P28" s="6" t="s">
        <v>300</v>
      </c>
      <c r="Q28" s="6" t="s">
        <v>293</v>
      </c>
      <c r="R28" s="6" t="n">
        <f aca="false">VALUE(LEFT(Q28,4))</f>
        <v>1789</v>
      </c>
      <c r="S28" s="6" t="n">
        <f aca="false">VALUE(MID(Q28,6,2))</f>
        <v>1</v>
      </c>
      <c r="T28" s="6" t="n">
        <f aca="false">VALUE(RIGHT(Q28,2))</f>
        <v>30</v>
      </c>
      <c r="U28" s="6" t="s">
        <v>125</v>
      </c>
      <c r="V28" s="6" t="s">
        <v>126</v>
      </c>
    </row>
    <row r="29" customFormat="false" ht="35.05" hidden="false" customHeight="false" outlineLevel="0" collapsed="false">
      <c r="A29" s="6" t="n">
        <v>28</v>
      </c>
      <c r="B29" s="6" t="s">
        <v>301</v>
      </c>
      <c r="C29" s="6" t="s">
        <v>301</v>
      </c>
      <c r="D29" s="6" t="n">
        <f aca="false">VALUE(LEFT(B29,4))</f>
        <v>1795</v>
      </c>
      <c r="E29" s="6" t="n">
        <f aca="false">INT((D29-1)/100)+1</f>
        <v>18</v>
      </c>
      <c r="F29" s="6" t="s">
        <v>67</v>
      </c>
      <c r="G29" s="6" t="s">
        <v>302</v>
      </c>
      <c r="H29" s="6" t="s">
        <v>120</v>
      </c>
      <c r="I29" s="6" t="s">
        <v>303</v>
      </c>
      <c r="J29" s="6" t="s">
        <v>304</v>
      </c>
      <c r="K29" s="6" t="s">
        <v>305</v>
      </c>
      <c r="L29" s="6" t="s">
        <v>194</v>
      </c>
      <c r="M29" s="6" t="s">
        <v>74</v>
      </c>
      <c r="N29" s="6" t="s">
        <v>20</v>
      </c>
      <c r="O29" s="6" t="s">
        <v>94</v>
      </c>
      <c r="P29" s="6" t="s">
        <v>306</v>
      </c>
      <c r="Q29" s="6" t="s">
        <v>301</v>
      </c>
      <c r="R29" s="6" t="n">
        <f aca="false">VALUE(LEFT(Q29,4))</f>
        <v>1795</v>
      </c>
      <c r="S29" s="6" t="n">
        <f aca="false">VALUE(MID(Q29,6,2))</f>
        <v>8</v>
      </c>
      <c r="T29" s="6" t="n">
        <f aca="false">VALUE(RIGHT(Q29,2))</f>
        <v>3</v>
      </c>
      <c r="U29" s="6" t="s">
        <v>77</v>
      </c>
      <c r="V29" s="6" t="s">
        <v>78</v>
      </c>
    </row>
    <row r="30" customFormat="false" ht="91" hidden="false" customHeight="false" outlineLevel="0" collapsed="false">
      <c r="A30" s="6" t="n">
        <v>29</v>
      </c>
      <c r="B30" s="6" t="s">
        <v>307</v>
      </c>
      <c r="C30" s="6" t="s">
        <v>308</v>
      </c>
      <c r="D30" s="6" t="n">
        <f aca="false">VALUE(LEFT(B30,4))</f>
        <v>1796</v>
      </c>
      <c r="E30" s="6" t="n">
        <f aca="false">INT((D30-1)/100)+1</f>
        <v>18</v>
      </c>
      <c r="F30" s="6" t="s">
        <v>106</v>
      </c>
      <c r="G30" s="6" t="s">
        <v>309</v>
      </c>
      <c r="H30" s="6" t="s">
        <v>310</v>
      </c>
      <c r="I30" s="6" t="s">
        <v>311</v>
      </c>
      <c r="J30" s="6" t="s">
        <v>312</v>
      </c>
      <c r="K30" s="6" t="s">
        <v>313</v>
      </c>
      <c r="L30" s="6" t="s">
        <v>314</v>
      </c>
      <c r="M30" s="6" t="s">
        <v>315</v>
      </c>
      <c r="N30" s="6" t="s">
        <v>18</v>
      </c>
      <c r="O30" s="6" t="s">
        <v>75</v>
      </c>
      <c r="P30" s="6"/>
      <c r="Q30" s="6" t="s">
        <v>316</v>
      </c>
      <c r="R30" s="6" t="n">
        <f aca="false">VALUE(LEFT(Q30,4))</f>
        <v>1796</v>
      </c>
      <c r="S30" s="6" t="n">
        <f aca="false">VALUE(MID(Q30,6,2))</f>
        <v>12</v>
      </c>
      <c r="T30" s="6" t="n">
        <f aca="false">VALUE(RIGHT(Q30,2))</f>
        <v>20</v>
      </c>
      <c r="U30" s="6" t="s">
        <v>317</v>
      </c>
      <c r="V30" s="6" t="s">
        <v>318</v>
      </c>
    </row>
    <row r="31" customFormat="false" ht="91" hidden="false" customHeight="false" outlineLevel="0" collapsed="false">
      <c r="A31" s="6" t="n">
        <v>30</v>
      </c>
      <c r="B31" s="6" t="s">
        <v>319</v>
      </c>
      <c r="C31" s="6" t="s">
        <v>320</v>
      </c>
      <c r="D31" s="6" t="n">
        <f aca="false">VALUE(LEFT(B31,4))</f>
        <v>1797</v>
      </c>
      <c r="E31" s="6" t="n">
        <f aca="false">INT((D31-1)/100)+1</f>
        <v>18</v>
      </c>
      <c r="F31" s="6" t="s">
        <v>106</v>
      </c>
      <c r="G31" s="6" t="s">
        <v>321</v>
      </c>
      <c r="H31" s="6" t="s">
        <v>310</v>
      </c>
      <c r="I31" s="6" t="s">
        <v>322</v>
      </c>
      <c r="J31" s="6" t="s">
        <v>312</v>
      </c>
      <c r="K31" s="6" t="s">
        <v>323</v>
      </c>
      <c r="L31" s="6" t="s">
        <v>314</v>
      </c>
      <c r="M31" s="6" t="s">
        <v>315</v>
      </c>
      <c r="N31" s="6" t="s">
        <v>18</v>
      </c>
      <c r="O31" s="6" t="s">
        <v>75</v>
      </c>
      <c r="P31" s="6"/>
      <c r="Q31" s="6" t="s">
        <v>324</v>
      </c>
      <c r="R31" s="6" t="n">
        <f aca="false">VALUE(LEFT(Q31,4))</f>
        <v>1798</v>
      </c>
      <c r="S31" s="6" t="n">
        <f aca="false">VALUE(MID(Q31,6,2))</f>
        <v>1</v>
      </c>
      <c r="T31" s="6" t="n">
        <f aca="false">VALUE(RIGHT(Q31,2))</f>
        <v>10</v>
      </c>
      <c r="U31" s="6" t="s">
        <v>114</v>
      </c>
      <c r="V31" s="6" t="s">
        <v>325</v>
      </c>
    </row>
    <row r="32" customFormat="false" ht="68.65" hidden="false" customHeight="false" outlineLevel="0" collapsed="false">
      <c r="A32" s="6" t="n">
        <v>31</v>
      </c>
      <c r="B32" s="6" t="s">
        <v>326</v>
      </c>
      <c r="C32" s="6" t="s">
        <v>327</v>
      </c>
      <c r="D32" s="6" t="n">
        <f aca="false">VALUE(LEFT(B32,4))</f>
        <v>1800</v>
      </c>
      <c r="E32" s="6" t="n">
        <f aca="false">INT((D32-1)/100)+1</f>
        <v>18</v>
      </c>
      <c r="F32" s="6" t="s">
        <v>328</v>
      </c>
      <c r="G32" s="6" t="s">
        <v>329</v>
      </c>
      <c r="H32" s="6" t="s">
        <v>330</v>
      </c>
      <c r="I32" s="6" t="s">
        <v>331</v>
      </c>
      <c r="J32" s="6" t="s">
        <v>332</v>
      </c>
      <c r="K32" s="6" t="s">
        <v>333</v>
      </c>
      <c r="L32" s="6" t="s">
        <v>334</v>
      </c>
      <c r="M32" s="6" t="s">
        <v>335</v>
      </c>
      <c r="N32" s="6" t="s">
        <v>18</v>
      </c>
      <c r="O32" s="6" t="s">
        <v>75</v>
      </c>
      <c r="P32" s="6" t="s">
        <v>336</v>
      </c>
      <c r="Q32" s="6" t="s">
        <v>337</v>
      </c>
      <c r="R32" s="6" t="n">
        <f aca="false">VALUE(LEFT(Q32,4))</f>
        <v>1975</v>
      </c>
      <c r="S32" s="6" t="n">
        <f aca="false">VALUE(MID(Q32,6,2))</f>
        <v>5</v>
      </c>
      <c r="T32" s="6" t="n">
        <f aca="false">VALUE(RIGHT(Q32,2))</f>
        <v>15</v>
      </c>
      <c r="U32" s="6" t="s">
        <v>338</v>
      </c>
      <c r="V32" s="6" t="s">
        <v>339</v>
      </c>
    </row>
    <row r="33" customFormat="false" ht="35.05" hidden="false" customHeight="false" outlineLevel="0" collapsed="false">
      <c r="A33" s="6" t="n">
        <v>32</v>
      </c>
      <c r="B33" s="6" t="s">
        <v>340</v>
      </c>
      <c r="C33" s="6" t="s">
        <v>341</v>
      </c>
      <c r="D33" s="6" t="n">
        <f aca="false">VALUE(LEFT(B33,4))</f>
        <v>1801</v>
      </c>
      <c r="E33" s="6" t="n">
        <f aca="false">INT((D33-1)/100)+1</f>
        <v>19</v>
      </c>
      <c r="F33" s="6" t="s">
        <v>342</v>
      </c>
      <c r="G33" s="6" t="s">
        <v>343</v>
      </c>
      <c r="H33" s="6" t="s">
        <v>344</v>
      </c>
      <c r="I33" s="6" t="s">
        <v>345</v>
      </c>
      <c r="J33" s="6" t="s">
        <v>346</v>
      </c>
      <c r="K33" s="6" t="s">
        <v>347</v>
      </c>
      <c r="L33" s="6" t="s">
        <v>86</v>
      </c>
      <c r="M33" s="6"/>
      <c r="N33" s="6" t="s">
        <v>18</v>
      </c>
      <c r="O33" s="6" t="s">
        <v>75</v>
      </c>
      <c r="P33" s="6"/>
      <c r="Q33" s="6" t="s">
        <v>348</v>
      </c>
      <c r="R33" s="6" t="n">
        <f aca="false">VALUE(LEFT(Q33,4))</f>
        <v>1802</v>
      </c>
      <c r="S33" s="6" t="n">
        <f aca="false">VALUE(MID(Q33,6,2))</f>
        <v>1</v>
      </c>
      <c r="T33" s="6" t="n">
        <f aca="false">VALUE(RIGHT(Q33,2))</f>
        <v>15</v>
      </c>
      <c r="U33" s="6" t="s">
        <v>114</v>
      </c>
      <c r="V33" s="6" t="s">
        <v>349</v>
      </c>
    </row>
    <row r="34" customFormat="false" ht="46.25" hidden="false" customHeight="false" outlineLevel="0" collapsed="false">
      <c r="A34" s="6" t="n">
        <v>33</v>
      </c>
      <c r="B34" s="6" t="s">
        <v>350</v>
      </c>
      <c r="C34" s="6" t="s">
        <v>351</v>
      </c>
      <c r="D34" s="6" t="n">
        <f aca="false">VALUE(LEFT(B34,4))</f>
        <v>1802</v>
      </c>
      <c r="E34" s="6" t="n">
        <f aca="false">INT((D34-1)/100)+1</f>
        <v>19</v>
      </c>
      <c r="F34" s="6" t="s">
        <v>159</v>
      </c>
      <c r="G34" s="6" t="s">
        <v>352</v>
      </c>
      <c r="H34" s="6" t="s">
        <v>150</v>
      </c>
      <c r="I34" s="6" t="s">
        <v>353</v>
      </c>
      <c r="J34" s="6" t="s">
        <v>354</v>
      </c>
      <c r="K34" s="6" t="s">
        <v>355</v>
      </c>
      <c r="L34" s="6" t="s">
        <v>86</v>
      </c>
      <c r="M34" s="6"/>
      <c r="N34" s="6" t="s">
        <v>18</v>
      </c>
      <c r="O34" s="6" t="s">
        <v>75</v>
      </c>
      <c r="P34" s="6" t="s">
        <v>356</v>
      </c>
      <c r="Q34" s="6" t="s">
        <v>350</v>
      </c>
      <c r="R34" s="6" t="n">
        <f aca="false">VALUE(LEFT(Q34,4))</f>
        <v>1802</v>
      </c>
      <c r="S34" s="6" t="n">
        <f aca="false">VALUE(MID(Q34,6,2))</f>
        <v>2</v>
      </c>
      <c r="T34" s="6" t="n">
        <f aca="false">VALUE(RIGHT(Q34,2))</f>
        <v>22</v>
      </c>
      <c r="U34" s="6" t="s">
        <v>125</v>
      </c>
      <c r="V34" s="6" t="s">
        <v>126</v>
      </c>
    </row>
    <row r="35" customFormat="false" ht="46.25" hidden="false" customHeight="false" outlineLevel="0" collapsed="false">
      <c r="A35" s="6" t="n">
        <v>34</v>
      </c>
      <c r="B35" s="6" t="s">
        <v>357</v>
      </c>
      <c r="C35" s="6" t="s">
        <v>358</v>
      </c>
      <c r="D35" s="6" t="n">
        <f aca="false">VALUE(LEFT(B35,4))</f>
        <v>1803</v>
      </c>
      <c r="E35" s="6" t="n">
        <f aca="false">INT((D35-1)/100)+1</f>
        <v>19</v>
      </c>
      <c r="F35" s="6" t="s">
        <v>359</v>
      </c>
      <c r="G35" s="6" t="s">
        <v>360</v>
      </c>
      <c r="H35" s="6" t="s">
        <v>361</v>
      </c>
      <c r="I35" s="6" t="s">
        <v>362</v>
      </c>
      <c r="J35" s="6" t="s">
        <v>363</v>
      </c>
      <c r="K35" s="6" t="s">
        <v>364</v>
      </c>
      <c r="L35" s="6" t="s">
        <v>86</v>
      </c>
      <c r="M35" s="6"/>
      <c r="N35" s="6" t="s">
        <v>18</v>
      </c>
      <c r="O35" s="6" t="s">
        <v>75</v>
      </c>
      <c r="P35" s="6" t="s">
        <v>365</v>
      </c>
      <c r="Q35" s="6" t="s">
        <v>357</v>
      </c>
      <c r="R35" s="6" t="n">
        <f aca="false">VALUE(LEFT(Q35,4))</f>
        <v>1803</v>
      </c>
      <c r="S35" s="6" t="n">
        <f aca="false">VALUE(MID(Q35,6,2))</f>
        <v>5</v>
      </c>
      <c r="T35" s="6" t="n">
        <f aca="false">VALUE(RIGHT(Q35,2))</f>
        <v>6</v>
      </c>
      <c r="U35" s="6" t="s">
        <v>125</v>
      </c>
      <c r="V35" s="6" t="s">
        <v>126</v>
      </c>
    </row>
    <row r="36" customFormat="false" ht="46.25" hidden="false" customHeight="false" outlineLevel="0" collapsed="false">
      <c r="A36" s="6" t="n">
        <v>35</v>
      </c>
      <c r="B36" s="6" t="s">
        <v>366</v>
      </c>
      <c r="C36" s="6" t="s">
        <v>367</v>
      </c>
      <c r="D36" s="6" t="n">
        <f aca="false">VALUE(LEFT(B36,4))</f>
        <v>1804</v>
      </c>
      <c r="E36" s="6" t="n">
        <f aca="false">INT((D36-1)/100)+1</f>
        <v>19</v>
      </c>
      <c r="F36" s="6" t="s">
        <v>368</v>
      </c>
      <c r="G36" s="6" t="s">
        <v>369</v>
      </c>
      <c r="H36" s="6" t="s">
        <v>370</v>
      </c>
      <c r="I36" s="6" t="s">
        <v>371</v>
      </c>
      <c r="J36" s="6" t="s">
        <v>372</v>
      </c>
      <c r="K36" s="6" t="s">
        <v>373</v>
      </c>
      <c r="L36" s="6" t="s">
        <v>86</v>
      </c>
      <c r="M36" s="6"/>
      <c r="N36" s="6" t="s">
        <v>18</v>
      </c>
      <c r="O36" s="6" t="s">
        <v>75</v>
      </c>
      <c r="P36" s="6"/>
      <c r="Q36" s="6" t="s">
        <v>374</v>
      </c>
      <c r="R36" s="6" t="n">
        <f aca="false">VALUE(LEFT(Q36,4))</f>
        <v>1804</v>
      </c>
      <c r="S36" s="6" t="n">
        <f aca="false">VALUE(MID(Q36,6,2))</f>
        <v>3</v>
      </c>
      <c r="T36" s="6" t="n">
        <f aca="false">VALUE(RIGHT(Q36,2))</f>
        <v>2</v>
      </c>
      <c r="U36" s="6" t="s">
        <v>77</v>
      </c>
      <c r="V36" s="6" t="s">
        <v>375</v>
      </c>
    </row>
    <row r="37" customFormat="false" ht="79.85" hidden="false" customHeight="false" outlineLevel="0" collapsed="false">
      <c r="A37" s="6" t="n">
        <v>36</v>
      </c>
      <c r="B37" s="6" t="s">
        <v>376</v>
      </c>
      <c r="C37" s="6" t="s">
        <v>376</v>
      </c>
      <c r="D37" s="6" t="n">
        <f aca="false">VALUE(LEFT(B37,4))</f>
        <v>1804</v>
      </c>
      <c r="E37" s="6" t="n">
        <f aca="false">INT((D37-1)/100)+1</f>
        <v>19</v>
      </c>
      <c r="F37" s="6" t="s">
        <v>377</v>
      </c>
      <c r="G37" s="6" t="s">
        <v>378</v>
      </c>
      <c r="H37" s="6" t="s">
        <v>379</v>
      </c>
      <c r="I37" s="6" t="s">
        <v>380</v>
      </c>
      <c r="J37" s="6" t="s">
        <v>381</v>
      </c>
      <c r="K37" s="6" t="s">
        <v>382</v>
      </c>
      <c r="L37" s="6" t="s">
        <v>194</v>
      </c>
      <c r="M37" s="6" t="s">
        <v>74</v>
      </c>
      <c r="N37" s="6" t="s">
        <v>16</v>
      </c>
      <c r="O37" s="6" t="s">
        <v>75</v>
      </c>
      <c r="P37" s="6" t="s">
        <v>383</v>
      </c>
      <c r="Q37" s="6" t="s">
        <v>376</v>
      </c>
      <c r="R37" s="6" t="n">
        <f aca="false">VALUE(LEFT(Q37,4))</f>
        <v>1804</v>
      </c>
      <c r="S37" s="6" t="n">
        <f aca="false">VALUE(MID(Q37,6,2))</f>
        <v>10</v>
      </c>
      <c r="T37" s="6" t="n">
        <f aca="false">VALUE(RIGHT(Q37,2))</f>
        <v>9</v>
      </c>
      <c r="U37" s="6" t="s">
        <v>77</v>
      </c>
      <c r="V37" s="6" t="s">
        <v>78</v>
      </c>
    </row>
    <row r="38" customFormat="false" ht="91" hidden="false" customHeight="false" outlineLevel="0" collapsed="false">
      <c r="A38" s="6" t="n">
        <v>37</v>
      </c>
      <c r="B38" s="6" t="s">
        <v>384</v>
      </c>
      <c r="C38" s="6" t="s">
        <v>385</v>
      </c>
      <c r="D38" s="6" t="n">
        <f aca="false">VALUE(LEFT(B38,4))</f>
        <v>1804</v>
      </c>
      <c r="E38" s="6" t="n">
        <f aca="false">INT((D38-1)/100)+1</f>
        <v>19</v>
      </c>
      <c r="F38" s="6" t="s">
        <v>106</v>
      </c>
      <c r="G38" s="6" t="s">
        <v>386</v>
      </c>
      <c r="H38" s="6" t="s">
        <v>310</v>
      </c>
      <c r="I38" s="6" t="s">
        <v>387</v>
      </c>
      <c r="J38" s="6" t="s">
        <v>312</v>
      </c>
      <c r="K38" s="6" t="s">
        <v>388</v>
      </c>
      <c r="L38" s="6" t="s">
        <v>314</v>
      </c>
      <c r="M38" s="6" t="s">
        <v>315</v>
      </c>
      <c r="N38" s="6" t="s">
        <v>18</v>
      </c>
      <c r="O38" s="6" t="s">
        <v>75</v>
      </c>
      <c r="P38" s="6"/>
      <c r="Q38" s="6" t="s">
        <v>389</v>
      </c>
      <c r="R38" s="6" t="n">
        <f aca="false">VALUE(LEFT(Q38,4))</f>
        <v>1805</v>
      </c>
      <c r="S38" s="6" t="n">
        <f aca="false">VALUE(MID(Q38,6,2))</f>
        <v>1</v>
      </c>
      <c r="T38" s="6" t="n">
        <f aca="false">VALUE(RIGHT(Q38,2))</f>
        <v>21</v>
      </c>
      <c r="U38" s="6" t="s">
        <v>114</v>
      </c>
      <c r="V38" s="6" t="s">
        <v>325</v>
      </c>
    </row>
    <row r="39" customFormat="false" ht="35.05" hidden="false" customHeight="false" outlineLevel="0" collapsed="false">
      <c r="A39" s="6" t="n">
        <v>38</v>
      </c>
      <c r="B39" s="6" t="s">
        <v>390</v>
      </c>
      <c r="C39" s="6" t="s">
        <v>391</v>
      </c>
      <c r="D39" s="6" t="n">
        <f aca="false">VALUE(LEFT(B39,4))</f>
        <v>1805</v>
      </c>
      <c r="E39" s="6" t="n">
        <f aca="false">INT((D39-1)/100)+1</f>
        <v>19</v>
      </c>
      <c r="F39" s="6" t="s">
        <v>392</v>
      </c>
      <c r="G39" s="6" t="s">
        <v>393</v>
      </c>
      <c r="H39" s="6" t="s">
        <v>120</v>
      </c>
      <c r="I39" s="6" t="s">
        <v>394</v>
      </c>
      <c r="J39" s="6" t="s">
        <v>395</v>
      </c>
      <c r="K39" s="6" t="s">
        <v>396</v>
      </c>
      <c r="L39" s="6" t="s">
        <v>86</v>
      </c>
      <c r="M39" s="6"/>
      <c r="N39" s="6" t="s">
        <v>18</v>
      </c>
      <c r="O39" s="6" t="s">
        <v>75</v>
      </c>
      <c r="P39" s="6"/>
      <c r="Q39" s="6" t="s">
        <v>390</v>
      </c>
      <c r="R39" s="6" t="n">
        <f aca="false">VALUE(LEFT(Q39,4))</f>
        <v>1805</v>
      </c>
      <c r="S39" s="6" t="n">
        <f aca="false">VALUE(MID(Q39,6,2))</f>
        <v>1</v>
      </c>
      <c r="T39" s="6" t="n">
        <f aca="false">VALUE(RIGHT(Q39,2))</f>
        <v>22</v>
      </c>
      <c r="U39" s="6" t="s">
        <v>125</v>
      </c>
      <c r="V39" s="6" t="s">
        <v>126</v>
      </c>
    </row>
    <row r="40" customFormat="false" ht="35.05" hidden="false" customHeight="false" outlineLevel="0" collapsed="false">
      <c r="A40" s="6" t="n">
        <v>39</v>
      </c>
      <c r="B40" s="6" t="s">
        <v>397</v>
      </c>
      <c r="C40" s="6" t="s">
        <v>398</v>
      </c>
      <c r="D40" s="6" t="n">
        <f aca="false">VALUE(LEFT(B40,4))</f>
        <v>1805</v>
      </c>
      <c r="E40" s="6" t="n">
        <f aca="false">INT((D40-1)/100)+1</f>
        <v>19</v>
      </c>
      <c r="F40" s="6" t="s">
        <v>139</v>
      </c>
      <c r="G40" s="6" t="s">
        <v>399</v>
      </c>
      <c r="H40" s="6" t="s">
        <v>120</v>
      </c>
      <c r="I40" s="6" t="s">
        <v>400</v>
      </c>
      <c r="J40" s="6" t="s">
        <v>401</v>
      </c>
      <c r="K40" s="6" t="s">
        <v>402</v>
      </c>
      <c r="L40" s="6" t="s">
        <v>86</v>
      </c>
      <c r="M40" s="6"/>
      <c r="N40" s="6" t="s">
        <v>18</v>
      </c>
      <c r="O40" s="6" t="s">
        <v>75</v>
      </c>
      <c r="P40" s="6"/>
      <c r="Q40" s="6" t="s">
        <v>397</v>
      </c>
      <c r="R40" s="6" t="n">
        <f aca="false">VALUE(LEFT(Q40,4))</f>
        <v>1805</v>
      </c>
      <c r="S40" s="6" t="n">
        <f aca="false">VALUE(MID(Q40,6,2))</f>
        <v>1</v>
      </c>
      <c r="T40" s="6" t="n">
        <f aca="false">VALUE(RIGHT(Q40,2))</f>
        <v>26</v>
      </c>
      <c r="U40" s="6" t="s">
        <v>125</v>
      </c>
      <c r="V40" s="6" t="s">
        <v>126</v>
      </c>
    </row>
    <row r="41" customFormat="false" ht="35.05" hidden="false" customHeight="false" outlineLevel="0" collapsed="false">
      <c r="A41" s="6" t="n">
        <v>40</v>
      </c>
      <c r="B41" s="6" t="s">
        <v>403</v>
      </c>
      <c r="C41" s="6" t="s">
        <v>403</v>
      </c>
      <c r="D41" s="6" t="n">
        <f aca="false">VALUE(LEFT(B41,4))</f>
        <v>1806</v>
      </c>
      <c r="E41" s="6" t="n">
        <f aca="false">INT((D41-1)/100)+1</f>
        <v>19</v>
      </c>
      <c r="F41" s="6" t="s">
        <v>67</v>
      </c>
      <c r="G41" s="6" t="s">
        <v>404</v>
      </c>
      <c r="H41" s="6" t="s">
        <v>405</v>
      </c>
      <c r="I41" s="6" t="s">
        <v>406</v>
      </c>
      <c r="J41" s="6" t="s">
        <v>407</v>
      </c>
      <c r="K41" s="6" t="s">
        <v>408</v>
      </c>
      <c r="L41" s="6" t="s">
        <v>194</v>
      </c>
      <c r="M41" s="6" t="s">
        <v>74</v>
      </c>
      <c r="N41" s="6" t="s">
        <v>20</v>
      </c>
      <c r="O41" s="6" t="s">
        <v>94</v>
      </c>
      <c r="P41" s="6" t="s">
        <v>409</v>
      </c>
      <c r="Q41" s="6" t="s">
        <v>403</v>
      </c>
      <c r="R41" s="6" t="n">
        <f aca="false">VALUE(LEFT(Q41,4))</f>
        <v>1806</v>
      </c>
      <c r="S41" s="6" t="n">
        <f aca="false">VALUE(MID(Q41,6,2))</f>
        <v>8</v>
      </c>
      <c r="T41" s="6" t="n">
        <f aca="false">VALUE(RIGHT(Q41,2))</f>
        <v>23</v>
      </c>
      <c r="U41" s="6" t="s">
        <v>77</v>
      </c>
      <c r="V41" s="6" t="s">
        <v>78</v>
      </c>
    </row>
    <row r="42" customFormat="false" ht="46.25" hidden="false" customHeight="false" outlineLevel="0" collapsed="false">
      <c r="A42" s="6" t="n">
        <v>41</v>
      </c>
      <c r="B42" s="6" t="s">
        <v>410</v>
      </c>
      <c r="C42" s="6" t="s">
        <v>411</v>
      </c>
      <c r="D42" s="6" t="n">
        <f aca="false">VALUE(LEFT(B42,4))</f>
        <v>1807</v>
      </c>
      <c r="E42" s="6" t="n">
        <f aca="false">INT((D42-1)/100)+1</f>
        <v>19</v>
      </c>
      <c r="F42" s="6" t="s">
        <v>412</v>
      </c>
      <c r="G42" s="6" t="s">
        <v>413</v>
      </c>
      <c r="H42" s="6" t="s">
        <v>414</v>
      </c>
      <c r="I42" s="6" t="s">
        <v>415</v>
      </c>
      <c r="J42" s="6" t="s">
        <v>416</v>
      </c>
      <c r="K42" s="6" t="s">
        <v>417</v>
      </c>
      <c r="L42" s="6" t="s">
        <v>86</v>
      </c>
      <c r="M42" s="6"/>
      <c r="N42" s="6" t="s">
        <v>18</v>
      </c>
      <c r="O42" s="6" t="s">
        <v>75</v>
      </c>
      <c r="P42" s="6" t="s">
        <v>418</v>
      </c>
      <c r="Q42" s="6" t="s">
        <v>410</v>
      </c>
      <c r="R42" s="6" t="n">
        <f aca="false">VALUE(LEFT(Q42,4))</f>
        <v>1807</v>
      </c>
      <c r="S42" s="6" t="n">
        <f aca="false">VALUE(MID(Q42,6,2))</f>
        <v>3</v>
      </c>
      <c r="T42" s="6" t="n">
        <f aca="false">VALUE(RIGHT(Q42,2))</f>
        <v>30</v>
      </c>
      <c r="U42" s="6" t="s">
        <v>125</v>
      </c>
      <c r="V42" s="6" t="s">
        <v>126</v>
      </c>
    </row>
    <row r="43" customFormat="false" ht="35.05" hidden="false" customHeight="false" outlineLevel="0" collapsed="false">
      <c r="A43" s="6" t="n">
        <v>42</v>
      </c>
      <c r="B43" s="6" t="s">
        <v>419</v>
      </c>
      <c r="C43" s="6" t="s">
        <v>419</v>
      </c>
      <c r="D43" s="6" t="n">
        <f aca="false">VALUE(LEFT(B43,4))</f>
        <v>1810</v>
      </c>
      <c r="E43" s="6" t="n">
        <f aca="false">INT((D43-1)/100)+1</f>
        <v>19</v>
      </c>
      <c r="F43" s="6" t="s">
        <v>420</v>
      </c>
      <c r="G43" s="6" t="s">
        <v>421</v>
      </c>
      <c r="H43" s="6" t="s">
        <v>422</v>
      </c>
      <c r="I43" s="6" t="s">
        <v>423</v>
      </c>
      <c r="J43" s="6" t="s">
        <v>332</v>
      </c>
      <c r="K43" s="6" t="s">
        <v>424</v>
      </c>
      <c r="L43" s="6" t="s">
        <v>425</v>
      </c>
      <c r="M43" s="6"/>
      <c r="N43" s="6" t="s">
        <v>20</v>
      </c>
      <c r="O43" s="6" t="s">
        <v>94</v>
      </c>
      <c r="P43" s="6"/>
      <c r="Q43" s="6" t="s">
        <v>419</v>
      </c>
      <c r="R43" s="6" t="n">
        <f aca="false">VALUE(LEFT(Q43,4))</f>
        <v>1810</v>
      </c>
      <c r="S43" s="6" t="n">
        <f aca="false">VALUE(MID(Q43,6,2))</f>
        <v>1</v>
      </c>
      <c r="T43" s="6" t="n">
        <f aca="false">VALUE(RIGHT(Q43,2))</f>
        <v>19</v>
      </c>
      <c r="U43" s="6" t="s">
        <v>77</v>
      </c>
      <c r="V43" s="6" t="s">
        <v>78</v>
      </c>
    </row>
    <row r="44" customFormat="false" ht="23.85" hidden="false" customHeight="false" outlineLevel="0" collapsed="false">
      <c r="A44" s="6" t="n">
        <v>43</v>
      </c>
      <c r="B44" s="6" t="s">
        <v>426</v>
      </c>
      <c r="C44" s="6" t="s">
        <v>427</v>
      </c>
      <c r="D44" s="6" t="n">
        <f aca="false">VALUE(LEFT(B44,4))</f>
        <v>1813</v>
      </c>
      <c r="E44" s="6" t="n">
        <f aca="false">INT((D44-1)/100)+1</f>
        <v>19</v>
      </c>
      <c r="F44" s="6" t="s">
        <v>342</v>
      </c>
      <c r="G44" s="6" t="s">
        <v>428</v>
      </c>
      <c r="H44" s="6" t="s">
        <v>429</v>
      </c>
      <c r="I44" s="6" t="s">
        <v>430</v>
      </c>
      <c r="J44" s="6" t="s">
        <v>431</v>
      </c>
      <c r="K44" s="6" t="s">
        <v>432</v>
      </c>
      <c r="L44" s="6" t="s">
        <v>86</v>
      </c>
      <c r="M44" s="6"/>
      <c r="N44" s="6" t="s">
        <v>18</v>
      </c>
      <c r="O44" s="6" t="s">
        <v>75</v>
      </c>
      <c r="P44" s="6"/>
      <c r="Q44" s="6" t="s">
        <v>433</v>
      </c>
      <c r="R44" s="6" t="n">
        <f aca="false">VALUE(LEFT(Q44,4))</f>
        <v>1814</v>
      </c>
      <c r="S44" s="6" t="n">
        <f aca="false">VALUE(MID(Q44,6,2))</f>
        <v>1</v>
      </c>
      <c r="T44" s="6" t="n">
        <f aca="false">VALUE(RIGHT(Q44,2))</f>
        <v>31</v>
      </c>
      <c r="U44" s="6" t="s">
        <v>77</v>
      </c>
      <c r="V44" s="6" t="s">
        <v>434</v>
      </c>
    </row>
    <row r="45" customFormat="false" ht="23.85" hidden="false" customHeight="false" outlineLevel="0" collapsed="false">
      <c r="A45" s="6" t="n">
        <v>44</v>
      </c>
      <c r="B45" s="6" t="s">
        <v>435</v>
      </c>
      <c r="C45" s="6" t="s">
        <v>436</v>
      </c>
      <c r="D45" s="6" t="n">
        <f aca="false">VALUE(LEFT(B45,4))</f>
        <v>1814</v>
      </c>
      <c r="E45" s="6" t="n">
        <f aca="false">INT((D45-1)/100)+1</f>
        <v>19</v>
      </c>
      <c r="F45" s="6" t="s">
        <v>238</v>
      </c>
      <c r="G45" s="6" t="s">
        <v>437</v>
      </c>
      <c r="H45" s="6" t="s">
        <v>438</v>
      </c>
      <c r="I45" s="6" t="s">
        <v>439</v>
      </c>
      <c r="J45" s="6" t="s">
        <v>431</v>
      </c>
      <c r="K45" s="6" t="s">
        <v>440</v>
      </c>
      <c r="L45" s="6" t="s">
        <v>86</v>
      </c>
      <c r="M45" s="6"/>
      <c r="N45" s="6" t="s">
        <v>18</v>
      </c>
      <c r="O45" s="6" t="s">
        <v>75</v>
      </c>
      <c r="P45" s="6"/>
      <c r="Q45" s="6" t="s">
        <v>435</v>
      </c>
      <c r="R45" s="6" t="n">
        <f aca="false">VALUE(LEFT(Q45,4))</f>
        <v>1814</v>
      </c>
      <c r="S45" s="6" t="n">
        <f aca="false">VALUE(MID(Q45,6,2))</f>
        <v>12</v>
      </c>
      <c r="T45" s="6" t="n">
        <f aca="false">VALUE(RIGHT(Q45,2))</f>
        <v>20</v>
      </c>
      <c r="U45" s="6" t="s">
        <v>125</v>
      </c>
      <c r="V45" s="6" t="s">
        <v>126</v>
      </c>
    </row>
    <row r="46" customFormat="false" ht="57.45" hidden="false" customHeight="false" outlineLevel="0" collapsed="false">
      <c r="A46" s="6" t="n">
        <v>45</v>
      </c>
      <c r="B46" s="6" t="s">
        <v>441</v>
      </c>
      <c r="C46" s="6" t="s">
        <v>442</v>
      </c>
      <c r="D46" s="6" t="n">
        <f aca="false">VALUE(LEFT(B46,4))</f>
        <v>1815</v>
      </c>
      <c r="E46" s="6" t="n">
        <f aca="false">INT((D46-1)/100)+1</f>
        <v>19</v>
      </c>
      <c r="F46" s="6" t="s">
        <v>238</v>
      </c>
      <c r="G46" s="6" t="s">
        <v>443</v>
      </c>
      <c r="H46" s="6" t="s">
        <v>444</v>
      </c>
      <c r="I46" s="6" t="s">
        <v>445</v>
      </c>
      <c r="J46" s="6" t="s">
        <v>446</v>
      </c>
      <c r="K46" s="6" t="s">
        <v>447</v>
      </c>
      <c r="L46" s="6" t="s">
        <v>86</v>
      </c>
      <c r="M46" s="6"/>
      <c r="N46" s="6" t="s">
        <v>18</v>
      </c>
      <c r="O46" s="6" t="s">
        <v>75</v>
      </c>
      <c r="P46" s="6" t="s">
        <v>448</v>
      </c>
      <c r="Q46" s="6" t="s">
        <v>441</v>
      </c>
      <c r="R46" s="6" t="n">
        <f aca="false">VALUE(LEFT(Q46,4))</f>
        <v>1815</v>
      </c>
      <c r="S46" s="6" t="n">
        <f aca="false">VALUE(MID(Q46,6,2))</f>
        <v>1</v>
      </c>
      <c r="T46" s="6" t="n">
        <f aca="false">VALUE(RIGHT(Q46,2))</f>
        <v>31</v>
      </c>
      <c r="U46" s="6" t="s">
        <v>125</v>
      </c>
      <c r="V46" s="6" t="s">
        <v>126</v>
      </c>
    </row>
    <row r="47" customFormat="false" ht="46.25" hidden="false" customHeight="false" outlineLevel="0" collapsed="false">
      <c r="A47" s="6" t="n">
        <v>46</v>
      </c>
      <c r="B47" s="6" t="s">
        <v>449</v>
      </c>
      <c r="C47" s="6" t="s">
        <v>449</v>
      </c>
      <c r="D47" s="6" t="n">
        <f aca="false">VALUE(LEFT(B47,4))</f>
        <v>1815</v>
      </c>
      <c r="E47" s="6" t="n">
        <f aca="false">INT((D47-1)/100)+1</f>
        <v>19</v>
      </c>
      <c r="F47" s="6" t="s">
        <v>67</v>
      </c>
      <c r="G47" s="6" t="s">
        <v>450</v>
      </c>
      <c r="H47" s="6" t="s">
        <v>451</v>
      </c>
      <c r="I47" s="6" t="s">
        <v>452</v>
      </c>
      <c r="J47" s="6" t="s">
        <v>453</v>
      </c>
      <c r="K47" s="6" t="s">
        <v>454</v>
      </c>
      <c r="L47" s="6" t="s">
        <v>455</v>
      </c>
      <c r="M47" s="6" t="s">
        <v>74</v>
      </c>
      <c r="N47" s="6" t="s">
        <v>20</v>
      </c>
      <c r="O47" s="6" t="s">
        <v>75</v>
      </c>
      <c r="P47" s="6" t="s">
        <v>456</v>
      </c>
      <c r="Q47" s="6" t="s">
        <v>449</v>
      </c>
      <c r="R47" s="6" t="n">
        <f aca="false">VALUE(LEFT(Q47,4))</f>
        <v>1815</v>
      </c>
      <c r="S47" s="6" t="n">
        <f aca="false">VALUE(MID(Q47,6,2))</f>
        <v>9</v>
      </c>
      <c r="T47" s="6" t="n">
        <f aca="false">VALUE(RIGHT(Q47,2))</f>
        <v>23</v>
      </c>
      <c r="U47" s="6" t="s">
        <v>77</v>
      </c>
      <c r="V47" s="6" t="s">
        <v>78</v>
      </c>
    </row>
    <row r="48" customFormat="false" ht="35.05" hidden="false" customHeight="false" outlineLevel="0" collapsed="false">
      <c r="A48" s="6" t="n">
        <v>47</v>
      </c>
      <c r="B48" s="6" t="s">
        <v>457</v>
      </c>
      <c r="C48" s="6" t="s">
        <v>458</v>
      </c>
      <c r="D48" s="6" t="n">
        <f aca="false">VALUE(LEFT(B48,4))</f>
        <v>1816</v>
      </c>
      <c r="E48" s="6" t="n">
        <f aca="false">INT((D48-1)/100)+1</f>
        <v>19</v>
      </c>
      <c r="F48" s="6" t="s">
        <v>459</v>
      </c>
      <c r="G48" s="6" t="s">
        <v>460</v>
      </c>
      <c r="H48" s="6" t="s">
        <v>461</v>
      </c>
      <c r="I48" s="6" t="s">
        <v>462</v>
      </c>
      <c r="J48" s="6" t="s">
        <v>332</v>
      </c>
      <c r="K48" s="6" t="s">
        <v>463</v>
      </c>
      <c r="L48" s="6" t="s">
        <v>425</v>
      </c>
      <c r="M48" s="6"/>
      <c r="N48" s="6" t="s">
        <v>18</v>
      </c>
      <c r="O48" s="6" t="s">
        <v>94</v>
      </c>
      <c r="P48" s="6"/>
      <c r="Q48" s="6" t="s">
        <v>457</v>
      </c>
      <c r="R48" s="6" t="n">
        <f aca="false">VALUE(LEFT(Q48,4))</f>
        <v>1816</v>
      </c>
      <c r="S48" s="6" t="n">
        <f aca="false">VALUE(MID(Q48,6,2))</f>
        <v>5</v>
      </c>
      <c r="T48" s="6" t="n">
        <f aca="false">VALUE(RIGHT(Q48,2))</f>
        <v>12</v>
      </c>
      <c r="U48" s="6" t="s">
        <v>125</v>
      </c>
      <c r="V48" s="6" t="s">
        <v>126</v>
      </c>
    </row>
    <row r="49" customFormat="false" ht="68.65" hidden="false" customHeight="false" outlineLevel="0" collapsed="false">
      <c r="A49" s="6" t="n">
        <v>48</v>
      </c>
      <c r="B49" s="6" t="s">
        <v>464</v>
      </c>
      <c r="C49" s="6" t="s">
        <v>465</v>
      </c>
      <c r="D49" s="6" t="n">
        <f aca="false">VALUE(LEFT(B49,4))</f>
        <v>1816</v>
      </c>
      <c r="E49" s="6" t="n">
        <f aca="false">INT((D49-1)/100)+1</f>
        <v>19</v>
      </c>
      <c r="F49" s="6" t="s">
        <v>466</v>
      </c>
      <c r="G49" s="6" t="s">
        <v>467</v>
      </c>
      <c r="H49" s="6" t="s">
        <v>468</v>
      </c>
      <c r="I49" s="6" t="s">
        <v>469</v>
      </c>
      <c r="J49" s="6" t="s">
        <v>470</v>
      </c>
      <c r="K49" s="6" t="s">
        <v>471</v>
      </c>
      <c r="L49" s="6" t="s">
        <v>86</v>
      </c>
      <c r="M49" s="6" t="s">
        <v>472</v>
      </c>
      <c r="N49" s="6" t="s">
        <v>18</v>
      </c>
      <c r="O49" s="6" t="s">
        <v>75</v>
      </c>
      <c r="P49" s="6" t="s">
        <v>473</v>
      </c>
      <c r="Q49" s="6" t="s">
        <v>464</v>
      </c>
      <c r="R49" s="6" t="n">
        <f aca="false">VALUE(LEFT(Q49,4))</f>
        <v>1816</v>
      </c>
      <c r="S49" s="6" t="n">
        <f aca="false">VALUE(MID(Q49,6,2))</f>
        <v>6</v>
      </c>
      <c r="T49" s="6" t="n">
        <f aca="false">VALUE(RIGHT(Q49,2))</f>
        <v>6</v>
      </c>
      <c r="U49" s="6" t="s">
        <v>125</v>
      </c>
      <c r="V49" s="6" t="s">
        <v>126</v>
      </c>
    </row>
    <row r="50" customFormat="false" ht="35.05" hidden="false" customHeight="false" outlineLevel="0" collapsed="false">
      <c r="A50" s="6" t="n">
        <v>49</v>
      </c>
      <c r="B50" s="6" t="s">
        <v>474</v>
      </c>
      <c r="C50" s="6" t="s">
        <v>475</v>
      </c>
      <c r="D50" s="6" t="n">
        <f aca="false">VALUE(LEFT(B50,4))</f>
        <v>1816</v>
      </c>
      <c r="E50" s="6" t="n">
        <f aca="false">INT((D50-1)/100)+1</f>
        <v>19</v>
      </c>
      <c r="F50" s="6" t="s">
        <v>459</v>
      </c>
      <c r="G50" s="6" t="s">
        <v>476</v>
      </c>
      <c r="H50" s="6" t="s">
        <v>477</v>
      </c>
      <c r="I50" s="6" t="s">
        <v>478</v>
      </c>
      <c r="J50" s="6" t="s">
        <v>479</v>
      </c>
      <c r="K50" s="6"/>
      <c r="L50" s="6" t="s">
        <v>425</v>
      </c>
      <c r="M50" s="6"/>
      <c r="N50" s="6" t="s">
        <v>20</v>
      </c>
      <c r="O50" s="6" t="s">
        <v>94</v>
      </c>
      <c r="P50" s="6" t="s">
        <v>480</v>
      </c>
      <c r="Q50" s="6" t="s">
        <v>474</v>
      </c>
      <c r="R50" s="6" t="n">
        <f aca="false">VALUE(LEFT(Q50,4))</f>
        <v>1816</v>
      </c>
      <c r="S50" s="6" t="n">
        <f aca="false">VALUE(MID(Q50,6,2))</f>
        <v>7</v>
      </c>
      <c r="T50" s="6" t="n">
        <f aca="false">VALUE(RIGHT(Q50,2))</f>
        <v>4</v>
      </c>
      <c r="U50" s="6" t="s">
        <v>125</v>
      </c>
      <c r="V50" s="6" t="s">
        <v>126</v>
      </c>
    </row>
    <row r="51" customFormat="false" ht="23.85" hidden="false" customHeight="false" outlineLevel="0" collapsed="false">
      <c r="A51" s="6" t="n">
        <v>50</v>
      </c>
      <c r="B51" s="6" t="s">
        <v>481</v>
      </c>
      <c r="C51" s="6" t="s">
        <v>481</v>
      </c>
      <c r="D51" s="6" t="n">
        <f aca="false">VALUE(LEFT(B51,4))</f>
        <v>1816</v>
      </c>
      <c r="E51" s="6" t="n">
        <f aca="false">INT((D51-1)/100)+1</f>
        <v>19</v>
      </c>
      <c r="F51" s="6" t="s">
        <v>459</v>
      </c>
      <c r="G51" s="6" t="s">
        <v>482</v>
      </c>
      <c r="H51" s="6" t="s">
        <v>483</v>
      </c>
      <c r="I51" s="6" t="s">
        <v>484</v>
      </c>
      <c r="J51" s="6" t="s">
        <v>485</v>
      </c>
      <c r="K51" s="6" t="s">
        <v>486</v>
      </c>
      <c r="L51" s="6" t="s">
        <v>86</v>
      </c>
      <c r="M51" s="6"/>
      <c r="N51" s="6" t="s">
        <v>18</v>
      </c>
      <c r="O51" s="6" t="s">
        <v>75</v>
      </c>
      <c r="P51" s="6"/>
      <c r="Q51" s="6" t="s">
        <v>481</v>
      </c>
      <c r="R51" s="6" t="n">
        <f aca="false">VALUE(LEFT(Q51,4))</f>
        <v>1816</v>
      </c>
      <c r="S51" s="6" t="n">
        <f aca="false">VALUE(MID(Q51,6,2))</f>
        <v>8</v>
      </c>
      <c r="T51" s="6" t="n">
        <f aca="false">VALUE(RIGHT(Q51,2))</f>
        <v>21</v>
      </c>
      <c r="U51" s="6" t="s">
        <v>77</v>
      </c>
      <c r="V51" s="6" t="s">
        <v>78</v>
      </c>
    </row>
    <row r="52" customFormat="false" ht="23.85" hidden="false" customHeight="false" outlineLevel="0" collapsed="false">
      <c r="A52" s="6" t="n">
        <v>51</v>
      </c>
      <c r="B52" s="6" t="s">
        <v>487</v>
      </c>
      <c r="C52" s="6" t="s">
        <v>487</v>
      </c>
      <c r="D52" s="6" t="n">
        <f aca="false">VALUE(LEFT(B52,4))</f>
        <v>1816</v>
      </c>
      <c r="E52" s="6" t="n">
        <f aca="false">INT((D52-1)/100)+1</f>
        <v>19</v>
      </c>
      <c r="F52" s="6" t="s">
        <v>459</v>
      </c>
      <c r="G52" s="6" t="s">
        <v>488</v>
      </c>
      <c r="H52" s="6" t="s">
        <v>483</v>
      </c>
      <c r="I52" s="6" t="s">
        <v>489</v>
      </c>
      <c r="J52" s="6" t="s">
        <v>485</v>
      </c>
      <c r="K52" s="6" t="s">
        <v>490</v>
      </c>
      <c r="L52" s="6" t="s">
        <v>86</v>
      </c>
      <c r="M52" s="6"/>
      <c r="N52" s="6" t="s">
        <v>18</v>
      </c>
      <c r="O52" s="6" t="s">
        <v>75</v>
      </c>
      <c r="P52" s="6"/>
      <c r="Q52" s="6" t="s">
        <v>487</v>
      </c>
      <c r="R52" s="6" t="n">
        <f aca="false">VALUE(LEFT(Q52,4))</f>
        <v>1816</v>
      </c>
      <c r="S52" s="6" t="n">
        <f aca="false">VALUE(MID(Q52,6,2))</f>
        <v>8</v>
      </c>
      <c r="T52" s="6" t="n">
        <f aca="false">VALUE(RIGHT(Q52,2))</f>
        <v>29</v>
      </c>
      <c r="U52" s="6" t="s">
        <v>77</v>
      </c>
      <c r="V52" s="6" t="s">
        <v>78</v>
      </c>
    </row>
    <row r="53" customFormat="false" ht="23.85" hidden="false" customHeight="false" outlineLevel="0" collapsed="false">
      <c r="A53" s="6" t="n">
        <v>52</v>
      </c>
      <c r="B53" s="6" t="s">
        <v>491</v>
      </c>
      <c r="C53" s="6" t="s">
        <v>491</v>
      </c>
      <c r="D53" s="6" t="n">
        <f aca="false">VALUE(LEFT(B53,4))</f>
        <v>1816</v>
      </c>
      <c r="E53" s="6" t="n">
        <f aca="false">INT((D53-1)/100)+1</f>
        <v>19</v>
      </c>
      <c r="F53" s="6" t="s">
        <v>459</v>
      </c>
      <c r="G53" s="6" t="s">
        <v>492</v>
      </c>
      <c r="H53" s="6" t="s">
        <v>493</v>
      </c>
      <c r="I53" s="6" t="s">
        <v>494</v>
      </c>
      <c r="J53" s="6" t="s">
        <v>485</v>
      </c>
      <c r="K53" s="6" t="s">
        <v>495</v>
      </c>
      <c r="L53" s="6" t="s">
        <v>86</v>
      </c>
      <c r="M53" s="6"/>
      <c r="N53" s="6" t="s">
        <v>18</v>
      </c>
      <c r="O53" s="6" t="s">
        <v>75</v>
      </c>
      <c r="P53" s="6"/>
      <c r="Q53" s="6" t="s">
        <v>491</v>
      </c>
      <c r="R53" s="6" t="n">
        <f aca="false">VALUE(LEFT(Q53,4))</f>
        <v>1816</v>
      </c>
      <c r="S53" s="6" t="n">
        <f aca="false">VALUE(MID(Q53,6,2))</f>
        <v>9</v>
      </c>
      <c r="T53" s="6" t="n">
        <f aca="false">VALUE(RIGHT(Q53,2))</f>
        <v>27</v>
      </c>
      <c r="U53" s="6" t="s">
        <v>77</v>
      </c>
      <c r="V53" s="6" t="s">
        <v>78</v>
      </c>
    </row>
    <row r="54" customFormat="false" ht="35.05" hidden="false" customHeight="false" outlineLevel="0" collapsed="false">
      <c r="A54" s="6" t="n">
        <v>53</v>
      </c>
      <c r="B54" s="6" t="s">
        <v>496</v>
      </c>
      <c r="C54" s="6" t="s">
        <v>497</v>
      </c>
      <c r="D54" s="6" t="n">
        <f aca="false">VALUE(LEFT(B54,4))</f>
        <v>1817</v>
      </c>
      <c r="E54" s="6" t="n">
        <f aca="false">INT((D54-1)/100)+1</f>
        <v>19</v>
      </c>
      <c r="F54" s="6" t="s">
        <v>238</v>
      </c>
      <c r="G54" s="6" t="s">
        <v>498</v>
      </c>
      <c r="H54" s="6" t="s">
        <v>422</v>
      </c>
      <c r="I54" s="6" t="s">
        <v>499</v>
      </c>
      <c r="J54" s="6" t="s">
        <v>500</v>
      </c>
      <c r="K54" s="6" t="s">
        <v>501</v>
      </c>
      <c r="L54" s="6" t="s">
        <v>86</v>
      </c>
      <c r="M54" s="6"/>
      <c r="N54" s="6" t="s">
        <v>18</v>
      </c>
      <c r="O54" s="6" t="s">
        <v>75</v>
      </c>
      <c r="P54" s="6"/>
      <c r="Q54" s="6" t="s">
        <v>496</v>
      </c>
      <c r="R54" s="6" t="n">
        <f aca="false">VALUE(LEFT(Q54,4))</f>
        <v>1817</v>
      </c>
      <c r="S54" s="6" t="n">
        <f aca="false">VALUE(MID(Q54,6,2))</f>
        <v>1</v>
      </c>
      <c r="T54" s="6" t="n">
        <f aca="false">VALUE(RIGHT(Q54,2))</f>
        <v>12</v>
      </c>
      <c r="U54" s="6" t="s">
        <v>125</v>
      </c>
      <c r="V54" s="6" t="s">
        <v>126</v>
      </c>
    </row>
    <row r="55" customFormat="false" ht="46.25" hidden="false" customHeight="false" outlineLevel="0" collapsed="false">
      <c r="A55" s="6" t="n">
        <v>54</v>
      </c>
      <c r="B55" s="6" t="s">
        <v>502</v>
      </c>
      <c r="C55" s="6" t="s">
        <v>502</v>
      </c>
      <c r="D55" s="6" t="n">
        <f aca="false">VALUE(LEFT(B55,4))</f>
        <v>1817</v>
      </c>
      <c r="E55" s="6" t="n">
        <f aca="false">INT((D55-1)/100)+1</f>
        <v>19</v>
      </c>
      <c r="F55" s="6" t="s">
        <v>238</v>
      </c>
      <c r="G55" s="6" t="s">
        <v>503</v>
      </c>
      <c r="H55" s="6" t="s">
        <v>504</v>
      </c>
      <c r="I55" s="6" t="s">
        <v>505</v>
      </c>
      <c r="J55" s="6" t="s">
        <v>506</v>
      </c>
      <c r="K55" s="6" t="s">
        <v>507</v>
      </c>
      <c r="L55" s="6" t="s">
        <v>86</v>
      </c>
      <c r="M55" s="6"/>
      <c r="N55" s="6" t="s">
        <v>18</v>
      </c>
      <c r="O55" s="6" t="s">
        <v>75</v>
      </c>
      <c r="P55" s="6" t="s">
        <v>508</v>
      </c>
      <c r="Q55" s="6" t="s">
        <v>502</v>
      </c>
      <c r="R55" s="6" t="n">
        <f aca="false">VALUE(LEFT(Q55,4))</f>
        <v>1817</v>
      </c>
      <c r="S55" s="6" t="n">
        <f aca="false">VALUE(MID(Q55,6,2))</f>
        <v>2</v>
      </c>
      <c r="T55" s="6" t="n">
        <f aca="false">VALUE(RIGHT(Q55,2))</f>
        <v>15</v>
      </c>
      <c r="U55" s="6" t="s">
        <v>77</v>
      </c>
      <c r="V55" s="6" t="s">
        <v>78</v>
      </c>
    </row>
    <row r="56" customFormat="false" ht="91" hidden="false" customHeight="false" outlineLevel="0" collapsed="false">
      <c r="A56" s="6" t="n">
        <v>55</v>
      </c>
      <c r="B56" s="6" t="s">
        <v>502</v>
      </c>
      <c r="C56" s="6" t="s">
        <v>502</v>
      </c>
      <c r="D56" s="6" t="n">
        <f aca="false">VALUE(LEFT(B56,4))</f>
        <v>1817</v>
      </c>
      <c r="E56" s="6" t="n">
        <f aca="false">INT((D56-1)/100)+1</f>
        <v>19</v>
      </c>
      <c r="F56" s="6" t="s">
        <v>238</v>
      </c>
      <c r="G56" s="6" t="s">
        <v>509</v>
      </c>
      <c r="H56" s="6" t="s">
        <v>310</v>
      </c>
      <c r="I56" s="6" t="s">
        <v>510</v>
      </c>
      <c r="J56" s="6" t="s">
        <v>312</v>
      </c>
      <c r="K56" s="6" t="s">
        <v>511</v>
      </c>
      <c r="L56" s="6" t="s">
        <v>314</v>
      </c>
      <c r="M56" s="6" t="s">
        <v>315</v>
      </c>
      <c r="N56" s="6" t="s">
        <v>16</v>
      </c>
      <c r="O56" s="6" t="s">
        <v>75</v>
      </c>
      <c r="P56" s="6" t="s">
        <v>512</v>
      </c>
      <c r="Q56" s="6" t="s">
        <v>502</v>
      </c>
      <c r="R56" s="6" t="n">
        <f aca="false">VALUE(LEFT(Q56,4))</f>
        <v>1817</v>
      </c>
      <c r="S56" s="6" t="n">
        <f aca="false">VALUE(MID(Q56,6,2))</f>
        <v>2</v>
      </c>
      <c r="T56" s="6" t="n">
        <f aca="false">VALUE(RIGHT(Q56,2))</f>
        <v>15</v>
      </c>
      <c r="U56" s="6" t="s">
        <v>77</v>
      </c>
      <c r="V56" s="6" t="s">
        <v>78</v>
      </c>
    </row>
    <row r="57" customFormat="false" ht="35.05" hidden="false" customHeight="false" outlineLevel="0" collapsed="false">
      <c r="A57" s="6" t="n">
        <v>56</v>
      </c>
      <c r="B57" s="6" t="s">
        <v>513</v>
      </c>
      <c r="C57" s="6" t="s">
        <v>514</v>
      </c>
      <c r="D57" s="6" t="n">
        <f aca="false">VALUE(LEFT(B57,4))</f>
        <v>1817</v>
      </c>
      <c r="E57" s="6" t="n">
        <f aca="false">INT((D57-1)/100)+1</f>
        <v>19</v>
      </c>
      <c r="F57" s="6" t="s">
        <v>159</v>
      </c>
      <c r="G57" s="6" t="s">
        <v>515</v>
      </c>
      <c r="H57" s="6" t="s">
        <v>516</v>
      </c>
      <c r="I57" s="6" t="s">
        <v>517</v>
      </c>
      <c r="J57" s="6" t="s">
        <v>518</v>
      </c>
      <c r="K57" s="6" t="s">
        <v>519</v>
      </c>
      <c r="L57" s="6" t="s">
        <v>86</v>
      </c>
      <c r="M57" s="6"/>
      <c r="N57" s="6" t="s">
        <v>18</v>
      </c>
      <c r="O57" s="6" t="s">
        <v>75</v>
      </c>
      <c r="P57" s="6" t="s">
        <v>520</v>
      </c>
      <c r="Q57" s="6" t="s">
        <v>513</v>
      </c>
      <c r="R57" s="6" t="n">
        <f aca="false">VALUE(LEFT(Q57,4))</f>
        <v>1817</v>
      </c>
      <c r="S57" s="6" t="n">
        <f aca="false">VALUE(MID(Q57,6,2))</f>
        <v>2</v>
      </c>
      <c r="T57" s="6" t="n">
        <f aca="false">VALUE(RIGHT(Q57,2))</f>
        <v>24</v>
      </c>
      <c r="U57" s="6" t="s">
        <v>125</v>
      </c>
      <c r="V57" s="6" t="s">
        <v>126</v>
      </c>
    </row>
    <row r="58" customFormat="false" ht="91" hidden="false" customHeight="false" outlineLevel="0" collapsed="false">
      <c r="A58" s="6" t="n">
        <v>57</v>
      </c>
      <c r="B58" s="6" t="s">
        <v>521</v>
      </c>
      <c r="C58" s="6" t="s">
        <v>521</v>
      </c>
      <c r="D58" s="6" t="n">
        <f aca="false">VALUE(LEFT(B58,4))</f>
        <v>1821</v>
      </c>
      <c r="E58" s="6" t="n">
        <f aca="false">INT((D58-1)/100)+1</f>
        <v>19</v>
      </c>
      <c r="F58" s="6" t="s">
        <v>118</v>
      </c>
      <c r="G58" s="6" t="s">
        <v>522</v>
      </c>
      <c r="H58" s="6" t="s">
        <v>310</v>
      </c>
      <c r="I58" s="6" t="s">
        <v>523</v>
      </c>
      <c r="J58" s="6" t="s">
        <v>312</v>
      </c>
      <c r="K58" s="6" t="s">
        <v>524</v>
      </c>
      <c r="L58" s="6" t="s">
        <v>314</v>
      </c>
      <c r="M58" s="6" t="s">
        <v>315</v>
      </c>
      <c r="N58" s="6" t="s">
        <v>16</v>
      </c>
      <c r="O58" s="6" t="s">
        <v>75</v>
      </c>
      <c r="P58" s="6" t="s">
        <v>525</v>
      </c>
      <c r="Q58" s="6" t="s">
        <v>521</v>
      </c>
      <c r="R58" s="6" t="n">
        <f aca="false">VALUE(LEFT(Q58,4))</f>
        <v>1821</v>
      </c>
      <c r="S58" s="6" t="n">
        <f aca="false">VALUE(MID(Q58,6,2))</f>
        <v>1</v>
      </c>
      <c r="T58" s="6" t="n">
        <f aca="false">VALUE(RIGHT(Q58,2))</f>
        <v>25</v>
      </c>
      <c r="U58" s="6" t="s">
        <v>77</v>
      </c>
      <c r="V58" s="6" t="s">
        <v>78</v>
      </c>
    </row>
    <row r="59" customFormat="false" ht="35.05" hidden="false" customHeight="false" outlineLevel="0" collapsed="false">
      <c r="A59" s="6" t="n">
        <v>58</v>
      </c>
      <c r="B59" s="6" t="s">
        <v>526</v>
      </c>
      <c r="C59" s="6" t="s">
        <v>526</v>
      </c>
      <c r="D59" s="6" t="n">
        <f aca="false">VALUE(LEFT(B59,4))</f>
        <v>1821</v>
      </c>
      <c r="E59" s="6" t="n">
        <f aca="false">INT((D59-1)/100)+1</f>
        <v>19</v>
      </c>
      <c r="F59" s="6" t="s">
        <v>67</v>
      </c>
      <c r="G59" s="6" t="s">
        <v>527</v>
      </c>
      <c r="H59" s="6" t="s">
        <v>120</v>
      </c>
      <c r="I59" s="6" t="s">
        <v>528</v>
      </c>
      <c r="J59" s="6" t="s">
        <v>332</v>
      </c>
      <c r="K59" s="6" t="s">
        <v>529</v>
      </c>
      <c r="L59" s="6" t="s">
        <v>425</v>
      </c>
      <c r="M59" s="6"/>
      <c r="N59" s="6" t="s">
        <v>20</v>
      </c>
      <c r="O59" s="6" t="s">
        <v>94</v>
      </c>
      <c r="P59" s="6"/>
      <c r="Q59" s="6" t="s">
        <v>526</v>
      </c>
      <c r="R59" s="6" t="n">
        <f aca="false">VALUE(LEFT(Q59,4))</f>
        <v>1821</v>
      </c>
      <c r="S59" s="6" t="n">
        <f aca="false">VALUE(MID(Q59,6,2))</f>
        <v>9</v>
      </c>
      <c r="T59" s="6" t="n">
        <f aca="false">VALUE(RIGHT(Q59,2))</f>
        <v>3</v>
      </c>
      <c r="U59" s="6" t="s">
        <v>77</v>
      </c>
      <c r="V59" s="6" t="s">
        <v>78</v>
      </c>
    </row>
    <row r="60" customFormat="false" ht="79.85" hidden="false" customHeight="false" outlineLevel="0" collapsed="false">
      <c r="A60" s="6" t="n">
        <v>59</v>
      </c>
      <c r="B60" s="6" t="s">
        <v>526</v>
      </c>
      <c r="C60" s="6" t="s">
        <v>526</v>
      </c>
      <c r="D60" s="6" t="n">
        <f aca="false">VALUE(LEFT(B60,4))</f>
        <v>1821</v>
      </c>
      <c r="E60" s="6" t="n">
        <f aca="false">INT((D60-1)/100)+1</f>
        <v>19</v>
      </c>
      <c r="F60" s="6" t="s">
        <v>67</v>
      </c>
      <c r="G60" s="6" t="s">
        <v>530</v>
      </c>
      <c r="H60" s="6" t="s">
        <v>531</v>
      </c>
      <c r="I60" s="6" t="s">
        <v>532</v>
      </c>
      <c r="J60" s="6" t="s">
        <v>533</v>
      </c>
      <c r="K60" s="6" t="s">
        <v>534</v>
      </c>
      <c r="L60" s="6" t="s">
        <v>455</v>
      </c>
      <c r="M60" s="6" t="s">
        <v>74</v>
      </c>
      <c r="N60" s="6" t="s">
        <v>18</v>
      </c>
      <c r="O60" s="6" t="s">
        <v>75</v>
      </c>
      <c r="P60" s="6" t="s">
        <v>535</v>
      </c>
      <c r="Q60" s="6" t="s">
        <v>526</v>
      </c>
      <c r="R60" s="6" t="n">
        <f aca="false">VALUE(LEFT(Q60,4))</f>
        <v>1821</v>
      </c>
      <c r="S60" s="6" t="n">
        <f aca="false">VALUE(MID(Q60,6,2))</f>
        <v>9</v>
      </c>
      <c r="T60" s="6" t="n">
        <f aca="false">VALUE(RIGHT(Q60,2))</f>
        <v>3</v>
      </c>
      <c r="U60" s="6" t="s">
        <v>77</v>
      </c>
      <c r="V60" s="6" t="s">
        <v>78</v>
      </c>
    </row>
    <row r="61" customFormat="false" ht="91" hidden="false" customHeight="false" outlineLevel="0" collapsed="false">
      <c r="A61" s="6" t="n">
        <v>60</v>
      </c>
      <c r="B61" s="6" t="s">
        <v>536</v>
      </c>
      <c r="C61" s="6" t="s">
        <v>536</v>
      </c>
      <c r="D61" s="6" t="n">
        <f aca="false">VALUE(LEFT(B61,4))</f>
        <v>1826</v>
      </c>
      <c r="E61" s="6" t="n">
        <f aca="false">INT((D61-1)/100)+1</f>
        <v>19</v>
      </c>
      <c r="F61" s="6" t="s">
        <v>420</v>
      </c>
      <c r="G61" s="6" t="s">
        <v>537</v>
      </c>
      <c r="H61" s="6" t="s">
        <v>310</v>
      </c>
      <c r="I61" s="6" t="s">
        <v>538</v>
      </c>
      <c r="J61" s="6" t="s">
        <v>312</v>
      </c>
      <c r="K61" s="6" t="s">
        <v>539</v>
      </c>
      <c r="L61" s="6" t="s">
        <v>314</v>
      </c>
      <c r="M61" s="6" t="s">
        <v>315</v>
      </c>
      <c r="N61" s="6" t="s">
        <v>18</v>
      </c>
      <c r="O61" s="6" t="s">
        <v>75</v>
      </c>
      <c r="P61" s="6"/>
      <c r="Q61" s="6" t="s">
        <v>536</v>
      </c>
      <c r="R61" s="6" t="n">
        <f aca="false">VALUE(LEFT(Q61,4))</f>
        <v>1826</v>
      </c>
      <c r="S61" s="6" t="n">
        <f aca="false">VALUE(MID(Q61,6,2))</f>
        <v>12</v>
      </c>
      <c r="T61" s="6" t="n">
        <f aca="false">VALUE(RIGHT(Q61,2))</f>
        <v>14</v>
      </c>
      <c r="U61" s="6" t="s">
        <v>77</v>
      </c>
      <c r="V61" s="6" t="s">
        <v>78</v>
      </c>
    </row>
    <row r="62" customFormat="false" ht="91" hidden="false" customHeight="false" outlineLevel="0" collapsed="false">
      <c r="A62" s="6" t="n">
        <v>61</v>
      </c>
      <c r="B62" s="6" t="s">
        <v>540</v>
      </c>
      <c r="C62" s="6" t="s">
        <v>541</v>
      </c>
      <c r="D62" s="6" t="n">
        <f aca="false">VALUE(LEFT(B62,4))</f>
        <v>1828</v>
      </c>
      <c r="E62" s="6" t="n">
        <f aca="false">INT((D62-1)/100)+1</f>
        <v>19</v>
      </c>
      <c r="F62" s="6" t="s">
        <v>106</v>
      </c>
      <c r="G62" s="6" t="s">
        <v>542</v>
      </c>
      <c r="H62" s="6" t="s">
        <v>310</v>
      </c>
      <c r="I62" s="6" t="s">
        <v>543</v>
      </c>
      <c r="J62" s="6" t="s">
        <v>312</v>
      </c>
      <c r="K62" s="6" t="s">
        <v>544</v>
      </c>
      <c r="L62" s="6" t="s">
        <v>314</v>
      </c>
      <c r="M62" s="6" t="s">
        <v>315</v>
      </c>
      <c r="N62" s="6" t="s">
        <v>18</v>
      </c>
      <c r="O62" s="6" t="s">
        <v>75</v>
      </c>
      <c r="P62" s="6"/>
      <c r="Q62" s="6" t="s">
        <v>545</v>
      </c>
      <c r="R62" s="6" t="n">
        <f aca="false">VALUE(LEFT(Q62,4))</f>
        <v>1829</v>
      </c>
      <c r="S62" s="6" t="n">
        <f aca="false">VALUE(MID(Q62,6,2))</f>
        <v>1</v>
      </c>
      <c r="T62" s="6" t="n">
        <f aca="false">VALUE(RIGHT(Q62,2))</f>
        <v>29</v>
      </c>
      <c r="U62" s="6" t="s">
        <v>114</v>
      </c>
      <c r="V62" s="6" t="s">
        <v>325</v>
      </c>
    </row>
    <row r="63" customFormat="false" ht="91" hidden="false" customHeight="false" outlineLevel="0" collapsed="false">
      <c r="A63" s="6" t="n">
        <v>62</v>
      </c>
      <c r="B63" s="6" t="s">
        <v>546</v>
      </c>
      <c r="C63" s="6" t="s">
        <v>547</v>
      </c>
      <c r="D63" s="6" t="n">
        <f aca="false">VALUE(LEFT(B63,4))</f>
        <v>1830</v>
      </c>
      <c r="E63" s="6" t="n">
        <f aca="false">INT((D63-1)/100)+1</f>
        <v>19</v>
      </c>
      <c r="F63" s="6" t="s">
        <v>106</v>
      </c>
      <c r="G63" s="6" t="s">
        <v>548</v>
      </c>
      <c r="H63" s="6" t="s">
        <v>310</v>
      </c>
      <c r="I63" s="6" t="s">
        <v>549</v>
      </c>
      <c r="J63" s="6" t="s">
        <v>312</v>
      </c>
      <c r="K63" s="6"/>
      <c r="L63" s="6" t="s">
        <v>314</v>
      </c>
      <c r="M63" s="6" t="s">
        <v>315</v>
      </c>
      <c r="N63" s="6" t="s">
        <v>18</v>
      </c>
      <c r="O63" s="6" t="s">
        <v>75</v>
      </c>
      <c r="P63" s="6"/>
      <c r="Q63" s="6" t="s">
        <v>550</v>
      </c>
      <c r="R63" s="6" t="n">
        <f aca="false">VALUE(LEFT(Q63,4))</f>
        <v>1831</v>
      </c>
      <c r="S63" s="6" t="n">
        <f aca="false">VALUE(MID(Q63,6,2))</f>
        <v>1</v>
      </c>
      <c r="T63" s="6" t="n">
        <f aca="false">VALUE(RIGHT(Q63,2))</f>
        <v>25</v>
      </c>
      <c r="U63" s="6" t="s">
        <v>114</v>
      </c>
      <c r="V63" s="6" t="s">
        <v>325</v>
      </c>
    </row>
    <row r="64" customFormat="false" ht="23.85" hidden="false" customHeight="false" outlineLevel="0" collapsed="false">
      <c r="A64" s="6" t="n">
        <v>63</v>
      </c>
      <c r="B64" s="6" t="s">
        <v>551</v>
      </c>
      <c r="C64" s="6" t="s">
        <v>552</v>
      </c>
      <c r="D64" s="6" t="n">
        <f aca="false">VALUE(LEFT(B64,4))</f>
        <v>1832</v>
      </c>
      <c r="E64" s="6" t="n">
        <f aca="false">INT((D64-1)/100)+1</f>
        <v>19</v>
      </c>
      <c r="F64" s="6" t="s">
        <v>553</v>
      </c>
      <c r="G64" s="6" t="s">
        <v>554</v>
      </c>
      <c r="H64" s="6" t="s">
        <v>555</v>
      </c>
      <c r="I64" s="6" t="s">
        <v>556</v>
      </c>
      <c r="J64" s="6" t="s">
        <v>557</v>
      </c>
      <c r="K64" s="6" t="s">
        <v>558</v>
      </c>
      <c r="L64" s="6" t="s">
        <v>559</v>
      </c>
      <c r="M64" s="6" t="s">
        <v>560</v>
      </c>
      <c r="N64" s="6" t="s">
        <v>20</v>
      </c>
      <c r="O64" s="6" t="s">
        <v>75</v>
      </c>
      <c r="P64" s="6" t="s">
        <v>561</v>
      </c>
      <c r="Q64" s="6" t="s">
        <v>562</v>
      </c>
      <c r="R64" s="6" t="n">
        <f aca="false">VALUE(LEFT(Q64,4))</f>
        <v>1832</v>
      </c>
      <c r="S64" s="6" t="n">
        <f aca="false">VALUE(MID(Q64,6,2))</f>
        <v>3</v>
      </c>
      <c r="T64" s="6" t="n">
        <f aca="false">VALUE(RIGHT(Q64,2))</f>
        <v>8</v>
      </c>
      <c r="U64" s="6" t="s">
        <v>317</v>
      </c>
      <c r="V64" s="6" t="s">
        <v>318</v>
      </c>
    </row>
    <row r="65" customFormat="false" ht="23.85" hidden="false" customHeight="false" outlineLevel="0" collapsed="false">
      <c r="A65" s="6" t="n">
        <v>64</v>
      </c>
      <c r="B65" s="6" t="s">
        <v>563</v>
      </c>
      <c r="C65" s="6" t="s">
        <v>564</v>
      </c>
      <c r="D65" s="6" t="n">
        <f aca="false">VALUE(LEFT(B65,4))</f>
        <v>1835</v>
      </c>
      <c r="E65" s="6" t="n">
        <f aca="false">INT((D65-1)/100)+1</f>
        <v>19</v>
      </c>
      <c r="F65" s="6" t="s">
        <v>238</v>
      </c>
      <c r="G65" s="6" t="s">
        <v>565</v>
      </c>
      <c r="H65" s="6" t="s">
        <v>566</v>
      </c>
      <c r="I65" s="6" t="s">
        <v>567</v>
      </c>
      <c r="J65" s="6" t="s">
        <v>332</v>
      </c>
      <c r="K65" s="6" t="s">
        <v>568</v>
      </c>
      <c r="L65" s="6" t="s">
        <v>569</v>
      </c>
      <c r="M65" s="6" t="s">
        <v>570</v>
      </c>
      <c r="N65" s="6" t="s">
        <v>18</v>
      </c>
      <c r="O65" s="6" t="s">
        <v>75</v>
      </c>
      <c r="P65" s="6" t="s">
        <v>571</v>
      </c>
      <c r="Q65" s="6" t="s">
        <v>563</v>
      </c>
      <c r="R65" s="6" t="n">
        <f aca="false">VALUE(LEFT(Q65,4))</f>
        <v>1835</v>
      </c>
      <c r="S65" s="6" t="n">
        <f aca="false">VALUE(MID(Q65,6,2))</f>
        <v>12</v>
      </c>
      <c r="T65" s="6" t="n">
        <f aca="false">VALUE(RIGHT(Q65,2))</f>
        <v>16</v>
      </c>
      <c r="U65" s="6" t="s">
        <v>125</v>
      </c>
      <c r="V65" s="6" t="s">
        <v>126</v>
      </c>
    </row>
    <row r="66" customFormat="false" ht="35.05" hidden="false" customHeight="false" outlineLevel="0" collapsed="false">
      <c r="A66" s="6" t="n">
        <v>65</v>
      </c>
      <c r="B66" s="6" t="s">
        <v>563</v>
      </c>
      <c r="C66" s="6" t="s">
        <v>572</v>
      </c>
      <c r="D66" s="6" t="n">
        <f aca="false">VALUE(LEFT(B66,4))</f>
        <v>1835</v>
      </c>
      <c r="E66" s="6" t="n">
        <f aca="false">INT((D66-1)/100)+1</f>
        <v>19</v>
      </c>
      <c r="F66" s="6" t="s">
        <v>106</v>
      </c>
      <c r="G66" s="6" t="s">
        <v>573</v>
      </c>
      <c r="H66" s="6" t="s">
        <v>574</v>
      </c>
      <c r="I66" s="6" t="s">
        <v>575</v>
      </c>
      <c r="J66" s="6" t="s">
        <v>332</v>
      </c>
      <c r="K66" s="6" t="s">
        <v>576</v>
      </c>
      <c r="L66" s="6" t="s">
        <v>425</v>
      </c>
      <c r="M66" s="6"/>
      <c r="N66" s="6" t="s">
        <v>20</v>
      </c>
      <c r="O66" s="6" t="s">
        <v>94</v>
      </c>
      <c r="P66" s="6" t="s">
        <v>577</v>
      </c>
      <c r="Q66" s="6" t="s">
        <v>578</v>
      </c>
      <c r="R66" s="6" t="n">
        <f aca="false">VALUE(LEFT(Q66,4))</f>
        <v>1836</v>
      </c>
      <c r="S66" s="6" t="n">
        <f aca="false">VALUE(MID(Q66,6,2))</f>
        <v>2</v>
      </c>
      <c r="T66" s="6" t="n">
        <f aca="false">VALUE(RIGHT(Q66,2))</f>
        <v>14</v>
      </c>
      <c r="U66" s="6" t="s">
        <v>114</v>
      </c>
      <c r="V66" s="6" t="s">
        <v>325</v>
      </c>
    </row>
    <row r="67" customFormat="false" ht="35.05" hidden="false" customHeight="false" outlineLevel="0" collapsed="false">
      <c r="A67" s="6" t="n">
        <v>66</v>
      </c>
      <c r="B67" s="6" t="s">
        <v>579</v>
      </c>
      <c r="C67" s="6" t="s">
        <v>579</v>
      </c>
      <c r="D67" s="6" t="n">
        <f aca="false">VALUE(LEFT(B67,4))</f>
        <v>1837</v>
      </c>
      <c r="E67" s="6" t="n">
        <f aca="false">INT((D67-1)/100)+1</f>
        <v>19</v>
      </c>
      <c r="F67" s="6" t="s">
        <v>580</v>
      </c>
      <c r="G67" s="6" t="s">
        <v>581</v>
      </c>
      <c r="H67" s="6" t="s">
        <v>582</v>
      </c>
      <c r="I67" s="6" t="s">
        <v>583</v>
      </c>
      <c r="J67" s="6" t="s">
        <v>332</v>
      </c>
      <c r="K67" s="6" t="s">
        <v>584</v>
      </c>
      <c r="L67" s="6" t="s">
        <v>585</v>
      </c>
      <c r="M67" s="6" t="s">
        <v>586</v>
      </c>
      <c r="N67" s="6" t="s">
        <v>18</v>
      </c>
      <c r="O67" s="6" t="s">
        <v>75</v>
      </c>
      <c r="P67" s="6" t="s">
        <v>587</v>
      </c>
      <c r="Q67" s="6" t="s">
        <v>579</v>
      </c>
      <c r="R67" s="6" t="n">
        <f aca="false">VALUE(LEFT(Q67,4))</f>
        <v>1837</v>
      </c>
      <c r="S67" s="6" t="n">
        <f aca="false">VALUE(MID(Q67,6,2))</f>
        <v>1</v>
      </c>
      <c r="T67" s="6" t="n">
        <f aca="false">VALUE(RIGHT(Q67,2))</f>
        <v>1</v>
      </c>
      <c r="U67" s="6" t="s">
        <v>77</v>
      </c>
      <c r="V67" s="6" t="s">
        <v>78</v>
      </c>
    </row>
    <row r="68" customFormat="false" ht="46.25" hidden="false" customHeight="false" outlineLevel="0" collapsed="false">
      <c r="A68" s="6" t="n">
        <v>67</v>
      </c>
      <c r="B68" s="6" t="s">
        <v>588</v>
      </c>
      <c r="C68" s="6" t="s">
        <v>588</v>
      </c>
      <c r="D68" s="6" t="n">
        <f aca="false">VALUE(LEFT(B68,4))</f>
        <v>1839</v>
      </c>
      <c r="E68" s="6" t="n">
        <f aca="false">INT((D68-1)/100)+1</f>
        <v>19</v>
      </c>
      <c r="F68" s="6" t="s">
        <v>377</v>
      </c>
      <c r="G68" s="6" t="s">
        <v>589</v>
      </c>
      <c r="H68" s="6" t="s">
        <v>590</v>
      </c>
      <c r="I68" s="6" t="s">
        <v>591</v>
      </c>
      <c r="J68" s="6" t="s">
        <v>592</v>
      </c>
      <c r="K68" s="6" t="s">
        <v>593</v>
      </c>
      <c r="L68" s="6" t="s">
        <v>455</v>
      </c>
      <c r="M68" s="6" t="s">
        <v>74</v>
      </c>
      <c r="N68" s="6" t="s">
        <v>20</v>
      </c>
      <c r="O68" s="6" t="s">
        <v>75</v>
      </c>
      <c r="P68" s="6" t="s">
        <v>594</v>
      </c>
      <c r="Q68" s="6" t="s">
        <v>588</v>
      </c>
      <c r="R68" s="6" t="n">
        <f aca="false">VALUE(LEFT(Q68,4))</f>
        <v>1839</v>
      </c>
      <c r="S68" s="6" t="n">
        <f aca="false">VALUE(MID(Q68,6,2))</f>
        <v>8</v>
      </c>
      <c r="T68" s="6" t="n">
        <f aca="false">VALUE(RIGHT(Q68,2))</f>
        <v>30</v>
      </c>
      <c r="U68" s="6" t="s">
        <v>77</v>
      </c>
      <c r="V68" s="6" t="s">
        <v>78</v>
      </c>
    </row>
    <row r="69" customFormat="false" ht="23.85" hidden="false" customHeight="false" outlineLevel="0" collapsed="false">
      <c r="A69" s="6" t="n">
        <v>68</v>
      </c>
      <c r="B69" s="6" t="s">
        <v>595</v>
      </c>
      <c r="C69" s="6" t="s">
        <v>596</v>
      </c>
      <c r="D69" s="6" t="n">
        <f aca="false">VALUE(LEFT(B69,4))</f>
        <v>1848</v>
      </c>
      <c r="E69" s="6" t="n">
        <f aca="false">INT((D69-1)/100)+1</f>
        <v>19</v>
      </c>
      <c r="F69" s="6" t="s">
        <v>553</v>
      </c>
      <c r="G69" s="6" t="s">
        <v>597</v>
      </c>
      <c r="H69" s="6" t="s">
        <v>598</v>
      </c>
      <c r="I69" s="6" t="s">
        <v>599</v>
      </c>
      <c r="J69" s="6" t="s">
        <v>332</v>
      </c>
      <c r="K69" s="6" t="s">
        <v>600</v>
      </c>
      <c r="L69" s="6" t="s">
        <v>569</v>
      </c>
      <c r="M69" s="6" t="s">
        <v>601</v>
      </c>
      <c r="N69" s="6" t="s">
        <v>18</v>
      </c>
      <c r="O69" s="6" t="s">
        <v>94</v>
      </c>
      <c r="P69" s="6" t="s">
        <v>602</v>
      </c>
      <c r="Q69" s="6" t="s">
        <v>595</v>
      </c>
      <c r="R69" s="6" t="n">
        <f aca="false">VALUE(LEFT(Q69,4))</f>
        <v>1848</v>
      </c>
      <c r="S69" s="6" t="n">
        <f aca="false">VALUE(MID(Q69,6,2))</f>
        <v>3</v>
      </c>
      <c r="T69" s="6" t="n">
        <f aca="false">VALUE(RIGHT(Q69,2))</f>
        <v>29</v>
      </c>
      <c r="U69" s="6" t="s">
        <v>125</v>
      </c>
      <c r="V69" s="6" t="s">
        <v>126</v>
      </c>
    </row>
    <row r="70" customFormat="false" ht="57.45" hidden="false" customHeight="false" outlineLevel="0" collapsed="false">
      <c r="A70" s="6" t="n">
        <v>69</v>
      </c>
      <c r="B70" s="6" t="s">
        <v>603</v>
      </c>
      <c r="C70" s="6" t="s">
        <v>604</v>
      </c>
      <c r="D70" s="6" t="n">
        <f aca="false">VALUE(LEFT(B70,4))</f>
        <v>1850</v>
      </c>
      <c r="E70" s="6" t="n">
        <f aca="false">INT((D70-1)/100)+1</f>
        <v>19</v>
      </c>
      <c r="F70" s="6" t="s">
        <v>67</v>
      </c>
      <c r="G70" s="6" t="s">
        <v>605</v>
      </c>
      <c r="H70" s="6" t="s">
        <v>606</v>
      </c>
      <c r="I70" s="6" t="s">
        <v>607</v>
      </c>
      <c r="J70" s="6" t="s">
        <v>608</v>
      </c>
      <c r="K70" s="6" t="s">
        <v>609</v>
      </c>
      <c r="L70" s="6" t="s">
        <v>610</v>
      </c>
      <c r="M70" s="6" t="s">
        <v>74</v>
      </c>
      <c r="N70" s="6" t="s">
        <v>20</v>
      </c>
      <c r="O70" s="6" t="s">
        <v>94</v>
      </c>
      <c r="P70" s="6" t="s">
        <v>611</v>
      </c>
      <c r="Q70" s="6" t="s">
        <v>603</v>
      </c>
      <c r="R70" s="6" t="n">
        <f aca="false">VALUE(LEFT(Q70,4))</f>
        <v>1850</v>
      </c>
      <c r="S70" s="6" t="n">
        <f aca="false">VALUE(MID(Q70,6,2))</f>
        <v>7</v>
      </c>
      <c r="T70" s="6" t="n">
        <f aca="false">VALUE(RIGHT(Q70,2))</f>
        <v>18</v>
      </c>
      <c r="U70" s="6" t="s">
        <v>125</v>
      </c>
      <c r="V70" s="6" t="s">
        <v>612</v>
      </c>
    </row>
    <row r="71" customFormat="false" ht="35.05" hidden="false" customHeight="false" outlineLevel="0" collapsed="false">
      <c r="A71" s="6" t="n">
        <v>70</v>
      </c>
      <c r="B71" s="6" t="s">
        <v>613</v>
      </c>
      <c r="C71" s="6" t="s">
        <v>614</v>
      </c>
      <c r="D71" s="6" t="n">
        <f aca="false">VALUE(LEFT(B71,4))</f>
        <v>1857</v>
      </c>
      <c r="E71" s="6" t="n">
        <f aca="false">INT((D71-1)/100)+1</f>
        <v>19</v>
      </c>
      <c r="F71" s="6" t="s">
        <v>615</v>
      </c>
      <c r="G71" s="6" t="s">
        <v>616</v>
      </c>
      <c r="H71" s="6" t="s">
        <v>240</v>
      </c>
      <c r="I71" s="6" t="s">
        <v>617</v>
      </c>
      <c r="J71" s="6" t="s">
        <v>332</v>
      </c>
      <c r="K71" s="6" t="s">
        <v>618</v>
      </c>
      <c r="L71" s="6" t="s">
        <v>425</v>
      </c>
      <c r="M71" s="6"/>
      <c r="N71" s="6" t="s">
        <v>20</v>
      </c>
      <c r="O71" s="6" t="s">
        <v>94</v>
      </c>
      <c r="P71" s="6"/>
      <c r="Q71" s="6" t="s">
        <v>613</v>
      </c>
      <c r="R71" s="6" t="n">
        <f aca="false">VALUE(LEFT(Q71,4))</f>
        <v>1857</v>
      </c>
      <c r="S71" s="6" t="n">
        <f aca="false">VALUE(MID(Q71,6,2))</f>
        <v>1</v>
      </c>
      <c r="T71" s="6" t="n">
        <f aca="false">VALUE(RIGHT(Q71,2))</f>
        <v>18</v>
      </c>
      <c r="U71" s="6" t="s">
        <v>125</v>
      </c>
      <c r="V71" s="6" t="s">
        <v>126</v>
      </c>
    </row>
    <row r="72" customFormat="false" ht="23.85" hidden="false" customHeight="false" outlineLevel="0" collapsed="false">
      <c r="A72" s="6" t="n">
        <v>71</v>
      </c>
      <c r="B72" s="6" t="s">
        <v>619</v>
      </c>
      <c r="C72" s="6" t="s">
        <v>620</v>
      </c>
      <c r="D72" s="6" t="n">
        <f aca="false">VALUE(LEFT(B72,4))</f>
        <v>1857</v>
      </c>
      <c r="E72" s="6" t="n">
        <f aca="false">INT((D72-1)/100)+1</f>
        <v>19</v>
      </c>
      <c r="F72" s="6" t="s">
        <v>621</v>
      </c>
      <c r="G72" s="6" t="s">
        <v>622</v>
      </c>
      <c r="H72" s="6" t="s">
        <v>623</v>
      </c>
      <c r="I72" s="6" t="s">
        <v>624</v>
      </c>
      <c r="J72" s="6" t="s">
        <v>625</v>
      </c>
      <c r="K72" s="6" t="s">
        <v>626</v>
      </c>
      <c r="L72" s="6" t="s">
        <v>627</v>
      </c>
      <c r="M72" s="6" t="s">
        <v>628</v>
      </c>
      <c r="N72" s="6" t="s">
        <v>16</v>
      </c>
      <c r="O72" s="6" t="s">
        <v>75</v>
      </c>
      <c r="P72" s="6" t="s">
        <v>629</v>
      </c>
      <c r="Q72" s="6" t="s">
        <v>630</v>
      </c>
      <c r="R72" s="6" t="n">
        <f aca="false">VALUE(LEFT(Q72,4))</f>
        <v>1857</v>
      </c>
      <c r="S72" s="6" t="n">
        <f aca="false">VALUE(MID(Q72,6,2))</f>
        <v>2</v>
      </c>
      <c r="T72" s="6" t="n">
        <f aca="false">VALUE(RIGHT(Q72,2))</f>
        <v>15</v>
      </c>
      <c r="U72" s="6" t="s">
        <v>317</v>
      </c>
      <c r="V72" s="6" t="s">
        <v>631</v>
      </c>
    </row>
    <row r="73" customFormat="false" ht="23.85" hidden="false" customHeight="false" outlineLevel="0" collapsed="false">
      <c r="A73" s="6" t="n">
        <v>72</v>
      </c>
      <c r="B73" s="6" t="s">
        <v>632</v>
      </c>
      <c r="C73" s="6" t="s">
        <v>632</v>
      </c>
      <c r="D73" s="6" t="n">
        <f aca="false">VALUE(LEFT(B73,4))</f>
        <v>1859</v>
      </c>
      <c r="E73" s="6" t="n">
        <f aca="false">INT((D73-1)/100)+1</f>
        <v>19</v>
      </c>
      <c r="F73" s="6" t="s">
        <v>580</v>
      </c>
      <c r="G73" s="6" t="s">
        <v>633</v>
      </c>
      <c r="H73" s="6" t="s">
        <v>634</v>
      </c>
      <c r="I73" s="6"/>
      <c r="J73" s="6" t="s">
        <v>332</v>
      </c>
      <c r="K73" s="6" t="s">
        <v>635</v>
      </c>
      <c r="L73" s="6" t="s">
        <v>636</v>
      </c>
      <c r="M73" s="6" t="s">
        <v>637</v>
      </c>
      <c r="N73" s="6" t="s">
        <v>20</v>
      </c>
      <c r="O73" s="6" t="s">
        <v>94</v>
      </c>
      <c r="P73" s="6" t="s">
        <v>638</v>
      </c>
      <c r="Q73" s="6" t="s">
        <v>632</v>
      </c>
      <c r="R73" s="6" t="n">
        <f aca="false">VALUE(LEFT(Q73,4))</f>
        <v>1859</v>
      </c>
      <c r="S73" s="6" t="n">
        <f aca="false">VALUE(MID(Q73,6,2))</f>
        <v>2</v>
      </c>
      <c r="T73" s="6" t="n">
        <f aca="false">VALUE(RIGHT(Q73,2))</f>
        <v>17</v>
      </c>
      <c r="U73" s="6" t="s">
        <v>77</v>
      </c>
      <c r="V73" s="6" t="s">
        <v>78</v>
      </c>
    </row>
    <row r="74" customFormat="false" ht="35.05" hidden="false" customHeight="false" outlineLevel="0" collapsed="false">
      <c r="A74" s="6" t="n">
        <v>73</v>
      </c>
      <c r="B74" s="6" t="s">
        <v>639</v>
      </c>
      <c r="C74" s="6" t="s">
        <v>640</v>
      </c>
      <c r="D74" s="6" t="n">
        <f aca="false">VALUE(LEFT(B74,4))</f>
        <v>1859</v>
      </c>
      <c r="E74" s="6" t="n">
        <f aca="false">INT((D74-1)/100)+1</f>
        <v>19</v>
      </c>
      <c r="F74" s="6" t="s">
        <v>459</v>
      </c>
      <c r="G74" s="6" t="s">
        <v>641</v>
      </c>
      <c r="H74" s="6" t="s">
        <v>642</v>
      </c>
      <c r="I74" s="6" t="s">
        <v>643</v>
      </c>
      <c r="J74" s="6" t="s">
        <v>332</v>
      </c>
      <c r="K74" s="6" t="s">
        <v>644</v>
      </c>
      <c r="L74" s="6" t="s">
        <v>425</v>
      </c>
      <c r="M74" s="6"/>
      <c r="N74" s="6" t="s">
        <v>20</v>
      </c>
      <c r="O74" s="6" t="s">
        <v>94</v>
      </c>
      <c r="P74" s="6"/>
      <c r="Q74" s="6" t="s">
        <v>639</v>
      </c>
      <c r="R74" s="6" t="n">
        <f aca="false">VALUE(LEFT(Q74,4))</f>
        <v>1859</v>
      </c>
      <c r="S74" s="6" t="n">
        <f aca="false">VALUE(MID(Q74,6,2))</f>
        <v>6</v>
      </c>
      <c r="T74" s="6" t="n">
        <f aca="false">VALUE(RIGHT(Q74,2))</f>
        <v>4</v>
      </c>
      <c r="U74" s="6" t="s">
        <v>125</v>
      </c>
      <c r="V74" s="6" t="s">
        <v>126</v>
      </c>
    </row>
    <row r="75" customFormat="false" ht="23.85" hidden="false" customHeight="false" outlineLevel="0" collapsed="false">
      <c r="A75" s="6" t="n">
        <v>74</v>
      </c>
      <c r="B75" s="6" t="s">
        <v>645</v>
      </c>
      <c r="C75" s="6" t="s">
        <v>646</v>
      </c>
      <c r="D75" s="6" t="n">
        <f aca="false">VALUE(LEFT(B75,4))</f>
        <v>1865</v>
      </c>
      <c r="E75" s="6" t="n">
        <f aca="false">INT((D75-1)/100)+1</f>
        <v>19</v>
      </c>
      <c r="F75" s="6" t="s">
        <v>553</v>
      </c>
      <c r="G75" s="6" t="s">
        <v>647</v>
      </c>
      <c r="H75" s="6" t="s">
        <v>555</v>
      </c>
      <c r="I75" s="6" t="s">
        <v>556</v>
      </c>
      <c r="J75" s="6" t="s">
        <v>557</v>
      </c>
      <c r="K75" s="6" t="s">
        <v>558</v>
      </c>
      <c r="L75" s="6" t="s">
        <v>559</v>
      </c>
      <c r="M75" s="6" t="s">
        <v>560</v>
      </c>
      <c r="N75" s="6" t="s">
        <v>20</v>
      </c>
      <c r="O75" s="6" t="s">
        <v>75</v>
      </c>
      <c r="P75" s="6" t="s">
        <v>561</v>
      </c>
      <c r="Q75" s="6" t="s">
        <v>648</v>
      </c>
      <c r="R75" s="6" t="n">
        <f aca="false">VALUE(LEFT(Q75,4))</f>
        <v>1865</v>
      </c>
      <c r="S75" s="6" t="n">
        <f aca="false">VALUE(MID(Q75,6,2))</f>
        <v>3</v>
      </c>
      <c r="T75" s="6" t="n">
        <f aca="false">VALUE(RIGHT(Q75,2))</f>
        <v>9</v>
      </c>
      <c r="U75" s="6" t="s">
        <v>317</v>
      </c>
      <c r="V75" s="6" t="s">
        <v>318</v>
      </c>
    </row>
    <row r="76" customFormat="false" ht="35.05" hidden="false" customHeight="false" outlineLevel="0" collapsed="false">
      <c r="A76" s="6" t="n">
        <v>75</v>
      </c>
      <c r="B76" s="6" t="s">
        <v>649</v>
      </c>
      <c r="C76" s="6" t="s">
        <v>650</v>
      </c>
      <c r="D76" s="6" t="n">
        <f aca="false">VALUE(LEFT(B76,4))</f>
        <v>1869</v>
      </c>
      <c r="E76" s="6" t="n">
        <f aca="false">INT((D76-1)/100)+1</f>
        <v>19</v>
      </c>
      <c r="F76" s="6" t="s">
        <v>129</v>
      </c>
      <c r="G76" s="6" t="s">
        <v>651</v>
      </c>
      <c r="H76" s="6" t="s">
        <v>150</v>
      </c>
      <c r="I76" s="6" t="s">
        <v>652</v>
      </c>
      <c r="J76" s="6" t="s">
        <v>332</v>
      </c>
      <c r="K76" s="6" t="s">
        <v>653</v>
      </c>
      <c r="L76" s="6" t="s">
        <v>425</v>
      </c>
      <c r="M76" s="6"/>
      <c r="N76" s="6" t="s">
        <v>20</v>
      </c>
      <c r="O76" s="6" t="s">
        <v>94</v>
      </c>
      <c r="P76" s="6"/>
      <c r="Q76" s="6" t="s">
        <v>649</v>
      </c>
      <c r="R76" s="6" t="n">
        <f aca="false">VALUE(LEFT(Q76,4))</f>
        <v>1869</v>
      </c>
      <c r="S76" s="6" t="n">
        <f aca="false">VALUE(MID(Q76,6,2))</f>
        <v>10</v>
      </c>
      <c r="T76" s="6" t="n">
        <f aca="false">VALUE(RIGHT(Q76,2))</f>
        <v>3</v>
      </c>
      <c r="U76" s="6" t="s">
        <v>125</v>
      </c>
      <c r="V76" s="6" t="s">
        <v>126</v>
      </c>
    </row>
    <row r="77" customFormat="false" ht="68.65" hidden="false" customHeight="false" outlineLevel="0" collapsed="false">
      <c r="A77" s="6" t="n">
        <v>76</v>
      </c>
      <c r="B77" s="6" t="s">
        <v>650</v>
      </c>
      <c r="C77" s="6" t="s">
        <v>650</v>
      </c>
      <c r="D77" s="6" t="n">
        <f aca="false">VALUE(LEFT(B77,4))</f>
        <v>1869</v>
      </c>
      <c r="E77" s="6" t="n">
        <f aca="false">INT((D77-1)/100)+1</f>
        <v>19</v>
      </c>
      <c r="F77" s="6" t="s">
        <v>654</v>
      </c>
      <c r="G77" s="6" t="s">
        <v>655</v>
      </c>
      <c r="H77" s="6" t="s">
        <v>656</v>
      </c>
      <c r="I77" s="6" t="s">
        <v>657</v>
      </c>
      <c r="J77" s="6" t="s">
        <v>658</v>
      </c>
      <c r="K77" s="6" t="s">
        <v>659</v>
      </c>
      <c r="L77" s="6" t="s">
        <v>660</v>
      </c>
      <c r="M77" s="6" t="s">
        <v>74</v>
      </c>
      <c r="N77" s="6" t="s">
        <v>18</v>
      </c>
      <c r="O77" s="6" t="s">
        <v>75</v>
      </c>
      <c r="P77" s="6" t="s">
        <v>661</v>
      </c>
      <c r="Q77" s="6" t="s">
        <v>650</v>
      </c>
      <c r="R77" s="6" t="n">
        <f aca="false">VALUE(LEFT(Q77,4))</f>
        <v>1869</v>
      </c>
      <c r="S77" s="6" t="n">
        <f aca="false">VALUE(MID(Q77,6,2))</f>
        <v>10</v>
      </c>
      <c r="T77" s="6" t="n">
        <f aca="false">VALUE(RIGHT(Q77,2))</f>
        <v>4</v>
      </c>
      <c r="U77" s="6" t="s">
        <v>77</v>
      </c>
      <c r="V77" s="6" t="s">
        <v>78</v>
      </c>
    </row>
    <row r="78" customFormat="false" ht="23.85" hidden="false" customHeight="false" outlineLevel="0" collapsed="false">
      <c r="A78" s="6" t="n">
        <v>77</v>
      </c>
      <c r="B78" s="6" t="s">
        <v>662</v>
      </c>
      <c r="C78" s="6" t="s">
        <v>663</v>
      </c>
      <c r="D78" s="6" t="n">
        <f aca="false">VALUE(LEFT(B78,4))</f>
        <v>1870</v>
      </c>
      <c r="E78" s="6" t="n">
        <f aca="false">INT((D78-1)/100)+1</f>
        <v>19</v>
      </c>
      <c r="F78" s="6" t="s">
        <v>553</v>
      </c>
      <c r="G78" s="6" t="s">
        <v>664</v>
      </c>
      <c r="H78" s="6" t="s">
        <v>555</v>
      </c>
      <c r="I78" s="6" t="s">
        <v>556</v>
      </c>
      <c r="J78" s="6" t="s">
        <v>557</v>
      </c>
      <c r="K78" s="6" t="s">
        <v>558</v>
      </c>
      <c r="L78" s="6" t="s">
        <v>559</v>
      </c>
      <c r="M78" s="6" t="s">
        <v>560</v>
      </c>
      <c r="N78" s="6" t="s">
        <v>20</v>
      </c>
      <c r="O78" s="6" t="s">
        <v>75</v>
      </c>
      <c r="P78" s="6" t="s">
        <v>561</v>
      </c>
      <c r="Q78" s="6" t="s">
        <v>665</v>
      </c>
      <c r="R78" s="6" t="n">
        <f aca="false">VALUE(LEFT(Q78,4))</f>
        <v>1870</v>
      </c>
      <c r="S78" s="6" t="n">
        <f aca="false">VALUE(MID(Q78,6,2))</f>
        <v>3</v>
      </c>
      <c r="T78" s="6" t="n">
        <f aca="false">VALUE(RIGHT(Q78,2))</f>
        <v>9</v>
      </c>
      <c r="U78" s="6" t="s">
        <v>317</v>
      </c>
      <c r="V78" s="6" t="s">
        <v>318</v>
      </c>
    </row>
    <row r="79" customFormat="false" ht="35.05" hidden="false" customHeight="false" outlineLevel="0" collapsed="false">
      <c r="A79" s="6" t="n">
        <v>78</v>
      </c>
      <c r="B79" s="6" t="s">
        <v>666</v>
      </c>
      <c r="C79" s="6" t="s">
        <v>666</v>
      </c>
      <c r="D79" s="6" t="n">
        <f aca="false">VALUE(LEFT(B79,4))</f>
        <v>1878</v>
      </c>
      <c r="E79" s="6" t="n">
        <f aca="false">INT((D79-1)/100)+1</f>
        <v>19</v>
      </c>
      <c r="F79" s="6" t="s">
        <v>67</v>
      </c>
      <c r="G79" s="6" t="s">
        <v>667</v>
      </c>
      <c r="H79" s="6" t="s">
        <v>668</v>
      </c>
      <c r="I79" s="6" t="s">
        <v>669</v>
      </c>
      <c r="J79" s="6" t="s">
        <v>332</v>
      </c>
      <c r="K79" s="6" t="s">
        <v>670</v>
      </c>
      <c r="L79" s="6" t="s">
        <v>425</v>
      </c>
      <c r="M79" s="6"/>
      <c r="N79" s="6" t="s">
        <v>20</v>
      </c>
      <c r="O79" s="6" t="s">
        <v>94</v>
      </c>
      <c r="P79" s="6"/>
      <c r="Q79" s="6" t="s">
        <v>666</v>
      </c>
      <c r="R79" s="6" t="n">
        <f aca="false">VALUE(LEFT(Q79,4))</f>
        <v>1878</v>
      </c>
      <c r="S79" s="6" t="n">
        <f aca="false">VALUE(MID(Q79,6,2))</f>
        <v>10</v>
      </c>
      <c r="T79" s="6" t="n">
        <f aca="false">VALUE(RIGHT(Q79,2))</f>
        <v>23</v>
      </c>
      <c r="U79" s="6" t="s">
        <v>77</v>
      </c>
      <c r="V79" s="6" t="s">
        <v>78</v>
      </c>
    </row>
    <row r="80" customFormat="false" ht="23.85" hidden="false" customHeight="false" outlineLevel="0" collapsed="false">
      <c r="A80" s="6" t="n">
        <v>79</v>
      </c>
      <c r="B80" s="6" t="s">
        <v>671</v>
      </c>
      <c r="C80" s="6" t="s">
        <v>672</v>
      </c>
      <c r="D80" s="6" t="n">
        <f aca="false">VALUE(LEFT(B80,4))</f>
        <v>1886</v>
      </c>
      <c r="E80" s="6" t="n">
        <f aca="false">INT((D80-1)/100)+1</f>
        <v>19</v>
      </c>
      <c r="F80" s="6" t="s">
        <v>553</v>
      </c>
      <c r="G80" s="6" t="s">
        <v>673</v>
      </c>
      <c r="H80" s="6" t="s">
        <v>674</v>
      </c>
      <c r="I80" s="6" t="s">
        <v>675</v>
      </c>
      <c r="J80" s="6" t="s">
        <v>676</v>
      </c>
      <c r="K80" s="6" t="s">
        <v>677</v>
      </c>
      <c r="L80" s="6" t="s">
        <v>559</v>
      </c>
      <c r="M80" s="6" t="s">
        <v>560</v>
      </c>
      <c r="N80" s="6" t="s">
        <v>18</v>
      </c>
      <c r="O80" s="6" t="s">
        <v>75</v>
      </c>
      <c r="P80" s="6"/>
      <c r="Q80" s="6" t="s">
        <v>671</v>
      </c>
      <c r="R80" s="6" t="n">
        <f aca="false">VALUE(LEFT(Q80,4))</f>
        <v>1886</v>
      </c>
      <c r="S80" s="6" t="n">
        <f aca="false">VALUE(MID(Q80,6,2))</f>
        <v>2</v>
      </c>
      <c r="T80" s="6" t="n">
        <f aca="false">VALUE(RIGHT(Q80,2))</f>
        <v>14</v>
      </c>
      <c r="U80" s="6" t="s">
        <v>125</v>
      </c>
      <c r="V80" s="6" t="s">
        <v>126</v>
      </c>
    </row>
    <row r="81" customFormat="false" ht="23.85" hidden="false" customHeight="false" outlineLevel="0" collapsed="false">
      <c r="A81" s="6" t="n">
        <v>80</v>
      </c>
      <c r="B81" s="6" t="s">
        <v>678</v>
      </c>
      <c r="C81" s="6" t="s">
        <v>679</v>
      </c>
      <c r="D81" s="6" t="n">
        <f aca="false">VALUE(LEFT(B81,4))</f>
        <v>1887</v>
      </c>
      <c r="E81" s="6" t="n">
        <f aca="false">INT((D81-1)/100)+1</f>
        <v>19</v>
      </c>
      <c r="F81" s="6" t="s">
        <v>139</v>
      </c>
      <c r="G81" s="6" t="s">
        <v>680</v>
      </c>
      <c r="H81" s="6" t="s">
        <v>681</v>
      </c>
      <c r="I81" s="6" t="s">
        <v>682</v>
      </c>
      <c r="J81" s="6" t="s">
        <v>310</v>
      </c>
      <c r="K81" s="6" t="s">
        <v>683</v>
      </c>
      <c r="L81" s="6" t="s">
        <v>627</v>
      </c>
      <c r="M81" s="6" t="s">
        <v>628</v>
      </c>
      <c r="N81" s="6" t="s">
        <v>16</v>
      </c>
      <c r="O81" s="6" t="s">
        <v>75</v>
      </c>
      <c r="P81" s="6"/>
      <c r="Q81" s="6" t="s">
        <v>678</v>
      </c>
      <c r="R81" s="6" t="n">
        <f aca="false">VALUE(LEFT(Q81,4))</f>
        <v>1887</v>
      </c>
      <c r="S81" s="6" t="n">
        <f aca="false">VALUE(MID(Q81,6,2))</f>
        <v>12</v>
      </c>
      <c r="T81" s="6" t="n">
        <f aca="false">VALUE(RIGHT(Q81,2))</f>
        <v>18</v>
      </c>
      <c r="U81" s="6" t="s">
        <v>125</v>
      </c>
      <c r="V81" s="6" t="s">
        <v>126</v>
      </c>
    </row>
    <row r="82" customFormat="false" ht="23.85" hidden="false" customHeight="false" outlineLevel="0" collapsed="false">
      <c r="A82" s="6" t="n">
        <v>81</v>
      </c>
      <c r="B82" s="6" t="s">
        <v>684</v>
      </c>
      <c r="C82" s="6" t="s">
        <v>685</v>
      </c>
      <c r="D82" s="6" t="n">
        <f aca="false">VALUE(LEFT(B82,4))</f>
        <v>1888</v>
      </c>
      <c r="E82" s="6" t="n">
        <f aca="false">INT((D82-1)/100)+1</f>
        <v>19</v>
      </c>
      <c r="F82" s="6" t="s">
        <v>219</v>
      </c>
      <c r="G82" s="6" t="s">
        <v>686</v>
      </c>
      <c r="H82" s="6" t="s">
        <v>687</v>
      </c>
      <c r="I82" s="6" t="s">
        <v>688</v>
      </c>
      <c r="J82" s="6" t="s">
        <v>310</v>
      </c>
      <c r="K82" s="6" t="s">
        <v>689</v>
      </c>
      <c r="L82" s="6" t="s">
        <v>627</v>
      </c>
      <c r="M82" s="6" t="s">
        <v>628</v>
      </c>
      <c r="N82" s="6" t="s">
        <v>16</v>
      </c>
      <c r="O82" s="6" t="s">
        <v>75</v>
      </c>
      <c r="P82" s="6" t="s">
        <v>690</v>
      </c>
      <c r="Q82" s="6" t="s">
        <v>684</v>
      </c>
      <c r="R82" s="6" t="n">
        <f aca="false">VALUE(LEFT(Q82,4))</f>
        <v>1888</v>
      </c>
      <c r="S82" s="6" t="n">
        <f aca="false">VALUE(MID(Q82,6,2))</f>
        <v>3</v>
      </c>
      <c r="T82" s="6" t="n">
        <f aca="false">VALUE(RIGHT(Q82,2))</f>
        <v>11</v>
      </c>
      <c r="U82" s="6" t="s">
        <v>125</v>
      </c>
      <c r="V82" s="6" t="s">
        <v>126</v>
      </c>
    </row>
    <row r="83" customFormat="false" ht="23.85" hidden="false" customHeight="false" outlineLevel="0" collapsed="false">
      <c r="A83" s="6" t="n">
        <v>82</v>
      </c>
      <c r="B83" s="6" t="s">
        <v>691</v>
      </c>
      <c r="C83" s="6" t="s">
        <v>692</v>
      </c>
      <c r="D83" s="6" t="n">
        <f aca="false">VALUE(LEFT(B83,4))</f>
        <v>1891</v>
      </c>
      <c r="E83" s="6" t="n">
        <f aca="false">INT((D83-1)/100)+1</f>
        <v>19</v>
      </c>
      <c r="F83" s="6" t="s">
        <v>553</v>
      </c>
      <c r="G83" s="6" t="s">
        <v>693</v>
      </c>
      <c r="H83" s="6" t="s">
        <v>555</v>
      </c>
      <c r="I83" s="6" t="s">
        <v>556</v>
      </c>
      <c r="J83" s="6" t="s">
        <v>557</v>
      </c>
      <c r="K83" s="6" t="s">
        <v>558</v>
      </c>
      <c r="L83" s="6" t="s">
        <v>559</v>
      </c>
      <c r="M83" s="6" t="s">
        <v>560</v>
      </c>
      <c r="N83" s="6" t="s">
        <v>20</v>
      </c>
      <c r="O83" s="6" t="s">
        <v>75</v>
      </c>
      <c r="P83" s="6" t="s">
        <v>561</v>
      </c>
      <c r="Q83" s="6" t="s">
        <v>694</v>
      </c>
      <c r="R83" s="6" t="n">
        <f aca="false">VALUE(LEFT(Q83,4))</f>
        <v>1891</v>
      </c>
      <c r="S83" s="6" t="n">
        <f aca="false">VALUE(MID(Q83,6,2))</f>
        <v>3</v>
      </c>
      <c r="T83" s="6" t="n">
        <f aca="false">VALUE(RIGHT(Q83,2))</f>
        <v>9</v>
      </c>
      <c r="U83" s="6" t="s">
        <v>317</v>
      </c>
      <c r="V83" s="6" t="s">
        <v>318</v>
      </c>
    </row>
    <row r="84" customFormat="false" ht="23.85" hidden="false" customHeight="false" outlineLevel="0" collapsed="false">
      <c r="A84" s="6" t="n">
        <v>83</v>
      </c>
      <c r="B84" s="6" t="s">
        <v>695</v>
      </c>
      <c r="C84" s="6" t="s">
        <v>696</v>
      </c>
      <c r="D84" s="6" t="n">
        <f aca="false">VALUE(LEFT(B84,4))</f>
        <v>1893</v>
      </c>
      <c r="E84" s="6" t="n">
        <f aca="false">INT((D84-1)/100)+1</f>
        <v>19</v>
      </c>
      <c r="F84" s="6" t="s">
        <v>553</v>
      </c>
      <c r="G84" s="6" t="s">
        <v>697</v>
      </c>
      <c r="H84" s="6" t="s">
        <v>555</v>
      </c>
      <c r="I84" s="6" t="s">
        <v>556</v>
      </c>
      <c r="J84" s="6" t="s">
        <v>557</v>
      </c>
      <c r="K84" s="6" t="s">
        <v>558</v>
      </c>
      <c r="L84" s="6" t="s">
        <v>559</v>
      </c>
      <c r="M84" s="6" t="s">
        <v>560</v>
      </c>
      <c r="N84" s="6" t="s">
        <v>20</v>
      </c>
      <c r="O84" s="6" t="s">
        <v>75</v>
      </c>
      <c r="P84" s="6" t="s">
        <v>561</v>
      </c>
      <c r="Q84" s="6" t="s">
        <v>698</v>
      </c>
      <c r="R84" s="6" t="n">
        <f aca="false">VALUE(LEFT(Q84,4))</f>
        <v>1893</v>
      </c>
      <c r="S84" s="6" t="n">
        <f aca="false">VALUE(MID(Q84,6,2))</f>
        <v>3</v>
      </c>
      <c r="T84" s="6" t="n">
        <f aca="false">VALUE(RIGHT(Q84,2))</f>
        <v>9</v>
      </c>
      <c r="U84" s="6" t="s">
        <v>317</v>
      </c>
      <c r="V84" s="6" t="s">
        <v>318</v>
      </c>
    </row>
    <row r="85" customFormat="false" ht="35.05" hidden="false" customHeight="false" outlineLevel="0" collapsed="false">
      <c r="A85" s="6" t="n">
        <v>84</v>
      </c>
      <c r="B85" s="6" t="s">
        <v>699</v>
      </c>
      <c r="C85" s="6" t="s">
        <v>699</v>
      </c>
      <c r="D85" s="6" t="n">
        <f aca="false">VALUE(LEFT(B85,4))</f>
        <v>1893</v>
      </c>
      <c r="E85" s="6" t="n">
        <f aca="false">INT((D85-1)/100)+1</f>
        <v>19</v>
      </c>
      <c r="F85" s="6" t="s">
        <v>67</v>
      </c>
      <c r="G85" s="6" t="s">
        <v>700</v>
      </c>
      <c r="H85" s="6" t="s">
        <v>120</v>
      </c>
      <c r="I85" s="6" t="s">
        <v>701</v>
      </c>
      <c r="J85" s="6" t="s">
        <v>332</v>
      </c>
      <c r="K85" s="6" t="s">
        <v>702</v>
      </c>
      <c r="L85" s="6" t="s">
        <v>425</v>
      </c>
      <c r="M85" s="6"/>
      <c r="N85" s="6" t="s">
        <v>20</v>
      </c>
      <c r="O85" s="6" t="s">
        <v>94</v>
      </c>
      <c r="P85" s="6"/>
      <c r="Q85" s="6" t="s">
        <v>699</v>
      </c>
      <c r="R85" s="6" t="n">
        <f aca="false">VALUE(LEFT(Q85,4))</f>
        <v>1893</v>
      </c>
      <c r="S85" s="6" t="n">
        <f aca="false">VALUE(MID(Q85,6,2))</f>
        <v>8</v>
      </c>
      <c r="T85" s="6" t="n">
        <f aca="false">VALUE(RIGHT(Q85,2))</f>
        <v>24</v>
      </c>
      <c r="U85" s="6" t="s">
        <v>77</v>
      </c>
      <c r="V85" s="6" t="s">
        <v>78</v>
      </c>
    </row>
    <row r="86" customFormat="false" ht="23.85" hidden="false" customHeight="false" outlineLevel="0" collapsed="false">
      <c r="A86" s="6" t="n">
        <v>85</v>
      </c>
      <c r="B86" s="6" t="s">
        <v>703</v>
      </c>
      <c r="C86" s="6" t="s">
        <v>704</v>
      </c>
      <c r="D86" s="6" t="n">
        <f aca="false">VALUE(LEFT(B86,4))</f>
        <v>1896</v>
      </c>
      <c r="E86" s="6" t="n">
        <f aca="false">INT((D86-1)/100)+1</f>
        <v>19</v>
      </c>
      <c r="F86" s="6" t="s">
        <v>705</v>
      </c>
      <c r="G86" s="6" t="s">
        <v>706</v>
      </c>
      <c r="H86" s="6" t="s">
        <v>240</v>
      </c>
      <c r="I86" s="6" t="s">
        <v>707</v>
      </c>
      <c r="J86" s="6" t="s">
        <v>708</v>
      </c>
      <c r="K86" s="6" t="s">
        <v>709</v>
      </c>
      <c r="L86" s="6" t="s">
        <v>569</v>
      </c>
      <c r="M86" s="6"/>
      <c r="N86" s="6" t="s">
        <v>18</v>
      </c>
      <c r="O86" s="6" t="s">
        <v>94</v>
      </c>
      <c r="P86" s="6"/>
      <c r="Q86" s="6" t="s">
        <v>710</v>
      </c>
      <c r="R86" s="6" t="n">
        <f aca="false">VALUE(LEFT(Q86,4))</f>
        <v>1896</v>
      </c>
      <c r="S86" s="6" t="n">
        <f aca="false">VALUE(MID(Q86,6,2))</f>
        <v>8</v>
      </c>
      <c r="T86" s="6" t="n">
        <f aca="false">VALUE(RIGHT(Q86,2))</f>
        <v>10</v>
      </c>
      <c r="U86" s="6" t="s">
        <v>711</v>
      </c>
      <c r="V86" s="6" t="s">
        <v>712</v>
      </c>
    </row>
    <row r="87" customFormat="false" ht="23.85" hidden="false" customHeight="false" outlineLevel="0" collapsed="false">
      <c r="A87" s="6" t="n">
        <v>86</v>
      </c>
      <c r="B87" s="6" t="s">
        <v>713</v>
      </c>
      <c r="C87" s="6" t="s">
        <v>714</v>
      </c>
      <c r="D87" s="6" t="n">
        <f aca="false">VALUE(LEFT(B87,4))</f>
        <v>1899</v>
      </c>
      <c r="E87" s="6" t="n">
        <f aca="false">INT((D87-1)/100)+1</f>
        <v>19</v>
      </c>
      <c r="F87" s="6" t="s">
        <v>715</v>
      </c>
      <c r="G87" s="6" t="s">
        <v>716</v>
      </c>
      <c r="H87" s="6" t="s">
        <v>717</v>
      </c>
      <c r="I87" s="6" t="s">
        <v>718</v>
      </c>
      <c r="J87" s="6" t="s">
        <v>719</v>
      </c>
      <c r="K87" s="6" t="s">
        <v>720</v>
      </c>
      <c r="L87" s="6" t="s">
        <v>569</v>
      </c>
      <c r="M87" s="6"/>
      <c r="N87" s="6" t="s">
        <v>18</v>
      </c>
      <c r="O87" s="6" t="s">
        <v>94</v>
      </c>
      <c r="P87" s="6" t="s">
        <v>721</v>
      </c>
      <c r="Q87" s="6" t="s">
        <v>722</v>
      </c>
      <c r="R87" s="6" t="n">
        <f aca="false">VALUE(LEFT(Q87,4))</f>
        <v>1899</v>
      </c>
      <c r="S87" s="6" t="n">
        <f aca="false">VALUE(MID(Q87,6,2))</f>
        <v>2</v>
      </c>
      <c r="T87" s="6" t="n">
        <f aca="false">VALUE(RIGHT(Q87,2))</f>
        <v>10</v>
      </c>
      <c r="U87" s="6" t="s">
        <v>125</v>
      </c>
      <c r="V87" s="6" t="s">
        <v>723</v>
      </c>
    </row>
    <row r="88" customFormat="false" ht="23.85" hidden="false" customHeight="false" outlineLevel="0" collapsed="false">
      <c r="A88" s="6" t="n">
        <v>87</v>
      </c>
      <c r="B88" s="6" t="s">
        <v>724</v>
      </c>
      <c r="C88" s="6" t="s">
        <v>725</v>
      </c>
      <c r="D88" s="6" t="n">
        <f aca="false">VALUE(LEFT(B88,4))</f>
        <v>1903</v>
      </c>
      <c r="E88" s="6" t="n">
        <f aca="false">INT((D88-1)/100)+1</f>
        <v>20</v>
      </c>
      <c r="F88" s="6" t="s">
        <v>553</v>
      </c>
      <c r="G88" s="6" t="s">
        <v>726</v>
      </c>
      <c r="H88" s="6" t="s">
        <v>727</v>
      </c>
      <c r="I88" s="6" t="s">
        <v>728</v>
      </c>
      <c r="J88" s="6" t="s">
        <v>729</v>
      </c>
      <c r="K88" s="6" t="s">
        <v>730</v>
      </c>
      <c r="L88" s="6" t="s">
        <v>731</v>
      </c>
      <c r="M88" s="6" t="s">
        <v>732</v>
      </c>
      <c r="N88" s="6" t="s">
        <v>18</v>
      </c>
      <c r="O88" s="6" t="s">
        <v>75</v>
      </c>
      <c r="P88" s="6"/>
      <c r="Q88" s="6" t="s">
        <v>733</v>
      </c>
      <c r="R88" s="6" t="n">
        <f aca="false">VALUE(LEFT(Q88,4))</f>
        <v>1903</v>
      </c>
      <c r="S88" s="6" t="n">
        <f aca="false">VALUE(MID(Q88,6,2))</f>
        <v>2</v>
      </c>
      <c r="T88" s="6" t="n">
        <f aca="false">VALUE(RIGHT(Q88,2))</f>
        <v>16</v>
      </c>
      <c r="U88" s="6" t="s">
        <v>114</v>
      </c>
      <c r="V88" s="6" t="s">
        <v>325</v>
      </c>
    </row>
    <row r="89" customFormat="false" ht="23.85" hidden="false" customHeight="false" outlineLevel="0" collapsed="false">
      <c r="A89" s="6" t="n">
        <v>88</v>
      </c>
      <c r="B89" s="6" t="s">
        <v>734</v>
      </c>
      <c r="C89" s="6" t="s">
        <v>735</v>
      </c>
      <c r="D89" s="6" t="n">
        <f aca="false">VALUE(LEFT(B89,4))</f>
        <v>1903</v>
      </c>
      <c r="E89" s="6" t="n">
        <f aca="false">INT((D89-1)/100)+1</f>
        <v>20</v>
      </c>
      <c r="F89" s="6" t="s">
        <v>129</v>
      </c>
      <c r="G89" s="6" t="s">
        <v>736</v>
      </c>
      <c r="H89" s="6" t="s">
        <v>737</v>
      </c>
      <c r="I89" s="6" t="s">
        <v>738</v>
      </c>
      <c r="J89" s="6" t="s">
        <v>719</v>
      </c>
      <c r="K89" s="6" t="s">
        <v>739</v>
      </c>
      <c r="L89" s="6" t="s">
        <v>569</v>
      </c>
      <c r="M89" s="6"/>
      <c r="N89" s="6" t="s">
        <v>18</v>
      </c>
      <c r="O89" s="6" t="s">
        <v>94</v>
      </c>
      <c r="P89" s="6"/>
      <c r="Q89" s="6" t="s">
        <v>734</v>
      </c>
      <c r="R89" s="6" t="n">
        <f aca="false">VALUE(LEFT(Q89,4))</f>
        <v>1903</v>
      </c>
      <c r="S89" s="6" t="n">
        <f aca="false">VALUE(MID(Q89,6,2))</f>
        <v>10</v>
      </c>
      <c r="T89" s="6" t="n">
        <f aca="false">VALUE(RIGHT(Q89,2))</f>
        <v>8</v>
      </c>
      <c r="U89" s="6" t="s">
        <v>125</v>
      </c>
      <c r="V89" s="6" t="s">
        <v>126</v>
      </c>
    </row>
    <row r="90" customFormat="false" ht="23.85" hidden="false" customHeight="false" outlineLevel="0" collapsed="false">
      <c r="A90" s="6" t="n">
        <v>89</v>
      </c>
      <c r="B90" s="6" t="s">
        <v>740</v>
      </c>
      <c r="C90" s="6" t="s">
        <v>741</v>
      </c>
      <c r="D90" s="6" t="n">
        <f aca="false">VALUE(LEFT(B90,4))</f>
        <v>1911</v>
      </c>
      <c r="E90" s="6" t="n">
        <f aca="false">INT((D90-1)/100)+1</f>
        <v>20</v>
      </c>
      <c r="F90" s="6" t="s">
        <v>705</v>
      </c>
      <c r="G90" s="6" t="s">
        <v>742</v>
      </c>
      <c r="H90" s="6" t="s">
        <v>240</v>
      </c>
      <c r="I90" s="6" t="s">
        <v>743</v>
      </c>
      <c r="J90" s="6" t="s">
        <v>310</v>
      </c>
      <c r="K90" s="6" t="s">
        <v>744</v>
      </c>
      <c r="L90" s="6" t="s">
        <v>569</v>
      </c>
      <c r="M90" s="6"/>
      <c r="N90" s="6" t="s">
        <v>18</v>
      </c>
      <c r="O90" s="6" t="s">
        <v>94</v>
      </c>
      <c r="P90" s="6" t="s">
        <v>745</v>
      </c>
      <c r="Q90" s="6" t="s">
        <v>740</v>
      </c>
      <c r="R90" s="6" t="n">
        <f aca="false">VALUE(LEFT(Q90,4))</f>
        <v>1911</v>
      </c>
      <c r="S90" s="6" t="n">
        <f aca="false">VALUE(MID(Q90,6,2))</f>
        <v>7</v>
      </c>
      <c r="T90" s="6" t="n">
        <f aca="false">VALUE(RIGHT(Q90,2))</f>
        <v>3</v>
      </c>
      <c r="U90" s="6" t="s">
        <v>125</v>
      </c>
      <c r="V90" s="6" t="s">
        <v>126</v>
      </c>
    </row>
    <row r="91" customFormat="false" ht="23.85" hidden="false" customHeight="false" outlineLevel="0" collapsed="false">
      <c r="A91" s="6" t="n">
        <v>90</v>
      </c>
      <c r="B91" s="6" t="s">
        <v>746</v>
      </c>
      <c r="C91" s="6" t="s">
        <v>746</v>
      </c>
      <c r="D91" s="6" t="n">
        <f aca="false">VALUE(LEFT(B91,4))</f>
        <v>1912</v>
      </c>
      <c r="E91" s="6" t="n">
        <f aca="false">INT((D91-1)/100)+1</f>
        <v>20</v>
      </c>
      <c r="F91" s="6" t="s">
        <v>553</v>
      </c>
      <c r="G91" s="6" t="s">
        <v>747</v>
      </c>
      <c r="H91" s="6" t="s">
        <v>748</v>
      </c>
      <c r="I91" s="6" t="s">
        <v>749</v>
      </c>
      <c r="J91" s="6" t="s">
        <v>332</v>
      </c>
      <c r="K91" s="6" t="s">
        <v>750</v>
      </c>
      <c r="L91" s="6" t="s">
        <v>569</v>
      </c>
      <c r="M91" s="6"/>
      <c r="N91" s="6" t="s">
        <v>18</v>
      </c>
      <c r="O91" s="6" t="s">
        <v>94</v>
      </c>
      <c r="P91" s="6" t="s">
        <v>751</v>
      </c>
      <c r="Q91" s="6" t="s">
        <v>746</v>
      </c>
      <c r="R91" s="6" t="n">
        <f aca="false">VALUE(LEFT(Q91,4))</f>
        <v>1912</v>
      </c>
      <c r="S91" s="6" t="n">
        <f aca="false">VALUE(MID(Q91,6,2))</f>
        <v>2</v>
      </c>
      <c r="T91" s="6" t="n">
        <f aca="false">VALUE(RIGHT(Q91,2))</f>
        <v>4</v>
      </c>
      <c r="U91" s="6" t="s">
        <v>77</v>
      </c>
      <c r="V91" s="6" t="s">
        <v>78</v>
      </c>
    </row>
    <row r="92" customFormat="false" ht="35.05" hidden="false" customHeight="false" outlineLevel="0" collapsed="false">
      <c r="A92" s="6" t="n">
        <v>91</v>
      </c>
      <c r="B92" s="6" t="s">
        <v>752</v>
      </c>
      <c r="C92" s="6" t="s">
        <v>753</v>
      </c>
      <c r="D92" s="6" t="n">
        <f aca="false">VALUE(LEFT(B92,4))</f>
        <v>1913</v>
      </c>
      <c r="E92" s="6" t="n">
        <f aca="false">INT((D92-1)/100)+1</f>
        <v>20</v>
      </c>
      <c r="F92" s="6" t="s">
        <v>754</v>
      </c>
      <c r="G92" s="6" t="s">
        <v>755</v>
      </c>
      <c r="H92" s="6" t="s">
        <v>756</v>
      </c>
      <c r="I92" s="6" t="s">
        <v>757</v>
      </c>
      <c r="J92" s="6" t="s">
        <v>758</v>
      </c>
      <c r="K92" s="6" t="s">
        <v>759</v>
      </c>
      <c r="L92" s="6" t="s">
        <v>627</v>
      </c>
      <c r="M92" s="6" t="s">
        <v>628</v>
      </c>
      <c r="N92" s="6" t="s">
        <v>16</v>
      </c>
      <c r="O92" s="6" t="s">
        <v>75</v>
      </c>
      <c r="P92" s="6"/>
      <c r="Q92" s="6" t="s">
        <v>752</v>
      </c>
      <c r="R92" s="6" t="n">
        <f aca="false">VALUE(LEFT(Q92,4))</f>
        <v>1913</v>
      </c>
      <c r="S92" s="6" t="n">
        <f aca="false">VALUE(MID(Q92,6,2))</f>
        <v>3</v>
      </c>
      <c r="T92" s="6" t="n">
        <f aca="false">VALUE(RIGHT(Q92,2))</f>
        <v>25</v>
      </c>
      <c r="U92" s="6" t="s">
        <v>125</v>
      </c>
      <c r="V92" s="6" t="s">
        <v>126</v>
      </c>
    </row>
    <row r="93" customFormat="false" ht="23.85" hidden="false" customHeight="false" outlineLevel="0" collapsed="false">
      <c r="A93" s="6" t="n">
        <v>92</v>
      </c>
      <c r="B93" s="6" t="s">
        <v>760</v>
      </c>
      <c r="C93" s="6" t="s">
        <v>760</v>
      </c>
      <c r="D93" s="6" t="n">
        <f aca="false">VALUE(LEFT(B93,4))</f>
        <v>1914</v>
      </c>
      <c r="E93" s="6" t="n">
        <f aca="false">INT((D93-1)/100)+1</f>
        <v>20</v>
      </c>
      <c r="F93" s="6" t="s">
        <v>219</v>
      </c>
      <c r="G93" s="6" t="s">
        <v>761</v>
      </c>
      <c r="H93" s="6" t="s">
        <v>762</v>
      </c>
      <c r="I93" s="6" t="s">
        <v>763</v>
      </c>
      <c r="J93" s="6" t="s">
        <v>310</v>
      </c>
      <c r="K93" s="6" t="s">
        <v>764</v>
      </c>
      <c r="L93" s="6" t="s">
        <v>627</v>
      </c>
      <c r="M93" s="6" t="s">
        <v>628</v>
      </c>
      <c r="N93" s="6" t="s">
        <v>16</v>
      </c>
      <c r="O93" s="6" t="s">
        <v>75</v>
      </c>
      <c r="P93" s="6"/>
      <c r="Q93" s="6" t="s">
        <v>760</v>
      </c>
      <c r="R93" s="6" t="n">
        <f aca="false">VALUE(LEFT(Q93,4))</f>
        <v>1914</v>
      </c>
      <c r="S93" s="6" t="n">
        <f aca="false">VALUE(MID(Q93,6,2))</f>
        <v>2</v>
      </c>
      <c r="T93" s="6" t="n">
        <f aca="false">VALUE(RIGHT(Q93,2))</f>
        <v>14</v>
      </c>
      <c r="U93" s="6" t="s">
        <v>77</v>
      </c>
      <c r="V93" s="6" t="s">
        <v>78</v>
      </c>
    </row>
    <row r="94" customFormat="false" ht="23.85" hidden="false" customHeight="false" outlineLevel="0" collapsed="false">
      <c r="A94" s="6" t="n">
        <v>93</v>
      </c>
      <c r="B94" s="6" t="s">
        <v>765</v>
      </c>
      <c r="C94" s="6" t="s">
        <v>765</v>
      </c>
      <c r="D94" s="6" t="n">
        <f aca="false">VALUE(LEFT(B94,4))</f>
        <v>1914</v>
      </c>
      <c r="E94" s="6" t="n">
        <f aca="false">INT((D94-1)/100)+1</f>
        <v>20</v>
      </c>
      <c r="F94" s="6" t="s">
        <v>621</v>
      </c>
      <c r="G94" s="6" t="s">
        <v>766</v>
      </c>
      <c r="H94" s="6" t="s">
        <v>767</v>
      </c>
      <c r="I94" s="6" t="s">
        <v>768</v>
      </c>
      <c r="J94" s="6" t="s">
        <v>769</v>
      </c>
      <c r="K94" s="6" t="s">
        <v>770</v>
      </c>
      <c r="L94" s="6" t="s">
        <v>627</v>
      </c>
      <c r="M94" s="6" t="s">
        <v>628</v>
      </c>
      <c r="N94" s="6" t="s">
        <v>16</v>
      </c>
      <c r="O94" s="6" t="s">
        <v>75</v>
      </c>
      <c r="P94" s="6"/>
      <c r="Q94" s="6" t="s">
        <v>765</v>
      </c>
      <c r="R94" s="6" t="n">
        <f aca="false">VALUE(LEFT(Q94,4))</f>
        <v>1914</v>
      </c>
      <c r="S94" s="6" t="n">
        <f aca="false">VALUE(MID(Q94,6,2))</f>
        <v>3</v>
      </c>
      <c r="T94" s="6" t="n">
        <f aca="false">VALUE(RIGHT(Q94,2))</f>
        <v>28</v>
      </c>
      <c r="U94" s="6" t="s">
        <v>77</v>
      </c>
      <c r="V94" s="6" t="s">
        <v>78</v>
      </c>
    </row>
    <row r="95" customFormat="false" ht="23.85" hidden="false" customHeight="false" outlineLevel="0" collapsed="false">
      <c r="A95" s="6" t="n">
        <v>94</v>
      </c>
      <c r="B95" s="6" t="s">
        <v>771</v>
      </c>
      <c r="C95" s="6" t="s">
        <v>772</v>
      </c>
      <c r="D95" s="6" t="n">
        <f aca="false">VALUE(LEFT(B95,4))</f>
        <v>1915</v>
      </c>
      <c r="E95" s="6" t="n">
        <f aca="false">INT((D95-1)/100)+1</f>
        <v>20</v>
      </c>
      <c r="F95" s="6" t="s">
        <v>139</v>
      </c>
      <c r="G95" s="6" t="s">
        <v>773</v>
      </c>
      <c r="H95" s="6" t="s">
        <v>774</v>
      </c>
      <c r="I95" s="6" t="s">
        <v>775</v>
      </c>
      <c r="J95" s="6" t="s">
        <v>310</v>
      </c>
      <c r="K95" s="6" t="s">
        <v>776</v>
      </c>
      <c r="L95" s="6" t="s">
        <v>627</v>
      </c>
      <c r="M95" s="6" t="s">
        <v>628</v>
      </c>
      <c r="N95" s="6" t="s">
        <v>16</v>
      </c>
      <c r="O95" s="6" t="s">
        <v>75</v>
      </c>
      <c r="P95" s="6"/>
      <c r="Q95" s="6" t="s">
        <v>771</v>
      </c>
      <c r="R95" s="6" t="n">
        <f aca="false">VALUE(LEFT(Q95,4))</f>
        <v>1915</v>
      </c>
      <c r="S95" s="6" t="n">
        <f aca="false">VALUE(MID(Q95,6,2))</f>
        <v>12</v>
      </c>
      <c r="T95" s="6" t="n">
        <f aca="false">VALUE(RIGHT(Q95,2))</f>
        <v>13</v>
      </c>
      <c r="U95" s="6" t="s">
        <v>125</v>
      </c>
      <c r="V95" s="6" t="s">
        <v>126</v>
      </c>
    </row>
    <row r="96" customFormat="false" ht="23.85" hidden="false" customHeight="false" outlineLevel="0" collapsed="false">
      <c r="A96" s="6" t="n">
        <v>95</v>
      </c>
      <c r="B96" s="6" t="s">
        <v>777</v>
      </c>
      <c r="C96" s="6" t="s">
        <v>778</v>
      </c>
      <c r="D96" s="6" t="n">
        <f aca="false">VALUE(LEFT(B96,4))</f>
        <v>1917</v>
      </c>
      <c r="E96" s="6" t="n">
        <f aca="false">INT((D96-1)/100)+1</f>
        <v>20</v>
      </c>
      <c r="F96" s="6" t="s">
        <v>106</v>
      </c>
      <c r="G96" s="6" t="s">
        <v>779</v>
      </c>
      <c r="H96" s="6" t="s">
        <v>240</v>
      </c>
      <c r="I96" s="6" t="s">
        <v>780</v>
      </c>
      <c r="J96" s="6" t="s">
        <v>719</v>
      </c>
      <c r="K96" s="6" t="s">
        <v>781</v>
      </c>
      <c r="L96" s="6" t="s">
        <v>569</v>
      </c>
      <c r="M96" s="6"/>
      <c r="N96" s="6" t="s">
        <v>18</v>
      </c>
      <c r="O96" s="6" t="s">
        <v>94</v>
      </c>
      <c r="P96" s="6"/>
      <c r="Q96" s="6" t="s">
        <v>782</v>
      </c>
      <c r="R96" s="6" t="n">
        <f aca="false">VALUE(LEFT(Q96,4))</f>
        <v>1917</v>
      </c>
      <c r="S96" s="6" t="n">
        <f aca="false">VALUE(MID(Q96,6,2))</f>
        <v>12</v>
      </c>
      <c r="T96" s="6" t="n">
        <f aca="false">VALUE(RIGHT(Q96,2))</f>
        <v>30</v>
      </c>
      <c r="U96" s="6" t="s">
        <v>125</v>
      </c>
      <c r="V96" s="6" t="s">
        <v>783</v>
      </c>
    </row>
    <row r="97" customFormat="false" ht="23.85" hidden="false" customHeight="false" outlineLevel="0" collapsed="false">
      <c r="A97" s="6" t="n">
        <v>96</v>
      </c>
      <c r="B97" s="6" t="s">
        <v>784</v>
      </c>
      <c r="C97" s="6" t="s">
        <v>785</v>
      </c>
      <c r="D97" s="6" t="n">
        <f aca="false">VALUE(LEFT(B97,4))</f>
        <v>1920</v>
      </c>
      <c r="E97" s="6" t="n">
        <f aca="false">INT((D97-1)/100)+1</f>
        <v>20</v>
      </c>
      <c r="F97" s="6" t="s">
        <v>159</v>
      </c>
      <c r="G97" s="6" t="s">
        <v>786</v>
      </c>
      <c r="H97" s="6" t="s">
        <v>566</v>
      </c>
      <c r="I97" s="6" t="s">
        <v>787</v>
      </c>
      <c r="J97" s="6" t="s">
        <v>708</v>
      </c>
      <c r="K97" s="6" t="s">
        <v>788</v>
      </c>
      <c r="L97" s="6" t="s">
        <v>569</v>
      </c>
      <c r="M97" s="6"/>
      <c r="N97" s="6" t="s">
        <v>18</v>
      </c>
      <c r="O97" s="6" t="s">
        <v>94</v>
      </c>
      <c r="P97" s="6"/>
      <c r="Q97" s="6" t="s">
        <v>784</v>
      </c>
      <c r="R97" s="6" t="n">
        <f aca="false">VALUE(LEFT(Q97,4))</f>
        <v>1920</v>
      </c>
      <c r="S97" s="6" t="n">
        <f aca="false">VALUE(MID(Q97,6,2))</f>
        <v>2</v>
      </c>
      <c r="T97" s="6" t="n">
        <f aca="false">VALUE(RIGHT(Q97,2))</f>
        <v>4</v>
      </c>
      <c r="U97" s="6" t="s">
        <v>125</v>
      </c>
      <c r="V97" s="6" t="s">
        <v>126</v>
      </c>
    </row>
    <row r="98" customFormat="false" ht="23.85" hidden="false" customHeight="false" outlineLevel="0" collapsed="false">
      <c r="A98" s="6" t="n">
        <v>97</v>
      </c>
      <c r="B98" s="6" t="s">
        <v>789</v>
      </c>
      <c r="C98" s="6" t="s">
        <v>790</v>
      </c>
      <c r="D98" s="6" t="n">
        <f aca="false">VALUE(LEFT(B98,4))</f>
        <v>1927</v>
      </c>
      <c r="E98" s="6" t="n">
        <f aca="false">INT((D98-1)/100)+1</f>
        <v>20</v>
      </c>
      <c r="F98" s="6" t="s">
        <v>654</v>
      </c>
      <c r="G98" s="6" t="s">
        <v>791</v>
      </c>
      <c r="H98" s="6" t="s">
        <v>792</v>
      </c>
      <c r="I98" s="6" t="s">
        <v>793</v>
      </c>
      <c r="J98" s="6" t="s">
        <v>623</v>
      </c>
      <c r="K98" s="6" t="s">
        <v>794</v>
      </c>
      <c r="L98" s="6" t="s">
        <v>627</v>
      </c>
      <c r="M98" s="6" t="s">
        <v>628</v>
      </c>
      <c r="N98" s="6" t="s">
        <v>16</v>
      </c>
      <c r="O98" s="6" t="s">
        <v>75</v>
      </c>
      <c r="P98" s="6"/>
      <c r="Q98" s="6" t="s">
        <v>789</v>
      </c>
      <c r="R98" s="6" t="n">
        <f aca="false">VALUE(LEFT(Q98,4))</f>
        <v>1927</v>
      </c>
      <c r="S98" s="6" t="n">
        <f aca="false">VALUE(MID(Q98,6,2))</f>
        <v>11</v>
      </c>
      <c r="T98" s="6" t="n">
        <f aca="false">VALUE(RIGHT(Q98,2))</f>
        <v>3</v>
      </c>
      <c r="U98" s="6" t="s">
        <v>125</v>
      </c>
      <c r="V98" s="6" t="s">
        <v>126</v>
      </c>
    </row>
    <row r="99" customFormat="false" ht="35.05" hidden="false" customHeight="false" outlineLevel="0" collapsed="false">
      <c r="A99" s="6" t="n">
        <v>98</v>
      </c>
      <c r="B99" s="6" t="s">
        <v>795</v>
      </c>
      <c r="C99" s="6" t="s">
        <v>795</v>
      </c>
      <c r="D99" s="6" t="n">
        <f aca="false">VALUE(LEFT(B99,4))</f>
        <v>1928</v>
      </c>
      <c r="E99" s="6" t="n">
        <f aca="false">INT((D99-1)/100)+1</f>
        <v>20</v>
      </c>
      <c r="F99" s="6" t="s">
        <v>553</v>
      </c>
      <c r="G99" s="6" t="s">
        <v>796</v>
      </c>
      <c r="H99" s="6" t="s">
        <v>797</v>
      </c>
      <c r="I99" s="6" t="s">
        <v>798</v>
      </c>
      <c r="J99" s="6" t="s">
        <v>799</v>
      </c>
      <c r="K99" s="6" t="s">
        <v>800</v>
      </c>
      <c r="L99" s="6" t="s">
        <v>801</v>
      </c>
      <c r="M99" s="6" t="s">
        <v>802</v>
      </c>
      <c r="N99" s="6" t="s">
        <v>20</v>
      </c>
      <c r="O99" s="6" t="s">
        <v>75</v>
      </c>
      <c r="P99" s="6" t="s">
        <v>803</v>
      </c>
      <c r="Q99" s="6" t="s">
        <v>795</v>
      </c>
      <c r="R99" s="6" t="n">
        <f aca="false">VALUE(LEFT(Q99,4))</f>
        <v>1928</v>
      </c>
      <c r="S99" s="6" t="n">
        <f aca="false">VALUE(MID(Q99,6,2))</f>
        <v>1</v>
      </c>
      <c r="T99" s="6" t="n">
        <f aca="false">VALUE(RIGHT(Q99,2))</f>
        <v>31</v>
      </c>
      <c r="U99" s="6" t="s">
        <v>77</v>
      </c>
      <c r="V99" s="6" t="s">
        <v>78</v>
      </c>
    </row>
    <row r="100" customFormat="false" ht="23.85" hidden="false" customHeight="false" outlineLevel="0" collapsed="false">
      <c r="A100" s="6" t="n">
        <v>99</v>
      </c>
      <c r="B100" s="6" t="s">
        <v>804</v>
      </c>
      <c r="C100" s="6" t="s">
        <v>805</v>
      </c>
      <c r="D100" s="6" t="n">
        <f aca="false">VALUE(LEFT(B100,4))</f>
        <v>1929</v>
      </c>
      <c r="E100" s="6" t="n">
        <f aca="false">INT((D100-1)/100)+1</f>
        <v>20</v>
      </c>
      <c r="F100" s="6" t="s">
        <v>806</v>
      </c>
      <c r="G100" s="6" t="s">
        <v>807</v>
      </c>
      <c r="H100" s="6" t="s">
        <v>808</v>
      </c>
      <c r="I100" s="6" t="s">
        <v>809</v>
      </c>
      <c r="J100" s="6" t="s">
        <v>719</v>
      </c>
      <c r="K100" s="6" t="s">
        <v>810</v>
      </c>
      <c r="L100" s="6" t="s">
        <v>627</v>
      </c>
      <c r="M100" s="6" t="s">
        <v>628</v>
      </c>
      <c r="N100" s="6" t="s">
        <v>20</v>
      </c>
      <c r="O100" s="6" t="s">
        <v>75</v>
      </c>
      <c r="P100" s="6" t="s">
        <v>811</v>
      </c>
      <c r="Q100" s="6" t="s">
        <v>812</v>
      </c>
      <c r="R100" s="6" t="n">
        <f aca="false">VALUE(LEFT(Q100,4))</f>
        <v>1929</v>
      </c>
      <c r="S100" s="6" t="n">
        <f aca="false">VALUE(MID(Q100,6,2))</f>
        <v>7</v>
      </c>
      <c r="T100" s="6" t="n">
        <f aca="false">VALUE(RIGHT(Q100,2))</f>
        <v>1</v>
      </c>
      <c r="U100" s="6" t="s">
        <v>338</v>
      </c>
      <c r="V100" s="6" t="s">
        <v>813</v>
      </c>
    </row>
    <row r="101" customFormat="false" ht="23.85" hidden="false" customHeight="false" outlineLevel="0" collapsed="false">
      <c r="A101" s="6" t="n">
        <v>100</v>
      </c>
      <c r="B101" s="6" t="s">
        <v>814</v>
      </c>
      <c r="C101" s="6" t="s">
        <v>815</v>
      </c>
      <c r="D101" s="6" t="n">
        <f aca="false">VALUE(LEFT(B101,4))</f>
        <v>1930</v>
      </c>
      <c r="E101" s="6" t="n">
        <f aca="false">INT((D101-1)/100)+1</f>
        <v>20</v>
      </c>
      <c r="F101" s="6" t="s">
        <v>816</v>
      </c>
      <c r="G101" s="6" t="s">
        <v>817</v>
      </c>
      <c r="H101" s="6" t="s">
        <v>818</v>
      </c>
      <c r="I101" s="6" t="s">
        <v>819</v>
      </c>
      <c r="J101" s="6" t="s">
        <v>719</v>
      </c>
      <c r="K101" s="6" t="s">
        <v>820</v>
      </c>
      <c r="L101" s="6" t="s">
        <v>569</v>
      </c>
      <c r="M101" s="6"/>
      <c r="N101" s="6" t="s">
        <v>18</v>
      </c>
      <c r="O101" s="6" t="s">
        <v>94</v>
      </c>
      <c r="P101" s="6"/>
      <c r="Q101" s="6" t="s">
        <v>821</v>
      </c>
      <c r="R101" s="6" t="n">
        <f aca="false">VALUE(LEFT(Q101,4))</f>
        <v>1930</v>
      </c>
      <c r="S101" s="6" t="n">
        <f aca="false">VALUE(MID(Q101,6,2))</f>
        <v>8</v>
      </c>
      <c r="T101" s="6" t="n">
        <f aca="false">VALUE(RIGHT(Q101,2))</f>
        <v>15</v>
      </c>
      <c r="U101" s="6" t="s">
        <v>114</v>
      </c>
      <c r="V101" s="6" t="s">
        <v>822</v>
      </c>
    </row>
    <row r="102" customFormat="false" ht="23.85" hidden="false" customHeight="false" outlineLevel="0" collapsed="false">
      <c r="A102" s="6" t="n">
        <v>101</v>
      </c>
      <c r="B102" s="6" t="s">
        <v>823</v>
      </c>
      <c r="C102" s="6" t="s">
        <v>823</v>
      </c>
      <c r="D102" s="6" t="n">
        <f aca="false">VALUE(LEFT(B102,4))</f>
        <v>1934</v>
      </c>
      <c r="E102" s="6" t="n">
        <f aca="false">INT((D102-1)/100)+1</f>
        <v>20</v>
      </c>
      <c r="F102" s="6" t="s">
        <v>238</v>
      </c>
      <c r="G102" s="6" t="s">
        <v>824</v>
      </c>
      <c r="H102" s="6" t="s">
        <v>240</v>
      </c>
      <c r="I102" s="6" t="s">
        <v>825</v>
      </c>
      <c r="J102" s="6" t="s">
        <v>826</v>
      </c>
      <c r="K102" s="6" t="s">
        <v>827</v>
      </c>
      <c r="L102" s="6" t="s">
        <v>569</v>
      </c>
      <c r="M102" s="6"/>
      <c r="N102" s="6" t="s">
        <v>18</v>
      </c>
      <c r="O102" s="6" t="s">
        <v>94</v>
      </c>
      <c r="P102" s="6" t="s">
        <v>828</v>
      </c>
      <c r="Q102" s="6" t="s">
        <v>823</v>
      </c>
      <c r="R102" s="6" t="n">
        <f aca="false">VALUE(LEFT(Q102,4))</f>
        <v>1934</v>
      </c>
      <c r="S102" s="6" t="n">
        <f aca="false">VALUE(MID(Q102,6,2))</f>
        <v>2</v>
      </c>
      <c r="T102" s="6" t="n">
        <f aca="false">VALUE(RIGHT(Q102,2))</f>
        <v>9</v>
      </c>
      <c r="U102" s="6" t="s">
        <v>77</v>
      </c>
      <c r="V102" s="6" t="s">
        <v>78</v>
      </c>
    </row>
    <row r="103" customFormat="false" ht="23.85" hidden="false" customHeight="false" outlineLevel="0" collapsed="false">
      <c r="A103" s="6" t="n">
        <v>102</v>
      </c>
      <c r="B103" s="6" t="s">
        <v>829</v>
      </c>
      <c r="C103" s="6" t="s">
        <v>829</v>
      </c>
      <c r="D103" s="6" t="n">
        <f aca="false">VALUE(LEFT(B103,4))</f>
        <v>1935</v>
      </c>
      <c r="E103" s="6" t="n">
        <f aca="false">INT((D103-1)/100)+1</f>
        <v>20</v>
      </c>
      <c r="F103" s="6" t="s">
        <v>830</v>
      </c>
      <c r="G103" s="6" t="s">
        <v>831</v>
      </c>
      <c r="H103" s="6" t="s">
        <v>832</v>
      </c>
      <c r="I103" s="6" t="s">
        <v>833</v>
      </c>
      <c r="J103" s="6" t="s">
        <v>719</v>
      </c>
      <c r="K103" s="6" t="s">
        <v>834</v>
      </c>
      <c r="L103" s="6" t="s">
        <v>569</v>
      </c>
      <c r="M103" s="6"/>
      <c r="N103" s="6" t="s">
        <v>18</v>
      </c>
      <c r="O103" s="6" t="s">
        <v>94</v>
      </c>
      <c r="P103" s="6"/>
      <c r="Q103" s="6" t="s">
        <v>829</v>
      </c>
      <c r="R103" s="6" t="n">
        <f aca="false">VALUE(LEFT(Q103,4))</f>
        <v>1935</v>
      </c>
      <c r="S103" s="6" t="n">
        <f aca="false">VALUE(MID(Q103,6,2))</f>
        <v>7</v>
      </c>
      <c r="T103" s="6" t="n">
        <f aca="false">VALUE(RIGHT(Q103,2))</f>
        <v>8</v>
      </c>
      <c r="U103" s="6" t="s">
        <v>77</v>
      </c>
      <c r="V103" s="6" t="s">
        <v>78</v>
      </c>
    </row>
    <row r="104" customFormat="false" ht="23.85" hidden="false" customHeight="false" outlineLevel="0" collapsed="false">
      <c r="A104" s="6" t="n">
        <v>103</v>
      </c>
      <c r="B104" s="6" t="s">
        <v>835</v>
      </c>
      <c r="C104" s="6" t="s">
        <v>836</v>
      </c>
      <c r="D104" s="6" t="n">
        <f aca="false">VALUE(LEFT(B104,4))</f>
        <v>1936</v>
      </c>
      <c r="E104" s="6" t="n">
        <f aca="false">INT((D104-1)/100)+1</f>
        <v>20</v>
      </c>
      <c r="F104" s="6" t="s">
        <v>754</v>
      </c>
      <c r="G104" s="6" t="s">
        <v>837</v>
      </c>
      <c r="H104" s="6" t="s">
        <v>240</v>
      </c>
      <c r="I104" s="6" t="s">
        <v>838</v>
      </c>
      <c r="J104" s="6" t="s">
        <v>839</v>
      </c>
      <c r="K104" s="6" t="s">
        <v>840</v>
      </c>
      <c r="L104" s="6" t="s">
        <v>627</v>
      </c>
      <c r="M104" s="6" t="s">
        <v>628</v>
      </c>
      <c r="N104" s="6" t="s">
        <v>16</v>
      </c>
      <c r="O104" s="6" t="s">
        <v>75</v>
      </c>
      <c r="P104" s="6"/>
      <c r="Q104" s="6" t="s">
        <v>835</v>
      </c>
      <c r="R104" s="6" t="n">
        <f aca="false">VALUE(LEFT(Q104,4))</f>
        <v>1936</v>
      </c>
      <c r="S104" s="6" t="n">
        <f aca="false">VALUE(MID(Q104,6,2))</f>
        <v>3</v>
      </c>
      <c r="T104" s="6" t="n">
        <f aca="false">VALUE(RIGHT(Q104,2))</f>
        <v>12</v>
      </c>
      <c r="U104" s="6" t="s">
        <v>125</v>
      </c>
      <c r="V104" s="6" t="s">
        <v>126</v>
      </c>
    </row>
    <row r="105" customFormat="false" ht="15" hidden="false" customHeight="false" outlineLevel="0" collapsed="false">
      <c r="A105" s="6" t="n">
        <v>104</v>
      </c>
      <c r="B105" s="6" t="s">
        <v>841</v>
      </c>
      <c r="C105" s="6" t="s">
        <v>842</v>
      </c>
      <c r="D105" s="6" t="n">
        <f aca="false">VALUE(LEFT(B105,4))</f>
        <v>1936</v>
      </c>
      <c r="E105" s="6" t="n">
        <f aca="false">INT((D105-1)/100)+1</f>
        <v>20</v>
      </c>
      <c r="F105" s="6" t="s">
        <v>705</v>
      </c>
      <c r="G105" s="6" t="s">
        <v>843</v>
      </c>
      <c r="H105" s="6" t="s">
        <v>240</v>
      </c>
      <c r="I105" s="6" t="s">
        <v>844</v>
      </c>
      <c r="J105" s="6" t="s">
        <v>719</v>
      </c>
      <c r="K105" s="6"/>
      <c r="L105" s="6" t="s">
        <v>845</v>
      </c>
      <c r="M105" s="6"/>
      <c r="N105" s="6" t="s">
        <v>18</v>
      </c>
      <c r="O105" s="6" t="s">
        <v>94</v>
      </c>
      <c r="P105" s="6"/>
      <c r="Q105" s="6" t="s">
        <v>846</v>
      </c>
      <c r="R105" s="6" t="n">
        <f aca="false">VALUE(LEFT(Q105,4))</f>
        <v>1936</v>
      </c>
      <c r="S105" s="6" t="n">
        <f aca="false">VALUE(MID(Q105,6,2))</f>
        <v>7</v>
      </c>
      <c r="T105" s="6" t="n">
        <f aca="false">VALUE(RIGHT(Q105,2))</f>
        <v>16</v>
      </c>
      <c r="U105" s="6" t="s">
        <v>317</v>
      </c>
      <c r="V105" s="6" t="s">
        <v>318</v>
      </c>
    </row>
    <row r="106" customFormat="false" ht="23.85" hidden="false" customHeight="false" outlineLevel="0" collapsed="false">
      <c r="A106" s="6" t="n">
        <v>105</v>
      </c>
      <c r="B106" s="6" t="s">
        <v>847</v>
      </c>
      <c r="C106" s="6" t="s">
        <v>847</v>
      </c>
      <c r="D106" s="6" t="n">
        <f aca="false">VALUE(LEFT(B106,4))</f>
        <v>1938</v>
      </c>
      <c r="E106" s="6" t="n">
        <f aca="false">INT((D106-1)/100)+1</f>
        <v>20</v>
      </c>
      <c r="F106" s="6" t="s">
        <v>553</v>
      </c>
      <c r="G106" s="6" t="s">
        <v>848</v>
      </c>
      <c r="H106" s="6" t="s">
        <v>748</v>
      </c>
      <c r="I106" s="6" t="s">
        <v>849</v>
      </c>
      <c r="J106" s="6" t="s">
        <v>332</v>
      </c>
      <c r="K106" s="6" t="s">
        <v>850</v>
      </c>
      <c r="L106" s="6" t="s">
        <v>569</v>
      </c>
      <c r="M106" s="6"/>
      <c r="N106" s="6" t="s">
        <v>18</v>
      </c>
      <c r="O106" s="6" t="s">
        <v>94</v>
      </c>
      <c r="P106" s="6" t="s">
        <v>751</v>
      </c>
      <c r="Q106" s="6" t="s">
        <v>847</v>
      </c>
      <c r="R106" s="6" t="n">
        <f aca="false">VALUE(LEFT(Q106,4))</f>
        <v>1938</v>
      </c>
      <c r="S106" s="6" t="n">
        <f aca="false">VALUE(MID(Q106,6,2))</f>
        <v>1</v>
      </c>
      <c r="T106" s="6" t="n">
        <f aca="false">VALUE(RIGHT(Q106,2))</f>
        <v>27</v>
      </c>
      <c r="U106" s="6" t="s">
        <v>77</v>
      </c>
      <c r="V106" s="6" t="s">
        <v>78</v>
      </c>
    </row>
    <row r="107" customFormat="false" ht="23.85" hidden="false" customHeight="false" outlineLevel="0" collapsed="false">
      <c r="A107" s="6" t="n">
        <v>106</v>
      </c>
      <c r="B107" s="6" t="s">
        <v>851</v>
      </c>
      <c r="C107" s="6" t="s">
        <v>852</v>
      </c>
      <c r="D107" s="6" t="n">
        <f aca="false">VALUE(LEFT(B107,4))</f>
        <v>1938</v>
      </c>
      <c r="E107" s="6" t="n">
        <f aca="false">INT((D107-1)/100)+1</f>
        <v>20</v>
      </c>
      <c r="F107" s="6" t="s">
        <v>67</v>
      </c>
      <c r="G107" s="6" t="s">
        <v>853</v>
      </c>
      <c r="H107" s="6" t="s">
        <v>854</v>
      </c>
      <c r="I107" s="6" t="s">
        <v>855</v>
      </c>
      <c r="J107" s="6" t="s">
        <v>623</v>
      </c>
      <c r="K107" s="6" t="s">
        <v>856</v>
      </c>
      <c r="L107" s="6" t="s">
        <v>627</v>
      </c>
      <c r="M107" s="6" t="s">
        <v>628</v>
      </c>
      <c r="N107" s="6" t="s">
        <v>16</v>
      </c>
      <c r="O107" s="6" t="s">
        <v>75</v>
      </c>
      <c r="P107" s="6"/>
      <c r="Q107" s="6" t="s">
        <v>851</v>
      </c>
      <c r="R107" s="6" t="n">
        <f aca="false">VALUE(LEFT(Q107,4))</f>
        <v>1938</v>
      </c>
      <c r="S107" s="6" t="n">
        <f aca="false">VALUE(MID(Q107,6,2))</f>
        <v>9</v>
      </c>
      <c r="T107" s="6" t="n">
        <f aca="false">VALUE(RIGHT(Q107,2))</f>
        <v>21</v>
      </c>
      <c r="U107" s="6" t="s">
        <v>125</v>
      </c>
      <c r="V107" s="6" t="s">
        <v>126</v>
      </c>
    </row>
    <row r="108" customFormat="false" ht="35.05" hidden="false" customHeight="false" outlineLevel="0" collapsed="false">
      <c r="A108" s="6" t="n">
        <v>107</v>
      </c>
      <c r="B108" s="6" t="s">
        <v>857</v>
      </c>
      <c r="C108" s="6" t="s">
        <v>857</v>
      </c>
      <c r="D108" s="6" t="n">
        <f aca="false">VALUE(LEFT(B108,4))</f>
        <v>1939</v>
      </c>
      <c r="E108" s="6" t="n">
        <f aca="false">INT((D108-1)/100)+1</f>
        <v>20</v>
      </c>
      <c r="F108" s="6" t="s">
        <v>553</v>
      </c>
      <c r="G108" s="6" t="s">
        <v>858</v>
      </c>
      <c r="H108" s="6" t="s">
        <v>859</v>
      </c>
      <c r="I108" s="6" t="s">
        <v>860</v>
      </c>
      <c r="J108" s="6" t="s">
        <v>799</v>
      </c>
      <c r="K108" s="6" t="s">
        <v>861</v>
      </c>
      <c r="L108" s="6" t="s">
        <v>801</v>
      </c>
      <c r="M108" s="6" t="s">
        <v>802</v>
      </c>
      <c r="N108" s="6" t="s">
        <v>20</v>
      </c>
      <c r="O108" s="6" t="s">
        <v>75</v>
      </c>
      <c r="P108" s="6"/>
      <c r="Q108" s="6" t="s">
        <v>857</v>
      </c>
      <c r="R108" s="6" t="n">
        <f aca="false">VALUE(LEFT(Q108,4))</f>
        <v>1939</v>
      </c>
      <c r="S108" s="6" t="n">
        <f aca="false">VALUE(MID(Q108,6,2))</f>
        <v>2</v>
      </c>
      <c r="T108" s="6" t="n">
        <f aca="false">VALUE(RIGHT(Q108,2))</f>
        <v>17</v>
      </c>
      <c r="U108" s="6" t="s">
        <v>77</v>
      </c>
      <c r="V108" s="6" t="s">
        <v>78</v>
      </c>
    </row>
    <row r="109" customFormat="false" ht="23.85" hidden="false" customHeight="false" outlineLevel="0" collapsed="false">
      <c r="A109" s="6" t="n">
        <v>108</v>
      </c>
      <c r="B109" s="6" t="s">
        <v>862</v>
      </c>
      <c r="C109" s="6" t="s">
        <v>862</v>
      </c>
      <c r="D109" s="6" t="n">
        <f aca="false">VALUE(LEFT(B109,4))</f>
        <v>1940</v>
      </c>
      <c r="E109" s="6" t="n">
        <f aca="false">INT((D109-1)/100)+1</f>
        <v>20</v>
      </c>
      <c r="F109" s="6" t="s">
        <v>139</v>
      </c>
      <c r="G109" s="6" t="s">
        <v>863</v>
      </c>
      <c r="H109" s="6" t="s">
        <v>240</v>
      </c>
      <c r="I109" s="6" t="s">
        <v>864</v>
      </c>
      <c r="J109" s="6" t="s">
        <v>719</v>
      </c>
      <c r="K109" s="6" t="s">
        <v>865</v>
      </c>
      <c r="L109" s="6" t="s">
        <v>569</v>
      </c>
      <c r="M109" s="6"/>
      <c r="N109" s="6" t="s">
        <v>18</v>
      </c>
      <c r="O109" s="6" t="s">
        <v>94</v>
      </c>
      <c r="P109" s="6"/>
      <c r="Q109" s="6" t="s">
        <v>862</v>
      </c>
      <c r="R109" s="6" t="n">
        <f aca="false">VALUE(LEFT(Q109,4))</f>
        <v>1940</v>
      </c>
      <c r="S109" s="6" t="n">
        <f aca="false">VALUE(MID(Q109,6,2))</f>
        <v>2</v>
      </c>
      <c r="T109" s="6" t="n">
        <f aca="false">VALUE(RIGHT(Q109,2))</f>
        <v>14</v>
      </c>
      <c r="U109" s="6" t="s">
        <v>77</v>
      </c>
      <c r="V109" s="6" t="s">
        <v>78</v>
      </c>
    </row>
    <row r="110" customFormat="false" ht="23.85" hidden="false" customHeight="false" outlineLevel="0" collapsed="false">
      <c r="A110" s="6" t="n">
        <v>109</v>
      </c>
      <c r="B110" s="6" t="s">
        <v>866</v>
      </c>
      <c r="C110" s="6" t="s">
        <v>867</v>
      </c>
      <c r="D110" s="6" t="n">
        <f aca="false">VALUE(LEFT(B110,4))</f>
        <v>1942</v>
      </c>
      <c r="E110" s="6" t="n">
        <f aca="false">INT((D110-1)/100)+1</f>
        <v>20</v>
      </c>
      <c r="F110" s="6" t="s">
        <v>830</v>
      </c>
      <c r="G110" s="6" t="s">
        <v>868</v>
      </c>
      <c r="H110" s="6" t="s">
        <v>869</v>
      </c>
      <c r="I110" s="6" t="s">
        <v>870</v>
      </c>
      <c r="J110" s="6" t="s">
        <v>871</v>
      </c>
      <c r="K110" s="6" t="s">
        <v>872</v>
      </c>
      <c r="L110" s="6" t="s">
        <v>569</v>
      </c>
      <c r="M110" s="6"/>
      <c r="N110" s="6" t="s">
        <v>18</v>
      </c>
      <c r="O110" s="6" t="s">
        <v>94</v>
      </c>
      <c r="P110" s="6"/>
      <c r="Q110" s="6" t="s">
        <v>866</v>
      </c>
      <c r="R110" s="6" t="n">
        <f aca="false">VALUE(LEFT(Q110,4))</f>
        <v>1942</v>
      </c>
      <c r="S110" s="6" t="n">
        <f aca="false">VALUE(MID(Q110,6,2))</f>
        <v>5</v>
      </c>
      <c r="T110" s="6" t="n">
        <f aca="false">VALUE(RIGHT(Q110,2))</f>
        <v>22</v>
      </c>
      <c r="U110" s="6" t="s">
        <v>125</v>
      </c>
      <c r="V110" s="6" t="s">
        <v>126</v>
      </c>
    </row>
    <row r="111" customFormat="false" ht="23.85" hidden="false" customHeight="false" outlineLevel="0" collapsed="false">
      <c r="A111" s="6" t="n">
        <v>110</v>
      </c>
      <c r="B111" s="6" t="s">
        <v>873</v>
      </c>
      <c r="C111" s="6" t="s">
        <v>874</v>
      </c>
      <c r="D111" s="6" t="n">
        <f aca="false">VALUE(LEFT(B111,4))</f>
        <v>1942</v>
      </c>
      <c r="E111" s="6" t="n">
        <f aca="false">INT((D111-1)/100)+1</f>
        <v>20</v>
      </c>
      <c r="F111" s="6" t="s">
        <v>806</v>
      </c>
      <c r="G111" s="6" t="s">
        <v>875</v>
      </c>
      <c r="H111" s="6" t="s">
        <v>668</v>
      </c>
      <c r="I111" s="6" t="s">
        <v>876</v>
      </c>
      <c r="J111" s="6" t="s">
        <v>719</v>
      </c>
      <c r="K111" s="6"/>
      <c r="L111" s="6" t="s">
        <v>627</v>
      </c>
      <c r="M111" s="6" t="s">
        <v>628</v>
      </c>
      <c r="N111" s="6" t="s">
        <v>18</v>
      </c>
      <c r="O111" s="6" t="s">
        <v>75</v>
      </c>
      <c r="P111" s="6"/>
      <c r="Q111" s="6" t="s">
        <v>873</v>
      </c>
      <c r="R111" s="6" t="n">
        <f aca="false">VALUE(LEFT(Q111,4))</f>
        <v>1942</v>
      </c>
      <c r="S111" s="6" t="n">
        <f aca="false">VALUE(MID(Q111,6,2))</f>
        <v>12</v>
      </c>
      <c r="T111" s="6" t="n">
        <f aca="false">VALUE(RIGHT(Q111,2))</f>
        <v>29</v>
      </c>
      <c r="U111" s="6" t="s">
        <v>125</v>
      </c>
      <c r="V111" s="6" t="s">
        <v>126</v>
      </c>
    </row>
    <row r="112" customFormat="false" ht="23.85" hidden="false" customHeight="false" outlineLevel="0" collapsed="false">
      <c r="A112" s="6" t="n">
        <v>111</v>
      </c>
      <c r="B112" s="6" t="s">
        <v>877</v>
      </c>
      <c r="C112" s="6" t="s">
        <v>877</v>
      </c>
      <c r="D112" s="6" t="n">
        <f aca="false">VALUE(LEFT(B112,4))</f>
        <v>1943</v>
      </c>
      <c r="E112" s="6" t="n">
        <f aca="false">INT((D112-1)/100)+1</f>
        <v>20</v>
      </c>
      <c r="F112" s="6" t="s">
        <v>238</v>
      </c>
      <c r="G112" s="6" t="s">
        <v>878</v>
      </c>
      <c r="H112" s="6" t="s">
        <v>681</v>
      </c>
      <c r="I112" s="6" t="s">
        <v>879</v>
      </c>
      <c r="J112" s="6" t="s">
        <v>719</v>
      </c>
      <c r="K112" s="6"/>
      <c r="L112" s="6" t="s">
        <v>569</v>
      </c>
      <c r="M112" s="6"/>
      <c r="N112" s="6" t="s">
        <v>20</v>
      </c>
      <c r="O112" s="6" t="s">
        <v>94</v>
      </c>
      <c r="P112" s="6" t="s">
        <v>880</v>
      </c>
      <c r="Q112" s="6" t="s">
        <v>877</v>
      </c>
      <c r="R112" s="6" t="n">
        <f aca="false">VALUE(LEFT(Q112,4))</f>
        <v>1943</v>
      </c>
      <c r="S112" s="6" t="n">
        <f aca="false">VALUE(MID(Q112,6,2))</f>
        <v>2</v>
      </c>
      <c r="T112" s="6" t="n">
        <f aca="false">VALUE(RIGHT(Q112,2))</f>
        <v>15</v>
      </c>
      <c r="U112" s="6" t="s">
        <v>77</v>
      </c>
      <c r="V112" s="6" t="s">
        <v>78</v>
      </c>
    </row>
    <row r="113" customFormat="false" ht="15" hidden="false" customHeight="false" outlineLevel="0" collapsed="false">
      <c r="A113" s="6" t="n">
        <v>112</v>
      </c>
      <c r="B113" s="6" t="s">
        <v>881</v>
      </c>
      <c r="C113" s="6" t="s">
        <v>881</v>
      </c>
      <c r="D113" s="6" t="n">
        <f aca="false">VALUE(LEFT(B113,4))</f>
        <v>1944</v>
      </c>
      <c r="E113" s="6" t="n">
        <f aca="false">INT((D113-1)/100)+1</f>
        <v>20</v>
      </c>
      <c r="F113" s="6" t="s">
        <v>67</v>
      </c>
      <c r="G113" s="6" t="s">
        <v>882</v>
      </c>
      <c r="H113" s="6" t="s">
        <v>574</v>
      </c>
      <c r="I113" s="6" t="s">
        <v>883</v>
      </c>
      <c r="J113" s="6" t="s">
        <v>719</v>
      </c>
      <c r="K113" s="6"/>
      <c r="L113" s="6" t="s">
        <v>884</v>
      </c>
      <c r="M113" s="6"/>
      <c r="N113" s="6" t="s">
        <v>18</v>
      </c>
      <c r="O113" s="6" t="s">
        <v>94</v>
      </c>
      <c r="P113" s="6"/>
      <c r="Q113" s="6" t="s">
        <v>881</v>
      </c>
      <c r="R113" s="6" t="n">
        <f aca="false">VALUE(LEFT(Q113,4))</f>
        <v>1944</v>
      </c>
      <c r="S113" s="6" t="n">
        <f aca="false">VALUE(MID(Q113,6,2))</f>
        <v>9</v>
      </c>
      <c r="T113" s="6" t="n">
        <f aca="false">VALUE(RIGHT(Q113,2))</f>
        <v>14</v>
      </c>
      <c r="U113" s="6" t="s">
        <v>77</v>
      </c>
      <c r="V113" s="6" t="s">
        <v>78</v>
      </c>
    </row>
    <row r="114" customFormat="false" ht="23.85" hidden="false" customHeight="false" outlineLevel="0" collapsed="false">
      <c r="A114" s="6" t="n">
        <v>113</v>
      </c>
      <c r="B114" s="6" t="s">
        <v>885</v>
      </c>
      <c r="C114" s="6" t="s">
        <v>885</v>
      </c>
      <c r="D114" s="6" t="n">
        <f aca="false">VALUE(LEFT(B114,4))</f>
        <v>1945</v>
      </c>
      <c r="E114" s="6" t="n">
        <f aca="false">INT((D114-1)/100)+1</f>
        <v>20</v>
      </c>
      <c r="F114" s="6" t="s">
        <v>886</v>
      </c>
      <c r="G114" s="6" t="s">
        <v>887</v>
      </c>
      <c r="H114" s="6" t="s">
        <v>808</v>
      </c>
      <c r="I114" s="6" t="s">
        <v>888</v>
      </c>
      <c r="J114" s="6" t="s">
        <v>310</v>
      </c>
      <c r="K114" s="6" t="s">
        <v>889</v>
      </c>
      <c r="L114" s="6" t="s">
        <v>627</v>
      </c>
      <c r="M114" s="6" t="s">
        <v>628</v>
      </c>
      <c r="N114" s="6" t="s">
        <v>16</v>
      </c>
      <c r="O114" s="6" t="s">
        <v>75</v>
      </c>
      <c r="P114" s="6" t="s">
        <v>890</v>
      </c>
      <c r="Q114" s="6" t="s">
        <v>885</v>
      </c>
      <c r="R114" s="6" t="n">
        <f aca="false">VALUE(LEFT(Q114,4))</f>
        <v>1945</v>
      </c>
      <c r="S114" s="6" t="n">
        <f aca="false">VALUE(MID(Q114,6,2))</f>
        <v>5</v>
      </c>
      <c r="T114" s="6" t="n">
        <f aca="false">VALUE(RIGHT(Q114,2))</f>
        <v>10</v>
      </c>
      <c r="U114" s="6" t="s">
        <v>77</v>
      </c>
      <c r="V114" s="6" t="s">
        <v>78</v>
      </c>
    </row>
    <row r="115" customFormat="false" ht="23.85" hidden="false" customHeight="false" outlineLevel="0" collapsed="false">
      <c r="A115" s="6" t="n">
        <v>114</v>
      </c>
      <c r="B115" s="6" t="s">
        <v>891</v>
      </c>
      <c r="C115" s="6" t="s">
        <v>891</v>
      </c>
      <c r="D115" s="6" t="n">
        <f aca="false">VALUE(LEFT(B115,4))</f>
        <v>1945</v>
      </c>
      <c r="E115" s="6" t="n">
        <f aca="false">INT((D115-1)/100)+1</f>
        <v>20</v>
      </c>
      <c r="F115" s="6" t="s">
        <v>830</v>
      </c>
      <c r="G115" s="6" t="s">
        <v>892</v>
      </c>
      <c r="H115" s="6" t="s">
        <v>893</v>
      </c>
      <c r="I115" s="6" t="s">
        <v>894</v>
      </c>
      <c r="J115" s="6" t="s">
        <v>895</v>
      </c>
      <c r="K115" s="6" t="s">
        <v>896</v>
      </c>
      <c r="L115" s="6" t="s">
        <v>627</v>
      </c>
      <c r="M115" s="6" t="s">
        <v>628</v>
      </c>
      <c r="N115" s="6" t="s">
        <v>16</v>
      </c>
      <c r="O115" s="6" t="s">
        <v>75</v>
      </c>
      <c r="P115" s="6"/>
      <c r="Q115" s="6" t="s">
        <v>891</v>
      </c>
      <c r="R115" s="6" t="n">
        <f aca="false">VALUE(LEFT(Q115,4))</f>
        <v>1945</v>
      </c>
      <c r="S115" s="6" t="n">
        <f aca="false">VALUE(MID(Q115,6,2))</f>
        <v>10</v>
      </c>
      <c r="T115" s="6" t="n">
        <f aca="false">VALUE(RIGHT(Q115,2))</f>
        <v>2</v>
      </c>
      <c r="U115" s="6" t="s">
        <v>77</v>
      </c>
      <c r="V115" s="6" t="s">
        <v>78</v>
      </c>
    </row>
    <row r="116" customFormat="false" ht="23.85" hidden="false" customHeight="false" outlineLevel="0" collapsed="false">
      <c r="A116" s="6" t="n">
        <v>115</v>
      </c>
      <c r="B116" s="6" t="s">
        <v>897</v>
      </c>
      <c r="C116" s="6" t="s">
        <v>897</v>
      </c>
      <c r="D116" s="6" t="n">
        <f aca="false">VALUE(LEFT(B116,4))</f>
        <v>1947</v>
      </c>
      <c r="E116" s="6" t="n">
        <f aca="false">INT((D116-1)/100)+1</f>
        <v>20</v>
      </c>
      <c r="F116" s="6" t="s">
        <v>139</v>
      </c>
      <c r="G116" s="6" t="s">
        <v>898</v>
      </c>
      <c r="H116" s="6" t="s">
        <v>120</v>
      </c>
      <c r="I116" s="6" t="s">
        <v>899</v>
      </c>
      <c r="J116" s="6" t="s">
        <v>900</v>
      </c>
      <c r="K116" s="6" t="s">
        <v>901</v>
      </c>
      <c r="L116" s="6" t="s">
        <v>569</v>
      </c>
      <c r="M116" s="6"/>
      <c r="N116" s="6" t="s">
        <v>18</v>
      </c>
      <c r="O116" s="6" t="s">
        <v>94</v>
      </c>
      <c r="P116" s="6"/>
      <c r="Q116" s="6" t="s">
        <v>897</v>
      </c>
      <c r="R116" s="6" t="n">
        <f aca="false">VALUE(LEFT(Q116,4))</f>
        <v>1947</v>
      </c>
      <c r="S116" s="6" t="n">
        <f aca="false">VALUE(MID(Q116,6,2))</f>
        <v>12</v>
      </c>
      <c r="T116" s="6" t="n">
        <f aca="false">VALUE(RIGHT(Q116,2))</f>
        <v>26</v>
      </c>
      <c r="U116" s="6" t="s">
        <v>77</v>
      </c>
      <c r="V116" s="6" t="s">
        <v>78</v>
      </c>
    </row>
    <row r="117" customFormat="false" ht="35.05" hidden="false" customHeight="false" outlineLevel="0" collapsed="false">
      <c r="A117" s="6" t="n">
        <v>116</v>
      </c>
      <c r="B117" s="6" t="s">
        <v>902</v>
      </c>
      <c r="C117" s="6" t="s">
        <v>902</v>
      </c>
      <c r="D117" s="6" t="n">
        <f aca="false">VALUE(LEFT(B117,4))</f>
        <v>1948</v>
      </c>
      <c r="E117" s="6" t="n">
        <f aca="false">INT((D117-1)/100)+1</f>
        <v>20</v>
      </c>
      <c r="F117" s="6" t="s">
        <v>553</v>
      </c>
      <c r="G117" s="6" t="s">
        <v>903</v>
      </c>
      <c r="H117" s="6" t="s">
        <v>904</v>
      </c>
      <c r="I117" s="6" t="s">
        <v>905</v>
      </c>
      <c r="J117" s="6" t="s">
        <v>799</v>
      </c>
      <c r="K117" s="6" t="s">
        <v>906</v>
      </c>
      <c r="L117" s="6" t="s">
        <v>801</v>
      </c>
      <c r="M117" s="6" t="s">
        <v>802</v>
      </c>
      <c r="N117" s="6" t="s">
        <v>20</v>
      </c>
      <c r="O117" s="6" t="s">
        <v>75</v>
      </c>
      <c r="P117" s="6"/>
      <c r="Q117" s="6" t="s">
        <v>902</v>
      </c>
      <c r="R117" s="6" t="n">
        <f aca="false">VALUE(LEFT(Q117,4))</f>
        <v>1948</v>
      </c>
      <c r="S117" s="6" t="n">
        <f aca="false">VALUE(MID(Q117,6,2))</f>
        <v>3</v>
      </c>
      <c r="T117" s="6" t="n">
        <f aca="false">VALUE(RIGHT(Q117,2))</f>
        <v>17</v>
      </c>
      <c r="U117" s="6" t="s">
        <v>77</v>
      </c>
      <c r="V117" s="6" t="s">
        <v>78</v>
      </c>
    </row>
    <row r="118" customFormat="false" ht="23.85" hidden="false" customHeight="false" outlineLevel="0" collapsed="false">
      <c r="A118" s="6" t="n">
        <v>117</v>
      </c>
      <c r="B118" s="6" t="s">
        <v>907</v>
      </c>
      <c r="C118" s="6" t="s">
        <v>908</v>
      </c>
      <c r="D118" s="6" t="n">
        <f aca="false">VALUE(LEFT(B118,4))</f>
        <v>1948</v>
      </c>
      <c r="E118" s="6" t="n">
        <f aca="false">INT((D118-1)/100)+1</f>
        <v>20</v>
      </c>
      <c r="F118" s="6" t="s">
        <v>909</v>
      </c>
      <c r="G118" s="6" t="s">
        <v>910</v>
      </c>
      <c r="H118" s="6" t="s">
        <v>911</v>
      </c>
      <c r="I118" s="6" t="s">
        <v>912</v>
      </c>
      <c r="J118" s="6" t="s">
        <v>623</v>
      </c>
      <c r="K118" s="6" t="s">
        <v>913</v>
      </c>
      <c r="L118" s="6" t="s">
        <v>627</v>
      </c>
      <c r="M118" s="6" t="s">
        <v>628</v>
      </c>
      <c r="N118" s="6" t="s">
        <v>16</v>
      </c>
      <c r="O118" s="6" t="s">
        <v>75</v>
      </c>
      <c r="P118" s="6"/>
      <c r="Q118" s="6" t="s">
        <v>907</v>
      </c>
      <c r="R118" s="6" t="n">
        <f aca="false">VALUE(LEFT(Q118,4))</f>
        <v>1948</v>
      </c>
      <c r="S118" s="6" t="n">
        <f aca="false">VALUE(MID(Q118,6,2))</f>
        <v>12</v>
      </c>
      <c r="T118" s="6" t="n">
        <f aca="false">VALUE(RIGHT(Q118,2))</f>
        <v>31</v>
      </c>
      <c r="U118" s="6" t="s">
        <v>125</v>
      </c>
      <c r="V118" s="6" t="s">
        <v>126</v>
      </c>
    </row>
    <row r="119" customFormat="false" ht="23.85" hidden="false" customHeight="false" outlineLevel="0" collapsed="false">
      <c r="A119" s="6" t="n">
        <v>118</v>
      </c>
      <c r="B119" s="6" t="s">
        <v>914</v>
      </c>
      <c r="C119" s="6" t="s">
        <v>915</v>
      </c>
      <c r="D119" s="6" t="n">
        <f aca="false">VALUE(LEFT(B119,4))</f>
        <v>1950</v>
      </c>
      <c r="E119" s="6" t="n">
        <f aca="false">INT((D119-1)/100)+1</f>
        <v>20</v>
      </c>
      <c r="F119" s="6" t="s">
        <v>916</v>
      </c>
      <c r="G119" s="6" t="s">
        <v>917</v>
      </c>
      <c r="H119" s="6" t="s">
        <v>668</v>
      </c>
      <c r="I119" s="6" t="s">
        <v>918</v>
      </c>
      <c r="J119" s="6" t="s">
        <v>310</v>
      </c>
      <c r="K119" s="6" t="s">
        <v>919</v>
      </c>
      <c r="L119" s="6" t="s">
        <v>627</v>
      </c>
      <c r="M119" s="6" t="s">
        <v>628</v>
      </c>
      <c r="N119" s="6" t="s">
        <v>16</v>
      </c>
      <c r="O119" s="6" t="s">
        <v>75</v>
      </c>
      <c r="P119" s="6" t="s">
        <v>920</v>
      </c>
      <c r="Q119" s="6" t="s">
        <v>914</v>
      </c>
      <c r="R119" s="6" t="n">
        <f aca="false">VALUE(LEFT(Q119,4))</f>
        <v>1950</v>
      </c>
      <c r="S119" s="6" t="n">
        <f aca="false">VALUE(MID(Q119,6,2))</f>
        <v>11</v>
      </c>
      <c r="T119" s="6" t="n">
        <f aca="false">VALUE(RIGHT(Q119,2))</f>
        <v>24</v>
      </c>
      <c r="U119" s="6" t="s">
        <v>125</v>
      </c>
      <c r="V119" s="6" t="s">
        <v>126</v>
      </c>
    </row>
    <row r="120" customFormat="false" ht="15" hidden="false" customHeight="false" outlineLevel="0" collapsed="false">
      <c r="A120" s="6" t="n">
        <v>119</v>
      </c>
      <c r="B120" s="6" t="s">
        <v>921</v>
      </c>
      <c r="C120" s="6" t="s">
        <v>921</v>
      </c>
      <c r="D120" s="6" t="n">
        <f aca="false">VALUE(LEFT(B120,4))</f>
        <v>1954</v>
      </c>
      <c r="E120" s="6" t="n">
        <f aca="false">INT((D120-1)/100)+1</f>
        <v>20</v>
      </c>
      <c r="F120" s="6" t="s">
        <v>67</v>
      </c>
      <c r="G120" s="6" t="s">
        <v>922</v>
      </c>
      <c r="H120" s="6" t="s">
        <v>668</v>
      </c>
      <c r="I120" s="6" t="s">
        <v>923</v>
      </c>
      <c r="J120" s="6" t="s">
        <v>719</v>
      </c>
      <c r="K120" s="6" t="s">
        <v>924</v>
      </c>
      <c r="L120" s="6" t="s">
        <v>884</v>
      </c>
      <c r="M120" s="6"/>
      <c r="N120" s="6" t="s">
        <v>18</v>
      </c>
      <c r="O120" s="6" t="s">
        <v>94</v>
      </c>
      <c r="P120" s="6"/>
      <c r="Q120" s="6" t="s">
        <v>921</v>
      </c>
      <c r="R120" s="6" t="n">
        <f aca="false">VALUE(LEFT(Q120,4))</f>
        <v>1954</v>
      </c>
      <c r="S120" s="6" t="n">
        <f aca="false">VALUE(MID(Q120,6,2))</f>
        <v>10</v>
      </c>
      <c r="T120" s="6" t="n">
        <f aca="false">VALUE(RIGHT(Q120,2))</f>
        <v>15</v>
      </c>
      <c r="U120" s="6" t="s">
        <v>77</v>
      </c>
      <c r="V120" s="6" t="s">
        <v>78</v>
      </c>
    </row>
    <row r="121" customFormat="false" ht="23.85" hidden="false" customHeight="false" outlineLevel="0" collapsed="false">
      <c r="A121" s="6" t="n">
        <v>120</v>
      </c>
      <c r="B121" s="6" t="s">
        <v>925</v>
      </c>
      <c r="C121" s="6" t="s">
        <v>926</v>
      </c>
      <c r="D121" s="6" t="n">
        <f aca="false">VALUE(LEFT(B121,4))</f>
        <v>1955</v>
      </c>
      <c r="E121" s="6" t="n">
        <f aca="false">INT((D121-1)/100)+1</f>
        <v>20</v>
      </c>
      <c r="F121" s="6" t="s">
        <v>97</v>
      </c>
      <c r="G121" s="6" t="s">
        <v>927</v>
      </c>
      <c r="H121" s="6" t="s">
        <v>928</v>
      </c>
      <c r="I121" s="6" t="s">
        <v>929</v>
      </c>
      <c r="J121" s="6" t="s">
        <v>930</v>
      </c>
      <c r="K121" s="6" t="s">
        <v>931</v>
      </c>
      <c r="L121" s="6" t="s">
        <v>627</v>
      </c>
      <c r="M121" s="6" t="s">
        <v>628</v>
      </c>
      <c r="N121" s="6" t="s">
        <v>16</v>
      </c>
      <c r="O121" s="6" t="s">
        <v>75</v>
      </c>
      <c r="P121" s="6"/>
      <c r="Q121" s="6" t="s">
        <v>925</v>
      </c>
      <c r="R121" s="6" t="n">
        <f aca="false">VALUE(LEFT(Q121,4))</f>
        <v>1955</v>
      </c>
      <c r="S121" s="6" t="n">
        <f aca="false">VALUE(MID(Q121,6,2))</f>
        <v>8</v>
      </c>
      <c r="T121" s="6" t="n">
        <f aca="false">VALUE(RIGHT(Q121,2))</f>
        <v>12</v>
      </c>
      <c r="U121" s="6" t="s">
        <v>125</v>
      </c>
      <c r="V121" s="6" t="s">
        <v>126</v>
      </c>
    </row>
    <row r="122" customFormat="false" ht="23.85" hidden="false" customHeight="false" outlineLevel="0" collapsed="false">
      <c r="A122" s="6" t="n">
        <v>121</v>
      </c>
      <c r="B122" s="6" t="s">
        <v>932</v>
      </c>
      <c r="C122" s="6" t="s">
        <v>933</v>
      </c>
      <c r="D122" s="6" t="n">
        <f aca="false">VALUE(LEFT(B122,4))</f>
        <v>1955</v>
      </c>
      <c r="E122" s="6" t="n">
        <f aca="false">INT((D122-1)/100)+1</f>
        <v>20</v>
      </c>
      <c r="F122" s="6" t="s">
        <v>129</v>
      </c>
      <c r="G122" s="6" t="s">
        <v>934</v>
      </c>
      <c r="H122" s="6" t="s">
        <v>935</v>
      </c>
      <c r="I122" s="6" t="s">
        <v>936</v>
      </c>
      <c r="J122" s="6" t="s">
        <v>937</v>
      </c>
      <c r="K122" s="6" t="s">
        <v>938</v>
      </c>
      <c r="L122" s="6" t="s">
        <v>627</v>
      </c>
      <c r="M122" s="6" t="s">
        <v>628</v>
      </c>
      <c r="N122" s="6" t="s">
        <v>16</v>
      </c>
      <c r="O122" s="6" t="s">
        <v>75</v>
      </c>
      <c r="P122" s="6"/>
      <c r="Q122" s="6" t="s">
        <v>932</v>
      </c>
      <c r="R122" s="6" t="n">
        <f aca="false">VALUE(LEFT(Q122,4))</f>
        <v>1955</v>
      </c>
      <c r="S122" s="6" t="n">
        <f aca="false">VALUE(MID(Q122,6,2))</f>
        <v>10</v>
      </c>
      <c r="T122" s="6" t="n">
        <f aca="false">VALUE(RIGHT(Q122,2))</f>
        <v>14</v>
      </c>
      <c r="U122" s="6" t="s">
        <v>125</v>
      </c>
      <c r="V122" s="6" t="s">
        <v>126</v>
      </c>
    </row>
    <row r="123" customFormat="false" ht="23.85" hidden="false" customHeight="false" outlineLevel="0" collapsed="false">
      <c r="A123" s="6" t="n">
        <v>122</v>
      </c>
      <c r="B123" s="6" t="s">
        <v>939</v>
      </c>
      <c r="C123" s="6" t="s">
        <v>940</v>
      </c>
      <c r="D123" s="6" t="n">
        <f aca="false">VALUE(LEFT(B123,4))</f>
        <v>1958</v>
      </c>
      <c r="E123" s="6" t="n">
        <f aca="false">INT((D123-1)/100)+1</f>
        <v>20</v>
      </c>
      <c r="F123" s="6" t="s">
        <v>219</v>
      </c>
      <c r="G123" s="6" t="s">
        <v>941</v>
      </c>
      <c r="H123" s="6" t="s">
        <v>942</v>
      </c>
      <c r="I123" s="6" t="s">
        <v>943</v>
      </c>
      <c r="J123" s="6" t="s">
        <v>310</v>
      </c>
      <c r="K123" s="6" t="s">
        <v>944</v>
      </c>
      <c r="L123" s="6" t="s">
        <v>627</v>
      </c>
      <c r="M123" s="6" t="s">
        <v>628</v>
      </c>
      <c r="N123" s="6" t="s">
        <v>16</v>
      </c>
      <c r="O123" s="6" t="s">
        <v>75</v>
      </c>
      <c r="P123" s="6"/>
      <c r="Q123" s="6" t="s">
        <v>939</v>
      </c>
      <c r="R123" s="6" t="n">
        <f aca="false">VALUE(LEFT(Q123,4))</f>
        <v>1958</v>
      </c>
      <c r="S123" s="6" t="n">
        <f aca="false">VALUE(MID(Q123,6,2))</f>
        <v>2</v>
      </c>
      <c r="T123" s="6" t="n">
        <f aca="false">VALUE(RIGHT(Q123,2))</f>
        <v>15</v>
      </c>
      <c r="U123" s="6" t="s">
        <v>125</v>
      </c>
      <c r="V123" s="6" t="s">
        <v>126</v>
      </c>
    </row>
    <row r="124" customFormat="false" ht="23.85" hidden="false" customHeight="false" outlineLevel="0" collapsed="false">
      <c r="A124" s="6" t="n">
        <v>123</v>
      </c>
      <c r="B124" s="6" t="s">
        <v>945</v>
      </c>
      <c r="C124" s="6" t="s">
        <v>946</v>
      </c>
      <c r="D124" s="6" t="n">
        <f aca="false">VALUE(LEFT(B124,4))</f>
        <v>1958</v>
      </c>
      <c r="E124" s="6" t="n">
        <f aca="false">INT((D124-1)/100)+1</f>
        <v>20</v>
      </c>
      <c r="F124" s="6" t="s">
        <v>947</v>
      </c>
      <c r="G124" s="6" t="s">
        <v>948</v>
      </c>
      <c r="H124" s="6" t="s">
        <v>949</v>
      </c>
      <c r="I124" s="6" t="s">
        <v>950</v>
      </c>
      <c r="J124" s="6" t="s">
        <v>719</v>
      </c>
      <c r="K124" s="6" t="s">
        <v>951</v>
      </c>
      <c r="L124" s="6" t="s">
        <v>569</v>
      </c>
      <c r="M124" s="6"/>
      <c r="N124" s="6" t="s">
        <v>18</v>
      </c>
      <c r="O124" s="6" t="s">
        <v>94</v>
      </c>
      <c r="P124" s="6"/>
      <c r="Q124" s="6" t="s">
        <v>945</v>
      </c>
      <c r="R124" s="6" t="n">
        <f aca="false">VALUE(LEFT(Q124,4))</f>
        <v>1958</v>
      </c>
      <c r="S124" s="6" t="n">
        <f aca="false">VALUE(MID(Q124,6,2))</f>
        <v>3</v>
      </c>
      <c r="T124" s="6" t="n">
        <f aca="false">VALUE(RIGHT(Q124,2))</f>
        <v>19</v>
      </c>
      <c r="U124" s="6" t="s">
        <v>125</v>
      </c>
      <c r="V124" s="6" t="s">
        <v>126</v>
      </c>
    </row>
    <row r="125" customFormat="false" ht="23.85" hidden="false" customHeight="false" outlineLevel="0" collapsed="false">
      <c r="A125" s="6" t="n">
        <v>124</v>
      </c>
      <c r="B125" s="6" t="s">
        <v>952</v>
      </c>
      <c r="C125" s="6" t="s">
        <v>952</v>
      </c>
      <c r="D125" s="6" t="n">
        <f aca="false">VALUE(LEFT(B125,4))</f>
        <v>1960</v>
      </c>
      <c r="E125" s="6" t="n">
        <f aca="false">INT((D125-1)/100)+1</f>
        <v>20</v>
      </c>
      <c r="F125" s="6" t="s">
        <v>754</v>
      </c>
      <c r="G125" s="6" t="s">
        <v>953</v>
      </c>
      <c r="H125" s="6" t="s">
        <v>634</v>
      </c>
      <c r="I125" s="6" t="s">
        <v>954</v>
      </c>
      <c r="J125" s="6" t="s">
        <v>955</v>
      </c>
      <c r="K125" s="6"/>
      <c r="L125" s="6" t="s">
        <v>956</v>
      </c>
      <c r="M125" s="6" t="s">
        <v>957</v>
      </c>
      <c r="N125" s="6" t="s">
        <v>16</v>
      </c>
      <c r="O125" s="6" t="s">
        <v>75</v>
      </c>
      <c r="P125" s="6"/>
      <c r="Q125" s="6" t="s">
        <v>952</v>
      </c>
      <c r="R125" s="6" t="n">
        <f aca="false">VALUE(LEFT(Q125,4))</f>
        <v>1960</v>
      </c>
      <c r="S125" s="6" t="n">
        <f aca="false">VALUE(MID(Q125,6,2))</f>
        <v>4</v>
      </c>
      <c r="T125" s="6" t="n">
        <f aca="false">VALUE(RIGHT(Q125,2))</f>
        <v>5</v>
      </c>
      <c r="U125" s="6" t="s">
        <v>77</v>
      </c>
      <c r="V125" s="6" t="s">
        <v>78</v>
      </c>
    </row>
    <row r="126" customFormat="false" ht="23.85" hidden="false" customHeight="false" outlineLevel="0" collapsed="false">
      <c r="A126" s="6" t="n">
        <v>125</v>
      </c>
      <c r="B126" s="6" t="s">
        <v>958</v>
      </c>
      <c r="C126" s="6" t="s">
        <v>958</v>
      </c>
      <c r="D126" s="6" t="n">
        <f aca="false">VALUE(LEFT(B126,4))</f>
        <v>1960</v>
      </c>
      <c r="E126" s="6" t="n">
        <f aca="false">INT((D126-1)/100)+1</f>
        <v>20</v>
      </c>
      <c r="F126" s="6" t="s">
        <v>959</v>
      </c>
      <c r="G126" s="6" t="s">
        <v>960</v>
      </c>
      <c r="H126" s="6" t="s">
        <v>961</v>
      </c>
      <c r="I126" s="6" t="s">
        <v>962</v>
      </c>
      <c r="J126" s="6" t="s">
        <v>963</v>
      </c>
      <c r="K126" s="6" t="s">
        <v>964</v>
      </c>
      <c r="L126" s="6" t="s">
        <v>965</v>
      </c>
      <c r="M126" s="6" t="s">
        <v>966</v>
      </c>
      <c r="N126" s="6" t="s">
        <v>16</v>
      </c>
      <c r="O126" s="6" t="s">
        <v>75</v>
      </c>
      <c r="P126" s="6"/>
      <c r="Q126" s="6" t="s">
        <v>958</v>
      </c>
      <c r="R126" s="6" t="n">
        <f aca="false">VALUE(LEFT(Q126,4))</f>
        <v>1960</v>
      </c>
      <c r="S126" s="6" t="n">
        <f aca="false">VALUE(MID(Q126,6,2))</f>
        <v>6</v>
      </c>
      <c r="T126" s="6" t="n">
        <f aca="false">VALUE(RIGHT(Q126,2))</f>
        <v>24</v>
      </c>
      <c r="U126" s="6" t="s">
        <v>77</v>
      </c>
      <c r="V126" s="6" t="s">
        <v>78</v>
      </c>
    </row>
    <row r="127" customFormat="false" ht="23.85" hidden="false" customHeight="false" outlineLevel="0" collapsed="false">
      <c r="A127" s="6" t="n">
        <v>126</v>
      </c>
      <c r="B127" s="6" t="s">
        <v>967</v>
      </c>
      <c r="C127" s="6" t="s">
        <v>968</v>
      </c>
      <c r="D127" s="6" t="n">
        <f aca="false">VALUE(LEFT(B127,4))</f>
        <v>1961</v>
      </c>
      <c r="E127" s="6" t="n">
        <f aca="false">INT((D127-1)/100)+1</f>
        <v>20</v>
      </c>
      <c r="F127" s="6" t="s">
        <v>219</v>
      </c>
      <c r="G127" s="6" t="s">
        <v>969</v>
      </c>
      <c r="H127" s="6" t="s">
        <v>942</v>
      </c>
      <c r="I127" s="6" t="s">
        <v>970</v>
      </c>
      <c r="J127" s="6" t="s">
        <v>719</v>
      </c>
      <c r="K127" s="6"/>
      <c r="L127" s="6" t="s">
        <v>569</v>
      </c>
      <c r="M127" s="6"/>
      <c r="N127" s="6" t="s">
        <v>18</v>
      </c>
      <c r="O127" s="6" t="s">
        <v>94</v>
      </c>
      <c r="P127" s="6"/>
      <c r="Q127" s="6" t="s">
        <v>967</v>
      </c>
      <c r="R127" s="6" t="n">
        <f aca="false">VALUE(LEFT(Q127,4))</f>
        <v>1961</v>
      </c>
      <c r="S127" s="6" t="n">
        <f aca="false">VALUE(MID(Q127,6,2))</f>
        <v>2</v>
      </c>
      <c r="T127" s="6" t="n">
        <f aca="false">VALUE(RIGHT(Q127,2))</f>
        <v>3</v>
      </c>
      <c r="U127" s="6" t="s">
        <v>125</v>
      </c>
      <c r="V127" s="6" t="s">
        <v>126</v>
      </c>
    </row>
    <row r="128" customFormat="false" ht="23.85" hidden="false" customHeight="false" outlineLevel="0" collapsed="false">
      <c r="A128" s="6" t="n">
        <v>127</v>
      </c>
      <c r="B128" s="6" t="s">
        <v>971</v>
      </c>
      <c r="C128" s="6" t="s">
        <v>972</v>
      </c>
      <c r="D128" s="6" t="n">
        <f aca="false">VALUE(LEFT(B128,4))</f>
        <v>1962</v>
      </c>
      <c r="E128" s="6" t="n">
        <f aca="false">INT((D128-1)/100)+1</f>
        <v>20</v>
      </c>
      <c r="F128" s="6" t="s">
        <v>816</v>
      </c>
      <c r="G128" s="6" t="s">
        <v>973</v>
      </c>
      <c r="H128" s="6" t="s">
        <v>240</v>
      </c>
      <c r="I128" s="6" t="s">
        <v>974</v>
      </c>
      <c r="J128" s="6" t="s">
        <v>719</v>
      </c>
      <c r="K128" s="6" t="s">
        <v>975</v>
      </c>
      <c r="L128" s="6" t="s">
        <v>569</v>
      </c>
      <c r="M128" s="6"/>
      <c r="N128" s="6" t="s">
        <v>18</v>
      </c>
      <c r="O128" s="6" t="s">
        <v>94</v>
      </c>
      <c r="P128" s="6"/>
      <c r="Q128" s="6" t="s">
        <v>976</v>
      </c>
      <c r="R128" s="6" t="n">
        <f aca="false">VALUE(LEFT(Q128,4))</f>
        <v>1965</v>
      </c>
      <c r="S128" s="6" t="n">
        <f aca="false">VALUE(MID(Q128,6,2))</f>
        <v>8</v>
      </c>
      <c r="T128" s="6" t="n">
        <f aca="false">VALUE(RIGHT(Q128,2))</f>
        <v>15</v>
      </c>
      <c r="U128" s="6" t="s">
        <v>114</v>
      </c>
      <c r="V128" s="6" t="s">
        <v>977</v>
      </c>
    </row>
    <row r="129" customFormat="false" ht="23.85" hidden="false" customHeight="false" outlineLevel="0" collapsed="false">
      <c r="A129" s="6" t="n">
        <v>128</v>
      </c>
      <c r="B129" s="6" t="s">
        <v>978</v>
      </c>
      <c r="C129" s="6" t="s">
        <v>979</v>
      </c>
      <c r="D129" s="6" t="n">
        <f aca="false">VALUE(LEFT(B129,4))</f>
        <v>1964</v>
      </c>
      <c r="E129" s="6" t="n">
        <f aca="false">INT((D129-1)/100)+1</f>
        <v>20</v>
      </c>
      <c r="F129" s="6" t="s">
        <v>219</v>
      </c>
      <c r="G129" s="6" t="s">
        <v>980</v>
      </c>
      <c r="H129" s="6" t="s">
        <v>942</v>
      </c>
      <c r="I129" s="6" t="s">
        <v>981</v>
      </c>
      <c r="J129" s="6" t="s">
        <v>310</v>
      </c>
      <c r="K129" s="6" t="s">
        <v>982</v>
      </c>
      <c r="L129" s="6" t="s">
        <v>627</v>
      </c>
      <c r="M129" s="6" t="s">
        <v>628</v>
      </c>
      <c r="N129" s="6" t="s">
        <v>16</v>
      </c>
      <c r="O129" s="6" t="s">
        <v>75</v>
      </c>
      <c r="P129" s="6"/>
      <c r="Q129" s="6" t="s">
        <v>978</v>
      </c>
      <c r="R129" s="6" t="n">
        <f aca="false">VALUE(LEFT(Q129,4))</f>
        <v>1964</v>
      </c>
      <c r="S129" s="6" t="n">
        <f aca="false">VALUE(MID(Q129,6,2))</f>
        <v>1</v>
      </c>
      <c r="T129" s="6" t="n">
        <f aca="false">VALUE(RIGHT(Q129,2))</f>
        <v>13</v>
      </c>
      <c r="U129" s="6" t="s">
        <v>125</v>
      </c>
      <c r="V129" s="6" t="s">
        <v>126</v>
      </c>
    </row>
    <row r="130" customFormat="false" ht="23.85" hidden="false" customHeight="false" outlineLevel="0" collapsed="false">
      <c r="A130" s="6" t="n">
        <v>129</v>
      </c>
      <c r="B130" s="6" t="s">
        <v>983</v>
      </c>
      <c r="C130" s="6" t="s">
        <v>983</v>
      </c>
      <c r="D130" s="6" t="n">
        <f aca="false">VALUE(LEFT(B130,4))</f>
        <v>1964</v>
      </c>
      <c r="E130" s="6" t="n">
        <f aca="false">INT((D130-1)/100)+1</f>
        <v>20</v>
      </c>
      <c r="F130" s="6" t="s">
        <v>553</v>
      </c>
      <c r="G130" s="6" t="s">
        <v>984</v>
      </c>
      <c r="H130" s="6" t="s">
        <v>985</v>
      </c>
      <c r="I130" s="6" t="s">
        <v>986</v>
      </c>
      <c r="J130" s="6" t="s">
        <v>987</v>
      </c>
      <c r="K130" s="6" t="s">
        <v>988</v>
      </c>
      <c r="L130" s="6" t="s">
        <v>989</v>
      </c>
      <c r="M130" s="6" t="s">
        <v>990</v>
      </c>
      <c r="N130" s="6" t="s">
        <v>16</v>
      </c>
      <c r="O130" s="6" t="s">
        <v>75</v>
      </c>
      <c r="P130" s="6" t="s">
        <v>991</v>
      </c>
      <c r="Q130" s="6" t="s">
        <v>983</v>
      </c>
      <c r="R130" s="6" t="n">
        <f aca="false">VALUE(LEFT(Q130,4))</f>
        <v>1964</v>
      </c>
      <c r="S130" s="6" t="n">
        <f aca="false">VALUE(MID(Q130,6,2))</f>
        <v>3</v>
      </c>
      <c r="T130" s="6" t="n">
        <f aca="false">VALUE(RIGHT(Q130,2))</f>
        <v>6</v>
      </c>
      <c r="U130" s="6" t="s">
        <v>77</v>
      </c>
      <c r="V130" s="6" t="s">
        <v>78</v>
      </c>
    </row>
    <row r="131" customFormat="false" ht="23.85" hidden="false" customHeight="false" outlineLevel="0" collapsed="false">
      <c r="A131" s="6" t="n">
        <v>130</v>
      </c>
      <c r="B131" s="6" t="s">
        <v>992</v>
      </c>
      <c r="C131" s="6" t="s">
        <v>993</v>
      </c>
      <c r="D131" s="6" t="n">
        <f aca="false">VALUE(LEFT(B131,4))</f>
        <v>1964</v>
      </c>
      <c r="E131" s="6" t="n">
        <f aca="false">INT((D131-1)/100)+1</f>
        <v>20</v>
      </c>
      <c r="F131" s="6" t="s">
        <v>806</v>
      </c>
      <c r="G131" s="6" t="s">
        <v>994</v>
      </c>
      <c r="H131" s="6" t="s">
        <v>995</v>
      </c>
      <c r="I131" s="6" t="s">
        <v>996</v>
      </c>
      <c r="J131" s="6" t="s">
        <v>719</v>
      </c>
      <c r="K131" s="6" t="s">
        <v>997</v>
      </c>
      <c r="L131" s="6" t="s">
        <v>627</v>
      </c>
      <c r="M131" s="6" t="s">
        <v>628</v>
      </c>
      <c r="N131" s="6" t="s">
        <v>16</v>
      </c>
      <c r="O131" s="6" t="s">
        <v>75</v>
      </c>
      <c r="P131" s="6"/>
      <c r="Q131" s="6" t="s">
        <v>992</v>
      </c>
      <c r="R131" s="6" t="n">
        <f aca="false">VALUE(LEFT(Q131,4))</f>
        <v>1964</v>
      </c>
      <c r="S131" s="6" t="n">
        <f aca="false">VALUE(MID(Q131,6,2))</f>
        <v>12</v>
      </c>
      <c r="T131" s="6" t="n">
        <f aca="false">VALUE(RIGHT(Q131,2))</f>
        <v>4</v>
      </c>
      <c r="U131" s="6" t="s">
        <v>125</v>
      </c>
      <c r="V131" s="6" t="s">
        <v>126</v>
      </c>
    </row>
    <row r="132" customFormat="false" ht="23.85" hidden="false" customHeight="false" outlineLevel="0" collapsed="false">
      <c r="A132" s="6" t="n">
        <v>131</v>
      </c>
      <c r="B132" s="6" t="s">
        <v>998</v>
      </c>
      <c r="C132" s="6" t="s">
        <v>999</v>
      </c>
      <c r="D132" s="6" t="n">
        <f aca="false">VALUE(LEFT(B132,4))</f>
        <v>1966</v>
      </c>
      <c r="E132" s="6" t="n">
        <f aca="false">INT((D132-1)/100)+1</f>
        <v>20</v>
      </c>
      <c r="F132" s="6" t="s">
        <v>219</v>
      </c>
      <c r="G132" s="6" t="s">
        <v>1000</v>
      </c>
      <c r="H132" s="6" t="s">
        <v>1001</v>
      </c>
      <c r="I132" s="6" t="s">
        <v>1002</v>
      </c>
      <c r="J132" s="6" t="s">
        <v>310</v>
      </c>
      <c r="K132" s="6" t="s">
        <v>1003</v>
      </c>
      <c r="L132" s="6" t="s">
        <v>627</v>
      </c>
      <c r="M132" s="6" t="s">
        <v>628</v>
      </c>
      <c r="N132" s="6" t="s">
        <v>16</v>
      </c>
      <c r="O132" s="6" t="s">
        <v>75</v>
      </c>
      <c r="P132" s="6"/>
      <c r="Q132" s="6" t="s">
        <v>998</v>
      </c>
      <c r="R132" s="6" t="n">
        <f aca="false">VALUE(LEFT(Q132,4))</f>
        <v>1966</v>
      </c>
      <c r="S132" s="6" t="n">
        <f aca="false">VALUE(MID(Q132,6,2))</f>
        <v>1</v>
      </c>
      <c r="T132" s="6" t="n">
        <f aca="false">VALUE(RIGHT(Q132,2))</f>
        <v>29</v>
      </c>
      <c r="U132" s="6" t="s">
        <v>125</v>
      </c>
      <c r="V132" s="6" t="s">
        <v>126</v>
      </c>
    </row>
    <row r="133" customFormat="false" ht="23.85" hidden="false" customHeight="false" outlineLevel="0" collapsed="false">
      <c r="A133" s="6" t="n">
        <v>132</v>
      </c>
      <c r="B133" s="6" t="s">
        <v>1004</v>
      </c>
      <c r="C133" s="6" t="s">
        <v>1005</v>
      </c>
      <c r="D133" s="6" t="n">
        <f aca="false">VALUE(LEFT(B133,4))</f>
        <v>1966</v>
      </c>
      <c r="E133" s="6" t="n">
        <f aca="false">INT((D133-1)/100)+1</f>
        <v>20</v>
      </c>
      <c r="F133" s="6" t="s">
        <v>1006</v>
      </c>
      <c r="G133" s="6" t="s">
        <v>1007</v>
      </c>
      <c r="H133" s="6" t="s">
        <v>942</v>
      </c>
      <c r="I133" s="6" t="s">
        <v>1008</v>
      </c>
      <c r="J133" s="6" t="s">
        <v>719</v>
      </c>
      <c r="K133" s="6" t="s">
        <v>1009</v>
      </c>
      <c r="L133" s="6" t="s">
        <v>569</v>
      </c>
      <c r="M133" s="6"/>
      <c r="N133" s="6" t="s">
        <v>18</v>
      </c>
      <c r="O133" s="6" t="s">
        <v>94</v>
      </c>
      <c r="P133" s="6"/>
      <c r="Q133" s="6" t="s">
        <v>1010</v>
      </c>
      <c r="R133" s="6" t="n">
        <f aca="false">VALUE(LEFT(Q133,4))</f>
        <v>1966</v>
      </c>
      <c r="S133" s="6" t="n">
        <f aca="false">VALUE(MID(Q133,6,2))</f>
        <v>7</v>
      </c>
      <c r="T133" s="6" t="n">
        <f aca="false">VALUE(RIGHT(Q133,2))</f>
        <v>3</v>
      </c>
      <c r="U133" s="6" t="s">
        <v>125</v>
      </c>
      <c r="V133" s="6" t="s">
        <v>1011</v>
      </c>
    </row>
    <row r="134" customFormat="false" ht="23.85" hidden="false" customHeight="false" outlineLevel="0" collapsed="false">
      <c r="A134" s="6" t="n">
        <v>133</v>
      </c>
      <c r="B134" s="6" t="s">
        <v>1012</v>
      </c>
      <c r="C134" s="6" t="s">
        <v>1013</v>
      </c>
      <c r="D134" s="6" t="n">
        <f aca="false">VALUE(LEFT(B134,4))</f>
        <v>1969</v>
      </c>
      <c r="E134" s="6" t="n">
        <f aca="false">INT((D134-1)/100)+1</f>
        <v>20</v>
      </c>
      <c r="F134" s="6" t="s">
        <v>139</v>
      </c>
      <c r="G134" s="6" t="s">
        <v>1014</v>
      </c>
      <c r="H134" s="6" t="s">
        <v>942</v>
      </c>
      <c r="I134" s="6" t="s">
        <v>1015</v>
      </c>
      <c r="J134" s="6" t="s">
        <v>310</v>
      </c>
      <c r="K134" s="6" t="s">
        <v>1016</v>
      </c>
      <c r="L134" s="6" t="s">
        <v>627</v>
      </c>
      <c r="M134" s="6" t="s">
        <v>628</v>
      </c>
      <c r="N134" s="6" t="s">
        <v>16</v>
      </c>
      <c r="O134" s="6" t="s">
        <v>75</v>
      </c>
      <c r="P134" s="6"/>
      <c r="Q134" s="6" t="s">
        <v>1012</v>
      </c>
      <c r="R134" s="6" t="n">
        <f aca="false">VALUE(LEFT(Q134,4))</f>
        <v>1969</v>
      </c>
      <c r="S134" s="6" t="n">
        <f aca="false">VALUE(MID(Q134,6,2))</f>
        <v>12</v>
      </c>
      <c r="T134" s="6" t="n">
        <f aca="false">VALUE(RIGHT(Q134,2))</f>
        <v>25</v>
      </c>
      <c r="U134" s="6" t="s">
        <v>125</v>
      </c>
      <c r="V134" s="6" t="s">
        <v>126</v>
      </c>
    </row>
    <row r="135" customFormat="false" ht="23.85" hidden="false" customHeight="false" outlineLevel="0" collapsed="false">
      <c r="A135" s="6" t="n">
        <v>134</v>
      </c>
      <c r="B135" s="6" t="s">
        <v>1017</v>
      </c>
      <c r="C135" s="6" t="s">
        <v>1017</v>
      </c>
      <c r="D135" s="6" t="n">
        <f aca="false">VALUE(LEFT(B135,4))</f>
        <v>1971</v>
      </c>
      <c r="E135" s="6" t="n">
        <f aca="false">INT((D135-1)/100)+1</f>
        <v>20</v>
      </c>
      <c r="F135" s="6" t="s">
        <v>238</v>
      </c>
      <c r="G135" s="6" t="s">
        <v>1018</v>
      </c>
      <c r="H135" s="6" t="s">
        <v>310</v>
      </c>
      <c r="I135" s="6" t="s">
        <v>1019</v>
      </c>
      <c r="J135" s="6" t="s">
        <v>310</v>
      </c>
      <c r="K135" s="6"/>
      <c r="L135" s="6" t="s">
        <v>569</v>
      </c>
      <c r="M135" s="6"/>
      <c r="N135" s="6" t="s">
        <v>18</v>
      </c>
      <c r="O135" s="6" t="s">
        <v>94</v>
      </c>
      <c r="P135" s="6" t="s">
        <v>1020</v>
      </c>
      <c r="Q135" s="6" t="s">
        <v>1017</v>
      </c>
      <c r="R135" s="6" t="n">
        <f aca="false">VALUE(LEFT(Q135,4))</f>
        <v>1971</v>
      </c>
      <c r="S135" s="6" t="n">
        <f aca="false">VALUE(MID(Q135,6,2))</f>
        <v>1</v>
      </c>
      <c r="T135" s="6" t="n">
        <f aca="false">VALUE(RIGHT(Q135,2))</f>
        <v>19</v>
      </c>
      <c r="U135" s="6" t="s">
        <v>77</v>
      </c>
      <c r="V135" s="6" t="s">
        <v>78</v>
      </c>
    </row>
    <row r="136" customFormat="false" ht="23.85" hidden="false" customHeight="false" outlineLevel="0" collapsed="false">
      <c r="A136" s="6" t="n">
        <v>135</v>
      </c>
      <c r="B136" s="6" t="s">
        <v>1021</v>
      </c>
      <c r="C136" s="6" t="s">
        <v>1022</v>
      </c>
      <c r="D136" s="6" t="n">
        <f aca="false">VALUE(LEFT(B136,4))</f>
        <v>1971</v>
      </c>
      <c r="E136" s="6" t="n">
        <f aca="false">INT((D136-1)/100)+1</f>
        <v>20</v>
      </c>
      <c r="F136" s="6" t="s">
        <v>139</v>
      </c>
      <c r="G136" s="6" t="s">
        <v>1023</v>
      </c>
      <c r="H136" s="6" t="s">
        <v>1024</v>
      </c>
      <c r="I136" s="6" t="s">
        <v>1025</v>
      </c>
      <c r="J136" s="6" t="s">
        <v>310</v>
      </c>
      <c r="K136" s="6" t="s">
        <v>1026</v>
      </c>
      <c r="L136" s="6" t="s">
        <v>627</v>
      </c>
      <c r="M136" s="6" t="s">
        <v>628</v>
      </c>
      <c r="N136" s="6" t="s">
        <v>16</v>
      </c>
      <c r="O136" s="6" t="s">
        <v>75</v>
      </c>
      <c r="P136" s="6"/>
      <c r="Q136" s="6" t="s">
        <v>1021</v>
      </c>
      <c r="R136" s="6" t="n">
        <f aca="false">VALUE(LEFT(Q136,4))</f>
        <v>1971</v>
      </c>
      <c r="S136" s="6" t="n">
        <f aca="false">VALUE(MID(Q136,6,2))</f>
        <v>11</v>
      </c>
      <c r="T136" s="6" t="n">
        <f aca="false">VALUE(RIGHT(Q136,2))</f>
        <v>24</v>
      </c>
      <c r="U136" s="6" t="s">
        <v>125</v>
      </c>
      <c r="V136" s="6" t="s">
        <v>126</v>
      </c>
    </row>
    <row r="137" customFormat="false" ht="23.85" hidden="false" customHeight="false" outlineLevel="0" collapsed="false">
      <c r="A137" s="6" t="n">
        <v>136</v>
      </c>
      <c r="B137" s="6" t="s">
        <v>1027</v>
      </c>
      <c r="C137" s="6" t="s">
        <v>1028</v>
      </c>
      <c r="D137" s="6" t="n">
        <f aca="false">VALUE(LEFT(B137,4))</f>
        <v>1972</v>
      </c>
      <c r="E137" s="6" t="n">
        <f aca="false">INT((D137-1)/100)+1</f>
        <v>20</v>
      </c>
      <c r="F137" s="6" t="s">
        <v>97</v>
      </c>
      <c r="G137" s="6" t="s">
        <v>1029</v>
      </c>
      <c r="H137" s="6" t="s">
        <v>1030</v>
      </c>
      <c r="I137" s="6" t="s">
        <v>1031</v>
      </c>
      <c r="J137" s="6" t="s">
        <v>930</v>
      </c>
      <c r="K137" s="6" t="s">
        <v>1032</v>
      </c>
      <c r="L137" s="6" t="s">
        <v>627</v>
      </c>
      <c r="M137" s="6" t="s">
        <v>628</v>
      </c>
      <c r="N137" s="6" t="s">
        <v>16</v>
      </c>
      <c r="O137" s="6" t="s">
        <v>75</v>
      </c>
      <c r="P137" s="6"/>
      <c r="Q137" s="6" t="s">
        <v>1027</v>
      </c>
      <c r="R137" s="6" t="n">
        <f aca="false">VALUE(LEFT(Q137,4))</f>
        <v>1972</v>
      </c>
      <c r="S137" s="6" t="n">
        <f aca="false">VALUE(MID(Q137,6,2))</f>
        <v>6</v>
      </c>
      <c r="T137" s="6" t="n">
        <f aca="false">VALUE(RIGHT(Q137,2))</f>
        <v>19</v>
      </c>
      <c r="U137" s="6" t="s">
        <v>125</v>
      </c>
      <c r="V137" s="6" t="s">
        <v>126</v>
      </c>
    </row>
    <row r="138" customFormat="false" ht="23.85" hidden="false" customHeight="false" outlineLevel="0" collapsed="false">
      <c r="A138" s="6" t="n">
        <v>137</v>
      </c>
      <c r="B138" s="6" t="s">
        <v>1033</v>
      </c>
      <c r="C138" s="6" t="s">
        <v>1033</v>
      </c>
      <c r="D138" s="6" t="n">
        <f aca="false">VALUE(LEFT(B138,4))</f>
        <v>1973</v>
      </c>
      <c r="E138" s="6" t="n">
        <f aca="false">INT((D138-1)/100)+1</f>
        <v>20</v>
      </c>
      <c r="F138" s="6" t="s">
        <v>959</v>
      </c>
      <c r="G138" s="6" t="s">
        <v>1034</v>
      </c>
      <c r="H138" s="6" t="s">
        <v>1035</v>
      </c>
      <c r="I138" s="6" t="s">
        <v>1036</v>
      </c>
      <c r="J138" s="6" t="s">
        <v>963</v>
      </c>
      <c r="K138" s="6" t="s">
        <v>964</v>
      </c>
      <c r="L138" s="6" t="s">
        <v>965</v>
      </c>
      <c r="M138" s="6" t="s">
        <v>966</v>
      </c>
      <c r="N138" s="6" t="s">
        <v>16</v>
      </c>
      <c r="O138" s="6" t="s">
        <v>75</v>
      </c>
      <c r="P138" s="6"/>
      <c r="Q138" s="6" t="s">
        <v>1033</v>
      </c>
      <c r="R138" s="6" t="n">
        <f aca="false">VALUE(LEFT(Q138,4))</f>
        <v>1973</v>
      </c>
      <c r="S138" s="6" t="n">
        <f aca="false">VALUE(MID(Q138,6,2))</f>
        <v>8</v>
      </c>
      <c r="T138" s="6" t="n">
        <f aca="false">VALUE(RIGHT(Q138,2))</f>
        <v>28</v>
      </c>
      <c r="U138" s="6" t="s">
        <v>77</v>
      </c>
      <c r="V138" s="6" t="s">
        <v>78</v>
      </c>
    </row>
    <row r="139" customFormat="false" ht="23.85" hidden="false" customHeight="false" outlineLevel="0" collapsed="false">
      <c r="A139" s="6" t="n">
        <v>138</v>
      </c>
      <c r="B139" s="6" t="s">
        <v>1037</v>
      </c>
      <c r="C139" s="6" t="s">
        <v>1038</v>
      </c>
      <c r="D139" s="6" t="n">
        <f aca="false">VALUE(LEFT(B139,4))</f>
        <v>1973</v>
      </c>
      <c r="E139" s="6" t="n">
        <f aca="false">INT((D139-1)/100)+1</f>
        <v>20</v>
      </c>
      <c r="F139" s="6" t="s">
        <v>806</v>
      </c>
      <c r="G139" s="6" t="s">
        <v>1039</v>
      </c>
      <c r="H139" s="6" t="s">
        <v>1040</v>
      </c>
      <c r="I139" s="6" t="s">
        <v>1041</v>
      </c>
      <c r="J139" s="6" t="s">
        <v>719</v>
      </c>
      <c r="K139" s="6"/>
      <c r="L139" s="6" t="s">
        <v>569</v>
      </c>
      <c r="M139" s="6"/>
      <c r="N139" s="6" t="s">
        <v>20</v>
      </c>
      <c r="O139" s="6" t="s">
        <v>94</v>
      </c>
      <c r="P139" s="6" t="s">
        <v>1042</v>
      </c>
      <c r="Q139" s="6" t="s">
        <v>1037</v>
      </c>
      <c r="R139" s="6" t="n">
        <f aca="false">VALUE(LEFT(Q139,4))</f>
        <v>1973</v>
      </c>
      <c r="S139" s="6" t="n">
        <f aca="false">VALUE(MID(Q139,6,2))</f>
        <v>12</v>
      </c>
      <c r="T139" s="6" t="n">
        <f aca="false">VALUE(RIGHT(Q139,2))</f>
        <v>16</v>
      </c>
      <c r="U139" s="6" t="s">
        <v>125</v>
      </c>
      <c r="V139" s="6" t="s">
        <v>126</v>
      </c>
    </row>
    <row r="140" customFormat="false" ht="23.85" hidden="false" customHeight="false" outlineLevel="0" collapsed="false">
      <c r="A140" s="6" t="n">
        <v>139</v>
      </c>
      <c r="B140" s="6" t="s">
        <v>1043</v>
      </c>
      <c r="C140" s="6" t="s">
        <v>1043</v>
      </c>
      <c r="D140" s="6" t="n">
        <f aca="false">VALUE(LEFT(B140,4))</f>
        <v>1974</v>
      </c>
      <c r="E140" s="6" t="n">
        <f aca="false">INT((D140-1)/100)+1</f>
        <v>20</v>
      </c>
      <c r="F140" s="6" t="s">
        <v>959</v>
      </c>
      <c r="G140" s="6" t="s">
        <v>1044</v>
      </c>
      <c r="H140" s="6" t="s">
        <v>1045</v>
      </c>
      <c r="I140" s="6" t="s">
        <v>1046</v>
      </c>
      <c r="J140" s="6" t="s">
        <v>963</v>
      </c>
      <c r="K140" s="6" t="s">
        <v>964</v>
      </c>
      <c r="L140" s="6" t="s">
        <v>965</v>
      </c>
      <c r="M140" s="6" t="s">
        <v>966</v>
      </c>
      <c r="N140" s="6" t="s">
        <v>16</v>
      </c>
      <c r="O140" s="6" t="s">
        <v>75</v>
      </c>
      <c r="P140" s="6"/>
      <c r="Q140" s="6" t="s">
        <v>1043</v>
      </c>
      <c r="R140" s="6" t="n">
        <f aca="false">VALUE(LEFT(Q140,4))</f>
        <v>1974</v>
      </c>
      <c r="S140" s="6" t="n">
        <f aca="false">VALUE(MID(Q140,6,2))</f>
        <v>6</v>
      </c>
      <c r="T140" s="6" t="n">
        <f aca="false">VALUE(RIGHT(Q140,2))</f>
        <v>16</v>
      </c>
      <c r="U140" s="6" t="s">
        <v>77</v>
      </c>
      <c r="V140" s="6" t="s">
        <v>78</v>
      </c>
    </row>
    <row r="141" customFormat="false" ht="57.45" hidden="false" customHeight="false" outlineLevel="0" collapsed="false">
      <c r="A141" s="6" t="n">
        <v>140</v>
      </c>
      <c r="B141" s="6" t="s">
        <v>337</v>
      </c>
      <c r="C141" s="6" t="s">
        <v>337</v>
      </c>
      <c r="D141" s="6" t="n">
        <f aca="false">VALUE(LEFT(B141,4))</f>
        <v>1975</v>
      </c>
      <c r="E141" s="6" t="n">
        <f aca="false">INT((D141-1)/100)+1</f>
        <v>20</v>
      </c>
      <c r="F141" s="6" t="s">
        <v>328</v>
      </c>
      <c r="G141" s="6" t="s">
        <v>1047</v>
      </c>
      <c r="H141" s="6" t="s">
        <v>1048</v>
      </c>
      <c r="I141" s="6" t="s">
        <v>1049</v>
      </c>
      <c r="J141" s="6" t="s">
        <v>332</v>
      </c>
      <c r="K141" s="6" t="s">
        <v>1050</v>
      </c>
      <c r="L141" s="6" t="s">
        <v>1051</v>
      </c>
      <c r="M141" s="6" t="s">
        <v>1052</v>
      </c>
      <c r="N141" s="6" t="s">
        <v>18</v>
      </c>
      <c r="O141" s="6" t="s">
        <v>75</v>
      </c>
      <c r="P141" s="6" t="s">
        <v>1053</v>
      </c>
      <c r="Q141" s="6" t="s">
        <v>337</v>
      </c>
      <c r="R141" s="6" t="n">
        <f aca="false">VALUE(LEFT(Q141,4))</f>
        <v>1975</v>
      </c>
      <c r="S141" s="6" t="n">
        <f aca="false">VALUE(MID(Q141,6,2))</f>
        <v>5</v>
      </c>
      <c r="T141" s="6" t="n">
        <f aca="false">VALUE(RIGHT(Q141,2))</f>
        <v>15</v>
      </c>
      <c r="U141" s="6" t="s">
        <v>77</v>
      </c>
      <c r="V141" s="6" t="s">
        <v>78</v>
      </c>
    </row>
    <row r="142" customFormat="false" ht="23.85" hidden="false" customHeight="false" outlineLevel="0" collapsed="false">
      <c r="A142" s="6" t="n">
        <v>141</v>
      </c>
      <c r="B142" s="6" t="s">
        <v>1054</v>
      </c>
      <c r="C142" s="6" t="s">
        <v>1055</v>
      </c>
      <c r="D142" s="6" t="n">
        <f aca="false">VALUE(LEFT(B142,4))</f>
        <v>1975</v>
      </c>
      <c r="E142" s="6" t="n">
        <f aca="false">INT((D142-1)/100)+1</f>
        <v>20</v>
      </c>
      <c r="F142" s="6" t="s">
        <v>97</v>
      </c>
      <c r="G142" s="6" t="s">
        <v>1056</v>
      </c>
      <c r="H142" s="6" t="s">
        <v>1057</v>
      </c>
      <c r="I142" s="6" t="s">
        <v>1058</v>
      </c>
      <c r="J142" s="6" t="s">
        <v>719</v>
      </c>
      <c r="K142" s="6"/>
      <c r="L142" s="6" t="s">
        <v>627</v>
      </c>
      <c r="M142" s="6" t="s">
        <v>628</v>
      </c>
      <c r="N142" s="6" t="s">
        <v>18</v>
      </c>
      <c r="O142" s="6" t="s">
        <v>75</v>
      </c>
      <c r="P142" s="6"/>
      <c r="Q142" s="6" t="s">
        <v>1054</v>
      </c>
      <c r="R142" s="6" t="n">
        <f aca="false">VALUE(LEFT(Q142,4))</f>
        <v>1975</v>
      </c>
      <c r="S142" s="6" t="n">
        <f aca="false">VALUE(MID(Q142,6,2))</f>
        <v>9</v>
      </c>
      <c r="T142" s="6" t="n">
        <f aca="false">VALUE(RIGHT(Q142,2))</f>
        <v>24</v>
      </c>
      <c r="U142" s="6" t="s">
        <v>125</v>
      </c>
      <c r="V142" s="6" t="s">
        <v>126</v>
      </c>
    </row>
    <row r="143" customFormat="false" ht="23.85" hidden="false" customHeight="false" outlineLevel="0" collapsed="false">
      <c r="A143" s="6" t="n">
        <v>142</v>
      </c>
      <c r="B143" s="6" t="s">
        <v>1059</v>
      </c>
      <c r="C143" s="6" t="s">
        <v>1060</v>
      </c>
      <c r="D143" s="6" t="n">
        <f aca="false">VALUE(LEFT(B143,4))</f>
        <v>1976</v>
      </c>
      <c r="E143" s="6" t="n">
        <f aca="false">INT((D143-1)/100)+1</f>
        <v>20</v>
      </c>
      <c r="F143" s="6" t="s">
        <v>553</v>
      </c>
      <c r="G143" s="6" t="s">
        <v>1061</v>
      </c>
      <c r="H143" s="6" t="s">
        <v>1062</v>
      </c>
      <c r="I143" s="6" t="s">
        <v>1063</v>
      </c>
      <c r="J143" s="6" t="s">
        <v>332</v>
      </c>
      <c r="K143" s="6" t="s">
        <v>1064</v>
      </c>
      <c r="L143" s="6" t="s">
        <v>989</v>
      </c>
      <c r="M143" s="6" t="s">
        <v>990</v>
      </c>
      <c r="N143" s="6" t="s">
        <v>18</v>
      </c>
      <c r="O143" s="6" t="s">
        <v>75</v>
      </c>
      <c r="P143" s="6" t="s">
        <v>1065</v>
      </c>
      <c r="Q143" s="6" t="s">
        <v>1066</v>
      </c>
      <c r="R143" s="6" t="n">
        <f aca="false">VALUE(LEFT(Q143,4))</f>
        <v>1976</v>
      </c>
      <c r="S143" s="6" t="n">
        <f aca="false">VALUE(MID(Q143,6,2))</f>
        <v>2</v>
      </c>
      <c r="T143" s="6" t="n">
        <f aca="false">VALUE(RIGHT(Q143,2))</f>
        <v>22</v>
      </c>
      <c r="U143" s="6" t="s">
        <v>317</v>
      </c>
      <c r="V143" s="6" t="s">
        <v>318</v>
      </c>
    </row>
    <row r="144" customFormat="false" ht="23.85" hidden="false" customHeight="false" outlineLevel="0" collapsed="false">
      <c r="A144" s="6" t="n">
        <v>143</v>
      </c>
      <c r="B144" s="6" t="s">
        <v>1067</v>
      </c>
      <c r="C144" s="6" t="s">
        <v>1067</v>
      </c>
      <c r="D144" s="6" t="n">
        <f aca="false">VALUE(LEFT(B144,4))</f>
        <v>1976</v>
      </c>
      <c r="E144" s="6" t="n">
        <f aca="false">INT((D144-1)/100)+1</f>
        <v>20</v>
      </c>
      <c r="F144" s="6" t="s">
        <v>1068</v>
      </c>
      <c r="G144" s="6" t="s">
        <v>1069</v>
      </c>
      <c r="H144" s="6" t="s">
        <v>310</v>
      </c>
      <c r="I144" s="6" t="s">
        <v>1070</v>
      </c>
      <c r="J144" s="6" t="s">
        <v>310</v>
      </c>
      <c r="K144" s="6" t="s">
        <v>1071</v>
      </c>
      <c r="L144" s="6" t="s">
        <v>627</v>
      </c>
      <c r="M144" s="6" t="s">
        <v>628</v>
      </c>
      <c r="N144" s="6" t="s">
        <v>16</v>
      </c>
      <c r="O144" s="6" t="s">
        <v>75</v>
      </c>
      <c r="P144" s="6"/>
      <c r="Q144" s="6" t="s">
        <v>1067</v>
      </c>
      <c r="R144" s="6" t="n">
        <f aca="false">VALUE(LEFT(Q144,4))</f>
        <v>1976</v>
      </c>
      <c r="S144" s="6" t="n">
        <f aca="false">VALUE(MID(Q144,6,2))</f>
        <v>2</v>
      </c>
      <c r="T144" s="6" t="n">
        <f aca="false">VALUE(RIGHT(Q144,2))</f>
        <v>2</v>
      </c>
      <c r="U144" s="6" t="s">
        <v>77</v>
      </c>
      <c r="V144" s="6" t="s">
        <v>78</v>
      </c>
    </row>
    <row r="145" customFormat="false" ht="23.85" hidden="false" customHeight="false" outlineLevel="0" collapsed="false">
      <c r="A145" s="6" t="n">
        <v>144</v>
      </c>
      <c r="B145" s="6" t="s">
        <v>1072</v>
      </c>
      <c r="C145" s="6" t="s">
        <v>1073</v>
      </c>
      <c r="D145" s="6" t="n">
        <f aca="false">VALUE(LEFT(B145,4))</f>
        <v>1977</v>
      </c>
      <c r="E145" s="6" t="n">
        <f aca="false">INT((D145-1)/100)+1</f>
        <v>20</v>
      </c>
      <c r="F145" s="6" t="s">
        <v>106</v>
      </c>
      <c r="G145" s="6" t="s">
        <v>1074</v>
      </c>
      <c r="H145" s="6" t="s">
        <v>717</v>
      </c>
      <c r="I145" s="6" t="s">
        <v>1075</v>
      </c>
      <c r="J145" s="6" t="s">
        <v>719</v>
      </c>
      <c r="K145" s="6" t="s">
        <v>1076</v>
      </c>
      <c r="L145" s="6" t="s">
        <v>569</v>
      </c>
      <c r="M145" s="6"/>
      <c r="N145" s="6" t="s">
        <v>18</v>
      </c>
      <c r="O145" s="6" t="s">
        <v>94</v>
      </c>
      <c r="P145" s="6"/>
      <c r="Q145" s="6" t="s">
        <v>1077</v>
      </c>
      <c r="R145" s="6" t="n">
        <f aca="false">VALUE(LEFT(Q145,4))</f>
        <v>1977</v>
      </c>
      <c r="S145" s="6" t="n">
        <f aca="false">VALUE(MID(Q145,6,2))</f>
        <v>1</v>
      </c>
      <c r="T145" s="6" t="n">
        <f aca="false">VALUE(RIGHT(Q145,2))</f>
        <v>17</v>
      </c>
      <c r="U145" s="6" t="s">
        <v>317</v>
      </c>
      <c r="V145" s="6" t="s">
        <v>1078</v>
      </c>
    </row>
    <row r="146" customFormat="false" ht="23.85" hidden="false" customHeight="false" outlineLevel="0" collapsed="false">
      <c r="A146" s="6" t="n">
        <v>145</v>
      </c>
      <c r="B146" s="6" t="s">
        <v>1079</v>
      </c>
      <c r="C146" s="6" t="s">
        <v>1080</v>
      </c>
      <c r="D146" s="6" t="n">
        <f aca="false">VALUE(LEFT(B146,4))</f>
        <v>1977</v>
      </c>
      <c r="E146" s="6" t="n">
        <f aca="false">INT((D146-1)/100)+1</f>
        <v>20</v>
      </c>
      <c r="F146" s="6" t="s">
        <v>754</v>
      </c>
      <c r="G146" s="6" t="s">
        <v>1081</v>
      </c>
      <c r="H146" s="6" t="s">
        <v>1082</v>
      </c>
      <c r="I146" s="6" t="s">
        <v>1083</v>
      </c>
      <c r="J146" s="6" t="s">
        <v>895</v>
      </c>
      <c r="K146" s="6" t="s">
        <v>1084</v>
      </c>
      <c r="L146" s="6" t="s">
        <v>627</v>
      </c>
      <c r="M146" s="6" t="s">
        <v>628</v>
      </c>
      <c r="N146" s="6" t="s">
        <v>16</v>
      </c>
      <c r="O146" s="6" t="s">
        <v>75</v>
      </c>
      <c r="P146" s="6"/>
      <c r="Q146" s="6" t="s">
        <v>1079</v>
      </c>
      <c r="R146" s="6" t="n">
        <f aca="false">VALUE(LEFT(Q146,4))</f>
        <v>1977</v>
      </c>
      <c r="S146" s="6" t="n">
        <f aca="false">VALUE(MID(Q146,6,2))</f>
        <v>3</v>
      </c>
      <c r="T146" s="6" t="n">
        <f aca="false">VALUE(RIGHT(Q146,2))</f>
        <v>13</v>
      </c>
      <c r="U146" s="6" t="s">
        <v>125</v>
      </c>
      <c r="V146" s="6" t="s">
        <v>126</v>
      </c>
    </row>
    <row r="147" customFormat="false" ht="23.85" hidden="false" customHeight="false" outlineLevel="0" collapsed="false">
      <c r="A147" s="6" t="n">
        <v>146</v>
      </c>
      <c r="B147" s="6" t="s">
        <v>1085</v>
      </c>
      <c r="C147" s="6" t="s">
        <v>1086</v>
      </c>
      <c r="D147" s="6" t="n">
        <f aca="false">VALUE(LEFT(B147,4))</f>
        <v>1978</v>
      </c>
      <c r="E147" s="6" t="n">
        <f aca="false">INT((D147-1)/100)+1</f>
        <v>20</v>
      </c>
      <c r="F147" s="6" t="s">
        <v>1087</v>
      </c>
      <c r="G147" s="6" t="s">
        <v>1088</v>
      </c>
      <c r="H147" s="6" t="s">
        <v>1089</v>
      </c>
      <c r="I147" s="6" t="s">
        <v>1090</v>
      </c>
      <c r="J147" s="6" t="s">
        <v>859</v>
      </c>
      <c r="K147" s="6" t="s">
        <v>1091</v>
      </c>
      <c r="L147" s="6" t="s">
        <v>627</v>
      </c>
      <c r="M147" s="6" t="s">
        <v>628</v>
      </c>
      <c r="N147" s="6" t="s">
        <v>16</v>
      </c>
      <c r="O147" s="6" t="s">
        <v>75</v>
      </c>
      <c r="P147" s="6"/>
      <c r="Q147" s="6" t="s">
        <v>1092</v>
      </c>
      <c r="R147" s="6" t="n">
        <f aca="false">VALUE(LEFT(Q147,4))</f>
        <v>1978</v>
      </c>
      <c r="S147" s="6" t="n">
        <f aca="false">VALUE(MID(Q147,6,2))</f>
        <v>1</v>
      </c>
      <c r="T147" s="6" t="n">
        <f aca="false">VALUE(RIGHT(Q147,2))</f>
        <v>16</v>
      </c>
      <c r="U147" s="6" t="s">
        <v>317</v>
      </c>
      <c r="V147" s="6" t="s">
        <v>318</v>
      </c>
    </row>
    <row r="148" customFormat="false" ht="23.85" hidden="false" customHeight="false" outlineLevel="0" collapsed="false">
      <c r="A148" s="6" t="n">
        <v>147</v>
      </c>
      <c r="B148" s="6" t="s">
        <v>1093</v>
      </c>
      <c r="C148" s="6" t="s">
        <v>1094</v>
      </c>
      <c r="D148" s="6" t="n">
        <f aca="false">VALUE(LEFT(B148,4))</f>
        <v>1978</v>
      </c>
      <c r="E148" s="6" t="n">
        <f aca="false">INT((D148-1)/100)+1</f>
        <v>20</v>
      </c>
      <c r="F148" s="6" t="s">
        <v>219</v>
      </c>
      <c r="G148" s="6" t="s">
        <v>1095</v>
      </c>
      <c r="H148" s="6" t="s">
        <v>942</v>
      </c>
      <c r="I148" s="6" t="s">
        <v>1096</v>
      </c>
      <c r="J148" s="6" t="s">
        <v>310</v>
      </c>
      <c r="K148" s="6" t="s">
        <v>1097</v>
      </c>
      <c r="L148" s="6" t="s">
        <v>627</v>
      </c>
      <c r="M148" s="6" t="s">
        <v>628</v>
      </c>
      <c r="N148" s="6" t="s">
        <v>16</v>
      </c>
      <c r="O148" s="6" t="s">
        <v>75</v>
      </c>
      <c r="P148" s="6"/>
      <c r="Q148" s="6" t="s">
        <v>1093</v>
      </c>
      <c r="R148" s="6" t="n">
        <f aca="false">VALUE(LEFT(Q148,4))</f>
        <v>1978</v>
      </c>
      <c r="S148" s="6" t="n">
        <f aca="false">VALUE(MID(Q148,6,2))</f>
        <v>2</v>
      </c>
      <c r="T148" s="6" t="n">
        <f aca="false">VALUE(RIGHT(Q148,2))</f>
        <v>6</v>
      </c>
      <c r="U148" s="6" t="s">
        <v>125</v>
      </c>
      <c r="V148" s="6" t="s">
        <v>126</v>
      </c>
    </row>
    <row r="149" customFormat="false" ht="46.25" hidden="false" customHeight="false" outlineLevel="0" collapsed="false">
      <c r="A149" s="6" t="n">
        <v>148</v>
      </c>
      <c r="B149" s="6" t="s">
        <v>1098</v>
      </c>
      <c r="C149" s="6" t="s">
        <v>1099</v>
      </c>
      <c r="D149" s="6" t="n">
        <f aca="false">VALUE(LEFT(B149,4))</f>
        <v>1979</v>
      </c>
      <c r="E149" s="6" t="n">
        <f aca="false">INT((D149-1)/100)+1</f>
        <v>20</v>
      </c>
      <c r="F149" s="6" t="s">
        <v>553</v>
      </c>
      <c r="G149" s="6" t="s">
        <v>1100</v>
      </c>
      <c r="H149" s="6" t="s">
        <v>1101</v>
      </c>
      <c r="I149" s="6" t="s">
        <v>1102</v>
      </c>
      <c r="J149" s="6" t="s">
        <v>332</v>
      </c>
      <c r="K149" s="6" t="s">
        <v>1103</v>
      </c>
      <c r="L149" s="6" t="s">
        <v>989</v>
      </c>
      <c r="M149" s="6" t="s">
        <v>990</v>
      </c>
      <c r="N149" s="6" t="s">
        <v>18</v>
      </c>
      <c r="O149" s="6" t="s">
        <v>75</v>
      </c>
      <c r="P149" s="6" t="s">
        <v>1104</v>
      </c>
      <c r="Q149" s="6" t="s">
        <v>1105</v>
      </c>
      <c r="R149" s="6" t="n">
        <f aca="false">VALUE(LEFT(Q149,4))</f>
        <v>1979</v>
      </c>
      <c r="S149" s="6" t="n">
        <f aca="false">VALUE(MID(Q149,6,2))</f>
        <v>2</v>
      </c>
      <c r="T149" s="6" t="n">
        <f aca="false">VALUE(RIGHT(Q149,2))</f>
        <v>13</v>
      </c>
      <c r="U149" s="6" t="s">
        <v>114</v>
      </c>
      <c r="V149" s="6" t="s">
        <v>325</v>
      </c>
    </row>
    <row r="150" customFormat="false" ht="23.85" hidden="false" customHeight="false" outlineLevel="0" collapsed="false">
      <c r="A150" s="6" t="n">
        <v>149</v>
      </c>
      <c r="B150" s="6" t="s">
        <v>1106</v>
      </c>
      <c r="C150" s="6" t="s">
        <v>1107</v>
      </c>
      <c r="D150" s="6" t="n">
        <f aca="false">VALUE(LEFT(B150,4))</f>
        <v>1979</v>
      </c>
      <c r="E150" s="6" t="n">
        <f aca="false">INT((D150-1)/100)+1</f>
        <v>20</v>
      </c>
      <c r="F150" s="6" t="s">
        <v>1087</v>
      </c>
      <c r="G150" s="6" t="s">
        <v>1108</v>
      </c>
      <c r="H150" s="6" t="s">
        <v>1109</v>
      </c>
      <c r="I150" s="6" t="s">
        <v>1110</v>
      </c>
      <c r="J150" s="6" t="s">
        <v>719</v>
      </c>
      <c r="K150" s="6"/>
      <c r="L150" s="6" t="s">
        <v>627</v>
      </c>
      <c r="M150" s="6" t="s">
        <v>628</v>
      </c>
      <c r="N150" s="6" t="s">
        <v>18</v>
      </c>
      <c r="O150" s="6" t="s">
        <v>75</v>
      </c>
      <c r="P150" s="6"/>
      <c r="Q150" s="6" t="s">
        <v>1111</v>
      </c>
      <c r="R150" s="6" t="n">
        <f aca="false">VALUE(LEFT(Q150,4))</f>
        <v>1979</v>
      </c>
      <c r="S150" s="6" t="n">
        <f aca="false">VALUE(MID(Q150,6,2))</f>
        <v>3</v>
      </c>
      <c r="T150" s="6" t="n">
        <f aca="false">VALUE(RIGHT(Q150,2))</f>
        <v>16</v>
      </c>
      <c r="U150" s="6" t="s">
        <v>317</v>
      </c>
      <c r="V150" s="6" t="s">
        <v>318</v>
      </c>
    </row>
    <row r="151" customFormat="false" ht="23.85" hidden="false" customHeight="false" outlineLevel="0" collapsed="false">
      <c r="A151" s="6" t="n">
        <v>150</v>
      </c>
      <c r="B151" s="6" t="s">
        <v>1112</v>
      </c>
      <c r="C151" s="6" t="s">
        <v>1113</v>
      </c>
      <c r="D151" s="6" t="n">
        <f aca="false">VALUE(LEFT(B151,4))</f>
        <v>1980</v>
      </c>
      <c r="E151" s="6" t="n">
        <f aca="false">INT((D151-1)/100)+1</f>
        <v>20</v>
      </c>
      <c r="F151" s="6" t="s">
        <v>129</v>
      </c>
      <c r="G151" s="6" t="s">
        <v>1114</v>
      </c>
      <c r="H151" s="6" t="s">
        <v>1115</v>
      </c>
      <c r="I151" s="6" t="s">
        <v>1116</v>
      </c>
      <c r="J151" s="6" t="s">
        <v>719</v>
      </c>
      <c r="K151" s="6" t="s">
        <v>1117</v>
      </c>
      <c r="L151" s="6" t="s">
        <v>627</v>
      </c>
      <c r="M151" s="6" t="s">
        <v>628</v>
      </c>
      <c r="N151" s="6" t="s">
        <v>16</v>
      </c>
      <c r="O151" s="6" t="s">
        <v>75</v>
      </c>
      <c r="P151" s="6"/>
      <c r="Q151" s="6" t="s">
        <v>1118</v>
      </c>
      <c r="R151" s="6" t="n">
        <f aca="false">VALUE(LEFT(Q151,4))</f>
        <v>1980</v>
      </c>
      <c r="S151" s="6" t="n">
        <f aca="false">VALUE(MID(Q151,6,2))</f>
        <v>3</v>
      </c>
      <c r="T151" s="6" t="n">
        <f aca="false">VALUE(RIGHT(Q151,2))</f>
        <v>16</v>
      </c>
      <c r="U151" s="6" t="s">
        <v>317</v>
      </c>
      <c r="V151" s="6" t="s">
        <v>318</v>
      </c>
    </row>
    <row r="152" customFormat="false" ht="23.85" hidden="false" customHeight="false" outlineLevel="0" collapsed="false">
      <c r="A152" s="6" t="n">
        <v>151</v>
      </c>
      <c r="B152" s="6" t="s">
        <v>1119</v>
      </c>
      <c r="C152" s="6" t="s">
        <v>1120</v>
      </c>
      <c r="D152" s="6" t="n">
        <f aca="false">VALUE(LEFT(B152,4))</f>
        <v>1980</v>
      </c>
      <c r="E152" s="6" t="n">
        <f aca="false">INT((D152-1)/100)+1</f>
        <v>20</v>
      </c>
      <c r="F152" s="6" t="s">
        <v>816</v>
      </c>
      <c r="G152" s="6" t="s">
        <v>1121</v>
      </c>
      <c r="H152" s="6" t="s">
        <v>1122</v>
      </c>
      <c r="I152" s="6" t="s">
        <v>1123</v>
      </c>
      <c r="J152" s="6" t="s">
        <v>719</v>
      </c>
      <c r="K152" s="6"/>
      <c r="L152" s="6" t="s">
        <v>569</v>
      </c>
      <c r="M152" s="6"/>
      <c r="N152" s="6" t="s">
        <v>18</v>
      </c>
      <c r="O152" s="6" t="s">
        <v>94</v>
      </c>
      <c r="P152" s="6"/>
      <c r="Q152" s="6" t="s">
        <v>1124</v>
      </c>
      <c r="R152" s="6" t="n">
        <f aca="false">VALUE(LEFT(Q152,4))</f>
        <v>1981</v>
      </c>
      <c r="S152" s="6" t="n">
        <f aca="false">VALUE(MID(Q152,6,2))</f>
        <v>1</v>
      </c>
      <c r="T152" s="6" t="n">
        <f aca="false">VALUE(RIGHT(Q152,2))</f>
        <v>15</v>
      </c>
      <c r="U152" s="6" t="s">
        <v>114</v>
      </c>
      <c r="V152" s="6" t="s">
        <v>1125</v>
      </c>
    </row>
    <row r="153" customFormat="false" ht="23.85" hidden="false" customHeight="false" outlineLevel="0" collapsed="false">
      <c r="A153" s="6" t="n">
        <v>152</v>
      </c>
      <c r="B153" s="6" t="s">
        <v>1126</v>
      </c>
      <c r="C153" s="6" t="s">
        <v>1127</v>
      </c>
      <c r="D153" s="6" t="n">
        <f aca="false">VALUE(LEFT(B153,4))</f>
        <v>1981</v>
      </c>
      <c r="E153" s="6" t="n">
        <f aca="false">INT((D153-1)/100)+1</f>
        <v>20</v>
      </c>
      <c r="F153" s="6" t="s">
        <v>1087</v>
      </c>
      <c r="G153" s="6" t="s">
        <v>1128</v>
      </c>
      <c r="H153" s="6" t="s">
        <v>1129</v>
      </c>
      <c r="I153" s="6" t="s">
        <v>1130</v>
      </c>
      <c r="J153" s="6" t="s">
        <v>719</v>
      </c>
      <c r="K153" s="6"/>
      <c r="L153" s="6" t="s">
        <v>627</v>
      </c>
      <c r="M153" s="6" t="s">
        <v>628</v>
      </c>
      <c r="N153" s="6" t="s">
        <v>18</v>
      </c>
      <c r="O153" s="6" t="s">
        <v>75</v>
      </c>
      <c r="P153" s="6"/>
      <c r="Q153" s="6" t="s">
        <v>1131</v>
      </c>
      <c r="R153" s="6" t="n">
        <f aca="false">VALUE(LEFT(Q153,4))</f>
        <v>1981</v>
      </c>
      <c r="S153" s="6" t="n">
        <f aca="false">VALUE(MID(Q153,6,2))</f>
        <v>2</v>
      </c>
      <c r="T153" s="6" t="n">
        <f aca="false">VALUE(RIGHT(Q153,2))</f>
        <v>14</v>
      </c>
      <c r="U153" s="6" t="s">
        <v>317</v>
      </c>
      <c r="V153" s="6" t="s">
        <v>318</v>
      </c>
    </row>
    <row r="154" customFormat="false" ht="23.85" hidden="false" customHeight="false" outlineLevel="0" collapsed="false">
      <c r="A154" s="6" t="n">
        <v>153</v>
      </c>
      <c r="B154" s="6" t="s">
        <v>1132</v>
      </c>
      <c r="C154" s="6" t="s">
        <v>1133</v>
      </c>
      <c r="D154" s="6" t="n">
        <f aca="false">VALUE(LEFT(B154,4))</f>
        <v>1982</v>
      </c>
      <c r="E154" s="6" t="n">
        <f aca="false">INT((D154-1)/100)+1</f>
        <v>20</v>
      </c>
      <c r="F154" s="6" t="s">
        <v>219</v>
      </c>
      <c r="G154" s="6" t="s">
        <v>1134</v>
      </c>
      <c r="H154" s="6" t="s">
        <v>942</v>
      </c>
      <c r="I154" s="6" t="s">
        <v>1135</v>
      </c>
      <c r="J154" s="6" t="s">
        <v>310</v>
      </c>
      <c r="K154" s="6" t="s">
        <v>1136</v>
      </c>
      <c r="L154" s="6" t="s">
        <v>627</v>
      </c>
      <c r="M154" s="6" t="s">
        <v>628</v>
      </c>
      <c r="N154" s="6" t="s">
        <v>16</v>
      </c>
      <c r="O154" s="6" t="s">
        <v>75</v>
      </c>
      <c r="P154" s="6"/>
      <c r="Q154" s="6" t="s">
        <v>1132</v>
      </c>
      <c r="R154" s="6" t="n">
        <f aca="false">VALUE(LEFT(Q154,4))</f>
        <v>1982</v>
      </c>
      <c r="S154" s="6" t="n">
        <f aca="false">VALUE(MID(Q154,6,2))</f>
        <v>4</v>
      </c>
      <c r="T154" s="6" t="n">
        <f aca="false">VALUE(RIGHT(Q154,2))</f>
        <v>6</v>
      </c>
      <c r="U154" s="6" t="s">
        <v>125</v>
      </c>
      <c r="V154" s="6" t="s">
        <v>126</v>
      </c>
    </row>
    <row r="155" customFormat="false" ht="23.85" hidden="false" customHeight="false" outlineLevel="0" collapsed="false">
      <c r="A155" s="6" t="n">
        <v>154</v>
      </c>
      <c r="B155" s="6" t="s">
        <v>1137</v>
      </c>
      <c r="C155" s="6" t="s">
        <v>1138</v>
      </c>
      <c r="D155" s="6" t="n">
        <f aca="false">VALUE(LEFT(B155,4))</f>
        <v>1983</v>
      </c>
      <c r="E155" s="6" t="n">
        <f aca="false">INT((D155-1)/100)+1</f>
        <v>20</v>
      </c>
      <c r="F155" s="6" t="s">
        <v>159</v>
      </c>
      <c r="G155" s="6" t="s">
        <v>1139</v>
      </c>
      <c r="H155" s="6" t="s">
        <v>942</v>
      </c>
      <c r="I155" s="6" t="s">
        <v>1140</v>
      </c>
      <c r="J155" s="6" t="s">
        <v>310</v>
      </c>
      <c r="K155" s="6" t="s">
        <v>1141</v>
      </c>
      <c r="L155" s="6" t="s">
        <v>627</v>
      </c>
      <c r="M155" s="6" t="s">
        <v>628</v>
      </c>
      <c r="N155" s="6" t="s">
        <v>16</v>
      </c>
      <c r="O155" s="6" t="s">
        <v>75</v>
      </c>
      <c r="P155" s="6"/>
      <c r="Q155" s="6" t="s">
        <v>1137</v>
      </c>
      <c r="R155" s="6" t="n">
        <f aca="false">VALUE(LEFT(Q155,4))</f>
        <v>1983</v>
      </c>
      <c r="S155" s="6" t="n">
        <f aca="false">VALUE(MID(Q155,6,2))</f>
        <v>1</v>
      </c>
      <c r="T155" s="6" t="n">
        <f aca="false">VALUE(RIGHT(Q155,2))</f>
        <v>15</v>
      </c>
      <c r="U155" s="6" t="s">
        <v>125</v>
      </c>
      <c r="V155" s="6" t="s">
        <v>126</v>
      </c>
    </row>
    <row r="156" customFormat="false" ht="23.85" hidden="false" customHeight="false" outlineLevel="0" collapsed="false">
      <c r="A156" s="6" t="n">
        <v>155</v>
      </c>
      <c r="B156" s="6" t="s">
        <v>1142</v>
      </c>
      <c r="C156" s="6" t="s">
        <v>1143</v>
      </c>
      <c r="D156" s="6" t="n">
        <f aca="false">VALUE(LEFT(B156,4))</f>
        <v>1983</v>
      </c>
      <c r="E156" s="6" t="n">
        <f aca="false">INT((D156-1)/100)+1</f>
        <v>20</v>
      </c>
      <c r="F156" s="6" t="s">
        <v>129</v>
      </c>
      <c r="G156" s="6" t="s">
        <v>1144</v>
      </c>
      <c r="H156" s="6" t="s">
        <v>942</v>
      </c>
      <c r="I156" s="6" t="s">
        <v>1145</v>
      </c>
      <c r="J156" s="6" t="s">
        <v>1146</v>
      </c>
      <c r="K156" s="6" t="s">
        <v>1147</v>
      </c>
      <c r="L156" s="6" t="s">
        <v>627</v>
      </c>
      <c r="M156" s="6" t="s">
        <v>628</v>
      </c>
      <c r="N156" s="6" t="s">
        <v>16</v>
      </c>
      <c r="O156" s="6" t="s">
        <v>75</v>
      </c>
      <c r="P156" s="6"/>
      <c r="Q156" s="6" t="s">
        <v>1148</v>
      </c>
      <c r="R156" s="6" t="n">
        <f aca="false">VALUE(LEFT(Q156,4))</f>
        <v>1983</v>
      </c>
      <c r="S156" s="6" t="n">
        <f aca="false">VALUE(MID(Q156,6,2))</f>
        <v>5</v>
      </c>
      <c r="T156" s="6" t="n">
        <f aca="false">VALUE(RIGHT(Q156,2))</f>
        <v>1</v>
      </c>
      <c r="U156" s="6" t="s">
        <v>77</v>
      </c>
      <c r="V156" s="6" t="s">
        <v>1149</v>
      </c>
    </row>
    <row r="157" customFormat="false" ht="15" hidden="false" customHeight="false" outlineLevel="0" collapsed="false">
      <c r="A157" s="6" t="n">
        <v>156</v>
      </c>
      <c r="B157" s="6" t="s">
        <v>1150</v>
      </c>
      <c r="C157" s="6" t="s">
        <v>1150</v>
      </c>
      <c r="D157" s="6" t="n">
        <f aca="false">VALUE(LEFT(B157,4))</f>
        <v>1985</v>
      </c>
      <c r="E157" s="6" t="n">
        <f aca="false">INT((D157-1)/100)+1</f>
        <v>20</v>
      </c>
      <c r="F157" s="6" t="s">
        <v>67</v>
      </c>
      <c r="G157" s="6" t="s">
        <v>1151</v>
      </c>
      <c r="H157" s="6" t="s">
        <v>574</v>
      </c>
      <c r="I157" s="6" t="s">
        <v>1152</v>
      </c>
      <c r="J157" s="6" t="s">
        <v>719</v>
      </c>
      <c r="K157" s="6"/>
      <c r="L157" s="6" t="s">
        <v>884</v>
      </c>
      <c r="M157" s="6"/>
      <c r="N157" s="6" t="s">
        <v>18</v>
      </c>
      <c r="O157" s="6" t="s">
        <v>94</v>
      </c>
      <c r="P157" s="6"/>
      <c r="Q157" s="6" t="s">
        <v>1150</v>
      </c>
      <c r="R157" s="6" t="n">
        <f aca="false">VALUE(LEFT(Q157,4))</f>
        <v>1985</v>
      </c>
      <c r="S157" s="6" t="n">
        <f aca="false">VALUE(MID(Q157,6,2))</f>
        <v>9</v>
      </c>
      <c r="T157" s="6" t="n">
        <f aca="false">VALUE(RIGHT(Q157,2))</f>
        <v>27</v>
      </c>
      <c r="U157" s="6" t="s">
        <v>77</v>
      </c>
      <c r="V157" s="6" t="s">
        <v>78</v>
      </c>
    </row>
    <row r="158" customFormat="false" ht="23.85" hidden="false" customHeight="false" outlineLevel="0" collapsed="false">
      <c r="A158" s="6" t="n">
        <v>157</v>
      </c>
      <c r="B158" s="6" t="s">
        <v>1153</v>
      </c>
      <c r="C158" s="6" t="s">
        <v>1154</v>
      </c>
      <c r="D158" s="6" t="n">
        <f aca="false">VALUE(LEFT(B158,4))</f>
        <v>1987</v>
      </c>
      <c r="E158" s="6" t="n">
        <f aca="false">INT((D158-1)/100)+1</f>
        <v>20</v>
      </c>
      <c r="F158" s="6" t="s">
        <v>754</v>
      </c>
      <c r="G158" s="6" t="s">
        <v>1155</v>
      </c>
      <c r="H158" s="6" t="s">
        <v>1156</v>
      </c>
      <c r="I158" s="6" t="s">
        <v>1157</v>
      </c>
      <c r="J158" s="6" t="s">
        <v>719</v>
      </c>
      <c r="K158" s="6" t="s">
        <v>1158</v>
      </c>
      <c r="L158" s="6" t="s">
        <v>627</v>
      </c>
      <c r="M158" s="6" t="s">
        <v>628</v>
      </c>
      <c r="N158" s="6" t="s">
        <v>16</v>
      </c>
      <c r="O158" s="6" t="s">
        <v>75</v>
      </c>
      <c r="P158" s="6"/>
      <c r="Q158" s="6" t="s">
        <v>1153</v>
      </c>
      <c r="R158" s="6" t="n">
        <f aca="false">VALUE(LEFT(Q158,4))</f>
        <v>1987</v>
      </c>
      <c r="S158" s="6" t="n">
        <f aca="false">VALUE(MID(Q158,6,2))</f>
        <v>4</v>
      </c>
      <c r="T158" s="6" t="n">
        <f aca="false">VALUE(RIGHT(Q158,2))</f>
        <v>4</v>
      </c>
      <c r="U158" s="6" t="s">
        <v>125</v>
      </c>
      <c r="V158" s="6" t="s">
        <v>126</v>
      </c>
    </row>
    <row r="159" customFormat="false" ht="23.85" hidden="false" customHeight="false" outlineLevel="0" collapsed="false">
      <c r="A159" s="6" t="n">
        <v>158</v>
      </c>
      <c r="B159" s="6" t="s">
        <v>1159</v>
      </c>
      <c r="C159" s="6" t="s">
        <v>1159</v>
      </c>
      <c r="D159" s="6" t="n">
        <f aca="false">VALUE(LEFT(B159,4))</f>
        <v>1987</v>
      </c>
      <c r="E159" s="6" t="n">
        <f aca="false">INT((D159-1)/100)+1</f>
        <v>20</v>
      </c>
      <c r="F159" s="6" t="s">
        <v>466</v>
      </c>
      <c r="G159" s="6" t="s">
        <v>1160</v>
      </c>
      <c r="H159" s="6" t="s">
        <v>1161</v>
      </c>
      <c r="I159" s="6" t="s">
        <v>1162</v>
      </c>
      <c r="J159" s="6" t="s">
        <v>310</v>
      </c>
      <c r="K159" s="6" t="s">
        <v>1163</v>
      </c>
      <c r="L159" s="6" t="s">
        <v>627</v>
      </c>
      <c r="M159" s="6" t="s">
        <v>628</v>
      </c>
      <c r="N159" s="6" t="s">
        <v>16</v>
      </c>
      <c r="O159" s="6" t="s">
        <v>75</v>
      </c>
      <c r="P159" s="6"/>
      <c r="Q159" s="6" t="s">
        <v>1159</v>
      </c>
      <c r="R159" s="6" t="n">
        <f aca="false">VALUE(LEFT(Q159,4))</f>
        <v>1987</v>
      </c>
      <c r="S159" s="6" t="n">
        <f aca="false">VALUE(MID(Q159,6,2))</f>
        <v>10</v>
      </c>
      <c r="T159" s="6" t="n">
        <f aca="false">VALUE(RIGHT(Q159,2))</f>
        <v>4</v>
      </c>
      <c r="U159" s="6" t="s">
        <v>77</v>
      </c>
      <c r="V159" s="6" t="s">
        <v>78</v>
      </c>
    </row>
    <row r="160" customFormat="false" ht="23.85" hidden="false" customHeight="false" outlineLevel="0" collapsed="false">
      <c r="A160" s="6" t="n">
        <v>159</v>
      </c>
      <c r="B160" s="6" t="s">
        <v>1164</v>
      </c>
      <c r="C160" s="6" t="s">
        <v>1165</v>
      </c>
      <c r="D160" s="6" t="n">
        <f aca="false">VALUE(LEFT(B160,4))</f>
        <v>1988</v>
      </c>
      <c r="E160" s="6" t="n">
        <f aca="false">INT((D160-1)/100)+1</f>
        <v>20</v>
      </c>
      <c r="F160" s="6" t="s">
        <v>1166</v>
      </c>
      <c r="G160" s="6" t="s">
        <v>1167</v>
      </c>
      <c r="H160" s="6" t="s">
        <v>942</v>
      </c>
      <c r="I160" s="6"/>
      <c r="J160" s="6" t="s">
        <v>719</v>
      </c>
      <c r="K160" s="6" t="s">
        <v>1168</v>
      </c>
      <c r="L160" s="6" t="s">
        <v>569</v>
      </c>
      <c r="M160" s="6"/>
      <c r="N160" s="6" t="s">
        <v>20</v>
      </c>
      <c r="O160" s="6" t="s">
        <v>94</v>
      </c>
      <c r="P160" s="6"/>
      <c r="Q160" s="6" t="s">
        <v>1169</v>
      </c>
      <c r="R160" s="6" t="n">
        <f aca="false">VALUE(LEFT(Q160,4))</f>
        <v>1988</v>
      </c>
      <c r="S160" s="6" t="n">
        <f aca="false">VALUE(MID(Q160,6,2))</f>
        <v>7</v>
      </c>
      <c r="T160" s="6" t="n">
        <f aca="false">VALUE(RIGHT(Q160,2))</f>
        <v>15</v>
      </c>
      <c r="U160" s="6" t="s">
        <v>114</v>
      </c>
      <c r="V160" s="6" t="s">
        <v>1170</v>
      </c>
    </row>
    <row r="161" customFormat="false" ht="35.05" hidden="false" customHeight="false" outlineLevel="0" collapsed="false">
      <c r="A161" s="6" t="n">
        <v>160</v>
      </c>
      <c r="B161" s="6" t="s">
        <v>1171</v>
      </c>
      <c r="C161" s="6" t="s">
        <v>1171</v>
      </c>
      <c r="D161" s="6" t="n">
        <f aca="false">VALUE(LEFT(B161,4))</f>
        <v>1989</v>
      </c>
      <c r="E161" s="6" t="n">
        <f aca="false">INT((D161-1)/100)+1</f>
        <v>20</v>
      </c>
      <c r="F161" s="6" t="s">
        <v>1172</v>
      </c>
      <c r="G161" s="6" t="s">
        <v>1173</v>
      </c>
      <c r="H161" s="6" t="s">
        <v>1174</v>
      </c>
      <c r="I161" s="6" t="s">
        <v>1175</v>
      </c>
      <c r="J161" s="6" t="s">
        <v>963</v>
      </c>
      <c r="K161" s="6" t="s">
        <v>1176</v>
      </c>
      <c r="L161" s="6" t="s">
        <v>569</v>
      </c>
      <c r="M161" s="6" t="s">
        <v>1177</v>
      </c>
      <c r="N161" s="6" t="s">
        <v>16</v>
      </c>
      <c r="O161" s="6" t="s">
        <v>75</v>
      </c>
      <c r="P161" s="6" t="s">
        <v>1178</v>
      </c>
      <c r="Q161" s="6" t="s">
        <v>1171</v>
      </c>
      <c r="R161" s="6" t="n">
        <f aca="false">VALUE(LEFT(Q161,4))</f>
        <v>1989</v>
      </c>
      <c r="S161" s="6" t="n">
        <f aca="false">VALUE(MID(Q161,6,2))</f>
        <v>7</v>
      </c>
      <c r="T161" s="6" t="n">
        <f aca="false">VALUE(RIGHT(Q161,2))</f>
        <v>10</v>
      </c>
      <c r="U161" s="6" t="s">
        <v>77</v>
      </c>
      <c r="V161" s="6" t="s">
        <v>78</v>
      </c>
    </row>
    <row r="162" customFormat="false" ht="23.85" hidden="false" customHeight="false" outlineLevel="0" collapsed="false">
      <c r="A162" s="6" t="n">
        <v>161</v>
      </c>
      <c r="B162" s="6" t="s">
        <v>1179</v>
      </c>
      <c r="C162" s="6" t="s">
        <v>1179</v>
      </c>
      <c r="D162" s="6" t="n">
        <f aca="false">VALUE(LEFT(B162,4))</f>
        <v>1989</v>
      </c>
      <c r="E162" s="6" t="n">
        <f aca="false">INT((D162-1)/100)+1</f>
        <v>20</v>
      </c>
      <c r="F162" s="6" t="s">
        <v>1180</v>
      </c>
      <c r="G162" s="6" t="s">
        <v>1181</v>
      </c>
      <c r="H162" s="6" t="s">
        <v>1182</v>
      </c>
      <c r="I162" s="6" t="s">
        <v>1183</v>
      </c>
      <c r="J162" s="6" t="s">
        <v>963</v>
      </c>
      <c r="K162" s="6" t="s">
        <v>1184</v>
      </c>
      <c r="L162" s="6" t="s">
        <v>965</v>
      </c>
      <c r="M162" s="6" t="s">
        <v>966</v>
      </c>
      <c r="N162" s="6" t="s">
        <v>16</v>
      </c>
      <c r="O162" s="6" t="s">
        <v>75</v>
      </c>
      <c r="P162" s="6" t="s">
        <v>1185</v>
      </c>
      <c r="Q162" s="6" t="s">
        <v>1179</v>
      </c>
      <c r="R162" s="6" t="n">
        <f aca="false">VALUE(LEFT(Q162,4))</f>
        <v>1989</v>
      </c>
      <c r="S162" s="6" t="n">
        <f aca="false">VALUE(MID(Q162,6,2))</f>
        <v>11</v>
      </c>
      <c r="T162" s="6" t="n">
        <f aca="false">VALUE(RIGHT(Q162,2))</f>
        <v>16</v>
      </c>
      <c r="U162" s="6" t="s">
        <v>77</v>
      </c>
      <c r="V162" s="6" t="s">
        <v>78</v>
      </c>
    </row>
    <row r="163" customFormat="false" ht="23.85" hidden="false" customHeight="false" outlineLevel="0" collapsed="false">
      <c r="A163" s="6" t="n">
        <v>162</v>
      </c>
      <c r="B163" s="6" t="s">
        <v>1186</v>
      </c>
      <c r="C163" s="6" t="s">
        <v>1187</v>
      </c>
      <c r="D163" s="6" t="n">
        <f aca="false">VALUE(LEFT(B163,4))</f>
        <v>1992</v>
      </c>
      <c r="E163" s="6" t="n">
        <f aca="false">INT((D163-1)/100)+1</f>
        <v>20</v>
      </c>
      <c r="F163" s="6" t="s">
        <v>1188</v>
      </c>
      <c r="G163" s="6" t="s">
        <v>1189</v>
      </c>
      <c r="H163" s="6" t="s">
        <v>1190</v>
      </c>
      <c r="I163" s="6" t="s">
        <v>1191</v>
      </c>
      <c r="J163" s="6" t="s">
        <v>719</v>
      </c>
      <c r="K163" s="6" t="s">
        <v>1192</v>
      </c>
      <c r="L163" s="6" t="s">
        <v>627</v>
      </c>
      <c r="M163" s="6" t="s">
        <v>628</v>
      </c>
      <c r="N163" s="6" t="s">
        <v>16</v>
      </c>
      <c r="O163" s="6" t="s">
        <v>75</v>
      </c>
      <c r="P163" s="6" t="s">
        <v>1193</v>
      </c>
      <c r="Q163" s="6" t="s">
        <v>1186</v>
      </c>
      <c r="R163" s="6" t="n">
        <f aca="false">VALUE(LEFT(Q163,4))</f>
        <v>1992</v>
      </c>
      <c r="S163" s="6" t="n">
        <f aca="false">VALUE(MID(Q163,6,2))</f>
        <v>12</v>
      </c>
      <c r="T163" s="6" t="n">
        <f aca="false">VALUE(RIGHT(Q163,2))</f>
        <v>10</v>
      </c>
      <c r="U163" s="6" t="s">
        <v>125</v>
      </c>
      <c r="V163" s="6" t="s">
        <v>126</v>
      </c>
    </row>
    <row r="164" customFormat="false" ht="23.85" hidden="false" customHeight="false" outlineLevel="0" collapsed="false">
      <c r="A164" s="6" t="n">
        <v>163</v>
      </c>
      <c r="B164" s="6" t="s">
        <v>1194</v>
      </c>
      <c r="C164" s="6" t="s">
        <v>1195</v>
      </c>
      <c r="D164" s="6" t="n">
        <f aca="false">VALUE(LEFT(B164,4))</f>
        <v>1993</v>
      </c>
      <c r="E164" s="6" t="n">
        <f aca="false">INT((D164-1)/100)+1</f>
        <v>20</v>
      </c>
      <c r="F164" s="6" t="s">
        <v>219</v>
      </c>
      <c r="G164" s="6" t="s">
        <v>1196</v>
      </c>
      <c r="H164" s="6" t="s">
        <v>717</v>
      </c>
      <c r="I164" s="6" t="s">
        <v>1197</v>
      </c>
      <c r="J164" s="6" t="s">
        <v>310</v>
      </c>
      <c r="K164" s="6" t="s">
        <v>1198</v>
      </c>
      <c r="L164" s="6" t="s">
        <v>627</v>
      </c>
      <c r="M164" s="6" t="s">
        <v>628</v>
      </c>
      <c r="N164" s="6" t="s">
        <v>16</v>
      </c>
      <c r="O164" s="6" t="s">
        <v>75</v>
      </c>
      <c r="P164" s="6"/>
      <c r="Q164" s="6" t="s">
        <v>1194</v>
      </c>
      <c r="R164" s="6" t="n">
        <f aca="false">VALUE(LEFT(Q164,4))</f>
        <v>1993</v>
      </c>
      <c r="S164" s="6" t="n">
        <f aca="false">VALUE(MID(Q164,6,2))</f>
        <v>3</v>
      </c>
      <c r="T164" s="6" t="n">
        <f aca="false">VALUE(RIGHT(Q164,2))</f>
        <v>13</v>
      </c>
      <c r="U164" s="6" t="s">
        <v>125</v>
      </c>
      <c r="V164" s="6" t="s">
        <v>126</v>
      </c>
    </row>
    <row r="165" customFormat="false" ht="23.85" hidden="false" customHeight="false" outlineLevel="0" collapsed="false">
      <c r="A165" s="6" t="n">
        <v>164</v>
      </c>
      <c r="B165" s="6" t="s">
        <v>1199</v>
      </c>
      <c r="C165" s="6" t="s">
        <v>1200</v>
      </c>
      <c r="D165" s="6" t="n">
        <f aca="false">VALUE(LEFT(B165,4))</f>
        <v>1994</v>
      </c>
      <c r="E165" s="6" t="n">
        <f aca="false">INT((D165-1)/100)+1</f>
        <v>20</v>
      </c>
      <c r="F165" s="6" t="s">
        <v>1201</v>
      </c>
      <c r="G165" s="6" t="s">
        <v>1202</v>
      </c>
      <c r="H165" s="6" t="s">
        <v>942</v>
      </c>
      <c r="I165" s="6" t="s">
        <v>1203</v>
      </c>
      <c r="J165" s="6" t="s">
        <v>719</v>
      </c>
      <c r="K165" s="6" t="s">
        <v>1204</v>
      </c>
      <c r="L165" s="6" t="s">
        <v>569</v>
      </c>
      <c r="M165" s="6"/>
      <c r="N165" s="6" t="s">
        <v>18</v>
      </c>
      <c r="O165" s="6" t="s">
        <v>94</v>
      </c>
      <c r="P165" s="6"/>
      <c r="Q165" s="6" t="s">
        <v>1205</v>
      </c>
      <c r="R165" s="6" t="n">
        <f aca="false">VALUE(LEFT(Q165,4))</f>
        <v>1994</v>
      </c>
      <c r="S165" s="6" t="n">
        <f aca="false">VALUE(MID(Q165,6,2))</f>
        <v>1</v>
      </c>
      <c r="T165" s="6" t="n">
        <f aca="false">VALUE(RIGHT(Q165,2))</f>
        <v>19</v>
      </c>
      <c r="U165" s="6" t="s">
        <v>125</v>
      </c>
      <c r="V165" s="6" t="s">
        <v>1206</v>
      </c>
    </row>
    <row r="166" customFormat="false" ht="23.85" hidden="false" customHeight="false" outlineLevel="0" collapsed="false">
      <c r="A166" s="6" t="n">
        <v>165</v>
      </c>
      <c r="B166" s="6" t="s">
        <v>1207</v>
      </c>
      <c r="C166" s="6" t="s">
        <v>1207</v>
      </c>
      <c r="D166" s="6" t="n">
        <f aca="false">VALUE(LEFT(B166,4))</f>
        <v>1995</v>
      </c>
      <c r="E166" s="6" t="n">
        <f aca="false">INT((D166-1)/100)+1</f>
        <v>20</v>
      </c>
      <c r="F166" s="6" t="s">
        <v>1208</v>
      </c>
      <c r="G166" s="6" t="s">
        <v>1209</v>
      </c>
      <c r="H166" s="6" t="s">
        <v>1210</v>
      </c>
      <c r="I166" s="6" t="s">
        <v>1211</v>
      </c>
      <c r="J166" s="6" t="s">
        <v>963</v>
      </c>
      <c r="K166" s="6" t="s">
        <v>1212</v>
      </c>
      <c r="L166" s="6" t="s">
        <v>1213</v>
      </c>
      <c r="M166" s="6" t="s">
        <v>1214</v>
      </c>
      <c r="N166" s="6" t="s">
        <v>16</v>
      </c>
      <c r="O166" s="6" t="s">
        <v>75</v>
      </c>
      <c r="P166" s="6"/>
      <c r="Q166" s="6" t="s">
        <v>1207</v>
      </c>
      <c r="R166" s="6" t="n">
        <f aca="false">VALUE(LEFT(Q166,4))</f>
        <v>1995</v>
      </c>
      <c r="S166" s="6" t="n">
        <f aca="false">VALUE(MID(Q166,6,2))</f>
        <v>7</v>
      </c>
      <c r="T166" s="6" t="n">
        <f aca="false">VALUE(RIGHT(Q166,2))</f>
        <v>15</v>
      </c>
      <c r="U166" s="6" t="s">
        <v>77</v>
      </c>
      <c r="V166" s="6" t="s">
        <v>78</v>
      </c>
    </row>
    <row r="167" customFormat="false" ht="23.85" hidden="false" customHeight="false" outlineLevel="0" collapsed="false">
      <c r="A167" s="6" t="n">
        <v>166</v>
      </c>
      <c r="B167" s="6" t="s">
        <v>1215</v>
      </c>
      <c r="C167" s="6" t="s">
        <v>1216</v>
      </c>
      <c r="D167" s="6" t="n">
        <f aca="false">VALUE(LEFT(B167,4))</f>
        <v>1996</v>
      </c>
      <c r="E167" s="6" t="n">
        <f aca="false">INT((D167-1)/100)+1</f>
        <v>20</v>
      </c>
      <c r="F167" s="6" t="s">
        <v>219</v>
      </c>
      <c r="G167" s="6" t="s">
        <v>1217</v>
      </c>
      <c r="H167" s="6" t="s">
        <v>942</v>
      </c>
      <c r="I167" s="6" t="s">
        <v>1218</v>
      </c>
      <c r="J167" s="6" t="s">
        <v>719</v>
      </c>
      <c r="K167" s="6"/>
      <c r="L167" s="6" t="s">
        <v>569</v>
      </c>
      <c r="M167" s="6"/>
      <c r="N167" s="6" t="s">
        <v>18</v>
      </c>
      <c r="O167" s="6" t="s">
        <v>94</v>
      </c>
      <c r="P167" s="6"/>
      <c r="Q167" s="6" t="s">
        <v>1215</v>
      </c>
      <c r="R167" s="6" t="n">
        <f aca="false">VALUE(LEFT(Q167,4))</f>
        <v>1996</v>
      </c>
      <c r="S167" s="6" t="n">
        <f aca="false">VALUE(MID(Q167,6,2))</f>
        <v>1</v>
      </c>
      <c r="T167" s="6" t="n">
        <f aca="false">VALUE(RIGHT(Q167,2))</f>
        <v>7</v>
      </c>
      <c r="U167" s="6" t="s">
        <v>125</v>
      </c>
      <c r="V167" s="6" t="s">
        <v>126</v>
      </c>
    </row>
    <row r="168" customFormat="false" ht="23.85" hidden="false" customHeight="false" outlineLevel="0" collapsed="false">
      <c r="A168" s="6" t="n">
        <v>167</v>
      </c>
      <c r="B168" s="6" t="s">
        <v>1219</v>
      </c>
      <c r="C168" s="6" t="s">
        <v>1220</v>
      </c>
      <c r="D168" s="6" t="n">
        <f aca="false">VALUE(LEFT(B168,4))</f>
        <v>1996</v>
      </c>
      <c r="E168" s="6" t="n">
        <f aca="false">INT((D168-1)/100)+1</f>
        <v>20</v>
      </c>
      <c r="F168" s="6" t="s">
        <v>1221</v>
      </c>
      <c r="G168" s="6" t="s">
        <v>1222</v>
      </c>
      <c r="H168" s="6" t="s">
        <v>1223</v>
      </c>
      <c r="I168" s="6" t="s">
        <v>1224</v>
      </c>
      <c r="J168" s="6" t="s">
        <v>623</v>
      </c>
      <c r="K168" s="6" t="s">
        <v>1225</v>
      </c>
      <c r="L168" s="6" t="s">
        <v>627</v>
      </c>
      <c r="M168" s="6" t="s">
        <v>628</v>
      </c>
      <c r="N168" s="6" t="s">
        <v>16</v>
      </c>
      <c r="O168" s="6" t="s">
        <v>75</v>
      </c>
      <c r="P168" s="6"/>
      <c r="Q168" s="6" t="s">
        <v>1219</v>
      </c>
      <c r="R168" s="6" t="n">
        <f aca="false">VALUE(LEFT(Q168,4))</f>
        <v>1996</v>
      </c>
      <c r="S168" s="6" t="n">
        <f aca="false">VALUE(MID(Q168,6,2))</f>
        <v>1</v>
      </c>
      <c r="T168" s="6" t="n">
        <f aca="false">VALUE(RIGHT(Q168,2))</f>
        <v>19</v>
      </c>
      <c r="U168" s="6" t="s">
        <v>125</v>
      </c>
      <c r="V168" s="6" t="s">
        <v>126</v>
      </c>
    </row>
    <row r="169" customFormat="false" ht="23.85" hidden="false" customHeight="false" outlineLevel="0" collapsed="false">
      <c r="A169" s="6" t="n">
        <v>168</v>
      </c>
      <c r="B169" s="6" t="s">
        <v>1226</v>
      </c>
      <c r="C169" s="6" t="s">
        <v>1227</v>
      </c>
      <c r="D169" s="6" t="n">
        <f aca="false">VALUE(LEFT(B169,4))</f>
        <v>1996</v>
      </c>
      <c r="E169" s="6" t="n">
        <f aca="false">INT((D169-1)/100)+1</f>
        <v>20</v>
      </c>
      <c r="F169" s="6" t="s">
        <v>97</v>
      </c>
      <c r="G169" s="6" t="s">
        <v>1228</v>
      </c>
      <c r="H169" s="6" t="s">
        <v>1229</v>
      </c>
      <c r="I169" s="6" t="s">
        <v>1230</v>
      </c>
      <c r="J169" s="6" t="s">
        <v>719</v>
      </c>
      <c r="K169" s="6" t="s">
        <v>1231</v>
      </c>
      <c r="L169" s="6" t="s">
        <v>627</v>
      </c>
      <c r="M169" s="6" t="s">
        <v>628</v>
      </c>
      <c r="N169" s="6" t="s">
        <v>16</v>
      </c>
      <c r="O169" s="6" t="s">
        <v>75</v>
      </c>
      <c r="P169" s="6" t="s">
        <v>1232</v>
      </c>
      <c r="Q169" s="6" t="s">
        <v>1226</v>
      </c>
      <c r="R169" s="6" t="n">
        <f aca="false">VALUE(LEFT(Q169,4))</f>
        <v>1996</v>
      </c>
      <c r="S169" s="6" t="n">
        <f aca="false">VALUE(MID(Q169,6,2))</f>
        <v>7</v>
      </c>
      <c r="T169" s="6" t="n">
        <f aca="false">VALUE(RIGHT(Q169,2))</f>
        <v>12</v>
      </c>
      <c r="U169" s="6" t="s">
        <v>125</v>
      </c>
      <c r="V169" s="6" t="s">
        <v>126</v>
      </c>
    </row>
    <row r="170" customFormat="false" ht="23.85" hidden="false" customHeight="false" outlineLevel="0" collapsed="false">
      <c r="A170" s="6" t="n">
        <v>169</v>
      </c>
      <c r="B170" s="6" t="s">
        <v>1233</v>
      </c>
      <c r="C170" s="6" t="s">
        <v>1234</v>
      </c>
      <c r="D170" s="6" t="n">
        <f aca="false">VALUE(LEFT(B170,4))</f>
        <v>1998</v>
      </c>
      <c r="E170" s="6" t="n">
        <f aca="false">INT((D170-1)/100)+1</f>
        <v>20</v>
      </c>
      <c r="F170" s="6" t="s">
        <v>806</v>
      </c>
      <c r="G170" s="6" t="s">
        <v>1235</v>
      </c>
      <c r="H170" s="6" t="s">
        <v>504</v>
      </c>
      <c r="I170" s="6" t="s">
        <v>1236</v>
      </c>
      <c r="J170" s="6" t="s">
        <v>719</v>
      </c>
      <c r="K170" s="6" t="s">
        <v>1237</v>
      </c>
      <c r="L170" s="6" t="s">
        <v>627</v>
      </c>
      <c r="M170" s="6" t="s">
        <v>628</v>
      </c>
      <c r="N170" s="6" t="s">
        <v>16</v>
      </c>
      <c r="O170" s="6" t="s">
        <v>75</v>
      </c>
      <c r="P170" s="6"/>
      <c r="Q170" s="6" t="s">
        <v>1233</v>
      </c>
      <c r="R170" s="6" t="n">
        <f aca="false">VALUE(LEFT(Q170,4))</f>
        <v>1998</v>
      </c>
      <c r="S170" s="6" t="n">
        <f aca="false">VALUE(MID(Q170,6,2))</f>
        <v>1</v>
      </c>
      <c r="T170" s="6" t="n">
        <f aca="false">VALUE(RIGHT(Q170,2))</f>
        <v>5</v>
      </c>
      <c r="U170" s="6" t="s">
        <v>125</v>
      </c>
      <c r="V170" s="6" t="s">
        <v>126</v>
      </c>
    </row>
    <row r="171" customFormat="false" ht="23.85" hidden="false" customHeight="false" outlineLevel="0" collapsed="false">
      <c r="A171" s="6" t="n">
        <v>170</v>
      </c>
      <c r="B171" s="6" t="s">
        <v>1238</v>
      </c>
      <c r="C171" s="6" t="s">
        <v>1238</v>
      </c>
      <c r="D171" s="6" t="n">
        <f aca="false">VALUE(LEFT(B171,4))</f>
        <v>1998</v>
      </c>
      <c r="E171" s="6" t="n">
        <f aca="false">INT((D171-1)/100)+1</f>
        <v>20</v>
      </c>
      <c r="F171" s="6" t="s">
        <v>1239</v>
      </c>
      <c r="G171" s="6" t="s">
        <v>1240</v>
      </c>
      <c r="H171" s="6" t="s">
        <v>634</v>
      </c>
      <c r="I171" s="6" t="s">
        <v>1241</v>
      </c>
      <c r="J171" s="6" t="s">
        <v>955</v>
      </c>
      <c r="K171" s="6" t="s">
        <v>1242</v>
      </c>
      <c r="L171" s="6" t="s">
        <v>956</v>
      </c>
      <c r="M171" s="6" t="s">
        <v>957</v>
      </c>
      <c r="N171" s="6" t="s">
        <v>16</v>
      </c>
      <c r="O171" s="6" t="s">
        <v>75</v>
      </c>
      <c r="P171" s="6"/>
      <c r="Q171" s="6" t="s">
        <v>1238</v>
      </c>
      <c r="R171" s="6" t="n">
        <f aca="false">VALUE(LEFT(Q171,4))</f>
        <v>1998</v>
      </c>
      <c r="S171" s="6" t="n">
        <f aca="false">VALUE(MID(Q171,6,2))</f>
        <v>1</v>
      </c>
      <c r="T171" s="6" t="n">
        <f aca="false">VALUE(RIGHT(Q171,2))</f>
        <v>9</v>
      </c>
      <c r="U171" s="6" t="s">
        <v>77</v>
      </c>
      <c r="V171" s="6" t="s">
        <v>78</v>
      </c>
    </row>
    <row r="172" customFormat="false" ht="23.85" hidden="false" customHeight="false" outlineLevel="0" collapsed="false">
      <c r="A172" s="6" t="n">
        <v>171</v>
      </c>
      <c r="B172" s="6" t="s">
        <v>1243</v>
      </c>
      <c r="C172" s="6" t="s">
        <v>1243</v>
      </c>
      <c r="D172" s="6" t="n">
        <f aca="false">VALUE(LEFT(B172,4))</f>
        <v>1998</v>
      </c>
      <c r="E172" s="6" t="n">
        <f aca="false">INT((D172-1)/100)+1</f>
        <v>20</v>
      </c>
      <c r="F172" s="6" t="s">
        <v>1244</v>
      </c>
      <c r="G172" s="6" t="s">
        <v>1245</v>
      </c>
      <c r="H172" s="6" t="s">
        <v>1246</v>
      </c>
      <c r="I172" s="6" t="s">
        <v>1247</v>
      </c>
      <c r="J172" s="6" t="s">
        <v>963</v>
      </c>
      <c r="K172" s="6" t="s">
        <v>1248</v>
      </c>
      <c r="L172" s="6" t="s">
        <v>965</v>
      </c>
      <c r="M172" s="6" t="s">
        <v>966</v>
      </c>
      <c r="N172" s="6" t="s">
        <v>16</v>
      </c>
      <c r="O172" s="6" t="s">
        <v>75</v>
      </c>
      <c r="P172" s="6"/>
      <c r="Q172" s="6" t="s">
        <v>1243</v>
      </c>
      <c r="R172" s="6" t="n">
        <f aca="false">VALUE(LEFT(Q172,4))</f>
        <v>1998</v>
      </c>
      <c r="S172" s="6" t="n">
        <f aca="false">VALUE(MID(Q172,6,2))</f>
        <v>5</v>
      </c>
      <c r="T172" s="6" t="n">
        <f aca="false">VALUE(RIGHT(Q172,2))</f>
        <v>31</v>
      </c>
      <c r="U172" s="6" t="s">
        <v>77</v>
      </c>
      <c r="V172" s="6" t="s">
        <v>78</v>
      </c>
    </row>
    <row r="173" customFormat="false" ht="23.85" hidden="false" customHeight="false" outlineLevel="0" collapsed="false">
      <c r="A173" s="6" t="n">
        <v>172</v>
      </c>
      <c r="B173" s="6" t="s">
        <v>1249</v>
      </c>
      <c r="C173" s="6" t="s">
        <v>1250</v>
      </c>
      <c r="D173" s="6" t="n">
        <f aca="false">VALUE(LEFT(B173,4))</f>
        <v>1999</v>
      </c>
      <c r="E173" s="6" t="n">
        <f aca="false">INT((D173-1)/100)+1</f>
        <v>20</v>
      </c>
      <c r="F173" s="6" t="s">
        <v>1166</v>
      </c>
      <c r="G173" s="6" t="s">
        <v>1251</v>
      </c>
      <c r="H173" s="6" t="s">
        <v>942</v>
      </c>
      <c r="I173" s="6"/>
      <c r="J173" s="6" t="s">
        <v>719</v>
      </c>
      <c r="K173" s="6" t="s">
        <v>1252</v>
      </c>
      <c r="L173" s="6" t="s">
        <v>569</v>
      </c>
      <c r="M173" s="6"/>
      <c r="N173" s="6" t="s">
        <v>20</v>
      </c>
      <c r="O173" s="6" t="s">
        <v>94</v>
      </c>
      <c r="P173" s="6"/>
      <c r="Q173" s="6" t="s">
        <v>1253</v>
      </c>
      <c r="R173" s="6" t="n">
        <f aca="false">VALUE(LEFT(Q173,4))</f>
        <v>1999</v>
      </c>
      <c r="S173" s="6" t="n">
        <f aca="false">VALUE(MID(Q173,6,2))</f>
        <v>7</v>
      </c>
      <c r="T173" s="6" t="n">
        <f aca="false">VALUE(RIGHT(Q173,2))</f>
        <v>6</v>
      </c>
      <c r="U173" s="6" t="s">
        <v>114</v>
      </c>
      <c r="V173" s="6" t="s">
        <v>1254</v>
      </c>
    </row>
    <row r="174" customFormat="false" ht="23.85" hidden="false" customHeight="false" outlineLevel="0" collapsed="false">
      <c r="A174" s="6" t="n">
        <v>173</v>
      </c>
      <c r="B174" s="6" t="s">
        <v>1255</v>
      </c>
      <c r="C174" s="6" t="s">
        <v>1256</v>
      </c>
      <c r="D174" s="6" t="n">
        <f aca="false">VALUE(LEFT(B174,4))</f>
        <v>1999</v>
      </c>
      <c r="E174" s="6" t="n">
        <f aca="false">INT((D174-1)/100)+1</f>
        <v>20</v>
      </c>
      <c r="F174" s="6" t="s">
        <v>97</v>
      </c>
      <c r="G174" s="6" t="s">
        <v>1257</v>
      </c>
      <c r="H174" s="6" t="s">
        <v>942</v>
      </c>
      <c r="I174" s="6" t="s">
        <v>1258</v>
      </c>
      <c r="J174" s="6" t="s">
        <v>310</v>
      </c>
      <c r="K174" s="6" t="s">
        <v>1259</v>
      </c>
      <c r="L174" s="6" t="s">
        <v>627</v>
      </c>
      <c r="M174" s="6" t="s">
        <v>628</v>
      </c>
      <c r="N174" s="6" t="s">
        <v>16</v>
      </c>
      <c r="O174" s="6" t="s">
        <v>75</v>
      </c>
      <c r="P174" s="6" t="s">
        <v>1260</v>
      </c>
      <c r="Q174" s="6" t="s">
        <v>1255</v>
      </c>
      <c r="R174" s="6" t="n">
        <f aca="false">VALUE(LEFT(Q174,4))</f>
        <v>1999</v>
      </c>
      <c r="S174" s="6" t="n">
        <f aca="false">VALUE(MID(Q174,6,2))</f>
        <v>9</v>
      </c>
      <c r="T174" s="6" t="n">
        <f aca="false">VALUE(RIGHT(Q174,2))</f>
        <v>16</v>
      </c>
      <c r="U174" s="6" t="s">
        <v>125</v>
      </c>
      <c r="V174" s="6" t="s">
        <v>126</v>
      </c>
    </row>
    <row r="175" customFormat="false" ht="23.85" hidden="false" customHeight="false" outlineLevel="0" collapsed="false">
      <c r="A175" s="6" t="n">
        <v>174</v>
      </c>
      <c r="B175" s="6" t="s">
        <v>1261</v>
      </c>
      <c r="C175" s="6" t="s">
        <v>1261</v>
      </c>
      <c r="D175" s="6" t="n">
        <f aca="false">VALUE(LEFT(B175,4))</f>
        <v>2002</v>
      </c>
      <c r="E175" s="6" t="n">
        <f aca="false">INT((D175-1)/100)+1</f>
        <v>21</v>
      </c>
      <c r="F175" s="6" t="s">
        <v>886</v>
      </c>
      <c r="G175" s="6" t="s">
        <v>1262</v>
      </c>
      <c r="H175" s="6" t="s">
        <v>1263</v>
      </c>
      <c r="I175" s="6" t="s">
        <v>1264</v>
      </c>
      <c r="J175" s="6" t="s">
        <v>310</v>
      </c>
      <c r="K175" s="6" t="s">
        <v>1265</v>
      </c>
      <c r="L175" s="6" t="s">
        <v>627</v>
      </c>
      <c r="M175" s="6" t="s">
        <v>628</v>
      </c>
      <c r="N175" s="6" t="s">
        <v>16</v>
      </c>
      <c r="O175" s="6" t="s">
        <v>75</v>
      </c>
      <c r="P175" s="6"/>
      <c r="Q175" s="6" t="s">
        <v>1261</v>
      </c>
      <c r="R175" s="6" t="n">
        <f aca="false">VALUE(LEFT(Q175,4))</f>
        <v>2002</v>
      </c>
      <c r="S175" s="6" t="n">
        <f aca="false">VALUE(MID(Q175,6,2))</f>
        <v>5</v>
      </c>
      <c r="T175" s="6" t="n">
        <f aca="false">VALUE(RIGHT(Q175,2))</f>
        <v>18</v>
      </c>
      <c r="U175" s="6" t="s">
        <v>77</v>
      </c>
      <c r="V175" s="6" t="s">
        <v>78</v>
      </c>
    </row>
    <row r="176" customFormat="false" ht="23.85" hidden="false" customHeight="false" outlineLevel="0" collapsed="false">
      <c r="A176" s="6" t="n">
        <v>175</v>
      </c>
      <c r="B176" s="6" t="s">
        <v>1266</v>
      </c>
      <c r="C176" s="6" t="s">
        <v>1267</v>
      </c>
      <c r="D176" s="6" t="n">
        <f aca="false">VALUE(LEFT(B176,4))</f>
        <v>2002</v>
      </c>
      <c r="E176" s="6" t="n">
        <f aca="false">INT((D176-1)/100)+1</f>
        <v>21</v>
      </c>
      <c r="F176" s="6" t="s">
        <v>1268</v>
      </c>
      <c r="G176" s="6" t="s">
        <v>1269</v>
      </c>
      <c r="H176" s="6" t="s">
        <v>942</v>
      </c>
      <c r="I176" s="6" t="s">
        <v>1270</v>
      </c>
      <c r="J176" s="6" t="s">
        <v>310</v>
      </c>
      <c r="K176" s="6" t="s">
        <v>1271</v>
      </c>
      <c r="L176" s="6" t="s">
        <v>627</v>
      </c>
      <c r="M176" s="6" t="s">
        <v>628</v>
      </c>
      <c r="N176" s="6" t="s">
        <v>16</v>
      </c>
      <c r="O176" s="6" t="s">
        <v>75</v>
      </c>
      <c r="P176" s="6"/>
      <c r="Q176" s="6" t="s">
        <v>1266</v>
      </c>
      <c r="R176" s="6" t="n">
        <f aca="false">VALUE(LEFT(Q176,4))</f>
        <v>2002</v>
      </c>
      <c r="S176" s="6" t="n">
        <f aca="false">VALUE(MID(Q176,6,2))</f>
        <v>12</v>
      </c>
      <c r="T176" s="6" t="n">
        <f aca="false">VALUE(RIGHT(Q176,2))</f>
        <v>25</v>
      </c>
      <c r="U176" s="6" t="s">
        <v>125</v>
      </c>
      <c r="V176" s="6" t="s">
        <v>126</v>
      </c>
    </row>
    <row r="177" customFormat="false" ht="23.85" hidden="false" customHeight="false" outlineLevel="0" collapsed="false">
      <c r="A177" s="6" t="n">
        <v>176</v>
      </c>
      <c r="B177" s="6" t="s">
        <v>1272</v>
      </c>
      <c r="C177" s="6" t="s">
        <v>1272</v>
      </c>
      <c r="D177" s="6" t="n">
        <f aca="false">VALUE(LEFT(B177,4))</f>
        <v>2003</v>
      </c>
      <c r="E177" s="6" t="n">
        <f aca="false">INT((D177-1)/100)+1</f>
        <v>21</v>
      </c>
      <c r="F177" s="6" t="s">
        <v>159</v>
      </c>
      <c r="G177" s="6" t="s">
        <v>1273</v>
      </c>
      <c r="H177" s="6" t="s">
        <v>942</v>
      </c>
      <c r="I177" s="6" t="s">
        <v>1274</v>
      </c>
      <c r="J177" s="6" t="s">
        <v>719</v>
      </c>
      <c r="K177" s="6" t="s">
        <v>1275</v>
      </c>
      <c r="L177" s="6" t="s">
        <v>627</v>
      </c>
      <c r="M177" s="6" t="s">
        <v>628</v>
      </c>
      <c r="N177" s="6" t="s">
        <v>16</v>
      </c>
      <c r="O177" s="6" t="s">
        <v>75</v>
      </c>
      <c r="P177" s="6"/>
      <c r="Q177" s="6" t="s">
        <v>1272</v>
      </c>
      <c r="R177" s="6" t="n">
        <f aca="false">VALUE(LEFT(Q177,4))</f>
        <v>2003</v>
      </c>
      <c r="S177" s="6" t="n">
        <f aca="false">VALUE(MID(Q177,6,2))</f>
        <v>2</v>
      </c>
      <c r="T177" s="6" t="n">
        <f aca="false">VALUE(RIGHT(Q177,2))</f>
        <v>17</v>
      </c>
      <c r="U177" s="6" t="s">
        <v>77</v>
      </c>
      <c r="V177" s="6" t="s">
        <v>78</v>
      </c>
    </row>
    <row r="178" customFormat="false" ht="23.85" hidden="false" customHeight="false" outlineLevel="0" collapsed="false">
      <c r="A178" s="6" t="n">
        <v>177</v>
      </c>
      <c r="B178" s="6" t="s">
        <v>1276</v>
      </c>
      <c r="C178" s="6" t="s">
        <v>1277</v>
      </c>
      <c r="D178" s="6" t="n">
        <f aca="false">VALUE(LEFT(B178,4))</f>
        <v>2003</v>
      </c>
      <c r="E178" s="6" t="n">
        <f aca="false">INT((D178-1)/100)+1</f>
        <v>21</v>
      </c>
      <c r="F178" s="6" t="s">
        <v>1278</v>
      </c>
      <c r="G178" s="6" t="s">
        <v>1279</v>
      </c>
      <c r="H178" s="6" t="s">
        <v>1280</v>
      </c>
      <c r="I178" s="6" t="s">
        <v>1281</v>
      </c>
      <c r="J178" s="6" t="s">
        <v>719</v>
      </c>
      <c r="K178" s="6" t="s">
        <v>1282</v>
      </c>
      <c r="L178" s="6" t="s">
        <v>627</v>
      </c>
      <c r="M178" s="6" t="s">
        <v>628</v>
      </c>
      <c r="N178" s="6" t="s">
        <v>16</v>
      </c>
      <c r="O178" s="6" t="s">
        <v>75</v>
      </c>
      <c r="P178" s="6"/>
      <c r="Q178" s="6" t="s">
        <v>1276</v>
      </c>
      <c r="R178" s="6" t="n">
        <f aca="false">VALUE(LEFT(Q178,4))</f>
        <v>2003</v>
      </c>
      <c r="S178" s="6" t="n">
        <f aca="false">VALUE(MID(Q178,6,2))</f>
        <v>4</v>
      </c>
      <c r="T178" s="6" t="n">
        <f aca="false">VALUE(RIGHT(Q178,2))</f>
        <v>3</v>
      </c>
      <c r="U178" s="6" t="s">
        <v>125</v>
      </c>
      <c r="V178" s="6" t="s">
        <v>126</v>
      </c>
    </row>
    <row r="179" customFormat="false" ht="23.85" hidden="false" customHeight="false" outlineLevel="0" collapsed="false">
      <c r="A179" s="6" t="n">
        <v>178</v>
      </c>
      <c r="B179" s="6" t="s">
        <v>1283</v>
      </c>
      <c r="C179" s="6" t="s">
        <v>1283</v>
      </c>
      <c r="D179" s="6" t="n">
        <f aca="false">VALUE(LEFT(B179,4))</f>
        <v>2003</v>
      </c>
      <c r="E179" s="6" t="n">
        <f aca="false">INT((D179-1)/100)+1</f>
        <v>21</v>
      </c>
      <c r="F179" s="6" t="s">
        <v>1172</v>
      </c>
      <c r="G179" s="6" t="s">
        <v>1284</v>
      </c>
      <c r="H179" s="6" t="s">
        <v>1285</v>
      </c>
      <c r="I179" s="6" t="s">
        <v>1286</v>
      </c>
      <c r="J179" s="6" t="s">
        <v>963</v>
      </c>
      <c r="K179" s="6" t="s">
        <v>964</v>
      </c>
      <c r="L179" s="6" t="s">
        <v>965</v>
      </c>
      <c r="M179" s="6" t="s">
        <v>966</v>
      </c>
      <c r="N179" s="6" t="s">
        <v>16</v>
      </c>
      <c r="O179" s="6" t="s">
        <v>75</v>
      </c>
      <c r="P179" s="6"/>
      <c r="Q179" s="6" t="s">
        <v>1283</v>
      </c>
      <c r="R179" s="6" t="n">
        <f aca="false">VALUE(LEFT(Q179,4))</f>
        <v>2003</v>
      </c>
      <c r="S179" s="6" t="n">
        <f aca="false">VALUE(MID(Q179,6,2))</f>
        <v>7</v>
      </c>
      <c r="T179" s="6" t="n">
        <f aca="false">VALUE(RIGHT(Q179,2))</f>
        <v>21</v>
      </c>
      <c r="U179" s="6" t="s">
        <v>77</v>
      </c>
      <c r="V179" s="6" t="s">
        <v>78</v>
      </c>
    </row>
    <row r="180" customFormat="false" ht="23.85" hidden="false" customHeight="false" outlineLevel="0" collapsed="false">
      <c r="A180" s="6" t="n">
        <v>179</v>
      </c>
      <c r="B180" s="6" t="s">
        <v>1287</v>
      </c>
      <c r="C180" s="6" t="s">
        <v>1288</v>
      </c>
      <c r="D180" s="6" t="n">
        <f aca="false">VALUE(LEFT(B180,4))</f>
        <v>2003</v>
      </c>
      <c r="E180" s="6" t="n">
        <f aca="false">INT((D180-1)/100)+1</f>
        <v>21</v>
      </c>
      <c r="F180" s="6" t="s">
        <v>139</v>
      </c>
      <c r="G180" s="6" t="s">
        <v>1289</v>
      </c>
      <c r="H180" s="6" t="s">
        <v>1290</v>
      </c>
      <c r="I180" s="6" t="s">
        <v>1291</v>
      </c>
      <c r="J180" s="6" t="s">
        <v>1146</v>
      </c>
      <c r="K180" s="6" t="s">
        <v>1292</v>
      </c>
      <c r="L180" s="6" t="s">
        <v>627</v>
      </c>
      <c r="M180" s="6" t="s">
        <v>628</v>
      </c>
      <c r="N180" s="6" t="s">
        <v>16</v>
      </c>
      <c r="O180" s="6" t="s">
        <v>75</v>
      </c>
      <c r="P180" s="6"/>
      <c r="Q180" s="6" t="s">
        <v>1287</v>
      </c>
      <c r="R180" s="6" t="n">
        <f aca="false">VALUE(LEFT(Q180,4))</f>
        <v>2003</v>
      </c>
      <c r="S180" s="6" t="n">
        <f aca="false">VALUE(MID(Q180,6,2))</f>
        <v>12</v>
      </c>
      <c r="T180" s="6" t="n">
        <f aca="false">VALUE(RIGHT(Q180,2))</f>
        <v>6</v>
      </c>
      <c r="U180" s="6" t="s">
        <v>125</v>
      </c>
      <c r="V180" s="6" t="s">
        <v>126</v>
      </c>
    </row>
    <row r="181" customFormat="false" ht="23.85" hidden="false" customHeight="false" outlineLevel="0" collapsed="false">
      <c r="A181" s="6" t="n">
        <v>180</v>
      </c>
      <c r="B181" s="6" t="s">
        <v>1293</v>
      </c>
      <c r="C181" s="6" t="s">
        <v>1294</v>
      </c>
      <c r="D181" s="6" t="n">
        <f aca="false">VALUE(LEFT(B181,4))</f>
        <v>2004</v>
      </c>
      <c r="E181" s="6" t="n">
        <f aca="false">INT((D181-1)/100)+1</f>
        <v>21</v>
      </c>
      <c r="F181" s="6" t="s">
        <v>553</v>
      </c>
      <c r="G181" s="6" t="s">
        <v>1295</v>
      </c>
      <c r="H181" s="6" t="s">
        <v>1296</v>
      </c>
      <c r="I181" s="6" t="s">
        <v>1297</v>
      </c>
      <c r="J181" s="6" t="s">
        <v>332</v>
      </c>
      <c r="K181" s="6" t="s">
        <v>1298</v>
      </c>
      <c r="L181" s="6" t="s">
        <v>989</v>
      </c>
      <c r="M181" s="6" t="s">
        <v>990</v>
      </c>
      <c r="N181" s="6" t="s">
        <v>18</v>
      </c>
      <c r="O181" s="6" t="s">
        <v>75</v>
      </c>
      <c r="P181" s="6" t="s">
        <v>1299</v>
      </c>
      <c r="Q181" s="6" t="s">
        <v>1300</v>
      </c>
      <c r="R181" s="6" t="n">
        <f aca="false">VALUE(LEFT(Q181,4))</f>
        <v>2004</v>
      </c>
      <c r="S181" s="6" t="n">
        <f aca="false">VALUE(MID(Q181,6,2))</f>
        <v>2</v>
      </c>
      <c r="T181" s="6" t="n">
        <f aca="false">VALUE(RIGHT(Q181,2))</f>
        <v>14</v>
      </c>
      <c r="U181" s="6" t="s">
        <v>317</v>
      </c>
      <c r="V181" s="6" t="s">
        <v>318</v>
      </c>
    </row>
    <row r="182" customFormat="false" ht="23.85" hidden="false" customHeight="false" outlineLevel="0" collapsed="false">
      <c r="A182" s="6" t="n">
        <v>181</v>
      </c>
      <c r="B182" s="6" t="s">
        <v>1301</v>
      </c>
      <c r="C182" s="6" t="s">
        <v>1302</v>
      </c>
      <c r="D182" s="6" t="n">
        <f aca="false">VALUE(LEFT(B182,4))</f>
        <v>2004</v>
      </c>
      <c r="E182" s="6" t="n">
        <f aca="false">INT((D182-1)/100)+1</f>
        <v>21</v>
      </c>
      <c r="F182" s="6" t="s">
        <v>97</v>
      </c>
      <c r="G182" s="6" t="s">
        <v>1303</v>
      </c>
      <c r="H182" s="6" t="s">
        <v>942</v>
      </c>
      <c r="I182" s="6" t="s">
        <v>1304</v>
      </c>
      <c r="J182" s="6" t="s">
        <v>719</v>
      </c>
      <c r="K182" s="6"/>
      <c r="L182" s="6" t="s">
        <v>627</v>
      </c>
      <c r="M182" s="6" t="s">
        <v>628</v>
      </c>
      <c r="N182" s="6" t="s">
        <v>16</v>
      </c>
      <c r="O182" s="6" t="s">
        <v>75</v>
      </c>
      <c r="P182" s="6"/>
      <c r="Q182" s="6" t="s">
        <v>1301</v>
      </c>
      <c r="R182" s="6" t="n">
        <f aca="false">VALUE(LEFT(Q182,4))</f>
        <v>2004</v>
      </c>
      <c r="S182" s="6" t="n">
        <f aca="false">VALUE(MID(Q182,6,2))</f>
        <v>9</v>
      </c>
      <c r="T182" s="6" t="n">
        <f aca="false">VALUE(RIGHT(Q182,2))</f>
        <v>17</v>
      </c>
      <c r="U182" s="6" t="s">
        <v>125</v>
      </c>
      <c r="V182" s="6" t="s">
        <v>126</v>
      </c>
    </row>
    <row r="183" customFormat="false" ht="23.85" hidden="false" customHeight="false" outlineLevel="0" collapsed="false">
      <c r="A183" s="6" t="n">
        <v>182</v>
      </c>
      <c r="B183" s="6" t="s">
        <v>1305</v>
      </c>
      <c r="C183" s="6" t="s">
        <v>1306</v>
      </c>
      <c r="D183" s="6" t="n">
        <f aca="false">VALUE(LEFT(B183,4))</f>
        <v>2005</v>
      </c>
      <c r="E183" s="6" t="n">
        <f aca="false">INT((D183-1)/100)+1</f>
        <v>21</v>
      </c>
      <c r="F183" s="6" t="s">
        <v>1221</v>
      </c>
      <c r="G183" s="6" t="s">
        <v>1307</v>
      </c>
      <c r="H183" s="6" t="s">
        <v>942</v>
      </c>
      <c r="I183" s="6"/>
      <c r="J183" s="6" t="s">
        <v>719</v>
      </c>
      <c r="K183" s="6" t="s">
        <v>1308</v>
      </c>
      <c r="L183" s="6" t="s">
        <v>627</v>
      </c>
      <c r="M183" s="6" t="s">
        <v>628</v>
      </c>
      <c r="N183" s="6" t="s">
        <v>18</v>
      </c>
      <c r="O183" s="6" t="s">
        <v>75</v>
      </c>
      <c r="P183" s="6"/>
      <c r="Q183" s="6" t="s">
        <v>1305</v>
      </c>
      <c r="R183" s="6" t="n">
        <f aca="false">VALUE(LEFT(Q183,4))</f>
        <v>2005</v>
      </c>
      <c r="S183" s="6" t="n">
        <f aca="false">VALUE(MID(Q183,6,2))</f>
        <v>1</v>
      </c>
      <c r="T183" s="6" t="n">
        <f aca="false">VALUE(RIGHT(Q183,2))</f>
        <v>13</v>
      </c>
      <c r="U183" s="6" t="s">
        <v>125</v>
      </c>
      <c r="V183" s="6" t="s">
        <v>126</v>
      </c>
    </row>
    <row r="184" customFormat="false" ht="23.85" hidden="false" customHeight="false" outlineLevel="0" collapsed="false">
      <c r="A184" s="6" t="n">
        <v>183</v>
      </c>
      <c r="B184" s="6" t="s">
        <v>1309</v>
      </c>
      <c r="C184" s="6" t="s">
        <v>1310</v>
      </c>
      <c r="D184" s="6" t="n">
        <f aca="false">VALUE(LEFT(B184,4))</f>
        <v>2005</v>
      </c>
      <c r="E184" s="6" t="n">
        <f aca="false">INT((D184-1)/100)+1</f>
        <v>21</v>
      </c>
      <c r="F184" s="6" t="s">
        <v>129</v>
      </c>
      <c r="G184" s="6" t="s">
        <v>1311</v>
      </c>
      <c r="H184" s="6" t="s">
        <v>1312</v>
      </c>
      <c r="I184" s="6" t="s">
        <v>1313</v>
      </c>
      <c r="J184" s="6" t="s">
        <v>1314</v>
      </c>
      <c r="K184" s="6" t="s">
        <v>1315</v>
      </c>
      <c r="L184" s="6" t="s">
        <v>627</v>
      </c>
      <c r="M184" s="6" t="s">
        <v>628</v>
      </c>
      <c r="N184" s="6" t="s">
        <v>16</v>
      </c>
      <c r="O184" s="6" t="s">
        <v>75</v>
      </c>
      <c r="P184" s="6"/>
      <c r="Q184" s="6" t="s">
        <v>1309</v>
      </c>
      <c r="R184" s="6" t="n">
        <f aca="false">VALUE(LEFT(Q184,4))</f>
        <v>2005</v>
      </c>
      <c r="S184" s="6" t="n">
        <f aca="false">VALUE(MID(Q184,6,2))</f>
        <v>4</v>
      </c>
      <c r="T184" s="6" t="n">
        <f aca="false">VALUE(RIGHT(Q184,2))</f>
        <v>2</v>
      </c>
      <c r="U184" s="6" t="s">
        <v>125</v>
      </c>
      <c r="V184" s="6" t="s">
        <v>126</v>
      </c>
    </row>
    <row r="185" customFormat="false" ht="23.85" hidden="false" customHeight="false" outlineLevel="0" collapsed="false">
      <c r="A185" s="6" t="n">
        <v>184</v>
      </c>
      <c r="B185" s="6" t="s">
        <v>1316</v>
      </c>
      <c r="C185" s="6" t="s">
        <v>1317</v>
      </c>
      <c r="D185" s="6" t="n">
        <f aca="false">VALUE(LEFT(B185,4))</f>
        <v>2005</v>
      </c>
      <c r="E185" s="6" t="n">
        <f aca="false">INT((D185-1)/100)+1</f>
        <v>21</v>
      </c>
      <c r="F185" s="6" t="s">
        <v>129</v>
      </c>
      <c r="G185" s="6" t="s">
        <v>1318</v>
      </c>
      <c r="H185" s="6" t="s">
        <v>1319</v>
      </c>
      <c r="I185" s="6" t="s">
        <v>1320</v>
      </c>
      <c r="J185" s="6" t="s">
        <v>719</v>
      </c>
      <c r="K185" s="6" t="s">
        <v>1321</v>
      </c>
      <c r="L185" s="6" t="s">
        <v>627</v>
      </c>
      <c r="M185" s="6" t="s">
        <v>628</v>
      </c>
      <c r="N185" s="6" t="s">
        <v>16</v>
      </c>
      <c r="O185" s="6" t="s">
        <v>75</v>
      </c>
      <c r="P185" s="6"/>
      <c r="Q185" s="6" t="s">
        <v>1316</v>
      </c>
      <c r="R185" s="6" t="n">
        <f aca="false">VALUE(LEFT(Q185,4))</f>
        <v>2005</v>
      </c>
      <c r="S185" s="6" t="n">
        <f aca="false">VALUE(MID(Q185,6,2))</f>
        <v>10</v>
      </c>
      <c r="T185" s="6" t="n">
        <f aca="false">VALUE(RIGHT(Q185,2))</f>
        <v>7</v>
      </c>
      <c r="U185" s="6" t="s">
        <v>125</v>
      </c>
      <c r="V185" s="6" t="s">
        <v>126</v>
      </c>
    </row>
    <row r="186" customFormat="false" ht="23.85" hidden="false" customHeight="false" outlineLevel="0" collapsed="false">
      <c r="A186" s="6" t="n">
        <v>185</v>
      </c>
      <c r="B186" s="6" t="s">
        <v>1322</v>
      </c>
      <c r="C186" s="6" t="s">
        <v>1323</v>
      </c>
      <c r="D186" s="6" t="n">
        <f aca="false">VALUE(LEFT(B186,4))</f>
        <v>2006</v>
      </c>
      <c r="E186" s="6" t="n">
        <f aca="false">INT((D186-1)/100)+1</f>
        <v>21</v>
      </c>
      <c r="F186" s="6" t="s">
        <v>580</v>
      </c>
      <c r="G186" s="6" t="s">
        <v>1324</v>
      </c>
      <c r="H186" s="6" t="s">
        <v>1325</v>
      </c>
      <c r="I186" s="6" t="s">
        <v>1326</v>
      </c>
      <c r="J186" s="6" t="s">
        <v>332</v>
      </c>
      <c r="K186" s="6" t="s">
        <v>1327</v>
      </c>
      <c r="L186" s="6" t="s">
        <v>569</v>
      </c>
      <c r="M186" s="6" t="s">
        <v>1328</v>
      </c>
      <c r="N186" s="6" t="s">
        <v>18</v>
      </c>
      <c r="O186" s="6" t="s">
        <v>75</v>
      </c>
      <c r="P186" s="6"/>
      <c r="Q186" s="6" t="s">
        <v>1329</v>
      </c>
      <c r="R186" s="6" t="n">
        <f aca="false">VALUE(LEFT(Q186,4))</f>
        <v>2006</v>
      </c>
      <c r="S186" s="6" t="n">
        <f aca="false">VALUE(MID(Q186,6,2))</f>
        <v>7</v>
      </c>
      <c r="T186" s="6" t="n">
        <f aca="false">VALUE(RIGHT(Q186,2))</f>
        <v>16</v>
      </c>
      <c r="U186" s="6" t="s">
        <v>114</v>
      </c>
      <c r="V186" s="6" t="s">
        <v>325</v>
      </c>
    </row>
    <row r="187" customFormat="false" ht="23.85" hidden="false" customHeight="false" outlineLevel="0" collapsed="false">
      <c r="A187" s="6" t="n">
        <v>186</v>
      </c>
      <c r="B187" s="6" t="s">
        <v>1330</v>
      </c>
      <c r="C187" s="6" t="s">
        <v>1331</v>
      </c>
      <c r="D187" s="6" t="n">
        <f aca="false">VALUE(LEFT(B187,4))</f>
        <v>2006</v>
      </c>
      <c r="E187" s="6" t="n">
        <f aca="false">INT((D187-1)/100)+1</f>
        <v>21</v>
      </c>
      <c r="F187" s="6" t="s">
        <v>129</v>
      </c>
      <c r="G187" s="6" t="s">
        <v>1332</v>
      </c>
      <c r="H187" s="6" t="s">
        <v>1333</v>
      </c>
      <c r="I187" s="6" t="s">
        <v>1334</v>
      </c>
      <c r="J187" s="6" t="s">
        <v>719</v>
      </c>
      <c r="K187" s="6" t="s">
        <v>1335</v>
      </c>
      <c r="L187" s="6" t="s">
        <v>627</v>
      </c>
      <c r="M187" s="6" t="s">
        <v>628</v>
      </c>
      <c r="N187" s="6" t="s">
        <v>16</v>
      </c>
      <c r="O187" s="6" t="s">
        <v>75</v>
      </c>
      <c r="P187" s="6"/>
      <c r="Q187" s="6" t="s">
        <v>1330</v>
      </c>
      <c r="R187" s="6" t="n">
        <f aca="false">VALUE(LEFT(Q187,4))</f>
        <v>2006</v>
      </c>
      <c r="S187" s="6" t="n">
        <f aca="false">VALUE(MID(Q187,6,2))</f>
        <v>6</v>
      </c>
      <c r="T187" s="6" t="n">
        <f aca="false">VALUE(RIGHT(Q187,2))</f>
        <v>26</v>
      </c>
      <c r="U187" s="6" t="s">
        <v>125</v>
      </c>
      <c r="V187" s="6" t="s">
        <v>126</v>
      </c>
    </row>
    <row r="188" customFormat="false" ht="23.85" hidden="false" customHeight="false" outlineLevel="0" collapsed="false">
      <c r="A188" s="6" t="n">
        <v>187</v>
      </c>
      <c r="B188" s="6" t="s">
        <v>1336</v>
      </c>
      <c r="C188" s="6" t="s">
        <v>1337</v>
      </c>
      <c r="D188" s="6" t="n">
        <f aca="false">VALUE(LEFT(B188,4))</f>
        <v>2007</v>
      </c>
      <c r="E188" s="6" t="n">
        <f aca="false">INT((D188-1)/100)+1</f>
        <v>21</v>
      </c>
      <c r="F188" s="6" t="s">
        <v>806</v>
      </c>
      <c r="G188" s="6" t="s">
        <v>1338</v>
      </c>
      <c r="H188" s="6" t="s">
        <v>1339</v>
      </c>
      <c r="I188" s="6" t="s">
        <v>1340</v>
      </c>
      <c r="J188" s="6" t="s">
        <v>719</v>
      </c>
      <c r="K188" s="6"/>
      <c r="L188" s="6" t="s">
        <v>627</v>
      </c>
      <c r="M188" s="6" t="s">
        <v>628</v>
      </c>
      <c r="N188" s="6" t="s">
        <v>16</v>
      </c>
      <c r="O188" s="6" t="s">
        <v>75</v>
      </c>
      <c r="P188" s="6"/>
      <c r="Q188" s="6" t="s">
        <v>1336</v>
      </c>
      <c r="R188" s="6" t="n">
        <f aca="false">VALUE(LEFT(Q188,4))</f>
        <v>2007</v>
      </c>
      <c r="S188" s="6" t="n">
        <f aca="false">VALUE(MID(Q188,6,2))</f>
        <v>1</v>
      </c>
      <c r="T188" s="6" t="n">
        <f aca="false">VALUE(RIGHT(Q188,2))</f>
        <v>14</v>
      </c>
      <c r="U188" s="6" t="s">
        <v>125</v>
      </c>
      <c r="V188" s="6" t="s">
        <v>126</v>
      </c>
    </row>
    <row r="189" customFormat="false" ht="23.85" hidden="false" customHeight="false" outlineLevel="0" collapsed="false">
      <c r="A189" s="6" t="n">
        <v>188</v>
      </c>
      <c r="B189" s="6" t="s">
        <v>1341</v>
      </c>
      <c r="C189" s="6" t="s">
        <v>1341</v>
      </c>
      <c r="D189" s="6" t="n">
        <f aca="false">VALUE(LEFT(B189,4))</f>
        <v>2007</v>
      </c>
      <c r="E189" s="6" t="n">
        <f aca="false">INT((D189-1)/100)+1</f>
        <v>21</v>
      </c>
      <c r="F189" s="6" t="s">
        <v>159</v>
      </c>
      <c r="G189" s="6" t="s">
        <v>1342</v>
      </c>
      <c r="H189" s="6" t="s">
        <v>942</v>
      </c>
      <c r="I189" s="6" t="s">
        <v>1343</v>
      </c>
      <c r="J189" s="6" t="s">
        <v>719</v>
      </c>
      <c r="K189" s="6" t="s">
        <v>1003</v>
      </c>
      <c r="L189" s="6" t="s">
        <v>627</v>
      </c>
      <c r="M189" s="6" t="s">
        <v>628</v>
      </c>
      <c r="N189" s="6" t="s">
        <v>16</v>
      </c>
      <c r="O189" s="6" t="s">
        <v>75</v>
      </c>
      <c r="P189" s="6"/>
      <c r="Q189" s="6" t="s">
        <v>1341</v>
      </c>
      <c r="R189" s="6" t="n">
        <f aca="false">VALUE(LEFT(Q189,4))</f>
        <v>2007</v>
      </c>
      <c r="S189" s="6" t="n">
        <f aca="false">VALUE(MID(Q189,6,2))</f>
        <v>2</v>
      </c>
      <c r="T189" s="6" t="n">
        <f aca="false">VALUE(RIGHT(Q189,2))</f>
        <v>14</v>
      </c>
      <c r="U189" s="6" t="s">
        <v>77</v>
      </c>
      <c r="V189" s="6" t="s">
        <v>78</v>
      </c>
    </row>
    <row r="190" customFormat="false" ht="23.85" hidden="false" customHeight="false" outlineLevel="0" collapsed="false">
      <c r="A190" s="6" t="n">
        <v>189</v>
      </c>
      <c r="B190" s="6" t="s">
        <v>1344</v>
      </c>
      <c r="C190" s="6" t="s">
        <v>1345</v>
      </c>
      <c r="D190" s="6" t="n">
        <f aca="false">VALUE(LEFT(B190,4))</f>
        <v>2007</v>
      </c>
      <c r="E190" s="6" t="n">
        <f aca="false">INT((D190-1)/100)+1</f>
        <v>21</v>
      </c>
      <c r="F190" s="6" t="s">
        <v>1346</v>
      </c>
      <c r="G190" s="6" t="s">
        <v>1347</v>
      </c>
      <c r="H190" s="6" t="s">
        <v>1348</v>
      </c>
      <c r="I190" s="6" t="s">
        <v>1349</v>
      </c>
      <c r="J190" s="6" t="s">
        <v>719</v>
      </c>
      <c r="K190" s="6" t="s">
        <v>1350</v>
      </c>
      <c r="L190" s="6" t="s">
        <v>627</v>
      </c>
      <c r="M190" s="6" t="s">
        <v>628</v>
      </c>
      <c r="N190" s="6" t="s">
        <v>16</v>
      </c>
      <c r="O190" s="6" t="s">
        <v>75</v>
      </c>
      <c r="P190" s="6"/>
      <c r="Q190" s="6" t="s">
        <v>1344</v>
      </c>
      <c r="R190" s="6" t="n">
        <f aca="false">VALUE(LEFT(Q190,4))</f>
        <v>2007</v>
      </c>
      <c r="S190" s="6" t="n">
        <f aca="false">VALUE(MID(Q190,6,2))</f>
        <v>4</v>
      </c>
      <c r="T190" s="6" t="n">
        <f aca="false">VALUE(RIGHT(Q190,2))</f>
        <v>15</v>
      </c>
      <c r="U190" s="6" t="s">
        <v>125</v>
      </c>
      <c r="V190" s="6" t="s">
        <v>126</v>
      </c>
    </row>
    <row r="191" customFormat="false" ht="23.85" hidden="false" customHeight="false" outlineLevel="0" collapsed="false">
      <c r="A191" s="6" t="n">
        <v>190</v>
      </c>
      <c r="B191" s="6" t="s">
        <v>1351</v>
      </c>
      <c r="C191" s="6" t="s">
        <v>1352</v>
      </c>
      <c r="D191" s="6" t="n">
        <f aca="false">VALUE(LEFT(B191,4))</f>
        <v>2008</v>
      </c>
      <c r="E191" s="6" t="n">
        <f aca="false">INT((D191-1)/100)+1</f>
        <v>21</v>
      </c>
      <c r="F191" s="6" t="s">
        <v>806</v>
      </c>
      <c r="G191" s="6" t="s">
        <v>1353</v>
      </c>
      <c r="H191" s="6" t="s">
        <v>1354</v>
      </c>
      <c r="I191" s="6" t="s">
        <v>1355</v>
      </c>
      <c r="J191" s="6" t="s">
        <v>719</v>
      </c>
      <c r="K191" s="6" t="s">
        <v>1356</v>
      </c>
      <c r="L191" s="6" t="s">
        <v>627</v>
      </c>
      <c r="M191" s="6" t="s">
        <v>628</v>
      </c>
      <c r="N191" s="6" t="s">
        <v>16</v>
      </c>
      <c r="O191" s="6" t="s">
        <v>75</v>
      </c>
      <c r="P191" s="6"/>
      <c r="Q191" s="6" t="s">
        <v>1351</v>
      </c>
      <c r="R191" s="6" t="n">
        <f aca="false">VALUE(LEFT(Q191,4))</f>
        <v>2008</v>
      </c>
      <c r="S191" s="6" t="n">
        <f aca="false">VALUE(MID(Q191,6,2))</f>
        <v>12</v>
      </c>
      <c r="T191" s="6" t="n">
        <f aca="false">VALUE(RIGHT(Q191,2))</f>
        <v>11</v>
      </c>
      <c r="U191" s="6" t="s">
        <v>125</v>
      </c>
      <c r="V191" s="6" t="s">
        <v>126</v>
      </c>
    </row>
    <row r="192" customFormat="false" ht="35.05" hidden="false" customHeight="false" outlineLevel="0" collapsed="false">
      <c r="A192" s="6" t="n">
        <v>191</v>
      </c>
      <c r="B192" s="6" t="s">
        <v>1357</v>
      </c>
      <c r="C192" s="6" t="s">
        <v>1358</v>
      </c>
      <c r="D192" s="6" t="n">
        <f aca="false">VALUE(LEFT(B192,4))</f>
        <v>2010</v>
      </c>
      <c r="E192" s="6" t="n">
        <f aca="false">INT((D192-1)/100)+1</f>
        <v>21</v>
      </c>
      <c r="F192" s="6" t="s">
        <v>580</v>
      </c>
      <c r="G192" s="6" t="s">
        <v>1359</v>
      </c>
      <c r="H192" s="6" t="s">
        <v>1360</v>
      </c>
      <c r="I192" s="6" t="s">
        <v>1361</v>
      </c>
      <c r="J192" s="6" t="s">
        <v>332</v>
      </c>
      <c r="K192" s="6" t="s">
        <v>1362</v>
      </c>
      <c r="L192" s="6" t="s">
        <v>1363</v>
      </c>
      <c r="M192" s="6" t="s">
        <v>1364</v>
      </c>
      <c r="N192" s="6" t="s">
        <v>20</v>
      </c>
      <c r="O192" s="6" t="s">
        <v>75</v>
      </c>
      <c r="P192" s="6" t="s">
        <v>1365</v>
      </c>
      <c r="Q192" s="6" t="s">
        <v>1366</v>
      </c>
      <c r="R192" s="6" t="n">
        <f aca="false">VALUE(LEFT(Q192,4))</f>
        <v>2018</v>
      </c>
      <c r="S192" s="6" t="n">
        <f aca="false">VALUE(MID(Q192,6,2))</f>
        <v>2</v>
      </c>
      <c r="T192" s="6" t="n">
        <f aca="false">VALUE(RIGHT(Q192,2))</f>
        <v>22</v>
      </c>
      <c r="U192" s="6" t="s">
        <v>338</v>
      </c>
      <c r="V192" s="6" t="s">
        <v>1367</v>
      </c>
    </row>
    <row r="193" customFormat="false" ht="23.85" hidden="false" customHeight="false" outlineLevel="0" collapsed="false">
      <c r="A193" s="6" t="n">
        <v>192</v>
      </c>
      <c r="B193" s="6" t="s">
        <v>1368</v>
      </c>
      <c r="C193" s="6" t="s">
        <v>1369</v>
      </c>
      <c r="D193" s="6" t="n">
        <f aca="false">VALUE(LEFT(B193,4))</f>
        <v>2010</v>
      </c>
      <c r="E193" s="6" t="n">
        <f aca="false">INT((D193-1)/100)+1</f>
        <v>21</v>
      </c>
      <c r="F193" s="6" t="s">
        <v>1370</v>
      </c>
      <c r="G193" s="6" t="s">
        <v>1371</v>
      </c>
      <c r="H193" s="6" t="s">
        <v>1372</v>
      </c>
      <c r="I193" s="6" t="s">
        <v>1373</v>
      </c>
      <c r="J193" s="6" t="s">
        <v>719</v>
      </c>
      <c r="K193" s="6" t="s">
        <v>1374</v>
      </c>
      <c r="L193" s="6" t="s">
        <v>627</v>
      </c>
      <c r="M193" s="6" t="s">
        <v>628</v>
      </c>
      <c r="N193" s="6" t="s">
        <v>16</v>
      </c>
      <c r="O193" s="6" t="s">
        <v>75</v>
      </c>
      <c r="P193" s="6"/>
      <c r="Q193" s="6" t="s">
        <v>1368</v>
      </c>
      <c r="R193" s="6" t="n">
        <f aca="false">VALUE(LEFT(Q193,4))</f>
        <v>2010</v>
      </c>
      <c r="S193" s="6" t="n">
        <f aca="false">VALUE(MID(Q193,6,2))</f>
        <v>1</v>
      </c>
      <c r="T193" s="6" t="n">
        <f aca="false">VALUE(RIGHT(Q193,2))</f>
        <v>25</v>
      </c>
      <c r="U193" s="6" t="s">
        <v>125</v>
      </c>
      <c r="V193" s="6" t="s">
        <v>126</v>
      </c>
    </row>
    <row r="194" customFormat="false" ht="23.85" hidden="false" customHeight="false" outlineLevel="0" collapsed="false">
      <c r="A194" s="6" t="n">
        <v>193</v>
      </c>
      <c r="B194" s="6" t="s">
        <v>1375</v>
      </c>
      <c r="C194" s="6" t="s">
        <v>1376</v>
      </c>
      <c r="D194" s="6" t="n">
        <f aca="false">VALUE(LEFT(B194,4))</f>
        <v>2010</v>
      </c>
      <c r="E194" s="6" t="n">
        <f aca="false">INT((D194-1)/100)+1</f>
        <v>21</v>
      </c>
      <c r="F194" s="6" t="s">
        <v>1268</v>
      </c>
      <c r="G194" s="6" t="s">
        <v>1377</v>
      </c>
      <c r="H194" s="6" t="s">
        <v>1378</v>
      </c>
      <c r="I194" s="6" t="s">
        <v>1379</v>
      </c>
      <c r="J194" s="6" t="s">
        <v>719</v>
      </c>
      <c r="K194" s="6" t="s">
        <v>1380</v>
      </c>
      <c r="L194" s="6" t="s">
        <v>627</v>
      </c>
      <c r="M194" s="6" t="s">
        <v>628</v>
      </c>
      <c r="N194" s="6" t="s">
        <v>16</v>
      </c>
      <c r="O194" s="6" t="s">
        <v>75</v>
      </c>
      <c r="P194" s="6"/>
      <c r="Q194" s="6" t="s">
        <v>1375</v>
      </c>
      <c r="R194" s="6" t="n">
        <f aca="false">VALUE(LEFT(Q194,4))</f>
        <v>2010</v>
      </c>
      <c r="S194" s="6" t="n">
        <f aca="false">VALUE(MID(Q194,6,2))</f>
        <v>2</v>
      </c>
      <c r="T194" s="6" t="n">
        <f aca="false">VALUE(RIGHT(Q194,2))</f>
        <v>23</v>
      </c>
      <c r="U194" s="6" t="s">
        <v>125</v>
      </c>
      <c r="V194" s="6" t="s">
        <v>126</v>
      </c>
    </row>
    <row r="195" customFormat="false" ht="23.85" hidden="false" customHeight="false" outlineLevel="0" collapsed="false">
      <c r="A195" s="6" t="n">
        <v>194</v>
      </c>
      <c r="B195" s="6" t="s">
        <v>1381</v>
      </c>
      <c r="C195" s="6" t="s">
        <v>1382</v>
      </c>
      <c r="D195" s="6" t="n">
        <f aca="false">VALUE(LEFT(B195,4))</f>
        <v>2010</v>
      </c>
      <c r="E195" s="6" t="n">
        <f aca="false">INT((D195-1)/100)+1</f>
        <v>21</v>
      </c>
      <c r="F195" s="6" t="s">
        <v>1383</v>
      </c>
      <c r="G195" s="6" t="s">
        <v>1384</v>
      </c>
      <c r="H195" s="6" t="s">
        <v>942</v>
      </c>
      <c r="I195" s="6" t="s">
        <v>1385</v>
      </c>
      <c r="J195" s="6" t="s">
        <v>310</v>
      </c>
      <c r="K195" s="6" t="s">
        <v>1386</v>
      </c>
      <c r="L195" s="6" t="s">
        <v>627</v>
      </c>
      <c r="M195" s="6" t="s">
        <v>628</v>
      </c>
      <c r="N195" s="6" t="s">
        <v>16</v>
      </c>
      <c r="O195" s="6" t="s">
        <v>75</v>
      </c>
      <c r="P195" s="6"/>
      <c r="Q195" s="6" t="s">
        <v>1381</v>
      </c>
      <c r="R195" s="6" t="n">
        <f aca="false">VALUE(LEFT(Q195,4))</f>
        <v>2010</v>
      </c>
      <c r="S195" s="6" t="n">
        <f aca="false">VALUE(MID(Q195,6,2))</f>
        <v>9</v>
      </c>
      <c r="T195" s="6" t="n">
        <f aca="false">VALUE(RIGHT(Q195,2))</f>
        <v>30</v>
      </c>
      <c r="U195" s="6" t="s">
        <v>125</v>
      </c>
      <c r="V195" s="6" t="s">
        <v>126</v>
      </c>
    </row>
    <row r="196" customFormat="false" ht="23.85" hidden="false" customHeight="false" outlineLevel="0" collapsed="false">
      <c r="A196" s="6" t="n">
        <v>195</v>
      </c>
      <c r="B196" s="6" t="s">
        <v>1387</v>
      </c>
      <c r="C196" s="6" t="s">
        <v>1388</v>
      </c>
      <c r="D196" s="6" t="n">
        <f aca="false">VALUE(LEFT(B196,4))</f>
        <v>2010</v>
      </c>
      <c r="E196" s="6" t="n">
        <f aca="false">INT((D196-1)/100)+1</f>
        <v>21</v>
      </c>
      <c r="F196" s="6" t="s">
        <v>159</v>
      </c>
      <c r="G196" s="6" t="s">
        <v>1389</v>
      </c>
      <c r="H196" s="6" t="s">
        <v>1390</v>
      </c>
      <c r="I196" s="6" t="s">
        <v>1391</v>
      </c>
      <c r="J196" s="6" t="s">
        <v>719</v>
      </c>
      <c r="K196" s="6" t="s">
        <v>1003</v>
      </c>
      <c r="L196" s="6" t="s">
        <v>627</v>
      </c>
      <c r="M196" s="6" t="s">
        <v>628</v>
      </c>
      <c r="N196" s="6" t="s">
        <v>16</v>
      </c>
      <c r="O196" s="6" t="s">
        <v>75</v>
      </c>
      <c r="P196" s="6"/>
      <c r="Q196" s="6" t="s">
        <v>1387</v>
      </c>
      <c r="R196" s="6" t="n">
        <f aca="false">VALUE(LEFT(Q196,4))</f>
        <v>2010</v>
      </c>
      <c r="S196" s="6" t="n">
        <f aca="false">VALUE(MID(Q196,6,2))</f>
        <v>12</v>
      </c>
      <c r="T196" s="6" t="n">
        <f aca="false">VALUE(RIGHT(Q196,2))</f>
        <v>26</v>
      </c>
      <c r="U196" s="6" t="s">
        <v>125</v>
      </c>
      <c r="V196" s="6" t="s">
        <v>126</v>
      </c>
    </row>
    <row r="197" customFormat="false" ht="23.85" hidden="false" customHeight="false" outlineLevel="0" collapsed="false">
      <c r="A197" s="6" t="n">
        <v>196</v>
      </c>
      <c r="B197" s="6" t="s">
        <v>1392</v>
      </c>
      <c r="C197" s="6" t="s">
        <v>1392</v>
      </c>
      <c r="D197" s="6" t="n">
        <f aca="false">VALUE(LEFT(B197,4))</f>
        <v>2011</v>
      </c>
      <c r="E197" s="6" t="n">
        <f aca="false">INT((D197-1)/100)+1</f>
        <v>21</v>
      </c>
      <c r="F197" s="6" t="s">
        <v>159</v>
      </c>
      <c r="G197" s="6" t="s">
        <v>1393</v>
      </c>
      <c r="H197" s="6" t="s">
        <v>942</v>
      </c>
      <c r="I197" s="6" t="s">
        <v>1394</v>
      </c>
      <c r="J197" s="6" t="s">
        <v>719</v>
      </c>
      <c r="K197" s="6"/>
      <c r="L197" s="6" t="s">
        <v>627</v>
      </c>
      <c r="M197" s="6" t="s">
        <v>628</v>
      </c>
      <c r="N197" s="6" t="s">
        <v>16</v>
      </c>
      <c r="O197" s="6" t="s">
        <v>75</v>
      </c>
      <c r="P197" s="6"/>
      <c r="Q197" s="6" t="s">
        <v>1392</v>
      </c>
      <c r="R197" s="6" t="n">
        <f aca="false">VALUE(LEFT(Q197,4))</f>
        <v>2011</v>
      </c>
      <c r="S197" s="6" t="n">
        <f aca="false">VALUE(MID(Q197,6,2))</f>
        <v>1</v>
      </c>
      <c r="T197" s="6" t="n">
        <f aca="false">VALUE(RIGHT(Q197,2))</f>
        <v>12</v>
      </c>
      <c r="U197" s="6" t="s">
        <v>77</v>
      </c>
      <c r="V197" s="6" t="s">
        <v>78</v>
      </c>
    </row>
    <row r="198" customFormat="false" ht="23.85" hidden="false" customHeight="false" outlineLevel="0" collapsed="false">
      <c r="A198" s="6" t="n">
        <v>197</v>
      </c>
      <c r="B198" s="6" t="s">
        <v>1395</v>
      </c>
      <c r="C198" s="6" t="s">
        <v>1396</v>
      </c>
      <c r="D198" s="6" t="n">
        <f aca="false">VALUE(LEFT(B198,4))</f>
        <v>2011</v>
      </c>
      <c r="E198" s="6" t="n">
        <f aca="false">INT((D198-1)/100)+1</f>
        <v>21</v>
      </c>
      <c r="F198" s="6" t="s">
        <v>1370</v>
      </c>
      <c r="G198" s="6" t="s">
        <v>1397</v>
      </c>
      <c r="H198" s="6" t="s">
        <v>1398</v>
      </c>
      <c r="I198" s="6" t="s">
        <v>1399</v>
      </c>
      <c r="J198" s="6" t="s">
        <v>719</v>
      </c>
      <c r="K198" s="6" t="s">
        <v>1400</v>
      </c>
      <c r="L198" s="6" t="s">
        <v>627</v>
      </c>
      <c r="M198" s="6" t="s">
        <v>628</v>
      </c>
      <c r="N198" s="6" t="s">
        <v>16</v>
      </c>
      <c r="O198" s="6" t="s">
        <v>75</v>
      </c>
      <c r="P198" s="6"/>
      <c r="Q198" s="6" t="s">
        <v>1395</v>
      </c>
      <c r="R198" s="6" t="n">
        <f aca="false">VALUE(LEFT(Q198,4))</f>
        <v>2011</v>
      </c>
      <c r="S198" s="6" t="n">
        <f aca="false">VALUE(MID(Q198,6,2))</f>
        <v>3</v>
      </c>
      <c r="T198" s="6" t="n">
        <f aca="false">VALUE(RIGHT(Q198,2))</f>
        <v>6</v>
      </c>
      <c r="U198" s="6" t="s">
        <v>125</v>
      </c>
      <c r="V198" s="6" t="s">
        <v>126</v>
      </c>
    </row>
    <row r="199" customFormat="false" ht="23.85" hidden="false" customHeight="false" outlineLevel="0" collapsed="false">
      <c r="A199" s="6" t="n">
        <v>198</v>
      </c>
      <c r="B199" s="6" t="s">
        <v>1401</v>
      </c>
      <c r="C199" s="6" t="s">
        <v>1402</v>
      </c>
      <c r="D199" s="6" t="n">
        <f aca="false">VALUE(LEFT(B199,4))</f>
        <v>2011</v>
      </c>
      <c r="E199" s="6" t="n">
        <f aca="false">INT((D199-1)/100)+1</f>
        <v>21</v>
      </c>
      <c r="F199" s="6" t="s">
        <v>705</v>
      </c>
      <c r="G199" s="6" t="s">
        <v>1403</v>
      </c>
      <c r="H199" s="6" t="s">
        <v>942</v>
      </c>
      <c r="I199" s="6"/>
      <c r="J199" s="6" t="s">
        <v>310</v>
      </c>
      <c r="K199" s="6"/>
      <c r="L199" s="6" t="s">
        <v>627</v>
      </c>
      <c r="M199" s="6" t="s">
        <v>628</v>
      </c>
      <c r="N199" s="6" t="s">
        <v>16</v>
      </c>
      <c r="O199" s="6" t="s">
        <v>75</v>
      </c>
      <c r="P199" s="6"/>
      <c r="Q199" s="6" t="s">
        <v>1404</v>
      </c>
      <c r="R199" s="6" t="n">
        <f aca="false">VALUE(LEFT(Q199,4))</f>
        <v>2011</v>
      </c>
      <c r="S199" s="6" t="n">
        <f aca="false">VALUE(MID(Q199,6,2))</f>
        <v>7</v>
      </c>
      <c r="T199" s="6" t="n">
        <f aca="false">VALUE(RIGHT(Q199,2))</f>
        <v>21</v>
      </c>
      <c r="U199" s="6" t="s">
        <v>125</v>
      </c>
      <c r="V199" s="6" t="s">
        <v>1405</v>
      </c>
    </row>
    <row r="200" customFormat="false" ht="23.85" hidden="false" customHeight="false" outlineLevel="0" collapsed="false">
      <c r="A200" s="6" t="n">
        <v>199</v>
      </c>
      <c r="B200" s="6" t="s">
        <v>1406</v>
      </c>
      <c r="C200" s="6" t="s">
        <v>1406</v>
      </c>
      <c r="D200" s="6" t="n">
        <f aca="false">VALUE(LEFT(B200,4))</f>
        <v>2011</v>
      </c>
      <c r="E200" s="6" t="n">
        <f aca="false">INT((D200-1)/100)+1</f>
        <v>21</v>
      </c>
      <c r="F200" s="6" t="s">
        <v>97</v>
      </c>
      <c r="G200" s="6" t="s">
        <v>1407</v>
      </c>
      <c r="H200" s="6" t="s">
        <v>1408</v>
      </c>
      <c r="I200" s="6" t="s">
        <v>1409</v>
      </c>
      <c r="J200" s="6" t="s">
        <v>719</v>
      </c>
      <c r="K200" s="6" t="s">
        <v>1410</v>
      </c>
      <c r="L200" s="6" t="s">
        <v>627</v>
      </c>
      <c r="M200" s="6" t="s">
        <v>628</v>
      </c>
      <c r="N200" s="6" t="s">
        <v>16</v>
      </c>
      <c r="O200" s="6" t="s">
        <v>75</v>
      </c>
      <c r="P200" s="6" t="s">
        <v>1411</v>
      </c>
      <c r="Q200" s="6" t="s">
        <v>1406</v>
      </c>
      <c r="R200" s="6" t="n">
        <f aca="false">VALUE(LEFT(Q200,4))</f>
        <v>2011</v>
      </c>
      <c r="S200" s="6" t="n">
        <f aca="false">VALUE(MID(Q200,6,2))</f>
        <v>8</v>
      </c>
      <c r="T200" s="6" t="n">
        <f aca="false">VALUE(RIGHT(Q200,2))</f>
        <v>28</v>
      </c>
      <c r="U200" s="6" t="s">
        <v>77</v>
      </c>
      <c r="V200" s="6" t="s">
        <v>78</v>
      </c>
    </row>
    <row r="201" customFormat="false" ht="46.25" hidden="false" customHeight="false" outlineLevel="0" collapsed="false">
      <c r="A201" s="6" t="n">
        <v>200</v>
      </c>
      <c r="B201" s="6" t="s">
        <v>1406</v>
      </c>
      <c r="C201" s="6" t="s">
        <v>1406</v>
      </c>
      <c r="D201" s="6" t="n">
        <f aca="false">VALUE(LEFT(B201,4))</f>
        <v>2011</v>
      </c>
      <c r="E201" s="6" t="n">
        <f aca="false">INT((D201-1)/100)+1</f>
        <v>21</v>
      </c>
      <c r="F201" s="6" t="s">
        <v>1412</v>
      </c>
      <c r="G201" s="6" t="s">
        <v>1413</v>
      </c>
      <c r="H201" s="6" t="s">
        <v>1414</v>
      </c>
      <c r="I201" s="6" t="s">
        <v>1415</v>
      </c>
      <c r="J201" s="6" t="s">
        <v>332</v>
      </c>
      <c r="K201" s="6" t="s">
        <v>1416</v>
      </c>
      <c r="L201" s="6" t="s">
        <v>1417</v>
      </c>
      <c r="M201" s="6" t="s">
        <v>1418</v>
      </c>
      <c r="N201" s="6" t="s">
        <v>16</v>
      </c>
      <c r="O201" s="6" t="s">
        <v>75</v>
      </c>
      <c r="P201" s="6" t="s">
        <v>1419</v>
      </c>
      <c r="Q201" s="6" t="s">
        <v>1406</v>
      </c>
      <c r="R201" s="6" t="n">
        <f aca="false">VALUE(LEFT(Q201,4))</f>
        <v>2011</v>
      </c>
      <c r="S201" s="6" t="n">
        <f aca="false">VALUE(MID(Q201,6,2))</f>
        <v>8</v>
      </c>
      <c r="T201" s="6" t="n">
        <f aca="false">VALUE(RIGHT(Q201,2))</f>
        <v>28</v>
      </c>
      <c r="U201" s="6" t="s">
        <v>77</v>
      </c>
      <c r="V201" s="6" t="s">
        <v>78</v>
      </c>
    </row>
    <row r="202" customFormat="false" ht="23.85" hidden="false" customHeight="false" outlineLevel="0" collapsed="false">
      <c r="A202" s="6" t="n">
        <v>201</v>
      </c>
      <c r="B202" s="6" t="s">
        <v>1420</v>
      </c>
      <c r="C202" s="6" t="s">
        <v>1421</v>
      </c>
      <c r="D202" s="6" t="n">
        <f aca="false">VALUE(LEFT(B202,4))</f>
        <v>2011</v>
      </c>
      <c r="E202" s="6" t="n">
        <f aca="false">INT((D202-1)/100)+1</f>
        <v>21</v>
      </c>
      <c r="F202" s="6" t="s">
        <v>1383</v>
      </c>
      <c r="G202" s="6" t="s">
        <v>1422</v>
      </c>
      <c r="H202" s="6" t="s">
        <v>942</v>
      </c>
      <c r="I202" s="6" t="s">
        <v>1423</v>
      </c>
      <c r="J202" s="6" t="s">
        <v>719</v>
      </c>
      <c r="K202" s="6" t="s">
        <v>1424</v>
      </c>
      <c r="L202" s="6" t="s">
        <v>627</v>
      </c>
      <c r="M202" s="6" t="s">
        <v>628</v>
      </c>
      <c r="N202" s="6" t="s">
        <v>16</v>
      </c>
      <c r="O202" s="6" t="s">
        <v>75</v>
      </c>
      <c r="P202" s="6"/>
      <c r="Q202" s="6" t="s">
        <v>1420</v>
      </c>
      <c r="R202" s="6" t="n">
        <f aca="false">VALUE(LEFT(Q202,4))</f>
        <v>2011</v>
      </c>
      <c r="S202" s="6" t="n">
        <f aca="false">VALUE(MID(Q202,6,2))</f>
        <v>9</v>
      </c>
      <c r="T202" s="6" t="n">
        <f aca="false">VALUE(RIGHT(Q202,2))</f>
        <v>5</v>
      </c>
      <c r="U202" s="6" t="s">
        <v>125</v>
      </c>
      <c r="V202" s="6" t="s">
        <v>126</v>
      </c>
    </row>
    <row r="203" customFormat="false" ht="23.85" hidden="false" customHeight="false" outlineLevel="0" collapsed="false">
      <c r="A203" s="6" t="n">
        <v>202</v>
      </c>
      <c r="B203" s="6" t="s">
        <v>1425</v>
      </c>
      <c r="C203" s="6" t="s">
        <v>1426</v>
      </c>
      <c r="D203" s="6" t="n">
        <f aca="false">VALUE(LEFT(B203,4))</f>
        <v>2011</v>
      </c>
      <c r="E203" s="6" t="n">
        <f aca="false">INT((D203-1)/100)+1</f>
        <v>21</v>
      </c>
      <c r="F203" s="6" t="s">
        <v>1427</v>
      </c>
      <c r="G203" s="6" t="s">
        <v>1428</v>
      </c>
      <c r="H203" s="6" t="s">
        <v>1429</v>
      </c>
      <c r="I203" s="6" t="s">
        <v>1430</v>
      </c>
      <c r="J203" s="6" t="s">
        <v>719</v>
      </c>
      <c r="K203" s="6" t="s">
        <v>1431</v>
      </c>
      <c r="L203" s="6" t="s">
        <v>627</v>
      </c>
      <c r="M203" s="6" t="s">
        <v>628</v>
      </c>
      <c r="N203" s="6" t="s">
        <v>16</v>
      </c>
      <c r="O203" s="6" t="s">
        <v>75</v>
      </c>
      <c r="P203" s="6"/>
      <c r="Q203" s="6" t="s">
        <v>1425</v>
      </c>
      <c r="R203" s="6" t="n">
        <f aca="false">VALUE(LEFT(Q203,4))</f>
        <v>2011</v>
      </c>
      <c r="S203" s="6" t="n">
        <f aca="false">VALUE(MID(Q203,6,2))</f>
        <v>10</v>
      </c>
      <c r="T203" s="6" t="n">
        <f aca="false">VALUE(RIGHT(Q203,2))</f>
        <v>29</v>
      </c>
      <c r="U203" s="6" t="s">
        <v>125</v>
      </c>
      <c r="V203" s="6" t="s">
        <v>126</v>
      </c>
    </row>
    <row r="204" customFormat="false" ht="23.85" hidden="false" customHeight="false" outlineLevel="0" collapsed="false">
      <c r="A204" s="6" t="n">
        <v>203</v>
      </c>
      <c r="B204" s="6" t="s">
        <v>1432</v>
      </c>
      <c r="C204" s="6" t="s">
        <v>1433</v>
      </c>
      <c r="D204" s="6" t="n">
        <f aca="false">VALUE(LEFT(B204,4))</f>
        <v>2012</v>
      </c>
      <c r="E204" s="6" t="n">
        <f aca="false">INT((D204-1)/100)+1</f>
        <v>21</v>
      </c>
      <c r="F204" s="6" t="s">
        <v>705</v>
      </c>
      <c r="G204" s="6" t="s">
        <v>1434</v>
      </c>
      <c r="H204" s="6" t="s">
        <v>818</v>
      </c>
      <c r="I204" s="6" t="s">
        <v>1435</v>
      </c>
      <c r="J204" s="6" t="s">
        <v>719</v>
      </c>
      <c r="K204" s="6" t="s">
        <v>1436</v>
      </c>
      <c r="L204" s="6" t="s">
        <v>569</v>
      </c>
      <c r="M204" s="6"/>
      <c r="N204" s="6" t="s">
        <v>18</v>
      </c>
      <c r="O204" s="6" t="s">
        <v>94</v>
      </c>
      <c r="P204" s="6"/>
      <c r="Q204" s="6" t="s">
        <v>1432</v>
      </c>
      <c r="R204" s="6" t="n">
        <f aca="false">VALUE(LEFT(Q204,4))</f>
        <v>2012</v>
      </c>
      <c r="S204" s="6" t="n">
        <f aca="false">VALUE(MID(Q204,6,2))</f>
        <v>3</v>
      </c>
      <c r="T204" s="6" t="n">
        <f aca="false">VALUE(RIGHT(Q204,2))</f>
        <v>18</v>
      </c>
      <c r="U204" s="6" t="s">
        <v>125</v>
      </c>
      <c r="V204" s="6" t="s">
        <v>126</v>
      </c>
    </row>
    <row r="205" customFormat="false" ht="23.85" hidden="false" customHeight="false" outlineLevel="0" collapsed="false">
      <c r="A205" s="6" t="n">
        <v>204</v>
      </c>
      <c r="B205" s="6" t="s">
        <v>1437</v>
      </c>
      <c r="C205" s="6" t="s">
        <v>1438</v>
      </c>
      <c r="D205" s="6" t="n">
        <f aca="false">VALUE(LEFT(B205,4))</f>
        <v>2012</v>
      </c>
      <c r="E205" s="6" t="n">
        <f aca="false">INT((D205-1)/100)+1</f>
        <v>21</v>
      </c>
      <c r="F205" s="6" t="s">
        <v>459</v>
      </c>
      <c r="G205" s="6" t="s">
        <v>1439</v>
      </c>
      <c r="H205" s="6" t="s">
        <v>818</v>
      </c>
      <c r="I205" s="6" t="s">
        <v>1440</v>
      </c>
      <c r="J205" s="6" t="s">
        <v>719</v>
      </c>
      <c r="K205" s="6" t="s">
        <v>1441</v>
      </c>
      <c r="L205" s="6" t="s">
        <v>569</v>
      </c>
      <c r="M205" s="6"/>
      <c r="N205" s="6" t="s">
        <v>18</v>
      </c>
      <c r="O205" s="6" t="s">
        <v>94</v>
      </c>
      <c r="P205" s="6" t="s">
        <v>1442</v>
      </c>
      <c r="Q205" s="6" t="s">
        <v>1437</v>
      </c>
      <c r="R205" s="6" t="n">
        <f aca="false">VALUE(LEFT(Q205,4))</f>
        <v>2012</v>
      </c>
      <c r="S205" s="6" t="n">
        <f aca="false">VALUE(MID(Q205,6,2))</f>
        <v>4</v>
      </c>
      <c r="T205" s="6" t="n">
        <f aca="false">VALUE(RIGHT(Q205,2))</f>
        <v>27</v>
      </c>
      <c r="U205" s="6" t="s">
        <v>125</v>
      </c>
      <c r="V205" s="6" t="s">
        <v>126</v>
      </c>
    </row>
    <row r="206" customFormat="false" ht="23.85" hidden="false" customHeight="false" outlineLevel="0" collapsed="false">
      <c r="A206" s="6" t="n">
        <v>205</v>
      </c>
      <c r="B206" s="6" t="s">
        <v>1443</v>
      </c>
      <c r="C206" s="6" t="s">
        <v>1443</v>
      </c>
      <c r="D206" s="6" t="n">
        <f aca="false">VALUE(LEFT(B206,4))</f>
        <v>2012</v>
      </c>
      <c r="E206" s="6" t="n">
        <f aca="false">INT((D206-1)/100)+1</f>
        <v>21</v>
      </c>
      <c r="F206" s="6" t="s">
        <v>67</v>
      </c>
      <c r="G206" s="6" t="s">
        <v>1444</v>
      </c>
      <c r="H206" s="6" t="s">
        <v>942</v>
      </c>
      <c r="I206" s="6" t="s">
        <v>1445</v>
      </c>
      <c r="J206" s="6" t="s">
        <v>1446</v>
      </c>
      <c r="K206" s="6" t="s">
        <v>1447</v>
      </c>
      <c r="L206" s="6" t="s">
        <v>627</v>
      </c>
      <c r="M206" s="6" t="s">
        <v>628</v>
      </c>
      <c r="N206" s="6" t="s">
        <v>16</v>
      </c>
      <c r="O206" s="6" t="s">
        <v>75</v>
      </c>
      <c r="P206" s="6"/>
      <c r="Q206" s="6" t="s">
        <v>1443</v>
      </c>
      <c r="R206" s="6" t="n">
        <f aca="false">VALUE(LEFT(Q206,4))</f>
        <v>2012</v>
      </c>
      <c r="S206" s="6" t="n">
        <f aca="false">VALUE(MID(Q206,6,2))</f>
        <v>10</v>
      </c>
      <c r="T206" s="6" t="n">
        <f aca="false">VALUE(RIGHT(Q206,2))</f>
        <v>29</v>
      </c>
      <c r="U206" s="6" t="s">
        <v>77</v>
      </c>
      <c r="V206" s="6" t="s">
        <v>78</v>
      </c>
    </row>
    <row r="207" customFormat="false" ht="23.85" hidden="false" customHeight="false" outlineLevel="0" collapsed="false">
      <c r="A207" s="6" t="n">
        <v>206</v>
      </c>
      <c r="B207" s="6" t="s">
        <v>1448</v>
      </c>
      <c r="C207" s="6" t="s">
        <v>1449</v>
      </c>
      <c r="D207" s="6" t="n">
        <f aca="false">VALUE(LEFT(B207,4))</f>
        <v>2013</v>
      </c>
      <c r="E207" s="6" t="n">
        <f aca="false">INT((D207-1)/100)+1</f>
        <v>21</v>
      </c>
      <c r="F207" s="6" t="s">
        <v>219</v>
      </c>
      <c r="G207" s="6" t="s">
        <v>1450</v>
      </c>
      <c r="H207" s="6" t="s">
        <v>942</v>
      </c>
      <c r="I207" s="6" t="s">
        <v>1394</v>
      </c>
      <c r="J207" s="6" t="s">
        <v>719</v>
      </c>
      <c r="K207" s="6"/>
      <c r="L207" s="6" t="s">
        <v>627</v>
      </c>
      <c r="M207" s="6" t="s">
        <v>628</v>
      </c>
      <c r="N207" s="6" t="s">
        <v>16</v>
      </c>
      <c r="O207" s="6" t="s">
        <v>75</v>
      </c>
      <c r="P207" s="6"/>
      <c r="Q207" s="6" t="s">
        <v>1448</v>
      </c>
      <c r="R207" s="6" t="n">
        <f aca="false">VALUE(LEFT(Q207,4))</f>
        <v>2013</v>
      </c>
      <c r="S207" s="6" t="n">
        <f aca="false">VALUE(MID(Q207,6,2))</f>
        <v>2</v>
      </c>
      <c r="T207" s="6" t="n">
        <f aca="false">VALUE(RIGHT(Q207,2))</f>
        <v>8</v>
      </c>
      <c r="U207" s="6" t="s">
        <v>125</v>
      </c>
      <c r="V207" s="6" t="s">
        <v>126</v>
      </c>
    </row>
    <row r="208" customFormat="false" ht="23.85" hidden="false" customHeight="false" outlineLevel="0" collapsed="false">
      <c r="A208" s="6" t="n">
        <v>207</v>
      </c>
      <c r="B208" s="6" t="s">
        <v>1451</v>
      </c>
      <c r="C208" s="6" t="s">
        <v>1451</v>
      </c>
      <c r="D208" s="6" t="n">
        <f aca="false">VALUE(LEFT(B208,4))</f>
        <v>2013</v>
      </c>
      <c r="E208" s="6" t="n">
        <f aca="false">INT((D208-1)/100)+1</f>
        <v>21</v>
      </c>
      <c r="F208" s="6" t="s">
        <v>1172</v>
      </c>
      <c r="G208" s="6" t="s">
        <v>1452</v>
      </c>
      <c r="H208" s="6" t="s">
        <v>1453</v>
      </c>
      <c r="I208" s="6" t="s">
        <v>1454</v>
      </c>
      <c r="J208" s="6" t="s">
        <v>963</v>
      </c>
      <c r="K208" s="6" t="s">
        <v>964</v>
      </c>
      <c r="L208" s="6" t="s">
        <v>627</v>
      </c>
      <c r="M208" s="6" t="s">
        <v>628</v>
      </c>
      <c r="N208" s="6" t="s">
        <v>16</v>
      </c>
      <c r="O208" s="6" t="s">
        <v>75</v>
      </c>
      <c r="P208" s="6"/>
      <c r="Q208" s="6" t="s">
        <v>1451</v>
      </c>
      <c r="R208" s="6" t="n">
        <f aca="false">VALUE(LEFT(Q208,4))</f>
        <v>2013</v>
      </c>
      <c r="S208" s="6" t="n">
        <f aca="false">VALUE(MID(Q208,6,2))</f>
        <v>5</v>
      </c>
      <c r="T208" s="6" t="n">
        <f aca="false">VALUE(RIGHT(Q208,2))</f>
        <v>29</v>
      </c>
      <c r="U208" s="6" t="s">
        <v>77</v>
      </c>
      <c r="V208" s="6" t="s">
        <v>78</v>
      </c>
    </row>
    <row r="209" customFormat="false" ht="23.85" hidden="false" customHeight="false" outlineLevel="0" collapsed="false">
      <c r="A209" s="6" t="n">
        <v>208</v>
      </c>
      <c r="B209" s="6" t="s">
        <v>1455</v>
      </c>
      <c r="C209" s="6" t="s">
        <v>1455</v>
      </c>
      <c r="D209" s="6" t="n">
        <f aca="false">VALUE(LEFT(B209,4))</f>
        <v>2013</v>
      </c>
      <c r="E209" s="6" t="n">
        <f aca="false">INT((D209-1)/100)+1</f>
        <v>21</v>
      </c>
      <c r="F209" s="6" t="s">
        <v>830</v>
      </c>
      <c r="G209" s="6" t="s">
        <v>1456</v>
      </c>
      <c r="H209" s="6" t="s">
        <v>1457</v>
      </c>
      <c r="I209" s="6" t="s">
        <v>1458</v>
      </c>
      <c r="J209" s="6" t="s">
        <v>719</v>
      </c>
      <c r="K209" s="6" t="s">
        <v>1459</v>
      </c>
      <c r="L209" s="6" t="s">
        <v>627</v>
      </c>
      <c r="M209" s="6" t="s">
        <v>628</v>
      </c>
      <c r="N209" s="6" t="s">
        <v>16</v>
      </c>
      <c r="O209" s="6" t="s">
        <v>75</v>
      </c>
      <c r="P209" s="6"/>
      <c r="Q209" s="6" t="s">
        <v>1455</v>
      </c>
      <c r="R209" s="6" t="n">
        <f aca="false">VALUE(LEFT(Q209,4))</f>
        <v>2013</v>
      </c>
      <c r="S209" s="6" t="n">
        <f aca="false">VALUE(MID(Q209,6,2))</f>
        <v>6</v>
      </c>
      <c r="T209" s="6" t="n">
        <f aca="false">VALUE(RIGHT(Q209,2))</f>
        <v>14</v>
      </c>
      <c r="U209" s="6" t="s">
        <v>77</v>
      </c>
      <c r="V209" s="6" t="s">
        <v>78</v>
      </c>
    </row>
    <row r="210" customFormat="false" ht="23.85" hidden="false" customHeight="false" outlineLevel="0" collapsed="false">
      <c r="A210" s="6" t="n">
        <v>209</v>
      </c>
      <c r="B210" s="6" t="s">
        <v>1460</v>
      </c>
      <c r="C210" s="6" t="s">
        <v>1460</v>
      </c>
      <c r="D210" s="6" t="n">
        <f aca="false">VALUE(LEFT(B210,4))</f>
        <v>2013</v>
      </c>
      <c r="E210" s="6" t="n">
        <f aca="false">INT((D210-1)/100)+1</f>
        <v>21</v>
      </c>
      <c r="F210" s="6" t="s">
        <v>830</v>
      </c>
      <c r="G210" s="6" t="s">
        <v>1461</v>
      </c>
      <c r="H210" s="6" t="s">
        <v>1462</v>
      </c>
      <c r="I210" s="6" t="s">
        <v>1463</v>
      </c>
      <c r="J210" s="6" t="s">
        <v>895</v>
      </c>
      <c r="K210" s="6" t="s">
        <v>1464</v>
      </c>
      <c r="L210" s="6" t="s">
        <v>627</v>
      </c>
      <c r="M210" s="6" t="s">
        <v>628</v>
      </c>
      <c r="N210" s="6" t="s">
        <v>16</v>
      </c>
      <c r="O210" s="6" t="s">
        <v>75</v>
      </c>
      <c r="P210" s="6"/>
      <c r="Q210" s="6" t="s">
        <v>1460</v>
      </c>
      <c r="R210" s="6" t="n">
        <f aca="false">VALUE(LEFT(Q210,4))</f>
        <v>2013</v>
      </c>
      <c r="S210" s="6" t="n">
        <f aca="false">VALUE(MID(Q210,6,2))</f>
        <v>6</v>
      </c>
      <c r="T210" s="6" t="n">
        <f aca="false">VALUE(RIGHT(Q210,2))</f>
        <v>28</v>
      </c>
      <c r="U210" s="6" t="s">
        <v>77</v>
      </c>
      <c r="V210" s="6" t="s">
        <v>78</v>
      </c>
    </row>
    <row r="211" customFormat="false" ht="23.85" hidden="false" customHeight="false" outlineLevel="0" collapsed="false">
      <c r="A211" s="6" t="n">
        <v>210</v>
      </c>
      <c r="B211" s="6" t="s">
        <v>1465</v>
      </c>
      <c r="C211" s="6" t="s">
        <v>1466</v>
      </c>
      <c r="D211" s="6" t="n">
        <f aca="false">VALUE(LEFT(B211,4))</f>
        <v>2013</v>
      </c>
      <c r="E211" s="6" t="n">
        <f aca="false">INT((D211-1)/100)+1</f>
        <v>21</v>
      </c>
      <c r="F211" s="6" t="s">
        <v>705</v>
      </c>
      <c r="G211" s="6" t="s">
        <v>1467</v>
      </c>
      <c r="H211" s="6" t="s">
        <v>942</v>
      </c>
      <c r="I211" s="6"/>
      <c r="J211" s="6" t="s">
        <v>310</v>
      </c>
      <c r="K211" s="6"/>
      <c r="L211" s="6" t="s">
        <v>627</v>
      </c>
      <c r="M211" s="6" t="s">
        <v>628</v>
      </c>
      <c r="N211" s="6" t="s">
        <v>16</v>
      </c>
      <c r="O211" s="6" t="s">
        <v>75</v>
      </c>
      <c r="P211" s="6"/>
      <c r="Q211" s="6" t="s">
        <v>1468</v>
      </c>
      <c r="R211" s="6" t="n">
        <f aca="false">VALUE(LEFT(Q211,4))</f>
        <v>2013</v>
      </c>
      <c r="S211" s="6" t="n">
        <f aca="false">VALUE(MID(Q211,6,2))</f>
        <v>7</v>
      </c>
      <c r="T211" s="6" t="n">
        <f aca="false">VALUE(RIGHT(Q211,2))</f>
        <v>18</v>
      </c>
      <c r="U211" s="6" t="s">
        <v>125</v>
      </c>
      <c r="V211" s="6" t="s">
        <v>1469</v>
      </c>
    </row>
    <row r="212" customFormat="false" ht="23.85" hidden="false" customHeight="false" outlineLevel="0" collapsed="false">
      <c r="A212" s="6" t="n">
        <v>211</v>
      </c>
      <c r="B212" s="6" t="s">
        <v>1470</v>
      </c>
      <c r="C212" s="6" t="s">
        <v>1470</v>
      </c>
      <c r="D212" s="6" t="n">
        <f aca="false">VALUE(LEFT(B212,4))</f>
        <v>2014</v>
      </c>
      <c r="E212" s="6" t="n">
        <f aca="false">INT((D212-1)/100)+1</f>
        <v>21</v>
      </c>
      <c r="F212" s="6" t="s">
        <v>959</v>
      </c>
      <c r="G212" s="6" t="s">
        <v>1471</v>
      </c>
      <c r="H212" s="6" t="s">
        <v>1472</v>
      </c>
      <c r="I212" s="6" t="s">
        <v>1473</v>
      </c>
      <c r="J212" s="6" t="s">
        <v>963</v>
      </c>
      <c r="K212" s="6" t="s">
        <v>964</v>
      </c>
      <c r="L212" s="6" t="s">
        <v>627</v>
      </c>
      <c r="M212" s="6" t="s">
        <v>628</v>
      </c>
      <c r="N212" s="6" t="s">
        <v>16</v>
      </c>
      <c r="O212" s="6" t="s">
        <v>75</v>
      </c>
      <c r="P212" s="6"/>
      <c r="Q212" s="6" t="s">
        <v>1470</v>
      </c>
      <c r="R212" s="6" t="n">
        <f aca="false">VALUE(LEFT(Q212,4))</f>
        <v>2014</v>
      </c>
      <c r="S212" s="6" t="n">
        <f aca="false">VALUE(MID(Q212,6,2))</f>
        <v>5</v>
      </c>
      <c r="T212" s="6" t="n">
        <f aca="false">VALUE(RIGHT(Q212,2))</f>
        <v>22</v>
      </c>
      <c r="U212" s="6" t="s">
        <v>77</v>
      </c>
      <c r="V212" s="6" t="s">
        <v>78</v>
      </c>
    </row>
    <row r="213" customFormat="false" ht="23.85" hidden="false" customHeight="false" outlineLevel="0" collapsed="false">
      <c r="A213" s="6" t="n">
        <v>212</v>
      </c>
      <c r="B213" s="6" t="s">
        <v>1474</v>
      </c>
      <c r="C213" s="6" t="s">
        <v>1475</v>
      </c>
      <c r="D213" s="6" t="n">
        <f aca="false">VALUE(LEFT(B213,4))</f>
        <v>2014</v>
      </c>
      <c r="E213" s="6" t="n">
        <f aca="false">INT((D213-1)/100)+1</f>
        <v>21</v>
      </c>
      <c r="F213" s="6" t="s">
        <v>159</v>
      </c>
      <c r="G213" s="6" t="s">
        <v>1476</v>
      </c>
      <c r="H213" s="6" t="s">
        <v>942</v>
      </c>
      <c r="I213" s="6" t="s">
        <v>1477</v>
      </c>
      <c r="J213" s="6" t="s">
        <v>310</v>
      </c>
      <c r="K213" s="6"/>
      <c r="L213" s="6" t="s">
        <v>627</v>
      </c>
      <c r="M213" s="6" t="s">
        <v>628</v>
      </c>
      <c r="N213" s="6" t="s">
        <v>16</v>
      </c>
      <c r="O213" s="6" t="s">
        <v>75</v>
      </c>
      <c r="P213" s="6"/>
      <c r="Q213" s="6" t="s">
        <v>1474</v>
      </c>
      <c r="R213" s="6" t="n">
        <f aca="false">VALUE(LEFT(Q213,4))</f>
        <v>2014</v>
      </c>
      <c r="S213" s="6" t="n">
        <f aca="false">VALUE(MID(Q213,6,2))</f>
        <v>11</v>
      </c>
      <c r="T213" s="6" t="n">
        <f aca="false">VALUE(RIGHT(Q213,2))</f>
        <v>26</v>
      </c>
      <c r="U213" s="6" t="s">
        <v>125</v>
      </c>
      <c r="V213" s="6" t="s">
        <v>126</v>
      </c>
    </row>
    <row r="214" customFormat="false" ht="23.85" hidden="false" customHeight="false" outlineLevel="0" collapsed="false">
      <c r="A214" s="6" t="n">
        <v>213</v>
      </c>
      <c r="B214" s="6" t="s">
        <v>1478</v>
      </c>
      <c r="C214" s="6" t="s">
        <v>1479</v>
      </c>
      <c r="D214" s="6" t="n">
        <f aca="false">VALUE(LEFT(B214,4))</f>
        <v>2015</v>
      </c>
      <c r="E214" s="6" t="n">
        <f aca="false">INT((D214-1)/100)+1</f>
        <v>21</v>
      </c>
      <c r="F214" s="6" t="s">
        <v>1480</v>
      </c>
      <c r="G214" s="6" t="s">
        <v>1481</v>
      </c>
      <c r="H214" s="6" t="s">
        <v>942</v>
      </c>
      <c r="I214" s="6" t="s">
        <v>1482</v>
      </c>
      <c r="J214" s="6" t="s">
        <v>310</v>
      </c>
      <c r="K214" s="6" t="s">
        <v>1483</v>
      </c>
      <c r="L214" s="6" t="s">
        <v>627</v>
      </c>
      <c r="M214" s="6" t="s">
        <v>628</v>
      </c>
      <c r="N214" s="6" t="s">
        <v>16</v>
      </c>
      <c r="O214" s="6" t="s">
        <v>75</v>
      </c>
      <c r="P214" s="6"/>
      <c r="Q214" s="6" t="s">
        <v>1484</v>
      </c>
      <c r="R214" s="6" t="n">
        <f aca="false">VALUE(LEFT(Q214,4))</f>
        <v>2015</v>
      </c>
      <c r="S214" s="6" t="n">
        <f aca="false">VALUE(MID(Q214,6,2))</f>
        <v>2</v>
      </c>
      <c r="T214" s="6" t="n">
        <f aca="false">VALUE(RIGHT(Q214,2))</f>
        <v>15</v>
      </c>
      <c r="U214" s="6" t="s">
        <v>317</v>
      </c>
      <c r="V214" s="6" t="s">
        <v>1485</v>
      </c>
    </row>
    <row r="215" customFormat="false" ht="23.85" hidden="false" customHeight="false" outlineLevel="0" collapsed="false">
      <c r="A215" s="6" t="n">
        <v>214</v>
      </c>
      <c r="B215" s="6" t="s">
        <v>1486</v>
      </c>
      <c r="C215" s="6" t="s">
        <v>1487</v>
      </c>
      <c r="D215" s="6" t="n">
        <f aca="false">VALUE(LEFT(B215,4))</f>
        <v>2016</v>
      </c>
      <c r="E215" s="6" t="n">
        <f aca="false">INT((D215-1)/100)+1</f>
        <v>21</v>
      </c>
      <c r="F215" s="6" t="s">
        <v>238</v>
      </c>
      <c r="G215" s="6" t="s">
        <v>1488</v>
      </c>
      <c r="H215" s="6" t="s">
        <v>942</v>
      </c>
      <c r="I215" s="6" t="s">
        <v>1489</v>
      </c>
      <c r="J215" s="6" t="s">
        <v>719</v>
      </c>
      <c r="K215" s="6"/>
      <c r="L215" s="6" t="s">
        <v>627</v>
      </c>
      <c r="M215" s="6" t="s">
        <v>628</v>
      </c>
      <c r="N215" s="6" t="s">
        <v>16</v>
      </c>
      <c r="O215" s="6" t="s">
        <v>75</v>
      </c>
      <c r="P215" s="6"/>
      <c r="Q215" s="6" t="s">
        <v>1486</v>
      </c>
      <c r="R215" s="6" t="n">
        <f aca="false">VALUE(LEFT(Q215,4))</f>
        <v>2016</v>
      </c>
      <c r="S215" s="6" t="n">
        <f aca="false">VALUE(MID(Q215,6,2))</f>
        <v>2</v>
      </c>
      <c r="T215" s="6" t="n">
        <f aca="false">VALUE(RIGHT(Q215,2))</f>
        <v>12</v>
      </c>
      <c r="U215" s="6" t="s">
        <v>125</v>
      </c>
      <c r="V215" s="6" t="s">
        <v>126</v>
      </c>
    </row>
    <row r="216" customFormat="false" ht="35.05" hidden="false" customHeight="false" outlineLevel="0" collapsed="false">
      <c r="A216" s="6" t="n">
        <v>215</v>
      </c>
      <c r="B216" s="6" t="s">
        <v>1490</v>
      </c>
      <c r="C216" s="6" t="s">
        <v>1490</v>
      </c>
      <c r="D216" s="6" t="n">
        <f aca="false">VALUE(LEFT(B216,4))</f>
        <v>2016</v>
      </c>
      <c r="E216" s="6" t="n">
        <f aca="false">INT((D216-1)/100)+1</f>
        <v>21</v>
      </c>
      <c r="F216" s="6" t="s">
        <v>1491</v>
      </c>
      <c r="G216" s="6" t="s">
        <v>1492</v>
      </c>
      <c r="H216" s="6" t="s">
        <v>1493</v>
      </c>
      <c r="I216" s="6" t="s">
        <v>1494</v>
      </c>
      <c r="J216" s="6" t="s">
        <v>332</v>
      </c>
      <c r="K216" s="6" t="s">
        <v>1495</v>
      </c>
      <c r="L216" s="6" t="s">
        <v>1496</v>
      </c>
      <c r="M216" s="6" t="s">
        <v>1497</v>
      </c>
      <c r="N216" s="6" t="s">
        <v>18</v>
      </c>
      <c r="O216" s="6" t="s">
        <v>75</v>
      </c>
      <c r="P216" s="6" t="s">
        <v>1498</v>
      </c>
      <c r="Q216" s="6" t="s">
        <v>1490</v>
      </c>
      <c r="R216" s="6" t="n">
        <f aca="false">VALUE(LEFT(Q216,4))</f>
        <v>2016</v>
      </c>
      <c r="S216" s="6" t="n">
        <f aca="false">VALUE(MID(Q216,6,2))</f>
        <v>5</v>
      </c>
      <c r="T216" s="6" t="n">
        <f aca="false">VALUE(RIGHT(Q216,2))</f>
        <v>3</v>
      </c>
      <c r="U216" s="6" t="s">
        <v>77</v>
      </c>
      <c r="V216" s="6" t="s">
        <v>78</v>
      </c>
    </row>
    <row r="217" customFormat="false" ht="23.85" hidden="false" customHeight="false" outlineLevel="0" collapsed="false">
      <c r="A217" s="6" t="n">
        <v>216</v>
      </c>
      <c r="B217" s="6" t="s">
        <v>1499</v>
      </c>
      <c r="C217" s="6" t="s">
        <v>1500</v>
      </c>
      <c r="D217" s="6" t="n">
        <f aca="false">VALUE(LEFT(B217,4))</f>
        <v>2016</v>
      </c>
      <c r="E217" s="6" t="n">
        <f aca="false">INT((D217-1)/100)+1</f>
        <v>21</v>
      </c>
      <c r="F217" s="6" t="s">
        <v>816</v>
      </c>
      <c r="G217" s="6" t="s">
        <v>1501</v>
      </c>
      <c r="H217" s="6" t="s">
        <v>1502</v>
      </c>
      <c r="I217" s="6" t="s">
        <v>1503</v>
      </c>
      <c r="J217" s="6" t="s">
        <v>719</v>
      </c>
      <c r="K217" s="6" t="s">
        <v>1504</v>
      </c>
      <c r="L217" s="6" t="s">
        <v>569</v>
      </c>
      <c r="M217" s="6"/>
      <c r="N217" s="6" t="s">
        <v>18</v>
      </c>
      <c r="O217" s="6" t="s">
        <v>94</v>
      </c>
      <c r="P217" s="6" t="s">
        <v>1505</v>
      </c>
      <c r="Q217" s="6" t="s">
        <v>1506</v>
      </c>
      <c r="R217" s="6" t="n">
        <f aca="false">VALUE(LEFT(Q217,4))</f>
        <v>2016</v>
      </c>
      <c r="S217" s="6" t="n">
        <f aca="false">VALUE(MID(Q217,6,2))</f>
        <v>8</v>
      </c>
      <c r="T217" s="6" t="n">
        <f aca="false">VALUE(RIGHT(Q217,2))</f>
        <v>15</v>
      </c>
      <c r="U217" s="6" t="s">
        <v>114</v>
      </c>
      <c r="V217" s="6" t="s">
        <v>1507</v>
      </c>
    </row>
    <row r="218" customFormat="false" ht="23.85" hidden="false" customHeight="false" outlineLevel="0" collapsed="false">
      <c r="A218" s="6" t="n">
        <v>217</v>
      </c>
      <c r="B218" s="6" t="s">
        <v>1508</v>
      </c>
      <c r="C218" s="6" t="s">
        <v>1508</v>
      </c>
      <c r="D218" s="6" t="n">
        <f aca="false">VALUE(LEFT(B218,4))</f>
        <v>2017</v>
      </c>
      <c r="E218" s="6" t="n">
        <f aca="false">INT((D218-1)/100)+1</f>
        <v>21</v>
      </c>
      <c r="F218" s="6" t="s">
        <v>219</v>
      </c>
      <c r="G218" s="6" t="s">
        <v>1509</v>
      </c>
      <c r="H218" s="6" t="s">
        <v>942</v>
      </c>
      <c r="I218" s="6" t="s">
        <v>1510</v>
      </c>
      <c r="J218" s="6" t="s">
        <v>310</v>
      </c>
      <c r="K218" s="6"/>
      <c r="L218" s="6" t="s">
        <v>627</v>
      </c>
      <c r="M218" s="6" t="s">
        <v>628</v>
      </c>
      <c r="N218" s="6" t="s">
        <v>16</v>
      </c>
      <c r="O218" s="6" t="s">
        <v>75</v>
      </c>
      <c r="P218" s="6"/>
      <c r="Q218" s="6" t="s">
        <v>1508</v>
      </c>
      <c r="R218" s="6" t="n">
        <f aca="false">VALUE(LEFT(Q218,4))</f>
        <v>2017</v>
      </c>
      <c r="S218" s="6" t="n">
        <f aca="false">VALUE(MID(Q218,6,2))</f>
        <v>3</v>
      </c>
      <c r="T218" s="6" t="n">
        <f aca="false">VALUE(RIGHT(Q218,2))</f>
        <v>14</v>
      </c>
      <c r="U218" s="6" t="s">
        <v>77</v>
      </c>
      <c r="V218" s="6" t="s">
        <v>78</v>
      </c>
    </row>
    <row r="219" customFormat="false" ht="23.85" hidden="false" customHeight="false" outlineLevel="0" collapsed="false">
      <c r="A219" s="6" t="n">
        <v>218</v>
      </c>
      <c r="B219" s="6" t="s">
        <v>1511</v>
      </c>
      <c r="C219" s="6" t="s">
        <v>1511</v>
      </c>
      <c r="D219" s="6" t="n">
        <f aca="false">VALUE(LEFT(B219,4))</f>
        <v>2017</v>
      </c>
      <c r="E219" s="6" t="n">
        <f aca="false">INT((D219-1)/100)+1</f>
        <v>21</v>
      </c>
      <c r="F219" s="6" t="s">
        <v>830</v>
      </c>
      <c r="G219" s="6" t="s">
        <v>1512</v>
      </c>
      <c r="H219" s="6" t="s">
        <v>1513</v>
      </c>
      <c r="I219" s="6" t="s">
        <v>1514</v>
      </c>
      <c r="J219" s="6" t="s">
        <v>719</v>
      </c>
      <c r="K219" s="6" t="s">
        <v>1515</v>
      </c>
      <c r="L219" s="6" t="s">
        <v>627</v>
      </c>
      <c r="M219" s="6" t="s">
        <v>628</v>
      </c>
      <c r="N219" s="6" t="s">
        <v>16</v>
      </c>
      <c r="O219" s="6" t="s">
        <v>75</v>
      </c>
      <c r="P219" s="6"/>
      <c r="Q219" s="6" t="s">
        <v>1511</v>
      </c>
      <c r="R219" s="6" t="n">
        <f aca="false">VALUE(LEFT(Q219,4))</f>
        <v>2017</v>
      </c>
      <c r="S219" s="6" t="n">
        <f aca="false">VALUE(MID(Q219,6,2))</f>
        <v>7</v>
      </c>
      <c r="T219" s="6" t="n">
        <f aca="false">VALUE(RIGHT(Q219,2))</f>
        <v>1</v>
      </c>
      <c r="U219" s="6" t="s">
        <v>77</v>
      </c>
      <c r="V219" s="6" t="s">
        <v>78</v>
      </c>
    </row>
    <row r="220" customFormat="false" ht="23.85" hidden="false" customHeight="false" outlineLevel="0" collapsed="false">
      <c r="A220" s="6" t="n">
        <v>219</v>
      </c>
      <c r="B220" s="6" t="s">
        <v>1516</v>
      </c>
      <c r="C220" s="6" t="s">
        <v>1517</v>
      </c>
      <c r="D220" s="6" t="n">
        <f aca="false">VALUE(LEFT(B220,4))</f>
        <v>2017</v>
      </c>
      <c r="E220" s="6" t="n">
        <f aca="false">INT((D220-1)/100)+1</f>
        <v>21</v>
      </c>
      <c r="F220" s="6" t="s">
        <v>1518</v>
      </c>
      <c r="G220" s="6" t="s">
        <v>1519</v>
      </c>
      <c r="H220" s="6" t="s">
        <v>942</v>
      </c>
      <c r="I220" s="6" t="s">
        <v>1520</v>
      </c>
      <c r="J220" s="6" t="s">
        <v>719</v>
      </c>
      <c r="K220" s="6"/>
      <c r="L220" s="6" t="s">
        <v>627</v>
      </c>
      <c r="M220" s="6" t="s">
        <v>628</v>
      </c>
      <c r="N220" s="6" t="s">
        <v>16</v>
      </c>
      <c r="O220" s="6" t="s">
        <v>75</v>
      </c>
      <c r="P220" s="6"/>
      <c r="Q220" s="6" t="s">
        <v>1516</v>
      </c>
      <c r="R220" s="6" t="n">
        <f aca="false">VALUE(LEFT(Q220,4))</f>
        <v>2017</v>
      </c>
      <c r="S220" s="6" t="n">
        <f aca="false">VALUE(MID(Q220,6,2))</f>
        <v>10</v>
      </c>
      <c r="T220" s="6" t="n">
        <f aca="false">VALUE(RIGHT(Q220,2))</f>
        <v>29</v>
      </c>
      <c r="U220" s="6" t="s">
        <v>125</v>
      </c>
      <c r="V220" s="6" t="s">
        <v>126</v>
      </c>
    </row>
    <row r="221" customFormat="false" ht="23.85" hidden="false" customHeight="false" outlineLevel="0" collapsed="false">
      <c r="A221" s="6" t="n">
        <v>220</v>
      </c>
      <c r="B221" s="6" t="s">
        <v>1521</v>
      </c>
      <c r="C221" s="6" t="s">
        <v>1522</v>
      </c>
      <c r="D221" s="6" t="n">
        <f aca="false">VALUE(LEFT(B221,4))</f>
        <v>2017</v>
      </c>
      <c r="E221" s="6" t="n">
        <f aca="false">INT((D221-1)/100)+1</f>
        <v>21</v>
      </c>
      <c r="F221" s="6" t="s">
        <v>238</v>
      </c>
      <c r="G221" s="6" t="s">
        <v>1523</v>
      </c>
      <c r="H221" s="6" t="s">
        <v>942</v>
      </c>
      <c r="I221" s="6" t="s">
        <v>1524</v>
      </c>
      <c r="J221" s="6" t="s">
        <v>719</v>
      </c>
      <c r="K221" s="6" t="s">
        <v>1525</v>
      </c>
      <c r="L221" s="6" t="s">
        <v>627</v>
      </c>
      <c r="M221" s="6" t="s">
        <v>628</v>
      </c>
      <c r="N221" s="6" t="s">
        <v>16</v>
      </c>
      <c r="O221" s="6" t="s">
        <v>75</v>
      </c>
      <c r="P221" s="6"/>
      <c r="Q221" s="6" t="s">
        <v>1526</v>
      </c>
      <c r="R221" s="6" t="n">
        <f aca="false">VALUE(LEFT(Q221,4))</f>
        <v>2018</v>
      </c>
      <c r="S221" s="6" t="n">
        <f aca="false">VALUE(MID(Q221,6,2))</f>
        <v>1</v>
      </c>
      <c r="T221" s="6" t="n">
        <f aca="false">VALUE(RIGHT(Q221,2))</f>
        <v>6</v>
      </c>
      <c r="U221" s="6" t="s">
        <v>125</v>
      </c>
      <c r="V221" s="6" t="s">
        <v>1527</v>
      </c>
    </row>
    <row r="222" customFormat="false" ht="23.85" hidden="false" customHeight="false" outlineLevel="0" collapsed="false">
      <c r="A222" s="6" t="n">
        <v>221</v>
      </c>
      <c r="B222" s="6" t="s">
        <v>1528</v>
      </c>
      <c r="C222" s="6" t="s">
        <v>1529</v>
      </c>
      <c r="D222" s="6" t="n">
        <f aca="false">VALUE(LEFT(B222,4))</f>
        <v>2018</v>
      </c>
      <c r="E222" s="6" t="n">
        <f aca="false">INT((D222-1)/100)+1</f>
        <v>21</v>
      </c>
      <c r="F222" s="6" t="s">
        <v>1087</v>
      </c>
      <c r="G222" s="6" t="s">
        <v>1530</v>
      </c>
      <c r="H222" s="6" t="s">
        <v>1531</v>
      </c>
      <c r="I222" s="6" t="s">
        <v>1532</v>
      </c>
      <c r="J222" s="6" t="s">
        <v>719</v>
      </c>
      <c r="K222" s="6" t="s">
        <v>1533</v>
      </c>
      <c r="L222" s="6" t="s">
        <v>627</v>
      </c>
      <c r="M222" s="6" t="s">
        <v>628</v>
      </c>
      <c r="N222" s="6" t="s">
        <v>16</v>
      </c>
      <c r="O222" s="6" t="s">
        <v>75</v>
      </c>
      <c r="P222" s="6"/>
      <c r="Q222" s="6" t="s">
        <v>1528</v>
      </c>
      <c r="R222" s="6" t="n">
        <f aca="false">VALUE(LEFT(Q222,4))</f>
        <v>2018</v>
      </c>
      <c r="S222" s="6" t="n">
        <f aca="false">VALUE(MID(Q222,6,2))</f>
        <v>1</v>
      </c>
      <c r="T222" s="6" t="n">
        <f aca="false">VALUE(RIGHT(Q222,2))</f>
        <v>12</v>
      </c>
      <c r="U222" s="6" t="s">
        <v>77</v>
      </c>
      <c r="V222" s="6" t="s">
        <v>1534</v>
      </c>
    </row>
    <row r="223" customFormat="false" ht="35.05" hidden="false" customHeight="false" outlineLevel="0" collapsed="false">
      <c r="A223" s="6" t="n">
        <v>222</v>
      </c>
      <c r="B223" s="6" t="s">
        <v>1366</v>
      </c>
      <c r="C223" s="6" t="s">
        <v>1366</v>
      </c>
      <c r="D223" s="6" t="n">
        <f aca="false">VALUE(LEFT(B223,4))</f>
        <v>2018</v>
      </c>
      <c r="E223" s="6" t="n">
        <f aca="false">INT((D223-1)/100)+1</f>
        <v>21</v>
      </c>
      <c r="F223" s="6" t="s">
        <v>553</v>
      </c>
      <c r="G223" s="6" t="s">
        <v>1535</v>
      </c>
      <c r="H223" s="6" t="s">
        <v>1536</v>
      </c>
      <c r="I223" s="6" t="s">
        <v>1537</v>
      </c>
      <c r="J223" s="6" t="s">
        <v>895</v>
      </c>
      <c r="K223" s="6" t="s">
        <v>1538</v>
      </c>
      <c r="L223" s="6" t="s">
        <v>1539</v>
      </c>
      <c r="M223" s="6" t="s">
        <v>1540</v>
      </c>
      <c r="N223" s="6" t="s">
        <v>16</v>
      </c>
      <c r="O223" s="6" t="s">
        <v>75</v>
      </c>
      <c r="P223" s="6" t="s">
        <v>1541</v>
      </c>
      <c r="Q223" s="6" t="s">
        <v>1366</v>
      </c>
      <c r="R223" s="6" t="n">
        <f aca="false">VALUE(LEFT(Q223,4))</f>
        <v>2018</v>
      </c>
      <c r="S223" s="6" t="n">
        <f aca="false">VALUE(MID(Q223,6,2))</f>
        <v>2</v>
      </c>
      <c r="T223" s="6" t="n">
        <f aca="false">VALUE(RIGHT(Q223,2))</f>
        <v>22</v>
      </c>
      <c r="U223" s="6" t="s">
        <v>77</v>
      </c>
      <c r="V223" s="6" t="s">
        <v>78</v>
      </c>
    </row>
    <row r="224" customFormat="false" ht="23.85" hidden="false" customHeight="false" outlineLevel="0" collapsed="false">
      <c r="A224" s="6" t="n">
        <v>223</v>
      </c>
      <c r="B224" s="6" t="s">
        <v>1366</v>
      </c>
      <c r="C224" s="6" t="s">
        <v>1366</v>
      </c>
      <c r="D224" s="6" t="n">
        <f aca="false">VALUE(LEFT(B224,4))</f>
        <v>2018</v>
      </c>
      <c r="E224" s="6" t="n">
        <f aca="false">INT((D224-1)/100)+1</f>
        <v>21</v>
      </c>
      <c r="F224" s="6" t="s">
        <v>580</v>
      </c>
      <c r="G224" s="6" t="s">
        <v>1542</v>
      </c>
      <c r="H224" s="6" t="s">
        <v>674</v>
      </c>
      <c r="I224" s="6" t="s">
        <v>1543</v>
      </c>
      <c r="J224" s="6" t="s">
        <v>332</v>
      </c>
      <c r="K224" s="6" t="s">
        <v>1544</v>
      </c>
      <c r="L224" s="6" t="s">
        <v>1363</v>
      </c>
      <c r="M224" s="6" t="s">
        <v>1545</v>
      </c>
      <c r="N224" s="6" t="s">
        <v>18</v>
      </c>
      <c r="O224" s="6" t="s">
        <v>75</v>
      </c>
      <c r="P224" s="6"/>
      <c r="Q224" s="6" t="s">
        <v>1366</v>
      </c>
      <c r="R224" s="6" t="n">
        <f aca="false">VALUE(LEFT(Q224,4))</f>
        <v>2018</v>
      </c>
      <c r="S224" s="6" t="n">
        <f aca="false">VALUE(MID(Q224,6,2))</f>
        <v>2</v>
      </c>
      <c r="T224" s="6" t="n">
        <f aca="false">VALUE(RIGHT(Q224,2))</f>
        <v>22</v>
      </c>
      <c r="U224" s="6" t="s">
        <v>77</v>
      </c>
      <c r="V224" s="6" t="s">
        <v>78</v>
      </c>
    </row>
    <row r="225" customFormat="false" ht="23.85" hidden="false" customHeight="false" outlineLevel="0" collapsed="false">
      <c r="A225" s="6" t="n">
        <v>224</v>
      </c>
      <c r="B225" s="6" t="s">
        <v>1546</v>
      </c>
      <c r="C225" s="6" t="s">
        <v>1547</v>
      </c>
      <c r="D225" s="6" t="n">
        <f aca="false">VALUE(LEFT(B225,4))</f>
        <v>2018</v>
      </c>
      <c r="E225" s="6" t="n">
        <f aca="false">INT((D225-1)/100)+1</f>
        <v>21</v>
      </c>
      <c r="F225" s="6" t="s">
        <v>1268</v>
      </c>
      <c r="G225" s="6" t="s">
        <v>1548</v>
      </c>
      <c r="H225" s="6" t="s">
        <v>942</v>
      </c>
      <c r="I225" s="6" t="s">
        <v>1549</v>
      </c>
      <c r="J225" s="6" t="s">
        <v>719</v>
      </c>
      <c r="K225" s="6"/>
      <c r="L225" s="6" t="s">
        <v>627</v>
      </c>
      <c r="M225" s="6" t="s">
        <v>628</v>
      </c>
      <c r="N225" s="6" t="s">
        <v>16</v>
      </c>
      <c r="O225" s="6" t="s">
        <v>75</v>
      </c>
      <c r="P225" s="6"/>
      <c r="Q225" s="6" t="s">
        <v>1550</v>
      </c>
      <c r="R225" s="6" t="n">
        <f aca="false">VALUE(LEFT(Q225,4))</f>
        <v>2018</v>
      </c>
      <c r="S225" s="6" t="n">
        <f aca="false">VALUE(MID(Q225,6,2))</f>
        <v>3</v>
      </c>
      <c r="T225" s="6" t="n">
        <f aca="false">VALUE(RIGHT(Q225,2))</f>
        <v>13</v>
      </c>
      <c r="U225" s="6" t="s">
        <v>125</v>
      </c>
      <c r="V225" s="6" t="s">
        <v>1551</v>
      </c>
    </row>
    <row r="226" customFormat="false" ht="23.85" hidden="false" customHeight="false" outlineLevel="0" collapsed="false">
      <c r="A226" s="6" t="n">
        <v>225</v>
      </c>
      <c r="B226" s="6" t="s">
        <v>1552</v>
      </c>
      <c r="C226" s="6" t="s">
        <v>1552</v>
      </c>
      <c r="D226" s="6" t="n">
        <f aca="false">VALUE(LEFT(B226,4))</f>
        <v>2018</v>
      </c>
      <c r="E226" s="6" t="n">
        <f aca="false">INT((D226-1)/100)+1</f>
        <v>21</v>
      </c>
      <c r="F226" s="6" t="s">
        <v>1553</v>
      </c>
      <c r="G226" s="6" t="s">
        <v>1554</v>
      </c>
      <c r="H226" s="6" t="s">
        <v>1555</v>
      </c>
      <c r="I226" s="6" t="s">
        <v>1556</v>
      </c>
      <c r="J226" s="6" t="s">
        <v>963</v>
      </c>
      <c r="K226" s="6" t="s">
        <v>1557</v>
      </c>
      <c r="L226" s="6" t="s">
        <v>627</v>
      </c>
      <c r="M226" s="6" t="s">
        <v>628</v>
      </c>
      <c r="N226" s="6" t="s">
        <v>16</v>
      </c>
      <c r="O226" s="6" t="s">
        <v>75</v>
      </c>
      <c r="P226" s="6" t="s">
        <v>1558</v>
      </c>
      <c r="Q226" s="6" t="s">
        <v>1552</v>
      </c>
      <c r="R226" s="6" t="n">
        <f aca="false">VALUE(LEFT(Q226,4))</f>
        <v>2018</v>
      </c>
      <c r="S226" s="6" t="n">
        <f aca="false">VALUE(MID(Q226,6,2))</f>
        <v>5</v>
      </c>
      <c r="T226" s="6" t="n">
        <f aca="false">VALUE(RIGHT(Q226,2))</f>
        <v>15</v>
      </c>
      <c r="U226" s="6" t="s">
        <v>77</v>
      </c>
      <c r="V226" s="6" t="s">
        <v>78</v>
      </c>
    </row>
    <row r="227" customFormat="false" ht="23.85" hidden="false" customHeight="false" outlineLevel="0" collapsed="false">
      <c r="A227" s="6" t="n">
        <v>226</v>
      </c>
      <c r="B227" s="6" t="s">
        <v>1559</v>
      </c>
      <c r="C227" s="6" t="s">
        <v>1559</v>
      </c>
      <c r="D227" s="6" t="n">
        <f aca="false">VALUE(LEFT(B227,4))</f>
        <v>2019</v>
      </c>
      <c r="E227" s="6" t="n">
        <f aca="false">INT((D227-1)/100)+1</f>
        <v>21</v>
      </c>
      <c r="F227" s="6" t="s">
        <v>916</v>
      </c>
      <c r="G227" s="6" t="s">
        <v>1560</v>
      </c>
      <c r="H227" s="6" t="s">
        <v>942</v>
      </c>
      <c r="I227" s="6"/>
      <c r="J227" s="6" t="s">
        <v>719</v>
      </c>
      <c r="K227" s="6"/>
      <c r="L227" s="6" t="s">
        <v>627</v>
      </c>
      <c r="M227" s="6" t="s">
        <v>628</v>
      </c>
      <c r="N227" s="6" t="s">
        <v>16</v>
      </c>
      <c r="O227" s="6" t="s">
        <v>75</v>
      </c>
      <c r="P227" s="6"/>
      <c r="Q227" s="6" t="s">
        <v>1559</v>
      </c>
      <c r="R227" s="6" t="n">
        <f aca="false">VALUE(LEFT(Q227,4))</f>
        <v>2019</v>
      </c>
      <c r="S227" s="6" t="n">
        <f aca="false">VALUE(MID(Q227,6,2))</f>
        <v>2</v>
      </c>
      <c r="T227" s="6" t="n">
        <f aca="false">VALUE(RIGHT(Q227,2))</f>
        <v>25</v>
      </c>
      <c r="U227" s="6" t="s">
        <v>77</v>
      </c>
      <c r="V227" s="6" t="s">
        <v>78</v>
      </c>
    </row>
    <row r="228" customFormat="false" ht="35.05" hidden="false" customHeight="false" outlineLevel="0" collapsed="false">
      <c r="A228" s="6" t="n">
        <v>227</v>
      </c>
      <c r="B228" s="6" t="s">
        <v>1561</v>
      </c>
      <c r="C228" s="6" t="s">
        <v>1562</v>
      </c>
      <c r="D228" s="6" t="n">
        <f aca="false">VALUE(LEFT(B228,4))</f>
        <v>2019</v>
      </c>
      <c r="E228" s="6" t="n">
        <f aca="false">INT((D228-1)/100)+1</f>
        <v>21</v>
      </c>
      <c r="F228" s="6" t="s">
        <v>1563</v>
      </c>
      <c r="G228" s="6" t="s">
        <v>1564</v>
      </c>
      <c r="H228" s="6" t="s">
        <v>1565</v>
      </c>
      <c r="I228" s="6" t="s">
        <v>1566</v>
      </c>
      <c r="J228" s="6" t="s">
        <v>895</v>
      </c>
      <c r="K228" s="6" t="s">
        <v>1567</v>
      </c>
      <c r="L228" s="6" t="s">
        <v>627</v>
      </c>
      <c r="M228" s="6" t="s">
        <v>628</v>
      </c>
      <c r="N228" s="6" t="s">
        <v>16</v>
      </c>
      <c r="O228" s="6" t="s">
        <v>75</v>
      </c>
      <c r="P228" s="6"/>
      <c r="Q228" s="6" t="s">
        <v>1561</v>
      </c>
      <c r="R228" s="6" t="n">
        <f aca="false">VALUE(LEFT(Q228,4))</f>
        <v>2019</v>
      </c>
      <c r="S228" s="6" t="n">
        <f aca="false">VALUE(MID(Q228,6,2))</f>
        <v>10</v>
      </c>
      <c r="T228" s="6" t="n">
        <f aca="false">VALUE(RIGHT(Q228,2))</f>
        <v>31</v>
      </c>
      <c r="U228" s="6" t="s">
        <v>125</v>
      </c>
      <c r="V228" s="6" t="s">
        <v>126</v>
      </c>
    </row>
    <row r="229" customFormat="false" ht="23.85" hidden="false" customHeight="false" outlineLevel="0" collapsed="false">
      <c r="A229" s="6" t="n">
        <v>228</v>
      </c>
      <c r="B229" s="6" t="s">
        <v>1568</v>
      </c>
      <c r="C229" s="6" t="s">
        <v>1569</v>
      </c>
      <c r="D229" s="6" t="n">
        <f aca="false">VALUE(LEFT(B229,4))</f>
        <v>2019</v>
      </c>
      <c r="E229" s="6" t="n">
        <f aca="false">INT((D229-1)/100)+1</f>
        <v>21</v>
      </c>
      <c r="F229" s="6" t="s">
        <v>139</v>
      </c>
      <c r="G229" s="6" t="s">
        <v>1570</v>
      </c>
      <c r="H229" s="6" t="s">
        <v>942</v>
      </c>
      <c r="I229" s="6" t="s">
        <v>1571</v>
      </c>
      <c r="J229" s="6" t="s">
        <v>719</v>
      </c>
      <c r="K229" s="6"/>
      <c r="L229" s="6" t="s">
        <v>627</v>
      </c>
      <c r="M229" s="6" t="s">
        <v>628</v>
      </c>
      <c r="N229" s="6" t="s">
        <v>16</v>
      </c>
      <c r="O229" s="6" t="s">
        <v>75</v>
      </c>
      <c r="P229" s="6"/>
      <c r="Q229" s="6" t="s">
        <v>1568</v>
      </c>
      <c r="R229" s="6" t="n">
        <f aca="false">VALUE(LEFT(Q229,4))</f>
        <v>2019</v>
      </c>
      <c r="S229" s="6" t="n">
        <f aca="false">VALUE(MID(Q229,6,2))</f>
        <v>12</v>
      </c>
      <c r="T229" s="6" t="n">
        <f aca="false">VALUE(RIGHT(Q229,2))</f>
        <v>1</v>
      </c>
      <c r="U229" s="6" t="s">
        <v>125</v>
      </c>
      <c r="V229" s="6" t="s">
        <v>126</v>
      </c>
    </row>
    <row r="230" customFormat="false" ht="23.85" hidden="false" customHeight="false" outlineLevel="0" collapsed="false">
      <c r="A230" s="6" t="n">
        <v>229</v>
      </c>
      <c r="B230" s="6" t="s">
        <v>1572</v>
      </c>
      <c r="C230" s="6" t="s">
        <v>1572</v>
      </c>
      <c r="D230" s="6" t="n">
        <f aca="false">VALUE(LEFT(B230,4))</f>
        <v>2020</v>
      </c>
      <c r="E230" s="6" t="n">
        <f aca="false">INT((D230-1)/100)+1</f>
        <v>21</v>
      </c>
      <c r="F230" s="6" t="s">
        <v>1573</v>
      </c>
      <c r="G230" s="6" t="s">
        <v>1574</v>
      </c>
      <c r="H230" s="6" t="s">
        <v>1575</v>
      </c>
      <c r="I230" s="6"/>
      <c r="J230" s="6" t="s">
        <v>963</v>
      </c>
      <c r="K230" s="6"/>
      <c r="L230" s="6" t="s">
        <v>627</v>
      </c>
      <c r="M230" s="6" t="s">
        <v>628</v>
      </c>
      <c r="N230" s="6" t="s">
        <v>16</v>
      </c>
      <c r="O230" s="6" t="s">
        <v>75</v>
      </c>
      <c r="P230" s="6" t="s">
        <v>1576</v>
      </c>
      <c r="Q230" s="6" t="s">
        <v>1572</v>
      </c>
      <c r="R230" s="6" t="n">
        <f aca="false">VALUE(LEFT(Q230,4))</f>
        <v>2020</v>
      </c>
      <c r="S230" s="6" t="n">
        <f aca="false">VALUE(MID(Q230,6,2))</f>
        <v>5</v>
      </c>
      <c r="T230" s="6" t="n">
        <f aca="false">VALUE(RIGHT(Q230,2))</f>
        <v>15</v>
      </c>
      <c r="U230" s="6" t="s">
        <v>77</v>
      </c>
      <c r="V230" s="6" t="s">
        <v>78</v>
      </c>
    </row>
    <row r="231" customFormat="false" ht="23.85" hidden="false" customHeight="false" outlineLevel="0" collapsed="false">
      <c r="A231" s="6" t="n">
        <v>230</v>
      </c>
      <c r="B231" s="6" t="s">
        <v>1577</v>
      </c>
      <c r="C231" s="6" t="s">
        <v>1577</v>
      </c>
      <c r="D231" s="6" t="n">
        <f aca="false">VALUE(LEFT(B231,4))</f>
        <v>2020</v>
      </c>
      <c r="E231" s="6" t="n">
        <f aca="false">INT((D231-1)/100)+1</f>
        <v>21</v>
      </c>
      <c r="F231" s="6" t="s">
        <v>67</v>
      </c>
      <c r="G231" s="6" t="s">
        <v>1578</v>
      </c>
      <c r="H231" s="6" t="s">
        <v>942</v>
      </c>
      <c r="I231" s="6" t="s">
        <v>1579</v>
      </c>
      <c r="J231" s="6" t="s">
        <v>719</v>
      </c>
      <c r="K231" s="6"/>
      <c r="L231" s="6" t="s">
        <v>627</v>
      </c>
      <c r="M231" s="6" t="s">
        <v>628</v>
      </c>
      <c r="N231" s="6" t="s">
        <v>16</v>
      </c>
      <c r="O231" s="6" t="s">
        <v>75</v>
      </c>
      <c r="P231" s="6"/>
      <c r="Q231" s="6" t="s">
        <v>1577</v>
      </c>
      <c r="R231" s="6" t="n">
        <f aca="false">VALUE(LEFT(Q231,4))</f>
        <v>2020</v>
      </c>
      <c r="S231" s="6" t="n">
        <f aca="false">VALUE(MID(Q231,6,2))</f>
        <v>8</v>
      </c>
      <c r="T231" s="6" t="n">
        <f aca="false">VALUE(RIGHT(Q231,2))</f>
        <v>4</v>
      </c>
      <c r="U231" s="6" t="s">
        <v>77</v>
      </c>
      <c r="V231" s="6" t="s">
        <v>78</v>
      </c>
    </row>
    <row r="232" customFormat="false" ht="23.85" hidden="false" customHeight="false" outlineLevel="0" collapsed="false">
      <c r="A232" s="6" t="n">
        <v>231</v>
      </c>
      <c r="B232" s="6" t="s">
        <v>1580</v>
      </c>
      <c r="C232" s="6" t="s">
        <v>1580</v>
      </c>
      <c r="D232" s="6" t="n">
        <f aca="false">VALUE(LEFT(B232,4))</f>
        <v>2020</v>
      </c>
      <c r="E232" s="6" t="n">
        <f aca="false">INT((D232-1)/100)+1</f>
        <v>21</v>
      </c>
      <c r="F232" s="6" t="s">
        <v>1208</v>
      </c>
      <c r="G232" s="6" t="s">
        <v>1581</v>
      </c>
      <c r="H232" s="6" t="s">
        <v>942</v>
      </c>
      <c r="I232" s="6" t="s">
        <v>1582</v>
      </c>
      <c r="J232" s="6" t="s">
        <v>963</v>
      </c>
      <c r="K232" s="6"/>
      <c r="L232" s="6" t="s">
        <v>627</v>
      </c>
      <c r="M232" s="6" t="s">
        <v>628</v>
      </c>
      <c r="N232" s="6" t="s">
        <v>16</v>
      </c>
      <c r="O232" s="6" t="s">
        <v>75</v>
      </c>
      <c r="P232" s="6"/>
      <c r="Q232" s="6" t="s">
        <v>1580</v>
      </c>
      <c r="R232" s="6" t="n">
        <f aca="false">VALUE(LEFT(Q232,4))</f>
        <v>2020</v>
      </c>
      <c r="S232" s="6" t="n">
        <f aca="false">VALUE(MID(Q232,6,2))</f>
        <v>10</v>
      </c>
      <c r="T232" s="6" t="n">
        <f aca="false">VALUE(RIGHT(Q232,2))</f>
        <v>7</v>
      </c>
      <c r="U232" s="6" t="s">
        <v>77</v>
      </c>
      <c r="V232" s="6" t="s">
        <v>78</v>
      </c>
    </row>
    <row r="233" customFormat="false" ht="23.85" hidden="false" customHeight="false" outlineLevel="0" collapsed="false">
      <c r="A233" s="6" t="n">
        <v>232</v>
      </c>
      <c r="B233" s="6" t="s">
        <v>1583</v>
      </c>
      <c r="C233" s="6" t="s">
        <v>1584</v>
      </c>
      <c r="D233" s="6" t="n">
        <f aca="false">VALUE(LEFT(B233,4))</f>
        <v>2020</v>
      </c>
      <c r="E233" s="6" t="n">
        <f aca="false">INT((D233-1)/100)+1</f>
        <v>21</v>
      </c>
      <c r="F233" s="6" t="s">
        <v>139</v>
      </c>
      <c r="G233" s="6" t="s">
        <v>1585</v>
      </c>
      <c r="H233" s="6" t="s">
        <v>942</v>
      </c>
      <c r="I233" s="6" t="s">
        <v>1586</v>
      </c>
      <c r="J233" s="6" t="s">
        <v>310</v>
      </c>
      <c r="K233" s="6"/>
      <c r="L233" s="6" t="s">
        <v>627</v>
      </c>
      <c r="M233" s="6" t="s">
        <v>628</v>
      </c>
      <c r="N233" s="6" t="s">
        <v>16</v>
      </c>
      <c r="O233" s="6" t="s">
        <v>75</v>
      </c>
      <c r="P233" s="6" t="s">
        <v>1587</v>
      </c>
      <c r="Q233" s="6" t="s">
        <v>1583</v>
      </c>
      <c r="R233" s="6" t="n">
        <f aca="false">VALUE(LEFT(Q233,4))</f>
        <v>2020</v>
      </c>
      <c r="S233" s="6" t="n">
        <f aca="false">VALUE(MID(Q233,6,2))</f>
        <v>12</v>
      </c>
      <c r="T233" s="6" t="n">
        <f aca="false">VALUE(RIGHT(Q233,2))</f>
        <v>16</v>
      </c>
      <c r="U233" s="6" t="s">
        <v>125</v>
      </c>
      <c r="V233" s="6" t="s">
        <v>126</v>
      </c>
    </row>
    <row r="234" customFormat="false" ht="23.85" hidden="false" customHeight="false" outlineLevel="0" collapsed="false">
      <c r="A234" s="6" t="n">
        <v>233</v>
      </c>
      <c r="B234" s="6" t="s">
        <v>1588</v>
      </c>
      <c r="C234" s="6" t="s">
        <v>1589</v>
      </c>
      <c r="D234" s="6" t="n">
        <f aca="false">VALUE(LEFT(B234,4))</f>
        <v>2020</v>
      </c>
      <c r="E234" s="6" t="n">
        <f aca="false">INT((D234-1)/100)+1</f>
        <v>21</v>
      </c>
      <c r="F234" s="6" t="s">
        <v>1221</v>
      </c>
      <c r="G234" s="6" t="s">
        <v>1590</v>
      </c>
      <c r="H234" s="6" t="s">
        <v>1591</v>
      </c>
      <c r="I234" s="6" t="s">
        <v>1592</v>
      </c>
      <c r="J234" s="6" t="s">
        <v>719</v>
      </c>
      <c r="K234" s="6" t="s">
        <v>1593</v>
      </c>
      <c r="L234" s="6" t="s">
        <v>627</v>
      </c>
      <c r="M234" s="6" t="s">
        <v>628</v>
      </c>
      <c r="N234" s="6" t="s">
        <v>16</v>
      </c>
      <c r="O234" s="6" t="s">
        <v>75</v>
      </c>
      <c r="P234" s="6"/>
      <c r="Q234" s="6" t="s">
        <v>1588</v>
      </c>
      <c r="R234" s="6" t="n">
        <f aca="false">VALUE(LEFT(Q234,4))</f>
        <v>2020</v>
      </c>
      <c r="S234" s="6" t="n">
        <f aca="false">VALUE(MID(Q234,6,2))</f>
        <v>12</v>
      </c>
      <c r="T234" s="6" t="n">
        <f aca="false">VALUE(RIGHT(Q234,2))</f>
        <v>24</v>
      </c>
      <c r="U234" s="6" t="s">
        <v>125</v>
      </c>
      <c r="V234" s="6" t="s">
        <v>126</v>
      </c>
    </row>
    <row r="235" customFormat="false" ht="23.85" hidden="false" customHeight="false" outlineLevel="0" collapsed="false">
      <c r="A235" s="6" t="n">
        <v>234</v>
      </c>
      <c r="B235" s="6" t="s">
        <v>1594</v>
      </c>
      <c r="C235" s="6" t="s">
        <v>1594</v>
      </c>
      <c r="D235" s="6" t="n">
        <f aca="false">VALUE(LEFT(B235,4))</f>
        <v>2021</v>
      </c>
      <c r="E235" s="6" t="n">
        <f aca="false">INT((D235-1)/100)+1</f>
        <v>21</v>
      </c>
      <c r="F235" s="6" t="s">
        <v>1595</v>
      </c>
      <c r="G235" s="6" t="s">
        <v>1596</v>
      </c>
      <c r="H235" s="6" t="s">
        <v>1597</v>
      </c>
      <c r="I235" s="6"/>
      <c r="J235" s="6" t="s">
        <v>963</v>
      </c>
      <c r="K235" s="6" t="s">
        <v>1598</v>
      </c>
      <c r="L235" s="6" t="s">
        <v>627</v>
      </c>
      <c r="M235" s="6" t="s">
        <v>628</v>
      </c>
      <c r="N235" s="6" t="s">
        <v>18</v>
      </c>
      <c r="O235" s="6" t="s">
        <v>75</v>
      </c>
      <c r="P235" s="6" t="s">
        <v>1599</v>
      </c>
      <c r="Q235" s="6" t="s">
        <v>1594</v>
      </c>
      <c r="R235" s="6" t="n">
        <f aca="false">VALUE(LEFT(Q235,4))</f>
        <v>2021</v>
      </c>
      <c r="S235" s="6" t="n">
        <f aca="false">VALUE(MID(Q235,6,2))</f>
        <v>4</v>
      </c>
      <c r="T235" s="6" t="n">
        <f aca="false">VALUE(RIGHT(Q235,2))</f>
        <v>21</v>
      </c>
      <c r="U235" s="6" t="s">
        <v>77</v>
      </c>
      <c r="V235" s="6" t="s">
        <v>78</v>
      </c>
    </row>
    <row r="236" customFormat="false" ht="23.85" hidden="false" customHeight="false" outlineLevel="0" collapsed="false">
      <c r="A236" s="6" t="n">
        <v>235</v>
      </c>
      <c r="B236" s="6" t="s">
        <v>1600</v>
      </c>
      <c r="C236" s="6" t="s">
        <v>1601</v>
      </c>
      <c r="D236" s="6" t="n">
        <f aca="false">VALUE(LEFT(B236,4))</f>
        <v>2021</v>
      </c>
      <c r="E236" s="6" t="n">
        <f aca="false">INT((D236-1)/100)+1</f>
        <v>21</v>
      </c>
      <c r="F236" s="6" t="s">
        <v>1602</v>
      </c>
      <c r="G236" s="6" t="s">
        <v>1603</v>
      </c>
      <c r="H236" s="6" t="s">
        <v>942</v>
      </c>
      <c r="I236" s="6"/>
      <c r="J236" s="6" t="s">
        <v>719</v>
      </c>
      <c r="K236" s="6"/>
      <c r="L236" s="6" t="s">
        <v>627</v>
      </c>
      <c r="M236" s="6" t="s">
        <v>628</v>
      </c>
      <c r="N236" s="6" t="s">
        <v>16</v>
      </c>
      <c r="O236" s="6" t="s">
        <v>75</v>
      </c>
      <c r="P236" s="6"/>
      <c r="Q236" s="6" t="s">
        <v>1604</v>
      </c>
      <c r="R236" s="6" t="n">
        <f aca="false">VALUE(LEFT(Q236,4))</f>
        <v>2021</v>
      </c>
      <c r="S236" s="6" t="n">
        <f aca="false">VALUE(MID(Q236,6,2))</f>
        <v>7</v>
      </c>
      <c r="T236" s="6" t="n">
        <f aca="false">VALUE(RIGHT(Q236,2))</f>
        <v>15</v>
      </c>
      <c r="U236" s="6" t="s">
        <v>317</v>
      </c>
      <c r="V236" s="6" t="s">
        <v>1605</v>
      </c>
    </row>
    <row r="237" customFormat="false" ht="23.85" hidden="false" customHeight="false" outlineLevel="0" collapsed="false">
      <c r="A237" s="6" t="n">
        <v>236</v>
      </c>
      <c r="B237" s="6" t="s">
        <v>1606</v>
      </c>
      <c r="C237" s="6" t="s">
        <v>1607</v>
      </c>
      <c r="D237" s="6" t="n">
        <f aca="false">VALUE(LEFT(B237,4))</f>
        <v>2021</v>
      </c>
      <c r="E237" s="6" t="n">
        <f aca="false">INT((D237-1)/100)+1</f>
        <v>21</v>
      </c>
      <c r="F237" s="6" t="s">
        <v>1383</v>
      </c>
      <c r="G237" s="6" t="s">
        <v>1608</v>
      </c>
      <c r="H237" s="6" t="s">
        <v>1609</v>
      </c>
      <c r="I237" s="6" t="s">
        <v>1610</v>
      </c>
      <c r="J237" s="6" t="s">
        <v>719</v>
      </c>
      <c r="K237" s="6" t="s">
        <v>1611</v>
      </c>
      <c r="L237" s="6" t="s">
        <v>627</v>
      </c>
      <c r="M237" s="6" t="s">
        <v>628</v>
      </c>
      <c r="N237" s="6" t="s">
        <v>16</v>
      </c>
      <c r="O237" s="6" t="s">
        <v>75</v>
      </c>
      <c r="P237" s="6"/>
      <c r="Q237" s="6" t="s">
        <v>1606</v>
      </c>
      <c r="R237" s="6" t="n">
        <f aca="false">VALUE(LEFT(Q237,4))</f>
        <v>2021</v>
      </c>
      <c r="S237" s="6" t="n">
        <f aca="false">VALUE(MID(Q237,6,2))</f>
        <v>9</v>
      </c>
      <c r="T237" s="6" t="n">
        <f aca="false">VALUE(RIGHT(Q237,2))</f>
        <v>1</v>
      </c>
      <c r="U237" s="6" t="s">
        <v>125</v>
      </c>
      <c r="V237" s="6" t="s">
        <v>126</v>
      </c>
    </row>
    <row r="238" customFormat="false" ht="23.85" hidden="false" customHeight="false" outlineLevel="0" collapsed="false">
      <c r="A238" s="6" t="n">
        <v>237</v>
      </c>
      <c r="B238" s="6" t="s">
        <v>1612</v>
      </c>
      <c r="C238" s="6" t="s">
        <v>1613</v>
      </c>
      <c r="D238" s="6" t="n">
        <f aca="false">VALUE(LEFT(B238,4))</f>
        <v>2022</v>
      </c>
      <c r="E238" s="6" t="n">
        <f aca="false">INT((D238-1)/100)+1</f>
        <v>21</v>
      </c>
      <c r="F238" s="6" t="s">
        <v>806</v>
      </c>
      <c r="G238" s="6" t="s">
        <v>1614</v>
      </c>
      <c r="H238" s="6" t="s">
        <v>942</v>
      </c>
      <c r="I238" s="6"/>
      <c r="J238" s="6" t="s">
        <v>719</v>
      </c>
      <c r="K238" s="6"/>
      <c r="L238" s="6" t="s">
        <v>627</v>
      </c>
      <c r="M238" s="6" t="s">
        <v>628</v>
      </c>
      <c r="N238" s="6" t="s">
        <v>16</v>
      </c>
      <c r="O238" s="6" t="s">
        <v>75</v>
      </c>
      <c r="P238" s="6"/>
      <c r="Q238" s="6" t="s">
        <v>1612</v>
      </c>
      <c r="R238" s="6" t="n">
        <f aca="false">VALUE(LEFT(Q238,4))</f>
        <v>2022</v>
      </c>
      <c r="S238" s="6" t="n">
        <f aca="false">VALUE(MID(Q238,6,2))</f>
        <v>2</v>
      </c>
      <c r="T238" s="6" t="n">
        <f aca="false">VALUE(RIGHT(Q238,2))</f>
        <v>3</v>
      </c>
      <c r="U238" s="6" t="s">
        <v>125</v>
      </c>
      <c r="V238" s="6" t="s">
        <v>126</v>
      </c>
    </row>
    <row r="239" customFormat="false" ht="23.85" hidden="false" customHeight="false" outlineLevel="0" collapsed="false">
      <c r="A239" s="6" t="n">
        <v>238</v>
      </c>
      <c r="B239" s="6" t="s">
        <v>1615</v>
      </c>
      <c r="C239" s="6" t="s">
        <v>1616</v>
      </c>
      <c r="D239" s="6" t="n">
        <f aca="false">VALUE(LEFT(B239,4))</f>
        <v>2022</v>
      </c>
      <c r="E239" s="6" t="n">
        <f aca="false">INT((D239-1)/100)+1</f>
        <v>21</v>
      </c>
      <c r="F239" s="6" t="s">
        <v>886</v>
      </c>
      <c r="G239" s="6" t="s">
        <v>1617</v>
      </c>
      <c r="H239" s="6" t="s">
        <v>942</v>
      </c>
      <c r="I239" s="6"/>
      <c r="J239" s="6" t="s">
        <v>719</v>
      </c>
      <c r="K239" s="6"/>
      <c r="L239" s="6" t="s">
        <v>627</v>
      </c>
      <c r="M239" s="6" t="s">
        <v>628</v>
      </c>
      <c r="N239" s="6" t="s">
        <v>16</v>
      </c>
      <c r="O239" s="6" t="s">
        <v>75</v>
      </c>
      <c r="P239" s="6"/>
      <c r="Q239" s="6" t="s">
        <v>1615</v>
      </c>
      <c r="R239" s="6" t="n">
        <f aca="false">VALUE(LEFT(Q239,4))</f>
        <v>2022</v>
      </c>
      <c r="S239" s="6" t="n">
        <f aca="false">VALUE(MID(Q239,6,2))</f>
        <v>4</v>
      </c>
      <c r="T239" s="6" t="n">
        <f aca="false">VALUE(RIGHT(Q239,2))</f>
        <v>18</v>
      </c>
      <c r="U239" s="6" t="s">
        <v>125</v>
      </c>
      <c r="V239" s="6" t="s">
        <v>126</v>
      </c>
    </row>
    <row r="240" customFormat="false" ht="23.85" hidden="false" customHeight="false" outlineLevel="0" collapsed="false">
      <c r="A240" s="6" t="n">
        <v>239</v>
      </c>
      <c r="B240" s="6" t="s">
        <v>1618</v>
      </c>
      <c r="C240" s="6" t="s">
        <v>1619</v>
      </c>
      <c r="D240" s="6" t="n">
        <f aca="false">VALUE(LEFT(B240,4))</f>
        <v>2022</v>
      </c>
      <c r="E240" s="6" t="n">
        <f aca="false">INT((D240-1)/100)+1</f>
        <v>21</v>
      </c>
      <c r="F240" s="6" t="s">
        <v>159</v>
      </c>
      <c r="G240" s="6" t="s">
        <v>1620</v>
      </c>
      <c r="H240" s="6" t="s">
        <v>942</v>
      </c>
      <c r="I240" s="6"/>
      <c r="J240" s="6" t="s">
        <v>719</v>
      </c>
      <c r="K240" s="6"/>
      <c r="L240" s="6" t="s">
        <v>627</v>
      </c>
      <c r="M240" s="6" t="s">
        <v>628</v>
      </c>
      <c r="N240" s="6" t="s">
        <v>16</v>
      </c>
      <c r="O240" s="6" t="s">
        <v>75</v>
      </c>
      <c r="P240" s="6"/>
      <c r="Q240" s="6" t="s">
        <v>1618</v>
      </c>
      <c r="R240" s="6" t="n">
        <f aca="false">VALUE(LEFT(Q240,4))</f>
        <v>2022</v>
      </c>
      <c r="S240" s="6" t="n">
        <f aca="false">VALUE(MID(Q240,6,2))</f>
        <v>12</v>
      </c>
      <c r="T240" s="6" t="n">
        <f aca="false">VALUE(RIGHT(Q240,2))</f>
        <v>15</v>
      </c>
      <c r="U240" s="6" t="s">
        <v>125</v>
      </c>
      <c r="V240" s="6" t="s">
        <v>126</v>
      </c>
    </row>
    <row r="241" customFormat="false" ht="23.85" hidden="false" customHeight="false" outlineLevel="0" collapsed="false">
      <c r="A241" s="6" t="n">
        <v>240</v>
      </c>
      <c r="B241" s="6" t="s">
        <v>1621</v>
      </c>
      <c r="C241" s="6" t="s">
        <v>1622</v>
      </c>
      <c r="D241" s="6" t="n">
        <f aca="false">VALUE(LEFT(B241,4))</f>
        <v>2023</v>
      </c>
      <c r="E241" s="6" t="n">
        <f aca="false">INT((D241-1)/100)+1</f>
        <v>21</v>
      </c>
      <c r="F241" s="6" t="s">
        <v>238</v>
      </c>
      <c r="G241" s="6" t="s">
        <v>1623</v>
      </c>
      <c r="H241" s="6" t="s">
        <v>942</v>
      </c>
      <c r="I241" s="6" t="s">
        <v>1624</v>
      </c>
      <c r="J241" s="6" t="s">
        <v>719</v>
      </c>
      <c r="K241" s="6"/>
      <c r="L241" s="6" t="s">
        <v>627</v>
      </c>
      <c r="M241" s="6" t="s">
        <v>628</v>
      </c>
      <c r="N241" s="6" t="s">
        <v>16</v>
      </c>
      <c r="O241" s="6" t="s">
        <v>75</v>
      </c>
      <c r="P241" s="6"/>
      <c r="Q241" s="6" t="s">
        <v>1621</v>
      </c>
      <c r="R241" s="6" t="n">
        <f aca="false">VALUE(LEFT(Q241,4))</f>
        <v>2023</v>
      </c>
      <c r="S241" s="6" t="n">
        <f aca="false">VALUE(MID(Q241,6,2))</f>
        <v>2</v>
      </c>
      <c r="T241" s="6" t="n">
        <f aca="false">VALUE(RIGHT(Q241,2))</f>
        <v>3</v>
      </c>
      <c r="U241" s="6" t="s">
        <v>125</v>
      </c>
      <c r="V241" s="6" t="s">
        <v>126</v>
      </c>
    </row>
    <row r="242" customFormat="false" ht="23.85" hidden="false" customHeight="false" outlineLevel="0" collapsed="false">
      <c r="A242" s="6" t="n">
        <v>241</v>
      </c>
      <c r="B242" s="6" t="s">
        <v>1625</v>
      </c>
      <c r="C242" s="6" t="s">
        <v>1626</v>
      </c>
      <c r="D242" s="6" t="n">
        <f aca="false">VALUE(LEFT(B242,4))</f>
        <v>2023</v>
      </c>
      <c r="E242" s="6" t="n">
        <f aca="false">INT((D242-1)/100)+1</f>
        <v>21</v>
      </c>
      <c r="F242" s="6" t="s">
        <v>159</v>
      </c>
      <c r="G242" s="6" t="s">
        <v>1627</v>
      </c>
      <c r="H242" s="6" t="s">
        <v>1628</v>
      </c>
      <c r="I242" s="6" t="s">
        <v>1629</v>
      </c>
      <c r="J242" s="6" t="s">
        <v>719</v>
      </c>
      <c r="K242" s="6"/>
      <c r="L242" s="6" t="s">
        <v>627</v>
      </c>
      <c r="M242" s="6" t="s">
        <v>628</v>
      </c>
      <c r="N242" s="6" t="s">
        <v>16</v>
      </c>
      <c r="O242" s="6" t="s">
        <v>75</v>
      </c>
      <c r="P242" s="6"/>
      <c r="Q242" s="6" t="s">
        <v>1625</v>
      </c>
      <c r="R242" s="6" t="n">
        <f aca="false">VALUE(LEFT(Q242,4))</f>
        <v>2023</v>
      </c>
      <c r="S242" s="6" t="n">
        <f aca="false">VALUE(MID(Q242,6,2))</f>
        <v>3</v>
      </c>
      <c r="T242" s="6" t="n">
        <f aca="false">VALUE(RIGHT(Q242,2))</f>
        <v>13</v>
      </c>
      <c r="U242" s="6" t="s">
        <v>125</v>
      </c>
      <c r="V242" s="6" t="s">
        <v>126</v>
      </c>
    </row>
    <row r="243" customFormat="false" ht="15" hidden="false" customHeight="false" outlineLevel="0" collapsed="false">
      <c r="A243" s="6" t="n">
        <v>242</v>
      </c>
      <c r="B243" s="6" t="s">
        <v>1630</v>
      </c>
      <c r="C243" s="6" t="s">
        <v>1630</v>
      </c>
      <c r="D243" s="6" t="n">
        <f aca="false">VALUE(LEFT(B243,4))</f>
        <v>2023</v>
      </c>
      <c r="E243" s="6" t="n">
        <f aca="false">INT((D243-1)/100)+1</f>
        <v>21</v>
      </c>
      <c r="F243" s="6" t="s">
        <v>1491</v>
      </c>
      <c r="G243" s="6" t="s">
        <v>1631</v>
      </c>
      <c r="H243" s="6" t="s">
        <v>1632</v>
      </c>
      <c r="I243" s="6" t="s">
        <v>1633</v>
      </c>
      <c r="J243" s="6" t="s">
        <v>332</v>
      </c>
      <c r="K243" s="6" t="s">
        <v>1634</v>
      </c>
      <c r="L243" s="6" t="s">
        <v>1635</v>
      </c>
      <c r="M243" s="6" t="s">
        <v>1636</v>
      </c>
      <c r="N243" s="6" t="s">
        <v>18</v>
      </c>
      <c r="O243" s="6" t="s">
        <v>75</v>
      </c>
      <c r="P243" s="6"/>
      <c r="Q243" s="6" t="s">
        <v>1630</v>
      </c>
      <c r="R243" s="6" t="n">
        <f aca="false">VALUE(LEFT(Q243,4))</f>
        <v>2023</v>
      </c>
      <c r="S243" s="6" t="n">
        <f aca="false">VALUE(MID(Q243,6,2))</f>
        <v>3</v>
      </c>
      <c r="T243" s="6" t="n">
        <f aca="false">VALUE(RIGHT(Q243,2))</f>
        <v>17</v>
      </c>
      <c r="U243" s="6" t="s">
        <v>77</v>
      </c>
      <c r="V243" s="6" t="s">
        <v>78</v>
      </c>
    </row>
    <row r="244" customFormat="false" ht="23.85" hidden="false" customHeight="false" outlineLevel="0" collapsed="false">
      <c r="A244" s="6" t="n">
        <v>243</v>
      </c>
      <c r="B244" s="6" t="s">
        <v>1637</v>
      </c>
      <c r="C244" s="6" t="s">
        <v>1637</v>
      </c>
      <c r="D244" s="6" t="n">
        <f aca="false">VALUE(LEFT(B244,4))</f>
        <v>2023</v>
      </c>
      <c r="E244" s="6" t="n">
        <f aca="false">INT((D244-1)/100)+1</f>
        <v>21</v>
      </c>
      <c r="F244" s="6" t="s">
        <v>459</v>
      </c>
      <c r="G244" s="6" t="s">
        <v>1638</v>
      </c>
      <c r="H244" s="6" t="s">
        <v>574</v>
      </c>
      <c r="I244" s="6" t="s">
        <v>1639</v>
      </c>
      <c r="J244" s="6" t="s">
        <v>719</v>
      </c>
      <c r="K244" s="6" t="s">
        <v>1640</v>
      </c>
      <c r="L244" s="6" t="s">
        <v>569</v>
      </c>
      <c r="M244" s="6"/>
      <c r="N244" s="6" t="s">
        <v>18</v>
      </c>
      <c r="O244" s="6" t="s">
        <v>94</v>
      </c>
      <c r="P244" s="6" t="s">
        <v>1641</v>
      </c>
      <c r="Q244" s="6" t="s">
        <v>1637</v>
      </c>
      <c r="R244" s="6" t="n">
        <f aca="false">VALUE(LEFT(Q244,4))</f>
        <v>2023</v>
      </c>
      <c r="S244" s="6" t="n">
        <f aca="false">VALUE(MID(Q244,6,2))</f>
        <v>5</v>
      </c>
      <c r="T244" s="6" t="n">
        <f aca="false">VALUE(RIGHT(Q244,2))</f>
        <v>18</v>
      </c>
      <c r="U244" s="6" t="s">
        <v>77</v>
      </c>
      <c r="V244" s="6" t="s">
        <v>78</v>
      </c>
    </row>
    <row r="245" customFormat="false" ht="23.85" hidden="false" customHeight="false" outlineLevel="0" collapsed="false">
      <c r="A245" s="6" t="n">
        <v>244</v>
      </c>
      <c r="B245" s="6" t="s">
        <v>1642</v>
      </c>
      <c r="C245" s="6" t="s">
        <v>1643</v>
      </c>
      <c r="D245" s="6" t="n">
        <f aca="false">VALUE(LEFT(B245,4))</f>
        <v>2023</v>
      </c>
      <c r="E245" s="6" t="n">
        <f aca="false">INT((D245-1)/100)+1</f>
        <v>21</v>
      </c>
      <c r="F245" s="6" t="s">
        <v>1644</v>
      </c>
      <c r="G245" s="6" t="s">
        <v>1645</v>
      </c>
      <c r="H245" s="6" t="s">
        <v>1646</v>
      </c>
      <c r="I245" s="6" t="s">
        <v>1647</v>
      </c>
      <c r="J245" s="6" t="s">
        <v>719</v>
      </c>
      <c r="K245" s="6" t="s">
        <v>1648</v>
      </c>
      <c r="L245" s="6" t="s">
        <v>627</v>
      </c>
      <c r="M245" s="6" t="s">
        <v>628</v>
      </c>
      <c r="N245" s="6" t="s">
        <v>16</v>
      </c>
      <c r="O245" s="6" t="s">
        <v>75</v>
      </c>
      <c r="P245" s="6"/>
      <c r="Q245" s="6" t="s">
        <v>1642</v>
      </c>
      <c r="R245" s="6" t="n">
        <f aca="false">VALUE(LEFT(Q245,4))</f>
        <v>2023</v>
      </c>
      <c r="S245" s="6" t="n">
        <f aca="false">VALUE(MID(Q245,6,2))</f>
        <v>7</v>
      </c>
      <c r="T245" s="6" t="n">
        <f aca="false">VALUE(RIGHT(Q245,2))</f>
        <v>9</v>
      </c>
      <c r="U245" s="6" t="s">
        <v>125</v>
      </c>
      <c r="V245" s="6" t="s">
        <v>126</v>
      </c>
    </row>
    <row r="246" customFormat="false" ht="23.85" hidden="false" customHeight="false" outlineLevel="0" collapsed="false">
      <c r="A246" s="6" t="n">
        <v>245</v>
      </c>
      <c r="B246" s="6" t="s">
        <v>1649</v>
      </c>
      <c r="C246" s="6" t="s">
        <v>1649</v>
      </c>
      <c r="D246" s="6" t="n">
        <f aca="false">VALUE(LEFT(B246,4))</f>
        <v>2023</v>
      </c>
      <c r="E246" s="6" t="n">
        <f aca="false">INT((D246-1)/100)+1</f>
        <v>21</v>
      </c>
      <c r="F246" s="6" t="s">
        <v>129</v>
      </c>
      <c r="G246" s="6" t="s">
        <v>1650</v>
      </c>
      <c r="H246" s="6" t="s">
        <v>942</v>
      </c>
      <c r="I246" s="6"/>
      <c r="J246" s="6" t="s">
        <v>719</v>
      </c>
      <c r="K246" s="6"/>
      <c r="L246" s="6" t="s">
        <v>627</v>
      </c>
      <c r="M246" s="6" t="s">
        <v>628</v>
      </c>
      <c r="N246" s="6" t="s">
        <v>16</v>
      </c>
      <c r="O246" s="6" t="s">
        <v>75</v>
      </c>
      <c r="P246" s="6"/>
      <c r="Q246" s="6" t="s">
        <v>1649</v>
      </c>
      <c r="R246" s="6" t="n">
        <f aca="false">VALUE(LEFT(Q246,4))</f>
        <v>2023</v>
      </c>
      <c r="S246" s="6" t="n">
        <f aca="false">VALUE(MID(Q246,6,2))</f>
        <v>12</v>
      </c>
      <c r="T246" s="6" t="n">
        <f aca="false">VALUE(RIGHT(Q246,2))</f>
        <v>18</v>
      </c>
      <c r="U246" s="6" t="s">
        <v>77</v>
      </c>
      <c r="V246" s="6" t="s">
        <v>78</v>
      </c>
    </row>
    <row r="247" customFormat="false" ht="23.85" hidden="false" customHeight="false" outlineLevel="0" collapsed="false">
      <c r="A247" s="6" t="n">
        <v>246</v>
      </c>
      <c r="B247" s="6" t="s">
        <v>1651</v>
      </c>
      <c r="C247" s="6" t="s">
        <v>1652</v>
      </c>
      <c r="D247" s="6" t="n">
        <f aca="false">VALUE(LEFT(B247,4))</f>
        <v>2024</v>
      </c>
      <c r="E247" s="6" t="n">
        <f aca="false">INT((D247-1)/100)+1</f>
        <v>21</v>
      </c>
      <c r="F247" s="6" t="s">
        <v>1653</v>
      </c>
      <c r="G247" s="6" t="s">
        <v>1654</v>
      </c>
      <c r="H247" s="6" t="s">
        <v>942</v>
      </c>
      <c r="I247" s="6"/>
      <c r="J247" s="6" t="s">
        <v>719</v>
      </c>
      <c r="K247" s="6"/>
      <c r="L247" s="6" t="s">
        <v>627</v>
      </c>
      <c r="M247" s="6" t="s">
        <v>628</v>
      </c>
      <c r="N247" s="6" t="s">
        <v>16</v>
      </c>
      <c r="O247" s="6" t="s">
        <v>75</v>
      </c>
      <c r="P247" s="6"/>
      <c r="Q247" s="6" t="s">
        <v>1651</v>
      </c>
      <c r="R247" s="6" t="n">
        <f aca="false">VALUE(LEFT(Q247,4))</f>
        <v>2024</v>
      </c>
      <c r="S247" s="6" t="n">
        <f aca="false">VALUE(MID(Q247,6,2))</f>
        <v>3</v>
      </c>
      <c r="T247" s="6" t="n">
        <f aca="false">VALUE(RIGHT(Q247,2))</f>
        <v>22</v>
      </c>
      <c r="U247" s="6" t="s">
        <v>125</v>
      </c>
      <c r="V247" s="6" t="s">
        <v>126</v>
      </c>
    </row>
    <row r="248" customFormat="false" ht="23.85" hidden="false" customHeight="false" outlineLevel="0" collapsed="false">
      <c r="A248" s="6" t="n">
        <v>247</v>
      </c>
      <c r="B248" s="6" t="s">
        <v>1655</v>
      </c>
      <c r="C248" s="6" t="s">
        <v>1656</v>
      </c>
      <c r="D248" s="6" t="n">
        <f aca="false">VALUE(LEFT(B248,4))</f>
        <v>2024</v>
      </c>
      <c r="E248" s="6" t="n">
        <f aca="false">INT((D248-1)/100)+1</f>
        <v>21</v>
      </c>
      <c r="F248" s="6" t="s">
        <v>1657</v>
      </c>
      <c r="G248" s="6" t="s">
        <v>1658</v>
      </c>
      <c r="H248" s="6" t="s">
        <v>942</v>
      </c>
      <c r="I248" s="6"/>
      <c r="J248" s="6" t="s">
        <v>719</v>
      </c>
      <c r="K248" s="6"/>
      <c r="L248" s="6" t="s">
        <v>627</v>
      </c>
      <c r="M248" s="6" t="s">
        <v>628</v>
      </c>
      <c r="N248" s="6" t="s">
        <v>16</v>
      </c>
      <c r="O248" s="6" t="s">
        <v>75</v>
      </c>
      <c r="P248" s="6"/>
      <c r="Q248" s="6" t="s">
        <v>1655</v>
      </c>
      <c r="R248" s="6" t="n">
        <f aca="false">VALUE(LEFT(Q248,4))</f>
        <v>2024</v>
      </c>
      <c r="S248" s="6" t="n">
        <f aca="false">VALUE(MID(Q248,6,2))</f>
        <v>4</v>
      </c>
      <c r="T248" s="6" t="n">
        <f aca="false">VALUE(RIGHT(Q248,2))</f>
        <v>3</v>
      </c>
      <c r="U248" s="6" t="s">
        <v>125</v>
      </c>
      <c r="V248" s="6" t="s">
        <v>126</v>
      </c>
    </row>
    <row r="249" customFormat="false" ht="23.85" hidden="false" customHeight="false" outlineLevel="0" collapsed="false">
      <c r="A249" s="6" t="n">
        <v>248</v>
      </c>
      <c r="B249" s="6" t="s">
        <v>1659</v>
      </c>
      <c r="C249" s="6" t="s">
        <v>1659</v>
      </c>
      <c r="D249" s="6" t="n">
        <f aca="false">VALUE(LEFT(B249,4))</f>
        <v>2024</v>
      </c>
      <c r="E249" s="6" t="n">
        <f aca="false">INT((D249-1)/100)+1</f>
        <v>21</v>
      </c>
      <c r="F249" s="6" t="s">
        <v>580</v>
      </c>
      <c r="G249" s="6" t="s">
        <v>1660</v>
      </c>
      <c r="H249" s="6" t="s">
        <v>1661</v>
      </c>
      <c r="I249" s="6" t="s">
        <v>1662</v>
      </c>
      <c r="J249" s="6" t="s">
        <v>332</v>
      </c>
      <c r="K249" s="6"/>
      <c r="L249" s="6" t="s">
        <v>1663</v>
      </c>
      <c r="M249" s="6" t="s">
        <v>1664</v>
      </c>
      <c r="N249" s="6" t="s">
        <v>18</v>
      </c>
      <c r="O249" s="6" t="s">
        <v>75</v>
      </c>
      <c r="P249" s="6" t="s">
        <v>1665</v>
      </c>
      <c r="Q249" s="6" t="s">
        <v>1659</v>
      </c>
      <c r="R249" s="6" t="n">
        <f aca="false">VALUE(LEFT(Q249,4))</f>
        <v>2024</v>
      </c>
      <c r="S249" s="6" t="n">
        <f aca="false">VALUE(MID(Q249,6,2))</f>
        <v>5</v>
      </c>
      <c r="T249" s="6" t="n">
        <f aca="false">VALUE(RIGHT(Q249,2))</f>
        <v>7</v>
      </c>
      <c r="U249" s="6" t="s">
        <v>77</v>
      </c>
      <c r="V249" s="6" t="s">
        <v>78</v>
      </c>
    </row>
    <row r="250" customFormat="false" ht="23.85" hidden="false" customHeight="false" outlineLevel="0" collapsed="false">
      <c r="A250" s="6" t="n">
        <v>249</v>
      </c>
      <c r="B250" s="6" t="s">
        <v>1666</v>
      </c>
      <c r="C250" s="6" t="s">
        <v>1666</v>
      </c>
      <c r="D250" s="6" t="n">
        <f aca="false">VALUE(LEFT(B250,4))</f>
        <v>2024</v>
      </c>
      <c r="E250" s="6" t="n">
        <f aca="false">INT((D250-1)/100)+1</f>
        <v>21</v>
      </c>
      <c r="F250" s="6" t="s">
        <v>1667</v>
      </c>
      <c r="G250" s="6" t="s">
        <v>1668</v>
      </c>
      <c r="H250" s="6" t="s">
        <v>942</v>
      </c>
      <c r="I250" s="6"/>
      <c r="J250" s="6" t="s">
        <v>719</v>
      </c>
      <c r="K250" s="6"/>
      <c r="L250" s="6" t="s">
        <v>627</v>
      </c>
      <c r="M250" s="6" t="s">
        <v>628</v>
      </c>
      <c r="N250" s="6" t="s">
        <v>16</v>
      </c>
      <c r="O250" s="6" t="s">
        <v>75</v>
      </c>
      <c r="P250" s="6"/>
      <c r="Q250" s="6" t="s">
        <v>1666</v>
      </c>
      <c r="R250" s="6" t="n">
        <f aca="false">VALUE(LEFT(Q250,4))</f>
        <v>2024</v>
      </c>
      <c r="S250" s="6" t="n">
        <f aca="false">VALUE(MID(Q250,6,2))</f>
        <v>7</v>
      </c>
      <c r="T250" s="6" t="n">
        <f aca="false">VALUE(RIGHT(Q250,2))</f>
        <v>16</v>
      </c>
      <c r="U250" s="6" t="s">
        <v>77</v>
      </c>
      <c r="V250" s="6" t="s">
        <v>78</v>
      </c>
    </row>
    <row r="251" customFormat="false" ht="23.85" hidden="false" customHeight="false" outlineLevel="0" collapsed="false">
      <c r="A251" s="6" t="n">
        <v>250</v>
      </c>
      <c r="B251" s="6" t="s">
        <v>1669</v>
      </c>
      <c r="C251" s="6" t="s">
        <v>1669</v>
      </c>
      <c r="D251" s="6" t="n">
        <f aca="false">VALUE(LEFT(B251,4))</f>
        <v>2024</v>
      </c>
      <c r="E251" s="6" t="n">
        <f aca="false">INT((D251-1)/100)+1</f>
        <v>21</v>
      </c>
      <c r="F251" s="6" t="s">
        <v>1383</v>
      </c>
      <c r="G251" s="6" t="s">
        <v>1670</v>
      </c>
      <c r="H251" s="6" t="s">
        <v>942</v>
      </c>
      <c r="I251" s="6"/>
      <c r="J251" s="6" t="s">
        <v>719</v>
      </c>
      <c r="K251" s="6"/>
      <c r="L251" s="6" t="s">
        <v>627</v>
      </c>
      <c r="M251" s="6" t="s">
        <v>628</v>
      </c>
      <c r="N251" s="6" t="s">
        <v>16</v>
      </c>
      <c r="O251" s="6" t="s">
        <v>75</v>
      </c>
      <c r="P251" s="6"/>
      <c r="Q251" s="6" t="s">
        <v>1669</v>
      </c>
      <c r="R251" s="6" t="n">
        <f aca="false">VALUE(LEFT(Q251,4))</f>
        <v>2024</v>
      </c>
      <c r="S251" s="6" t="n">
        <f aca="false">VALUE(MID(Q251,6,2))</f>
        <v>8</v>
      </c>
      <c r="T251" s="6" t="n">
        <f aca="false">VALUE(RIGHT(Q251,2))</f>
        <v>9</v>
      </c>
      <c r="U251" s="6" t="s">
        <v>77</v>
      </c>
      <c r="V251" s="6" t="s">
        <v>78</v>
      </c>
    </row>
    <row r="252" customFormat="false" ht="23.85" hidden="false" customHeight="false" outlineLevel="0" collapsed="false">
      <c r="A252" s="6" t="n">
        <v>251</v>
      </c>
      <c r="B252" s="6" t="s">
        <v>1671</v>
      </c>
      <c r="C252" s="6" t="s">
        <v>1672</v>
      </c>
      <c r="D252" s="6" t="n">
        <f aca="false">VALUE(LEFT(B252,4))</f>
        <v>2024</v>
      </c>
      <c r="E252" s="6" t="n">
        <f aca="false">INT((D252-1)/100)+1</f>
        <v>21</v>
      </c>
      <c r="F252" s="6" t="s">
        <v>1673</v>
      </c>
      <c r="G252" s="6" t="s">
        <v>1674</v>
      </c>
      <c r="H252" s="6" t="s">
        <v>574</v>
      </c>
      <c r="I252" s="6" t="s">
        <v>1675</v>
      </c>
      <c r="J252" s="6" t="s">
        <v>719</v>
      </c>
      <c r="K252" s="6" t="s">
        <v>1676</v>
      </c>
      <c r="L252" s="6" t="s">
        <v>569</v>
      </c>
      <c r="M252" s="6"/>
      <c r="N252" s="6" t="s">
        <v>18</v>
      </c>
      <c r="O252" s="6" t="s">
        <v>94</v>
      </c>
      <c r="P252" s="6"/>
      <c r="Q252" s="6" t="s">
        <v>1677</v>
      </c>
      <c r="R252" s="6" t="n">
        <f aca="false">VALUE(LEFT(Q252,4))</f>
        <v>2024</v>
      </c>
      <c r="S252" s="6" t="n">
        <f aca="false">VALUE(MID(Q252,6,2))</f>
        <v>11</v>
      </c>
      <c r="T252" s="6" t="n">
        <f aca="false">VALUE(RIGHT(Q252,2))</f>
        <v>9</v>
      </c>
      <c r="U252" s="6" t="s">
        <v>125</v>
      </c>
      <c r="V252" s="6" t="s">
        <v>1678</v>
      </c>
    </row>
    <row r="253" customFormat="false" ht="23.85" hidden="false" customHeight="false" outlineLevel="0" collapsed="false">
      <c r="A253" s="6" t="n">
        <v>252</v>
      </c>
      <c r="B253" s="6" t="s">
        <v>1679</v>
      </c>
      <c r="C253" s="6" t="s">
        <v>1680</v>
      </c>
      <c r="D253" s="6" t="n">
        <f aca="false">VALUE(LEFT(B253,4))</f>
        <v>2025</v>
      </c>
      <c r="E253" s="6" t="n">
        <f aca="false">INT((D253-1)/100)+1</f>
        <v>21</v>
      </c>
      <c r="F253" s="6" t="s">
        <v>1681</v>
      </c>
      <c r="G253" s="6" t="s">
        <v>1682</v>
      </c>
      <c r="H253" s="6" t="s">
        <v>942</v>
      </c>
      <c r="I253" s="6"/>
      <c r="J253" s="6" t="s">
        <v>719</v>
      </c>
      <c r="K253" s="6"/>
      <c r="L253" s="6" t="s">
        <v>627</v>
      </c>
      <c r="M253" s="6" t="s">
        <v>628</v>
      </c>
      <c r="N253" s="6" t="s">
        <v>16</v>
      </c>
      <c r="O253" s="6" t="s">
        <v>75</v>
      </c>
      <c r="P253" s="6"/>
      <c r="Q253" s="6" t="s">
        <v>1679</v>
      </c>
      <c r="R253" s="6" t="n">
        <f aca="false">VALUE(LEFT(Q253,4))</f>
        <v>2025</v>
      </c>
      <c r="S253" s="6" t="n">
        <f aca="false">VALUE(MID(Q253,6,2))</f>
        <v>1</v>
      </c>
      <c r="T253" s="6" t="n">
        <f aca="false">VALUE(RIGHT(Q253,2))</f>
        <v>1</v>
      </c>
      <c r="U253" s="6" t="s">
        <v>125</v>
      </c>
      <c r="V253" s="6" t="s">
        <v>126</v>
      </c>
    </row>
    <row r="254" customFormat="false" ht="23.85" hidden="false" customHeight="false" outlineLevel="0" collapsed="false">
      <c r="A254" s="6" t="n">
        <v>253</v>
      </c>
      <c r="B254" s="6" t="s">
        <v>1683</v>
      </c>
      <c r="C254" s="6" t="s">
        <v>1684</v>
      </c>
      <c r="D254" s="6" t="n">
        <f aca="false">VALUE(LEFT(B254,4))</f>
        <v>2025</v>
      </c>
      <c r="E254" s="6" t="n">
        <f aca="false">INT((D254-1)/100)+1</f>
        <v>21</v>
      </c>
      <c r="F254" s="6" t="s">
        <v>830</v>
      </c>
      <c r="G254" s="6" t="s">
        <v>1685</v>
      </c>
      <c r="H254" s="6" t="s">
        <v>1686</v>
      </c>
      <c r="I254" s="6" t="s">
        <v>1687</v>
      </c>
      <c r="J254" s="6" t="s">
        <v>1688</v>
      </c>
      <c r="K254" s="6" t="s">
        <v>1689</v>
      </c>
      <c r="L254" s="6" t="s">
        <v>1213</v>
      </c>
      <c r="M254" s="6" t="s">
        <v>1214</v>
      </c>
      <c r="N254" s="6" t="s">
        <v>16</v>
      </c>
      <c r="O254" s="6" t="s">
        <v>75</v>
      </c>
      <c r="P254" s="6" t="s">
        <v>1690</v>
      </c>
      <c r="Q254" s="6" t="s">
        <v>1683</v>
      </c>
      <c r="R254" s="6" t="n">
        <f aca="false">VALUE(LEFT(Q254,4))</f>
        <v>2025</v>
      </c>
      <c r="S254" s="6" t="n">
        <f aca="false">VALUE(MID(Q254,6,2))</f>
        <v>6</v>
      </c>
      <c r="T254" s="6" t="n">
        <f aca="false">VALUE(RIGHT(Q254,2))</f>
        <v>6</v>
      </c>
      <c r="U254" s="6" t="s">
        <v>125</v>
      </c>
      <c r="V254" s="6" t="s">
        <v>126</v>
      </c>
    </row>
    <row r="255" customFormat="false" ht="46.25" hidden="false" customHeight="false" outlineLevel="0" collapsed="false">
      <c r="A255" s="6" t="n">
        <v>254</v>
      </c>
      <c r="B255" s="6" t="s">
        <v>1691</v>
      </c>
      <c r="C255" s="6" t="s">
        <v>1692</v>
      </c>
      <c r="D255" s="6" t="n">
        <f aca="false">VALUE(LEFT(B255,4))</f>
        <v>2026</v>
      </c>
      <c r="E255" s="6" t="n">
        <f aca="false">INT((D255-1)/100)+1</f>
        <v>21</v>
      </c>
      <c r="F255" s="6" t="s">
        <v>830</v>
      </c>
      <c r="G255" s="6" t="s">
        <v>1693</v>
      </c>
      <c r="H255" s="6" t="s">
        <v>1694</v>
      </c>
      <c r="I255" s="6" t="s">
        <v>1695</v>
      </c>
      <c r="J255" s="6" t="s">
        <v>1696</v>
      </c>
      <c r="K255" s="6" t="s">
        <v>1697</v>
      </c>
      <c r="L255" s="6" t="s">
        <v>627</v>
      </c>
      <c r="M255" s="6" t="s">
        <v>1698</v>
      </c>
      <c r="N255" s="6" t="s">
        <v>16</v>
      </c>
      <c r="O255" s="6" t="s">
        <v>75</v>
      </c>
      <c r="P255" s="6" t="s">
        <v>1699</v>
      </c>
      <c r="Q255" s="6" t="s">
        <v>1691</v>
      </c>
      <c r="R255" s="6" t="n">
        <f aca="false">VALUE(LEFT(Q255,4))</f>
        <v>2026</v>
      </c>
      <c r="S255" s="6" t="n">
        <f aca="false">VALUE(MID(Q255,6,2))</f>
        <v>7</v>
      </c>
      <c r="T255" s="6" t="n">
        <f aca="false">VALUE(RIGHT(Q255,2))</f>
        <v>28</v>
      </c>
      <c r="U255" s="6" t="s">
        <v>125</v>
      </c>
      <c r="V255" s="6" t="s">
        <v>126</v>
      </c>
    </row>
  </sheetData>
  <autoFilter ref="A1:V2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18"/>
    <col collapsed="false" customWidth="true" hidden="false" outlineLevel="0" max="4" min="4" style="0" width="34"/>
    <col collapsed="false" customWidth="true" hidden="false" outlineLevel="0" max="5" min="5" style="0" width="18"/>
    <col collapsed="false" customWidth="true" hidden="false" outlineLevel="0" max="6" min="6" style="0" width="16"/>
    <col collapsed="false" customWidth="true" hidden="false" outlineLevel="0" max="7" min="7" style="0" width="9"/>
    <col collapsed="false" customWidth="true" hidden="false" outlineLevel="0" max="8" min="8" style="0" width="8"/>
    <col collapsed="false" customWidth="true" hidden="false" outlineLevel="0" max="9" min="9" style="0" width="7"/>
    <col collapsed="false" customWidth="true" hidden="false" outlineLevel="0" max="10" min="10" style="0" width="8"/>
    <col collapsed="false" customWidth="true" hidden="false" outlineLevel="0" max="14" min="11" style="0" width="9"/>
    <col collapsed="false" customWidth="true" hidden="false" outlineLevel="0" max="16" min="15" style="0" width="12"/>
    <col collapsed="false" customWidth="true" hidden="false" outlineLevel="0" max="17" min="17" style="0" width="10"/>
    <col collapsed="false" customWidth="true" hidden="false" outlineLevel="0" max="18" min="18" style="0" width="9"/>
    <col collapsed="false" customWidth="true" hidden="false" outlineLevel="0" max="19" min="19" style="0" width="26"/>
    <col collapsed="false" customWidth="true" hidden="false" outlineLevel="0" max="20" min="20" style="0" width="9"/>
    <col collapsed="false" customWidth="true" hidden="false" outlineLevel="0" max="21" min="21" style="0" width="45"/>
  </cols>
  <sheetData>
    <row r="1" customFormat="false" ht="35.05" hidden="false" customHeight="false" outlineLevel="0" collapsed="false">
      <c r="A1" s="5" t="s">
        <v>1700</v>
      </c>
      <c r="B1" s="5" t="s">
        <v>1701</v>
      </c>
      <c r="C1" s="5" t="s">
        <v>1702</v>
      </c>
      <c r="D1" s="5" t="s">
        <v>1703</v>
      </c>
      <c r="E1" s="5" t="s">
        <v>1704</v>
      </c>
      <c r="F1" s="5" t="s">
        <v>1705</v>
      </c>
      <c r="G1" s="5" t="s">
        <v>1706</v>
      </c>
      <c r="H1" s="5" t="s">
        <v>1707</v>
      </c>
      <c r="I1" s="5" t="s">
        <v>1708</v>
      </c>
      <c r="J1" s="5" t="s">
        <v>1709</v>
      </c>
      <c r="K1" s="5" t="s">
        <v>1710</v>
      </c>
      <c r="L1" s="5" t="s">
        <v>1711</v>
      </c>
      <c r="M1" s="5" t="s">
        <v>1712</v>
      </c>
      <c r="N1" s="5" t="s">
        <v>1713</v>
      </c>
      <c r="O1" s="5" t="s">
        <v>1714</v>
      </c>
      <c r="P1" s="5" t="s">
        <v>1715</v>
      </c>
      <c r="Q1" s="5" t="s">
        <v>1716</v>
      </c>
      <c r="R1" s="5" t="s">
        <v>1717</v>
      </c>
      <c r="S1" s="5" t="s">
        <v>1718</v>
      </c>
      <c r="T1" s="5" t="s">
        <v>57</v>
      </c>
      <c r="U1" s="5" t="s">
        <v>1719</v>
      </c>
    </row>
    <row r="2" customFormat="false" ht="15" hidden="false" customHeight="false" outlineLevel="0" collapsed="false">
      <c r="A2" s="6" t="s">
        <v>1720</v>
      </c>
      <c r="B2" s="6"/>
      <c r="C2" s="6" t="s">
        <v>1721</v>
      </c>
      <c r="D2" s="6" t="s">
        <v>1722</v>
      </c>
      <c r="E2" s="6" t="s">
        <v>959</v>
      </c>
      <c r="F2" s="6" t="s">
        <v>1723</v>
      </c>
      <c r="G2" s="6" t="n">
        <v>5.5</v>
      </c>
      <c r="H2" s="6" t="n">
        <v>100</v>
      </c>
      <c r="I2" s="6" t="n">
        <v>0</v>
      </c>
      <c r="J2" s="6" t="n">
        <v>0</v>
      </c>
      <c r="K2" s="6" t="n">
        <v>42.25</v>
      </c>
      <c r="L2" s="6" t="n">
        <v>-73.62</v>
      </c>
      <c r="M2" s="6"/>
      <c r="N2" s="6"/>
      <c r="O2" s="6" t="n">
        <f aca="false">IF(OR(K2="",L2=""),"",ROUND(3959*ACOS(MIN(1,SIN(RADIANS(README!$B$3))*SIN(RADIANS(K2))+COS(RADIANS(README!$B$3))*COS(RADIANS(K2))*COS(RADIANS(L2-README!$B$4)))),1))</f>
        <v>28.5</v>
      </c>
      <c r="P2" s="6" t="str">
        <f aca="false">IF(OR(M2="",N2=""),"",ROUND(3959*ACOS(MIN(1,SIN(RADIANS(README!$B$3))*SIN(RADIANS(M2))+COS(RADIANS(README!$B$3))*COS(RADIANS(M2))*COS(RADIANS(N2-README!$B$4)))),1))</f>
        <v/>
      </c>
      <c r="Q2" s="6" t="n">
        <f aca="false">IF(O2="","",IF(P2="",O2,MIN(O2,P2)))</f>
        <v>28.5</v>
      </c>
      <c r="R2" s="6" t="str">
        <f aca="false">IF(Q2="","n/a",IF(Q2&lt;=README!$B$5,"Yes","No"))</f>
        <v>Yes</v>
      </c>
      <c r="S2" s="6" t="s">
        <v>1724</v>
      </c>
      <c r="T2" s="6" t="s">
        <v>20</v>
      </c>
      <c r="U2" s="6" t="s">
        <v>1725</v>
      </c>
    </row>
    <row r="3" customFormat="false" ht="15" hidden="false" customHeight="false" outlineLevel="0" collapsed="false">
      <c r="A3" s="6" t="s">
        <v>1726</v>
      </c>
      <c r="B3" s="6"/>
      <c r="C3" s="6" t="s">
        <v>1721</v>
      </c>
      <c r="D3" s="6" t="s">
        <v>1722</v>
      </c>
      <c r="E3" s="6" t="s">
        <v>959</v>
      </c>
      <c r="F3" s="6" t="s">
        <v>1723</v>
      </c>
      <c r="G3" s="6"/>
      <c r="H3" s="6"/>
      <c r="I3" s="6" t="n">
        <v>0</v>
      </c>
      <c r="J3" s="6" t="n">
        <v>0</v>
      </c>
      <c r="K3" s="6" t="n">
        <v>42.25</v>
      </c>
      <c r="L3" s="6" t="n">
        <v>-73.62</v>
      </c>
      <c r="M3" s="6"/>
      <c r="N3" s="6"/>
      <c r="O3" s="6" t="n">
        <f aca="false">IF(OR(K3="",L3=""),"",ROUND(3959*ACOS(MIN(1,SIN(RADIANS(README!$B$3))*SIN(RADIANS(K3))+COS(RADIANS(README!$B$3))*COS(RADIANS(K3))*COS(RADIANS(L3-README!$B$4)))),1))</f>
        <v>28.5</v>
      </c>
      <c r="P3" s="6" t="str">
        <f aca="false">IF(OR(M3="",N3=""),"",ROUND(3959*ACOS(MIN(1,SIN(RADIANS(README!$B$3))*SIN(RADIANS(M3))+COS(RADIANS(README!$B$3))*COS(RADIANS(M3))*COS(RADIANS(N3-README!$B$4)))),1))</f>
        <v/>
      </c>
      <c r="Q3" s="6" t="n">
        <f aca="false">IF(O3="","",IF(P3="",O3,MIN(O3,P3)))</f>
        <v>28.5</v>
      </c>
      <c r="R3" s="6" t="str">
        <f aca="false">IF(Q3="","n/a",IF(Q3&lt;=README!$B$5,"Yes","No"))</f>
        <v>Yes</v>
      </c>
      <c r="S3" s="6" t="s">
        <v>1724</v>
      </c>
      <c r="T3" s="6" t="s">
        <v>20</v>
      </c>
      <c r="U3" s="6" t="s">
        <v>1727</v>
      </c>
    </row>
    <row r="4" customFormat="false" ht="15" hidden="false" customHeight="false" outlineLevel="0" collapsed="false">
      <c r="A4" s="6" t="s">
        <v>1728</v>
      </c>
      <c r="B4" s="6" t="s">
        <v>1729</v>
      </c>
      <c r="C4" s="6" t="s">
        <v>310</v>
      </c>
      <c r="D4" s="6" t="s">
        <v>1730</v>
      </c>
      <c r="E4" s="6" t="s">
        <v>959</v>
      </c>
      <c r="F4" s="6" t="s">
        <v>1731</v>
      </c>
      <c r="G4" s="6"/>
      <c r="H4" s="6"/>
      <c r="I4" s="6" t="n">
        <v>2</v>
      </c>
      <c r="J4" s="6" t="n">
        <v>0</v>
      </c>
      <c r="K4" s="6" t="n">
        <v>42.6</v>
      </c>
      <c r="L4" s="6" t="n">
        <v>-73.97</v>
      </c>
      <c r="M4" s="6"/>
      <c r="N4" s="6"/>
      <c r="O4" s="6" t="n">
        <f aca="false">IF(OR(K4="",L4=""),"",ROUND(3959*ACOS(MIN(1,SIN(RADIANS(README!$B$3))*SIN(RADIANS(K4))+COS(RADIANS(README!$B$3))*COS(RADIANS(K4))*COS(RADIANS(L4-README!$B$4)))),1))</f>
        <v>6.9</v>
      </c>
      <c r="P4" s="6" t="str">
        <f aca="false">IF(OR(M4="",N4=""),"",ROUND(3959*ACOS(MIN(1,SIN(RADIANS(README!$B$3))*SIN(RADIANS(M4))+COS(RADIANS(README!$B$3))*COS(RADIANS(M4))*COS(RADIANS(N4-README!$B$4)))),1))</f>
        <v/>
      </c>
      <c r="Q4" s="6" t="n">
        <f aca="false">IF(O4="","",IF(P4="",O4,MIN(O4,P4)))</f>
        <v>6.9</v>
      </c>
      <c r="R4" s="6" t="str">
        <f aca="false">IF(Q4="","n/a",IF(Q4&lt;=README!$B$5,"Yes","No"))</f>
        <v>Yes</v>
      </c>
      <c r="S4" s="6" t="s">
        <v>1724</v>
      </c>
      <c r="T4" s="6" t="s">
        <v>20</v>
      </c>
      <c r="U4" s="6" t="s">
        <v>1732</v>
      </c>
    </row>
    <row r="5" customFormat="false" ht="15" hidden="false" customHeight="false" outlineLevel="0" collapsed="false">
      <c r="A5" s="6" t="s">
        <v>1733</v>
      </c>
      <c r="B5" s="6" t="s">
        <v>1729</v>
      </c>
      <c r="C5" s="6" t="s">
        <v>1721</v>
      </c>
      <c r="D5" s="6" t="s">
        <v>1722</v>
      </c>
      <c r="E5" s="6" t="s">
        <v>959</v>
      </c>
      <c r="F5" s="6" t="s">
        <v>1731</v>
      </c>
      <c r="G5" s="6"/>
      <c r="H5" s="6"/>
      <c r="I5" s="6" t="n">
        <v>0</v>
      </c>
      <c r="J5" s="6" t="n">
        <v>0</v>
      </c>
      <c r="K5" s="6" t="n">
        <v>42.25</v>
      </c>
      <c r="L5" s="6" t="n">
        <v>-73.62</v>
      </c>
      <c r="M5" s="6"/>
      <c r="N5" s="6"/>
      <c r="O5" s="6" t="n">
        <f aca="false">IF(OR(K5="",L5=""),"",ROUND(3959*ACOS(MIN(1,SIN(RADIANS(README!$B$3))*SIN(RADIANS(K5))+COS(RADIANS(README!$B$3))*COS(RADIANS(K5))*COS(RADIANS(L5-README!$B$4)))),1))</f>
        <v>28.5</v>
      </c>
      <c r="P5" s="6" t="str">
        <f aca="false">IF(OR(M5="",N5=""),"",ROUND(3959*ACOS(MIN(1,SIN(RADIANS(README!$B$3))*SIN(RADIANS(M5))+COS(RADIANS(README!$B$3))*COS(RADIANS(M5))*COS(RADIANS(N5-README!$B$4)))),1))</f>
        <v/>
      </c>
      <c r="Q5" s="6" t="n">
        <f aca="false">IF(O5="","",IF(P5="",O5,MIN(O5,P5)))</f>
        <v>28.5</v>
      </c>
      <c r="R5" s="6" t="str">
        <f aca="false">IF(Q5="","n/a",IF(Q5&lt;=README!$B$5,"Yes","No"))</f>
        <v>Yes</v>
      </c>
      <c r="S5" s="6" t="s">
        <v>1724</v>
      </c>
      <c r="T5" s="6" t="s">
        <v>20</v>
      </c>
      <c r="U5" s="6" t="s">
        <v>1727</v>
      </c>
    </row>
    <row r="6" customFormat="false" ht="15" hidden="false" customHeight="false" outlineLevel="0" collapsed="false">
      <c r="A6" s="6" t="s">
        <v>1734</v>
      </c>
      <c r="B6" s="6" t="s">
        <v>1735</v>
      </c>
      <c r="C6" s="6" t="s">
        <v>310</v>
      </c>
      <c r="D6" s="6" t="s">
        <v>1730</v>
      </c>
      <c r="E6" s="6" t="s">
        <v>959</v>
      </c>
      <c r="F6" s="6" t="s">
        <v>1736</v>
      </c>
      <c r="G6" s="6" t="n">
        <v>0.5</v>
      </c>
      <c r="H6" s="6" t="n">
        <v>50</v>
      </c>
      <c r="I6" s="6" t="n">
        <v>0</v>
      </c>
      <c r="J6" s="6" t="n">
        <v>0</v>
      </c>
      <c r="K6" s="6" t="n">
        <v>42.6</v>
      </c>
      <c r="L6" s="6" t="n">
        <v>-73.97</v>
      </c>
      <c r="M6" s="6"/>
      <c r="N6" s="6"/>
      <c r="O6" s="6" t="n">
        <f aca="false">IF(OR(K6="",L6=""),"",ROUND(3959*ACOS(MIN(1,SIN(RADIANS(README!$B$3))*SIN(RADIANS(K6))+COS(RADIANS(README!$B$3))*COS(RADIANS(K6))*COS(RADIANS(L6-README!$B$4)))),1))</f>
        <v>6.9</v>
      </c>
      <c r="P6" s="6" t="str">
        <f aca="false">IF(OR(M6="",N6=""),"",ROUND(3959*ACOS(MIN(1,SIN(RADIANS(README!$B$3))*SIN(RADIANS(M6))+COS(RADIANS(README!$B$3))*COS(RADIANS(M6))*COS(RADIANS(N6-README!$B$4)))),1))</f>
        <v/>
      </c>
      <c r="Q6" s="6" t="n">
        <f aca="false">IF(O6="","",IF(P6="",O6,MIN(O6,P6)))</f>
        <v>6.9</v>
      </c>
      <c r="R6" s="6" t="str">
        <f aca="false">IF(Q6="","n/a",IF(Q6&lt;=README!$B$5,"Yes","No"))</f>
        <v>Yes</v>
      </c>
      <c r="S6" s="6" t="s">
        <v>1724</v>
      </c>
      <c r="T6" s="6" t="s">
        <v>20</v>
      </c>
      <c r="U6" s="6" t="s">
        <v>1727</v>
      </c>
    </row>
    <row r="7" customFormat="false" ht="15" hidden="false" customHeight="false" outlineLevel="0" collapsed="false">
      <c r="A7" s="6" t="s">
        <v>1737</v>
      </c>
      <c r="B7" s="6" t="s">
        <v>1738</v>
      </c>
      <c r="C7" s="6" t="s">
        <v>1739</v>
      </c>
      <c r="D7" s="6" t="s">
        <v>1740</v>
      </c>
      <c r="E7" s="6" t="s">
        <v>959</v>
      </c>
      <c r="F7" s="6" t="s">
        <v>1736</v>
      </c>
      <c r="G7" s="6"/>
      <c r="H7" s="6"/>
      <c r="I7" s="6" t="n">
        <v>0</v>
      </c>
      <c r="J7" s="6" t="n">
        <v>0</v>
      </c>
      <c r="K7" s="6" t="n">
        <v>42.28</v>
      </c>
      <c r="L7" s="6" t="n">
        <v>-74.12</v>
      </c>
      <c r="M7" s="6"/>
      <c r="N7" s="6"/>
      <c r="O7" s="6" t="n">
        <f aca="false">IF(OR(K7="",L7=""),"",ROUND(3959*ACOS(MIN(1,SIN(RADIANS(README!$B$3))*SIN(RADIANS(K7))+COS(RADIANS(README!$B$3))*COS(RADIANS(K7))*COS(RADIANS(L7-README!$B$4)))),1))</f>
        <v>16.8</v>
      </c>
      <c r="P7" s="6" t="str">
        <f aca="false">IF(OR(M7="",N7=""),"",ROUND(3959*ACOS(MIN(1,SIN(RADIANS(README!$B$3))*SIN(RADIANS(M7))+COS(RADIANS(README!$B$3))*COS(RADIANS(M7))*COS(RADIANS(N7-README!$B$4)))),1))</f>
        <v/>
      </c>
      <c r="Q7" s="6" t="n">
        <f aca="false">IF(O7="","",IF(P7="",O7,MIN(O7,P7)))</f>
        <v>16.8</v>
      </c>
      <c r="R7" s="6" t="str">
        <f aca="false">IF(Q7="","n/a",IF(Q7&lt;=README!$B$5,"Yes","No"))</f>
        <v>Yes</v>
      </c>
      <c r="S7" s="6" t="s">
        <v>1724</v>
      </c>
      <c r="T7" s="6" t="s">
        <v>20</v>
      </c>
      <c r="U7" s="6" t="s">
        <v>1727</v>
      </c>
    </row>
    <row r="8" customFormat="false" ht="35.05" hidden="false" customHeight="false" outlineLevel="0" collapsed="false">
      <c r="A8" s="6" t="s">
        <v>914</v>
      </c>
      <c r="B8" s="6" t="s">
        <v>1741</v>
      </c>
      <c r="C8" s="6" t="s">
        <v>310</v>
      </c>
      <c r="D8" s="6" t="s">
        <v>1742</v>
      </c>
      <c r="E8" s="6" t="s">
        <v>1743</v>
      </c>
      <c r="F8" s="6" t="s">
        <v>1744</v>
      </c>
      <c r="G8" s="6"/>
      <c r="H8" s="6"/>
      <c r="I8" s="6"/>
      <c r="J8" s="6"/>
      <c r="K8" s="6" t="n">
        <v>42.75</v>
      </c>
      <c r="L8" s="6" t="n">
        <v>-73.8</v>
      </c>
      <c r="M8" s="6"/>
      <c r="N8" s="6"/>
      <c r="O8" s="6" t="n">
        <f aca="false">IF(OR(K8="",L8=""),"",ROUND(3959*ACOS(MIN(1,SIN(RADIANS(README!$B$3))*SIN(RADIANS(K8))+COS(RADIANS(README!$B$3))*COS(RADIANS(K8))*COS(RADIANS(L8-README!$B$4)))),1))</f>
        <v>20.4</v>
      </c>
      <c r="P8" s="6" t="str">
        <f aca="false">IF(OR(M8="",N8=""),"",ROUND(3959*ACOS(MIN(1,SIN(RADIANS(README!$B$3))*SIN(RADIANS(M8))+COS(RADIANS(README!$B$3))*COS(RADIANS(M8))*COS(RADIANS(N8-README!$B$4)))),1))</f>
        <v/>
      </c>
      <c r="Q8" s="6" t="n">
        <f aca="false">IF(O8="","",IF(P8="",O8,MIN(O8,P8)))</f>
        <v>20.4</v>
      </c>
      <c r="R8" s="6" t="str">
        <f aca="false">IF(Q8="","n/a",IF(Q8&lt;=README!$B$5,"Yes","No"))</f>
        <v>Yes</v>
      </c>
      <c r="S8" s="6" t="s">
        <v>627</v>
      </c>
      <c r="T8" s="6" t="s">
        <v>16</v>
      </c>
      <c r="U8" s="6" t="s">
        <v>1745</v>
      </c>
    </row>
    <row r="9" customFormat="false" ht="23.85" hidden="false" customHeight="false" outlineLevel="0" collapsed="false">
      <c r="A9" s="6" t="s">
        <v>958</v>
      </c>
      <c r="B9" s="6" t="s">
        <v>1746</v>
      </c>
      <c r="C9" s="6" t="s">
        <v>674</v>
      </c>
      <c r="D9" s="6" t="s">
        <v>1747</v>
      </c>
      <c r="E9" s="6" t="s">
        <v>959</v>
      </c>
      <c r="F9" s="6" t="s">
        <v>1748</v>
      </c>
      <c r="G9" s="6"/>
      <c r="H9" s="6"/>
      <c r="I9" s="6" t="n">
        <v>0</v>
      </c>
      <c r="J9" s="6" t="n">
        <v>9</v>
      </c>
      <c r="K9" s="6" t="n">
        <v>42.8</v>
      </c>
      <c r="L9" s="6" t="n">
        <v>-73.88</v>
      </c>
      <c r="M9" s="6" t="n">
        <v>42.92</v>
      </c>
      <c r="N9" s="6" t="n">
        <v>-73.73</v>
      </c>
      <c r="O9" s="6" t="n">
        <f aca="false">IF(OR(K9="",L9=""),"",ROUND(3959*ACOS(MIN(1,SIN(RADIANS(README!$B$3))*SIN(RADIANS(K9))+COS(RADIANS(README!$B$3))*COS(RADIANS(K9))*COS(RADIANS(L9-README!$B$4)))),1))</f>
        <v>21.3</v>
      </c>
      <c r="P9" s="6" t="n">
        <f aca="false">IF(OR(M9="",N9=""),"",ROUND(3959*ACOS(MIN(1,SIN(RADIANS(README!$B$3))*SIN(RADIANS(M9))+COS(RADIANS(README!$B$3))*COS(RADIANS(M9))*COS(RADIANS(N9-README!$B$4)))),1))</f>
        <v>32.1</v>
      </c>
      <c r="Q9" s="6" t="n">
        <f aca="false">IF(O9="","",IF(P9="",O9,MIN(O9,P9)))</f>
        <v>21.3</v>
      </c>
      <c r="R9" s="6" t="str">
        <f aca="false">IF(Q9="","n/a",IF(Q9&lt;=README!$B$5,"Yes","No"))</f>
        <v>Yes</v>
      </c>
      <c r="S9" s="6" t="s">
        <v>965</v>
      </c>
      <c r="T9" s="6" t="s">
        <v>16</v>
      </c>
      <c r="U9" s="6" t="s">
        <v>1749</v>
      </c>
    </row>
    <row r="10" customFormat="false" ht="35.05" hidden="false" customHeight="false" outlineLevel="0" collapsed="false">
      <c r="A10" s="6" t="s">
        <v>992</v>
      </c>
      <c r="B10" s="6"/>
      <c r="C10" s="6" t="s">
        <v>942</v>
      </c>
      <c r="D10" s="6" t="s">
        <v>995</v>
      </c>
      <c r="E10" s="6" t="s">
        <v>1750</v>
      </c>
      <c r="F10" s="6" t="s">
        <v>1751</v>
      </c>
      <c r="G10" s="6"/>
      <c r="H10" s="6"/>
      <c r="I10" s="6"/>
      <c r="J10" s="6"/>
      <c r="K10" s="6" t="n">
        <v>42.75</v>
      </c>
      <c r="L10" s="6" t="n">
        <v>-73.8</v>
      </c>
      <c r="M10" s="6"/>
      <c r="N10" s="6"/>
      <c r="O10" s="6" t="n">
        <f aca="false">IF(OR(K10="",L10=""),"",ROUND(3959*ACOS(MIN(1,SIN(RADIANS(README!$B$3))*SIN(RADIANS(K10))+COS(RADIANS(README!$B$3))*COS(RADIANS(K10))*COS(RADIANS(L10-README!$B$4)))),1))</f>
        <v>20.4</v>
      </c>
      <c r="P10" s="6" t="str">
        <f aca="false">IF(OR(M10="",N10=""),"",ROUND(3959*ACOS(MIN(1,SIN(RADIANS(README!$B$3))*SIN(RADIANS(M10))+COS(RADIANS(README!$B$3))*COS(RADIANS(M10))*COS(RADIANS(N10-README!$B$4)))),1))</f>
        <v/>
      </c>
      <c r="Q10" s="6" t="n">
        <f aca="false">IF(O10="","",IF(P10="",O10,MIN(O10,P10)))</f>
        <v>20.4</v>
      </c>
      <c r="R10" s="6" t="str">
        <f aca="false">IF(Q10="","n/a",IF(Q10&lt;=README!$B$5,"Yes","No"))</f>
        <v>Yes</v>
      </c>
      <c r="S10" s="6" t="s">
        <v>627</v>
      </c>
      <c r="T10" s="6" t="s">
        <v>16</v>
      </c>
      <c r="U10" s="6" t="s">
        <v>1752</v>
      </c>
    </row>
    <row r="11" customFormat="false" ht="23.85" hidden="false" customHeight="false" outlineLevel="0" collapsed="false">
      <c r="A11" s="6" t="s">
        <v>1753</v>
      </c>
      <c r="B11" s="6" t="s">
        <v>1754</v>
      </c>
      <c r="C11" s="6" t="s">
        <v>310</v>
      </c>
      <c r="D11" s="6" t="s">
        <v>1755</v>
      </c>
      <c r="E11" s="6" t="s">
        <v>959</v>
      </c>
      <c r="F11" s="6" t="s">
        <v>1731</v>
      </c>
      <c r="G11" s="6" t="n">
        <v>1.3</v>
      </c>
      <c r="H11" s="6" t="n">
        <v>10</v>
      </c>
      <c r="I11" s="6" t="n">
        <v>0</v>
      </c>
      <c r="J11" s="6" t="n">
        <v>2</v>
      </c>
      <c r="K11" s="6" t="n">
        <v>42.55</v>
      </c>
      <c r="L11" s="6" t="n">
        <v>-74.05</v>
      </c>
      <c r="M11" s="6"/>
      <c r="N11" s="6"/>
      <c r="O11" s="6" t="n">
        <f aca="false">IF(OR(K11="",L11=""),"",ROUND(3959*ACOS(MIN(1,SIN(RADIANS(README!$B$3))*SIN(RADIANS(K11))+COS(RADIANS(README!$B$3))*COS(RADIANS(K11))*COS(RADIANS(L11-README!$B$4)))),1))</f>
        <v>2.3</v>
      </c>
      <c r="P11" s="6" t="str">
        <f aca="false">IF(OR(M11="",N11=""),"",ROUND(3959*ACOS(MIN(1,SIN(RADIANS(README!$B$3))*SIN(RADIANS(M11))+COS(RADIANS(README!$B$3))*COS(RADIANS(M11))*COS(RADIANS(N11-README!$B$4)))),1))</f>
        <v/>
      </c>
      <c r="Q11" s="6" t="n">
        <f aca="false">IF(O11="","",IF(P11="",O11,MIN(O11,P11)))</f>
        <v>2.3</v>
      </c>
      <c r="R11" s="6" t="str">
        <f aca="false">IF(Q11="","n/a",IF(Q11&lt;=README!$B$5,"Yes","No"))</f>
        <v>Yes</v>
      </c>
      <c r="S11" s="6" t="s">
        <v>965</v>
      </c>
      <c r="T11" s="6" t="s">
        <v>16</v>
      </c>
      <c r="U11" s="6" t="s">
        <v>1756</v>
      </c>
    </row>
    <row r="12" customFormat="false" ht="23.85" hidden="false" customHeight="false" outlineLevel="0" collapsed="false">
      <c r="A12" s="6" t="s">
        <v>1033</v>
      </c>
      <c r="B12" s="6" t="s">
        <v>1757</v>
      </c>
      <c r="C12" s="6" t="s">
        <v>1758</v>
      </c>
      <c r="D12" s="6" t="s">
        <v>1759</v>
      </c>
      <c r="E12" s="6" t="s">
        <v>959</v>
      </c>
      <c r="F12" s="6" t="s">
        <v>1736</v>
      </c>
      <c r="G12" s="6" t="n">
        <v>2.3</v>
      </c>
      <c r="H12" s="6" t="n">
        <v>83</v>
      </c>
      <c r="I12" s="6" t="n">
        <v>0</v>
      </c>
      <c r="J12" s="6" t="n">
        <v>1</v>
      </c>
      <c r="K12" s="6" t="n">
        <v>42.9</v>
      </c>
      <c r="L12" s="6" t="n">
        <v>-73.55</v>
      </c>
      <c r="M12" s="6" t="n">
        <v>42.92</v>
      </c>
      <c r="N12" s="6" t="n">
        <v>-73.48</v>
      </c>
      <c r="O12" s="6" t="n">
        <f aca="false">IF(OR(K12="",L12=""),"",ROUND(3959*ACOS(MIN(1,SIN(RADIANS(README!$B$3))*SIN(RADIANS(K12))+COS(RADIANS(README!$B$3))*COS(RADIANS(K12))*COS(RADIANS(L12-README!$B$4)))),1))</f>
        <v>36.5</v>
      </c>
      <c r="P12" s="6" t="n">
        <f aca="false">IF(OR(M12="",N12=""),"",ROUND(3959*ACOS(MIN(1,SIN(RADIANS(README!$B$3))*SIN(RADIANS(M12))+COS(RADIANS(README!$B$3))*COS(RADIANS(M12))*COS(RADIANS(N12-README!$B$4)))),1))</f>
        <v>40</v>
      </c>
      <c r="Q12" s="6" t="n">
        <f aca="false">IF(O12="","",IF(P12="",O12,MIN(O12,P12)))</f>
        <v>36.5</v>
      </c>
      <c r="R12" s="6" t="str">
        <f aca="false">IF(Q12="","n/a",IF(Q12&lt;=README!$B$5,"Yes","No"))</f>
        <v>No</v>
      </c>
      <c r="S12" s="6" t="s">
        <v>965</v>
      </c>
      <c r="T12" s="6" t="s">
        <v>16</v>
      </c>
      <c r="U12" s="6" t="s">
        <v>1760</v>
      </c>
    </row>
    <row r="13" customFormat="false" ht="23.85" hidden="false" customHeight="false" outlineLevel="0" collapsed="false">
      <c r="A13" s="6" t="s">
        <v>1033</v>
      </c>
      <c r="B13" s="6" t="s">
        <v>1761</v>
      </c>
      <c r="C13" s="6" t="s">
        <v>1721</v>
      </c>
      <c r="D13" s="6" t="s">
        <v>1762</v>
      </c>
      <c r="E13" s="6" t="s">
        <v>959</v>
      </c>
      <c r="F13" s="6" t="s">
        <v>1763</v>
      </c>
      <c r="G13" s="6" t="n">
        <v>3.4</v>
      </c>
      <c r="H13" s="6" t="n">
        <v>313</v>
      </c>
      <c r="I13" s="6" t="n">
        <v>0</v>
      </c>
      <c r="J13" s="6" t="n">
        <v>0</v>
      </c>
      <c r="K13" s="6" t="n">
        <v>42.42</v>
      </c>
      <c r="L13" s="6" t="n">
        <v>-73.42</v>
      </c>
      <c r="M13" s="6" t="n">
        <v>42.37</v>
      </c>
      <c r="N13" s="6" t="n">
        <v>-73.42</v>
      </c>
      <c r="O13" s="6" t="n">
        <f aca="false">IF(OR(K13="",L13=""),"",ROUND(3959*ACOS(MIN(1,SIN(RADIANS(README!$B$3))*SIN(RADIANS(K13))+COS(RADIANS(README!$B$3))*COS(RADIANS(K13))*COS(RADIANS(L13-README!$B$4)))),1))</f>
        <v>32.6</v>
      </c>
      <c r="P13" s="6" t="n">
        <f aca="false">IF(OR(M13="",N13=""),"",ROUND(3959*ACOS(MIN(1,SIN(RADIANS(README!$B$3))*SIN(RADIANS(M13))+COS(RADIANS(README!$B$3))*COS(RADIANS(M13))*COS(RADIANS(N13-README!$B$4)))),1))</f>
        <v>33.4</v>
      </c>
      <c r="Q13" s="6" t="n">
        <f aca="false">IF(O13="","",IF(P13="",O13,MIN(O13,P13)))</f>
        <v>32.6</v>
      </c>
      <c r="R13" s="6" t="str">
        <f aca="false">IF(Q13="","n/a",IF(Q13&lt;=README!$B$5,"Yes","No"))</f>
        <v>No</v>
      </c>
      <c r="S13" s="6" t="s">
        <v>965</v>
      </c>
      <c r="T13" s="6" t="s">
        <v>16</v>
      </c>
      <c r="U13" s="6" t="s">
        <v>1764</v>
      </c>
    </row>
    <row r="14" customFormat="false" ht="23.85" hidden="false" customHeight="false" outlineLevel="0" collapsed="false">
      <c r="A14" s="6" t="s">
        <v>1043</v>
      </c>
      <c r="B14" s="6" t="s">
        <v>1765</v>
      </c>
      <c r="C14" s="6" t="s">
        <v>1766</v>
      </c>
      <c r="D14" s="6" t="s">
        <v>1767</v>
      </c>
      <c r="E14" s="6" t="s">
        <v>959</v>
      </c>
      <c r="F14" s="6" t="s">
        <v>1748</v>
      </c>
      <c r="G14" s="6" t="n">
        <v>49.1</v>
      </c>
      <c r="H14" s="6"/>
      <c r="I14" s="6" t="n">
        <v>0</v>
      </c>
      <c r="J14" s="6" t="n">
        <v>0</v>
      </c>
      <c r="K14" s="6" t="n">
        <v>42.25</v>
      </c>
      <c r="L14" s="6" t="n">
        <v>-73.83</v>
      </c>
      <c r="M14" s="6" t="n">
        <v>42.92</v>
      </c>
      <c r="N14" s="6" t="n">
        <v>-73.88</v>
      </c>
      <c r="O14" s="6" t="n">
        <f aca="false">IF(OR(K14="",L14=""),"",ROUND(3959*ACOS(MIN(1,SIN(RADIANS(README!$B$3))*SIN(RADIANS(K14))+COS(RADIANS(README!$B$3))*COS(RADIANS(K14))*COS(RADIANS(L14-README!$B$4)))),1))</f>
        <v>21.5</v>
      </c>
      <c r="P14" s="6" t="n">
        <f aca="false">IF(OR(M14="",N14=""),"",ROUND(3959*ACOS(MIN(1,SIN(RADIANS(README!$B$3))*SIN(RADIANS(M14))+COS(RADIANS(README!$B$3))*COS(RADIANS(M14))*COS(RADIANS(N14-README!$B$4)))),1))</f>
        <v>29.1</v>
      </c>
      <c r="Q14" s="6" t="n">
        <f aca="false">IF(O14="","",IF(P14="",O14,MIN(O14,P14)))</f>
        <v>21.5</v>
      </c>
      <c r="R14" s="6" t="str">
        <f aca="false">IF(Q14="","n/a",IF(Q14&lt;=README!$B$5,"Yes","No"))</f>
        <v>Yes</v>
      </c>
      <c r="S14" s="6" t="s">
        <v>965</v>
      </c>
      <c r="T14" s="6" t="s">
        <v>16</v>
      </c>
      <c r="U14" s="6" t="s">
        <v>1768</v>
      </c>
    </row>
    <row r="15" customFormat="false" ht="23.85" hidden="false" customHeight="false" outlineLevel="0" collapsed="false">
      <c r="A15" s="6" t="s">
        <v>1769</v>
      </c>
      <c r="B15" s="6" t="s">
        <v>1770</v>
      </c>
      <c r="C15" s="6" t="s">
        <v>1758</v>
      </c>
      <c r="D15" s="6" t="s">
        <v>1759</v>
      </c>
      <c r="E15" s="6" t="s">
        <v>959</v>
      </c>
      <c r="F15" s="6" t="s">
        <v>1731</v>
      </c>
      <c r="G15" s="6"/>
      <c r="H15" s="6" t="n">
        <v>33</v>
      </c>
      <c r="I15" s="6" t="n">
        <v>0</v>
      </c>
      <c r="J15" s="6" t="n">
        <v>0</v>
      </c>
      <c r="K15" s="6" t="n">
        <v>42.83</v>
      </c>
      <c r="L15" s="6" t="n">
        <v>-73.5</v>
      </c>
      <c r="M15" s="6"/>
      <c r="N15" s="6"/>
      <c r="O15" s="6" t="n">
        <f aca="false">IF(OR(K15="",L15=""),"",ROUND(3959*ACOS(MIN(1,SIN(RADIANS(README!$B$3))*SIN(RADIANS(K15))+COS(RADIANS(README!$B$3))*COS(RADIANS(K15))*COS(RADIANS(L15-README!$B$4)))),1))</f>
        <v>35.1</v>
      </c>
      <c r="P15" s="6" t="str">
        <f aca="false">IF(OR(M15="",N15=""),"",ROUND(3959*ACOS(MIN(1,SIN(RADIANS(README!$B$3))*SIN(RADIANS(M15))+COS(RADIANS(README!$B$3))*COS(RADIANS(M15))*COS(RADIANS(N15-README!$B$4)))),1))</f>
        <v/>
      </c>
      <c r="Q15" s="6" t="n">
        <f aca="false">IF(O15="","",IF(P15="",O15,MIN(O15,P15)))</f>
        <v>35.1</v>
      </c>
      <c r="R15" s="6" t="str">
        <f aca="false">IF(Q15="","n/a",IF(Q15&lt;=README!$B$5,"Yes","No"))</f>
        <v>No</v>
      </c>
      <c r="S15" s="6" t="s">
        <v>965</v>
      </c>
      <c r="T15" s="6" t="s">
        <v>16</v>
      </c>
      <c r="U15" s="6"/>
    </row>
    <row r="16" customFormat="false" ht="23.85" hidden="false" customHeight="false" outlineLevel="0" collapsed="false">
      <c r="A16" s="6" t="s">
        <v>1771</v>
      </c>
      <c r="B16" s="6" t="s">
        <v>1746</v>
      </c>
      <c r="C16" s="6" t="s">
        <v>1772</v>
      </c>
      <c r="D16" s="6" t="s">
        <v>1773</v>
      </c>
      <c r="E16" s="6" t="s">
        <v>959</v>
      </c>
      <c r="F16" s="6" t="s">
        <v>1731</v>
      </c>
      <c r="G16" s="6" t="n">
        <v>7.1</v>
      </c>
      <c r="H16" s="6" t="n">
        <v>167</v>
      </c>
      <c r="I16" s="6" t="n">
        <v>0</v>
      </c>
      <c r="J16" s="6" t="n">
        <v>3</v>
      </c>
      <c r="K16" s="6" t="n">
        <v>41.97</v>
      </c>
      <c r="L16" s="6" t="n">
        <v>-74.07</v>
      </c>
      <c r="M16" s="6" t="n">
        <v>42.08</v>
      </c>
      <c r="N16" s="6" t="n">
        <v>-73.82</v>
      </c>
      <c r="O16" s="6" t="n">
        <f aca="false">IF(OR(K16="",L16=""),"",ROUND(3959*ACOS(MIN(1,SIN(RADIANS(README!$B$3))*SIN(RADIANS(K16))+COS(RADIANS(README!$B$3))*COS(RADIANS(K16))*COS(RADIANS(L16-README!$B$4)))),1))</f>
        <v>37.8</v>
      </c>
      <c r="P16" s="6" t="n">
        <f aca="false">IF(OR(M16="",N16=""),"",ROUND(3959*ACOS(MIN(1,SIN(RADIANS(README!$B$3))*SIN(RADIANS(M16))+COS(RADIANS(README!$B$3))*COS(RADIANS(M16))*COS(RADIANS(N16-README!$B$4)))),1))</f>
        <v>32.3</v>
      </c>
      <c r="Q16" s="6" t="n">
        <f aca="false">IF(O16="","",IF(P16="",O16,MIN(O16,P16)))</f>
        <v>32.3</v>
      </c>
      <c r="R16" s="6" t="str">
        <f aca="false">IF(Q16="","n/a",IF(Q16&lt;=README!$B$5,"Yes","No"))</f>
        <v>No</v>
      </c>
      <c r="S16" s="6" t="s">
        <v>965</v>
      </c>
      <c r="T16" s="6" t="s">
        <v>16</v>
      </c>
      <c r="U16" s="6"/>
    </row>
    <row r="17" customFormat="false" ht="35.05" hidden="false" customHeight="false" outlineLevel="0" collapsed="false">
      <c r="A17" s="6" t="s">
        <v>1067</v>
      </c>
      <c r="B17" s="6"/>
      <c r="C17" s="6" t="s">
        <v>310</v>
      </c>
      <c r="D17" s="6" t="s">
        <v>1774</v>
      </c>
      <c r="E17" s="6" t="s">
        <v>1743</v>
      </c>
      <c r="F17" s="6" t="s">
        <v>1775</v>
      </c>
      <c r="G17" s="6"/>
      <c r="H17" s="6"/>
      <c r="I17" s="6" t="n">
        <v>2</v>
      </c>
      <c r="J17" s="6"/>
      <c r="K17" s="6" t="n">
        <v>42.75</v>
      </c>
      <c r="L17" s="6" t="n">
        <v>-73.8</v>
      </c>
      <c r="M17" s="6"/>
      <c r="N17" s="6"/>
      <c r="O17" s="6" t="n">
        <f aca="false">IF(OR(K17="",L17=""),"",ROUND(3959*ACOS(MIN(1,SIN(RADIANS(README!$B$3))*SIN(RADIANS(K17))+COS(RADIANS(README!$B$3))*COS(RADIANS(K17))*COS(RADIANS(L17-README!$B$4)))),1))</f>
        <v>20.4</v>
      </c>
      <c r="P17" s="6" t="str">
        <f aca="false">IF(OR(M17="",N17=""),"",ROUND(3959*ACOS(MIN(1,SIN(RADIANS(README!$B$3))*SIN(RADIANS(M17))+COS(RADIANS(README!$B$3))*COS(RADIANS(M17))*COS(RADIANS(N17-README!$B$4)))),1))</f>
        <v/>
      </c>
      <c r="Q17" s="6" t="n">
        <f aca="false">IF(O17="","",IF(P17="",O17,MIN(O17,P17)))</f>
        <v>20.4</v>
      </c>
      <c r="R17" s="6" t="str">
        <f aca="false">IF(Q17="","n/a",IF(Q17&lt;=README!$B$5,"Yes","No"))</f>
        <v>Yes</v>
      </c>
      <c r="S17" s="6" t="s">
        <v>627</v>
      </c>
      <c r="T17" s="6" t="s">
        <v>16</v>
      </c>
      <c r="U17" s="6" t="s">
        <v>1776</v>
      </c>
    </row>
    <row r="18" customFormat="false" ht="23.85" hidden="false" customHeight="false" outlineLevel="0" collapsed="false">
      <c r="A18" s="6" t="s">
        <v>1777</v>
      </c>
      <c r="B18" s="6" t="s">
        <v>1778</v>
      </c>
      <c r="C18" s="6" t="s">
        <v>1739</v>
      </c>
      <c r="D18" s="6" t="s">
        <v>1779</v>
      </c>
      <c r="E18" s="6" t="s">
        <v>959</v>
      </c>
      <c r="F18" s="6" t="s">
        <v>1731</v>
      </c>
      <c r="G18" s="6" t="n">
        <v>1.8</v>
      </c>
      <c r="H18" s="6" t="n">
        <v>33</v>
      </c>
      <c r="I18" s="6" t="n">
        <v>0</v>
      </c>
      <c r="J18" s="6" t="n">
        <v>0</v>
      </c>
      <c r="K18" s="6" t="n">
        <v>42.2</v>
      </c>
      <c r="L18" s="6" t="n">
        <v>-74.22</v>
      </c>
      <c r="M18" s="6"/>
      <c r="N18" s="6"/>
      <c r="O18" s="6" t="n">
        <f aca="false">IF(OR(K18="",L18=""),"",ROUND(3959*ACOS(MIN(1,SIN(RADIANS(README!$B$3))*SIN(RADIANS(K18))+COS(RADIANS(README!$B$3))*COS(RADIANS(K18))*COS(RADIANS(L18-README!$B$4)))),1))</f>
        <v>23.7</v>
      </c>
      <c r="P18" s="6" t="str">
        <f aca="false">IF(OR(M18="",N18=""),"",ROUND(3959*ACOS(MIN(1,SIN(RADIANS(README!$B$3))*SIN(RADIANS(M18))+COS(RADIANS(README!$B$3))*COS(RADIANS(M18))*COS(RADIANS(N18-README!$B$4)))),1))</f>
        <v/>
      </c>
      <c r="Q18" s="6" t="n">
        <f aca="false">IF(O18="","",IF(P18="",O18,MIN(O18,P18)))</f>
        <v>23.7</v>
      </c>
      <c r="R18" s="6" t="str">
        <f aca="false">IF(Q18="","n/a",IF(Q18&lt;=README!$B$5,"Yes","No"))</f>
        <v>Yes</v>
      </c>
      <c r="S18" s="6" t="s">
        <v>965</v>
      </c>
      <c r="T18" s="6" t="s">
        <v>16</v>
      </c>
      <c r="U18" s="6"/>
    </row>
    <row r="19" customFormat="false" ht="23.85" hidden="false" customHeight="false" outlineLevel="0" collapsed="false">
      <c r="A19" s="6" t="s">
        <v>1780</v>
      </c>
      <c r="B19" s="6" t="s">
        <v>1781</v>
      </c>
      <c r="C19" s="6" t="s">
        <v>1721</v>
      </c>
      <c r="D19" s="6" t="s">
        <v>1782</v>
      </c>
      <c r="E19" s="6" t="s">
        <v>959</v>
      </c>
      <c r="F19" s="6" t="s">
        <v>1731</v>
      </c>
      <c r="G19" s="6" t="n">
        <v>0.7</v>
      </c>
      <c r="H19" s="6" t="n">
        <v>53</v>
      </c>
      <c r="I19" s="6" t="n">
        <v>0</v>
      </c>
      <c r="J19" s="6" t="n">
        <v>0</v>
      </c>
      <c r="K19" s="6" t="n">
        <v>42.17</v>
      </c>
      <c r="L19" s="6" t="n">
        <v>-73.75</v>
      </c>
      <c r="M19" s="6"/>
      <c r="N19" s="6"/>
      <c r="O19" s="6" t="n">
        <f aca="false">IF(OR(K19="",L19=""),"",ROUND(3959*ACOS(MIN(1,SIN(RADIANS(README!$B$3))*SIN(RADIANS(K19))+COS(RADIANS(README!$B$3))*COS(RADIANS(K19))*COS(RADIANS(L19-README!$B$4)))),1))</f>
        <v>28.3</v>
      </c>
      <c r="P19" s="6" t="str">
        <f aca="false">IF(OR(M19="",N19=""),"",ROUND(3959*ACOS(MIN(1,SIN(RADIANS(README!$B$3))*SIN(RADIANS(M19))+COS(RADIANS(README!$B$3))*COS(RADIANS(M19))*COS(RADIANS(N19-README!$B$4)))),1))</f>
        <v/>
      </c>
      <c r="Q19" s="6" t="n">
        <f aca="false">IF(O19="","",IF(P19="",O19,MIN(O19,P19)))</f>
        <v>28.3</v>
      </c>
      <c r="R19" s="6" t="str">
        <f aca="false">IF(Q19="","n/a",IF(Q19&lt;=README!$B$5,"Yes","No"))</f>
        <v>Yes</v>
      </c>
      <c r="S19" s="6" t="s">
        <v>965</v>
      </c>
      <c r="T19" s="6" t="s">
        <v>16</v>
      </c>
      <c r="U19" s="6"/>
    </row>
    <row r="20" customFormat="false" ht="23.85" hidden="false" customHeight="false" outlineLevel="0" collapsed="false">
      <c r="A20" s="6" t="s">
        <v>1783</v>
      </c>
      <c r="B20" s="6" t="s">
        <v>1784</v>
      </c>
      <c r="C20" s="6" t="s">
        <v>310</v>
      </c>
      <c r="D20" s="6" t="s">
        <v>1785</v>
      </c>
      <c r="E20" s="6" t="s">
        <v>959</v>
      </c>
      <c r="F20" s="6" t="s">
        <v>1786</v>
      </c>
      <c r="G20" s="6" t="n">
        <v>0.2</v>
      </c>
      <c r="H20" s="6" t="n">
        <v>133</v>
      </c>
      <c r="I20" s="6" t="n">
        <v>0</v>
      </c>
      <c r="J20" s="6" t="n">
        <v>0</v>
      </c>
      <c r="K20" s="6" t="n">
        <v>42.57</v>
      </c>
      <c r="L20" s="6" t="n">
        <v>-73.97</v>
      </c>
      <c r="M20" s="6"/>
      <c r="N20" s="6"/>
      <c r="O20" s="6" t="n">
        <f aca="false">IF(OR(K20="",L20=""),"",ROUND(3959*ACOS(MIN(1,SIN(RADIANS(README!$B$3))*SIN(RADIANS(K20))+COS(RADIANS(README!$B$3))*COS(RADIANS(K20))*COS(RADIANS(L20-README!$B$4)))),1))</f>
        <v>5.3</v>
      </c>
      <c r="P20" s="6" t="str">
        <f aca="false">IF(OR(M20="",N20=""),"",ROUND(3959*ACOS(MIN(1,SIN(RADIANS(README!$B$3))*SIN(RADIANS(M20))+COS(RADIANS(README!$B$3))*COS(RADIANS(M20))*COS(RADIANS(N20-README!$B$4)))),1))</f>
        <v/>
      </c>
      <c r="Q20" s="6" t="n">
        <f aca="false">IF(O20="","",IF(P20="",O20,MIN(O20,P20)))</f>
        <v>5.3</v>
      </c>
      <c r="R20" s="6" t="str">
        <f aca="false">IF(Q20="","n/a",IF(Q20&lt;=README!$B$5,"Yes","No"))</f>
        <v>Yes</v>
      </c>
      <c r="S20" s="6" t="s">
        <v>965</v>
      </c>
      <c r="T20" s="6" t="s">
        <v>16</v>
      </c>
      <c r="U20" s="6"/>
    </row>
    <row r="21" customFormat="false" ht="23.85" hidden="false" customHeight="false" outlineLevel="0" collapsed="false">
      <c r="A21" s="6" t="s">
        <v>1787</v>
      </c>
      <c r="B21" s="6" t="s">
        <v>1788</v>
      </c>
      <c r="C21" s="6" t="s">
        <v>310</v>
      </c>
      <c r="D21" s="6" t="s">
        <v>1789</v>
      </c>
      <c r="E21" s="6" t="s">
        <v>959</v>
      </c>
      <c r="F21" s="6" t="s">
        <v>1786</v>
      </c>
      <c r="G21" s="6"/>
      <c r="H21" s="6" t="n">
        <v>10</v>
      </c>
      <c r="I21" s="6" t="n">
        <v>0</v>
      </c>
      <c r="J21" s="6" t="n">
        <v>13</v>
      </c>
      <c r="K21" s="6" t="n">
        <v>42.7</v>
      </c>
      <c r="L21" s="6" t="n">
        <v>-74.03</v>
      </c>
      <c r="M21" s="6"/>
      <c r="N21" s="6"/>
      <c r="O21" s="6" t="n">
        <f aca="false">IF(OR(K21="",L21=""),"",ROUND(3959*ACOS(MIN(1,SIN(RADIANS(README!$B$3))*SIN(RADIANS(K21))+COS(RADIANS(README!$B$3))*COS(RADIANS(K21))*COS(RADIANS(L21-README!$B$4)))),1))</f>
        <v>12.7</v>
      </c>
      <c r="P21" s="6" t="str">
        <f aca="false">IF(OR(M21="",N21=""),"",ROUND(3959*ACOS(MIN(1,SIN(RADIANS(README!$B$3))*SIN(RADIANS(M21))+COS(RADIANS(README!$B$3))*COS(RADIANS(M21))*COS(RADIANS(N21-README!$B$4)))),1))</f>
        <v/>
      </c>
      <c r="Q21" s="6" t="n">
        <f aca="false">IF(O21="","",IF(P21="",O21,MIN(O21,P21)))</f>
        <v>12.7</v>
      </c>
      <c r="R21" s="6" t="str">
        <f aca="false">IF(Q21="","n/a",IF(Q21&lt;=README!$B$5,"Yes","No"))</f>
        <v>Yes</v>
      </c>
      <c r="S21" s="6" t="s">
        <v>965</v>
      </c>
      <c r="T21" s="6" t="s">
        <v>16</v>
      </c>
      <c r="U21" s="6" t="s">
        <v>1790</v>
      </c>
    </row>
    <row r="22" customFormat="false" ht="23.85" hidden="false" customHeight="false" outlineLevel="0" collapsed="false">
      <c r="A22" s="6" t="s">
        <v>1791</v>
      </c>
      <c r="B22" s="6" t="s">
        <v>1792</v>
      </c>
      <c r="C22" s="6" t="s">
        <v>1793</v>
      </c>
      <c r="D22" s="6" t="s">
        <v>1794</v>
      </c>
      <c r="E22" s="6" t="s">
        <v>959</v>
      </c>
      <c r="F22" s="6" t="s">
        <v>1736</v>
      </c>
      <c r="G22" s="6"/>
      <c r="H22" s="6"/>
      <c r="I22" s="6" t="n">
        <v>0</v>
      </c>
      <c r="J22" s="6" t="n">
        <v>0</v>
      </c>
      <c r="K22" s="6" t="n">
        <v>42.28</v>
      </c>
      <c r="L22" s="6" t="n">
        <v>-74.57</v>
      </c>
      <c r="M22" s="6"/>
      <c r="N22" s="6"/>
      <c r="O22" s="6" t="n">
        <f aca="false">IF(OR(K22="",L22=""),"",ROUND(3959*ACOS(MIN(1,SIN(RADIANS(README!$B$3))*SIN(RADIANS(K22))+COS(RADIANS(README!$B$3))*COS(RADIANS(K22))*COS(RADIANS(L22-README!$B$4)))),1))</f>
        <v>31.4</v>
      </c>
      <c r="P22" s="6" t="str">
        <f aca="false">IF(OR(M22="",N22=""),"",ROUND(3959*ACOS(MIN(1,SIN(RADIANS(README!$B$3))*SIN(RADIANS(M22))+COS(RADIANS(README!$B$3))*COS(RADIANS(M22))*COS(RADIANS(N22-README!$B$4)))),1))</f>
        <v/>
      </c>
      <c r="Q22" s="6" t="n">
        <f aca="false">IF(O22="","",IF(P22="",O22,MIN(O22,P22)))</f>
        <v>31.4</v>
      </c>
      <c r="R22" s="6" t="str">
        <f aca="false">IF(Q22="","n/a",IF(Q22&lt;=README!$B$5,"Yes","No"))</f>
        <v>No</v>
      </c>
      <c r="S22" s="6" t="s">
        <v>965</v>
      </c>
      <c r="T22" s="6" t="s">
        <v>16</v>
      </c>
      <c r="U22" s="6"/>
    </row>
    <row r="23" customFormat="false" ht="35.05" hidden="false" customHeight="false" outlineLevel="0" collapsed="false">
      <c r="A23" s="6" t="s">
        <v>1159</v>
      </c>
      <c r="B23" s="6"/>
      <c r="C23" s="6" t="s">
        <v>942</v>
      </c>
      <c r="D23" s="6" t="s">
        <v>1795</v>
      </c>
      <c r="E23" s="6" t="s">
        <v>1796</v>
      </c>
      <c r="F23" s="6"/>
      <c r="G23" s="6"/>
      <c r="H23" s="6"/>
      <c r="I23" s="6"/>
      <c r="J23" s="6"/>
      <c r="K23" s="6" t="n">
        <v>42.75</v>
      </c>
      <c r="L23" s="6" t="n">
        <v>-73.8</v>
      </c>
      <c r="M23" s="6"/>
      <c r="N23" s="6"/>
      <c r="O23" s="6" t="n">
        <f aca="false">IF(OR(K23="",L23=""),"",ROUND(3959*ACOS(MIN(1,SIN(RADIANS(README!$B$3))*SIN(RADIANS(K23))+COS(RADIANS(README!$B$3))*COS(RADIANS(K23))*COS(RADIANS(L23-README!$B$4)))),1))</f>
        <v>20.4</v>
      </c>
      <c r="P23" s="6" t="str">
        <f aca="false">IF(OR(M23="",N23=""),"",ROUND(3959*ACOS(MIN(1,SIN(RADIANS(README!$B$3))*SIN(RADIANS(M23))+COS(RADIANS(README!$B$3))*COS(RADIANS(M23))*COS(RADIANS(N23-README!$B$4)))),1))</f>
        <v/>
      </c>
      <c r="Q23" s="6" t="n">
        <f aca="false">IF(O23="","",IF(P23="",O23,MIN(O23,P23)))</f>
        <v>20.4</v>
      </c>
      <c r="R23" s="6" t="str">
        <f aca="false">IF(Q23="","n/a",IF(Q23&lt;=README!$B$5,"Yes","No"))</f>
        <v>Yes</v>
      </c>
      <c r="S23" s="6" t="s">
        <v>627</v>
      </c>
      <c r="T23" s="6" t="s">
        <v>16</v>
      </c>
      <c r="U23" s="6" t="s">
        <v>1752</v>
      </c>
    </row>
    <row r="24" customFormat="false" ht="23.85" hidden="false" customHeight="false" outlineLevel="0" collapsed="false">
      <c r="A24" s="6" t="s">
        <v>1171</v>
      </c>
      <c r="B24" s="6" t="s">
        <v>1797</v>
      </c>
      <c r="C24" s="6" t="s">
        <v>1798</v>
      </c>
      <c r="D24" s="6" t="s">
        <v>1799</v>
      </c>
      <c r="E24" s="6" t="s">
        <v>1800</v>
      </c>
      <c r="F24" s="6" t="s">
        <v>1763</v>
      </c>
      <c r="G24" s="6" t="n">
        <v>42</v>
      </c>
      <c r="H24" s="6" t="n">
        <v>1320</v>
      </c>
      <c r="I24" s="6" t="n">
        <v>0</v>
      </c>
      <c r="J24" s="6" t="n">
        <v>20</v>
      </c>
      <c r="K24" s="6" t="n">
        <v>42.83</v>
      </c>
      <c r="L24" s="6" t="n">
        <v>-74.53</v>
      </c>
      <c r="M24" s="6" t="n">
        <v>42.38</v>
      </c>
      <c r="N24" s="6" t="n">
        <v>-74.03</v>
      </c>
      <c r="O24" s="6" t="n">
        <f aca="false">IF(OR(K24="",L24=""),"",ROUND(3959*ACOS(MIN(1,SIN(RADIANS(README!$B$3))*SIN(RADIANS(K24))+COS(RADIANS(README!$B$3))*COS(RADIANS(K24))*COS(RADIANS(L24-README!$B$4)))),1))</f>
        <v>32.8</v>
      </c>
      <c r="P24" s="6" t="n">
        <f aca="false">IF(OR(M24="",N24=""),"",ROUND(3959*ACOS(MIN(1,SIN(RADIANS(README!$B$3))*SIN(RADIANS(M24))+COS(RADIANS(README!$B$3))*COS(RADIANS(M24))*COS(RADIANS(N24-README!$B$4)))),1))</f>
        <v>9.5</v>
      </c>
      <c r="Q24" s="6" t="n">
        <f aca="false">IF(O24="","",IF(P24="",O24,MIN(O24,P24)))</f>
        <v>9.5</v>
      </c>
      <c r="R24" s="6" t="str">
        <f aca="false">IF(Q24="","n/a",IF(Q24&lt;=README!$B$5,"Yes","No"))</f>
        <v>Yes</v>
      </c>
      <c r="S24" s="6" t="s">
        <v>1801</v>
      </c>
      <c r="T24" s="6" t="s">
        <v>16</v>
      </c>
      <c r="U24" s="6" t="s">
        <v>1802</v>
      </c>
    </row>
    <row r="25" customFormat="false" ht="23.85" hidden="false" customHeight="false" outlineLevel="0" collapsed="false">
      <c r="A25" s="6" t="s">
        <v>1179</v>
      </c>
      <c r="B25" s="6" t="s">
        <v>1803</v>
      </c>
      <c r="C25" s="6" t="s">
        <v>1758</v>
      </c>
      <c r="D25" s="6" t="s">
        <v>1759</v>
      </c>
      <c r="E25" s="6" t="s">
        <v>959</v>
      </c>
      <c r="F25" s="6" t="s">
        <v>1786</v>
      </c>
      <c r="G25" s="6" t="n">
        <v>0.1</v>
      </c>
      <c r="H25" s="6" t="n">
        <v>17</v>
      </c>
      <c r="I25" s="6" t="n">
        <v>0</v>
      </c>
      <c r="J25" s="6" t="n">
        <v>0</v>
      </c>
      <c r="K25" s="6" t="n">
        <v>42.95</v>
      </c>
      <c r="L25" s="6" t="n">
        <v>-73.43</v>
      </c>
      <c r="M25" s="6"/>
      <c r="N25" s="6"/>
      <c r="O25" s="6" t="n">
        <f aca="false">IF(OR(K25="",L25=""),"",ROUND(3959*ACOS(MIN(1,SIN(RADIANS(README!$B$3))*SIN(RADIANS(K25))+COS(RADIANS(README!$B$3))*COS(RADIANS(K25))*COS(RADIANS(L25-README!$B$4)))),1))</f>
        <v>43.2</v>
      </c>
      <c r="P25" s="6" t="str">
        <f aca="false">IF(OR(M25="",N25=""),"",ROUND(3959*ACOS(MIN(1,SIN(RADIANS(README!$B$3))*SIN(RADIANS(M25))+COS(RADIANS(README!$B$3))*COS(RADIANS(M25))*COS(RADIANS(N25-README!$B$4)))),1))</f>
        <v/>
      </c>
      <c r="Q25" s="6" t="n">
        <f aca="false">IF(O25="","",IF(P25="",O25,MIN(O25,P25)))</f>
        <v>43.2</v>
      </c>
      <c r="R25" s="6" t="str">
        <f aca="false">IF(Q25="","n/a",IF(Q25&lt;=README!$B$5,"Yes","No"))</f>
        <v>No</v>
      </c>
      <c r="S25" s="6" t="s">
        <v>965</v>
      </c>
      <c r="T25" s="6" t="s">
        <v>16</v>
      </c>
      <c r="U25" s="6" t="s">
        <v>1804</v>
      </c>
    </row>
    <row r="26" customFormat="false" ht="23.85" hidden="false" customHeight="false" outlineLevel="0" collapsed="false">
      <c r="A26" s="6" t="s">
        <v>1805</v>
      </c>
      <c r="B26" s="6" t="s">
        <v>1806</v>
      </c>
      <c r="C26" s="6" t="s">
        <v>1739</v>
      </c>
      <c r="D26" s="6" t="s">
        <v>1807</v>
      </c>
      <c r="E26" s="6" t="s">
        <v>959</v>
      </c>
      <c r="F26" s="6" t="s">
        <v>1786</v>
      </c>
      <c r="G26" s="6" t="n">
        <v>0.2</v>
      </c>
      <c r="H26" s="6" t="n">
        <v>10</v>
      </c>
      <c r="I26" s="6" t="n">
        <v>0</v>
      </c>
      <c r="J26" s="6" t="n">
        <v>1</v>
      </c>
      <c r="K26" s="6" t="n">
        <v>42.2</v>
      </c>
      <c r="L26" s="6" t="n">
        <v>-73.97</v>
      </c>
      <c r="M26" s="6"/>
      <c r="N26" s="6"/>
      <c r="O26" s="6" t="n">
        <f aca="false">IF(OR(K26="",L26=""),"",ROUND(3959*ACOS(MIN(1,SIN(RADIANS(README!$B$3))*SIN(RADIANS(K26))+COS(RADIANS(README!$B$3))*COS(RADIANS(K26))*COS(RADIANS(L26-README!$B$4)))),1))</f>
        <v>22.2</v>
      </c>
      <c r="P26" s="6" t="str">
        <f aca="false">IF(OR(M26="",N26=""),"",ROUND(3959*ACOS(MIN(1,SIN(RADIANS(README!$B$3))*SIN(RADIANS(M26))+COS(RADIANS(README!$B$3))*COS(RADIANS(M26))*COS(RADIANS(N26-README!$B$4)))),1))</f>
        <v/>
      </c>
      <c r="Q26" s="6" t="n">
        <f aca="false">IF(O26="","",IF(P26="",O26,MIN(O26,P26)))</f>
        <v>22.2</v>
      </c>
      <c r="R26" s="6" t="str">
        <f aca="false">IF(Q26="","n/a",IF(Q26&lt;=README!$B$5,"Yes","No"))</f>
        <v>Yes</v>
      </c>
      <c r="S26" s="6" t="s">
        <v>965</v>
      </c>
      <c r="T26" s="6" t="s">
        <v>16</v>
      </c>
      <c r="U26" s="6"/>
    </row>
    <row r="27" customFormat="false" ht="23.85" hidden="false" customHeight="false" outlineLevel="0" collapsed="false">
      <c r="A27" s="6" t="s">
        <v>1808</v>
      </c>
      <c r="B27" s="6" t="s">
        <v>1738</v>
      </c>
      <c r="C27" s="6" t="s">
        <v>310</v>
      </c>
      <c r="D27" s="6" t="s">
        <v>1809</v>
      </c>
      <c r="E27" s="6" t="s">
        <v>959</v>
      </c>
      <c r="F27" s="6" t="s">
        <v>1786</v>
      </c>
      <c r="G27" s="6" t="n">
        <v>0.3</v>
      </c>
      <c r="H27" s="6" t="n">
        <v>7</v>
      </c>
      <c r="I27" s="6" t="n">
        <v>0</v>
      </c>
      <c r="J27" s="6" t="n">
        <v>0</v>
      </c>
      <c r="K27" s="6" t="n">
        <v>42.75</v>
      </c>
      <c r="L27" s="6" t="n">
        <v>-74.1</v>
      </c>
      <c r="M27" s="6"/>
      <c r="N27" s="6"/>
      <c r="O27" s="6" t="n">
        <f aca="false">IF(OR(K27="",L27=""),"",ROUND(3959*ACOS(MIN(1,SIN(RADIANS(README!$B$3))*SIN(RADIANS(K27))+COS(RADIANS(README!$B$3))*COS(RADIANS(K27))*COS(RADIANS(L27-README!$B$4)))),1))</f>
        <v>16.3</v>
      </c>
      <c r="P27" s="6" t="str">
        <f aca="false">IF(OR(M27="",N27=""),"",ROUND(3959*ACOS(MIN(1,SIN(RADIANS(README!$B$3))*SIN(RADIANS(M27))+COS(RADIANS(README!$B$3))*COS(RADIANS(M27))*COS(RADIANS(N27-README!$B$4)))),1))</f>
        <v/>
      </c>
      <c r="Q27" s="6" t="n">
        <f aca="false">IF(O27="","",IF(P27="",O27,MIN(O27,P27)))</f>
        <v>16.3</v>
      </c>
      <c r="R27" s="6" t="str">
        <f aca="false">IF(Q27="","n/a",IF(Q27&lt;=README!$B$5,"Yes","No"))</f>
        <v>Yes</v>
      </c>
      <c r="S27" s="6" t="s">
        <v>965</v>
      </c>
      <c r="T27" s="6" t="s">
        <v>16</v>
      </c>
      <c r="U27" s="6"/>
    </row>
    <row r="28" customFormat="false" ht="23.85" hidden="false" customHeight="false" outlineLevel="0" collapsed="false">
      <c r="A28" s="6" t="s">
        <v>1810</v>
      </c>
      <c r="B28" s="6" t="s">
        <v>1811</v>
      </c>
      <c r="C28" s="6" t="s">
        <v>1812</v>
      </c>
      <c r="D28" s="6" t="s">
        <v>1813</v>
      </c>
      <c r="E28" s="6" t="s">
        <v>959</v>
      </c>
      <c r="F28" s="6" t="s">
        <v>1731</v>
      </c>
      <c r="G28" s="6" t="n">
        <v>6</v>
      </c>
      <c r="H28" s="6" t="n">
        <v>73</v>
      </c>
      <c r="I28" s="6" t="n">
        <v>0</v>
      </c>
      <c r="J28" s="6" t="n">
        <v>0</v>
      </c>
      <c r="K28" s="6" t="n">
        <v>42.67</v>
      </c>
      <c r="L28" s="6" t="n">
        <v>-74.45</v>
      </c>
      <c r="M28" s="6" t="n">
        <v>42.6</v>
      </c>
      <c r="N28" s="6" t="n">
        <v>-74.35</v>
      </c>
      <c r="O28" s="6" t="n">
        <f aca="false">IF(OR(K28="",L28=""),"",ROUND(3959*ACOS(MIN(1,SIN(RADIANS(README!$B$3))*SIN(RADIANS(K28))+COS(RADIANS(README!$B$3))*COS(RADIANS(K28))*COS(RADIANS(L28-README!$B$4)))),1))</f>
        <v>23.2</v>
      </c>
      <c r="P28" s="6" t="n">
        <f aca="false">IF(OR(M28="",N28=""),"",ROUND(3959*ACOS(MIN(1,SIN(RADIANS(README!$B$3))*SIN(RADIANS(M28))+COS(RADIANS(README!$B$3))*COS(RADIANS(M28))*COS(RADIANS(N28-README!$B$4)))),1))</f>
        <v>16.5</v>
      </c>
      <c r="Q28" s="6" t="n">
        <f aca="false">IF(O28="","",IF(P28="",O28,MIN(O28,P28)))</f>
        <v>16.5</v>
      </c>
      <c r="R28" s="6" t="str">
        <f aca="false">IF(Q28="","n/a",IF(Q28&lt;=README!$B$5,"Yes","No"))</f>
        <v>Yes</v>
      </c>
      <c r="S28" s="6" t="s">
        <v>965</v>
      </c>
      <c r="T28" s="6" t="s">
        <v>16</v>
      </c>
      <c r="U28" s="6"/>
    </row>
    <row r="29" customFormat="false" ht="23.85" hidden="false" customHeight="false" outlineLevel="0" collapsed="false">
      <c r="A29" s="6" t="s">
        <v>1810</v>
      </c>
      <c r="B29" s="6" t="s">
        <v>1814</v>
      </c>
      <c r="C29" s="6" t="s">
        <v>1758</v>
      </c>
      <c r="D29" s="6" t="s">
        <v>1815</v>
      </c>
      <c r="E29" s="6" t="s">
        <v>959</v>
      </c>
      <c r="F29" s="6" t="s">
        <v>1731</v>
      </c>
      <c r="G29" s="6" t="n">
        <v>2</v>
      </c>
      <c r="H29" s="6" t="n">
        <v>100</v>
      </c>
      <c r="I29" s="6" t="n">
        <v>0</v>
      </c>
      <c r="J29" s="6" t="n">
        <v>0</v>
      </c>
      <c r="K29" s="6" t="n">
        <v>42.7</v>
      </c>
      <c r="L29" s="6" t="n">
        <v>-73.38</v>
      </c>
      <c r="M29" s="6"/>
      <c r="N29" s="6"/>
      <c r="O29" s="6" t="n">
        <f aca="false">IF(OR(K29="",L29=""),"",ROUND(3959*ACOS(MIN(1,SIN(RADIANS(README!$B$3))*SIN(RADIANS(K29))+COS(RADIANS(README!$B$3))*COS(RADIANS(K29))*COS(RADIANS(L29-README!$B$4)))),1))</f>
        <v>36.1</v>
      </c>
      <c r="P29" s="6" t="str">
        <f aca="false">IF(OR(M29="",N29=""),"",ROUND(3959*ACOS(MIN(1,SIN(RADIANS(README!$B$3))*SIN(RADIANS(M29))+COS(RADIANS(README!$B$3))*COS(RADIANS(M29))*COS(RADIANS(N29-README!$B$4)))),1))</f>
        <v/>
      </c>
      <c r="Q29" s="6" t="n">
        <f aca="false">IF(O29="","",IF(P29="",O29,MIN(O29,P29)))</f>
        <v>36.1</v>
      </c>
      <c r="R29" s="6" t="str">
        <f aca="false">IF(Q29="","n/a",IF(Q29&lt;=README!$B$5,"Yes","No"))</f>
        <v>No</v>
      </c>
      <c r="S29" s="6" t="s">
        <v>965</v>
      </c>
      <c r="T29" s="6" t="s">
        <v>16</v>
      </c>
      <c r="U29" s="6" t="s">
        <v>1816</v>
      </c>
    </row>
    <row r="30" customFormat="false" ht="23.85" hidden="false" customHeight="false" outlineLevel="0" collapsed="false">
      <c r="A30" s="6" t="s">
        <v>1817</v>
      </c>
      <c r="B30" s="6" t="s">
        <v>1818</v>
      </c>
      <c r="C30" s="6" t="s">
        <v>1819</v>
      </c>
      <c r="D30" s="6" t="s">
        <v>1820</v>
      </c>
      <c r="E30" s="6" t="s">
        <v>959</v>
      </c>
      <c r="F30" s="6" t="s">
        <v>1731</v>
      </c>
      <c r="G30" s="6"/>
      <c r="H30" s="6"/>
      <c r="I30" s="6" t="n">
        <v>0</v>
      </c>
      <c r="J30" s="6" t="n">
        <v>0</v>
      </c>
      <c r="K30" s="6" t="n">
        <v>42.93</v>
      </c>
      <c r="L30" s="6" t="n">
        <v>-74.18</v>
      </c>
      <c r="M30" s="6"/>
      <c r="N30" s="6"/>
      <c r="O30" s="6" t="n">
        <f aca="false">IF(OR(K30="",L30=""),"",ROUND(3959*ACOS(MIN(1,SIN(RADIANS(README!$B$3))*SIN(RADIANS(K30))+COS(RADIANS(README!$B$3))*COS(RADIANS(K30))*COS(RADIANS(L30-README!$B$4)))),1))</f>
        <v>29.3</v>
      </c>
      <c r="P30" s="6" t="str">
        <f aca="false">IF(OR(M30="",N30=""),"",ROUND(3959*ACOS(MIN(1,SIN(RADIANS(README!$B$3))*SIN(RADIANS(M30))+COS(RADIANS(README!$B$3))*COS(RADIANS(M30))*COS(RADIANS(N30-README!$B$4)))),1))</f>
        <v/>
      </c>
      <c r="Q30" s="6" t="n">
        <f aca="false">IF(O30="","",IF(P30="",O30,MIN(O30,P30)))</f>
        <v>29.3</v>
      </c>
      <c r="R30" s="6" t="str">
        <f aca="false">IF(Q30="","n/a",IF(Q30&lt;=README!$B$5,"Yes","No"))</f>
        <v>Yes</v>
      </c>
      <c r="S30" s="6" t="s">
        <v>965</v>
      </c>
      <c r="T30" s="6" t="s">
        <v>16</v>
      </c>
      <c r="U30" s="6"/>
    </row>
    <row r="31" customFormat="false" ht="23.85" hidden="false" customHeight="false" outlineLevel="0" collapsed="false">
      <c r="A31" s="6" t="s">
        <v>1821</v>
      </c>
      <c r="B31" s="6" t="s">
        <v>1822</v>
      </c>
      <c r="C31" s="6" t="s">
        <v>1823</v>
      </c>
      <c r="D31" s="6" t="s">
        <v>1824</v>
      </c>
      <c r="E31" s="6" t="s">
        <v>959</v>
      </c>
      <c r="F31" s="6" t="s">
        <v>1731</v>
      </c>
      <c r="G31" s="6"/>
      <c r="H31" s="6"/>
      <c r="I31" s="6" t="n">
        <v>0</v>
      </c>
      <c r="J31" s="6" t="n">
        <v>0</v>
      </c>
      <c r="K31" s="6" t="n">
        <v>42.08</v>
      </c>
      <c r="L31" s="6" t="n">
        <v>-73.95</v>
      </c>
      <c r="M31" s="6"/>
      <c r="N31" s="6"/>
      <c r="O31" s="6" t="n">
        <f aca="false">IF(OR(K31="",L31=""),"",ROUND(3959*ACOS(MIN(1,SIN(RADIANS(README!$B$3))*SIN(RADIANS(K31))+COS(RADIANS(README!$B$3))*COS(RADIANS(K31))*COS(RADIANS(L31-README!$B$4)))),1))</f>
        <v>30.6</v>
      </c>
      <c r="P31" s="6" t="str">
        <f aca="false">IF(OR(M31="",N31=""),"",ROUND(3959*ACOS(MIN(1,SIN(RADIANS(README!$B$3))*SIN(RADIANS(M31))+COS(RADIANS(README!$B$3))*COS(RADIANS(M31))*COS(RADIANS(N31-README!$B$4)))),1))</f>
        <v/>
      </c>
      <c r="Q31" s="6" t="n">
        <f aca="false">IF(O31="","",IF(P31="",O31,MIN(O31,P31)))</f>
        <v>30.6</v>
      </c>
      <c r="R31" s="6" t="str">
        <f aca="false">IF(Q31="","n/a",IF(Q31&lt;=README!$B$5,"Yes","No"))</f>
        <v>No</v>
      </c>
      <c r="S31" s="6" t="s">
        <v>965</v>
      </c>
      <c r="T31" s="6" t="s">
        <v>16</v>
      </c>
      <c r="U31" s="6"/>
    </row>
    <row r="32" customFormat="false" ht="23.85" hidden="false" customHeight="false" outlineLevel="0" collapsed="false">
      <c r="A32" s="6" t="s">
        <v>1825</v>
      </c>
      <c r="B32" s="6" t="s">
        <v>1806</v>
      </c>
      <c r="C32" s="6" t="s">
        <v>1758</v>
      </c>
      <c r="D32" s="6" t="s">
        <v>1759</v>
      </c>
      <c r="E32" s="6" t="s">
        <v>959</v>
      </c>
      <c r="F32" s="6" t="s">
        <v>1731</v>
      </c>
      <c r="G32" s="6" t="n">
        <v>1.5</v>
      </c>
      <c r="H32" s="6" t="n">
        <v>25</v>
      </c>
      <c r="I32" s="6" t="n">
        <v>0</v>
      </c>
      <c r="J32" s="6" t="n">
        <v>0</v>
      </c>
      <c r="K32" s="6" t="n">
        <v>42.95</v>
      </c>
      <c r="L32" s="6" t="n">
        <v>-73.4</v>
      </c>
      <c r="M32" s="6"/>
      <c r="N32" s="6"/>
      <c r="O32" s="6" t="n">
        <f aca="false">IF(OR(K32="",L32=""),"",ROUND(3959*ACOS(MIN(1,SIN(RADIANS(README!$B$3))*SIN(RADIANS(K32))+COS(RADIANS(README!$B$3))*COS(RADIANS(K32))*COS(RADIANS(L32-README!$B$4)))),1))</f>
        <v>44.3</v>
      </c>
      <c r="P32" s="6" t="str">
        <f aca="false">IF(OR(M32="",N32=""),"",ROUND(3959*ACOS(MIN(1,SIN(RADIANS(README!$B$3))*SIN(RADIANS(M32))+COS(RADIANS(README!$B$3))*COS(RADIANS(M32))*COS(RADIANS(N32-README!$B$4)))),1))</f>
        <v/>
      </c>
      <c r="Q32" s="6" t="n">
        <f aca="false">IF(O32="","",IF(P32="",O32,MIN(O32,P32)))</f>
        <v>44.3</v>
      </c>
      <c r="R32" s="6" t="str">
        <f aca="false">IF(Q32="","n/a",IF(Q32&lt;=README!$B$5,"Yes","No"))</f>
        <v>No</v>
      </c>
      <c r="S32" s="6" t="s">
        <v>965</v>
      </c>
      <c r="T32" s="6" t="s">
        <v>16</v>
      </c>
      <c r="U32" s="6"/>
    </row>
    <row r="33" customFormat="false" ht="23.85" hidden="false" customHeight="false" outlineLevel="0" collapsed="false">
      <c r="A33" s="6" t="s">
        <v>1826</v>
      </c>
      <c r="B33" s="6" t="s">
        <v>1827</v>
      </c>
      <c r="C33" s="6" t="s">
        <v>1721</v>
      </c>
      <c r="D33" s="6" t="s">
        <v>1828</v>
      </c>
      <c r="E33" s="6" t="s">
        <v>959</v>
      </c>
      <c r="F33" s="6" t="s">
        <v>1736</v>
      </c>
      <c r="G33" s="6" t="n">
        <v>15</v>
      </c>
      <c r="H33" s="6" t="n">
        <v>300</v>
      </c>
      <c r="I33" s="6" t="n">
        <v>0</v>
      </c>
      <c r="J33" s="6" t="n">
        <v>5</v>
      </c>
      <c r="K33" s="6" t="n">
        <v>42.2</v>
      </c>
      <c r="L33" s="6" t="n">
        <v>-73.78</v>
      </c>
      <c r="M33" s="6" t="n">
        <v>42.2</v>
      </c>
      <c r="N33" s="6" t="n">
        <v>-73.52</v>
      </c>
      <c r="O33" s="6" t="n">
        <f aca="false">IF(OR(K33="",L33=""),"",ROUND(3959*ACOS(MIN(1,SIN(RADIANS(README!$B$3))*SIN(RADIANS(K33))+COS(RADIANS(README!$B$3))*COS(RADIANS(K33))*COS(RADIANS(L33-README!$B$4)))),1))</f>
        <v>25.7</v>
      </c>
      <c r="P33" s="6" t="n">
        <f aca="false">IF(OR(M33="",N33=""),"",ROUND(3959*ACOS(MIN(1,SIN(RADIANS(README!$B$3))*SIN(RADIANS(M33))+COS(RADIANS(README!$B$3))*COS(RADIANS(M33))*COS(RADIANS(N33-README!$B$4)))),1))</f>
        <v>34.6</v>
      </c>
      <c r="Q33" s="6" t="n">
        <f aca="false">IF(O33="","",IF(P33="",O33,MIN(O33,P33)))</f>
        <v>25.7</v>
      </c>
      <c r="R33" s="6" t="str">
        <f aca="false">IF(Q33="","n/a",IF(Q33&lt;=README!$B$5,"Yes","No"))</f>
        <v>Yes</v>
      </c>
      <c r="S33" s="6" t="s">
        <v>965</v>
      </c>
      <c r="T33" s="6" t="s">
        <v>16</v>
      </c>
      <c r="U33" s="6"/>
    </row>
    <row r="34" customFormat="false" ht="15" hidden="false" customHeight="false" outlineLevel="0" collapsed="false">
      <c r="A34" s="6" t="s">
        <v>1207</v>
      </c>
      <c r="B34" s="6"/>
      <c r="C34" s="6" t="s">
        <v>1829</v>
      </c>
      <c r="D34" s="6" t="s">
        <v>1209</v>
      </c>
      <c r="E34" s="6" t="s">
        <v>1208</v>
      </c>
      <c r="F34" s="6" t="s">
        <v>1830</v>
      </c>
      <c r="G34" s="6"/>
      <c r="H34" s="6"/>
      <c r="I34" s="6" t="n">
        <v>1</v>
      </c>
      <c r="J34" s="6"/>
      <c r="K34" s="6" t="n">
        <v>42.75</v>
      </c>
      <c r="L34" s="6" t="n">
        <v>-73.8</v>
      </c>
      <c r="M34" s="6"/>
      <c r="N34" s="6"/>
      <c r="O34" s="6" t="n">
        <f aca="false">IF(OR(K34="",L34=""),"",ROUND(3959*ACOS(MIN(1,SIN(RADIANS(README!$B$3))*SIN(RADIANS(K34))+COS(RADIANS(README!$B$3))*COS(RADIANS(K34))*COS(RADIANS(L34-README!$B$4)))),1))</f>
        <v>20.4</v>
      </c>
      <c r="P34" s="6" t="str">
        <f aca="false">IF(OR(M34="",N34=""),"",ROUND(3959*ACOS(MIN(1,SIN(RADIANS(README!$B$3))*SIN(RADIANS(M34))+COS(RADIANS(README!$B$3))*COS(RADIANS(M34))*COS(RADIANS(N34-README!$B$4)))),1))</f>
        <v/>
      </c>
      <c r="Q34" s="6" t="n">
        <f aca="false">IF(O34="","",IF(P34="",O34,MIN(O34,P34)))</f>
        <v>20.4</v>
      </c>
      <c r="R34" s="6" t="str">
        <f aca="false">IF(Q34="","n/a",IF(Q34&lt;=README!$B$5,"Yes","No"))</f>
        <v>Yes</v>
      </c>
      <c r="S34" s="6" t="s">
        <v>1213</v>
      </c>
      <c r="T34" s="6" t="s">
        <v>16</v>
      </c>
      <c r="U34" s="6" t="s">
        <v>1831</v>
      </c>
    </row>
    <row r="35" customFormat="false" ht="23.85" hidden="false" customHeight="false" outlineLevel="0" collapsed="false">
      <c r="A35" s="6" t="s">
        <v>1832</v>
      </c>
      <c r="B35" s="6" t="s">
        <v>1833</v>
      </c>
      <c r="C35" s="6" t="s">
        <v>1721</v>
      </c>
      <c r="D35" s="6" t="s">
        <v>1782</v>
      </c>
      <c r="E35" s="6" t="s">
        <v>959</v>
      </c>
      <c r="F35" s="6" t="s">
        <v>1731</v>
      </c>
      <c r="G35" s="6" t="n">
        <v>5.3</v>
      </c>
      <c r="H35" s="6" t="n">
        <v>100</v>
      </c>
      <c r="I35" s="6" t="n">
        <v>0</v>
      </c>
      <c r="J35" s="6" t="n">
        <v>0</v>
      </c>
      <c r="K35" s="6" t="n">
        <v>42.12</v>
      </c>
      <c r="L35" s="6" t="n">
        <v>-73.6</v>
      </c>
      <c r="M35" s="6" t="n">
        <v>42.15</v>
      </c>
      <c r="N35" s="6" t="n">
        <v>-73.48</v>
      </c>
      <c r="O35" s="6" t="n">
        <f aca="false">IF(OR(K35="",L35=""),"",ROUND(3959*ACOS(MIN(1,SIN(RADIANS(README!$B$3))*SIN(RADIANS(K35))+COS(RADIANS(README!$B$3))*COS(RADIANS(K35))*COS(RADIANS(L35-README!$B$4)))),1))</f>
        <v>35.6</v>
      </c>
      <c r="P35" s="6" t="n">
        <f aca="false">IF(OR(M35="",N35=""),"",ROUND(3959*ACOS(MIN(1,SIN(RADIANS(README!$B$3))*SIN(RADIANS(M35))+COS(RADIANS(README!$B$3))*COS(RADIANS(M35))*COS(RADIANS(N35-README!$B$4)))),1))</f>
        <v>38.4</v>
      </c>
      <c r="Q35" s="6" t="n">
        <f aca="false">IF(O35="","",IF(P35="",O35,MIN(O35,P35)))</f>
        <v>35.6</v>
      </c>
      <c r="R35" s="6" t="str">
        <f aca="false">IF(Q35="","n/a",IF(Q35&lt;=README!$B$5,"Yes","No"))</f>
        <v>No</v>
      </c>
      <c r="S35" s="6" t="s">
        <v>965</v>
      </c>
      <c r="T35" s="6" t="s">
        <v>16</v>
      </c>
      <c r="U35" s="6"/>
    </row>
    <row r="36" customFormat="false" ht="23.85" hidden="false" customHeight="false" outlineLevel="0" collapsed="false">
      <c r="A36" s="6" t="s">
        <v>1832</v>
      </c>
      <c r="B36" s="6" t="s">
        <v>1834</v>
      </c>
      <c r="C36" s="6" t="s">
        <v>1721</v>
      </c>
      <c r="D36" s="6" t="s">
        <v>1782</v>
      </c>
      <c r="E36" s="6" t="s">
        <v>959</v>
      </c>
      <c r="F36" s="6" t="s">
        <v>1731</v>
      </c>
      <c r="G36" s="6" t="n">
        <v>1.2</v>
      </c>
      <c r="H36" s="6" t="n">
        <v>200</v>
      </c>
      <c r="I36" s="6" t="n">
        <v>0</v>
      </c>
      <c r="J36" s="6" t="n">
        <v>0</v>
      </c>
      <c r="K36" s="6" t="n">
        <v>42.4</v>
      </c>
      <c r="L36" s="6" t="n">
        <v>-73.43</v>
      </c>
      <c r="M36" s="6" t="n">
        <v>42.4</v>
      </c>
      <c r="N36" s="6" t="n">
        <v>-73.42</v>
      </c>
      <c r="O36" s="6" t="n">
        <f aca="false">IF(OR(K36="",L36=""),"",ROUND(3959*ACOS(MIN(1,SIN(RADIANS(README!$B$3))*SIN(RADIANS(K36))+COS(RADIANS(README!$B$3))*COS(RADIANS(K36))*COS(RADIANS(L36-README!$B$4)))),1))</f>
        <v>32.4</v>
      </c>
      <c r="P36" s="6" t="n">
        <f aca="false">IF(OR(M36="",N36=""),"",ROUND(3959*ACOS(MIN(1,SIN(RADIANS(README!$B$3))*SIN(RADIANS(M36))+COS(RADIANS(README!$B$3))*COS(RADIANS(M36))*COS(RADIANS(N36-README!$B$4)))),1))</f>
        <v>32.9</v>
      </c>
      <c r="Q36" s="6" t="n">
        <f aca="false">IF(O36="","",IF(P36="",O36,MIN(O36,P36)))</f>
        <v>32.4</v>
      </c>
      <c r="R36" s="6" t="str">
        <f aca="false">IF(Q36="","n/a",IF(Q36&lt;=README!$B$5,"Yes","No"))</f>
        <v>No</v>
      </c>
      <c r="S36" s="6" t="s">
        <v>965</v>
      </c>
      <c r="T36" s="6" t="s">
        <v>16</v>
      </c>
      <c r="U36" s="6"/>
    </row>
    <row r="37" customFormat="false" ht="23.85" hidden="false" customHeight="false" outlineLevel="0" collapsed="false">
      <c r="A37" s="6" t="s">
        <v>1832</v>
      </c>
      <c r="B37" s="6" t="s">
        <v>1835</v>
      </c>
      <c r="C37" s="6" t="s">
        <v>1721</v>
      </c>
      <c r="D37" s="6" t="s">
        <v>1836</v>
      </c>
      <c r="E37" s="6" t="s">
        <v>959</v>
      </c>
      <c r="F37" s="6" t="s">
        <v>1736</v>
      </c>
      <c r="G37" s="6" t="n">
        <v>1</v>
      </c>
      <c r="H37" s="6" t="n">
        <v>100</v>
      </c>
      <c r="I37" s="6" t="n">
        <v>0</v>
      </c>
      <c r="J37" s="6" t="n">
        <v>0</v>
      </c>
      <c r="K37" s="6" t="n">
        <v>42.4</v>
      </c>
      <c r="L37" s="6" t="n">
        <v>-73.42</v>
      </c>
      <c r="M37" s="6" t="n">
        <v>42.38</v>
      </c>
      <c r="N37" s="6" t="n">
        <v>-73.57</v>
      </c>
      <c r="O37" s="6" t="n">
        <f aca="false">IF(OR(K37="",L37=""),"",ROUND(3959*ACOS(MIN(1,SIN(RADIANS(README!$B$3))*SIN(RADIANS(K37))+COS(RADIANS(README!$B$3))*COS(RADIANS(K37))*COS(RADIANS(L37-README!$B$4)))),1))</f>
        <v>32.9</v>
      </c>
      <c r="P37" s="6" t="n">
        <f aca="false">IF(OR(M37="",N37=""),"",ROUND(3959*ACOS(MIN(1,SIN(RADIANS(README!$B$3))*SIN(RADIANS(M37))+COS(RADIANS(README!$B$3))*COS(RADIANS(M37))*COS(RADIANS(N37-README!$B$4)))),1))</f>
        <v>26</v>
      </c>
      <c r="Q37" s="6" t="n">
        <f aca="false">IF(O37="","",IF(P37="",O37,MIN(O37,P37)))</f>
        <v>26</v>
      </c>
      <c r="R37" s="6" t="str">
        <f aca="false">IF(Q37="","n/a",IF(Q37&lt;=README!$B$5,"Yes","No"))</f>
        <v>Yes</v>
      </c>
      <c r="S37" s="6" t="s">
        <v>965</v>
      </c>
      <c r="T37" s="6" t="s">
        <v>16</v>
      </c>
      <c r="U37" s="6"/>
    </row>
    <row r="38" customFormat="false" ht="23.85" hidden="false" customHeight="false" outlineLevel="0" collapsed="false">
      <c r="A38" s="6" t="s">
        <v>1243</v>
      </c>
      <c r="B38" s="6" t="s">
        <v>1837</v>
      </c>
      <c r="C38" s="6" t="s">
        <v>1838</v>
      </c>
      <c r="D38" s="6" t="s">
        <v>1839</v>
      </c>
      <c r="E38" s="6" t="s">
        <v>959</v>
      </c>
      <c r="F38" s="6" t="s">
        <v>1748</v>
      </c>
      <c r="G38" s="6" t="n">
        <v>20.3</v>
      </c>
      <c r="H38" s="6" t="n">
        <v>970</v>
      </c>
      <c r="I38" s="6" t="n">
        <v>0</v>
      </c>
      <c r="J38" s="6" t="n">
        <v>68</v>
      </c>
      <c r="K38" s="6" t="n">
        <v>42.92</v>
      </c>
      <c r="L38" s="6" t="n">
        <v>-73.77</v>
      </c>
      <c r="M38" s="6" t="n">
        <v>42.93</v>
      </c>
      <c r="N38" s="6" t="n">
        <v>-73.27</v>
      </c>
      <c r="O38" s="6" t="n">
        <f aca="false">IF(OR(K38="",L38=""),"",ROUND(3959*ACOS(MIN(1,SIN(RADIANS(README!$B$3))*SIN(RADIANS(K38))+COS(RADIANS(README!$B$3))*COS(RADIANS(K38))*COS(RADIANS(L38-README!$B$4)))),1))</f>
        <v>31.1</v>
      </c>
      <c r="P38" s="6" t="n">
        <f aca="false">IF(OR(M38="",N38=""),"",ROUND(3959*ACOS(MIN(1,SIN(RADIANS(README!$B$3))*SIN(RADIANS(M38))+COS(RADIANS(README!$B$3))*COS(RADIANS(M38))*COS(RADIANS(N38-README!$B$4)))),1))</f>
        <v>48.6</v>
      </c>
      <c r="Q38" s="6" t="n">
        <f aca="false">IF(O38="","",IF(P38="",O38,MIN(O38,P38)))</f>
        <v>31.1</v>
      </c>
      <c r="R38" s="6" t="str">
        <f aca="false">IF(Q38="","n/a",IF(Q38&lt;=README!$B$5,"Yes","No"))</f>
        <v>No</v>
      </c>
      <c r="S38" s="6" t="s">
        <v>965</v>
      </c>
      <c r="T38" s="6" t="s">
        <v>16</v>
      </c>
      <c r="U38" s="6" t="s">
        <v>1840</v>
      </c>
    </row>
    <row r="39" customFormat="false" ht="23.85" hidden="false" customHeight="false" outlineLevel="0" collapsed="false">
      <c r="A39" s="6" t="s">
        <v>1243</v>
      </c>
      <c r="B39" s="6" t="s">
        <v>1841</v>
      </c>
      <c r="C39" s="6" t="s">
        <v>310</v>
      </c>
      <c r="D39" s="6" t="s">
        <v>1785</v>
      </c>
      <c r="E39" s="6" t="s">
        <v>959</v>
      </c>
      <c r="F39" s="6" t="s">
        <v>1731</v>
      </c>
      <c r="G39" s="6" t="n">
        <v>3.5</v>
      </c>
      <c r="H39" s="6" t="n">
        <v>75</v>
      </c>
      <c r="I39" s="6" t="n">
        <v>0</v>
      </c>
      <c r="J39" s="6" t="n">
        <v>0</v>
      </c>
      <c r="K39" s="6" t="n">
        <v>42.73</v>
      </c>
      <c r="L39" s="6" t="n">
        <v>-73.87</v>
      </c>
      <c r="M39" s="6" t="n">
        <v>42.75</v>
      </c>
      <c r="N39" s="6" t="n">
        <v>-73.77</v>
      </c>
      <c r="O39" s="6" t="n">
        <f aca="false">IF(OR(K39="",L39=""),"",ROUND(3959*ACOS(MIN(1,SIN(RADIANS(README!$B$3))*SIN(RADIANS(K39))+COS(RADIANS(README!$B$3))*COS(RADIANS(K39))*COS(RADIANS(L39-README!$B$4)))),1))</f>
        <v>17.2</v>
      </c>
      <c r="P39" s="6" t="n">
        <f aca="false">IF(OR(M39="",N39=""),"",ROUND(3959*ACOS(MIN(1,SIN(RADIANS(README!$B$3))*SIN(RADIANS(M39))+COS(RADIANS(README!$B$3))*COS(RADIANS(M39))*COS(RADIANS(N39-README!$B$4)))),1))</f>
        <v>21.3</v>
      </c>
      <c r="Q39" s="6" t="n">
        <f aca="false">IF(O39="","",IF(P39="",O39,MIN(O39,P39)))</f>
        <v>17.2</v>
      </c>
      <c r="R39" s="6" t="str">
        <f aca="false">IF(Q39="","n/a",IF(Q39&lt;=README!$B$5,"Yes","No"))</f>
        <v>Yes</v>
      </c>
      <c r="S39" s="6" t="s">
        <v>965</v>
      </c>
      <c r="T39" s="6" t="s">
        <v>16</v>
      </c>
      <c r="U39" s="6"/>
    </row>
    <row r="40" customFormat="false" ht="23.85" hidden="false" customHeight="false" outlineLevel="0" collapsed="false">
      <c r="A40" s="6" t="s">
        <v>1243</v>
      </c>
      <c r="B40" s="6" t="s">
        <v>1842</v>
      </c>
      <c r="C40" s="6" t="s">
        <v>1758</v>
      </c>
      <c r="D40" s="6" t="s">
        <v>1759</v>
      </c>
      <c r="E40" s="6" t="s">
        <v>959</v>
      </c>
      <c r="F40" s="6" t="s">
        <v>1736</v>
      </c>
      <c r="G40" s="6" t="n">
        <v>8</v>
      </c>
      <c r="H40" s="6" t="n">
        <v>200</v>
      </c>
      <c r="I40" s="6" t="n">
        <v>0</v>
      </c>
      <c r="J40" s="6" t="n">
        <v>0</v>
      </c>
      <c r="K40" s="6" t="n">
        <v>42.58</v>
      </c>
      <c r="L40" s="6" t="n">
        <v>-73.65</v>
      </c>
      <c r="M40" s="6" t="n">
        <v>42.6</v>
      </c>
      <c r="N40" s="6" t="n">
        <v>-73.52</v>
      </c>
      <c r="O40" s="6" t="n">
        <f aca="false">IF(OR(K40="",L40=""),"",ROUND(3959*ACOS(MIN(1,SIN(RADIANS(README!$B$3))*SIN(RADIANS(K40))+COS(RADIANS(README!$B$3))*COS(RADIANS(K40))*COS(RADIANS(L40-README!$B$4)))),1))</f>
        <v>20.6</v>
      </c>
      <c r="P40" s="6" t="n">
        <f aca="false">IF(OR(M40="",N40=""),"",ROUND(3959*ACOS(MIN(1,SIN(RADIANS(README!$B$3))*SIN(RADIANS(M40))+COS(RADIANS(README!$B$3))*COS(RADIANS(M40))*COS(RADIANS(N40-README!$B$4)))),1))</f>
        <v>27.3</v>
      </c>
      <c r="Q40" s="6" t="n">
        <f aca="false">IF(O40="","",IF(P40="",O40,MIN(O40,P40)))</f>
        <v>20.6</v>
      </c>
      <c r="R40" s="6" t="str">
        <f aca="false">IF(Q40="","n/a",IF(Q40&lt;=README!$B$5,"Yes","No"))</f>
        <v>Yes</v>
      </c>
      <c r="S40" s="6" t="s">
        <v>965</v>
      </c>
      <c r="T40" s="6" t="s">
        <v>16</v>
      </c>
      <c r="U40" s="6"/>
    </row>
    <row r="41" customFormat="false" ht="15" hidden="false" customHeight="false" outlineLevel="0" collapsed="false">
      <c r="A41" s="6" t="s">
        <v>1843</v>
      </c>
      <c r="B41" s="6"/>
      <c r="C41" s="6" t="s">
        <v>310</v>
      </c>
      <c r="D41" s="6" t="s">
        <v>1785</v>
      </c>
      <c r="E41" s="6" t="s">
        <v>1844</v>
      </c>
      <c r="F41" s="6"/>
      <c r="G41" s="6"/>
      <c r="H41" s="6"/>
      <c r="I41" s="6" t="n">
        <v>0</v>
      </c>
      <c r="J41" s="6" t="n">
        <v>9</v>
      </c>
      <c r="K41" s="6" t="n">
        <v>42.75</v>
      </c>
      <c r="L41" s="6" t="n">
        <v>-73.8</v>
      </c>
      <c r="M41" s="6"/>
      <c r="N41" s="6"/>
      <c r="O41" s="6" t="n">
        <f aca="false">IF(OR(K41="",L41=""),"",ROUND(3959*ACOS(MIN(1,SIN(RADIANS(README!$B$3))*SIN(RADIANS(K41))+COS(RADIANS(README!$B$3))*COS(RADIANS(K41))*COS(RADIANS(L41-README!$B$4)))),1))</f>
        <v>20.4</v>
      </c>
      <c r="P41" s="6" t="str">
        <f aca="false">IF(OR(M41="",N41=""),"",ROUND(3959*ACOS(MIN(1,SIN(RADIANS(README!$B$3))*SIN(RADIANS(M41))+COS(RADIANS(README!$B$3))*COS(RADIANS(M41))*COS(RADIANS(N41-README!$B$4)))),1))</f>
        <v/>
      </c>
      <c r="Q41" s="6" t="n">
        <f aca="false">IF(O41="","",IF(P41="",O41,MIN(O41,P41)))</f>
        <v>20.4</v>
      </c>
      <c r="R41" s="6" t="str">
        <f aca="false">IF(Q41="","n/a",IF(Q41&lt;=README!$B$5,"Yes","No"))</f>
        <v>Yes</v>
      </c>
      <c r="S41" s="6" t="s">
        <v>1213</v>
      </c>
      <c r="T41" s="6" t="s">
        <v>16</v>
      </c>
      <c r="U41" s="6" t="s">
        <v>1845</v>
      </c>
    </row>
    <row r="42" customFormat="false" ht="23.85" hidden="false" customHeight="false" outlineLevel="0" collapsed="false">
      <c r="A42" s="6" t="s">
        <v>1283</v>
      </c>
      <c r="B42" s="6" t="s">
        <v>1846</v>
      </c>
      <c r="C42" s="6" t="s">
        <v>1739</v>
      </c>
      <c r="D42" s="6" t="s">
        <v>1807</v>
      </c>
      <c r="E42" s="6" t="s">
        <v>959</v>
      </c>
      <c r="F42" s="6" t="s">
        <v>1731</v>
      </c>
      <c r="G42" s="6" t="n">
        <v>0.5</v>
      </c>
      <c r="H42" s="6" t="n">
        <v>50</v>
      </c>
      <c r="I42" s="6" t="n">
        <v>0</v>
      </c>
      <c r="J42" s="6" t="n">
        <v>0</v>
      </c>
      <c r="K42" s="6" t="n">
        <v>42.18</v>
      </c>
      <c r="L42" s="6" t="n">
        <v>-74.02</v>
      </c>
      <c r="M42" s="6"/>
      <c r="N42" s="6"/>
      <c r="O42" s="6" t="n">
        <f aca="false">IF(OR(K42="",L42=""),"",ROUND(3959*ACOS(MIN(1,SIN(RADIANS(README!$B$3))*SIN(RADIANS(K42))+COS(RADIANS(README!$B$3))*COS(RADIANS(K42))*COS(RADIANS(L42-README!$B$4)))),1))</f>
        <v>23.3</v>
      </c>
      <c r="P42" s="6" t="str">
        <f aca="false">IF(OR(M42="",N42=""),"",ROUND(3959*ACOS(MIN(1,SIN(RADIANS(README!$B$3))*SIN(RADIANS(M42))+COS(RADIANS(README!$B$3))*COS(RADIANS(M42))*COS(RADIANS(N42-README!$B$4)))),1))</f>
        <v/>
      </c>
      <c r="Q42" s="6" t="n">
        <f aca="false">IF(O42="","",IF(P42="",O42,MIN(O42,P42)))</f>
        <v>23.3</v>
      </c>
      <c r="R42" s="6" t="str">
        <f aca="false">IF(Q42="","n/a",IF(Q42&lt;=README!$B$5,"Yes","No"))</f>
        <v>Yes</v>
      </c>
      <c r="S42" s="6" t="s">
        <v>965</v>
      </c>
      <c r="T42" s="6" t="s">
        <v>16</v>
      </c>
      <c r="U42" s="6"/>
    </row>
    <row r="43" customFormat="false" ht="23.85" hidden="false" customHeight="false" outlineLevel="0" collapsed="false">
      <c r="A43" s="6" t="s">
        <v>1283</v>
      </c>
      <c r="B43" s="6" t="s">
        <v>1847</v>
      </c>
      <c r="C43" s="6" t="s">
        <v>1739</v>
      </c>
      <c r="D43" s="6" t="s">
        <v>1848</v>
      </c>
      <c r="E43" s="6" t="s">
        <v>959</v>
      </c>
      <c r="F43" s="6" t="s">
        <v>1736</v>
      </c>
      <c r="G43" s="6" t="n">
        <v>1.5</v>
      </c>
      <c r="H43" s="6" t="n">
        <v>150</v>
      </c>
      <c r="I43" s="6" t="n">
        <v>0</v>
      </c>
      <c r="J43" s="6" t="n">
        <v>7</v>
      </c>
      <c r="K43" s="6" t="n">
        <v>42.2</v>
      </c>
      <c r="L43" s="6" t="n">
        <v>-73.97</v>
      </c>
      <c r="M43" s="6" t="n">
        <v>42.22</v>
      </c>
      <c r="N43" s="6" t="n">
        <v>-73.87</v>
      </c>
      <c r="O43" s="6" t="n">
        <f aca="false">IF(OR(K43="",L43=""),"",ROUND(3959*ACOS(MIN(1,SIN(RADIANS(README!$B$3))*SIN(RADIANS(K43))+COS(RADIANS(README!$B$3))*COS(RADIANS(K43))*COS(RADIANS(L43-README!$B$4)))),1))</f>
        <v>22.2</v>
      </c>
      <c r="P43" s="6" t="n">
        <f aca="false">IF(OR(M43="",N43=""),"",ROUND(3959*ACOS(MIN(1,SIN(RADIANS(README!$B$3))*SIN(RADIANS(M43))+COS(RADIANS(README!$B$3))*COS(RADIANS(M43))*COS(RADIANS(N43-README!$B$4)))),1))</f>
        <v>22.4</v>
      </c>
      <c r="Q43" s="6" t="n">
        <f aca="false">IF(O43="","",IF(P43="",O43,MIN(O43,P43)))</f>
        <v>22.2</v>
      </c>
      <c r="R43" s="6" t="str">
        <f aca="false">IF(Q43="","n/a",IF(Q43&lt;=README!$B$5,"Yes","No"))</f>
        <v>Yes</v>
      </c>
      <c r="S43" s="6" t="s">
        <v>965</v>
      </c>
      <c r="T43" s="6" t="s">
        <v>16</v>
      </c>
      <c r="U43" s="6" t="s">
        <v>1849</v>
      </c>
    </row>
    <row r="44" customFormat="false" ht="23.85" hidden="false" customHeight="false" outlineLevel="0" collapsed="false">
      <c r="A44" s="6" t="s">
        <v>1283</v>
      </c>
      <c r="B44" s="6" t="s">
        <v>1850</v>
      </c>
      <c r="C44" s="6" t="s">
        <v>1739</v>
      </c>
      <c r="D44" s="6" t="s">
        <v>1807</v>
      </c>
      <c r="E44" s="6" t="s">
        <v>959</v>
      </c>
      <c r="F44" s="6" t="s">
        <v>1731</v>
      </c>
      <c r="G44" s="6" t="n">
        <v>0.5</v>
      </c>
      <c r="H44" s="6" t="n">
        <v>50</v>
      </c>
      <c r="I44" s="6" t="n">
        <v>0</v>
      </c>
      <c r="J44" s="6" t="n">
        <v>0</v>
      </c>
      <c r="K44" s="6" t="n">
        <v>42.27</v>
      </c>
      <c r="L44" s="6" t="n">
        <v>-73.82</v>
      </c>
      <c r="M44" s="6"/>
      <c r="N44" s="6"/>
      <c r="O44" s="6" t="n">
        <f aca="false">IF(OR(K44="",L44=""),"",ROUND(3959*ACOS(MIN(1,SIN(RADIANS(README!$B$3))*SIN(RADIANS(K44))+COS(RADIANS(README!$B$3))*COS(RADIANS(K44))*COS(RADIANS(L44-README!$B$4)))),1))</f>
        <v>20.6</v>
      </c>
      <c r="P44" s="6" t="str">
        <f aca="false">IF(OR(M44="",N44=""),"",ROUND(3959*ACOS(MIN(1,SIN(RADIANS(README!$B$3))*SIN(RADIANS(M44))+COS(RADIANS(README!$B$3))*COS(RADIANS(M44))*COS(RADIANS(N44-README!$B$4)))),1))</f>
        <v/>
      </c>
      <c r="Q44" s="6" t="n">
        <f aca="false">IF(O44="","",IF(P44="",O44,MIN(O44,P44)))</f>
        <v>20.6</v>
      </c>
      <c r="R44" s="6" t="str">
        <f aca="false">IF(Q44="","n/a",IF(Q44&lt;=README!$B$5,"Yes","No"))</f>
        <v>Yes</v>
      </c>
      <c r="S44" s="6" t="s">
        <v>965</v>
      </c>
      <c r="T44" s="6" t="s">
        <v>16</v>
      </c>
      <c r="U44" s="6"/>
    </row>
    <row r="45" customFormat="false" ht="23.85" hidden="false" customHeight="false" outlineLevel="0" collapsed="false">
      <c r="A45" s="6" t="s">
        <v>1283</v>
      </c>
      <c r="B45" s="6" t="s">
        <v>1741</v>
      </c>
      <c r="C45" s="6" t="s">
        <v>1739</v>
      </c>
      <c r="D45" s="6" t="s">
        <v>1807</v>
      </c>
      <c r="E45" s="6" t="s">
        <v>959</v>
      </c>
      <c r="F45" s="6" t="s">
        <v>1731</v>
      </c>
      <c r="G45" s="6" t="n">
        <v>0.5</v>
      </c>
      <c r="H45" s="6" t="n">
        <v>150</v>
      </c>
      <c r="I45" s="6" t="n">
        <v>0</v>
      </c>
      <c r="J45" s="6" t="n">
        <v>0</v>
      </c>
      <c r="K45" s="6" t="n">
        <v>42.35</v>
      </c>
      <c r="L45" s="6" t="n">
        <v>-73.8</v>
      </c>
      <c r="M45" s="6"/>
      <c r="N45" s="6"/>
      <c r="O45" s="6" t="n">
        <f aca="false">IF(OR(K45="",L45=""),"",ROUND(3959*ACOS(MIN(1,SIN(RADIANS(README!$B$3))*SIN(RADIANS(K45))+COS(RADIANS(README!$B$3))*COS(RADIANS(K45))*COS(RADIANS(L45-README!$B$4)))),1))</f>
        <v>17</v>
      </c>
      <c r="P45" s="6" t="str">
        <f aca="false">IF(OR(M45="",N45=""),"",ROUND(3959*ACOS(MIN(1,SIN(RADIANS(README!$B$3))*SIN(RADIANS(M45))+COS(RADIANS(README!$B$3))*COS(RADIANS(M45))*COS(RADIANS(N45-README!$B$4)))),1))</f>
        <v/>
      </c>
      <c r="Q45" s="6" t="n">
        <f aca="false">IF(O45="","",IF(P45="",O45,MIN(O45,P45)))</f>
        <v>17</v>
      </c>
      <c r="R45" s="6" t="str">
        <f aca="false">IF(Q45="","n/a",IF(Q45&lt;=README!$B$5,"Yes","No"))</f>
        <v>Yes</v>
      </c>
      <c r="S45" s="6" t="s">
        <v>965</v>
      </c>
      <c r="T45" s="6" t="s">
        <v>16</v>
      </c>
      <c r="U45" s="6"/>
    </row>
    <row r="46" customFormat="false" ht="23.85" hidden="false" customHeight="false" outlineLevel="0" collapsed="false">
      <c r="A46" s="6" t="s">
        <v>1283</v>
      </c>
      <c r="B46" s="6" t="s">
        <v>1851</v>
      </c>
      <c r="C46" s="6" t="s">
        <v>1721</v>
      </c>
      <c r="D46" s="6" t="s">
        <v>1782</v>
      </c>
      <c r="E46" s="6" t="s">
        <v>959</v>
      </c>
      <c r="F46" s="6" t="s">
        <v>1731</v>
      </c>
      <c r="G46" s="6" t="n">
        <v>1.8</v>
      </c>
      <c r="H46" s="6" t="n">
        <v>90</v>
      </c>
      <c r="I46" s="6" t="n">
        <v>0</v>
      </c>
      <c r="J46" s="6" t="n">
        <v>0</v>
      </c>
      <c r="K46" s="6" t="n">
        <v>42.43</v>
      </c>
      <c r="L46" s="6" t="n">
        <v>-73.67</v>
      </c>
      <c r="M46" s="6"/>
      <c r="N46" s="6"/>
      <c r="O46" s="6" t="n">
        <f aca="false">IF(OR(K46="",L46=""),"",ROUND(3959*ACOS(MIN(1,SIN(RADIANS(README!$B$3))*SIN(RADIANS(K46))+COS(RADIANS(README!$B$3))*COS(RADIANS(K46))*COS(RADIANS(L46-README!$B$4)))),1))</f>
        <v>20</v>
      </c>
      <c r="P46" s="6" t="str">
        <f aca="false">IF(OR(M46="",N46=""),"",ROUND(3959*ACOS(MIN(1,SIN(RADIANS(README!$B$3))*SIN(RADIANS(M46))+COS(RADIANS(README!$B$3))*COS(RADIANS(M46))*COS(RADIANS(N46-README!$B$4)))),1))</f>
        <v/>
      </c>
      <c r="Q46" s="6" t="n">
        <f aca="false">IF(O46="","",IF(P46="",O46,MIN(O46,P46)))</f>
        <v>20</v>
      </c>
      <c r="R46" s="6" t="str">
        <f aca="false">IF(Q46="","n/a",IF(Q46&lt;=README!$B$5,"Yes","No"))</f>
        <v>Yes</v>
      </c>
      <c r="S46" s="6" t="s">
        <v>965</v>
      </c>
      <c r="T46" s="6" t="s">
        <v>16</v>
      </c>
      <c r="U46" s="6"/>
    </row>
    <row r="47" customFormat="false" ht="23.85" hidden="false" customHeight="false" outlineLevel="0" collapsed="false">
      <c r="A47" s="6" t="s">
        <v>1283</v>
      </c>
      <c r="B47" s="6" t="s">
        <v>1852</v>
      </c>
      <c r="C47" s="6" t="s">
        <v>1721</v>
      </c>
      <c r="D47" s="6" t="s">
        <v>1782</v>
      </c>
      <c r="E47" s="6" t="s">
        <v>959</v>
      </c>
      <c r="F47" s="6" t="s">
        <v>1786</v>
      </c>
      <c r="G47" s="6" t="n">
        <v>0.4</v>
      </c>
      <c r="H47" s="6" t="n">
        <v>125</v>
      </c>
      <c r="I47" s="6" t="n">
        <v>0</v>
      </c>
      <c r="J47" s="6" t="n">
        <v>0</v>
      </c>
      <c r="K47" s="6" t="n">
        <v>42.35</v>
      </c>
      <c r="L47" s="6" t="n">
        <v>-73.78</v>
      </c>
      <c r="M47" s="6"/>
      <c r="N47" s="6"/>
      <c r="O47" s="6" t="n">
        <f aca="false">IF(OR(K47="",L47=""),"",ROUND(3959*ACOS(MIN(1,SIN(RADIANS(README!$B$3))*SIN(RADIANS(K47))+COS(RADIANS(README!$B$3))*COS(RADIANS(K47))*COS(RADIANS(L47-README!$B$4)))),1))</f>
        <v>17.8</v>
      </c>
      <c r="P47" s="6" t="str">
        <f aca="false">IF(OR(M47="",N47=""),"",ROUND(3959*ACOS(MIN(1,SIN(RADIANS(README!$B$3))*SIN(RADIANS(M47))+COS(RADIANS(README!$B$3))*COS(RADIANS(M47))*COS(RADIANS(N47-README!$B$4)))),1))</f>
        <v/>
      </c>
      <c r="Q47" s="6" t="n">
        <f aca="false">IF(O47="","",IF(P47="",O47,MIN(O47,P47)))</f>
        <v>17.8</v>
      </c>
      <c r="R47" s="6" t="str">
        <f aca="false">IF(Q47="","n/a",IF(Q47&lt;=README!$B$5,"Yes","No"))</f>
        <v>Yes</v>
      </c>
      <c r="S47" s="6" t="s">
        <v>965</v>
      </c>
      <c r="T47" s="6" t="s">
        <v>16</v>
      </c>
      <c r="U47" s="6"/>
    </row>
    <row r="48" customFormat="false" ht="23.85" hidden="false" customHeight="false" outlineLevel="0" collapsed="false">
      <c r="A48" s="6" t="s">
        <v>1283</v>
      </c>
      <c r="B48" s="6" t="s">
        <v>1853</v>
      </c>
      <c r="C48" s="6" t="s">
        <v>1721</v>
      </c>
      <c r="D48" s="6" t="s">
        <v>1782</v>
      </c>
      <c r="E48" s="6" t="s">
        <v>959</v>
      </c>
      <c r="F48" s="6" t="s">
        <v>1786</v>
      </c>
      <c r="G48" s="6" t="n">
        <v>0.5</v>
      </c>
      <c r="H48" s="6" t="n">
        <v>60</v>
      </c>
      <c r="I48" s="6" t="n">
        <v>0</v>
      </c>
      <c r="J48" s="6" t="n">
        <v>0</v>
      </c>
      <c r="K48" s="6" t="n">
        <v>42.38</v>
      </c>
      <c r="L48" s="6" t="n">
        <v>-73.78</v>
      </c>
      <c r="M48" s="6"/>
      <c r="N48" s="6"/>
      <c r="O48" s="6" t="n">
        <f aca="false">IF(OR(K48="",L48=""),"",ROUND(3959*ACOS(MIN(1,SIN(RADIANS(README!$B$3))*SIN(RADIANS(K48))+COS(RADIANS(README!$B$3))*COS(RADIANS(K48))*COS(RADIANS(L48-README!$B$4)))),1))</f>
        <v>16.5</v>
      </c>
      <c r="P48" s="6" t="str">
        <f aca="false">IF(OR(M48="",N48=""),"",ROUND(3959*ACOS(MIN(1,SIN(RADIANS(README!$B$3))*SIN(RADIANS(M48))+COS(RADIANS(README!$B$3))*COS(RADIANS(M48))*COS(RADIANS(N48-README!$B$4)))),1))</f>
        <v/>
      </c>
      <c r="Q48" s="6" t="n">
        <f aca="false">IF(O48="","",IF(P48="",O48,MIN(O48,P48)))</f>
        <v>16.5</v>
      </c>
      <c r="R48" s="6" t="str">
        <f aca="false">IF(Q48="","n/a",IF(Q48&lt;=README!$B$5,"Yes","No"))</f>
        <v>Yes</v>
      </c>
      <c r="S48" s="6" t="s">
        <v>965</v>
      </c>
      <c r="T48" s="6" t="s">
        <v>16</v>
      </c>
      <c r="U48" s="6"/>
    </row>
    <row r="49" customFormat="false" ht="23.85" hidden="false" customHeight="false" outlineLevel="0" collapsed="false">
      <c r="A49" s="6" t="s">
        <v>1283</v>
      </c>
      <c r="B49" s="6" t="s">
        <v>1854</v>
      </c>
      <c r="C49" s="6" t="s">
        <v>1721</v>
      </c>
      <c r="D49" s="6" t="s">
        <v>1782</v>
      </c>
      <c r="E49" s="6" t="s">
        <v>959</v>
      </c>
      <c r="F49" s="6" t="s">
        <v>1786</v>
      </c>
      <c r="G49" s="6" t="n">
        <v>4</v>
      </c>
      <c r="H49" s="6" t="n">
        <v>50</v>
      </c>
      <c r="I49" s="6" t="n">
        <v>0</v>
      </c>
      <c r="J49" s="6" t="n">
        <v>0</v>
      </c>
      <c r="K49" s="6" t="n">
        <v>42.38</v>
      </c>
      <c r="L49" s="6" t="n">
        <v>-73.78</v>
      </c>
      <c r="M49" s="6"/>
      <c r="N49" s="6"/>
      <c r="O49" s="6" t="n">
        <f aca="false">IF(OR(K49="",L49=""),"",ROUND(3959*ACOS(MIN(1,SIN(RADIANS(README!$B$3))*SIN(RADIANS(K49))+COS(RADIANS(README!$B$3))*COS(RADIANS(K49))*COS(RADIANS(L49-README!$B$4)))),1))</f>
        <v>16.5</v>
      </c>
      <c r="P49" s="6" t="str">
        <f aca="false">IF(OR(M49="",N49=""),"",ROUND(3959*ACOS(MIN(1,SIN(RADIANS(README!$B$3))*SIN(RADIANS(M49))+COS(RADIANS(README!$B$3))*COS(RADIANS(M49))*COS(RADIANS(N49-README!$B$4)))),1))</f>
        <v/>
      </c>
      <c r="Q49" s="6" t="n">
        <f aca="false">IF(O49="","",IF(P49="",O49,MIN(O49,P49)))</f>
        <v>16.5</v>
      </c>
      <c r="R49" s="6" t="str">
        <f aca="false">IF(Q49="","n/a",IF(Q49&lt;=README!$B$5,"Yes","No"))</f>
        <v>Yes</v>
      </c>
      <c r="S49" s="6" t="s">
        <v>965</v>
      </c>
      <c r="T49" s="6" t="s">
        <v>16</v>
      </c>
      <c r="U49" s="6"/>
    </row>
    <row r="50" customFormat="false" ht="23.85" hidden="false" customHeight="false" outlineLevel="0" collapsed="false">
      <c r="A50" s="6" t="s">
        <v>1283</v>
      </c>
      <c r="B50" s="6" t="s">
        <v>1854</v>
      </c>
      <c r="C50" s="6" t="s">
        <v>1721</v>
      </c>
      <c r="D50" s="6" t="s">
        <v>1782</v>
      </c>
      <c r="E50" s="6" t="s">
        <v>959</v>
      </c>
      <c r="F50" s="6" t="s">
        <v>1786</v>
      </c>
      <c r="G50" s="6" t="n">
        <v>0.5</v>
      </c>
      <c r="H50" s="6" t="n">
        <v>60</v>
      </c>
      <c r="I50" s="6" t="n">
        <v>0</v>
      </c>
      <c r="J50" s="6" t="n">
        <v>0</v>
      </c>
      <c r="K50" s="6" t="n">
        <v>42.4</v>
      </c>
      <c r="L50" s="6" t="n">
        <v>-73.7</v>
      </c>
      <c r="M50" s="6"/>
      <c r="N50" s="6"/>
      <c r="O50" s="6" t="n">
        <f aca="false">IF(OR(K50="",L50=""),"",ROUND(3959*ACOS(MIN(1,SIN(RADIANS(README!$B$3))*SIN(RADIANS(K50))+COS(RADIANS(README!$B$3))*COS(RADIANS(K50))*COS(RADIANS(L50-README!$B$4)))),1))</f>
        <v>19.4</v>
      </c>
      <c r="P50" s="6" t="str">
        <f aca="false">IF(OR(M50="",N50=""),"",ROUND(3959*ACOS(MIN(1,SIN(RADIANS(README!$B$3))*SIN(RADIANS(M50))+COS(RADIANS(README!$B$3))*COS(RADIANS(M50))*COS(RADIANS(N50-README!$B$4)))),1))</f>
        <v/>
      </c>
      <c r="Q50" s="6" t="n">
        <f aca="false">IF(O50="","",IF(P50="",O50,MIN(O50,P50)))</f>
        <v>19.4</v>
      </c>
      <c r="R50" s="6" t="str">
        <f aca="false">IF(Q50="","n/a",IF(Q50&lt;=README!$B$5,"Yes","No"))</f>
        <v>Yes</v>
      </c>
      <c r="S50" s="6" t="s">
        <v>965</v>
      </c>
      <c r="T50" s="6" t="s">
        <v>16</v>
      </c>
      <c r="U50" s="6"/>
    </row>
    <row r="51" customFormat="false" ht="23.85" hidden="false" customHeight="false" outlineLevel="0" collapsed="false">
      <c r="A51" s="6" t="s">
        <v>1283</v>
      </c>
      <c r="B51" s="6" t="s">
        <v>1855</v>
      </c>
      <c r="C51" s="6" t="s">
        <v>1721</v>
      </c>
      <c r="D51" s="6" t="s">
        <v>1782</v>
      </c>
      <c r="E51" s="6" t="s">
        <v>959</v>
      </c>
      <c r="F51" s="6" t="s">
        <v>1736</v>
      </c>
      <c r="G51" s="6" t="n">
        <v>1.3</v>
      </c>
      <c r="H51" s="6" t="n">
        <v>50</v>
      </c>
      <c r="I51" s="6" t="n">
        <v>0</v>
      </c>
      <c r="J51" s="6" t="n">
        <v>1</v>
      </c>
      <c r="K51" s="6" t="n">
        <v>42.4</v>
      </c>
      <c r="L51" s="6" t="n">
        <v>-73.7</v>
      </c>
      <c r="M51" s="6"/>
      <c r="N51" s="6"/>
      <c r="O51" s="6" t="n">
        <f aca="false">IF(OR(K51="",L51=""),"",ROUND(3959*ACOS(MIN(1,SIN(RADIANS(README!$B$3))*SIN(RADIANS(K51))+COS(RADIANS(README!$B$3))*COS(RADIANS(K51))*COS(RADIANS(L51-README!$B$4)))),1))</f>
        <v>19.4</v>
      </c>
      <c r="P51" s="6" t="str">
        <f aca="false">IF(OR(M51="",N51=""),"",ROUND(3959*ACOS(MIN(1,SIN(RADIANS(README!$B$3))*SIN(RADIANS(M51))+COS(RADIANS(README!$B$3))*COS(RADIANS(M51))*COS(RADIANS(N51-README!$B$4)))),1))</f>
        <v/>
      </c>
      <c r="Q51" s="6" t="n">
        <f aca="false">IF(O51="","",IF(P51="",O51,MIN(O51,P51)))</f>
        <v>19.4</v>
      </c>
      <c r="R51" s="6" t="str">
        <f aca="false">IF(Q51="","n/a",IF(Q51&lt;=README!$B$5,"Yes","No"))</f>
        <v>Yes</v>
      </c>
      <c r="S51" s="6" t="s">
        <v>965</v>
      </c>
      <c r="T51" s="6" t="s">
        <v>16</v>
      </c>
      <c r="U51" s="6"/>
    </row>
    <row r="52" customFormat="false" ht="23.85" hidden="false" customHeight="false" outlineLevel="0" collapsed="false">
      <c r="A52" s="6" t="s">
        <v>1283</v>
      </c>
      <c r="B52" s="6" t="s">
        <v>1856</v>
      </c>
      <c r="C52" s="6" t="s">
        <v>1758</v>
      </c>
      <c r="D52" s="6" t="s">
        <v>1857</v>
      </c>
      <c r="E52" s="6" t="s">
        <v>959</v>
      </c>
      <c r="F52" s="6" t="s">
        <v>1731</v>
      </c>
      <c r="G52" s="6" t="n">
        <v>4.8</v>
      </c>
      <c r="H52" s="6" t="n">
        <v>90</v>
      </c>
      <c r="I52" s="6" t="n">
        <v>0</v>
      </c>
      <c r="J52" s="6" t="n">
        <v>0</v>
      </c>
      <c r="K52" s="6" t="n">
        <v>42.52</v>
      </c>
      <c r="L52" s="6" t="n">
        <v>-73.62</v>
      </c>
      <c r="M52" s="6" t="n">
        <v>42.9</v>
      </c>
      <c r="N52" s="6" t="n">
        <v>-73.58</v>
      </c>
      <c r="O52" s="6" t="n">
        <f aca="false">IF(OR(K52="",L52=""),"",ROUND(3959*ACOS(MIN(1,SIN(RADIANS(README!$B$3))*SIN(RADIANS(K52))+COS(RADIANS(README!$B$3))*COS(RADIANS(K52))*COS(RADIANS(L52-README!$B$4)))),1))</f>
        <v>21.6</v>
      </c>
      <c r="P52" s="6" t="n">
        <f aca="false">IF(OR(M52="",N52=""),"",ROUND(3959*ACOS(MIN(1,SIN(RADIANS(README!$B$3))*SIN(RADIANS(M52))+COS(RADIANS(README!$B$3))*COS(RADIANS(M52))*COS(RADIANS(N52-README!$B$4)))),1))</f>
        <v>35.5</v>
      </c>
      <c r="Q52" s="6" t="n">
        <f aca="false">IF(O52="","",IF(P52="",O52,MIN(O52,P52)))</f>
        <v>21.6</v>
      </c>
      <c r="R52" s="6" t="str">
        <f aca="false">IF(Q52="","n/a",IF(Q52&lt;=README!$B$5,"Yes","No"))</f>
        <v>Yes</v>
      </c>
      <c r="S52" s="6" t="s">
        <v>965</v>
      </c>
      <c r="T52" s="6" t="s">
        <v>16</v>
      </c>
      <c r="U52" s="6"/>
    </row>
    <row r="53" customFormat="false" ht="23.85" hidden="false" customHeight="false" outlineLevel="0" collapsed="false">
      <c r="A53" s="6" t="s">
        <v>1858</v>
      </c>
      <c r="B53" s="6" t="s">
        <v>1859</v>
      </c>
      <c r="C53" s="6" t="s">
        <v>1721</v>
      </c>
      <c r="D53" s="6" t="s">
        <v>1782</v>
      </c>
      <c r="E53" s="6" t="s">
        <v>959</v>
      </c>
      <c r="F53" s="6" t="s">
        <v>1860</v>
      </c>
      <c r="G53" s="6" t="n">
        <v>1.9</v>
      </c>
      <c r="H53" s="6" t="n">
        <v>300</v>
      </c>
      <c r="I53" s="6" t="n">
        <v>0</v>
      </c>
      <c r="J53" s="6" t="n">
        <v>0</v>
      </c>
      <c r="K53" s="6" t="n">
        <v>42.27</v>
      </c>
      <c r="L53" s="6" t="n">
        <v>-73.66</v>
      </c>
      <c r="M53" s="6" t="n">
        <v>42.29</v>
      </c>
      <c r="N53" s="6" t="n">
        <v>-73.65</v>
      </c>
      <c r="O53" s="6" t="n">
        <f aca="false">IF(OR(K53="",L53=""),"",ROUND(3959*ACOS(MIN(1,SIN(RADIANS(README!$B$3))*SIN(RADIANS(K53))+COS(RADIANS(README!$B$3))*COS(RADIANS(K53))*COS(RADIANS(L53-README!$B$4)))),1))</f>
        <v>26</v>
      </c>
      <c r="P53" s="6" t="n">
        <f aca="false">IF(OR(M53="",N53=""),"",ROUND(3959*ACOS(MIN(1,SIN(RADIANS(README!$B$3))*SIN(RADIANS(M53))+COS(RADIANS(README!$B$3))*COS(RADIANS(M53))*COS(RADIANS(N53-README!$B$4)))),1))</f>
        <v>25.5</v>
      </c>
      <c r="Q53" s="6" t="n">
        <f aca="false">IF(O53="","",IF(P53="",O53,MIN(O53,P53)))</f>
        <v>25.5</v>
      </c>
      <c r="R53" s="6" t="str">
        <f aca="false">IF(Q53="","n/a",IF(Q53&lt;=README!$B$5,"Yes","No"))</f>
        <v>Yes</v>
      </c>
      <c r="S53" s="6" t="s">
        <v>965</v>
      </c>
      <c r="T53" s="6" t="s">
        <v>16</v>
      </c>
      <c r="U53" s="6" t="s">
        <v>1861</v>
      </c>
    </row>
    <row r="54" customFormat="false" ht="23.85" hidden="false" customHeight="false" outlineLevel="0" collapsed="false">
      <c r="A54" s="6" t="s">
        <v>1862</v>
      </c>
      <c r="B54" s="6" t="s">
        <v>1863</v>
      </c>
      <c r="C54" s="6" t="s">
        <v>1864</v>
      </c>
      <c r="D54" s="6" t="s">
        <v>1865</v>
      </c>
      <c r="E54" s="6" t="s">
        <v>959</v>
      </c>
      <c r="F54" s="6" t="s">
        <v>1860</v>
      </c>
      <c r="G54" s="6"/>
      <c r="H54" s="6"/>
      <c r="I54" s="6" t="n">
        <v>0</v>
      </c>
      <c r="J54" s="6" t="n">
        <v>0</v>
      </c>
      <c r="K54" s="6" t="n">
        <v>42.9</v>
      </c>
      <c r="L54" s="6" t="n">
        <v>-74.17</v>
      </c>
      <c r="M54" s="6" t="n">
        <v>42.95</v>
      </c>
      <c r="N54" s="6" t="n">
        <v>-74.05</v>
      </c>
      <c r="O54" s="6" t="n">
        <f aca="false">IF(OR(K54="",L54=""),"",ROUND(3959*ACOS(MIN(1,SIN(RADIANS(README!$B$3))*SIN(RADIANS(K54))+COS(RADIANS(README!$B$3))*COS(RADIANS(K54))*COS(RADIANS(L54-README!$B$4)))),1))</f>
        <v>27.2</v>
      </c>
      <c r="P54" s="6" t="n">
        <f aca="false">IF(OR(M54="",N54=""),"",ROUND(3959*ACOS(MIN(1,SIN(RADIANS(README!$B$3))*SIN(RADIANS(M54))+COS(RADIANS(README!$B$3))*COS(RADIANS(M54))*COS(RADIANS(N54-README!$B$4)))),1))</f>
        <v>29.9</v>
      </c>
      <c r="Q54" s="6" t="n">
        <f aca="false">IF(O54="","",IF(P54="",O54,MIN(O54,P54)))</f>
        <v>27.2</v>
      </c>
      <c r="R54" s="6" t="str">
        <f aca="false">IF(Q54="","n/a",IF(Q54&lt;=README!$B$5,"Yes","No"))</f>
        <v>Yes</v>
      </c>
      <c r="S54" s="6" t="s">
        <v>965</v>
      </c>
      <c r="T54" s="6" t="s">
        <v>16</v>
      </c>
      <c r="U54" s="6"/>
    </row>
    <row r="55" customFormat="false" ht="15" hidden="false" customHeight="false" outlineLevel="0" collapsed="false">
      <c r="A55" s="6" t="s">
        <v>1451</v>
      </c>
      <c r="B55" s="6" t="s">
        <v>1866</v>
      </c>
      <c r="C55" s="6" t="s">
        <v>1812</v>
      </c>
      <c r="D55" s="6" t="s">
        <v>1867</v>
      </c>
      <c r="E55" s="6" t="s">
        <v>959</v>
      </c>
      <c r="F55" s="6" t="s">
        <v>1860</v>
      </c>
      <c r="G55" s="6" t="n">
        <v>1.6</v>
      </c>
      <c r="H55" s="6" t="n">
        <v>200</v>
      </c>
      <c r="I55" s="6" t="n">
        <v>0</v>
      </c>
      <c r="J55" s="6" t="n">
        <v>0</v>
      </c>
      <c r="K55" s="6" t="n">
        <v>42.57</v>
      </c>
      <c r="L55" s="6" t="n">
        <v>-74.55</v>
      </c>
      <c r="M55" s="6"/>
      <c r="N55" s="6"/>
      <c r="O55" s="6" t="n">
        <f aca="false">IF(OR(K55="",L55=""),"",ROUND(3959*ACOS(MIN(1,SIN(RADIANS(README!$B$3))*SIN(RADIANS(K55))+COS(RADIANS(README!$B$3))*COS(RADIANS(K55))*COS(RADIANS(L55-README!$B$4)))),1))</f>
        <v>26</v>
      </c>
      <c r="P55" s="6" t="str">
        <f aca="false">IF(OR(M55="",N55=""),"",ROUND(3959*ACOS(MIN(1,SIN(RADIANS(README!$B$3))*SIN(RADIANS(M55))+COS(RADIANS(README!$B$3))*COS(RADIANS(M55))*COS(RADIANS(N55-README!$B$4)))),1))</f>
        <v/>
      </c>
      <c r="Q55" s="6" t="n">
        <f aca="false">IF(O55="","",IF(P55="",O55,MIN(O55,P55)))</f>
        <v>26</v>
      </c>
      <c r="R55" s="6" t="str">
        <f aca="false">IF(Q55="","n/a",IF(Q55&lt;=README!$B$5,"Yes","No"))</f>
        <v>Yes</v>
      </c>
      <c r="S55" s="6" t="s">
        <v>1868</v>
      </c>
      <c r="T55" s="6" t="s">
        <v>18</v>
      </c>
      <c r="U55" s="6" t="s">
        <v>1869</v>
      </c>
    </row>
    <row r="56" customFormat="false" ht="23.85" hidden="false" customHeight="false" outlineLevel="0" collapsed="false">
      <c r="A56" s="6" t="s">
        <v>1451</v>
      </c>
      <c r="B56" s="6"/>
      <c r="C56" s="6" t="s">
        <v>1864</v>
      </c>
      <c r="D56" s="6" t="s">
        <v>1870</v>
      </c>
      <c r="E56" s="6" t="s">
        <v>959</v>
      </c>
      <c r="F56" s="6" t="s">
        <v>1871</v>
      </c>
      <c r="G56" s="6"/>
      <c r="H56" s="6" t="n">
        <v>1760</v>
      </c>
      <c r="I56" s="6" t="n">
        <v>0</v>
      </c>
      <c r="J56" s="6" t="n">
        <v>0</v>
      </c>
      <c r="K56" s="6" t="n">
        <v>42.85</v>
      </c>
      <c r="L56" s="6" t="n">
        <v>-74.07</v>
      </c>
      <c r="M56" s="6" t="n">
        <v>42.81</v>
      </c>
      <c r="N56" s="6" t="n">
        <v>-73.94</v>
      </c>
      <c r="O56" s="6" t="n">
        <f aca="false">IF(OR(K56="",L56=""),"",ROUND(3959*ACOS(MIN(1,SIN(RADIANS(README!$B$3))*SIN(RADIANS(K56))+COS(RADIANS(README!$B$3))*COS(RADIANS(K56))*COS(RADIANS(L56-README!$B$4)))),1))</f>
        <v>23</v>
      </c>
      <c r="P56" s="6" t="n">
        <f aca="false">IF(OR(M56="",N56=""),"",ROUND(3959*ACOS(MIN(1,SIN(RADIANS(README!$B$3))*SIN(RADIANS(M56))+COS(RADIANS(README!$B$3))*COS(RADIANS(M56))*COS(RADIANS(N56-README!$B$4)))),1))</f>
        <v>20.9</v>
      </c>
      <c r="Q56" s="6" t="n">
        <f aca="false">IF(O56="","",IF(P56="",O56,MIN(O56,P56)))</f>
        <v>20.9</v>
      </c>
      <c r="R56" s="6" t="str">
        <f aca="false">IF(Q56="","n/a",IF(Q56&lt;=README!$B$5,"Yes","No"))</f>
        <v>Yes</v>
      </c>
      <c r="S56" s="6" t="s">
        <v>1868</v>
      </c>
      <c r="T56" s="6" t="s">
        <v>18</v>
      </c>
      <c r="U56" s="6" t="s">
        <v>1872</v>
      </c>
    </row>
    <row r="57" customFormat="false" ht="15" hidden="false" customHeight="false" outlineLevel="0" collapsed="false">
      <c r="A57" s="6" t="s">
        <v>1451</v>
      </c>
      <c r="B57" s="6"/>
      <c r="C57" s="6" t="s">
        <v>1873</v>
      </c>
      <c r="D57" s="6" t="s">
        <v>1874</v>
      </c>
      <c r="E57" s="6" t="s">
        <v>959</v>
      </c>
      <c r="F57" s="6" t="s">
        <v>1860</v>
      </c>
      <c r="G57" s="6"/>
      <c r="H57" s="6"/>
      <c r="I57" s="6" t="n">
        <v>0</v>
      </c>
      <c r="J57" s="6" t="n">
        <v>0</v>
      </c>
      <c r="K57" s="6" t="n">
        <v>42.79</v>
      </c>
      <c r="L57" s="6" t="n">
        <v>-73.8</v>
      </c>
      <c r="M57" s="6"/>
      <c r="N57" s="6"/>
      <c r="O57" s="6" t="n">
        <f aca="false">IF(OR(K57="",L57=""),"",ROUND(3959*ACOS(MIN(1,SIN(RADIANS(README!$B$3))*SIN(RADIANS(K57))+COS(RADIANS(README!$B$3))*COS(RADIANS(K57))*COS(RADIANS(L57-README!$B$4)))),1))</f>
        <v>22.6</v>
      </c>
      <c r="P57" s="6" t="str">
        <f aca="false">IF(OR(M57="",N57=""),"",ROUND(3959*ACOS(MIN(1,SIN(RADIANS(README!$B$3))*SIN(RADIANS(M57))+COS(RADIANS(README!$B$3))*COS(RADIANS(M57))*COS(RADIANS(N57-README!$B$4)))),1))</f>
        <v/>
      </c>
      <c r="Q57" s="6" t="n">
        <f aca="false">IF(O57="","",IF(P57="",O57,MIN(O57,P57)))</f>
        <v>22.6</v>
      </c>
      <c r="R57" s="6" t="str">
        <f aca="false">IF(Q57="","n/a",IF(Q57&lt;=README!$B$5,"Yes","No"))</f>
        <v>Yes</v>
      </c>
      <c r="S57" s="6" t="s">
        <v>1868</v>
      </c>
      <c r="T57" s="6" t="s">
        <v>18</v>
      </c>
      <c r="U57" s="6" t="s">
        <v>1875</v>
      </c>
    </row>
    <row r="58" customFormat="false" ht="15" hidden="false" customHeight="false" outlineLevel="0" collapsed="false">
      <c r="A58" s="6" t="s">
        <v>1470</v>
      </c>
      <c r="B58" s="6" t="s">
        <v>1876</v>
      </c>
      <c r="C58" s="6" t="s">
        <v>310</v>
      </c>
      <c r="D58" s="6" t="s">
        <v>1877</v>
      </c>
      <c r="E58" s="6" t="s">
        <v>959</v>
      </c>
      <c r="F58" s="6" t="s">
        <v>1860</v>
      </c>
      <c r="G58" s="6" t="n">
        <v>0.5</v>
      </c>
      <c r="H58" s="6" t="n">
        <v>440</v>
      </c>
      <c r="I58" s="6" t="n">
        <v>0</v>
      </c>
      <c r="J58" s="6" t="n">
        <v>0</v>
      </c>
      <c r="K58" s="6" t="n">
        <v>42.78</v>
      </c>
      <c r="L58" s="6" t="n">
        <v>-74.13</v>
      </c>
      <c r="M58" s="6"/>
      <c r="N58" s="6"/>
      <c r="O58" s="6" t="n">
        <f aca="false">IF(OR(K58="",L58=""),"",ROUND(3959*ACOS(MIN(1,SIN(RADIANS(README!$B$3))*SIN(RADIANS(K58))+COS(RADIANS(README!$B$3))*COS(RADIANS(K58))*COS(RADIANS(L58-README!$B$4)))),1))</f>
        <v>18.7</v>
      </c>
      <c r="P58" s="6" t="str">
        <f aca="false">IF(OR(M58="",N58=""),"",ROUND(3959*ACOS(MIN(1,SIN(RADIANS(README!$B$3))*SIN(RADIANS(M58))+COS(RADIANS(README!$B$3))*COS(RADIANS(M58))*COS(RADIANS(N58-README!$B$4)))),1))</f>
        <v/>
      </c>
      <c r="Q58" s="6" t="n">
        <f aca="false">IF(O58="","",IF(P58="",O58,MIN(O58,P58)))</f>
        <v>18.7</v>
      </c>
      <c r="R58" s="6" t="str">
        <f aca="false">IF(Q58="","n/a",IF(Q58&lt;=README!$B$5,"Yes","No"))</f>
        <v>Yes</v>
      </c>
      <c r="S58" s="6" t="s">
        <v>1878</v>
      </c>
      <c r="T58" s="6" t="s">
        <v>18</v>
      </c>
      <c r="U58" s="6" t="s">
        <v>1879</v>
      </c>
    </row>
    <row r="59" customFormat="false" ht="15" hidden="false" customHeight="false" outlineLevel="0" collapsed="false">
      <c r="A59" s="6" t="s">
        <v>1470</v>
      </c>
      <c r="B59" s="6"/>
      <c r="C59" s="6" t="s">
        <v>674</v>
      </c>
      <c r="D59" s="6" t="s">
        <v>1880</v>
      </c>
      <c r="E59" s="6" t="s">
        <v>959</v>
      </c>
      <c r="F59" s="6" t="s">
        <v>1473</v>
      </c>
      <c r="G59" s="6"/>
      <c r="H59" s="6"/>
      <c r="I59" s="6" t="n">
        <v>0</v>
      </c>
      <c r="J59" s="6" t="n">
        <v>0</v>
      </c>
      <c r="K59" s="6" t="n">
        <v>42.85</v>
      </c>
      <c r="L59" s="6" t="n">
        <v>-74.13</v>
      </c>
      <c r="M59" s="6"/>
      <c r="N59" s="6"/>
      <c r="O59" s="6" t="n">
        <f aca="false">IF(OR(K59="",L59=""),"",ROUND(3959*ACOS(MIN(1,SIN(RADIANS(README!$B$3))*SIN(RADIANS(K59))+COS(RADIANS(README!$B$3))*COS(RADIANS(K59))*COS(RADIANS(L59-README!$B$4)))),1))</f>
        <v>23.4</v>
      </c>
      <c r="P59" s="6" t="str">
        <f aca="false">IF(OR(M59="",N59=""),"",ROUND(3959*ACOS(MIN(1,SIN(RADIANS(README!$B$3))*SIN(RADIANS(M59))+COS(RADIANS(README!$B$3))*COS(RADIANS(M59))*COS(RADIANS(N59-README!$B$4)))),1))</f>
        <v/>
      </c>
      <c r="Q59" s="6" t="n">
        <f aca="false">IF(O59="","",IF(P59="",O59,MIN(O59,P59)))</f>
        <v>23.4</v>
      </c>
      <c r="R59" s="6" t="str">
        <f aca="false">IF(Q59="","n/a",IF(Q59&lt;=README!$B$5,"Yes","No"))</f>
        <v>Yes</v>
      </c>
      <c r="S59" s="6" t="s">
        <v>1868</v>
      </c>
      <c r="T59" s="6" t="s">
        <v>18</v>
      </c>
      <c r="U59" s="6" t="s">
        <v>1875</v>
      </c>
    </row>
    <row r="60" customFormat="false" ht="35.05" hidden="false" customHeight="false" outlineLevel="0" collapsed="false">
      <c r="A60" s="6" t="s">
        <v>1881</v>
      </c>
      <c r="B60" s="6"/>
      <c r="C60" s="6" t="s">
        <v>942</v>
      </c>
      <c r="D60" s="6" t="s">
        <v>1882</v>
      </c>
      <c r="E60" s="6" t="s">
        <v>1844</v>
      </c>
      <c r="F60" s="6"/>
      <c r="G60" s="6"/>
      <c r="H60" s="6"/>
      <c r="I60" s="6"/>
      <c r="J60" s="6"/>
      <c r="K60" s="6" t="n">
        <v>42.75</v>
      </c>
      <c r="L60" s="6" t="n">
        <v>-73.8</v>
      </c>
      <c r="M60" s="6"/>
      <c r="N60" s="6"/>
      <c r="O60" s="6" t="n">
        <f aca="false">IF(OR(K60="",L60=""),"",ROUND(3959*ACOS(MIN(1,SIN(RADIANS(README!$B$3))*SIN(RADIANS(K60))+COS(RADIANS(README!$B$3))*COS(RADIANS(K60))*COS(RADIANS(L60-README!$B$4)))),1))</f>
        <v>20.4</v>
      </c>
      <c r="P60" s="6" t="str">
        <f aca="false">IF(OR(M60="",N60=""),"",ROUND(3959*ACOS(MIN(1,SIN(RADIANS(README!$B$3))*SIN(RADIANS(M60))+COS(RADIANS(README!$B$3))*COS(RADIANS(M60))*COS(RADIANS(N60-README!$B$4)))),1))</f>
        <v/>
      </c>
      <c r="Q60" s="6" t="n">
        <f aca="false">IF(O60="","",IF(P60="",O60,MIN(O60,P60)))</f>
        <v>20.4</v>
      </c>
      <c r="R60" s="6" t="str">
        <f aca="false">IF(Q60="","n/a",IF(Q60&lt;=README!$B$5,"Yes","No"))</f>
        <v>Yes</v>
      </c>
      <c r="S60" s="6" t="s">
        <v>627</v>
      </c>
      <c r="T60" s="6" t="s">
        <v>16</v>
      </c>
      <c r="U60" s="6"/>
    </row>
    <row r="61" customFormat="false" ht="15" hidden="false" customHeight="false" outlineLevel="0" collapsed="false">
      <c r="A61" s="6" t="s">
        <v>1883</v>
      </c>
      <c r="B61" s="6"/>
      <c r="C61" s="6" t="s">
        <v>674</v>
      </c>
      <c r="D61" s="6" t="s">
        <v>1884</v>
      </c>
      <c r="E61" s="6" t="s">
        <v>959</v>
      </c>
      <c r="F61" s="6" t="s">
        <v>1885</v>
      </c>
      <c r="G61" s="6"/>
      <c r="H61" s="6"/>
      <c r="I61" s="6" t="n">
        <v>0</v>
      </c>
      <c r="J61" s="6" t="n">
        <v>0</v>
      </c>
      <c r="K61" s="6" t="n">
        <v>42.83</v>
      </c>
      <c r="L61" s="6" t="n">
        <v>-73.96</v>
      </c>
      <c r="M61" s="6"/>
      <c r="N61" s="6"/>
      <c r="O61" s="6" t="n">
        <f aca="false">IF(OR(K61="",L61=""),"",ROUND(3959*ACOS(MIN(1,SIN(RADIANS(README!$B$3))*SIN(RADIANS(K61))+COS(RADIANS(README!$B$3))*COS(RADIANS(K61))*COS(RADIANS(L61-README!$B$4)))),1))</f>
        <v>22.1</v>
      </c>
      <c r="P61" s="6" t="str">
        <f aca="false">IF(OR(M61="",N61=""),"",ROUND(3959*ACOS(MIN(1,SIN(RADIANS(README!$B$3))*SIN(RADIANS(M61))+COS(RADIANS(README!$B$3))*COS(RADIANS(M61))*COS(RADIANS(N61-README!$B$4)))),1))</f>
        <v/>
      </c>
      <c r="Q61" s="6" t="n">
        <f aca="false">IF(O61="","",IF(P61="",O61,MIN(O61,P61)))</f>
        <v>22.1</v>
      </c>
      <c r="R61" s="6" t="str">
        <f aca="false">IF(Q61="","n/a",IF(Q61&lt;=README!$B$5,"Yes","No"))</f>
        <v>Yes</v>
      </c>
      <c r="S61" s="6" t="s">
        <v>1868</v>
      </c>
      <c r="T61" s="6" t="s">
        <v>18</v>
      </c>
      <c r="U61" s="6" t="s">
        <v>1886</v>
      </c>
    </row>
    <row r="62" customFormat="false" ht="35.05" hidden="false" customHeight="false" outlineLevel="0" collapsed="false">
      <c r="A62" s="6" t="s">
        <v>1887</v>
      </c>
      <c r="B62" s="6"/>
      <c r="C62" s="6" t="s">
        <v>1888</v>
      </c>
      <c r="D62" s="6" t="s">
        <v>1889</v>
      </c>
      <c r="E62" s="6" t="s">
        <v>1743</v>
      </c>
      <c r="F62" s="6"/>
      <c r="G62" s="6"/>
      <c r="H62" s="6"/>
      <c r="I62" s="6"/>
      <c r="J62" s="6"/>
      <c r="K62" s="6" t="n">
        <v>42.75</v>
      </c>
      <c r="L62" s="6" t="n">
        <v>-73.8</v>
      </c>
      <c r="M62" s="6"/>
      <c r="N62" s="6"/>
      <c r="O62" s="6" t="n">
        <f aca="false">IF(OR(K62="",L62=""),"",ROUND(3959*ACOS(MIN(1,SIN(RADIANS(README!$B$3))*SIN(RADIANS(K62))+COS(RADIANS(README!$B$3))*COS(RADIANS(K62))*COS(RADIANS(L62-README!$B$4)))),1))</f>
        <v>20.4</v>
      </c>
      <c r="P62" s="6" t="str">
        <f aca="false">IF(OR(M62="",N62=""),"",ROUND(3959*ACOS(MIN(1,SIN(RADIANS(README!$B$3))*SIN(RADIANS(M62))+COS(RADIANS(README!$B$3))*COS(RADIANS(M62))*COS(RADIANS(N62-README!$B$4)))),1))</f>
        <v/>
      </c>
      <c r="Q62" s="6" t="n">
        <f aca="false">IF(O62="","",IF(P62="",O62,MIN(O62,P62)))</f>
        <v>20.4</v>
      </c>
      <c r="R62" s="6" t="str">
        <f aca="false">IF(Q62="","n/a",IF(Q62&lt;=README!$B$5,"Yes","No"))</f>
        <v>Yes</v>
      </c>
      <c r="S62" s="6" t="s">
        <v>627</v>
      </c>
      <c r="T62" s="6" t="s">
        <v>16</v>
      </c>
      <c r="U62" s="6"/>
    </row>
    <row r="63" customFormat="false" ht="35.05" hidden="false" customHeight="false" outlineLevel="0" collapsed="false">
      <c r="A63" s="6" t="s">
        <v>1890</v>
      </c>
      <c r="B63" s="6"/>
      <c r="C63" s="6" t="s">
        <v>942</v>
      </c>
      <c r="D63" s="6" t="s">
        <v>1667</v>
      </c>
      <c r="E63" s="6" t="s">
        <v>1844</v>
      </c>
      <c r="F63" s="6"/>
      <c r="G63" s="6"/>
      <c r="H63" s="6"/>
      <c r="I63" s="6"/>
      <c r="J63" s="6"/>
      <c r="K63" s="6" t="n">
        <v>42.75</v>
      </c>
      <c r="L63" s="6" t="n">
        <v>-73.8</v>
      </c>
      <c r="M63" s="6"/>
      <c r="N63" s="6"/>
      <c r="O63" s="6" t="n">
        <f aca="false">IF(OR(K63="",L63=""),"",ROUND(3959*ACOS(MIN(1,SIN(RADIANS(README!$B$3))*SIN(RADIANS(K63))+COS(RADIANS(README!$B$3))*COS(RADIANS(K63))*COS(RADIANS(L63-README!$B$4)))),1))</f>
        <v>20.4</v>
      </c>
      <c r="P63" s="6" t="str">
        <f aca="false">IF(OR(M63="",N63=""),"",ROUND(3959*ACOS(MIN(1,SIN(RADIANS(README!$B$3))*SIN(RADIANS(M63))+COS(RADIANS(README!$B$3))*COS(RADIANS(M63))*COS(RADIANS(N63-README!$B$4)))),1))</f>
        <v/>
      </c>
      <c r="Q63" s="6" t="n">
        <f aca="false">IF(O63="","",IF(P63="",O63,MIN(O63,P63)))</f>
        <v>20.4</v>
      </c>
      <c r="R63" s="6" t="str">
        <f aca="false">IF(Q63="","n/a",IF(Q63&lt;=README!$B$5,"Yes","No"))</f>
        <v>Yes</v>
      </c>
      <c r="S63" s="6" t="s">
        <v>627</v>
      </c>
      <c r="T63" s="6" t="s">
        <v>16</v>
      </c>
      <c r="U63" s="6" t="s">
        <v>1891</v>
      </c>
    </row>
    <row r="64" customFormat="false" ht="35.05" hidden="false" customHeight="false" outlineLevel="0" collapsed="false">
      <c r="A64" s="6" t="s">
        <v>1892</v>
      </c>
      <c r="B64" s="6"/>
      <c r="C64" s="6" t="s">
        <v>942</v>
      </c>
      <c r="D64" s="6" t="s">
        <v>1893</v>
      </c>
      <c r="E64" s="6" t="s">
        <v>1844</v>
      </c>
      <c r="F64" s="6"/>
      <c r="G64" s="6"/>
      <c r="H64" s="6"/>
      <c r="I64" s="6"/>
      <c r="J64" s="6"/>
      <c r="K64" s="6" t="n">
        <v>42.75</v>
      </c>
      <c r="L64" s="6" t="n">
        <v>-73.8</v>
      </c>
      <c r="M64" s="6"/>
      <c r="N64" s="6"/>
      <c r="O64" s="6" t="n">
        <f aca="false">IF(OR(K64="",L64=""),"",ROUND(3959*ACOS(MIN(1,SIN(RADIANS(README!$B$3))*SIN(RADIANS(K64))+COS(RADIANS(README!$B$3))*COS(RADIANS(K64))*COS(RADIANS(L64-README!$B$4)))),1))</f>
        <v>20.4</v>
      </c>
      <c r="P64" s="6" t="str">
        <f aca="false">IF(OR(M64="",N64=""),"",ROUND(3959*ACOS(MIN(1,SIN(RADIANS(README!$B$3))*SIN(RADIANS(M64))+COS(RADIANS(README!$B$3))*COS(RADIANS(M64))*COS(RADIANS(N64-README!$B$4)))),1))</f>
        <v/>
      </c>
      <c r="Q64" s="6" t="n">
        <f aca="false">IF(O64="","",IF(P64="",O64,MIN(O64,P64)))</f>
        <v>20.4</v>
      </c>
      <c r="R64" s="6" t="str">
        <f aca="false">IF(Q64="","n/a",IF(Q64&lt;=README!$B$5,"Yes","No"))</f>
        <v>Yes</v>
      </c>
      <c r="S64" s="6" t="s">
        <v>627</v>
      </c>
      <c r="T64" s="6" t="s">
        <v>16</v>
      </c>
      <c r="U64" s="6" t="s">
        <v>1891</v>
      </c>
    </row>
    <row r="65" customFormat="false" ht="15" hidden="false" customHeight="false" outlineLevel="0" collapsed="false">
      <c r="A65" s="6" t="s">
        <v>1894</v>
      </c>
      <c r="B65" s="6" t="s">
        <v>1895</v>
      </c>
      <c r="C65" s="6" t="s">
        <v>1739</v>
      </c>
      <c r="D65" s="6" t="s">
        <v>1807</v>
      </c>
      <c r="E65" s="6" t="s">
        <v>959</v>
      </c>
      <c r="F65" s="6" t="s">
        <v>1885</v>
      </c>
      <c r="G65" s="6" t="n">
        <v>1.9</v>
      </c>
      <c r="H65" s="6" t="n">
        <v>67</v>
      </c>
      <c r="I65" s="6" t="n">
        <v>0</v>
      </c>
      <c r="J65" s="6" t="n">
        <v>0</v>
      </c>
      <c r="K65" s="6" t="n">
        <v>42.28</v>
      </c>
      <c r="L65" s="6" t="n">
        <v>-74.12</v>
      </c>
      <c r="M65" s="6"/>
      <c r="N65" s="6"/>
      <c r="O65" s="6" t="n">
        <f aca="false">IF(OR(K65="",L65=""),"",ROUND(3959*ACOS(MIN(1,SIN(RADIANS(README!$B$3))*SIN(RADIANS(K65))+COS(RADIANS(README!$B$3))*COS(RADIANS(K65))*COS(RADIANS(L65-README!$B$4)))),1))</f>
        <v>16.8</v>
      </c>
      <c r="P65" s="6" t="str">
        <f aca="false">IF(OR(M65="",N65=""),"",ROUND(3959*ACOS(MIN(1,SIN(RADIANS(README!$B$3))*SIN(RADIANS(M65))+COS(RADIANS(README!$B$3))*COS(RADIANS(M65))*COS(RADIANS(N65-README!$B$4)))),1))</f>
        <v/>
      </c>
      <c r="Q65" s="6" t="n">
        <f aca="false">IF(O65="","",IF(P65="",O65,MIN(O65,P65)))</f>
        <v>16.8</v>
      </c>
      <c r="R65" s="6" t="str">
        <f aca="false">IF(Q65="","n/a",IF(Q65&lt;=README!$B$5,"Yes","No"))</f>
        <v>Yes</v>
      </c>
      <c r="S65" s="6" t="s">
        <v>1878</v>
      </c>
      <c r="T65" s="6" t="s">
        <v>18</v>
      </c>
      <c r="U65" s="6" t="s">
        <v>1727</v>
      </c>
    </row>
    <row r="66" customFormat="false" ht="35.05" hidden="false" customHeight="false" outlineLevel="0" collapsed="false">
      <c r="A66" s="6" t="s">
        <v>1559</v>
      </c>
      <c r="B66" s="6"/>
      <c r="C66" s="6" t="s">
        <v>942</v>
      </c>
      <c r="D66" s="6" t="s">
        <v>1896</v>
      </c>
      <c r="E66" s="6" t="s">
        <v>1743</v>
      </c>
      <c r="F66" s="6"/>
      <c r="G66" s="6"/>
      <c r="H66" s="6"/>
      <c r="I66" s="6"/>
      <c r="J66" s="6"/>
      <c r="K66" s="6" t="n">
        <v>42.75</v>
      </c>
      <c r="L66" s="6" t="n">
        <v>-73.8</v>
      </c>
      <c r="M66" s="6"/>
      <c r="N66" s="6"/>
      <c r="O66" s="6" t="n">
        <f aca="false">IF(OR(K66="",L66=""),"",ROUND(3959*ACOS(MIN(1,SIN(RADIANS(README!$B$3))*SIN(RADIANS(K66))+COS(RADIANS(README!$B$3))*COS(RADIANS(K66))*COS(RADIANS(L66-README!$B$4)))),1))</f>
        <v>20.4</v>
      </c>
      <c r="P66" s="6" t="str">
        <f aca="false">IF(OR(M66="",N66=""),"",ROUND(3959*ACOS(MIN(1,SIN(RADIANS(README!$B$3))*SIN(RADIANS(M66))+COS(RADIANS(README!$B$3))*COS(RADIANS(M66))*COS(RADIANS(N66-README!$B$4)))),1))</f>
        <v/>
      </c>
      <c r="Q66" s="6" t="n">
        <f aca="false">IF(O66="","",IF(P66="",O66,MIN(O66,P66)))</f>
        <v>20.4</v>
      </c>
      <c r="R66" s="6" t="str">
        <f aca="false">IF(Q66="","n/a",IF(Q66&lt;=README!$B$5,"Yes","No"))</f>
        <v>Yes</v>
      </c>
      <c r="S66" s="6" t="s">
        <v>627</v>
      </c>
      <c r="T66" s="6" t="s">
        <v>16</v>
      </c>
      <c r="U66" s="6"/>
    </row>
    <row r="67" customFormat="false" ht="35.05" hidden="false" customHeight="false" outlineLevel="0" collapsed="false">
      <c r="A67" s="6" t="s">
        <v>1561</v>
      </c>
      <c r="B67" s="6"/>
      <c r="C67" s="6" t="s">
        <v>942</v>
      </c>
      <c r="D67" s="6" t="s">
        <v>1897</v>
      </c>
      <c r="E67" s="6" t="s">
        <v>1743</v>
      </c>
      <c r="F67" s="6" t="s">
        <v>1898</v>
      </c>
      <c r="G67" s="6"/>
      <c r="H67" s="6"/>
      <c r="I67" s="6"/>
      <c r="J67" s="6"/>
      <c r="K67" s="6" t="n">
        <v>42.75</v>
      </c>
      <c r="L67" s="6" t="n">
        <v>-73.8</v>
      </c>
      <c r="M67" s="6"/>
      <c r="N67" s="6"/>
      <c r="O67" s="6" t="n">
        <f aca="false">IF(OR(K67="",L67=""),"",ROUND(3959*ACOS(MIN(1,SIN(RADIANS(README!$B$3))*SIN(RADIANS(K67))+COS(RADIANS(README!$B$3))*COS(RADIANS(K67))*COS(RADIANS(L67-README!$B$4)))),1))</f>
        <v>20.4</v>
      </c>
      <c r="P67" s="6" t="str">
        <f aca="false">IF(OR(M67="",N67=""),"",ROUND(3959*ACOS(MIN(1,SIN(RADIANS(README!$B$3))*SIN(RADIANS(M67))+COS(RADIANS(README!$B$3))*COS(RADIANS(M67))*COS(RADIANS(N67-README!$B$4)))),1))</f>
        <v/>
      </c>
      <c r="Q67" s="6" t="n">
        <f aca="false">IF(O67="","",IF(P67="",O67,MIN(O67,P67)))</f>
        <v>20.4</v>
      </c>
      <c r="R67" s="6" t="str">
        <f aca="false">IF(Q67="","n/a",IF(Q67&lt;=README!$B$5,"Yes","No"))</f>
        <v>Yes</v>
      </c>
      <c r="S67" s="6" t="s">
        <v>627</v>
      </c>
      <c r="T67" s="6" t="s">
        <v>16</v>
      </c>
      <c r="U67" s="6" t="s">
        <v>1899</v>
      </c>
    </row>
    <row r="68" customFormat="false" ht="35.05" hidden="false" customHeight="false" outlineLevel="0" collapsed="false">
      <c r="A68" s="6" t="s">
        <v>1577</v>
      </c>
      <c r="B68" s="6"/>
      <c r="C68" s="6" t="s">
        <v>942</v>
      </c>
      <c r="D68" s="6" t="s">
        <v>1578</v>
      </c>
      <c r="E68" s="6" t="s">
        <v>1900</v>
      </c>
      <c r="F68" s="6"/>
      <c r="G68" s="6"/>
      <c r="H68" s="6"/>
      <c r="I68" s="6"/>
      <c r="J68" s="6"/>
      <c r="K68" s="6" t="n">
        <v>42.75</v>
      </c>
      <c r="L68" s="6" t="n">
        <v>-73.8</v>
      </c>
      <c r="M68" s="6"/>
      <c r="N68" s="6"/>
      <c r="O68" s="6" t="n">
        <f aca="false">IF(OR(K68="",L68=""),"",ROUND(3959*ACOS(MIN(1,SIN(RADIANS(README!$B$3))*SIN(RADIANS(K68))+COS(RADIANS(README!$B$3))*COS(RADIANS(K68))*COS(RADIANS(L68-README!$B$4)))),1))</f>
        <v>20.4</v>
      </c>
      <c r="P68" s="6" t="str">
        <f aca="false">IF(OR(M68="",N68=""),"",ROUND(3959*ACOS(MIN(1,SIN(RADIANS(README!$B$3))*SIN(RADIANS(M68))+COS(RADIANS(README!$B$3))*COS(RADIANS(M68))*COS(RADIANS(N68-README!$B$4)))),1))</f>
        <v/>
      </c>
      <c r="Q68" s="6" t="n">
        <f aca="false">IF(O68="","",IF(P68="",O68,MIN(O68,P68)))</f>
        <v>20.4</v>
      </c>
      <c r="R68" s="6" t="str">
        <f aca="false">IF(Q68="","n/a",IF(Q68&lt;=README!$B$5,"Yes","No"))</f>
        <v>Yes</v>
      </c>
      <c r="S68" s="6" t="s">
        <v>627</v>
      </c>
      <c r="T68" s="6" t="s">
        <v>16</v>
      </c>
      <c r="U68" s="6"/>
    </row>
    <row r="69" customFormat="false" ht="15" hidden="false" customHeight="false" outlineLevel="0" collapsed="false">
      <c r="A69" s="6" t="s">
        <v>1901</v>
      </c>
      <c r="B69" s="6"/>
      <c r="C69" s="6" t="s">
        <v>310</v>
      </c>
      <c r="D69" s="6" t="s">
        <v>1785</v>
      </c>
      <c r="E69" s="6" t="s">
        <v>1844</v>
      </c>
      <c r="F69" s="6"/>
      <c r="G69" s="6"/>
      <c r="H69" s="6"/>
      <c r="I69" s="6" t="n">
        <v>0</v>
      </c>
      <c r="J69" s="6" t="n">
        <v>0</v>
      </c>
      <c r="K69" s="6" t="n">
        <v>42.75</v>
      </c>
      <c r="L69" s="6" t="n">
        <v>-73.8</v>
      </c>
      <c r="M69" s="6"/>
      <c r="N69" s="6"/>
      <c r="O69" s="6" t="n">
        <f aca="false">IF(OR(K69="",L69=""),"",ROUND(3959*ACOS(MIN(1,SIN(RADIANS(README!$B$3))*SIN(RADIANS(K69))+COS(RADIANS(README!$B$3))*COS(RADIANS(K69))*COS(RADIANS(L69-README!$B$4)))),1))</f>
        <v>20.4</v>
      </c>
      <c r="P69" s="6" t="str">
        <f aca="false">IF(OR(M69="",N69=""),"",ROUND(3959*ACOS(MIN(1,SIN(RADIANS(README!$B$3))*SIN(RADIANS(M69))+COS(RADIANS(README!$B$3))*COS(RADIANS(M69))*COS(RADIANS(N69-README!$B$4)))),1))</f>
        <v/>
      </c>
      <c r="Q69" s="6" t="n">
        <f aca="false">IF(O69="","",IF(P69="",O69,MIN(O69,P69)))</f>
        <v>20.4</v>
      </c>
      <c r="R69" s="6" t="str">
        <f aca="false">IF(Q69="","n/a",IF(Q69&lt;=README!$B$5,"Yes","No"))</f>
        <v>Yes</v>
      </c>
      <c r="S69" s="6" t="s">
        <v>1213</v>
      </c>
      <c r="T69" s="6" t="s">
        <v>16</v>
      </c>
      <c r="U69" s="6" t="s">
        <v>1902</v>
      </c>
    </row>
    <row r="70" customFormat="false" ht="15" hidden="false" customHeight="false" outlineLevel="0" collapsed="false">
      <c r="A70" s="6" t="s">
        <v>1903</v>
      </c>
      <c r="B70" s="6" t="s">
        <v>1904</v>
      </c>
      <c r="C70" s="6" t="s">
        <v>1739</v>
      </c>
      <c r="D70" s="6" t="s">
        <v>1807</v>
      </c>
      <c r="E70" s="6" t="s">
        <v>959</v>
      </c>
      <c r="F70" s="6" t="s">
        <v>1860</v>
      </c>
      <c r="G70" s="6" t="n">
        <v>0.3</v>
      </c>
      <c r="H70" s="6" t="n">
        <v>25</v>
      </c>
      <c r="I70" s="6" t="n">
        <v>0</v>
      </c>
      <c r="J70" s="6" t="n">
        <v>0</v>
      </c>
      <c r="K70" s="6" t="n">
        <v>42.28</v>
      </c>
      <c r="L70" s="6" t="n">
        <v>-74.12</v>
      </c>
      <c r="M70" s="6"/>
      <c r="N70" s="6"/>
      <c r="O70" s="6" t="n">
        <f aca="false">IF(OR(K70="",L70=""),"",ROUND(3959*ACOS(MIN(1,SIN(RADIANS(README!$B$3))*SIN(RADIANS(K70))+COS(RADIANS(README!$B$3))*COS(RADIANS(K70))*COS(RADIANS(L70-README!$B$4)))),1))</f>
        <v>16.8</v>
      </c>
      <c r="P70" s="6" t="str">
        <f aca="false">IF(OR(M70="",N70=""),"",ROUND(3959*ACOS(MIN(1,SIN(RADIANS(README!$B$3))*SIN(RADIANS(M70))+COS(RADIANS(README!$B$3))*COS(RADIANS(M70))*COS(RADIANS(N70-README!$B$4)))),1))</f>
        <v/>
      </c>
      <c r="Q70" s="6" t="n">
        <f aca="false">IF(O70="","",IF(P70="",O70,MIN(O70,P70)))</f>
        <v>16.8</v>
      </c>
      <c r="R70" s="6" t="str">
        <f aca="false">IF(Q70="","n/a",IF(Q70&lt;=README!$B$5,"Yes","No"))</f>
        <v>Yes</v>
      </c>
      <c r="S70" s="6" t="s">
        <v>1878</v>
      </c>
      <c r="T70" s="6" t="s">
        <v>18</v>
      </c>
      <c r="U70" s="6" t="s">
        <v>1727</v>
      </c>
    </row>
    <row r="71" customFormat="false" ht="15" hidden="false" customHeight="false" outlineLevel="0" collapsed="false">
      <c r="A71" s="6" t="s">
        <v>1905</v>
      </c>
      <c r="B71" s="6" t="s">
        <v>1906</v>
      </c>
      <c r="C71" s="6" t="s">
        <v>1758</v>
      </c>
      <c r="D71" s="6" t="s">
        <v>1907</v>
      </c>
      <c r="E71" s="6" t="s">
        <v>959</v>
      </c>
      <c r="F71" s="6" t="s">
        <v>1860</v>
      </c>
      <c r="G71" s="6" t="n">
        <v>2.2</v>
      </c>
      <c r="H71" s="6" t="n">
        <v>100</v>
      </c>
      <c r="I71" s="6" t="n">
        <v>0</v>
      </c>
      <c r="J71" s="6" t="n">
        <v>0</v>
      </c>
      <c r="K71" s="6" t="n">
        <v>42.9</v>
      </c>
      <c r="L71" s="6" t="n">
        <v>-73.59</v>
      </c>
      <c r="M71" s="6"/>
      <c r="N71" s="6"/>
      <c r="O71" s="6" t="n">
        <f aca="false">IF(OR(K71="",L71=""),"",ROUND(3959*ACOS(MIN(1,SIN(RADIANS(README!$B$3))*SIN(RADIANS(K71))+COS(RADIANS(README!$B$3))*COS(RADIANS(K71))*COS(RADIANS(L71-README!$B$4)))),1))</f>
        <v>35.1</v>
      </c>
      <c r="P71" s="6" t="str">
        <f aca="false">IF(OR(M71="",N71=""),"",ROUND(3959*ACOS(MIN(1,SIN(RADIANS(README!$B$3))*SIN(RADIANS(M71))+COS(RADIANS(README!$B$3))*COS(RADIANS(M71))*COS(RADIANS(N71-README!$B$4)))),1))</f>
        <v/>
      </c>
      <c r="Q71" s="6" t="n">
        <f aca="false">IF(O71="","",IF(P71="",O71,MIN(O71,P71)))</f>
        <v>35.1</v>
      </c>
      <c r="R71" s="6" t="str">
        <f aca="false">IF(Q71="","n/a",IF(Q71&lt;=README!$B$5,"Yes","No"))</f>
        <v>No</v>
      </c>
      <c r="S71" s="6" t="s">
        <v>1878</v>
      </c>
      <c r="T71" s="6" t="s">
        <v>16</v>
      </c>
      <c r="U71" s="6"/>
    </row>
    <row r="72" customFormat="false" ht="35.05" hidden="false" customHeight="false" outlineLevel="0" collapsed="false">
      <c r="A72" s="6" t="s">
        <v>1580</v>
      </c>
      <c r="B72" s="6"/>
      <c r="C72" s="6" t="s">
        <v>942</v>
      </c>
      <c r="D72" s="6" t="s">
        <v>1908</v>
      </c>
      <c r="E72" s="6" t="s">
        <v>1208</v>
      </c>
      <c r="F72" s="6"/>
      <c r="G72" s="6"/>
      <c r="H72" s="6"/>
      <c r="I72" s="6"/>
      <c r="J72" s="6"/>
      <c r="K72" s="6" t="n">
        <v>42.75</v>
      </c>
      <c r="L72" s="6" t="n">
        <v>-73.8</v>
      </c>
      <c r="M72" s="6"/>
      <c r="N72" s="6"/>
      <c r="O72" s="6" t="n">
        <f aca="false">IF(OR(K72="",L72=""),"",ROUND(3959*ACOS(MIN(1,SIN(RADIANS(README!$B$3))*SIN(RADIANS(K72))+COS(RADIANS(README!$B$3))*COS(RADIANS(K72))*COS(RADIANS(L72-README!$B$4)))),1))</f>
        <v>20.4</v>
      </c>
      <c r="P72" s="6" t="str">
        <f aca="false">IF(OR(M72="",N72=""),"",ROUND(3959*ACOS(MIN(1,SIN(RADIANS(README!$B$3))*SIN(RADIANS(M72))+COS(RADIANS(README!$B$3))*COS(RADIANS(M72))*COS(RADIANS(N72-README!$B$4)))),1))</f>
        <v/>
      </c>
      <c r="Q72" s="6" t="n">
        <f aca="false">IF(O72="","",IF(P72="",O72,MIN(O72,P72)))</f>
        <v>20.4</v>
      </c>
      <c r="R72" s="6" t="str">
        <f aca="false">IF(Q72="","n/a",IF(Q72&lt;=README!$B$5,"Yes","No"))</f>
        <v>Yes</v>
      </c>
      <c r="S72" s="6" t="s">
        <v>627</v>
      </c>
      <c r="T72" s="6" t="s">
        <v>16</v>
      </c>
      <c r="U72" s="6" t="s">
        <v>1582</v>
      </c>
    </row>
    <row r="73" customFormat="false" ht="35.05" hidden="false" customHeight="false" outlineLevel="0" collapsed="false">
      <c r="A73" s="6" t="s">
        <v>1594</v>
      </c>
      <c r="B73" s="6"/>
      <c r="C73" s="6" t="s">
        <v>1909</v>
      </c>
      <c r="D73" s="6" t="s">
        <v>1910</v>
      </c>
      <c r="E73" s="6" t="s">
        <v>959</v>
      </c>
      <c r="F73" s="6"/>
      <c r="G73" s="6"/>
      <c r="H73" s="6"/>
      <c r="I73" s="6"/>
      <c r="J73" s="6"/>
      <c r="K73" s="6"/>
      <c r="L73" s="6"/>
      <c r="M73" s="6"/>
      <c r="N73" s="6"/>
      <c r="O73" s="6" t="str">
        <f aca="false">IF(OR(K73="",L73=""),"",ROUND(3959*ACOS(MIN(1,SIN(RADIANS(README!$B$3))*SIN(RADIANS(K73))+COS(RADIANS(README!$B$3))*COS(RADIANS(K73))*COS(RADIANS(L73-README!$B$4)))),1))</f>
        <v/>
      </c>
      <c r="P73" s="6" t="str">
        <f aca="false">IF(OR(M73="",N73=""),"",ROUND(3959*ACOS(MIN(1,SIN(RADIANS(README!$B$3))*SIN(RADIANS(M73))+COS(RADIANS(README!$B$3))*COS(RADIANS(M73))*COS(RADIANS(N73-README!$B$4)))),1))</f>
        <v/>
      </c>
      <c r="Q73" s="6" t="str">
        <f aca="false">IF(O73="","",IF(P73="",O73,MIN(O73,P73)))</f>
        <v/>
      </c>
      <c r="R73" s="6" t="str">
        <f aca="false">IF(Q73="","n/a",IF(Q73&lt;=README!$B$5,"Yes","No"))</f>
        <v>n/a</v>
      </c>
      <c r="S73" s="6" t="s">
        <v>627</v>
      </c>
      <c r="T73" s="6" t="s">
        <v>18</v>
      </c>
      <c r="U73" s="6" t="s">
        <v>1911</v>
      </c>
    </row>
    <row r="74" customFormat="false" ht="35.05" hidden="false" customHeight="false" outlineLevel="0" collapsed="false">
      <c r="A74" s="6" t="s">
        <v>1912</v>
      </c>
      <c r="B74" s="6"/>
      <c r="C74" s="6" t="s">
        <v>942</v>
      </c>
      <c r="D74" s="6" t="s">
        <v>1667</v>
      </c>
      <c r="E74" s="6" t="s">
        <v>1844</v>
      </c>
      <c r="F74" s="6"/>
      <c r="G74" s="6"/>
      <c r="H74" s="6"/>
      <c r="I74" s="6"/>
      <c r="J74" s="6"/>
      <c r="K74" s="6" t="n">
        <v>42.75</v>
      </c>
      <c r="L74" s="6" t="n">
        <v>-73.8</v>
      </c>
      <c r="M74" s="6"/>
      <c r="N74" s="6"/>
      <c r="O74" s="6" t="n">
        <f aca="false">IF(OR(K74="",L74=""),"",ROUND(3959*ACOS(MIN(1,SIN(RADIANS(README!$B$3))*SIN(RADIANS(K74))+COS(RADIANS(README!$B$3))*COS(RADIANS(K74))*COS(RADIANS(L74-README!$B$4)))),1))</f>
        <v>20.4</v>
      </c>
      <c r="P74" s="6" t="str">
        <f aca="false">IF(OR(M74="",N74=""),"",ROUND(3959*ACOS(MIN(1,SIN(RADIANS(README!$B$3))*SIN(RADIANS(M74))+COS(RADIANS(README!$B$3))*COS(RADIANS(M74))*COS(RADIANS(N74-README!$B$4)))),1))</f>
        <v/>
      </c>
      <c r="Q74" s="6" t="n">
        <f aca="false">IF(O74="","",IF(P74="",O74,MIN(O74,P74)))</f>
        <v>20.4</v>
      </c>
      <c r="R74" s="6" t="str">
        <f aca="false">IF(Q74="","n/a",IF(Q74&lt;=README!$B$5,"Yes","No"))</f>
        <v>Yes</v>
      </c>
      <c r="S74" s="6" t="s">
        <v>627</v>
      </c>
      <c r="T74" s="6" t="s">
        <v>16</v>
      </c>
      <c r="U74" s="6"/>
    </row>
    <row r="75" customFormat="false" ht="35.05" hidden="false" customHeight="false" outlineLevel="0" collapsed="false">
      <c r="A75" s="6" t="s">
        <v>1666</v>
      </c>
      <c r="B75" s="6"/>
      <c r="C75" s="6" t="s">
        <v>942</v>
      </c>
      <c r="D75" s="6" t="s">
        <v>1667</v>
      </c>
      <c r="E75" s="6" t="s">
        <v>1844</v>
      </c>
      <c r="F75" s="6"/>
      <c r="G75" s="6"/>
      <c r="H75" s="6"/>
      <c r="I75" s="6"/>
      <c r="J75" s="6"/>
      <c r="K75" s="6" t="n">
        <v>42.75</v>
      </c>
      <c r="L75" s="6" t="n">
        <v>-73.8</v>
      </c>
      <c r="M75" s="6"/>
      <c r="N75" s="6"/>
      <c r="O75" s="6" t="n">
        <f aca="false">IF(OR(K75="",L75=""),"",ROUND(3959*ACOS(MIN(1,SIN(RADIANS(README!$B$3))*SIN(RADIANS(K75))+COS(RADIANS(README!$B$3))*COS(RADIANS(K75))*COS(RADIANS(L75-README!$B$4)))),1))</f>
        <v>20.4</v>
      </c>
      <c r="P75" s="6" t="str">
        <f aca="false">IF(OR(M75="",N75=""),"",ROUND(3959*ACOS(MIN(1,SIN(RADIANS(README!$B$3))*SIN(RADIANS(M75))+COS(RADIANS(README!$B$3))*COS(RADIANS(M75))*COS(RADIANS(N75-README!$B$4)))),1))</f>
        <v/>
      </c>
      <c r="Q75" s="6" t="n">
        <f aca="false">IF(O75="","",IF(P75="",O75,MIN(O75,P75)))</f>
        <v>20.4</v>
      </c>
      <c r="R75" s="6" t="str">
        <f aca="false">IF(Q75="","n/a",IF(Q75&lt;=README!$B$5,"Yes","No"))</f>
        <v>Yes</v>
      </c>
      <c r="S75" s="6" t="s">
        <v>627</v>
      </c>
      <c r="T75" s="6" t="s">
        <v>16</v>
      </c>
      <c r="U75" s="6"/>
    </row>
    <row r="76" customFormat="false" ht="23.85" hidden="false" customHeight="false" outlineLevel="0" collapsed="false">
      <c r="A76" s="6" t="s">
        <v>1913</v>
      </c>
      <c r="B76" s="6"/>
      <c r="C76" s="6" t="s">
        <v>1873</v>
      </c>
      <c r="D76" s="6" t="s">
        <v>1914</v>
      </c>
      <c r="E76" s="6" t="s">
        <v>959</v>
      </c>
      <c r="F76" s="6" t="s">
        <v>1915</v>
      </c>
      <c r="G76" s="6"/>
      <c r="H76" s="6"/>
      <c r="I76" s="6" t="n">
        <v>0</v>
      </c>
      <c r="J76" s="6" t="n">
        <v>0</v>
      </c>
      <c r="K76" s="6" t="n">
        <v>43.15</v>
      </c>
      <c r="L76" s="6" t="n">
        <v>-73.72</v>
      </c>
      <c r="M76" s="6"/>
      <c r="N76" s="6"/>
      <c r="O76" s="6" t="n">
        <f aca="false">IF(OR(K76="",L76=""),"",ROUND(3959*ACOS(MIN(1,SIN(RADIANS(README!$B$3))*SIN(RADIANS(K76))+COS(RADIANS(README!$B$3))*COS(RADIANS(K76))*COS(RADIANS(L76-README!$B$4)))),1))</f>
        <v>46.7</v>
      </c>
      <c r="P76" s="6" t="str">
        <f aca="false">IF(OR(M76="",N76=""),"",ROUND(3959*ACOS(MIN(1,SIN(RADIANS(README!$B$3))*SIN(RADIANS(M76))+COS(RADIANS(README!$B$3))*COS(RADIANS(M76))*COS(RADIANS(N76-README!$B$4)))),1))</f>
        <v/>
      </c>
      <c r="Q76" s="6" t="n">
        <f aca="false">IF(O76="","",IF(P76="",O76,MIN(O76,P76)))</f>
        <v>46.7</v>
      </c>
      <c r="R76" s="6" t="str">
        <f aca="false">IF(Q76="","n/a",IF(Q76&lt;=README!$B$5,"Yes","No"))</f>
        <v>No</v>
      </c>
      <c r="S76" s="6" t="s">
        <v>1916</v>
      </c>
      <c r="T76" s="6" t="s">
        <v>18</v>
      </c>
      <c r="U76" s="6" t="s">
        <v>1917</v>
      </c>
    </row>
    <row r="78" customFormat="false" ht="15" hidden="false" customHeight="false" outlineLevel="0" collapsed="false">
      <c r="A78" s="7" t="s">
        <v>1918</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
    <col collapsed="false" customWidth="true" hidden="false" outlineLevel="0" max="3" min="3" style="0" width="3"/>
    <col collapsed="false" customWidth="true" hidden="false" outlineLevel="0" max="4" min="4" style="0" width="18"/>
    <col collapsed="false" customWidth="true" hidden="false" outlineLevel="0" max="5" min="5" style="0" width="8"/>
    <col collapsed="false" customWidth="true" hidden="false" outlineLevel="0" max="6" min="6" style="0" width="3"/>
    <col collapsed="false" customWidth="true" hidden="false" outlineLevel="0" max="7" min="7" style="0" width="14"/>
    <col collapsed="false" customWidth="true" hidden="false" outlineLevel="0" max="8" min="8" style="0" width="8"/>
    <col collapsed="false" customWidth="true" hidden="false" outlineLevel="0" max="9" min="9" style="0" width="3"/>
    <col collapsed="false" customWidth="true" hidden="false" outlineLevel="0" max="10" min="10" style="0" width="32"/>
    <col collapsed="false" customWidth="true" hidden="false" outlineLevel="0" max="11" min="11" style="0" width="10"/>
  </cols>
  <sheetData>
    <row r="1" customFormat="false" ht="15" hidden="false" customHeight="false" outlineLevel="0" collapsed="false">
      <c r="A1" s="8" t="s">
        <v>1919</v>
      </c>
      <c r="B1" s="9"/>
      <c r="C1" s="9"/>
      <c r="D1" s="8" t="s">
        <v>1920</v>
      </c>
      <c r="E1" s="9"/>
      <c r="F1" s="9"/>
      <c r="G1" s="8" t="s">
        <v>1921</v>
      </c>
      <c r="H1" s="9"/>
      <c r="I1" s="9"/>
      <c r="J1" s="8" t="s">
        <v>1922</v>
      </c>
      <c r="K1" s="9"/>
    </row>
    <row r="2" customFormat="false" ht="15" hidden="false" customHeight="false" outlineLevel="0" collapsed="false">
      <c r="A2" s="9" t="s">
        <v>49</v>
      </c>
      <c r="B2" s="9" t="s">
        <v>1923</v>
      </c>
      <c r="C2" s="9"/>
      <c r="D2" s="9" t="s">
        <v>16</v>
      </c>
      <c r="E2" s="9" t="n">
        <f aca="false">COUNTIF(Events!$N$2:$N$255,D2)</f>
        <v>119</v>
      </c>
      <c r="F2" s="9"/>
      <c r="G2" s="9" t="s">
        <v>1924</v>
      </c>
      <c r="H2" s="9" t="n">
        <f aca="false">COUNTIF(Events!$E$2:$E$255,18)</f>
        <v>26</v>
      </c>
      <c r="I2" s="9"/>
      <c r="J2" s="9" t="s">
        <v>1925</v>
      </c>
      <c r="K2" s="9" t="n">
        <f aca="false">COUNTIF('Wind &amp; Tornadoes'!$E$2:$E$76,"Tornado*")</f>
        <v>58</v>
      </c>
    </row>
    <row r="3" customFormat="false" ht="15" hidden="false" customHeight="false" outlineLevel="0" collapsed="false">
      <c r="A3" s="9" t="s">
        <v>238</v>
      </c>
      <c r="B3" s="9" t="n">
        <f aca="false">COUNTIF(Events!$F$2:$F$255,A3)</f>
        <v>15</v>
      </c>
      <c r="C3" s="9"/>
      <c r="D3" s="9" t="s">
        <v>18</v>
      </c>
      <c r="E3" s="9" t="n">
        <f aca="false">COUNTIF(Events!$N$2:$N$255,D3)</f>
        <v>100</v>
      </c>
      <c r="F3" s="9"/>
      <c r="G3" s="9" t="s">
        <v>1926</v>
      </c>
      <c r="H3" s="9" t="n">
        <f aca="false">COUNTIF(Events!$E$2:$E$255,19)</f>
        <v>55</v>
      </c>
      <c r="I3" s="9"/>
      <c r="J3" s="9" t="s">
        <v>1927</v>
      </c>
      <c r="K3" s="9" t="n">
        <f aca="false">COUNTIFS('Wind &amp; Tornadoes'!$E$2:$E$76,"Tornado*",'Wind &amp; Tornadoes'!$R$2:$R$76,"Yes")</f>
        <v>43</v>
      </c>
    </row>
    <row r="4" customFormat="false" ht="15" hidden="false" customHeight="false" outlineLevel="0" collapsed="false">
      <c r="A4" s="9" t="s">
        <v>715</v>
      </c>
      <c r="B4" s="9" t="n">
        <f aca="false">COUNTIF(Events!$F$2:$F$255,A4)</f>
        <v>1</v>
      </c>
      <c r="C4" s="9"/>
      <c r="D4" s="9" t="s">
        <v>20</v>
      </c>
      <c r="E4" s="9" t="n">
        <f aca="false">COUNTIF(Events!$N$2:$N$255,D4)</f>
        <v>35</v>
      </c>
      <c r="F4" s="9"/>
      <c r="G4" s="9" t="s">
        <v>1928</v>
      </c>
      <c r="H4" s="9" t="n">
        <f aca="false">COUNTIF(Events!$E$2:$E$255,20)</f>
        <v>87</v>
      </c>
      <c r="I4" s="9"/>
      <c r="J4" s="9" t="s">
        <v>1929</v>
      </c>
      <c r="K4" s="9" t="n">
        <f aca="false">SUMPRODUCT((LEFT('Wind &amp; Tornadoes'!$E$2:$E$76,7)="Tornado")*('Wind &amp; Tornadoes'!$R$2:$R$76="Yes")*(ISNUMBER(SEARCH("F2",'Wind &amp; Tornadoes'!$F$2:$F$76))+ISNUMBER(SEARCH("F3",'Wind &amp; Tornadoes'!$F$2:$F$76))+ISNUMBER(SEARCH("F4",'Wind &amp; Tornadoes'!$F$2:$F$76))))</f>
        <v>12</v>
      </c>
    </row>
    <row r="5" customFormat="false" ht="15" hidden="false" customHeight="false" outlineLevel="0" collapsed="false">
      <c r="A5" s="9" t="s">
        <v>1201</v>
      </c>
      <c r="B5" s="9" t="n">
        <f aca="false">COUNTIF(Events!$F$2:$F$255,A5)</f>
        <v>1</v>
      </c>
      <c r="C5" s="9"/>
      <c r="D5" s="9"/>
      <c r="E5" s="9"/>
      <c r="F5" s="9"/>
      <c r="G5" s="9" t="s">
        <v>1930</v>
      </c>
      <c r="H5" s="9" t="n">
        <f aca="false">COUNTIF(Events!$E$2:$E$255,21)</f>
        <v>81</v>
      </c>
      <c r="I5" s="9"/>
      <c r="J5" s="9" t="s">
        <v>1931</v>
      </c>
      <c r="K5" s="9" t="n">
        <f aca="false">MIN('Wind &amp; Tornadoes'!$Q$2:$Q$76)</f>
        <v>2.3</v>
      </c>
    </row>
    <row r="6" customFormat="false" ht="15" hidden="false" customHeight="false" outlineLevel="0" collapsed="false">
      <c r="A6" s="9" t="s">
        <v>118</v>
      </c>
      <c r="B6" s="9" t="n">
        <f aca="false">COUNTIF(Events!$F$2:$F$255,A6)</f>
        <v>3</v>
      </c>
      <c r="C6" s="9"/>
      <c r="D6" s="9" t="s">
        <v>1932</v>
      </c>
      <c r="E6" s="9" t="n">
        <f aca="false">COUNTIF(Events!$O$2:$O$255,"Y")</f>
        <v>200</v>
      </c>
      <c r="F6" s="9"/>
      <c r="G6" s="9"/>
      <c r="H6" s="9"/>
      <c r="I6" s="9"/>
      <c r="J6" s="9" t="s">
        <v>1933</v>
      </c>
      <c r="K6" s="9" t="n">
        <f aca="false">SUMIFS('Wind &amp; Tornadoes'!$J$2:$J$76,'Wind &amp; Tornadoes'!$E$2:$E$76,"Tornado*",'Wind &amp; Tornadoes'!$R$2:$R$76,"Yes")</f>
        <v>58</v>
      </c>
    </row>
    <row r="7" customFormat="false" ht="15" hidden="false" customHeight="false" outlineLevel="0" collapsed="false">
      <c r="A7" s="9" t="s">
        <v>219</v>
      </c>
      <c r="B7" s="9" t="n">
        <f aca="false">COUNTIF(Events!$F$2:$F$255,A7)</f>
        <v>13</v>
      </c>
      <c r="C7" s="9"/>
      <c r="D7" s="9" t="s">
        <v>1934</v>
      </c>
      <c r="E7" s="9" t="n">
        <f aca="false">COUNTIF(Events!$O$2:$O$255,"N")</f>
        <v>54</v>
      </c>
      <c r="F7" s="9"/>
      <c r="G7" s="9"/>
      <c r="H7" s="9"/>
      <c r="I7" s="9"/>
      <c r="J7" s="9"/>
      <c r="K7" s="9"/>
    </row>
    <row r="8" customFormat="false" ht="15" hidden="false" customHeight="false" outlineLevel="0" collapsed="false">
      <c r="A8" s="9" t="s">
        <v>615</v>
      </c>
      <c r="B8" s="9" t="n">
        <f aca="false">COUNTIF(Events!$F$2:$F$255,A8)</f>
        <v>1</v>
      </c>
      <c r="C8" s="9"/>
      <c r="D8" s="9"/>
      <c r="E8" s="9"/>
      <c r="F8" s="9"/>
      <c r="G8" s="9"/>
      <c r="H8" s="9"/>
      <c r="I8" s="9"/>
      <c r="J8" s="9"/>
      <c r="K8" s="9"/>
    </row>
    <row r="9" customFormat="false" ht="15" hidden="false" customHeight="false" outlineLevel="0" collapsed="false">
      <c r="A9" s="9" t="s">
        <v>176</v>
      </c>
      <c r="B9" s="9" t="n">
        <f aca="false">COUNTIF(Events!$F$2:$F$255,A9)</f>
        <v>2</v>
      </c>
      <c r="C9" s="9"/>
      <c r="D9" s="9"/>
      <c r="E9" s="9"/>
      <c r="F9" s="9"/>
      <c r="G9" s="9"/>
      <c r="H9" s="9"/>
      <c r="I9" s="9"/>
      <c r="J9" s="9"/>
      <c r="K9" s="9"/>
    </row>
    <row r="10" customFormat="false" ht="15" hidden="false" customHeight="false" outlineLevel="0" collapsed="false">
      <c r="A10" s="9" t="s">
        <v>254</v>
      </c>
      <c r="B10" s="9" t="n">
        <f aca="false">COUNTIF(Events!$F$2:$F$255,A10)</f>
        <v>1</v>
      </c>
      <c r="C10" s="9"/>
      <c r="D10" s="9"/>
      <c r="E10" s="9"/>
      <c r="F10" s="9"/>
      <c r="G10" s="9"/>
      <c r="H10" s="9"/>
      <c r="I10" s="9"/>
      <c r="J10" s="9"/>
      <c r="K10" s="9"/>
    </row>
    <row r="11" customFormat="false" ht="15" hidden="false" customHeight="false" outlineLevel="0" collapsed="false">
      <c r="A11" s="9" t="s">
        <v>1480</v>
      </c>
      <c r="B11" s="9" t="n">
        <f aca="false">COUNTIF(Events!$F$2:$F$255,A11)</f>
        <v>1</v>
      </c>
      <c r="C11" s="9"/>
      <c r="D11" s="9"/>
      <c r="E11" s="9"/>
      <c r="F11" s="9"/>
      <c r="G11" s="9"/>
      <c r="H11" s="9"/>
      <c r="I11" s="9"/>
      <c r="J11" s="9"/>
      <c r="K11" s="9"/>
    </row>
    <row r="12" customFormat="false" ht="15" hidden="false" customHeight="false" outlineLevel="0" collapsed="false">
      <c r="A12" s="9" t="s">
        <v>420</v>
      </c>
      <c r="B12" s="9" t="n">
        <f aca="false">COUNTIF(Events!$F$2:$F$255,A12)</f>
        <v>2</v>
      </c>
      <c r="C12" s="9"/>
      <c r="D12" s="9"/>
      <c r="E12" s="9"/>
      <c r="F12" s="9"/>
      <c r="G12" s="9"/>
      <c r="H12" s="9"/>
      <c r="I12" s="9"/>
      <c r="J12" s="9"/>
      <c r="K12" s="9"/>
    </row>
    <row r="13" customFormat="false" ht="15" hidden="false" customHeight="false" outlineLevel="0" collapsed="false">
      <c r="A13" s="9" t="s">
        <v>392</v>
      </c>
      <c r="B13" s="9" t="n">
        <f aca="false">COUNTIF(Events!$F$2:$F$255,A13)</f>
        <v>1</v>
      </c>
      <c r="C13" s="9"/>
      <c r="D13" s="9"/>
      <c r="E13" s="9"/>
      <c r="F13" s="9"/>
      <c r="G13" s="9"/>
      <c r="H13" s="9"/>
      <c r="I13" s="9"/>
      <c r="J13" s="9"/>
      <c r="K13" s="9"/>
    </row>
    <row r="14" customFormat="false" ht="15" hidden="false" customHeight="false" outlineLevel="0" collapsed="false">
      <c r="A14" s="9" t="s">
        <v>106</v>
      </c>
      <c r="B14" s="9" t="n">
        <f aca="false">COUNTIF(Events!$F$2:$F$255,A14)</f>
        <v>11</v>
      </c>
      <c r="C14" s="9"/>
      <c r="D14" s="9"/>
      <c r="E14" s="9"/>
      <c r="F14" s="9"/>
      <c r="G14" s="9"/>
      <c r="H14" s="9"/>
      <c r="I14" s="9"/>
      <c r="J14" s="9"/>
      <c r="K14" s="9"/>
    </row>
    <row r="15" customFormat="false" ht="15" hidden="false" customHeight="false" outlineLevel="0" collapsed="false">
      <c r="A15" s="9" t="s">
        <v>1208</v>
      </c>
      <c r="B15" s="9" t="n">
        <f aca="false">COUNTIF(Events!$F$2:$F$255,A15)</f>
        <v>2</v>
      </c>
      <c r="C15" s="9"/>
      <c r="D15" s="9"/>
      <c r="E15" s="9"/>
      <c r="F15" s="9"/>
      <c r="G15" s="9"/>
      <c r="H15" s="9"/>
      <c r="I15" s="9"/>
      <c r="J15" s="9"/>
      <c r="K15" s="9"/>
    </row>
    <row r="16" customFormat="false" ht="15" hidden="false" customHeight="false" outlineLevel="0" collapsed="false">
      <c r="A16" s="9" t="s">
        <v>1180</v>
      </c>
      <c r="B16" s="9" t="n">
        <f aca="false">COUNTIF(Events!$F$2:$F$255,A16)</f>
        <v>1</v>
      </c>
      <c r="C16" s="9"/>
      <c r="D16" s="9"/>
      <c r="E16" s="9"/>
      <c r="F16" s="9"/>
      <c r="G16" s="9"/>
      <c r="H16" s="9"/>
      <c r="I16" s="9"/>
      <c r="J16" s="9"/>
      <c r="K16" s="9"/>
    </row>
    <row r="17" customFormat="false" ht="15" hidden="false" customHeight="false" outlineLevel="0" collapsed="false">
      <c r="A17" s="9" t="s">
        <v>816</v>
      </c>
      <c r="B17" s="9" t="n">
        <f aca="false">COUNTIF(Events!$F$2:$F$255,A17)</f>
        <v>4</v>
      </c>
      <c r="C17" s="9"/>
      <c r="D17" s="9"/>
      <c r="E17" s="9"/>
      <c r="F17" s="9"/>
      <c r="G17" s="9"/>
      <c r="H17" s="9"/>
      <c r="I17" s="9"/>
      <c r="J17" s="9"/>
      <c r="K17" s="9"/>
    </row>
    <row r="18" customFormat="false" ht="15" hidden="false" customHeight="false" outlineLevel="0" collapsed="false">
      <c r="A18" s="9" t="s">
        <v>1166</v>
      </c>
      <c r="B18" s="9" t="n">
        <f aca="false">COUNTIF(Events!$F$2:$F$255,A18)</f>
        <v>2</v>
      </c>
      <c r="C18" s="9"/>
      <c r="D18" s="9"/>
      <c r="E18" s="9"/>
      <c r="F18" s="9"/>
      <c r="G18" s="9"/>
      <c r="H18" s="9"/>
      <c r="I18" s="9"/>
      <c r="J18" s="9"/>
      <c r="K18" s="9"/>
    </row>
    <row r="19" customFormat="false" ht="15" hidden="false" customHeight="false" outlineLevel="0" collapsed="false">
      <c r="A19" s="9" t="s">
        <v>1673</v>
      </c>
      <c r="B19" s="9" t="n">
        <f aca="false">COUNTIF(Events!$F$2:$F$255,A19)</f>
        <v>1</v>
      </c>
      <c r="C19" s="9"/>
      <c r="D19" s="9"/>
      <c r="E19" s="9"/>
      <c r="F19" s="9"/>
      <c r="G19" s="9"/>
      <c r="H19" s="9"/>
      <c r="I19" s="9"/>
      <c r="J19" s="9"/>
      <c r="K19" s="9"/>
    </row>
    <row r="20" customFormat="false" ht="15" hidden="false" customHeight="false" outlineLevel="0" collapsed="false">
      <c r="A20" s="9" t="s">
        <v>80</v>
      </c>
      <c r="B20" s="9" t="n">
        <f aca="false">COUNTIF(Events!$F$2:$F$255,A20)</f>
        <v>2</v>
      </c>
      <c r="C20" s="9"/>
      <c r="D20" s="9"/>
      <c r="E20" s="9"/>
      <c r="F20" s="9"/>
      <c r="G20" s="9"/>
      <c r="H20" s="9"/>
      <c r="I20" s="9"/>
      <c r="J20" s="9"/>
      <c r="K20" s="9"/>
    </row>
    <row r="21" customFormat="false" ht="15" hidden="false" customHeight="false" outlineLevel="0" collapsed="false">
      <c r="A21" s="9" t="s">
        <v>1427</v>
      </c>
      <c r="B21" s="9" t="n">
        <f aca="false">COUNTIF(Events!$F$2:$F$255,A21)</f>
        <v>1</v>
      </c>
      <c r="C21" s="9"/>
      <c r="D21" s="9"/>
      <c r="E21" s="9"/>
      <c r="F21" s="9"/>
      <c r="G21" s="9"/>
      <c r="H21" s="9"/>
      <c r="I21" s="9"/>
      <c r="J21" s="9"/>
      <c r="K21" s="9"/>
    </row>
    <row r="22" customFormat="false" ht="15" hidden="false" customHeight="false" outlineLevel="0" collapsed="false">
      <c r="A22" s="9" t="s">
        <v>466</v>
      </c>
      <c r="B22" s="9" t="n">
        <f aca="false">COUNTIF(Events!$F$2:$F$255,A22)</f>
        <v>2</v>
      </c>
      <c r="C22" s="9"/>
      <c r="D22" s="9"/>
      <c r="E22" s="9"/>
      <c r="F22" s="9"/>
      <c r="G22" s="9"/>
      <c r="H22" s="9"/>
      <c r="I22" s="9"/>
      <c r="J22" s="9"/>
      <c r="K22" s="9"/>
    </row>
    <row r="23" customFormat="false" ht="15" hidden="false" customHeight="false" outlineLevel="0" collapsed="false">
      <c r="A23" s="9" t="s">
        <v>830</v>
      </c>
      <c r="B23" s="9" t="n">
        <f aca="false">COUNTIF(Events!$F$2:$F$255,A23)</f>
        <v>8</v>
      </c>
      <c r="C23" s="9"/>
      <c r="D23" s="9"/>
      <c r="E23" s="9"/>
      <c r="F23" s="9"/>
      <c r="G23" s="9"/>
      <c r="H23" s="9"/>
      <c r="I23" s="9"/>
      <c r="J23" s="9"/>
      <c r="K23" s="9"/>
    </row>
    <row r="24" customFormat="false" ht="15" hidden="false" customHeight="false" outlineLevel="0" collapsed="false">
      <c r="A24" s="9" t="s">
        <v>1644</v>
      </c>
      <c r="B24" s="9" t="n">
        <f aca="false">COUNTIF(Events!$F$2:$F$255,A24)</f>
        <v>1</v>
      </c>
      <c r="C24" s="9"/>
      <c r="D24" s="9"/>
      <c r="E24" s="9"/>
      <c r="F24" s="9"/>
      <c r="G24" s="9"/>
      <c r="H24" s="9"/>
      <c r="I24" s="9"/>
      <c r="J24" s="9"/>
      <c r="K24" s="9"/>
    </row>
    <row r="25" customFormat="false" ht="15" hidden="false" customHeight="false" outlineLevel="0" collapsed="false">
      <c r="A25" s="9" t="s">
        <v>1602</v>
      </c>
      <c r="B25" s="9" t="n">
        <f aca="false">COUNTIF(Events!$F$2:$F$255,A25)</f>
        <v>1</v>
      </c>
      <c r="C25" s="9"/>
      <c r="D25" s="9"/>
      <c r="E25" s="9"/>
      <c r="F25" s="9"/>
      <c r="G25" s="9"/>
      <c r="H25" s="9"/>
      <c r="I25" s="9"/>
      <c r="J25" s="9"/>
      <c r="K25" s="9"/>
    </row>
    <row r="26" customFormat="false" ht="15" hidden="false" customHeight="false" outlineLevel="0" collapsed="false">
      <c r="A26" s="9" t="s">
        <v>1068</v>
      </c>
      <c r="B26" s="9" t="n">
        <f aca="false">COUNTIF(Events!$F$2:$F$255,A26)</f>
        <v>1</v>
      </c>
      <c r="C26" s="9"/>
      <c r="D26" s="9"/>
      <c r="E26" s="9"/>
      <c r="F26" s="9"/>
      <c r="G26" s="9"/>
      <c r="H26" s="9"/>
      <c r="I26" s="9"/>
      <c r="J26" s="9"/>
      <c r="K26" s="9"/>
    </row>
    <row r="27" customFormat="false" ht="15" hidden="false" customHeight="false" outlineLevel="0" collapsed="false">
      <c r="A27" s="9" t="s">
        <v>705</v>
      </c>
      <c r="B27" s="9" t="n">
        <f aca="false">COUNTIF(Events!$F$2:$F$255,A27)</f>
        <v>6</v>
      </c>
      <c r="C27" s="9"/>
      <c r="D27" s="9"/>
      <c r="E27" s="9"/>
      <c r="F27" s="9"/>
      <c r="G27" s="9"/>
      <c r="H27" s="9"/>
      <c r="I27" s="9"/>
      <c r="J27" s="9"/>
      <c r="K27" s="9"/>
    </row>
    <row r="28" customFormat="false" ht="15" hidden="false" customHeight="false" outlineLevel="0" collapsed="false">
      <c r="A28" s="9" t="s">
        <v>1006</v>
      </c>
      <c r="B28" s="9" t="n">
        <f aca="false">COUNTIF(Events!$F$2:$F$255,A28)</f>
        <v>1</v>
      </c>
      <c r="C28" s="9"/>
      <c r="D28" s="9"/>
      <c r="E28" s="9"/>
      <c r="F28" s="9"/>
      <c r="G28" s="9"/>
      <c r="H28" s="9"/>
      <c r="I28" s="9"/>
      <c r="J28" s="9"/>
      <c r="K28" s="9"/>
    </row>
    <row r="29" customFormat="false" ht="15" hidden="false" customHeight="false" outlineLevel="0" collapsed="false">
      <c r="A29" s="9" t="s">
        <v>1278</v>
      </c>
      <c r="B29" s="9" t="n">
        <f aca="false">COUNTIF(Events!$F$2:$F$255,A29)</f>
        <v>1</v>
      </c>
      <c r="C29" s="9"/>
      <c r="D29" s="9"/>
      <c r="E29" s="9"/>
      <c r="F29" s="9"/>
      <c r="G29" s="9"/>
      <c r="H29" s="9"/>
      <c r="I29" s="9"/>
      <c r="J29" s="9"/>
      <c r="K29" s="9"/>
    </row>
    <row r="30" customFormat="false" ht="15" hidden="false" customHeight="false" outlineLevel="0" collapsed="false">
      <c r="A30" s="9" t="s">
        <v>553</v>
      </c>
      <c r="B30" s="9" t="n">
        <f aca="false">COUNTIF(Events!$F$2:$F$255,A30)</f>
        <v>18</v>
      </c>
      <c r="C30" s="9"/>
      <c r="D30" s="9"/>
      <c r="E30" s="9"/>
      <c r="F30" s="9"/>
      <c r="G30" s="9"/>
      <c r="H30" s="9"/>
      <c r="I30" s="9"/>
      <c r="J30" s="9"/>
      <c r="K30" s="9"/>
    </row>
    <row r="31" customFormat="false" ht="15" hidden="false" customHeight="false" outlineLevel="0" collapsed="false">
      <c r="A31" s="9" t="s">
        <v>1239</v>
      </c>
      <c r="B31" s="9" t="n">
        <f aca="false">COUNTIF(Events!$F$2:$F$255,A31)</f>
        <v>1</v>
      </c>
      <c r="C31" s="9"/>
      <c r="D31" s="9"/>
      <c r="E31" s="9"/>
      <c r="F31" s="9"/>
      <c r="G31" s="9"/>
      <c r="H31" s="9"/>
      <c r="I31" s="9"/>
      <c r="J31" s="9"/>
      <c r="K31" s="9"/>
    </row>
    <row r="32" customFormat="false" ht="15" hidden="false" customHeight="false" outlineLevel="0" collapsed="false">
      <c r="A32" s="9" t="s">
        <v>806</v>
      </c>
      <c r="B32" s="9" t="n">
        <f aca="false">COUNTIF(Events!$F$2:$F$255,A32)</f>
        <v>8</v>
      </c>
      <c r="C32" s="9"/>
      <c r="D32" s="9"/>
      <c r="E32" s="9"/>
      <c r="F32" s="9"/>
      <c r="G32" s="9"/>
      <c r="H32" s="9"/>
      <c r="I32" s="9"/>
      <c r="J32" s="9"/>
      <c r="K32" s="9"/>
    </row>
    <row r="33" customFormat="false" ht="15" hidden="false" customHeight="false" outlineLevel="0" collapsed="false">
      <c r="A33" s="9" t="s">
        <v>1087</v>
      </c>
      <c r="B33" s="9" t="n">
        <f aca="false">COUNTIF(Events!$F$2:$F$255,A33)</f>
        <v>4</v>
      </c>
      <c r="C33" s="9"/>
      <c r="D33" s="9"/>
      <c r="E33" s="9"/>
      <c r="F33" s="9"/>
      <c r="G33" s="9"/>
      <c r="H33" s="9"/>
      <c r="I33" s="9"/>
      <c r="J33" s="9"/>
      <c r="K33" s="9"/>
    </row>
    <row r="34" customFormat="false" ht="15" hidden="false" customHeight="false" outlineLevel="0" collapsed="false">
      <c r="A34" s="9" t="s">
        <v>1681</v>
      </c>
      <c r="B34" s="9" t="n">
        <f aca="false">COUNTIF(Events!$F$2:$F$255,A34)</f>
        <v>1</v>
      </c>
      <c r="C34" s="9"/>
      <c r="D34" s="9"/>
      <c r="E34" s="9"/>
      <c r="F34" s="9"/>
      <c r="G34" s="9"/>
      <c r="H34" s="9"/>
      <c r="I34" s="9"/>
      <c r="J34" s="9"/>
      <c r="K34" s="9"/>
    </row>
    <row r="35" customFormat="false" ht="15" hidden="false" customHeight="false" outlineLevel="0" collapsed="false">
      <c r="A35" s="9" t="s">
        <v>580</v>
      </c>
      <c r="B35" s="9" t="n">
        <f aca="false">COUNTIF(Events!$F$2:$F$255,A35)</f>
        <v>6</v>
      </c>
      <c r="C35" s="9"/>
      <c r="D35" s="9"/>
      <c r="E35" s="9"/>
      <c r="F35" s="9"/>
      <c r="G35" s="9"/>
      <c r="H35" s="9"/>
      <c r="I35" s="9"/>
      <c r="J35" s="9"/>
      <c r="K35" s="9"/>
    </row>
    <row r="36" customFormat="false" ht="15" hidden="false" customHeight="false" outlineLevel="0" collapsed="false">
      <c r="A36" s="9" t="s">
        <v>1412</v>
      </c>
      <c r="B36" s="9" t="n">
        <f aca="false">COUNTIF(Events!$F$2:$F$255,A36)</f>
        <v>1</v>
      </c>
      <c r="C36" s="9"/>
      <c r="D36" s="9"/>
      <c r="E36" s="9"/>
      <c r="F36" s="9"/>
      <c r="G36" s="9"/>
      <c r="H36" s="9"/>
      <c r="I36" s="9"/>
      <c r="J36" s="9"/>
      <c r="K36" s="9"/>
    </row>
    <row r="37" customFormat="false" ht="15" hidden="false" customHeight="false" outlineLevel="0" collapsed="false">
      <c r="A37" s="9" t="s">
        <v>459</v>
      </c>
      <c r="B37" s="9" t="n">
        <f aca="false">COUNTIF(Events!$F$2:$F$255,A37)</f>
        <v>8</v>
      </c>
      <c r="C37" s="9"/>
      <c r="D37" s="9"/>
      <c r="E37" s="9"/>
      <c r="F37" s="9"/>
      <c r="G37" s="9"/>
      <c r="H37" s="9"/>
      <c r="I37" s="9"/>
      <c r="J37" s="9"/>
      <c r="K37" s="9"/>
    </row>
    <row r="38" customFormat="false" ht="15" hidden="false" customHeight="false" outlineLevel="0" collapsed="false">
      <c r="A38" s="9" t="s">
        <v>886</v>
      </c>
      <c r="B38" s="9" t="n">
        <f aca="false">COUNTIF(Events!$F$2:$F$255,A38)</f>
        <v>3</v>
      </c>
      <c r="C38" s="9"/>
      <c r="D38" s="9"/>
      <c r="E38" s="9"/>
      <c r="F38" s="9"/>
      <c r="G38" s="9"/>
      <c r="H38" s="9"/>
      <c r="I38" s="9"/>
      <c r="J38" s="9"/>
      <c r="K38" s="9"/>
    </row>
    <row r="39" customFormat="false" ht="15" hidden="false" customHeight="false" outlineLevel="0" collapsed="false">
      <c r="A39" s="9" t="s">
        <v>359</v>
      </c>
      <c r="B39" s="9" t="n">
        <f aca="false">COUNTIF(Events!$F$2:$F$255,A39)</f>
        <v>1</v>
      </c>
      <c r="C39" s="9"/>
      <c r="D39" s="9"/>
      <c r="E39" s="9"/>
      <c r="F39" s="9"/>
      <c r="G39" s="9"/>
      <c r="H39" s="9"/>
      <c r="I39" s="9"/>
      <c r="J39" s="9"/>
      <c r="K39" s="9"/>
    </row>
    <row r="40" customFormat="false" ht="15" hidden="false" customHeight="false" outlineLevel="0" collapsed="false">
      <c r="A40" s="9" t="s">
        <v>412</v>
      </c>
      <c r="B40" s="9" t="n">
        <f aca="false">COUNTIF(Events!$F$2:$F$255,A40)</f>
        <v>1</v>
      </c>
      <c r="C40" s="9"/>
      <c r="D40" s="9"/>
      <c r="E40" s="9"/>
      <c r="F40" s="9"/>
      <c r="G40" s="9"/>
      <c r="H40" s="9"/>
      <c r="I40" s="9"/>
      <c r="J40" s="9"/>
      <c r="K40" s="9"/>
    </row>
    <row r="41" customFormat="false" ht="15" hidden="false" customHeight="false" outlineLevel="0" collapsed="false">
      <c r="A41" s="9" t="s">
        <v>1553</v>
      </c>
      <c r="B41" s="9" t="n">
        <f aca="false">COUNTIF(Events!$F$2:$F$255,A41)</f>
        <v>1</v>
      </c>
      <c r="C41" s="9"/>
      <c r="D41" s="9"/>
      <c r="E41" s="9"/>
      <c r="F41" s="9"/>
      <c r="G41" s="9"/>
      <c r="H41" s="9"/>
      <c r="I41" s="9"/>
      <c r="J41" s="9"/>
      <c r="K41" s="9"/>
    </row>
    <row r="42" customFormat="false" ht="15" hidden="false" customHeight="false" outlineLevel="0" collapsed="false">
      <c r="A42" s="9" t="s">
        <v>342</v>
      </c>
      <c r="B42" s="9" t="n">
        <f aca="false">COUNTIF(Events!$F$2:$F$255,A42)</f>
        <v>2</v>
      </c>
      <c r="C42" s="9"/>
      <c r="D42" s="9"/>
      <c r="E42" s="9"/>
      <c r="F42" s="9"/>
      <c r="G42" s="9"/>
      <c r="H42" s="9"/>
      <c r="I42" s="9"/>
      <c r="J42" s="9"/>
      <c r="K42" s="9"/>
    </row>
    <row r="43" customFormat="false" ht="15" hidden="false" customHeight="false" outlineLevel="0" collapsed="false">
      <c r="A43" s="9" t="s">
        <v>1657</v>
      </c>
      <c r="B43" s="9" t="n">
        <f aca="false">COUNTIF(Events!$F$2:$F$255,A43)</f>
        <v>1</v>
      </c>
      <c r="C43" s="9"/>
      <c r="D43" s="9"/>
      <c r="E43" s="9"/>
      <c r="F43" s="9"/>
      <c r="G43" s="9"/>
      <c r="H43" s="9"/>
      <c r="I43" s="9"/>
      <c r="J43" s="9"/>
      <c r="K43" s="9"/>
    </row>
    <row r="44" customFormat="false" ht="15" hidden="false" customHeight="false" outlineLevel="0" collapsed="false">
      <c r="A44" s="9" t="s">
        <v>159</v>
      </c>
      <c r="B44" s="9" t="n">
        <f aca="false">COUNTIF(Events!$F$2:$F$255,A44)</f>
        <v>12</v>
      </c>
      <c r="C44" s="9"/>
      <c r="D44" s="9"/>
      <c r="E44" s="9"/>
      <c r="F44" s="9"/>
      <c r="G44" s="9"/>
      <c r="H44" s="9"/>
      <c r="I44" s="9"/>
      <c r="J44" s="9"/>
      <c r="K44" s="9"/>
    </row>
    <row r="45" customFormat="false" ht="15" hidden="false" customHeight="false" outlineLevel="0" collapsed="false">
      <c r="A45" s="9" t="s">
        <v>1188</v>
      </c>
      <c r="B45" s="9" t="n">
        <f aca="false">COUNTIF(Events!$F$2:$F$255,A45)</f>
        <v>1</v>
      </c>
      <c r="C45" s="9"/>
      <c r="D45" s="9"/>
      <c r="E45" s="9"/>
      <c r="F45" s="9"/>
      <c r="G45" s="9"/>
      <c r="H45" s="9"/>
      <c r="I45" s="9"/>
      <c r="J45" s="9"/>
      <c r="K45" s="9"/>
    </row>
    <row r="46" customFormat="false" ht="15" hidden="false" customHeight="false" outlineLevel="0" collapsed="false">
      <c r="A46" s="9" t="s">
        <v>1346</v>
      </c>
      <c r="B46" s="9" t="n">
        <f aca="false">COUNTIF(Events!$F$2:$F$255,A46)</f>
        <v>1</v>
      </c>
      <c r="C46" s="9"/>
      <c r="D46" s="9"/>
      <c r="E46" s="9"/>
      <c r="F46" s="9"/>
      <c r="G46" s="9"/>
      <c r="H46" s="9"/>
      <c r="I46" s="9"/>
      <c r="J46" s="9"/>
      <c r="K46" s="9"/>
    </row>
    <row r="47" customFormat="false" ht="15" hidden="false" customHeight="false" outlineLevel="0" collapsed="false">
      <c r="A47" s="9" t="s">
        <v>1268</v>
      </c>
      <c r="B47" s="9" t="n">
        <f aca="false">COUNTIF(Events!$F$2:$F$255,A47)</f>
        <v>3</v>
      </c>
      <c r="C47" s="9"/>
      <c r="D47" s="9"/>
      <c r="E47" s="9"/>
      <c r="F47" s="9"/>
      <c r="G47" s="9"/>
      <c r="H47" s="9"/>
      <c r="I47" s="9"/>
      <c r="J47" s="9"/>
      <c r="K47" s="9"/>
    </row>
    <row r="48" customFormat="false" ht="15" hidden="false" customHeight="false" outlineLevel="0" collapsed="false">
      <c r="A48" s="9" t="s">
        <v>129</v>
      </c>
      <c r="B48" s="9" t="n">
        <f aca="false">COUNTIF(Events!$F$2:$F$255,A48)</f>
        <v>10</v>
      </c>
      <c r="C48" s="9"/>
      <c r="D48" s="9"/>
      <c r="E48" s="9"/>
      <c r="F48" s="9"/>
      <c r="G48" s="9"/>
      <c r="H48" s="9"/>
      <c r="I48" s="9"/>
      <c r="J48" s="9"/>
      <c r="K48" s="9"/>
    </row>
    <row r="49" customFormat="false" ht="15" hidden="false" customHeight="false" outlineLevel="0" collapsed="false">
      <c r="A49" s="9" t="s">
        <v>654</v>
      </c>
      <c r="B49" s="9" t="n">
        <f aca="false">COUNTIF(Events!$F$2:$F$255,A49)</f>
        <v>2</v>
      </c>
      <c r="C49" s="9"/>
      <c r="D49" s="9"/>
      <c r="E49" s="9"/>
      <c r="F49" s="9"/>
      <c r="G49" s="9"/>
      <c r="H49" s="9"/>
      <c r="I49" s="9"/>
      <c r="J49" s="9"/>
      <c r="K49" s="9"/>
    </row>
    <row r="50" customFormat="false" ht="15" hidden="false" customHeight="false" outlineLevel="0" collapsed="false">
      <c r="A50" s="9" t="s">
        <v>1563</v>
      </c>
      <c r="B50" s="9" t="n">
        <f aca="false">COUNTIF(Events!$F$2:$F$255,A50)</f>
        <v>1</v>
      </c>
      <c r="C50" s="9"/>
      <c r="D50" s="9"/>
      <c r="E50" s="9"/>
      <c r="F50" s="9"/>
      <c r="G50" s="9"/>
      <c r="H50" s="9"/>
      <c r="I50" s="9"/>
      <c r="J50" s="9"/>
      <c r="K50" s="9"/>
    </row>
    <row r="51" customFormat="false" ht="15" hidden="false" customHeight="false" outlineLevel="0" collapsed="false">
      <c r="A51" s="9" t="s">
        <v>1221</v>
      </c>
      <c r="B51" s="9" t="n">
        <f aca="false">COUNTIF(Events!$F$2:$F$255,A51)</f>
        <v>3</v>
      </c>
      <c r="C51" s="9"/>
      <c r="D51" s="9"/>
      <c r="E51" s="9"/>
      <c r="F51" s="9"/>
      <c r="G51" s="9"/>
      <c r="H51" s="9"/>
      <c r="I51" s="9"/>
      <c r="J51" s="9"/>
      <c r="K51" s="9"/>
    </row>
    <row r="52" customFormat="false" ht="15" hidden="false" customHeight="false" outlineLevel="0" collapsed="false">
      <c r="A52" s="9" t="s">
        <v>1370</v>
      </c>
      <c r="B52" s="9" t="n">
        <f aca="false">COUNTIF(Events!$F$2:$F$255,A52)</f>
        <v>2</v>
      </c>
      <c r="C52" s="9"/>
      <c r="D52" s="9"/>
      <c r="E52" s="9"/>
      <c r="F52" s="9"/>
      <c r="G52" s="9"/>
      <c r="H52" s="9"/>
      <c r="I52" s="9"/>
      <c r="J52" s="9"/>
      <c r="K52" s="9"/>
    </row>
    <row r="53" customFormat="false" ht="15" hidden="false" customHeight="false" outlineLevel="0" collapsed="false">
      <c r="A53" s="9" t="s">
        <v>754</v>
      </c>
      <c r="B53" s="9" t="n">
        <f aca="false">COUNTIF(Events!$F$2:$F$255,A53)</f>
        <v>5</v>
      </c>
      <c r="C53" s="9"/>
      <c r="D53" s="9"/>
      <c r="E53" s="9"/>
      <c r="F53" s="9"/>
      <c r="G53" s="9"/>
      <c r="H53" s="9"/>
      <c r="I53" s="9"/>
      <c r="J53" s="9"/>
      <c r="K53" s="9"/>
    </row>
    <row r="54" customFormat="false" ht="15" hidden="false" customHeight="false" outlineLevel="0" collapsed="false">
      <c r="A54" s="9" t="s">
        <v>621</v>
      </c>
      <c r="B54" s="9" t="n">
        <f aca="false">COUNTIF(Events!$F$2:$F$255,A54)</f>
        <v>2</v>
      </c>
      <c r="C54" s="9"/>
      <c r="D54" s="9"/>
      <c r="E54" s="9"/>
      <c r="F54" s="9"/>
      <c r="G54" s="9"/>
      <c r="H54" s="9"/>
      <c r="I54" s="9"/>
      <c r="J54" s="9"/>
      <c r="K54" s="9"/>
    </row>
    <row r="55" customFormat="false" ht="15" hidden="false" customHeight="false" outlineLevel="0" collapsed="false">
      <c r="A55" s="9" t="s">
        <v>909</v>
      </c>
      <c r="B55" s="9" t="n">
        <f aca="false">COUNTIF(Events!$F$2:$F$255,A55)</f>
        <v>1</v>
      </c>
      <c r="C55" s="9"/>
      <c r="D55" s="9"/>
      <c r="E55" s="9"/>
      <c r="F55" s="9"/>
      <c r="G55" s="9"/>
      <c r="H55" s="9"/>
      <c r="I55" s="9"/>
      <c r="J55" s="9"/>
      <c r="K55" s="9"/>
    </row>
    <row r="56" customFormat="false" ht="15" hidden="false" customHeight="false" outlineLevel="0" collapsed="false">
      <c r="A56" s="9" t="s">
        <v>167</v>
      </c>
      <c r="B56" s="9" t="n">
        <f aca="false">COUNTIF(Events!$F$2:$F$255,A56)</f>
        <v>1</v>
      </c>
      <c r="C56" s="9"/>
      <c r="D56" s="9"/>
      <c r="E56" s="9"/>
      <c r="F56" s="9"/>
      <c r="G56" s="9"/>
      <c r="H56" s="9"/>
      <c r="I56" s="9"/>
      <c r="J56" s="9"/>
      <c r="K56" s="9"/>
    </row>
    <row r="57" customFormat="false" ht="15" hidden="false" customHeight="false" outlineLevel="0" collapsed="false">
      <c r="A57" s="9" t="s">
        <v>1667</v>
      </c>
      <c r="B57" s="9" t="n">
        <f aca="false">COUNTIF(Events!$F$2:$F$255,A57)</f>
        <v>1</v>
      </c>
      <c r="C57" s="9"/>
      <c r="D57" s="9"/>
      <c r="E57" s="9"/>
      <c r="F57" s="9"/>
      <c r="G57" s="9"/>
      <c r="H57" s="9"/>
      <c r="I57" s="9"/>
      <c r="J57" s="9"/>
      <c r="K57" s="9"/>
    </row>
    <row r="58" customFormat="false" ht="15" hidden="false" customHeight="false" outlineLevel="0" collapsed="false">
      <c r="A58" s="9" t="s">
        <v>1491</v>
      </c>
      <c r="B58" s="9" t="n">
        <f aca="false">COUNTIF(Events!$F$2:$F$255,A58)</f>
        <v>2</v>
      </c>
      <c r="C58" s="9"/>
      <c r="D58" s="9"/>
      <c r="E58" s="9"/>
      <c r="F58" s="9"/>
      <c r="G58" s="9"/>
      <c r="H58" s="9"/>
      <c r="I58" s="9"/>
      <c r="J58" s="9"/>
      <c r="K58" s="9"/>
    </row>
    <row r="59" customFormat="false" ht="15" hidden="false" customHeight="false" outlineLevel="0" collapsed="false">
      <c r="A59" s="9" t="s">
        <v>328</v>
      </c>
      <c r="B59" s="9" t="n">
        <f aca="false">COUNTIF(Events!$F$2:$F$255,A59)</f>
        <v>2</v>
      </c>
      <c r="C59" s="9"/>
      <c r="D59" s="9"/>
      <c r="E59" s="9"/>
      <c r="F59" s="9"/>
      <c r="G59" s="9"/>
      <c r="H59" s="9"/>
      <c r="I59" s="9"/>
      <c r="J59" s="9"/>
      <c r="K59" s="9"/>
    </row>
    <row r="60" customFormat="false" ht="15" hidden="false" customHeight="false" outlineLevel="0" collapsed="false">
      <c r="A60" s="9" t="s">
        <v>1653</v>
      </c>
      <c r="B60" s="9" t="n">
        <f aca="false">COUNTIF(Events!$F$2:$F$255,A60)</f>
        <v>1</v>
      </c>
      <c r="C60" s="9"/>
      <c r="D60" s="9"/>
      <c r="E60" s="9"/>
      <c r="F60" s="9"/>
      <c r="G60" s="9"/>
      <c r="H60" s="9"/>
      <c r="I60" s="9"/>
      <c r="J60" s="9"/>
      <c r="K60" s="9"/>
    </row>
    <row r="61" customFormat="false" ht="15" hidden="false" customHeight="false" outlineLevel="0" collapsed="false">
      <c r="A61" s="9" t="s">
        <v>139</v>
      </c>
      <c r="B61" s="9" t="n">
        <f aca="false">COUNTIF(Events!$F$2:$F$255,A61)</f>
        <v>12</v>
      </c>
      <c r="C61" s="9"/>
      <c r="D61" s="9"/>
      <c r="E61" s="9"/>
      <c r="F61" s="9"/>
      <c r="G61" s="9"/>
      <c r="H61" s="9"/>
      <c r="I61" s="9"/>
      <c r="J61" s="9"/>
      <c r="K61" s="9"/>
    </row>
    <row r="62" customFormat="false" ht="15" hidden="false" customHeight="false" outlineLevel="0" collapsed="false">
      <c r="A62" s="9" t="s">
        <v>368</v>
      </c>
      <c r="B62" s="9" t="n">
        <f aca="false">COUNTIF(Events!$F$2:$F$255,A62)</f>
        <v>1</v>
      </c>
      <c r="C62" s="9"/>
      <c r="D62" s="9"/>
      <c r="E62" s="9"/>
      <c r="F62" s="9"/>
      <c r="G62" s="9"/>
      <c r="H62" s="9"/>
      <c r="I62" s="9"/>
      <c r="J62" s="9"/>
      <c r="K62" s="9"/>
    </row>
    <row r="63" customFormat="false" ht="15" hidden="false" customHeight="false" outlineLevel="0" collapsed="false">
      <c r="A63" s="9" t="s">
        <v>211</v>
      </c>
      <c r="B63" s="9" t="n">
        <f aca="false">COUNTIF(Events!$F$2:$F$255,A63)</f>
        <v>1</v>
      </c>
      <c r="C63" s="9"/>
      <c r="D63" s="9"/>
      <c r="E63" s="9"/>
      <c r="F63" s="9"/>
      <c r="G63" s="9"/>
      <c r="H63" s="9"/>
      <c r="I63" s="9"/>
      <c r="J63" s="9"/>
      <c r="K63" s="9"/>
    </row>
    <row r="64" customFormat="false" ht="15" hidden="false" customHeight="false" outlineLevel="0" collapsed="false">
      <c r="A64" s="9" t="s">
        <v>959</v>
      </c>
      <c r="B64" s="9" t="n">
        <f aca="false">COUNTIF(Events!$F$2:$F$255,A64)</f>
        <v>4</v>
      </c>
      <c r="C64" s="9"/>
      <c r="D64" s="9"/>
      <c r="E64" s="9"/>
      <c r="F64" s="9"/>
      <c r="G64" s="9"/>
      <c r="H64" s="9"/>
      <c r="I64" s="9"/>
      <c r="J64" s="9"/>
      <c r="K64" s="9"/>
    </row>
    <row r="65" customFormat="false" ht="15" hidden="false" customHeight="false" outlineLevel="0" collapsed="false">
      <c r="A65" s="9" t="s">
        <v>1244</v>
      </c>
      <c r="B65" s="9" t="n">
        <f aca="false">COUNTIF(Events!$F$2:$F$255,A65)</f>
        <v>1</v>
      </c>
      <c r="C65" s="9"/>
      <c r="D65" s="9"/>
      <c r="E65" s="9"/>
      <c r="F65" s="9"/>
      <c r="G65" s="9"/>
      <c r="H65" s="9"/>
      <c r="I65" s="9"/>
      <c r="J65" s="9"/>
      <c r="K65" s="9"/>
    </row>
    <row r="66" customFormat="false" ht="15" hidden="false" customHeight="false" outlineLevel="0" collapsed="false">
      <c r="A66" s="9" t="s">
        <v>1573</v>
      </c>
      <c r="B66" s="9" t="n">
        <f aca="false">COUNTIF(Events!$F$2:$F$255,A66)</f>
        <v>1</v>
      </c>
      <c r="C66" s="9"/>
      <c r="D66" s="9"/>
      <c r="E66" s="9"/>
      <c r="F66" s="9"/>
      <c r="G66" s="9"/>
      <c r="H66" s="9"/>
      <c r="I66" s="9"/>
      <c r="J66" s="9"/>
      <c r="K66" s="9"/>
    </row>
    <row r="67" customFormat="false" ht="15" hidden="false" customHeight="false" outlineLevel="0" collapsed="false">
      <c r="A67" s="9" t="s">
        <v>1172</v>
      </c>
      <c r="B67" s="9" t="n">
        <f aca="false">COUNTIF(Events!$F$2:$F$255,A67)</f>
        <v>3</v>
      </c>
      <c r="C67" s="9"/>
      <c r="D67" s="9"/>
      <c r="E67" s="9"/>
      <c r="F67" s="9"/>
      <c r="G67" s="9"/>
      <c r="H67" s="9"/>
      <c r="I67" s="9"/>
      <c r="J67" s="9"/>
      <c r="K67" s="9"/>
    </row>
    <row r="68" customFormat="false" ht="15" hidden="false" customHeight="false" outlineLevel="0" collapsed="false">
      <c r="A68" s="9" t="s">
        <v>1595</v>
      </c>
      <c r="B68" s="9" t="n">
        <f aca="false">COUNTIF(Events!$F$2:$F$255,A68)</f>
        <v>1</v>
      </c>
      <c r="C68" s="9"/>
      <c r="D68" s="9"/>
      <c r="E68" s="9"/>
      <c r="F68" s="9"/>
      <c r="G68" s="9"/>
      <c r="H68" s="9"/>
      <c r="I68" s="9"/>
      <c r="J68" s="9"/>
      <c r="K68" s="9"/>
    </row>
    <row r="69" customFormat="false" ht="15" hidden="false" customHeight="false" outlineLevel="0" collapsed="false">
      <c r="A69" s="9" t="s">
        <v>67</v>
      </c>
      <c r="B69" s="9" t="n">
        <f aca="false">COUNTIF(Events!$F$2:$F$255,A69)</f>
        <v>18</v>
      </c>
      <c r="C69" s="9"/>
      <c r="D69" s="9"/>
      <c r="E69" s="9"/>
      <c r="F69" s="9"/>
      <c r="G69" s="9"/>
      <c r="H69" s="9"/>
      <c r="I69" s="9"/>
      <c r="J69" s="9"/>
      <c r="K69" s="9"/>
    </row>
    <row r="70" customFormat="false" ht="15" hidden="false" customHeight="false" outlineLevel="0" collapsed="false">
      <c r="A70" s="9" t="s">
        <v>377</v>
      </c>
      <c r="B70" s="9" t="n">
        <f aca="false">COUNTIF(Events!$F$2:$F$255,A70)</f>
        <v>2</v>
      </c>
      <c r="C70" s="9"/>
      <c r="D70" s="9"/>
      <c r="E70" s="9"/>
      <c r="F70" s="9"/>
      <c r="G70" s="9"/>
      <c r="H70" s="9"/>
      <c r="I70" s="9"/>
      <c r="J70" s="9"/>
      <c r="K70" s="9"/>
    </row>
    <row r="71" customFormat="false" ht="15" hidden="false" customHeight="false" outlineLevel="0" collapsed="false">
      <c r="A71" s="9" t="s">
        <v>97</v>
      </c>
      <c r="B71" s="9" t="n">
        <f aca="false">COUNTIF(Events!$F$2:$F$255,A71)</f>
        <v>8</v>
      </c>
      <c r="C71" s="9"/>
      <c r="D71" s="9"/>
      <c r="E71" s="9"/>
      <c r="F71" s="9"/>
      <c r="G71" s="9"/>
      <c r="H71" s="9"/>
      <c r="I71" s="9"/>
      <c r="J71" s="9"/>
      <c r="K71" s="9"/>
    </row>
    <row r="72" customFormat="false" ht="15" hidden="false" customHeight="false" outlineLevel="0" collapsed="false">
      <c r="A72" s="9" t="s">
        <v>286</v>
      </c>
      <c r="B72" s="9" t="n">
        <f aca="false">COUNTIF(Events!$F$2:$F$255,A72)</f>
        <v>1</v>
      </c>
      <c r="C72" s="9"/>
      <c r="D72" s="9"/>
      <c r="E72" s="9"/>
      <c r="F72" s="9"/>
      <c r="G72" s="9"/>
      <c r="H72" s="9"/>
      <c r="I72" s="9"/>
      <c r="J72" s="9"/>
      <c r="K72" s="9"/>
    </row>
    <row r="73" customFormat="false" ht="15" hidden="false" customHeight="false" outlineLevel="0" collapsed="false">
      <c r="A73" s="9" t="s">
        <v>1383</v>
      </c>
      <c r="B73" s="9" t="n">
        <f aca="false">COUNTIF(Events!$F$2:$F$255,A73)</f>
        <v>4</v>
      </c>
      <c r="C73" s="9"/>
      <c r="D73" s="9"/>
      <c r="E73" s="9"/>
      <c r="F73" s="9"/>
      <c r="G73" s="9"/>
      <c r="H73" s="9"/>
      <c r="I73" s="9"/>
      <c r="J73" s="9"/>
      <c r="K73" s="9"/>
    </row>
    <row r="74" customFormat="false" ht="15" hidden="false" customHeight="false" outlineLevel="0" collapsed="false">
      <c r="A74" s="9" t="s">
        <v>262</v>
      </c>
      <c r="B74" s="9" t="n">
        <f aca="false">COUNTIF(Events!$F$2:$F$255,A74)</f>
        <v>1</v>
      </c>
      <c r="C74" s="9"/>
      <c r="D74" s="9"/>
      <c r="E74" s="9"/>
      <c r="F74" s="9"/>
      <c r="G74" s="9"/>
      <c r="H74" s="9"/>
      <c r="I74" s="9"/>
      <c r="J74" s="9"/>
      <c r="K74" s="9"/>
    </row>
    <row r="75" customFormat="false" ht="15" hidden="false" customHeight="false" outlineLevel="0" collapsed="false">
      <c r="A75" s="9" t="s">
        <v>947</v>
      </c>
      <c r="B75" s="9" t="n">
        <f aca="false">COUNTIF(Events!$F$2:$F$255,A75)</f>
        <v>1</v>
      </c>
      <c r="C75" s="9"/>
      <c r="D75" s="9"/>
      <c r="E75" s="9"/>
      <c r="F75" s="9"/>
      <c r="G75" s="9"/>
      <c r="H75" s="9"/>
      <c r="I75" s="9"/>
      <c r="J75" s="9"/>
      <c r="K75" s="9"/>
    </row>
    <row r="76" customFormat="false" ht="15" hidden="false" customHeight="false" outlineLevel="0" collapsed="false">
      <c r="A76" s="9" t="s">
        <v>1518</v>
      </c>
      <c r="B76" s="9" t="n">
        <f aca="false">COUNTIF(Events!$F$2:$F$255,A76)</f>
        <v>1</v>
      </c>
      <c r="C76" s="9"/>
      <c r="D76" s="9"/>
      <c r="E76" s="9"/>
      <c r="F76" s="9"/>
      <c r="G76" s="9"/>
      <c r="H76" s="9"/>
      <c r="I76" s="9"/>
      <c r="J76" s="9"/>
      <c r="K76" s="9"/>
    </row>
    <row r="77" customFormat="false" ht="15" hidden="false" customHeight="false" outlineLevel="0" collapsed="false">
      <c r="A77" s="9" t="s">
        <v>916</v>
      </c>
      <c r="B77" s="9" t="n">
        <f aca="false">COUNTIF(Events!$F$2:$F$255,A77)</f>
        <v>2</v>
      </c>
      <c r="C77" s="9"/>
      <c r="D77" s="9"/>
      <c r="E77" s="9"/>
      <c r="F77" s="9"/>
      <c r="G77" s="9"/>
      <c r="H77" s="9"/>
      <c r="I77" s="9"/>
      <c r="J77" s="9"/>
      <c r="K77" s="9"/>
    </row>
    <row r="78" customFormat="false" ht="15" hidden="false" customHeight="false" outlineLevel="0" collapsed="false">
      <c r="A78" s="9"/>
      <c r="B78" s="9"/>
      <c r="C78" s="9"/>
      <c r="D78" s="9"/>
      <c r="E78" s="9"/>
      <c r="F78" s="9"/>
      <c r="G78" s="9"/>
      <c r="H78" s="9"/>
      <c r="I78" s="9"/>
      <c r="J78" s="9"/>
      <c r="K78" s="9"/>
    </row>
    <row r="79" customFormat="false" ht="15" hidden="false" customHeight="false" outlineLevel="0" collapsed="false">
      <c r="A79" s="8" t="s">
        <v>1935</v>
      </c>
      <c r="B79" s="9" t="n">
        <f aca="false">SUM(B3:B78)</f>
        <v>254</v>
      </c>
      <c r="C79" s="9"/>
      <c r="D79" s="9"/>
      <c r="E79" s="9"/>
      <c r="F79" s="9"/>
      <c r="G79" s="9"/>
      <c r="H79" s="9"/>
      <c r="I79" s="9"/>
      <c r="J79" s="9"/>
      <c r="K79"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5"/>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5" t="s">
        <v>1718</v>
      </c>
      <c r="B1" s="5" t="s">
        <v>1936</v>
      </c>
      <c r="C1" s="5" t="s">
        <v>1937</v>
      </c>
    </row>
    <row r="2" customFormat="false" ht="23.85" hidden="false" customHeight="false" outlineLevel="0" collapsed="false">
      <c r="A2" s="6" t="s">
        <v>627</v>
      </c>
      <c r="B2" s="6" t="s">
        <v>628</v>
      </c>
      <c r="C2" s="6" t="s">
        <v>1938</v>
      </c>
    </row>
    <row r="3" customFormat="false" ht="23.85" hidden="false" customHeight="false" outlineLevel="0" collapsed="false">
      <c r="A3" s="6" t="s">
        <v>1939</v>
      </c>
      <c r="B3" s="6" t="s">
        <v>1698</v>
      </c>
      <c r="C3" s="6" t="s">
        <v>1940</v>
      </c>
    </row>
    <row r="4" customFormat="false" ht="15" hidden="false" customHeight="false" outlineLevel="0" collapsed="false">
      <c r="A4" s="6" t="s">
        <v>1941</v>
      </c>
      <c r="B4" s="6" t="s">
        <v>1942</v>
      </c>
      <c r="C4" s="6" t="s">
        <v>1943</v>
      </c>
    </row>
    <row r="5" customFormat="false" ht="15" hidden="false" customHeight="false" outlineLevel="0" collapsed="false">
      <c r="A5" s="6" t="s">
        <v>965</v>
      </c>
      <c r="B5" s="6" t="s">
        <v>966</v>
      </c>
      <c r="C5" s="6" t="s">
        <v>1944</v>
      </c>
    </row>
    <row r="6" customFormat="false" ht="23.85" hidden="false" customHeight="false" outlineLevel="0" collapsed="false">
      <c r="A6" s="6" t="s">
        <v>1213</v>
      </c>
      <c r="B6" s="6" t="s">
        <v>1214</v>
      </c>
      <c r="C6" s="6" t="s">
        <v>1945</v>
      </c>
    </row>
    <row r="7" customFormat="false" ht="23.85" hidden="false" customHeight="false" outlineLevel="0" collapsed="false">
      <c r="A7" s="6" t="s">
        <v>1946</v>
      </c>
      <c r="B7" s="6" t="s">
        <v>628</v>
      </c>
      <c r="C7" s="6" t="s">
        <v>1947</v>
      </c>
    </row>
    <row r="8" customFormat="false" ht="23.85" hidden="false" customHeight="false" outlineLevel="0" collapsed="false">
      <c r="A8" s="6" t="s">
        <v>1948</v>
      </c>
      <c r="B8" s="6" t="s">
        <v>1177</v>
      </c>
      <c r="C8" s="6" t="s">
        <v>1949</v>
      </c>
    </row>
    <row r="9" customFormat="false" ht="68.65" hidden="false" customHeight="false" outlineLevel="0" collapsed="false">
      <c r="A9" s="6" t="s">
        <v>73</v>
      </c>
      <c r="B9" s="6" t="s">
        <v>74</v>
      </c>
      <c r="C9" s="6" t="s">
        <v>1950</v>
      </c>
    </row>
    <row r="10" customFormat="false" ht="35.05" hidden="false" customHeight="false" outlineLevel="0" collapsed="false">
      <c r="A10" s="6" t="s">
        <v>801</v>
      </c>
      <c r="B10" s="6" t="s">
        <v>802</v>
      </c>
      <c r="C10" s="6" t="s">
        <v>1951</v>
      </c>
    </row>
    <row r="11" customFormat="false" ht="68.65" hidden="false" customHeight="false" outlineLevel="0" collapsed="false">
      <c r="A11" s="6" t="s">
        <v>314</v>
      </c>
      <c r="B11" s="6" t="s">
        <v>315</v>
      </c>
      <c r="C11" s="6" t="s">
        <v>1952</v>
      </c>
    </row>
    <row r="12" customFormat="false" ht="35.05" hidden="false" customHeight="false" outlineLevel="0" collapsed="false">
      <c r="A12" s="6" t="s">
        <v>1953</v>
      </c>
      <c r="B12" s="6"/>
      <c r="C12" s="6" t="s">
        <v>1954</v>
      </c>
    </row>
    <row r="13" customFormat="false" ht="23.85" hidden="false" customHeight="false" outlineLevel="0" collapsed="false">
      <c r="A13" s="6" t="s">
        <v>1955</v>
      </c>
      <c r="B13" s="6"/>
      <c r="C13" s="6" t="s">
        <v>1956</v>
      </c>
    </row>
    <row r="14" customFormat="false" ht="35.05" hidden="false" customHeight="false" outlineLevel="0" collapsed="false">
      <c r="A14" s="6" t="s">
        <v>1957</v>
      </c>
      <c r="B14" s="6"/>
      <c r="C14" s="6" t="s">
        <v>1958</v>
      </c>
    </row>
    <row r="15" customFormat="false" ht="23.85" hidden="false" customHeight="false" outlineLevel="0" collapsed="false">
      <c r="A15" s="6" t="s">
        <v>1959</v>
      </c>
      <c r="B15" s="6" t="s">
        <v>1960</v>
      </c>
      <c r="C15" s="6" t="s">
        <v>1961</v>
      </c>
    </row>
    <row r="16" customFormat="false" ht="35.05" hidden="false" customHeight="false" outlineLevel="0" collapsed="false">
      <c r="A16" s="6" t="s">
        <v>1962</v>
      </c>
      <c r="B16" s="6"/>
      <c r="C16" s="6" t="s">
        <v>1963</v>
      </c>
    </row>
    <row r="17" customFormat="false" ht="23.85" hidden="false" customHeight="false" outlineLevel="0" collapsed="false">
      <c r="A17" s="6" t="s">
        <v>1964</v>
      </c>
      <c r="B17" s="6" t="s">
        <v>1965</v>
      </c>
      <c r="C17" s="6" t="s">
        <v>1966</v>
      </c>
    </row>
    <row r="18" customFormat="false" ht="23.85" hidden="false" customHeight="false" outlineLevel="0" collapsed="false">
      <c r="A18" s="6" t="s">
        <v>1967</v>
      </c>
      <c r="B18" s="6" t="s">
        <v>1968</v>
      </c>
      <c r="C18" s="6" t="s">
        <v>1969</v>
      </c>
    </row>
    <row r="19" customFormat="false" ht="15" hidden="false" customHeight="false" outlineLevel="0" collapsed="false">
      <c r="A19" s="6" t="s">
        <v>1970</v>
      </c>
      <c r="B19" s="6" t="s">
        <v>1971</v>
      </c>
      <c r="C19" s="6" t="s">
        <v>1972</v>
      </c>
    </row>
    <row r="20" customFormat="false" ht="15" hidden="false" customHeight="false" outlineLevel="0" collapsed="false">
      <c r="A20" s="6" t="s">
        <v>1973</v>
      </c>
      <c r="B20" s="6" t="s">
        <v>1974</v>
      </c>
      <c r="C20" s="6" t="s">
        <v>1975</v>
      </c>
    </row>
    <row r="21" customFormat="false" ht="15" hidden="false" customHeight="false" outlineLevel="0" collapsed="false">
      <c r="A21" s="6" t="s">
        <v>1976</v>
      </c>
      <c r="B21" s="6" t="s">
        <v>1977</v>
      </c>
      <c r="C21" s="6" t="s">
        <v>1978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18"/>
    <col collapsed="false" customWidth="true" hidden="false" outlineLevel="0" max="4" min="4" style="0" width="15"/>
    <col collapsed="false" customWidth="true" hidden="false" outlineLevel="0" max="5" min="5" style="0" width="70"/>
  </cols>
  <sheetData>
    <row r="1" customFormat="false" ht="23.85" hidden="false" customHeight="false" outlineLevel="0" collapsed="false">
      <c r="A1" s="5" t="s">
        <v>1979</v>
      </c>
      <c r="B1" s="5" t="s">
        <v>1980</v>
      </c>
      <c r="C1" s="5" t="s">
        <v>1981</v>
      </c>
      <c r="D1" s="5" t="s">
        <v>1982</v>
      </c>
      <c r="E1" s="5" t="s">
        <v>1983</v>
      </c>
    </row>
    <row r="2" customFormat="false" ht="15" hidden="false" customHeight="false" outlineLevel="0" collapsed="false">
      <c r="A2" s="6" t="s">
        <v>1984</v>
      </c>
      <c r="B2" s="6" t="s">
        <v>1985</v>
      </c>
      <c r="C2" s="6"/>
      <c r="D2" s="6"/>
      <c r="E2" s="6" t="s">
        <v>1986</v>
      </c>
    </row>
    <row r="3" customFormat="false" ht="15" hidden="false" customHeight="false" outlineLevel="0" collapsed="false">
      <c r="A3" s="6" t="s">
        <v>1987</v>
      </c>
      <c r="B3" s="6" t="s">
        <v>1988</v>
      </c>
      <c r="C3" s="6"/>
      <c r="D3" s="6" t="s">
        <v>33</v>
      </c>
      <c r="E3" s="6" t="s">
        <v>1989</v>
      </c>
    </row>
    <row r="4" customFormat="false" ht="15" hidden="false" customHeight="false" outlineLevel="0" collapsed="false">
      <c r="A4" s="6" t="s">
        <v>1990</v>
      </c>
      <c r="B4" s="6" t="s">
        <v>1991</v>
      </c>
      <c r="C4" s="6"/>
      <c r="D4" s="6" t="s">
        <v>25</v>
      </c>
      <c r="E4" s="6" t="s">
        <v>1992</v>
      </c>
    </row>
    <row r="5" customFormat="false" ht="15" hidden="false" customHeight="false" outlineLevel="0" collapsed="false">
      <c r="A5" s="6" t="s">
        <v>1993</v>
      </c>
      <c r="B5" s="6" t="s">
        <v>1994</v>
      </c>
      <c r="C5" s="6"/>
      <c r="D5" s="6"/>
      <c r="E5" s="6" t="s">
        <v>1995</v>
      </c>
    </row>
    <row r="6" customFormat="false" ht="15" hidden="false" customHeight="false" outlineLevel="0" collapsed="false">
      <c r="A6" s="6" t="s">
        <v>1996</v>
      </c>
      <c r="B6" s="6" t="s">
        <v>1997</v>
      </c>
      <c r="C6" s="6"/>
      <c r="D6" s="6"/>
      <c r="E6" s="6" t="s">
        <v>1998</v>
      </c>
    </row>
    <row r="7" customFormat="false" ht="15" hidden="false" customHeight="false" outlineLevel="0" collapsed="false">
      <c r="A7" s="6" t="s">
        <v>1999</v>
      </c>
      <c r="B7" s="6" t="s">
        <v>2000</v>
      </c>
      <c r="C7" s="6"/>
      <c r="D7" s="6"/>
      <c r="E7" s="6" t="s">
        <v>2001</v>
      </c>
    </row>
    <row r="8" customFormat="false" ht="15" hidden="false" customHeight="false" outlineLevel="0" collapsed="false">
      <c r="A8" s="6" t="s">
        <v>2002</v>
      </c>
      <c r="B8" s="6" t="s">
        <v>2003</v>
      </c>
      <c r="C8" s="6" t="s">
        <v>2004</v>
      </c>
      <c r="D8" s="6"/>
      <c r="E8" s="6" t="s">
        <v>2005</v>
      </c>
    </row>
    <row r="9" customFormat="false" ht="15" hidden="false" customHeight="false" outlineLevel="0" collapsed="false">
      <c r="A9" s="6" t="s">
        <v>2006</v>
      </c>
      <c r="B9" s="6" t="s">
        <v>2007</v>
      </c>
      <c r="C9" s="6"/>
      <c r="D9" s="6"/>
      <c r="E9" s="6" t="s">
        <v>2008</v>
      </c>
    </row>
    <row r="10" customFormat="false" ht="15" hidden="false" customHeight="false" outlineLevel="0" collapsed="false">
      <c r="A10" s="6" t="s">
        <v>2009</v>
      </c>
      <c r="B10" s="6" t="s">
        <v>2010</v>
      </c>
      <c r="C10" s="6"/>
      <c r="D10" s="6" t="s">
        <v>27</v>
      </c>
      <c r="E10" s="6" t="s">
        <v>2011</v>
      </c>
    </row>
    <row r="11" customFormat="false" ht="15" hidden="false" customHeight="false" outlineLevel="0" collapsed="false">
      <c r="A11" s="6" t="s">
        <v>2012</v>
      </c>
      <c r="B11" s="6" t="s">
        <v>2010</v>
      </c>
      <c r="C11" s="6"/>
      <c r="D11" s="6" t="s">
        <v>27</v>
      </c>
      <c r="E11" s="6" t="s">
        <v>2013</v>
      </c>
    </row>
    <row r="12" customFormat="false" ht="15" hidden="false" customHeight="false" outlineLevel="0" collapsed="false">
      <c r="A12" s="6" t="s">
        <v>2014</v>
      </c>
      <c r="B12" s="6" t="s">
        <v>2015</v>
      </c>
      <c r="C12" s="6"/>
      <c r="D12" s="6"/>
      <c r="E12" s="6" t="s">
        <v>2016</v>
      </c>
    </row>
    <row r="13" customFormat="false" ht="15" hidden="false" customHeight="false" outlineLevel="0" collapsed="false">
      <c r="A13" s="6" t="s">
        <v>2017</v>
      </c>
      <c r="B13" s="6" t="s">
        <v>2018</v>
      </c>
      <c r="C13" s="6"/>
      <c r="D13" s="6"/>
      <c r="E13" s="6" t="s">
        <v>2019</v>
      </c>
    </row>
    <row r="14" customFormat="false" ht="15" hidden="false" customHeight="false" outlineLevel="0" collapsed="false">
      <c r="A14" s="6" t="s">
        <v>2020</v>
      </c>
      <c r="B14" s="6" t="s">
        <v>1985</v>
      </c>
      <c r="C14" s="6"/>
      <c r="D14" s="6"/>
      <c r="E14" s="6" t="s">
        <v>2021</v>
      </c>
    </row>
    <row r="15" customFormat="false" ht="15" hidden="false" customHeight="false" outlineLevel="0" collapsed="false">
      <c r="A15" s="6" t="s">
        <v>2022</v>
      </c>
      <c r="B15" s="6" t="s">
        <v>2023</v>
      </c>
      <c r="C15" s="6"/>
      <c r="D15" s="6"/>
      <c r="E15" s="6" t="s">
        <v>2024</v>
      </c>
    </row>
    <row r="16" customFormat="false" ht="15" hidden="false" customHeight="false" outlineLevel="0" collapsed="false">
      <c r="A16" s="6" t="s">
        <v>2025</v>
      </c>
      <c r="B16" s="6" t="s">
        <v>2000</v>
      </c>
      <c r="C16" s="6"/>
      <c r="D16" s="6" t="s">
        <v>2026</v>
      </c>
      <c r="E16" s="6" t="s">
        <v>2027</v>
      </c>
    </row>
    <row r="17" customFormat="false" ht="23.85" hidden="false" customHeight="false" outlineLevel="0" collapsed="false">
      <c r="A17" s="6" t="s">
        <v>2028</v>
      </c>
      <c r="B17" s="6" t="s">
        <v>2029</v>
      </c>
      <c r="C17" s="6"/>
      <c r="D17" s="6" t="s">
        <v>27</v>
      </c>
      <c r="E17" s="6" t="s">
        <v>2030</v>
      </c>
    </row>
    <row r="18" customFormat="false" ht="15" hidden="false" customHeight="false" outlineLevel="0" collapsed="false">
      <c r="A18" s="6" t="s">
        <v>2031</v>
      </c>
      <c r="B18" s="6" t="s">
        <v>2032</v>
      </c>
      <c r="C18" s="6" t="s">
        <v>2033</v>
      </c>
      <c r="D18" s="6"/>
      <c r="E18" s="6" t="s">
        <v>2034</v>
      </c>
    </row>
    <row r="19" customFormat="false" ht="15" hidden="false" customHeight="false" outlineLevel="0" collapsed="false">
      <c r="A19" s="6" t="s">
        <v>2035</v>
      </c>
      <c r="B19" s="6" t="s">
        <v>2036</v>
      </c>
      <c r="C19" s="6"/>
      <c r="D19" s="6" t="s">
        <v>31</v>
      </c>
      <c r="E19" s="6" t="s">
        <v>2037</v>
      </c>
    </row>
    <row r="20" customFormat="false" ht="15" hidden="false" customHeight="false" outlineLevel="0" collapsed="false">
      <c r="A20" s="6" t="s">
        <v>2038</v>
      </c>
      <c r="B20" s="6" t="s">
        <v>2039</v>
      </c>
      <c r="C20" s="6"/>
      <c r="D20" s="6"/>
      <c r="E20" s="6" t="s">
        <v>2040</v>
      </c>
    </row>
    <row r="21" customFormat="false" ht="15" hidden="false" customHeight="false" outlineLevel="0" collapsed="false">
      <c r="A21" s="6" t="s">
        <v>2041</v>
      </c>
      <c r="B21" s="6" t="s">
        <v>1991</v>
      </c>
      <c r="C21" s="6"/>
      <c r="D21" s="6" t="s">
        <v>35</v>
      </c>
      <c r="E21" s="6" t="s">
        <v>2042</v>
      </c>
    </row>
    <row r="22" customFormat="false" ht="15" hidden="false" customHeight="false" outlineLevel="0" collapsed="false">
      <c r="A22" s="6" t="s">
        <v>2043</v>
      </c>
      <c r="B22" s="6" t="s">
        <v>2044</v>
      </c>
      <c r="C22" s="6"/>
      <c r="D22" s="6" t="s">
        <v>25</v>
      </c>
      <c r="E22" s="6" t="s">
        <v>2045</v>
      </c>
    </row>
    <row r="23" customFormat="false" ht="15" hidden="false" customHeight="false" outlineLevel="0" collapsed="false">
      <c r="A23" s="6" t="s">
        <v>2046</v>
      </c>
      <c r="B23" s="6" t="s">
        <v>2047</v>
      </c>
      <c r="C23" s="6"/>
      <c r="D23" s="6"/>
      <c r="E23" s="6" t="s">
        <v>2048</v>
      </c>
    </row>
    <row r="24" customFormat="false" ht="15" hidden="false" customHeight="false" outlineLevel="0" collapsed="false">
      <c r="A24" s="6" t="s">
        <v>2049</v>
      </c>
      <c r="B24" s="6" t="s">
        <v>2050</v>
      </c>
      <c r="C24" s="6"/>
      <c r="D24" s="6" t="s">
        <v>27</v>
      </c>
      <c r="E24" s="6" t="s">
        <v>2037</v>
      </c>
    </row>
    <row r="25" customFormat="false" ht="15" hidden="false" customHeight="false" outlineLevel="0" collapsed="false">
      <c r="A25" s="6" t="s">
        <v>2051</v>
      </c>
      <c r="B25" s="6" t="s">
        <v>2003</v>
      </c>
      <c r="C25" s="6"/>
      <c r="D25" s="6" t="s">
        <v>31</v>
      </c>
      <c r="E25" s="6" t="s">
        <v>2037</v>
      </c>
    </row>
    <row r="26" customFormat="false" ht="15" hidden="false" customHeight="false" outlineLevel="0" collapsed="false">
      <c r="A26" s="6" t="s">
        <v>2052</v>
      </c>
      <c r="B26" s="6" t="s">
        <v>2053</v>
      </c>
      <c r="C26" s="6"/>
      <c r="D26" s="6" t="s">
        <v>2054</v>
      </c>
      <c r="E26" s="6" t="s">
        <v>2037</v>
      </c>
    </row>
    <row r="27" customFormat="false" ht="15" hidden="false" customHeight="false" outlineLevel="0" collapsed="false">
      <c r="A27" s="6" t="s">
        <v>2055</v>
      </c>
      <c r="B27" s="6" t="s">
        <v>2056</v>
      </c>
      <c r="C27" s="6"/>
      <c r="D27" s="6" t="s">
        <v>25</v>
      </c>
      <c r="E27" s="6" t="s">
        <v>2057</v>
      </c>
    </row>
    <row r="28" customFormat="false" ht="15" hidden="false" customHeight="false" outlineLevel="0" collapsed="false">
      <c r="A28" s="6" t="s">
        <v>2058</v>
      </c>
      <c r="B28" s="6" t="s">
        <v>2059</v>
      </c>
      <c r="C28" s="6"/>
      <c r="D28" s="6"/>
      <c r="E28" s="6" t="s">
        <v>2060</v>
      </c>
    </row>
    <row r="29" customFormat="false" ht="15" hidden="false" customHeight="false" outlineLevel="0" collapsed="false">
      <c r="A29" s="6" t="s">
        <v>2061</v>
      </c>
      <c r="B29" s="6" t="s">
        <v>2023</v>
      </c>
      <c r="C29" s="6"/>
      <c r="D29" s="6" t="s">
        <v>2062</v>
      </c>
      <c r="E29" s="6" t="s">
        <v>2063</v>
      </c>
    </row>
    <row r="30" customFormat="false" ht="23.85" hidden="false" customHeight="false" outlineLevel="0" collapsed="false">
      <c r="A30" s="6" t="s">
        <v>2064</v>
      </c>
      <c r="B30" s="6" t="s">
        <v>2065</v>
      </c>
      <c r="C30" s="6"/>
      <c r="D30" s="6" t="s">
        <v>2066</v>
      </c>
      <c r="E30" s="6" t="s">
        <v>2067</v>
      </c>
    </row>
    <row r="31" customFormat="false" ht="15" hidden="false" customHeight="false" outlineLevel="0" collapsed="false">
      <c r="A31" s="6" t="s">
        <v>2068</v>
      </c>
      <c r="B31" s="6" t="s">
        <v>2047</v>
      </c>
      <c r="C31" s="6"/>
      <c r="D31" s="6"/>
      <c r="E31" s="6" t="s">
        <v>2069</v>
      </c>
    </row>
    <row r="32" customFormat="false" ht="15" hidden="false" customHeight="false" outlineLevel="0" collapsed="false">
      <c r="A32" s="6" t="s">
        <v>2070</v>
      </c>
      <c r="B32" s="6" t="s">
        <v>2029</v>
      </c>
      <c r="C32" s="6"/>
      <c r="D32" s="6" t="s">
        <v>29</v>
      </c>
      <c r="E32" s="6" t="s">
        <v>2071</v>
      </c>
    </row>
    <row r="33" customFormat="false" ht="23.85" hidden="false" customHeight="false" outlineLevel="0" collapsed="false">
      <c r="A33" s="6" t="s">
        <v>2072</v>
      </c>
      <c r="B33" s="6" t="s">
        <v>2073</v>
      </c>
      <c r="C33" s="6"/>
      <c r="D33" s="6" t="s">
        <v>2074</v>
      </c>
      <c r="E33" s="6" t="s">
        <v>2075</v>
      </c>
    </row>
    <row r="34" customFormat="false" ht="15" hidden="false" customHeight="false" outlineLevel="0" collapsed="false">
      <c r="A34" s="6" t="s">
        <v>2076</v>
      </c>
      <c r="B34" s="6" t="s">
        <v>2029</v>
      </c>
      <c r="C34" s="6"/>
      <c r="D34" s="6" t="s">
        <v>2077</v>
      </c>
      <c r="E34" s="6" t="s">
        <v>2078</v>
      </c>
    </row>
    <row r="35" customFormat="false" ht="15" hidden="false" customHeight="false" outlineLevel="0" collapsed="false">
      <c r="A35" s="6" t="s">
        <v>2079</v>
      </c>
      <c r="B35" s="6" t="s">
        <v>2080</v>
      </c>
      <c r="C35" s="6"/>
      <c r="D35" s="6" t="s">
        <v>29</v>
      </c>
      <c r="E35" s="6" t="s">
        <v>2081</v>
      </c>
    </row>
    <row r="36" customFormat="false" ht="15" hidden="false" customHeight="false" outlineLevel="0" collapsed="false">
      <c r="A36" s="6" t="s">
        <v>2082</v>
      </c>
      <c r="B36" s="6" t="s">
        <v>2023</v>
      </c>
      <c r="C36" s="6" t="s">
        <v>2083</v>
      </c>
      <c r="D36" s="6"/>
      <c r="E36" s="6" t="s">
        <v>2084</v>
      </c>
    </row>
    <row r="37" customFormat="false" ht="15" hidden="false" customHeight="false" outlineLevel="0" collapsed="false">
      <c r="A37" s="6" t="s">
        <v>2085</v>
      </c>
      <c r="B37" s="6" t="s">
        <v>2018</v>
      </c>
      <c r="C37" s="6"/>
      <c r="D37" s="6"/>
      <c r="E37" s="6" t="s">
        <v>1998</v>
      </c>
    </row>
    <row r="38" customFormat="false" ht="15" hidden="false" customHeight="false" outlineLevel="0" collapsed="false">
      <c r="A38" s="6" t="s">
        <v>2086</v>
      </c>
      <c r="B38" s="6" t="s">
        <v>2029</v>
      </c>
      <c r="C38" s="6"/>
      <c r="D38" s="6"/>
      <c r="E38" s="6" t="s">
        <v>2087</v>
      </c>
    </row>
    <row r="39" customFormat="false" ht="15" hidden="false" customHeight="false" outlineLevel="0" collapsed="false">
      <c r="A39" s="6" t="s">
        <v>2088</v>
      </c>
      <c r="B39" s="6" t="s">
        <v>2080</v>
      </c>
      <c r="C39" s="6"/>
      <c r="D39" s="6" t="s">
        <v>29</v>
      </c>
      <c r="E39" s="6" t="s">
        <v>2037</v>
      </c>
    </row>
    <row r="40" customFormat="false" ht="23.85" hidden="false" customHeight="false" outlineLevel="0" collapsed="false">
      <c r="A40" s="6" t="s">
        <v>2089</v>
      </c>
      <c r="B40" s="6" t="s">
        <v>2090</v>
      </c>
      <c r="C40" s="6"/>
      <c r="D40" s="6"/>
      <c r="E40" s="6" t="s">
        <v>2091</v>
      </c>
    </row>
    <row r="41" customFormat="false" ht="15" hidden="false" customHeight="false" outlineLevel="0" collapsed="false">
      <c r="A41" s="6" t="s">
        <v>2092</v>
      </c>
      <c r="B41" s="6" t="s">
        <v>2093</v>
      </c>
      <c r="C41" s="6" t="s">
        <v>2094</v>
      </c>
      <c r="D41" s="6" t="s">
        <v>2062</v>
      </c>
      <c r="E41" s="6" t="s">
        <v>2095</v>
      </c>
    </row>
    <row r="42" customFormat="false" ht="15" hidden="false" customHeight="false" outlineLevel="0" collapsed="false">
      <c r="A42" s="6" t="s">
        <v>2096</v>
      </c>
      <c r="B42" s="6" t="s">
        <v>2097</v>
      </c>
      <c r="C42" s="6"/>
      <c r="D42" s="6" t="s">
        <v>29</v>
      </c>
      <c r="E42" s="6" t="s">
        <v>2098</v>
      </c>
    </row>
    <row r="43" customFormat="false" ht="23.85" hidden="false" customHeight="false" outlineLevel="0" collapsed="false">
      <c r="A43" s="6" t="s">
        <v>2099</v>
      </c>
      <c r="B43" s="6" t="s">
        <v>2100</v>
      </c>
      <c r="C43" s="6"/>
      <c r="D43" s="6" t="s">
        <v>33</v>
      </c>
      <c r="E43" s="6" t="s">
        <v>2101</v>
      </c>
    </row>
    <row r="44" customFormat="false" ht="15" hidden="false" customHeight="false" outlineLevel="0" collapsed="false">
      <c r="A44" s="6" t="s">
        <v>2102</v>
      </c>
      <c r="B44" s="6" t="s">
        <v>2103</v>
      </c>
      <c r="C44" s="6"/>
      <c r="D44" s="6" t="s">
        <v>2104</v>
      </c>
      <c r="E44" s="6" t="s">
        <v>2105</v>
      </c>
    </row>
    <row r="46" customFormat="false" ht="15" hidden="false" customHeight="false" outlineLevel="0" collapsed="false">
      <c r="A46" s="7" t="s">
        <v>2106</v>
      </c>
    </row>
    <row r="47" customFormat="false" ht="15" hidden="false" customHeight="false" outlineLevel="0" collapsed="false">
      <c r="A47" s="7" t="s">
        <v>2107</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70"/>
  </cols>
  <sheetData>
    <row r="1" customFormat="false" ht="35.05" hidden="false" customHeight="false" outlineLevel="0" collapsed="false">
      <c r="A1" s="5" t="s">
        <v>2108</v>
      </c>
      <c r="B1" s="5" t="s">
        <v>2109</v>
      </c>
      <c r="C1" s="5" t="s">
        <v>2110</v>
      </c>
      <c r="D1" s="5" t="s">
        <v>1704</v>
      </c>
      <c r="E1" s="5" t="s">
        <v>2111</v>
      </c>
      <c r="F1" s="5" t="s">
        <v>2112</v>
      </c>
    </row>
    <row r="2" customFormat="false" ht="35.05" hidden="false" customHeight="false" outlineLevel="0" collapsed="false">
      <c r="A2" s="6" t="s">
        <v>2113</v>
      </c>
      <c r="B2" s="6" t="s">
        <v>2114</v>
      </c>
      <c r="C2" s="6" t="s">
        <v>2115</v>
      </c>
      <c r="D2" s="6" t="s">
        <v>2116</v>
      </c>
      <c r="E2" s="6" t="n">
        <v>74.4</v>
      </c>
      <c r="F2" s="6" t="s">
        <v>2117</v>
      </c>
    </row>
    <row r="3" customFormat="false" ht="23.85" hidden="false" customHeight="false" outlineLevel="0" collapsed="false">
      <c r="A3" s="6" t="s">
        <v>2118</v>
      </c>
      <c r="B3" s="6" t="s">
        <v>674</v>
      </c>
      <c r="C3" s="6" t="s">
        <v>2119</v>
      </c>
      <c r="D3" s="6" t="s">
        <v>2116</v>
      </c>
      <c r="E3" s="6" t="n">
        <v>24.3</v>
      </c>
      <c r="F3" s="6" t="s">
        <v>2120</v>
      </c>
    </row>
    <row r="4" customFormat="false" ht="15" hidden="false" customHeight="false" outlineLevel="0" collapsed="false">
      <c r="A4" s="6" t="s">
        <v>2121</v>
      </c>
      <c r="B4" s="6" t="s">
        <v>2122</v>
      </c>
      <c r="C4" s="6" t="s">
        <v>2123</v>
      </c>
      <c r="D4" s="6" t="s">
        <v>2124</v>
      </c>
      <c r="E4" s="6" t="n">
        <v>68.1</v>
      </c>
      <c r="F4" s="6" t="s">
        <v>2125</v>
      </c>
    </row>
    <row r="5" customFormat="false" ht="370.85" hidden="false" customHeight="false" outlineLevel="0" collapsed="false">
      <c r="A5" s="6" t="s">
        <v>2126</v>
      </c>
      <c r="B5" s="6" t="s">
        <v>2127</v>
      </c>
      <c r="C5" s="6" t="s">
        <v>2115</v>
      </c>
      <c r="D5" s="6" t="s">
        <v>2128</v>
      </c>
      <c r="E5" s="6" t="n">
        <v>67.5</v>
      </c>
      <c r="F5" s="6" t="s">
        <v>2129</v>
      </c>
    </row>
    <row r="6" customFormat="false" ht="605.95" hidden="false" customHeight="false" outlineLevel="0" collapsed="false">
      <c r="A6" s="6" t="s">
        <v>2130</v>
      </c>
      <c r="B6" s="6" t="s">
        <v>2131</v>
      </c>
      <c r="C6" s="6" t="s">
        <v>2132</v>
      </c>
      <c r="D6" s="6" t="s">
        <v>2116</v>
      </c>
      <c r="E6" s="6" t="n">
        <v>54.2</v>
      </c>
      <c r="F6" s="6" t="s">
        <v>2133</v>
      </c>
    </row>
    <row r="7" customFormat="false" ht="35.05" hidden="false" customHeight="false" outlineLevel="0" collapsed="false">
      <c r="A7" s="6" t="s">
        <v>2134</v>
      </c>
      <c r="B7" s="6" t="s">
        <v>674</v>
      </c>
      <c r="C7" s="6" t="s">
        <v>2119</v>
      </c>
      <c r="D7" s="6" t="s">
        <v>2124</v>
      </c>
      <c r="E7" s="6" t="n">
        <v>21.5</v>
      </c>
      <c r="F7" s="6" t="s">
        <v>2135</v>
      </c>
    </row>
    <row r="8" customFormat="false" ht="15" hidden="false" customHeight="false" outlineLevel="0" collapsed="false">
      <c r="A8" s="6" t="s">
        <v>2136</v>
      </c>
      <c r="B8" s="6" t="s">
        <v>2137</v>
      </c>
      <c r="C8" s="6" t="s">
        <v>2138</v>
      </c>
      <c r="D8" s="6" t="s">
        <v>2116</v>
      </c>
      <c r="E8" s="6" t="n">
        <v>35.5</v>
      </c>
      <c r="F8" s="6"/>
    </row>
    <row r="9" customFormat="false" ht="15" hidden="false" customHeight="false" outlineLevel="0" collapsed="false">
      <c r="A9" s="6" t="s">
        <v>2139</v>
      </c>
      <c r="B9" s="6" t="s">
        <v>2140</v>
      </c>
      <c r="C9" s="6" t="s">
        <v>2119</v>
      </c>
      <c r="D9" s="6" t="s">
        <v>2116</v>
      </c>
      <c r="E9" s="6" t="n">
        <v>23</v>
      </c>
      <c r="F9" s="6"/>
    </row>
    <row r="10" customFormat="false" ht="15" hidden="false" customHeight="false" outlineLevel="0" collapsed="false">
      <c r="A10" s="6" t="s">
        <v>2141</v>
      </c>
      <c r="B10" s="6" t="s">
        <v>310</v>
      </c>
      <c r="C10" s="6" t="s">
        <v>2115</v>
      </c>
      <c r="D10" s="6" t="s">
        <v>2116</v>
      </c>
      <c r="E10" s="6" t="n">
        <v>18.1</v>
      </c>
      <c r="F10" s="6"/>
    </row>
    <row r="11" customFormat="false" ht="23.85" hidden="false" customHeight="false" outlineLevel="0" collapsed="false">
      <c r="A11" s="6" t="s">
        <v>2142</v>
      </c>
      <c r="B11" s="6" t="s">
        <v>2143</v>
      </c>
      <c r="C11" s="6" t="s">
        <v>2144</v>
      </c>
      <c r="D11" s="6" t="s">
        <v>2116</v>
      </c>
      <c r="E11" s="6" t="n">
        <v>45.2</v>
      </c>
      <c r="F11" s="6"/>
    </row>
    <row r="12" customFormat="false" ht="15" hidden="false" customHeight="false" outlineLevel="0" collapsed="false">
      <c r="A12" s="6" t="s">
        <v>2142</v>
      </c>
      <c r="B12" s="6" t="s">
        <v>674</v>
      </c>
      <c r="C12" s="6" t="s">
        <v>2119</v>
      </c>
      <c r="D12" s="6" t="s">
        <v>2116</v>
      </c>
      <c r="E12" s="6" t="n">
        <v>22.4</v>
      </c>
      <c r="F12" s="6"/>
    </row>
    <row r="13" customFormat="false" ht="15" hidden="false" customHeight="false" outlineLevel="0" collapsed="false">
      <c r="A13" s="6" t="s">
        <v>2142</v>
      </c>
      <c r="B13" s="6" t="s">
        <v>2145</v>
      </c>
      <c r="C13" s="6" t="s">
        <v>2146</v>
      </c>
      <c r="D13" s="6" t="s">
        <v>2116</v>
      </c>
      <c r="E13" s="6" t="n">
        <v>44.7</v>
      </c>
      <c r="F13" s="6"/>
    </row>
    <row r="14" customFormat="false" ht="15" hidden="false" customHeight="false" outlineLevel="0" collapsed="false">
      <c r="A14" s="6" t="s">
        <v>2147</v>
      </c>
      <c r="B14" s="6" t="s">
        <v>2148</v>
      </c>
      <c r="C14" s="6" t="s">
        <v>2149</v>
      </c>
      <c r="D14" s="6" t="s">
        <v>2116</v>
      </c>
      <c r="E14" s="6" t="n">
        <v>34.9</v>
      </c>
      <c r="F14" s="6"/>
    </row>
    <row r="15" customFormat="false" ht="15" hidden="false" customHeight="false" outlineLevel="0" collapsed="false">
      <c r="A15" s="6" t="s">
        <v>2150</v>
      </c>
      <c r="B15" s="6" t="s">
        <v>2151</v>
      </c>
      <c r="C15" s="6" t="s">
        <v>2152</v>
      </c>
      <c r="D15" s="6" t="s">
        <v>2116</v>
      </c>
      <c r="E15" s="6" t="n">
        <v>71.5</v>
      </c>
      <c r="F15" s="6"/>
    </row>
    <row r="16" customFormat="false" ht="15" hidden="false" customHeight="false" outlineLevel="0" collapsed="false">
      <c r="A16" s="6" t="s">
        <v>2150</v>
      </c>
      <c r="B16" s="6" t="s">
        <v>674</v>
      </c>
      <c r="C16" s="6" t="s">
        <v>2119</v>
      </c>
      <c r="D16" s="6" t="s">
        <v>2116</v>
      </c>
      <c r="E16" s="6" t="n">
        <v>24.4</v>
      </c>
      <c r="F16" s="6"/>
    </row>
    <row r="17" customFormat="false" ht="15" hidden="false" customHeight="false" outlineLevel="0" collapsed="false">
      <c r="A17" s="6" t="s">
        <v>2150</v>
      </c>
      <c r="B17" s="6" t="s">
        <v>2127</v>
      </c>
      <c r="C17" s="6" t="s">
        <v>2115</v>
      </c>
      <c r="D17" s="6" t="s">
        <v>2116</v>
      </c>
      <c r="E17" s="6" t="n">
        <v>66.4</v>
      </c>
      <c r="F17" s="6"/>
    </row>
    <row r="18" customFormat="false" ht="15" hidden="false" customHeight="false" outlineLevel="0" collapsed="false">
      <c r="A18" s="6" t="s">
        <v>2150</v>
      </c>
      <c r="B18" s="6" t="s">
        <v>2153</v>
      </c>
      <c r="C18" s="6" t="s">
        <v>2146</v>
      </c>
      <c r="D18" s="6" t="s">
        <v>2116</v>
      </c>
      <c r="E18" s="6" t="n">
        <v>43.5</v>
      </c>
      <c r="F18" s="6"/>
    </row>
    <row r="19" customFormat="false" ht="15" hidden="false" customHeight="false" outlineLevel="0" collapsed="false">
      <c r="A19" s="6" t="s">
        <v>1528</v>
      </c>
      <c r="B19" s="6" t="s">
        <v>2154</v>
      </c>
      <c r="C19" s="6" t="s">
        <v>2155</v>
      </c>
      <c r="D19" s="6" t="s">
        <v>2116</v>
      </c>
      <c r="E19" s="6" t="n">
        <v>61.4</v>
      </c>
      <c r="F19" s="6"/>
    </row>
    <row r="20" customFormat="false" ht="15" hidden="false" customHeight="false" outlineLevel="0" collapsed="false">
      <c r="A20" s="6" t="s">
        <v>1528</v>
      </c>
      <c r="B20" s="6" t="s">
        <v>2156</v>
      </c>
      <c r="C20" s="6" t="s">
        <v>2157</v>
      </c>
      <c r="D20" s="6" t="s">
        <v>2116</v>
      </c>
      <c r="E20" s="6" t="n">
        <v>52.1</v>
      </c>
      <c r="F20" s="6"/>
    </row>
    <row r="21" customFormat="false" ht="15" hidden="false" customHeight="false" outlineLevel="0" collapsed="false">
      <c r="A21" s="6" t="s">
        <v>1528</v>
      </c>
      <c r="B21" s="6" t="s">
        <v>2158</v>
      </c>
      <c r="C21" s="6" t="s">
        <v>2159</v>
      </c>
      <c r="D21" s="6" t="s">
        <v>2116</v>
      </c>
      <c r="E21" s="6" t="n">
        <v>74.9</v>
      </c>
      <c r="F21" s="6"/>
    </row>
    <row r="22" customFormat="false" ht="23.85" hidden="false" customHeight="false" outlineLevel="0" collapsed="false">
      <c r="A22" s="6" t="s">
        <v>1528</v>
      </c>
      <c r="B22" s="6" t="s">
        <v>2160</v>
      </c>
      <c r="C22" s="6" t="s">
        <v>2161</v>
      </c>
      <c r="D22" s="6" t="s">
        <v>2116</v>
      </c>
      <c r="E22" s="6" t="n">
        <v>66.4</v>
      </c>
      <c r="F22" s="6"/>
    </row>
    <row r="23" customFormat="false" ht="15" hidden="false" customHeight="false" outlineLevel="0" collapsed="false">
      <c r="A23" s="6" t="s">
        <v>2162</v>
      </c>
      <c r="B23" s="6" t="s">
        <v>674</v>
      </c>
      <c r="C23" s="6" t="s">
        <v>2119</v>
      </c>
      <c r="D23" s="6" t="s">
        <v>2116</v>
      </c>
      <c r="E23" s="6" t="n">
        <v>21.7</v>
      </c>
      <c r="F23" s="6"/>
    </row>
    <row r="24" customFormat="false" ht="102.2" hidden="false" customHeight="false" outlineLevel="0" collapsed="false">
      <c r="A24" s="6" t="s">
        <v>2163</v>
      </c>
      <c r="B24" s="6" t="s">
        <v>2145</v>
      </c>
      <c r="C24" s="6" t="s">
        <v>2146</v>
      </c>
      <c r="D24" s="6" t="s">
        <v>2124</v>
      </c>
      <c r="E24" s="6" t="n">
        <v>44.7</v>
      </c>
      <c r="F24" s="6" t="s">
        <v>2164</v>
      </c>
    </row>
    <row r="25" customFormat="false" ht="102.2" hidden="false" customHeight="false" outlineLevel="0" collapsed="false">
      <c r="A25" s="6" t="s">
        <v>2165</v>
      </c>
      <c r="B25" s="6" t="s">
        <v>2166</v>
      </c>
      <c r="C25" s="6" t="s">
        <v>2167</v>
      </c>
      <c r="D25" s="6" t="s">
        <v>2116</v>
      </c>
      <c r="E25" s="6" t="n">
        <v>50.5</v>
      </c>
      <c r="F25" s="6" t="s">
        <v>2168</v>
      </c>
    </row>
    <row r="26" customFormat="false" ht="169.4" hidden="false" customHeight="false" outlineLevel="0" collapsed="false">
      <c r="A26" s="6" t="s">
        <v>2169</v>
      </c>
      <c r="B26" s="6" t="s">
        <v>2170</v>
      </c>
      <c r="C26" s="6" t="s">
        <v>2171</v>
      </c>
      <c r="D26" s="6" t="s">
        <v>2116</v>
      </c>
      <c r="E26" s="6" t="n">
        <v>73.2</v>
      </c>
      <c r="F26" s="6" t="s">
        <v>2172</v>
      </c>
    </row>
    <row r="27" customFormat="false" ht="673.1" hidden="false" customHeight="false" outlineLevel="0" collapsed="false">
      <c r="A27" s="6" t="s">
        <v>2173</v>
      </c>
      <c r="B27" s="6" t="s">
        <v>2174</v>
      </c>
      <c r="C27" s="6" t="s">
        <v>2175</v>
      </c>
      <c r="D27" s="6" t="s">
        <v>2116</v>
      </c>
      <c r="E27" s="6" t="n">
        <v>59.8</v>
      </c>
      <c r="F27" s="6" t="s">
        <v>2176</v>
      </c>
    </row>
    <row r="28" customFormat="false" ht="57.45" hidden="false" customHeight="false" outlineLevel="0" collapsed="false">
      <c r="A28" s="6" t="s">
        <v>2177</v>
      </c>
      <c r="B28" s="6" t="s">
        <v>2137</v>
      </c>
      <c r="C28" s="6" t="s">
        <v>2138</v>
      </c>
      <c r="D28" s="6" t="s">
        <v>2116</v>
      </c>
      <c r="E28" s="6" t="n">
        <v>35.6</v>
      </c>
      <c r="F28" s="6" t="s">
        <v>2178</v>
      </c>
    </row>
    <row r="29" customFormat="false" ht="158.2" hidden="false" customHeight="false" outlineLevel="0" collapsed="false">
      <c r="A29" s="6" t="s">
        <v>2179</v>
      </c>
      <c r="B29" s="6" t="s">
        <v>2180</v>
      </c>
      <c r="C29" s="6" t="s">
        <v>2181</v>
      </c>
      <c r="D29" s="6" t="s">
        <v>2116</v>
      </c>
      <c r="E29" s="6" t="n">
        <v>72.5</v>
      </c>
      <c r="F29" s="6" t="s">
        <v>2182</v>
      </c>
    </row>
    <row r="30" customFormat="false" ht="102.2" hidden="false" customHeight="false" outlineLevel="0" collapsed="false">
      <c r="A30" s="6" t="s">
        <v>2183</v>
      </c>
      <c r="B30" s="6" t="s">
        <v>2145</v>
      </c>
      <c r="C30" s="6" t="s">
        <v>2146</v>
      </c>
      <c r="D30" s="6" t="s">
        <v>2116</v>
      </c>
      <c r="E30" s="6" t="n">
        <v>44.7</v>
      </c>
      <c r="F30" s="6" t="s">
        <v>2184</v>
      </c>
    </row>
    <row r="31" customFormat="false" ht="57.45" hidden="false" customHeight="false" outlineLevel="0" collapsed="false">
      <c r="A31" s="6" t="s">
        <v>2185</v>
      </c>
      <c r="B31" s="6" t="s">
        <v>2186</v>
      </c>
      <c r="C31" s="6" t="s">
        <v>2187</v>
      </c>
      <c r="D31" s="6" t="s">
        <v>2116</v>
      </c>
      <c r="E31" s="6" t="n">
        <v>46.3</v>
      </c>
      <c r="F31" s="6" t="s">
        <v>2188</v>
      </c>
    </row>
    <row r="32" customFormat="false" ht="706.7" hidden="false" customHeight="false" outlineLevel="0" collapsed="false">
      <c r="A32" s="6" t="s">
        <v>2189</v>
      </c>
      <c r="B32" s="6" t="s">
        <v>2190</v>
      </c>
      <c r="C32" s="6" t="s">
        <v>2191</v>
      </c>
      <c r="D32" s="6" t="s">
        <v>2116</v>
      </c>
      <c r="E32" s="6" t="n">
        <v>60.6</v>
      </c>
      <c r="F32" s="6" t="s">
        <v>2192</v>
      </c>
    </row>
    <row r="33" customFormat="false" ht="158.2" hidden="false" customHeight="false" outlineLevel="0" collapsed="false">
      <c r="A33" s="6" t="s">
        <v>2193</v>
      </c>
      <c r="B33" s="6" t="s">
        <v>2153</v>
      </c>
      <c r="C33" s="6" t="s">
        <v>2194</v>
      </c>
      <c r="D33" s="6" t="s">
        <v>2116</v>
      </c>
      <c r="E33" s="6" t="n">
        <v>41.8</v>
      </c>
      <c r="F33" s="6" t="s">
        <v>2195</v>
      </c>
    </row>
    <row r="34" customFormat="false" ht="102.2" hidden="false" customHeight="false" outlineLevel="0" collapsed="false">
      <c r="A34" s="6" t="s">
        <v>2196</v>
      </c>
      <c r="B34" s="6" t="s">
        <v>2180</v>
      </c>
      <c r="C34" s="6" t="s">
        <v>2115</v>
      </c>
      <c r="D34" s="6" t="s">
        <v>2116</v>
      </c>
      <c r="E34" s="6" t="n">
        <v>68.1</v>
      </c>
      <c r="F34" s="6" t="s">
        <v>2197</v>
      </c>
    </row>
    <row r="35" customFormat="false" ht="102.2" hidden="false" customHeight="false" outlineLevel="0" collapsed="false">
      <c r="A35" s="6" t="s">
        <v>2198</v>
      </c>
      <c r="B35" s="6" t="s">
        <v>2131</v>
      </c>
      <c r="C35" s="6" t="s">
        <v>2132</v>
      </c>
      <c r="D35" s="6" t="s">
        <v>2116</v>
      </c>
      <c r="E35" s="6" t="n">
        <v>54.6</v>
      </c>
      <c r="F35" s="6" t="s">
        <v>2199</v>
      </c>
    </row>
    <row r="36" customFormat="false" ht="57.45" hidden="false" customHeight="false" outlineLevel="0" collapsed="false">
      <c r="A36" s="6" t="s">
        <v>2200</v>
      </c>
      <c r="B36" s="6" t="s">
        <v>2201</v>
      </c>
      <c r="C36" s="6" t="s">
        <v>2202</v>
      </c>
      <c r="D36" s="6" t="s">
        <v>2116</v>
      </c>
      <c r="E36" s="6" t="n">
        <v>74.8</v>
      </c>
      <c r="F36" s="6" t="s">
        <v>2203</v>
      </c>
    </row>
    <row r="37" customFormat="false" ht="35.05" hidden="false" customHeight="false" outlineLevel="0" collapsed="false">
      <c r="A37" s="6" t="s">
        <v>2204</v>
      </c>
      <c r="B37" s="6" t="s">
        <v>2205</v>
      </c>
      <c r="C37" s="6" t="s">
        <v>2206</v>
      </c>
      <c r="D37" s="6" t="s">
        <v>2207</v>
      </c>
      <c r="E37" s="6" t="n">
        <v>37.7</v>
      </c>
      <c r="F37" s="6" t="s">
        <v>2208</v>
      </c>
    </row>
    <row r="38" customFormat="false" ht="46.25" hidden="false" customHeight="false" outlineLevel="0" collapsed="false">
      <c r="A38" s="6" t="s">
        <v>2204</v>
      </c>
      <c r="B38" s="6" t="s">
        <v>2209</v>
      </c>
      <c r="C38" s="6" t="s">
        <v>2210</v>
      </c>
      <c r="D38" s="6" t="s">
        <v>2128</v>
      </c>
      <c r="E38" s="6" t="n">
        <v>59.9</v>
      </c>
      <c r="F38" s="6" t="s">
        <v>2211</v>
      </c>
    </row>
    <row r="39" customFormat="false" ht="91" hidden="false" customHeight="false" outlineLevel="0" collapsed="false">
      <c r="A39" s="6" t="s">
        <v>2212</v>
      </c>
      <c r="B39" s="6" t="s">
        <v>2213</v>
      </c>
      <c r="C39" s="6" t="s">
        <v>2157</v>
      </c>
      <c r="D39" s="6" t="s">
        <v>2116</v>
      </c>
      <c r="E39" s="6" t="n">
        <v>58.9</v>
      </c>
      <c r="F39" s="6" t="s">
        <v>2214</v>
      </c>
    </row>
    <row r="40" customFormat="false" ht="348.5" hidden="false" customHeight="false" outlineLevel="0" collapsed="false">
      <c r="A40" s="6" t="s">
        <v>2212</v>
      </c>
      <c r="B40" s="6" t="s">
        <v>674</v>
      </c>
      <c r="C40" s="6" t="s">
        <v>2119</v>
      </c>
      <c r="D40" s="6" t="s">
        <v>2116</v>
      </c>
      <c r="E40" s="6" t="n">
        <v>22.4</v>
      </c>
      <c r="F40" s="6" t="s">
        <v>2215</v>
      </c>
    </row>
    <row r="41" customFormat="false" ht="292.5" hidden="false" customHeight="false" outlineLevel="0" collapsed="false">
      <c r="A41" s="6" t="s">
        <v>2216</v>
      </c>
      <c r="B41" s="6" t="s">
        <v>2217</v>
      </c>
      <c r="C41" s="6" t="s">
        <v>2218</v>
      </c>
      <c r="D41" s="6" t="s">
        <v>2116</v>
      </c>
      <c r="E41" s="6" t="n">
        <v>57.7</v>
      </c>
      <c r="F41" s="6" t="s">
        <v>2219</v>
      </c>
    </row>
    <row r="42" customFormat="false" ht="35.05" hidden="false" customHeight="false" outlineLevel="0" collapsed="false">
      <c r="A42" s="6" t="s">
        <v>2220</v>
      </c>
      <c r="B42" s="6" t="s">
        <v>2205</v>
      </c>
      <c r="C42" s="6" t="s">
        <v>2206</v>
      </c>
      <c r="D42" s="6" t="s">
        <v>2207</v>
      </c>
      <c r="E42" s="6" t="n">
        <v>37.7</v>
      </c>
      <c r="F42" s="6" t="s">
        <v>2221</v>
      </c>
    </row>
    <row r="43" customFormat="false" ht="15" hidden="false" customHeight="false" outlineLevel="0" collapsed="false">
      <c r="A43" s="6" t="s">
        <v>2222</v>
      </c>
      <c r="B43" s="6" t="s">
        <v>2154</v>
      </c>
      <c r="C43" s="6" t="s">
        <v>2155</v>
      </c>
      <c r="D43" s="6" t="s">
        <v>2124</v>
      </c>
      <c r="E43" s="6" t="n">
        <v>61.5</v>
      </c>
      <c r="F43" s="6"/>
    </row>
    <row r="44" customFormat="false" ht="35.05" hidden="false" customHeight="false" outlineLevel="0" collapsed="false">
      <c r="A44" s="6" t="s">
        <v>2223</v>
      </c>
      <c r="B44" s="6" t="s">
        <v>2224</v>
      </c>
      <c r="C44" s="6" t="s">
        <v>2225</v>
      </c>
      <c r="D44" s="6" t="s">
        <v>2207</v>
      </c>
      <c r="E44" s="6" t="n">
        <v>20.7</v>
      </c>
      <c r="F44" s="6" t="s">
        <v>2226</v>
      </c>
    </row>
    <row r="45" customFormat="false" ht="35.05" hidden="false" customHeight="false" outlineLevel="0" collapsed="false">
      <c r="A45" s="6" t="s">
        <v>2227</v>
      </c>
      <c r="B45" s="6" t="s">
        <v>2143</v>
      </c>
      <c r="C45" s="6" t="s">
        <v>2228</v>
      </c>
      <c r="D45" s="6" t="s">
        <v>2124</v>
      </c>
      <c r="E45" s="6" t="n">
        <v>47.4</v>
      </c>
      <c r="F45" s="6" t="s">
        <v>2229</v>
      </c>
    </row>
    <row r="46" customFormat="false" ht="135.8" hidden="false" customHeight="false" outlineLevel="0" collapsed="false">
      <c r="A46" s="6" t="s">
        <v>1369</v>
      </c>
      <c r="B46" s="6" t="s">
        <v>674</v>
      </c>
      <c r="C46" s="6" t="s">
        <v>2119</v>
      </c>
      <c r="D46" s="6" t="s">
        <v>2116</v>
      </c>
      <c r="E46" s="6" t="n">
        <v>23.1</v>
      </c>
      <c r="F46" s="6" t="s">
        <v>2230</v>
      </c>
    </row>
    <row r="47" customFormat="false" ht="68.65" hidden="false" customHeight="false" outlineLevel="0" collapsed="false">
      <c r="A47" s="6" t="s">
        <v>1368</v>
      </c>
      <c r="B47" s="6" t="s">
        <v>2231</v>
      </c>
      <c r="C47" s="6" t="s">
        <v>2232</v>
      </c>
      <c r="D47" s="6" t="s">
        <v>2116</v>
      </c>
      <c r="E47" s="6" t="n">
        <v>11.5</v>
      </c>
      <c r="F47" s="6" t="s">
        <v>2233</v>
      </c>
    </row>
    <row r="48" customFormat="false" ht="225.35" hidden="false" customHeight="false" outlineLevel="0" collapsed="false">
      <c r="A48" s="6" t="s">
        <v>1368</v>
      </c>
      <c r="B48" s="6" t="s">
        <v>2131</v>
      </c>
      <c r="C48" s="6" t="s">
        <v>2132</v>
      </c>
      <c r="D48" s="6" t="s">
        <v>2116</v>
      </c>
      <c r="E48" s="6" t="n">
        <v>54.6</v>
      </c>
      <c r="F48" s="6" t="s">
        <v>2234</v>
      </c>
    </row>
    <row r="49" customFormat="false" ht="35.05" hidden="false" customHeight="false" outlineLevel="0" collapsed="false">
      <c r="A49" s="6" t="s">
        <v>1368</v>
      </c>
      <c r="B49" s="6" t="s">
        <v>2205</v>
      </c>
      <c r="C49" s="6" t="s">
        <v>2206</v>
      </c>
      <c r="D49" s="6" t="s">
        <v>2207</v>
      </c>
      <c r="E49" s="6" t="n">
        <v>37.7</v>
      </c>
      <c r="F49" s="6" t="s">
        <v>2235</v>
      </c>
    </row>
    <row r="50" customFormat="false" ht="57.45" hidden="false" customHeight="false" outlineLevel="0" collapsed="false">
      <c r="A50" s="6" t="s">
        <v>2236</v>
      </c>
      <c r="B50" s="6" t="s">
        <v>2131</v>
      </c>
      <c r="C50" s="6" t="s">
        <v>2132</v>
      </c>
      <c r="D50" s="6" t="s">
        <v>2237</v>
      </c>
      <c r="E50" s="6" t="n">
        <v>54.6</v>
      </c>
      <c r="F50" s="6" t="s">
        <v>2238</v>
      </c>
    </row>
    <row r="51" customFormat="false" ht="124.6" hidden="false" customHeight="false" outlineLevel="0" collapsed="false">
      <c r="A51" s="6" t="s">
        <v>2239</v>
      </c>
      <c r="B51" s="6" t="s">
        <v>2131</v>
      </c>
      <c r="C51" s="6" t="s">
        <v>2132</v>
      </c>
      <c r="D51" s="6" t="s">
        <v>2116</v>
      </c>
      <c r="E51" s="6" t="n">
        <v>54.9</v>
      </c>
      <c r="F51" s="6" t="s">
        <v>2240</v>
      </c>
    </row>
    <row r="52" customFormat="false" ht="102.2" hidden="false" customHeight="false" outlineLevel="0" collapsed="false">
      <c r="A52" s="6" t="s">
        <v>2241</v>
      </c>
      <c r="B52" s="6" t="s">
        <v>674</v>
      </c>
      <c r="C52" s="6" t="s">
        <v>2119</v>
      </c>
      <c r="D52" s="6" t="s">
        <v>2116</v>
      </c>
      <c r="E52" s="6" t="n">
        <v>21.3</v>
      </c>
      <c r="F52" s="6" t="s">
        <v>2242</v>
      </c>
    </row>
    <row r="53" customFormat="false" ht="79.85" hidden="false" customHeight="false" outlineLevel="0" collapsed="false">
      <c r="A53" s="6" t="s">
        <v>2243</v>
      </c>
      <c r="B53" s="6" t="s">
        <v>2166</v>
      </c>
      <c r="C53" s="6" t="s">
        <v>2167</v>
      </c>
      <c r="D53" s="6" t="s">
        <v>2116</v>
      </c>
      <c r="E53" s="6" t="n">
        <v>50.6</v>
      </c>
      <c r="F53" s="6" t="s">
        <v>2244</v>
      </c>
    </row>
    <row r="54" customFormat="false" ht="68.65" hidden="false" customHeight="false" outlineLevel="0" collapsed="false">
      <c r="A54" s="6" t="s">
        <v>2245</v>
      </c>
      <c r="B54" s="6" t="s">
        <v>2145</v>
      </c>
      <c r="C54" s="6" t="s">
        <v>2146</v>
      </c>
      <c r="D54" s="6" t="s">
        <v>2116</v>
      </c>
      <c r="E54" s="6" t="n">
        <v>44.7</v>
      </c>
      <c r="F54" s="6" t="s">
        <v>2246</v>
      </c>
    </row>
    <row r="55" customFormat="false" ht="91" hidden="false" customHeight="false" outlineLevel="0" collapsed="false">
      <c r="A55" s="6" t="s">
        <v>2245</v>
      </c>
      <c r="B55" s="6" t="s">
        <v>2217</v>
      </c>
      <c r="C55" s="6" t="s">
        <v>2218</v>
      </c>
      <c r="D55" s="6" t="s">
        <v>2116</v>
      </c>
      <c r="E55" s="6" t="n">
        <v>57.7</v>
      </c>
      <c r="F55" s="6" t="s">
        <v>2247</v>
      </c>
    </row>
    <row r="56" customFormat="false" ht="79.85" hidden="false" customHeight="false" outlineLevel="0" collapsed="false">
      <c r="A56" s="6" t="s">
        <v>2248</v>
      </c>
      <c r="B56" s="6" t="s">
        <v>2249</v>
      </c>
      <c r="C56" s="6" t="s">
        <v>1089</v>
      </c>
      <c r="D56" s="6" t="s">
        <v>2116</v>
      </c>
      <c r="E56" s="6" t="n">
        <v>30.9</v>
      </c>
      <c r="F56" s="6" t="s">
        <v>2250</v>
      </c>
    </row>
    <row r="57" customFormat="false" ht="102.2" hidden="false" customHeight="false" outlineLevel="0" collapsed="false">
      <c r="A57" s="6" t="s">
        <v>2248</v>
      </c>
      <c r="B57" s="6" t="s">
        <v>2251</v>
      </c>
      <c r="C57" s="6" t="s">
        <v>2252</v>
      </c>
      <c r="D57" s="6" t="s">
        <v>2116</v>
      </c>
      <c r="E57" s="6" t="n">
        <v>59.2</v>
      </c>
      <c r="F57" s="6" t="s">
        <v>2253</v>
      </c>
    </row>
    <row r="58" customFormat="false" ht="102.2" hidden="false" customHeight="false" outlineLevel="0" collapsed="false">
      <c r="A58" s="6" t="s">
        <v>2254</v>
      </c>
      <c r="B58" s="6" t="s">
        <v>2255</v>
      </c>
      <c r="C58" s="6" t="s">
        <v>2256</v>
      </c>
      <c r="D58" s="6" t="s">
        <v>2124</v>
      </c>
      <c r="E58" s="6" t="n">
        <v>32.1</v>
      </c>
      <c r="F58" s="6" t="s">
        <v>2257</v>
      </c>
    </row>
    <row r="59" customFormat="false" ht="15" hidden="false" customHeight="false" outlineLevel="0" collapsed="false">
      <c r="A59" s="6" t="s">
        <v>2258</v>
      </c>
      <c r="B59" s="6" t="s">
        <v>674</v>
      </c>
      <c r="C59" s="6" t="s">
        <v>2119</v>
      </c>
      <c r="D59" s="6" t="s">
        <v>2128</v>
      </c>
      <c r="E59" s="6" t="n">
        <v>21.4</v>
      </c>
      <c r="F59" s="6"/>
    </row>
    <row r="60" customFormat="false" ht="124.6" hidden="false" customHeight="false" outlineLevel="0" collapsed="false">
      <c r="A60" s="6" t="s">
        <v>2259</v>
      </c>
      <c r="B60" s="6" t="s">
        <v>2153</v>
      </c>
      <c r="C60" s="6" t="s">
        <v>2146</v>
      </c>
      <c r="D60" s="6" t="s">
        <v>2124</v>
      </c>
      <c r="E60" s="6" t="n">
        <v>43.5</v>
      </c>
      <c r="F60" s="6" t="s">
        <v>2260</v>
      </c>
    </row>
    <row r="61" customFormat="false" ht="91" hidden="false" customHeight="false" outlineLevel="0" collapsed="false">
      <c r="A61" s="6" t="s">
        <v>2261</v>
      </c>
      <c r="B61" s="6" t="s">
        <v>634</v>
      </c>
      <c r="C61" s="6" t="s">
        <v>2115</v>
      </c>
      <c r="D61" s="6" t="s">
        <v>2262</v>
      </c>
      <c r="E61" s="6" t="n">
        <v>24.3</v>
      </c>
      <c r="F61" s="6" t="s">
        <v>2263</v>
      </c>
    </row>
    <row r="62" customFormat="false" ht="91" hidden="false" customHeight="false" outlineLevel="0" collapsed="false">
      <c r="A62" s="6" t="s">
        <v>2264</v>
      </c>
      <c r="B62" s="6" t="s">
        <v>2205</v>
      </c>
      <c r="C62" s="6" t="s">
        <v>2119</v>
      </c>
      <c r="D62" s="6" t="s">
        <v>2262</v>
      </c>
      <c r="E62" s="6" t="n">
        <v>38</v>
      </c>
      <c r="F62" s="6" t="s">
        <v>2265</v>
      </c>
    </row>
    <row r="63" customFormat="false" ht="91" hidden="false" customHeight="false" outlineLevel="0" collapsed="false">
      <c r="A63" s="6" t="s">
        <v>2264</v>
      </c>
      <c r="B63" s="6" t="s">
        <v>2266</v>
      </c>
      <c r="C63" s="6" t="s">
        <v>2119</v>
      </c>
      <c r="D63" s="6" t="s">
        <v>2262</v>
      </c>
      <c r="E63" s="6" t="n">
        <v>41</v>
      </c>
      <c r="F63" s="6" t="s">
        <v>2267</v>
      </c>
    </row>
    <row r="64" customFormat="false" ht="180.55" hidden="false" customHeight="false" outlineLevel="0" collapsed="false">
      <c r="A64" s="6" t="s">
        <v>2264</v>
      </c>
      <c r="B64" s="6" t="s">
        <v>674</v>
      </c>
      <c r="C64" s="6" t="s">
        <v>2119</v>
      </c>
      <c r="D64" s="6" t="s">
        <v>2262</v>
      </c>
      <c r="E64" s="6" t="n">
        <v>21.4</v>
      </c>
      <c r="F64" s="6" t="s">
        <v>2268</v>
      </c>
    </row>
    <row r="65" customFormat="false" ht="91" hidden="false" customHeight="false" outlineLevel="0" collapsed="false">
      <c r="A65" s="6" t="s">
        <v>2264</v>
      </c>
      <c r="B65" s="6" t="s">
        <v>2269</v>
      </c>
      <c r="C65" s="6" t="s">
        <v>2119</v>
      </c>
      <c r="D65" s="6" t="s">
        <v>2262</v>
      </c>
      <c r="E65" s="6" t="n">
        <v>35.5</v>
      </c>
      <c r="F65" s="6" t="s">
        <v>2270</v>
      </c>
    </row>
    <row r="66" customFormat="false" ht="113.4" hidden="false" customHeight="false" outlineLevel="0" collapsed="false">
      <c r="A66" s="6" t="s">
        <v>2271</v>
      </c>
      <c r="B66" s="6" t="s">
        <v>2217</v>
      </c>
      <c r="C66" s="6" t="s">
        <v>2218</v>
      </c>
      <c r="D66" s="6" t="s">
        <v>2262</v>
      </c>
      <c r="E66" s="6" t="n">
        <v>57.7</v>
      </c>
      <c r="F66" s="6" t="s">
        <v>2272</v>
      </c>
    </row>
    <row r="67" customFormat="false" ht="68.65" hidden="false" customHeight="false" outlineLevel="0" collapsed="false">
      <c r="A67" s="6" t="s">
        <v>2273</v>
      </c>
      <c r="B67" s="6" t="s">
        <v>2274</v>
      </c>
      <c r="C67" s="6" t="s">
        <v>2115</v>
      </c>
      <c r="D67" s="6" t="s">
        <v>2262</v>
      </c>
      <c r="E67" s="6" t="n">
        <v>45.8</v>
      </c>
      <c r="F67" s="6" t="s">
        <v>2275</v>
      </c>
    </row>
    <row r="68" customFormat="false" ht="68.65" hidden="false" customHeight="false" outlineLevel="0" collapsed="false">
      <c r="A68" s="6" t="s">
        <v>2276</v>
      </c>
      <c r="B68" s="6" t="s">
        <v>2209</v>
      </c>
      <c r="C68" s="6" t="s">
        <v>2210</v>
      </c>
      <c r="D68" s="6" t="s">
        <v>2116</v>
      </c>
      <c r="E68" s="6" t="n">
        <v>59.9</v>
      </c>
      <c r="F68" s="6" t="s">
        <v>2277</v>
      </c>
    </row>
    <row r="69" customFormat="false" ht="102.2" hidden="false" customHeight="false" outlineLevel="0" collapsed="false">
      <c r="A69" s="6" t="s">
        <v>2278</v>
      </c>
      <c r="B69" s="6" t="s">
        <v>1884</v>
      </c>
      <c r="C69" s="6" t="s">
        <v>2119</v>
      </c>
      <c r="D69" s="6" t="s">
        <v>2124</v>
      </c>
      <c r="E69" s="6" t="n">
        <v>23.1</v>
      </c>
      <c r="F69" s="6" t="s">
        <v>2279</v>
      </c>
    </row>
    <row r="70" customFormat="false" ht="57.45" hidden="false" customHeight="false" outlineLevel="0" collapsed="false">
      <c r="A70" s="6" t="s">
        <v>2280</v>
      </c>
      <c r="B70" s="6" t="s">
        <v>2180</v>
      </c>
      <c r="C70" s="6" t="s">
        <v>2115</v>
      </c>
      <c r="D70" s="6" t="s">
        <v>2116</v>
      </c>
      <c r="E70" s="6" t="n">
        <v>70</v>
      </c>
      <c r="F70" s="6" t="s">
        <v>2281</v>
      </c>
    </row>
    <row r="71" customFormat="false" ht="35.05" hidden="false" customHeight="false" outlineLevel="0" collapsed="false">
      <c r="A71" s="6" t="s">
        <v>2282</v>
      </c>
      <c r="B71" s="6" t="s">
        <v>2283</v>
      </c>
      <c r="C71" s="6" t="s">
        <v>2119</v>
      </c>
      <c r="D71" s="6" t="s">
        <v>2116</v>
      </c>
      <c r="E71" s="6" t="n">
        <v>72.9</v>
      </c>
      <c r="F71" s="6" t="s">
        <v>2284</v>
      </c>
    </row>
    <row r="72" customFormat="false" ht="57.45" hidden="false" customHeight="false" outlineLevel="0" collapsed="false">
      <c r="A72" s="6" t="s">
        <v>2285</v>
      </c>
      <c r="B72" s="6" t="s">
        <v>2213</v>
      </c>
      <c r="C72" s="6" t="s">
        <v>2157</v>
      </c>
      <c r="D72" s="6" t="s">
        <v>2128</v>
      </c>
      <c r="E72" s="6" t="n">
        <v>55.3</v>
      </c>
      <c r="F72" s="6" t="s">
        <v>2286</v>
      </c>
    </row>
    <row r="73" customFormat="false" ht="35.05" hidden="false" customHeight="false" outlineLevel="0" collapsed="false">
      <c r="A73" s="6" t="s">
        <v>2285</v>
      </c>
      <c r="B73" s="6" t="s">
        <v>1874</v>
      </c>
      <c r="C73" s="6" t="s">
        <v>2119</v>
      </c>
      <c r="D73" s="6" t="s">
        <v>2128</v>
      </c>
      <c r="E73" s="6" t="n">
        <v>22.5</v>
      </c>
      <c r="F73" s="6" t="s">
        <v>2287</v>
      </c>
    </row>
    <row r="74" customFormat="false" ht="35.05" hidden="false" customHeight="false" outlineLevel="0" collapsed="false">
      <c r="A74" s="6" t="s">
        <v>2285</v>
      </c>
      <c r="B74" s="6" t="s">
        <v>2224</v>
      </c>
      <c r="C74" s="6" t="s">
        <v>2119</v>
      </c>
      <c r="D74" s="6" t="s">
        <v>2128</v>
      </c>
      <c r="E74" s="6" t="n">
        <v>22.2</v>
      </c>
      <c r="F74" s="6" t="s">
        <v>2288</v>
      </c>
    </row>
    <row r="75" customFormat="false" ht="68.65" hidden="false" customHeight="false" outlineLevel="0" collapsed="false">
      <c r="A75" s="6" t="s">
        <v>2285</v>
      </c>
      <c r="B75" s="6" t="s">
        <v>2289</v>
      </c>
      <c r="C75" s="6" t="s">
        <v>2119</v>
      </c>
      <c r="D75" s="6" t="s">
        <v>2116</v>
      </c>
      <c r="E75" s="6" t="n">
        <v>24.5</v>
      </c>
      <c r="F75" s="6" t="s">
        <v>2290</v>
      </c>
    </row>
    <row r="76" customFormat="false" ht="91" hidden="false" customHeight="false" outlineLevel="0" collapsed="false">
      <c r="A76" s="6" t="s">
        <v>2291</v>
      </c>
      <c r="B76" s="6" t="s">
        <v>674</v>
      </c>
      <c r="C76" s="6" t="s">
        <v>2119</v>
      </c>
      <c r="D76" s="6" t="s">
        <v>2116</v>
      </c>
      <c r="E76" s="6" t="n">
        <v>21.2</v>
      </c>
      <c r="F76" s="6" t="s">
        <v>2292</v>
      </c>
    </row>
    <row r="77" customFormat="false" ht="68.65" hidden="false" customHeight="false" outlineLevel="0" collapsed="false">
      <c r="A77" s="6" t="s">
        <v>2291</v>
      </c>
      <c r="B77" s="6" t="s">
        <v>2249</v>
      </c>
      <c r="C77" s="6" t="s">
        <v>1089</v>
      </c>
      <c r="D77" s="6" t="s">
        <v>2116</v>
      </c>
      <c r="E77" s="6" t="n">
        <v>30.9</v>
      </c>
      <c r="F77" s="6" t="s">
        <v>2293</v>
      </c>
    </row>
    <row r="78" customFormat="false" ht="68.65" hidden="false" customHeight="false" outlineLevel="0" collapsed="false">
      <c r="A78" s="6" t="s">
        <v>2291</v>
      </c>
      <c r="B78" s="6" t="s">
        <v>859</v>
      </c>
      <c r="C78" s="6" t="s">
        <v>1089</v>
      </c>
      <c r="D78" s="6" t="s">
        <v>2124</v>
      </c>
      <c r="E78" s="6" t="n">
        <v>24.2</v>
      </c>
      <c r="F78" s="6" t="s">
        <v>2294</v>
      </c>
    </row>
    <row r="79" customFormat="false" ht="57.45" hidden="false" customHeight="false" outlineLevel="0" collapsed="false">
      <c r="A79" s="6" t="s">
        <v>2295</v>
      </c>
      <c r="B79" s="6" t="s">
        <v>2296</v>
      </c>
      <c r="C79" s="6" t="s">
        <v>1089</v>
      </c>
      <c r="D79" s="6" t="s">
        <v>2116</v>
      </c>
      <c r="E79" s="6" t="n">
        <v>24.5</v>
      </c>
      <c r="F79" s="6" t="s">
        <v>2297</v>
      </c>
    </row>
    <row r="80" customFormat="false" ht="1053.7" hidden="false" customHeight="false" outlineLevel="0" collapsed="false">
      <c r="A80" s="6" t="s">
        <v>2298</v>
      </c>
      <c r="B80" s="6" t="s">
        <v>2209</v>
      </c>
      <c r="C80" s="6" t="s">
        <v>2210</v>
      </c>
      <c r="D80" s="6" t="s">
        <v>2116</v>
      </c>
      <c r="E80" s="6" t="n">
        <v>59.5</v>
      </c>
      <c r="F80" s="6" t="s">
        <v>2299</v>
      </c>
    </row>
    <row r="81" customFormat="false" ht="57.45" hidden="false" customHeight="false" outlineLevel="0" collapsed="false">
      <c r="A81" s="6" t="s">
        <v>2300</v>
      </c>
      <c r="B81" s="6" t="s">
        <v>2301</v>
      </c>
      <c r="C81" s="6" t="s">
        <v>1089</v>
      </c>
      <c r="D81" s="6" t="s">
        <v>2116</v>
      </c>
      <c r="E81" s="6" t="n">
        <v>22.6</v>
      </c>
      <c r="F81" s="6" t="s">
        <v>2302</v>
      </c>
    </row>
    <row r="82" customFormat="false" ht="57.45" hidden="false" customHeight="false" outlineLevel="0" collapsed="false">
      <c r="A82" s="6" t="s">
        <v>2300</v>
      </c>
      <c r="B82" s="6" t="s">
        <v>2303</v>
      </c>
      <c r="C82" s="6" t="s">
        <v>1089</v>
      </c>
      <c r="D82" s="6" t="s">
        <v>2116</v>
      </c>
      <c r="E82" s="6" t="n">
        <v>22.6</v>
      </c>
      <c r="F82" s="6" t="s">
        <v>2304</v>
      </c>
    </row>
    <row r="83" customFormat="false" ht="46.25" hidden="false" customHeight="false" outlineLevel="0" collapsed="false">
      <c r="A83" s="6" t="s">
        <v>2300</v>
      </c>
      <c r="B83" s="6" t="s">
        <v>2305</v>
      </c>
      <c r="C83" s="6" t="s">
        <v>1089</v>
      </c>
      <c r="D83" s="6" t="s">
        <v>2116</v>
      </c>
      <c r="E83" s="6" t="n">
        <v>25.7</v>
      </c>
      <c r="F83" s="6" t="s">
        <v>2306</v>
      </c>
    </row>
    <row r="84" customFormat="false" ht="91" hidden="false" customHeight="false" outlineLevel="0" collapsed="false">
      <c r="A84" s="6" t="s">
        <v>2300</v>
      </c>
      <c r="B84" s="6" t="s">
        <v>2307</v>
      </c>
      <c r="C84" s="6" t="s">
        <v>1089</v>
      </c>
      <c r="D84" s="6" t="s">
        <v>2116</v>
      </c>
      <c r="E84" s="6" t="n">
        <v>30.9</v>
      </c>
      <c r="F84" s="6" t="s">
        <v>2308</v>
      </c>
    </row>
    <row r="85" customFormat="false" ht="46.25" hidden="false" customHeight="false" outlineLevel="0" collapsed="false">
      <c r="A85" s="6" t="s">
        <v>2300</v>
      </c>
      <c r="B85" s="6" t="s">
        <v>2174</v>
      </c>
      <c r="C85" s="6" t="s">
        <v>2119</v>
      </c>
      <c r="D85" s="6" t="s">
        <v>2128</v>
      </c>
      <c r="E85" s="6" t="n">
        <v>59.4</v>
      </c>
      <c r="F85" s="6" t="s">
        <v>2309</v>
      </c>
    </row>
    <row r="86" customFormat="false" ht="79.85" hidden="false" customHeight="false" outlineLevel="0" collapsed="false">
      <c r="A86" s="6" t="s">
        <v>2310</v>
      </c>
      <c r="B86" s="6" t="s">
        <v>2311</v>
      </c>
      <c r="C86" s="6" t="s">
        <v>1089</v>
      </c>
      <c r="D86" s="6" t="s">
        <v>2116</v>
      </c>
      <c r="E86" s="6" t="n">
        <v>22.5</v>
      </c>
      <c r="F86" s="6" t="s">
        <v>2312</v>
      </c>
    </row>
    <row r="87" customFormat="false" ht="46.25" hidden="false" customHeight="false" outlineLevel="0" collapsed="false">
      <c r="A87" s="6" t="s">
        <v>2313</v>
      </c>
      <c r="B87" s="6" t="s">
        <v>2314</v>
      </c>
      <c r="C87" s="6" t="s">
        <v>2315</v>
      </c>
      <c r="D87" s="6" t="s">
        <v>2128</v>
      </c>
      <c r="E87" s="6" t="n">
        <v>44.7</v>
      </c>
      <c r="F87" s="6" t="s">
        <v>2316</v>
      </c>
    </row>
    <row r="88" customFormat="false" ht="57.45" hidden="false" customHeight="false" outlineLevel="0" collapsed="false">
      <c r="A88" s="6" t="s">
        <v>2317</v>
      </c>
      <c r="B88" s="6" t="s">
        <v>859</v>
      </c>
      <c r="C88" s="6" t="s">
        <v>1089</v>
      </c>
      <c r="D88" s="6" t="s">
        <v>2124</v>
      </c>
      <c r="E88" s="6" t="n">
        <v>24.5</v>
      </c>
      <c r="F88" s="6" t="s">
        <v>2318</v>
      </c>
    </row>
    <row r="89" customFormat="false" ht="46.25" hidden="false" customHeight="false" outlineLevel="0" collapsed="false">
      <c r="A89" s="6" t="s">
        <v>2317</v>
      </c>
      <c r="B89" s="6" t="s">
        <v>2319</v>
      </c>
      <c r="C89" s="6" t="s">
        <v>2320</v>
      </c>
      <c r="D89" s="6" t="s">
        <v>2124</v>
      </c>
      <c r="E89" s="6" t="n">
        <v>50.6</v>
      </c>
      <c r="F89" s="6" t="s">
        <v>2321</v>
      </c>
    </row>
    <row r="90" customFormat="false" ht="35.05" hidden="false" customHeight="false" outlineLevel="0" collapsed="false">
      <c r="A90" s="6" t="s">
        <v>2317</v>
      </c>
      <c r="B90" s="6" t="s">
        <v>2127</v>
      </c>
      <c r="C90" s="6" t="s">
        <v>2115</v>
      </c>
      <c r="D90" s="6" t="s">
        <v>2124</v>
      </c>
      <c r="E90" s="6" t="n">
        <v>69</v>
      </c>
      <c r="F90" s="6" t="s">
        <v>2322</v>
      </c>
    </row>
    <row r="91" customFormat="false" ht="79.85" hidden="false" customHeight="false" outlineLevel="0" collapsed="false">
      <c r="A91" s="6" t="s">
        <v>2323</v>
      </c>
      <c r="B91" s="6" t="s">
        <v>2324</v>
      </c>
      <c r="C91" s="6" t="s">
        <v>2115</v>
      </c>
      <c r="D91" s="6" t="s">
        <v>2124</v>
      </c>
      <c r="E91" s="6" t="n">
        <v>51.4</v>
      </c>
      <c r="F91" s="6" t="s">
        <v>2325</v>
      </c>
    </row>
    <row r="92" customFormat="false" ht="68.65" hidden="false" customHeight="false" outlineLevel="0" collapsed="false">
      <c r="A92" s="6" t="s">
        <v>2326</v>
      </c>
      <c r="B92" s="6" t="s">
        <v>2327</v>
      </c>
      <c r="C92" s="6" t="s">
        <v>2115</v>
      </c>
      <c r="D92" s="6" t="s">
        <v>2116</v>
      </c>
      <c r="E92" s="6" t="n">
        <v>56.4</v>
      </c>
      <c r="F92" s="6" t="s">
        <v>2328</v>
      </c>
    </row>
    <row r="93" customFormat="false" ht="57.45" hidden="false" customHeight="false" outlineLevel="0" collapsed="false">
      <c r="A93" s="6" t="s">
        <v>2329</v>
      </c>
      <c r="B93" s="6" t="s">
        <v>2330</v>
      </c>
      <c r="C93" s="6" t="s">
        <v>2119</v>
      </c>
      <c r="D93" s="6" t="s">
        <v>2116</v>
      </c>
      <c r="E93" s="6" t="n">
        <v>26</v>
      </c>
      <c r="F93" s="6" t="s">
        <v>2331</v>
      </c>
    </row>
    <row r="94" customFormat="false" ht="147" hidden="false" customHeight="false" outlineLevel="0" collapsed="false">
      <c r="A94" s="6" t="s">
        <v>2329</v>
      </c>
      <c r="B94" s="6" t="s">
        <v>2332</v>
      </c>
      <c r="C94" s="6" t="s">
        <v>2115</v>
      </c>
      <c r="D94" s="6" t="s">
        <v>2116</v>
      </c>
      <c r="E94" s="6" t="n">
        <v>67.6</v>
      </c>
      <c r="F94" s="6" t="s">
        <v>2333</v>
      </c>
    </row>
    <row r="95" customFormat="false" ht="102.2" hidden="false" customHeight="false" outlineLevel="0" collapsed="false">
      <c r="A95" s="6" t="s">
        <v>2334</v>
      </c>
      <c r="B95" s="6" t="s">
        <v>2289</v>
      </c>
      <c r="C95" s="6" t="s">
        <v>2119</v>
      </c>
      <c r="D95" s="6" t="s">
        <v>2116</v>
      </c>
      <c r="E95" s="6" t="n">
        <v>24.5</v>
      </c>
      <c r="F95" s="6" t="s">
        <v>2335</v>
      </c>
    </row>
    <row r="96" customFormat="false" ht="68.65" hidden="false" customHeight="false" outlineLevel="0" collapsed="false">
      <c r="A96" s="6" t="s">
        <v>2336</v>
      </c>
      <c r="B96" s="6" t="s">
        <v>1874</v>
      </c>
      <c r="C96" s="6" t="s">
        <v>2119</v>
      </c>
      <c r="D96" s="6" t="s">
        <v>2116</v>
      </c>
      <c r="E96" s="6" t="n">
        <v>22.5</v>
      </c>
      <c r="F96" s="6" t="s">
        <v>2337</v>
      </c>
    </row>
    <row r="97" customFormat="false" ht="57.45" hidden="false" customHeight="false" outlineLevel="0" collapsed="false">
      <c r="A97" s="6" t="s">
        <v>2336</v>
      </c>
      <c r="B97" s="6" t="s">
        <v>1884</v>
      </c>
      <c r="C97" s="6" t="s">
        <v>2119</v>
      </c>
      <c r="D97" s="6" t="s">
        <v>2116</v>
      </c>
      <c r="E97" s="6" t="n">
        <v>21.8</v>
      </c>
      <c r="F97" s="6" t="s">
        <v>2338</v>
      </c>
    </row>
    <row r="98" customFormat="false" ht="46.25" hidden="false" customHeight="false" outlineLevel="0" collapsed="false">
      <c r="A98" s="6" t="s">
        <v>2339</v>
      </c>
      <c r="B98" s="6" t="s">
        <v>2205</v>
      </c>
      <c r="C98" s="6" t="s">
        <v>2206</v>
      </c>
      <c r="D98" s="6" t="s">
        <v>2128</v>
      </c>
      <c r="E98" s="6" t="n">
        <v>37.7</v>
      </c>
      <c r="F98" s="6" t="s">
        <v>2340</v>
      </c>
    </row>
    <row r="99" customFormat="false" ht="35.05" hidden="false" customHeight="false" outlineLevel="0" collapsed="false">
      <c r="A99" s="6" t="s">
        <v>2339</v>
      </c>
      <c r="B99" s="6" t="s">
        <v>2341</v>
      </c>
      <c r="C99" s="6" t="s">
        <v>2342</v>
      </c>
      <c r="D99" s="6" t="s">
        <v>2116</v>
      </c>
      <c r="E99" s="6" t="n">
        <v>63.3</v>
      </c>
      <c r="F99" s="6" t="s">
        <v>2343</v>
      </c>
    </row>
    <row r="100" customFormat="false" ht="46.25" hidden="false" customHeight="false" outlineLevel="0" collapsed="false">
      <c r="A100" s="6" t="s">
        <v>2339</v>
      </c>
      <c r="B100" s="6" t="s">
        <v>2344</v>
      </c>
      <c r="C100" s="6" t="s">
        <v>2119</v>
      </c>
      <c r="D100" s="6" t="s">
        <v>2116</v>
      </c>
      <c r="E100" s="6" t="n">
        <v>30</v>
      </c>
      <c r="F100" s="6" t="s">
        <v>2345</v>
      </c>
    </row>
    <row r="101" customFormat="false" ht="35.05" hidden="false" customHeight="false" outlineLevel="0" collapsed="false">
      <c r="A101" s="6" t="s">
        <v>2339</v>
      </c>
      <c r="B101" s="6" t="s">
        <v>2205</v>
      </c>
      <c r="C101" s="6" t="s">
        <v>2119</v>
      </c>
      <c r="D101" s="6" t="s">
        <v>2116</v>
      </c>
      <c r="E101" s="6" t="n">
        <v>37.9</v>
      </c>
      <c r="F101" s="6" t="s">
        <v>2346</v>
      </c>
    </row>
    <row r="102" customFormat="false" ht="202.95" hidden="false" customHeight="false" outlineLevel="0" collapsed="false">
      <c r="A102" s="6" t="s">
        <v>2339</v>
      </c>
      <c r="B102" s="6" t="s">
        <v>674</v>
      </c>
      <c r="C102" s="6" t="s">
        <v>2119</v>
      </c>
      <c r="D102" s="6" t="s">
        <v>2116</v>
      </c>
      <c r="E102" s="6" t="n">
        <v>21.2</v>
      </c>
      <c r="F102" s="6" t="s">
        <v>2347</v>
      </c>
    </row>
    <row r="103" customFormat="false" ht="46.25" hidden="false" customHeight="false" outlineLevel="0" collapsed="false">
      <c r="A103" s="6" t="s">
        <v>2348</v>
      </c>
      <c r="B103" s="6" t="s">
        <v>859</v>
      </c>
      <c r="C103" s="6" t="s">
        <v>1089</v>
      </c>
      <c r="D103" s="6" t="s">
        <v>2128</v>
      </c>
      <c r="E103" s="6" t="n">
        <v>24.2</v>
      </c>
      <c r="F103" s="6" t="s">
        <v>2349</v>
      </c>
    </row>
    <row r="104" customFormat="false" ht="68.65" hidden="false" customHeight="false" outlineLevel="0" collapsed="false">
      <c r="A104" s="6" t="s">
        <v>2348</v>
      </c>
      <c r="B104" s="6" t="s">
        <v>2350</v>
      </c>
      <c r="C104" s="6" t="s">
        <v>2351</v>
      </c>
      <c r="D104" s="6" t="s">
        <v>2116</v>
      </c>
      <c r="E104" s="6" t="n">
        <v>73.2</v>
      </c>
      <c r="F104" s="6" t="s">
        <v>2352</v>
      </c>
    </row>
    <row r="105" customFormat="false" ht="46.25" hidden="false" customHeight="false" outlineLevel="0" collapsed="false">
      <c r="A105" s="6" t="s">
        <v>2353</v>
      </c>
      <c r="B105" s="6" t="s">
        <v>2354</v>
      </c>
      <c r="C105" s="6" t="s">
        <v>2355</v>
      </c>
      <c r="D105" s="6" t="s">
        <v>2128</v>
      </c>
      <c r="E105" s="6" t="n">
        <v>40.2</v>
      </c>
      <c r="F105" s="6" t="s">
        <v>2356</v>
      </c>
    </row>
    <row r="106" customFormat="false" ht="46.25" hidden="false" customHeight="false" outlineLevel="0" collapsed="false">
      <c r="A106" s="6" t="s">
        <v>2357</v>
      </c>
      <c r="B106" s="6" t="s">
        <v>2358</v>
      </c>
      <c r="C106" s="6" t="s">
        <v>2359</v>
      </c>
      <c r="D106" s="6" t="s">
        <v>2128</v>
      </c>
      <c r="E106" s="6" t="n">
        <v>51</v>
      </c>
      <c r="F106" s="6" t="s">
        <v>2360</v>
      </c>
    </row>
    <row r="107" customFormat="false" ht="91" hidden="false" customHeight="false" outlineLevel="0" collapsed="false">
      <c r="A107" s="6" t="s">
        <v>2361</v>
      </c>
      <c r="B107" s="6" t="s">
        <v>2217</v>
      </c>
      <c r="C107" s="6" t="s">
        <v>2218</v>
      </c>
      <c r="D107" s="6" t="s">
        <v>2116</v>
      </c>
      <c r="E107" s="6" t="n">
        <v>58.1</v>
      </c>
      <c r="F107" s="6" t="s">
        <v>2362</v>
      </c>
    </row>
    <row r="108" customFormat="false" ht="91" hidden="false" customHeight="false" outlineLevel="0" collapsed="false">
      <c r="A108" s="6" t="s">
        <v>2361</v>
      </c>
      <c r="B108" s="6" t="s">
        <v>2363</v>
      </c>
      <c r="C108" s="6" t="s">
        <v>2364</v>
      </c>
      <c r="D108" s="6" t="s">
        <v>2124</v>
      </c>
      <c r="E108" s="6" t="n">
        <v>46.6</v>
      </c>
      <c r="F108" s="6" t="s">
        <v>2365</v>
      </c>
    </row>
    <row r="109" customFormat="false" ht="46.25" hidden="false" customHeight="false" outlineLevel="0" collapsed="false">
      <c r="A109" s="6" t="s">
        <v>2366</v>
      </c>
      <c r="B109" s="6" t="s">
        <v>2367</v>
      </c>
      <c r="C109" s="6" t="s">
        <v>2368</v>
      </c>
      <c r="D109" s="6" t="s">
        <v>2128</v>
      </c>
      <c r="E109" s="6" t="n">
        <v>74.2</v>
      </c>
      <c r="F109" s="6" t="s">
        <v>2369</v>
      </c>
    </row>
    <row r="110" customFormat="false" ht="68.65" hidden="false" customHeight="false" outlineLevel="0" collapsed="false">
      <c r="A110" s="6" t="s">
        <v>2370</v>
      </c>
      <c r="B110" s="6" t="s">
        <v>2174</v>
      </c>
      <c r="C110" s="6" t="s">
        <v>2123</v>
      </c>
      <c r="D110" s="6" t="s">
        <v>2116</v>
      </c>
      <c r="E110" s="6" t="n">
        <v>58.2</v>
      </c>
      <c r="F110" s="6" t="s">
        <v>2371</v>
      </c>
    </row>
    <row r="111" customFormat="false" ht="46.25" hidden="false" customHeight="false" outlineLevel="0" collapsed="false">
      <c r="A111" s="6" t="s">
        <v>2372</v>
      </c>
      <c r="B111" s="6" t="s">
        <v>2358</v>
      </c>
      <c r="C111" s="6" t="s">
        <v>2373</v>
      </c>
      <c r="D111" s="6" t="s">
        <v>2124</v>
      </c>
      <c r="E111" s="6" t="n">
        <v>22.4</v>
      </c>
      <c r="F111" s="6" t="s">
        <v>2374</v>
      </c>
    </row>
    <row r="112" customFormat="false" ht="135.8" hidden="false" customHeight="false" outlineLevel="0" collapsed="false">
      <c r="A112" s="6" t="s">
        <v>2372</v>
      </c>
      <c r="B112" s="6" t="s">
        <v>2154</v>
      </c>
      <c r="C112" s="6" t="s">
        <v>2155</v>
      </c>
      <c r="D112" s="6" t="s">
        <v>2124</v>
      </c>
      <c r="E112" s="6" t="n">
        <v>61.5</v>
      </c>
      <c r="F112" s="6" t="s">
        <v>2375</v>
      </c>
    </row>
    <row r="113" customFormat="false" ht="46.25" hidden="false" customHeight="false" outlineLevel="0" collapsed="false">
      <c r="A113" s="6" t="s">
        <v>2376</v>
      </c>
      <c r="B113" s="6" t="s">
        <v>859</v>
      </c>
      <c r="C113" s="6" t="s">
        <v>1089</v>
      </c>
      <c r="D113" s="6" t="s">
        <v>2124</v>
      </c>
      <c r="E113" s="6" t="n">
        <v>24.5</v>
      </c>
      <c r="F113" s="6" t="s">
        <v>2377</v>
      </c>
    </row>
    <row r="114" customFormat="false" ht="35.05" hidden="false" customHeight="false" outlineLevel="0" collapsed="false">
      <c r="A114" s="6" t="s">
        <v>2378</v>
      </c>
      <c r="B114" s="6" t="s">
        <v>2379</v>
      </c>
      <c r="C114" s="6" t="s">
        <v>2380</v>
      </c>
      <c r="D114" s="6" t="s">
        <v>2128</v>
      </c>
      <c r="E114" s="6" t="n">
        <v>51</v>
      </c>
      <c r="F114" s="6" t="s">
        <v>2381</v>
      </c>
    </row>
    <row r="115" customFormat="false" ht="35.05" hidden="false" customHeight="false" outlineLevel="0" collapsed="false">
      <c r="A115" s="6" t="s">
        <v>2382</v>
      </c>
      <c r="B115" s="6" t="s">
        <v>2358</v>
      </c>
      <c r="C115" s="6" t="s">
        <v>2383</v>
      </c>
      <c r="D115" s="6" t="s">
        <v>2128</v>
      </c>
      <c r="E115" s="6" t="n">
        <v>21.9</v>
      </c>
      <c r="F115" s="6" t="s">
        <v>2384</v>
      </c>
    </row>
    <row r="116" customFormat="false" ht="46.25" hidden="false" customHeight="false" outlineLevel="0" collapsed="false">
      <c r="A116" s="6" t="s">
        <v>2385</v>
      </c>
      <c r="B116" s="6" t="s">
        <v>2386</v>
      </c>
      <c r="C116" s="6" t="s">
        <v>2387</v>
      </c>
      <c r="D116" s="6" t="s">
        <v>2124</v>
      </c>
      <c r="E116" s="6" t="n">
        <v>67.5</v>
      </c>
      <c r="F116" s="6" t="s">
        <v>2388</v>
      </c>
    </row>
    <row r="117" customFormat="false" ht="46.25" hidden="false" customHeight="false" outlineLevel="0" collapsed="false">
      <c r="A117" s="6" t="s">
        <v>2389</v>
      </c>
      <c r="B117" s="6" t="s">
        <v>2390</v>
      </c>
      <c r="C117" s="6" t="s">
        <v>2391</v>
      </c>
      <c r="D117" s="6" t="s">
        <v>2207</v>
      </c>
      <c r="E117" s="6" t="n">
        <v>26.2</v>
      </c>
      <c r="F117" s="6" t="s">
        <v>2392</v>
      </c>
    </row>
    <row r="118" customFormat="false" ht="113.4" hidden="false" customHeight="false" outlineLevel="0" collapsed="false">
      <c r="A118" s="6" t="s">
        <v>2393</v>
      </c>
      <c r="B118" s="6" t="s">
        <v>2311</v>
      </c>
      <c r="C118" s="6" t="s">
        <v>1089</v>
      </c>
      <c r="D118" s="6" t="s">
        <v>2116</v>
      </c>
      <c r="E118" s="6" t="n">
        <v>22.7</v>
      </c>
      <c r="F118" s="6" t="s">
        <v>2394</v>
      </c>
    </row>
    <row r="119" customFormat="false" ht="35.05" hidden="false" customHeight="false" outlineLevel="0" collapsed="false">
      <c r="A119" s="6" t="s">
        <v>2393</v>
      </c>
      <c r="B119" s="6" t="s">
        <v>2266</v>
      </c>
      <c r="C119" s="6" t="s">
        <v>2119</v>
      </c>
      <c r="D119" s="6" t="s">
        <v>2207</v>
      </c>
      <c r="E119" s="6" t="n">
        <v>41</v>
      </c>
      <c r="F119" s="6" t="s">
        <v>2395</v>
      </c>
    </row>
    <row r="120" customFormat="false" ht="46.25" hidden="false" customHeight="false" outlineLevel="0" collapsed="false">
      <c r="A120" s="6" t="s">
        <v>2396</v>
      </c>
      <c r="B120" s="6" t="s">
        <v>2143</v>
      </c>
      <c r="C120" s="6" t="s">
        <v>2228</v>
      </c>
      <c r="D120" s="6" t="s">
        <v>2207</v>
      </c>
      <c r="E120" s="6" t="n">
        <v>47.4</v>
      </c>
      <c r="F120" s="6" t="s">
        <v>2397</v>
      </c>
    </row>
    <row r="121" customFormat="false" ht="35.05" hidden="false" customHeight="false" outlineLevel="0" collapsed="false">
      <c r="A121" s="6" t="s">
        <v>2398</v>
      </c>
      <c r="B121" s="6" t="s">
        <v>2358</v>
      </c>
      <c r="C121" s="6" t="s">
        <v>2383</v>
      </c>
      <c r="D121" s="6" t="s">
        <v>2207</v>
      </c>
      <c r="E121" s="6" t="n">
        <v>21.9</v>
      </c>
      <c r="F121" s="6" t="s">
        <v>2399</v>
      </c>
    </row>
    <row r="122" customFormat="false" ht="35.05" hidden="false" customHeight="false" outlineLevel="0" collapsed="false">
      <c r="A122" s="6" t="s">
        <v>2400</v>
      </c>
      <c r="B122" s="6" t="s">
        <v>2213</v>
      </c>
      <c r="C122" s="6" t="s">
        <v>2157</v>
      </c>
      <c r="D122" s="6" t="s">
        <v>2116</v>
      </c>
      <c r="E122" s="6" t="n">
        <v>55.6</v>
      </c>
      <c r="F122" s="6" t="s">
        <v>2401</v>
      </c>
    </row>
    <row r="123" customFormat="false" ht="113.4" hidden="false" customHeight="false" outlineLevel="0" collapsed="false">
      <c r="A123" s="6" t="s">
        <v>2402</v>
      </c>
      <c r="B123" s="6" t="s">
        <v>2127</v>
      </c>
      <c r="C123" s="6" t="s">
        <v>2115</v>
      </c>
      <c r="D123" s="6" t="s">
        <v>2207</v>
      </c>
      <c r="E123" s="6" t="n">
        <v>69</v>
      </c>
      <c r="F123" s="6" t="s">
        <v>2403</v>
      </c>
    </row>
    <row r="124" customFormat="false" ht="102.2" hidden="false" customHeight="false" outlineLevel="0" collapsed="false">
      <c r="A124" s="6" t="s">
        <v>2402</v>
      </c>
      <c r="B124" s="6" t="s">
        <v>2404</v>
      </c>
      <c r="C124" s="6" t="s">
        <v>2119</v>
      </c>
      <c r="D124" s="6" t="s">
        <v>2116</v>
      </c>
      <c r="E124" s="6" t="n">
        <v>25.2</v>
      </c>
      <c r="F124" s="6" t="s">
        <v>2405</v>
      </c>
    </row>
    <row r="125" customFormat="false" ht="79.85" hidden="false" customHeight="false" outlineLevel="0" collapsed="false">
      <c r="A125" s="6" t="s">
        <v>2402</v>
      </c>
      <c r="B125" s="6" t="s">
        <v>2330</v>
      </c>
      <c r="C125" s="6" t="s">
        <v>2119</v>
      </c>
      <c r="D125" s="6" t="s">
        <v>2207</v>
      </c>
      <c r="E125" s="6" t="n">
        <v>26.5</v>
      </c>
      <c r="F125" s="6" t="s">
        <v>2406</v>
      </c>
    </row>
    <row r="126" customFormat="false" ht="46.25" hidden="false" customHeight="false" outlineLevel="0" collapsed="false">
      <c r="A126" s="6" t="s">
        <v>2402</v>
      </c>
      <c r="B126" s="6" t="s">
        <v>2407</v>
      </c>
      <c r="C126" s="6" t="s">
        <v>2115</v>
      </c>
      <c r="D126" s="6" t="s">
        <v>2207</v>
      </c>
      <c r="E126" s="6" t="n">
        <v>24.3</v>
      </c>
      <c r="F126" s="6" t="s">
        <v>2408</v>
      </c>
    </row>
    <row r="127" customFormat="false" ht="46.25" hidden="false" customHeight="false" outlineLevel="0" collapsed="false">
      <c r="A127" s="6" t="s">
        <v>2409</v>
      </c>
      <c r="B127" s="6" t="s">
        <v>2143</v>
      </c>
      <c r="C127" s="6" t="s">
        <v>2228</v>
      </c>
      <c r="D127" s="6" t="s">
        <v>2207</v>
      </c>
      <c r="E127" s="6" t="n">
        <v>47.4</v>
      </c>
      <c r="F127" s="6" t="s">
        <v>2410</v>
      </c>
    </row>
    <row r="128" customFormat="false" ht="124.6" hidden="false" customHeight="false" outlineLevel="0" collapsed="false">
      <c r="A128" s="6" t="s">
        <v>2411</v>
      </c>
      <c r="B128" s="6" t="s">
        <v>674</v>
      </c>
      <c r="C128" s="6" t="s">
        <v>2119</v>
      </c>
      <c r="D128" s="6" t="s">
        <v>2207</v>
      </c>
      <c r="E128" s="6" t="n">
        <v>21.2</v>
      </c>
      <c r="F128" s="6" t="s">
        <v>2412</v>
      </c>
    </row>
    <row r="129" customFormat="false" ht="46.25" hidden="false" customHeight="false" outlineLevel="0" collapsed="false">
      <c r="A129" s="6" t="s">
        <v>2413</v>
      </c>
      <c r="B129" s="6" t="s">
        <v>859</v>
      </c>
      <c r="C129" s="6" t="s">
        <v>1089</v>
      </c>
      <c r="D129" s="6" t="s">
        <v>2207</v>
      </c>
      <c r="E129" s="6" t="n">
        <v>24.5</v>
      </c>
      <c r="F129" s="6" t="s">
        <v>2414</v>
      </c>
    </row>
    <row r="130" customFormat="false" ht="68.65" hidden="false" customHeight="false" outlineLevel="0" collapsed="false">
      <c r="A130" s="6" t="s">
        <v>2415</v>
      </c>
      <c r="B130" s="6" t="s">
        <v>2217</v>
      </c>
      <c r="C130" s="6" t="s">
        <v>2218</v>
      </c>
      <c r="D130" s="6" t="s">
        <v>2207</v>
      </c>
      <c r="E130" s="6" t="n">
        <v>58.1</v>
      </c>
      <c r="F130" s="6" t="s">
        <v>2416</v>
      </c>
    </row>
    <row r="131" customFormat="false" ht="46.25" hidden="false" customHeight="false" outlineLevel="0" collapsed="false">
      <c r="A131" s="6" t="s">
        <v>2417</v>
      </c>
      <c r="B131" s="6" t="s">
        <v>2367</v>
      </c>
      <c r="C131" s="6" t="s">
        <v>2368</v>
      </c>
      <c r="D131" s="6" t="s">
        <v>2207</v>
      </c>
      <c r="E131" s="6" t="n">
        <v>74.2</v>
      </c>
      <c r="F131" s="6" t="s">
        <v>2418</v>
      </c>
    </row>
    <row r="132" customFormat="false" ht="46.25" hidden="false" customHeight="false" outlineLevel="0" collapsed="false">
      <c r="A132" s="6" t="s">
        <v>2417</v>
      </c>
      <c r="B132" s="6" t="s">
        <v>2390</v>
      </c>
      <c r="C132" s="6" t="s">
        <v>2391</v>
      </c>
      <c r="D132" s="6" t="s">
        <v>2207</v>
      </c>
      <c r="E132" s="6" t="n">
        <v>26.2</v>
      </c>
      <c r="F132" s="6" t="s">
        <v>2419</v>
      </c>
    </row>
    <row r="133" customFormat="false" ht="68.65" hidden="false" customHeight="false" outlineLevel="0" collapsed="false">
      <c r="A133" s="6" t="s">
        <v>2420</v>
      </c>
      <c r="B133" s="6" t="s">
        <v>2421</v>
      </c>
      <c r="C133" s="6" t="s">
        <v>2422</v>
      </c>
      <c r="D133" s="6" t="s">
        <v>2207</v>
      </c>
      <c r="E133" s="6" t="n">
        <v>42</v>
      </c>
      <c r="F133" s="6" t="s">
        <v>2423</v>
      </c>
    </row>
    <row r="134" customFormat="false" ht="46.25" hidden="false" customHeight="false" outlineLevel="0" collapsed="false">
      <c r="A134" s="6" t="s">
        <v>2424</v>
      </c>
      <c r="B134" s="6" t="s">
        <v>2213</v>
      </c>
      <c r="C134" s="6" t="s">
        <v>2157</v>
      </c>
      <c r="D134" s="6" t="s">
        <v>2207</v>
      </c>
      <c r="E134" s="6" t="n">
        <v>58.9</v>
      </c>
      <c r="F134" s="6" t="s">
        <v>2425</v>
      </c>
    </row>
    <row r="135" customFormat="false" ht="57.45" hidden="false" customHeight="false" outlineLevel="0" collapsed="false">
      <c r="A135" s="6" t="s">
        <v>2426</v>
      </c>
      <c r="B135" s="6" t="s">
        <v>2289</v>
      </c>
      <c r="C135" s="6" t="s">
        <v>2119</v>
      </c>
      <c r="D135" s="6" t="s">
        <v>2124</v>
      </c>
      <c r="E135" s="6" t="n">
        <v>24.5</v>
      </c>
      <c r="F135" s="6" t="s">
        <v>2427</v>
      </c>
    </row>
    <row r="136" customFormat="false" ht="46.25" hidden="false" customHeight="false" outlineLevel="0" collapsed="false">
      <c r="A136" s="6" t="s">
        <v>2428</v>
      </c>
      <c r="B136" s="6" t="s">
        <v>2205</v>
      </c>
      <c r="C136" s="6" t="s">
        <v>2119</v>
      </c>
      <c r="D136" s="6" t="s">
        <v>2429</v>
      </c>
      <c r="E136" s="6" t="n">
        <v>37.9</v>
      </c>
      <c r="F136" s="6" t="s">
        <v>2430</v>
      </c>
    </row>
    <row r="137" customFormat="false" ht="79.85" hidden="false" customHeight="false" outlineLevel="0" collapsed="false">
      <c r="A137" s="6" t="s">
        <v>2431</v>
      </c>
      <c r="B137" s="6" t="s">
        <v>674</v>
      </c>
      <c r="C137" s="6" t="s">
        <v>2119</v>
      </c>
      <c r="D137" s="6" t="s">
        <v>2207</v>
      </c>
      <c r="E137" s="6" t="n">
        <v>21.2</v>
      </c>
      <c r="F137" s="6" t="s">
        <v>2432</v>
      </c>
    </row>
    <row r="138" customFormat="false" ht="202.95" hidden="false" customHeight="false" outlineLevel="0" collapsed="false">
      <c r="A138" s="6" t="s">
        <v>2431</v>
      </c>
      <c r="B138" s="6" t="s">
        <v>2433</v>
      </c>
      <c r="C138" s="6" t="s">
        <v>2218</v>
      </c>
      <c r="D138" s="6" t="s">
        <v>2207</v>
      </c>
      <c r="E138" s="6" t="n">
        <v>57.4</v>
      </c>
      <c r="F138" s="6" t="s">
        <v>2434</v>
      </c>
    </row>
    <row r="139" customFormat="false" ht="79.85" hidden="false" customHeight="false" outlineLevel="0" collapsed="false">
      <c r="A139" s="6" t="s">
        <v>2431</v>
      </c>
      <c r="B139" s="6" t="s">
        <v>2435</v>
      </c>
      <c r="C139" s="6" t="s">
        <v>2119</v>
      </c>
      <c r="D139" s="6" t="s">
        <v>2207</v>
      </c>
      <c r="E139" s="6" t="n">
        <v>34</v>
      </c>
      <c r="F139" s="6" t="s">
        <v>2436</v>
      </c>
    </row>
    <row r="140" customFormat="false" ht="102.2" hidden="false" customHeight="false" outlineLevel="0" collapsed="false">
      <c r="A140" s="6" t="s">
        <v>2437</v>
      </c>
      <c r="B140" s="6" t="s">
        <v>2438</v>
      </c>
      <c r="C140" s="6" t="s">
        <v>2439</v>
      </c>
      <c r="D140" s="6" t="s">
        <v>2207</v>
      </c>
      <c r="E140" s="6" t="n">
        <v>64.8</v>
      </c>
      <c r="F140" s="6" t="s">
        <v>2440</v>
      </c>
    </row>
    <row r="141" customFormat="false" ht="35.05" hidden="false" customHeight="false" outlineLevel="0" collapsed="false">
      <c r="A141" s="6" t="s">
        <v>2437</v>
      </c>
      <c r="B141" s="6" t="s">
        <v>2441</v>
      </c>
      <c r="C141" s="6" t="s">
        <v>2119</v>
      </c>
      <c r="D141" s="6" t="s">
        <v>2207</v>
      </c>
      <c r="E141" s="6" t="n">
        <v>44.5</v>
      </c>
      <c r="F141" s="6" t="s">
        <v>2442</v>
      </c>
    </row>
    <row r="142" customFormat="false" ht="57.45" hidden="false" customHeight="false" outlineLevel="0" collapsed="false">
      <c r="A142" s="6" t="s">
        <v>2443</v>
      </c>
      <c r="B142" s="6" t="s">
        <v>2379</v>
      </c>
      <c r="C142" s="6" t="s">
        <v>2380</v>
      </c>
      <c r="D142" s="6" t="s">
        <v>2207</v>
      </c>
      <c r="E142" s="6" t="n">
        <v>47.3</v>
      </c>
      <c r="F142" s="6" t="s">
        <v>2444</v>
      </c>
    </row>
    <row r="143" customFormat="false" ht="258.95" hidden="false" customHeight="false" outlineLevel="0" collapsed="false">
      <c r="A143" s="6" t="s">
        <v>2445</v>
      </c>
      <c r="B143" s="6" t="s">
        <v>2153</v>
      </c>
      <c r="C143" s="6" t="s">
        <v>2146</v>
      </c>
      <c r="D143" s="6" t="s">
        <v>2207</v>
      </c>
      <c r="E143" s="6" t="n">
        <v>41.4</v>
      </c>
      <c r="F143" s="6" t="s">
        <v>2446</v>
      </c>
    </row>
    <row r="144" customFormat="false" ht="79.85" hidden="false" customHeight="false" outlineLevel="0" collapsed="false">
      <c r="A144" s="6" t="s">
        <v>2445</v>
      </c>
      <c r="B144" s="6" t="s">
        <v>2447</v>
      </c>
      <c r="C144" s="6" t="s">
        <v>2448</v>
      </c>
      <c r="D144" s="6" t="s">
        <v>2207</v>
      </c>
      <c r="E144" s="6" t="n">
        <v>33.2</v>
      </c>
      <c r="F144" s="6" t="s">
        <v>2449</v>
      </c>
    </row>
    <row r="145" customFormat="false" ht="91" hidden="false" customHeight="false" outlineLevel="0" collapsed="false">
      <c r="A145" s="6" t="s">
        <v>2450</v>
      </c>
      <c r="B145" s="6" t="s">
        <v>2451</v>
      </c>
      <c r="C145" s="6" t="s">
        <v>2452</v>
      </c>
      <c r="D145" s="6" t="s">
        <v>2207</v>
      </c>
      <c r="E145" s="6" t="n">
        <v>52.4</v>
      </c>
      <c r="F145" s="6" t="s">
        <v>2453</v>
      </c>
    </row>
    <row r="146" customFormat="false" ht="35.05" hidden="false" customHeight="false" outlineLevel="0" collapsed="false">
      <c r="A146" s="6" t="s">
        <v>2454</v>
      </c>
      <c r="B146" s="6" t="s">
        <v>2386</v>
      </c>
      <c r="C146" s="6" t="s">
        <v>2387</v>
      </c>
      <c r="D146" s="6" t="s">
        <v>2124</v>
      </c>
      <c r="E146" s="6" t="n">
        <v>67.5</v>
      </c>
      <c r="F146" s="6" t="s">
        <v>2455</v>
      </c>
    </row>
    <row r="147" customFormat="false" ht="135.8" hidden="false" customHeight="false" outlineLevel="0" collapsed="false">
      <c r="A147" s="6" t="s">
        <v>2456</v>
      </c>
      <c r="B147" s="6" t="s">
        <v>2213</v>
      </c>
      <c r="C147" s="6" t="s">
        <v>2157</v>
      </c>
      <c r="D147" s="6" t="s">
        <v>2116</v>
      </c>
      <c r="E147" s="6" t="n">
        <v>55.6</v>
      </c>
      <c r="F147" s="6" t="s">
        <v>2457</v>
      </c>
    </row>
    <row r="148" customFormat="false" ht="57.45" hidden="false" customHeight="false" outlineLevel="0" collapsed="false">
      <c r="A148" s="6" t="s">
        <v>2458</v>
      </c>
      <c r="B148" s="6" t="s">
        <v>2131</v>
      </c>
      <c r="C148" s="6" t="s">
        <v>2132</v>
      </c>
      <c r="D148" s="6" t="s">
        <v>2207</v>
      </c>
      <c r="E148" s="6" t="n">
        <v>54.8</v>
      </c>
      <c r="F148" s="6" t="s">
        <v>2459</v>
      </c>
    </row>
    <row r="149" customFormat="false" ht="35.05" hidden="false" customHeight="false" outlineLevel="0" collapsed="false">
      <c r="A149" s="6" t="s">
        <v>2460</v>
      </c>
      <c r="B149" s="6" t="s">
        <v>1874</v>
      </c>
      <c r="C149" s="6" t="s">
        <v>2119</v>
      </c>
      <c r="D149" s="6" t="s">
        <v>2207</v>
      </c>
      <c r="E149" s="6" t="n">
        <v>22.5</v>
      </c>
      <c r="F149" s="6" t="s">
        <v>2461</v>
      </c>
    </row>
    <row r="150" customFormat="false" ht="57.45" hidden="false" customHeight="false" outlineLevel="0" collapsed="false">
      <c r="A150" s="6" t="s">
        <v>2460</v>
      </c>
      <c r="B150" s="6" t="s">
        <v>674</v>
      </c>
      <c r="C150" s="6" t="s">
        <v>2119</v>
      </c>
      <c r="D150" s="6" t="s">
        <v>2207</v>
      </c>
      <c r="E150" s="6" t="n">
        <v>21.2</v>
      </c>
      <c r="F150" s="6" t="s">
        <v>2462</v>
      </c>
    </row>
    <row r="151" customFormat="false" ht="68.65" hidden="false" customHeight="false" outlineLevel="0" collapsed="false">
      <c r="A151" s="6" t="s">
        <v>2463</v>
      </c>
      <c r="B151" s="6" t="s">
        <v>2330</v>
      </c>
      <c r="C151" s="6" t="s">
        <v>2119</v>
      </c>
      <c r="D151" s="6" t="s">
        <v>2207</v>
      </c>
      <c r="E151" s="6" t="n">
        <v>26.5</v>
      </c>
      <c r="F151" s="6" t="s">
        <v>2464</v>
      </c>
    </row>
    <row r="152" customFormat="false" ht="68.65" hidden="false" customHeight="false" outlineLevel="0" collapsed="false">
      <c r="A152" s="6" t="s">
        <v>2465</v>
      </c>
      <c r="B152" s="6" t="s">
        <v>2319</v>
      </c>
      <c r="C152" s="6" t="s">
        <v>2119</v>
      </c>
      <c r="D152" s="6" t="s">
        <v>2207</v>
      </c>
      <c r="E152" s="6" t="n">
        <v>50.6</v>
      </c>
      <c r="F152" s="6" t="s">
        <v>2466</v>
      </c>
    </row>
    <row r="153" customFormat="false" ht="46.25" hidden="false" customHeight="false" outlineLevel="0" collapsed="false">
      <c r="A153" s="6" t="s">
        <v>2465</v>
      </c>
      <c r="B153" s="6" t="s">
        <v>2467</v>
      </c>
      <c r="C153" s="6" t="s">
        <v>1089</v>
      </c>
      <c r="D153" s="6" t="s">
        <v>2116</v>
      </c>
      <c r="E153" s="6" t="n">
        <v>34.2</v>
      </c>
      <c r="F153" s="6" t="s">
        <v>2468</v>
      </c>
    </row>
    <row r="154" customFormat="false" ht="57.45" hidden="false" customHeight="false" outlineLevel="0" collapsed="false">
      <c r="A154" s="6" t="s">
        <v>2465</v>
      </c>
      <c r="B154" s="6" t="s">
        <v>2404</v>
      </c>
      <c r="C154" s="6" t="s">
        <v>2119</v>
      </c>
      <c r="D154" s="6" t="s">
        <v>2207</v>
      </c>
      <c r="E154" s="6" t="n">
        <v>25.3</v>
      </c>
      <c r="F154" s="6" t="s">
        <v>2469</v>
      </c>
    </row>
    <row r="155" customFormat="false" ht="57.45" hidden="false" customHeight="false" outlineLevel="0" collapsed="false">
      <c r="A155" s="6" t="s">
        <v>2470</v>
      </c>
      <c r="B155" s="6" t="s">
        <v>2154</v>
      </c>
      <c r="C155" s="6" t="s">
        <v>2155</v>
      </c>
      <c r="D155" s="6" t="s">
        <v>2207</v>
      </c>
      <c r="E155" s="6" t="n">
        <v>61.5</v>
      </c>
      <c r="F155" s="6" t="s">
        <v>2471</v>
      </c>
    </row>
    <row r="156" customFormat="false" ht="46.25" hidden="false" customHeight="false" outlineLevel="0" collapsed="false">
      <c r="A156" s="6" t="s">
        <v>2472</v>
      </c>
      <c r="B156" s="6" t="s">
        <v>1884</v>
      </c>
      <c r="C156" s="6" t="s">
        <v>2119</v>
      </c>
      <c r="D156" s="6" t="s">
        <v>2116</v>
      </c>
      <c r="E156" s="6" t="n">
        <v>21.8</v>
      </c>
      <c r="F156" s="6" t="s">
        <v>2473</v>
      </c>
    </row>
    <row r="157" customFormat="false" ht="68.65" hidden="false" customHeight="false" outlineLevel="0" collapsed="false">
      <c r="A157" s="6" t="s">
        <v>2472</v>
      </c>
      <c r="B157" s="6" t="s">
        <v>2474</v>
      </c>
      <c r="C157" s="6" t="s">
        <v>2475</v>
      </c>
      <c r="D157" s="6" t="s">
        <v>2116</v>
      </c>
      <c r="E157" s="6" t="n">
        <v>27.2</v>
      </c>
      <c r="F157" s="6" t="s">
        <v>2476</v>
      </c>
    </row>
    <row r="158" customFormat="false" ht="57.45" hidden="false" customHeight="false" outlineLevel="0" collapsed="false">
      <c r="A158" s="6" t="s">
        <v>2477</v>
      </c>
      <c r="B158" s="6" t="s">
        <v>2209</v>
      </c>
      <c r="C158" s="6" t="s">
        <v>2210</v>
      </c>
      <c r="D158" s="6" t="s">
        <v>2116</v>
      </c>
      <c r="E158" s="6" t="n">
        <v>35.3</v>
      </c>
      <c r="F158" s="6" t="s">
        <v>2478</v>
      </c>
    </row>
    <row r="159" customFormat="false" ht="68.65" hidden="false" customHeight="false" outlineLevel="0" collapsed="false">
      <c r="A159" s="6" t="s">
        <v>2479</v>
      </c>
      <c r="B159" s="6" t="s">
        <v>2131</v>
      </c>
      <c r="C159" s="6" t="s">
        <v>2132</v>
      </c>
      <c r="D159" s="6" t="s">
        <v>2116</v>
      </c>
      <c r="E159" s="6" t="n">
        <v>54.8</v>
      </c>
      <c r="F159" s="6" t="s">
        <v>2480</v>
      </c>
    </row>
    <row r="160" customFormat="false" ht="46.25" hidden="false" customHeight="false" outlineLevel="0" collapsed="false">
      <c r="A160" s="6" t="s">
        <v>2481</v>
      </c>
      <c r="B160" s="6" t="s">
        <v>2482</v>
      </c>
      <c r="C160" s="6" t="s">
        <v>2218</v>
      </c>
      <c r="D160" s="6" t="s">
        <v>2116</v>
      </c>
      <c r="E160" s="6" t="n">
        <v>55.1</v>
      </c>
      <c r="F160" s="6" t="s">
        <v>2483</v>
      </c>
    </row>
    <row r="161" customFormat="false" ht="46.25" hidden="false" customHeight="false" outlineLevel="0" collapsed="false">
      <c r="A161" s="6" t="s">
        <v>2484</v>
      </c>
      <c r="B161" s="6" t="s">
        <v>2217</v>
      </c>
      <c r="C161" s="6" t="s">
        <v>2218</v>
      </c>
      <c r="D161" s="6" t="s">
        <v>2116</v>
      </c>
      <c r="E161" s="6" t="n">
        <v>58.1</v>
      </c>
      <c r="F161" s="6" t="s">
        <v>2485</v>
      </c>
    </row>
    <row r="162" customFormat="false" ht="35.05" hidden="false" customHeight="false" outlineLevel="0" collapsed="false">
      <c r="A162" s="6" t="s">
        <v>2486</v>
      </c>
      <c r="B162" s="6" t="s">
        <v>2487</v>
      </c>
      <c r="C162" s="6" t="s">
        <v>2115</v>
      </c>
      <c r="D162" s="6" t="s">
        <v>2116</v>
      </c>
      <c r="E162" s="6" t="n">
        <v>22.7</v>
      </c>
      <c r="F162" s="6" t="s">
        <v>2488</v>
      </c>
    </row>
    <row r="163" customFormat="false" ht="46.25" hidden="false" customHeight="false" outlineLevel="0" collapsed="false">
      <c r="A163" s="6" t="s">
        <v>1220</v>
      </c>
      <c r="B163" s="6" t="s">
        <v>2489</v>
      </c>
      <c r="C163" s="6" t="s">
        <v>2490</v>
      </c>
      <c r="D163" s="6" t="s">
        <v>2128</v>
      </c>
      <c r="E163" s="6" t="n">
        <v>66.4</v>
      </c>
      <c r="F163" s="6" t="s">
        <v>2491</v>
      </c>
    </row>
    <row r="164" customFormat="false" ht="35.05" hidden="false" customHeight="false" outlineLevel="0" collapsed="false">
      <c r="A164" s="6" t="s">
        <v>1220</v>
      </c>
      <c r="B164" s="6" t="s">
        <v>2492</v>
      </c>
      <c r="C164" s="6" t="s">
        <v>2152</v>
      </c>
      <c r="D164" s="6" t="s">
        <v>2128</v>
      </c>
      <c r="E164" s="6" t="n">
        <v>74.7</v>
      </c>
      <c r="F164" s="6" t="s">
        <v>2493</v>
      </c>
    </row>
    <row r="165" customFormat="false" ht="46.25" hidden="false" customHeight="false" outlineLevel="0" collapsed="false">
      <c r="A165" s="6" t="s">
        <v>1219</v>
      </c>
      <c r="B165" s="6" t="s">
        <v>859</v>
      </c>
      <c r="C165" s="6" t="s">
        <v>1089</v>
      </c>
      <c r="D165" s="6" t="s">
        <v>2116</v>
      </c>
      <c r="E165" s="6" t="n">
        <v>23.8</v>
      </c>
      <c r="F165" s="6" t="s">
        <v>2494</v>
      </c>
    </row>
    <row r="166" customFormat="false" ht="68.65" hidden="false" customHeight="false" outlineLevel="0" collapsed="false">
      <c r="A166" s="6" t="s">
        <v>1219</v>
      </c>
      <c r="B166" s="6" t="s">
        <v>2209</v>
      </c>
      <c r="C166" s="6" t="s">
        <v>2119</v>
      </c>
      <c r="D166" s="6" t="s">
        <v>2116</v>
      </c>
      <c r="E166" s="6" t="n">
        <v>35.3</v>
      </c>
      <c r="F166" s="6" t="s">
        <v>2495</v>
      </c>
    </row>
    <row r="167" customFormat="false" ht="79.85" hidden="false" customHeight="false" outlineLevel="0" collapsed="false">
      <c r="A167" s="6" t="s">
        <v>1219</v>
      </c>
      <c r="B167" s="6" t="s">
        <v>2496</v>
      </c>
      <c r="C167" s="6" t="s">
        <v>2119</v>
      </c>
      <c r="D167" s="6" t="s">
        <v>2116</v>
      </c>
      <c r="E167" s="6" t="n">
        <v>60.2</v>
      </c>
      <c r="F167" s="6" t="s">
        <v>2497</v>
      </c>
    </row>
    <row r="168" customFormat="false" ht="68.65" hidden="false" customHeight="false" outlineLevel="0" collapsed="false">
      <c r="A168" s="6" t="s">
        <v>1219</v>
      </c>
      <c r="B168" s="6" t="s">
        <v>2174</v>
      </c>
      <c r="C168" s="6" t="s">
        <v>2119</v>
      </c>
      <c r="D168" s="6" t="s">
        <v>2116</v>
      </c>
      <c r="E168" s="6" t="n">
        <v>59.4</v>
      </c>
      <c r="F168" s="6" t="s">
        <v>2498</v>
      </c>
    </row>
    <row r="169" customFormat="false" ht="46.25" hidden="false" customHeight="false" outlineLevel="0" collapsed="false">
      <c r="A169" s="6" t="s">
        <v>1219</v>
      </c>
      <c r="B169" s="6" t="s">
        <v>2224</v>
      </c>
      <c r="C169" s="6" t="s">
        <v>2225</v>
      </c>
      <c r="D169" s="6" t="s">
        <v>2128</v>
      </c>
      <c r="E169" s="6" t="n">
        <v>20.7</v>
      </c>
      <c r="F169" s="6" t="s">
        <v>2499</v>
      </c>
    </row>
    <row r="170" customFormat="false" ht="35.05" hidden="false" customHeight="false" outlineLevel="0" collapsed="false">
      <c r="A170" s="6" t="s">
        <v>1219</v>
      </c>
      <c r="B170" s="6" t="s">
        <v>2500</v>
      </c>
      <c r="C170" s="6" t="s">
        <v>2146</v>
      </c>
      <c r="D170" s="6" t="s">
        <v>2116</v>
      </c>
      <c r="E170" s="6" t="n">
        <v>31.7</v>
      </c>
      <c r="F170" s="6" t="s">
        <v>2501</v>
      </c>
    </row>
    <row r="171" customFormat="false" ht="169.4" hidden="false" customHeight="false" outlineLevel="0" collapsed="false">
      <c r="A171" s="6" t="s">
        <v>2502</v>
      </c>
      <c r="B171" s="6" t="s">
        <v>2209</v>
      </c>
      <c r="C171" s="6" t="s">
        <v>2210</v>
      </c>
      <c r="D171" s="6" t="s">
        <v>2116</v>
      </c>
      <c r="E171" s="6" t="n">
        <v>59.5</v>
      </c>
      <c r="F171" s="6" t="s">
        <v>2503</v>
      </c>
    </row>
    <row r="172" customFormat="false" ht="91" hidden="false" customHeight="false" outlineLevel="0" collapsed="false">
      <c r="A172" s="6" t="s">
        <v>2504</v>
      </c>
      <c r="B172" s="6" t="s">
        <v>2319</v>
      </c>
      <c r="C172" s="6" t="s">
        <v>2119</v>
      </c>
      <c r="D172" s="6" t="s">
        <v>2116</v>
      </c>
      <c r="E172" s="6" t="n">
        <v>50.6</v>
      </c>
      <c r="F172" s="6" t="s">
        <v>2505</v>
      </c>
    </row>
    <row r="173" customFormat="false" ht="35.05" hidden="false" customHeight="false" outlineLevel="0" collapsed="false">
      <c r="A173" s="6" t="s">
        <v>2504</v>
      </c>
      <c r="B173" s="6" t="s">
        <v>1884</v>
      </c>
      <c r="C173" s="6" t="s">
        <v>2119</v>
      </c>
      <c r="D173" s="6" t="s">
        <v>2116</v>
      </c>
      <c r="E173" s="6" t="n">
        <v>21.8</v>
      </c>
      <c r="F173" s="6" t="s">
        <v>2506</v>
      </c>
    </row>
    <row r="174" customFormat="false" ht="35.05" hidden="false" customHeight="false" outlineLevel="0" collapsed="false">
      <c r="A174" s="6" t="s">
        <v>2507</v>
      </c>
      <c r="B174" s="6" t="s">
        <v>2217</v>
      </c>
      <c r="C174" s="6" t="s">
        <v>2218</v>
      </c>
      <c r="D174" s="6" t="s">
        <v>2207</v>
      </c>
      <c r="E174" s="6" t="n">
        <v>57.7</v>
      </c>
      <c r="F174" s="6" t="s">
        <v>2508</v>
      </c>
    </row>
    <row r="175" customFormat="false" ht="57.45" hidden="false" customHeight="false" outlineLevel="0" collapsed="false">
      <c r="A175" s="6" t="s">
        <v>2509</v>
      </c>
      <c r="B175" s="6" t="s">
        <v>2510</v>
      </c>
      <c r="C175" s="6" t="s">
        <v>2511</v>
      </c>
      <c r="D175" s="6" t="s">
        <v>2207</v>
      </c>
      <c r="E175" s="6" t="n">
        <v>42.9</v>
      </c>
      <c r="F175" s="6" t="s">
        <v>2512</v>
      </c>
    </row>
    <row r="176" customFormat="false" ht="46.25" hidden="false" customHeight="false" outlineLevel="0" collapsed="false">
      <c r="A176" s="6" t="s">
        <v>2509</v>
      </c>
      <c r="B176" s="6" t="s">
        <v>2363</v>
      </c>
      <c r="C176" s="6" t="s">
        <v>2364</v>
      </c>
      <c r="D176" s="6" t="s">
        <v>2207</v>
      </c>
      <c r="E176" s="6" t="n">
        <v>46.6</v>
      </c>
      <c r="F176" s="6" t="s">
        <v>2513</v>
      </c>
    </row>
    <row r="177" customFormat="false" ht="46.25" hidden="false" customHeight="false" outlineLevel="0" collapsed="false">
      <c r="A177" s="6" t="s">
        <v>2509</v>
      </c>
      <c r="B177" s="6" t="s">
        <v>2145</v>
      </c>
      <c r="C177" s="6" t="s">
        <v>2146</v>
      </c>
      <c r="D177" s="6" t="s">
        <v>2207</v>
      </c>
      <c r="E177" s="6" t="n">
        <v>44.7</v>
      </c>
      <c r="F177" s="6" t="s">
        <v>2514</v>
      </c>
    </row>
    <row r="178" customFormat="false" ht="57.45" hidden="false" customHeight="false" outlineLevel="0" collapsed="false">
      <c r="A178" s="6" t="s">
        <v>2515</v>
      </c>
      <c r="B178" s="6" t="s">
        <v>2209</v>
      </c>
      <c r="C178" s="6" t="s">
        <v>2210</v>
      </c>
      <c r="D178" s="6" t="s">
        <v>2116</v>
      </c>
      <c r="E178" s="6" t="n">
        <v>35.3</v>
      </c>
      <c r="F178" s="6" t="s">
        <v>2516</v>
      </c>
    </row>
    <row r="179" customFormat="false" ht="35.05" hidden="false" customHeight="false" outlineLevel="0" collapsed="false">
      <c r="A179" s="6" t="s">
        <v>2517</v>
      </c>
      <c r="B179" s="6" t="s">
        <v>2518</v>
      </c>
      <c r="C179" s="6" t="s">
        <v>2519</v>
      </c>
      <c r="D179" s="6" t="s">
        <v>2207</v>
      </c>
      <c r="E179" s="6" t="n">
        <v>48.1</v>
      </c>
      <c r="F179" s="6" t="s">
        <v>2520</v>
      </c>
    </row>
    <row r="180" customFormat="false" ht="35.05" hidden="false" customHeight="false" outlineLevel="0" collapsed="false">
      <c r="A180" s="6" t="s">
        <v>2521</v>
      </c>
      <c r="B180" s="6" t="s">
        <v>2190</v>
      </c>
      <c r="C180" s="6" t="s">
        <v>2522</v>
      </c>
      <c r="D180" s="6" t="s">
        <v>2207</v>
      </c>
      <c r="E180" s="6" t="n">
        <v>56.1</v>
      </c>
      <c r="F180" s="6" t="s">
        <v>2523</v>
      </c>
    </row>
    <row r="181" customFormat="false" ht="35.05" hidden="false" customHeight="false" outlineLevel="0" collapsed="false">
      <c r="A181" s="6" t="s">
        <v>2524</v>
      </c>
      <c r="B181" s="6" t="s">
        <v>2358</v>
      </c>
      <c r="C181" s="6" t="s">
        <v>2383</v>
      </c>
      <c r="D181" s="6" t="s">
        <v>2207</v>
      </c>
      <c r="E181" s="6" t="n">
        <v>21.9</v>
      </c>
      <c r="F181" s="6" t="s">
        <v>2525</v>
      </c>
    </row>
    <row r="182" customFormat="false" ht="46.25" hidden="false" customHeight="false" outlineLevel="0" collapsed="false">
      <c r="A182" s="6" t="s">
        <v>2526</v>
      </c>
      <c r="B182" s="6" t="s">
        <v>2527</v>
      </c>
      <c r="C182" s="6" t="s">
        <v>2528</v>
      </c>
      <c r="D182" s="6" t="s">
        <v>2207</v>
      </c>
      <c r="E182" s="6" t="n">
        <v>39.8</v>
      </c>
      <c r="F182" s="6" t="s">
        <v>2529</v>
      </c>
    </row>
    <row r="183" customFormat="false" ht="46.25" hidden="false" customHeight="false" outlineLevel="0" collapsed="false">
      <c r="A183" s="6" t="s">
        <v>2530</v>
      </c>
      <c r="B183" s="6" t="s">
        <v>2510</v>
      </c>
      <c r="C183" s="6" t="s">
        <v>2531</v>
      </c>
      <c r="D183" s="6" t="s">
        <v>2207</v>
      </c>
      <c r="E183" s="6" t="n">
        <v>44.6</v>
      </c>
      <c r="F183" s="6" t="s">
        <v>2532</v>
      </c>
    </row>
    <row r="184" customFormat="false" ht="35.05" hidden="false" customHeight="false" outlineLevel="0" collapsed="false">
      <c r="A184" s="6" t="s">
        <v>2533</v>
      </c>
      <c r="B184" s="6" t="s">
        <v>2534</v>
      </c>
      <c r="C184" s="6" t="s">
        <v>2535</v>
      </c>
      <c r="D184" s="6" t="s">
        <v>2207</v>
      </c>
      <c r="E184" s="6" t="n">
        <v>45.1</v>
      </c>
      <c r="F184" s="6" t="s">
        <v>2536</v>
      </c>
    </row>
    <row r="185" customFormat="false" ht="57.45" hidden="false" customHeight="false" outlineLevel="0" collapsed="false">
      <c r="A185" s="6" t="s">
        <v>2537</v>
      </c>
      <c r="B185" s="6" t="s">
        <v>2538</v>
      </c>
      <c r="C185" s="6" t="s">
        <v>1089</v>
      </c>
      <c r="D185" s="6" t="s">
        <v>2207</v>
      </c>
      <c r="E185" s="6" t="n">
        <v>27.4</v>
      </c>
      <c r="F185" s="6" t="s">
        <v>2539</v>
      </c>
    </row>
    <row r="186" customFormat="false" ht="46.25" hidden="false" customHeight="false" outlineLevel="0" collapsed="false">
      <c r="A186" s="6" t="s">
        <v>1195</v>
      </c>
      <c r="B186" s="6" t="s">
        <v>2540</v>
      </c>
      <c r="C186" s="6" t="s">
        <v>2387</v>
      </c>
      <c r="D186" s="6" t="s">
        <v>2124</v>
      </c>
      <c r="E186" s="6" t="n">
        <v>49.4</v>
      </c>
      <c r="F186" s="6" t="s">
        <v>2541</v>
      </c>
    </row>
    <row r="187" customFormat="false" ht="35.05" hidden="false" customHeight="false" outlineLevel="0" collapsed="false">
      <c r="A187" s="6" t="s">
        <v>2542</v>
      </c>
      <c r="B187" s="6" t="s">
        <v>2154</v>
      </c>
      <c r="C187" s="6" t="s">
        <v>2155</v>
      </c>
      <c r="D187" s="6" t="s">
        <v>2116</v>
      </c>
      <c r="E187" s="6" t="n">
        <v>61.5</v>
      </c>
      <c r="F187" s="6" t="s">
        <v>2543</v>
      </c>
    </row>
    <row r="188" customFormat="false" ht="35.05" hidden="false" customHeight="false" outlineLevel="0" collapsed="false">
      <c r="A188" s="6" t="s">
        <v>2544</v>
      </c>
      <c r="B188" s="6" t="s">
        <v>2324</v>
      </c>
      <c r="C188" s="6" t="s">
        <v>2115</v>
      </c>
      <c r="D188" s="6" t="s">
        <v>2545</v>
      </c>
      <c r="E188" s="6" t="n">
        <v>51.4</v>
      </c>
      <c r="F188" s="6" t="s">
        <v>2546</v>
      </c>
    </row>
    <row r="189" customFormat="false" ht="57.45" hidden="false" customHeight="false" outlineLevel="0" collapsed="false">
      <c r="A189" s="6" t="s">
        <v>2547</v>
      </c>
      <c r="B189" s="6" t="s">
        <v>2548</v>
      </c>
      <c r="C189" s="6" t="s">
        <v>2549</v>
      </c>
      <c r="D189" s="6" t="s">
        <v>2207</v>
      </c>
      <c r="E189" s="6" t="n">
        <v>65.5</v>
      </c>
      <c r="F189" s="6" t="s">
        <v>2550</v>
      </c>
    </row>
    <row r="190" customFormat="false" ht="46.25" hidden="false" customHeight="false" outlineLevel="0" collapsed="false">
      <c r="A190" s="6" t="s">
        <v>2551</v>
      </c>
      <c r="B190" s="6" t="s">
        <v>2358</v>
      </c>
      <c r="C190" s="6" t="s">
        <v>2383</v>
      </c>
      <c r="D190" s="6" t="s">
        <v>2207</v>
      </c>
      <c r="E190" s="6" t="n">
        <v>21.9</v>
      </c>
      <c r="F190" s="6" t="s">
        <v>2552</v>
      </c>
    </row>
    <row r="191" customFormat="false" ht="46.25" hidden="false" customHeight="false" outlineLevel="0" collapsed="false">
      <c r="A191" s="6" t="s">
        <v>2553</v>
      </c>
      <c r="B191" s="6" t="s">
        <v>2170</v>
      </c>
      <c r="C191" s="6" t="s">
        <v>2171</v>
      </c>
      <c r="D191" s="6" t="s">
        <v>2207</v>
      </c>
      <c r="E191" s="6" t="n">
        <v>73.8</v>
      </c>
      <c r="F191" s="6" t="s">
        <v>2554</v>
      </c>
    </row>
    <row r="192" customFormat="false" ht="68.65" hidden="false" customHeight="false" outlineLevel="0" collapsed="false">
      <c r="A192" s="6" t="s">
        <v>2553</v>
      </c>
      <c r="B192" s="6" t="s">
        <v>2555</v>
      </c>
      <c r="C192" s="6" t="s">
        <v>2144</v>
      </c>
      <c r="D192" s="6" t="s">
        <v>2207</v>
      </c>
      <c r="E192" s="6" t="n">
        <v>61</v>
      </c>
      <c r="F192" s="6" t="s">
        <v>2556</v>
      </c>
    </row>
    <row r="193" customFormat="false" ht="35.05" hidden="false" customHeight="false" outlineLevel="0" collapsed="false">
      <c r="A193" s="6" t="s">
        <v>2553</v>
      </c>
      <c r="B193" s="6" t="s">
        <v>2217</v>
      </c>
      <c r="C193" s="6" t="s">
        <v>2218</v>
      </c>
      <c r="D193" s="6" t="s">
        <v>2207</v>
      </c>
      <c r="E193" s="6" t="n">
        <v>57.7</v>
      </c>
      <c r="F193" s="6" t="s">
        <v>2557</v>
      </c>
    </row>
    <row r="194" customFormat="false" ht="46.25" hidden="false" customHeight="false" outlineLevel="0" collapsed="false">
      <c r="A194" s="6" t="s">
        <v>2553</v>
      </c>
      <c r="B194" s="6" t="s">
        <v>2311</v>
      </c>
      <c r="C194" s="6" t="s">
        <v>1089</v>
      </c>
      <c r="D194" s="6" t="s">
        <v>2207</v>
      </c>
      <c r="E194" s="6" t="n">
        <v>22.5</v>
      </c>
      <c r="F194" s="6" t="s">
        <v>2558</v>
      </c>
    </row>
    <row r="195" customFormat="false" ht="46.25" hidden="false" customHeight="false" outlineLevel="0" collapsed="false">
      <c r="A195" s="6" t="s">
        <v>2553</v>
      </c>
      <c r="B195" s="6" t="s">
        <v>2363</v>
      </c>
      <c r="C195" s="6" t="s">
        <v>2364</v>
      </c>
      <c r="D195" s="6" t="s">
        <v>2207</v>
      </c>
      <c r="E195" s="6" t="n">
        <v>46.6</v>
      </c>
      <c r="F195" s="6" t="s">
        <v>2559</v>
      </c>
    </row>
    <row r="196" customFormat="false" ht="68.65" hidden="false" customHeight="false" outlineLevel="0" collapsed="false">
      <c r="A196" s="6" t="s">
        <v>2553</v>
      </c>
      <c r="B196" s="6" t="s">
        <v>2560</v>
      </c>
      <c r="C196" s="6" t="s">
        <v>2561</v>
      </c>
      <c r="D196" s="6" t="s">
        <v>2207</v>
      </c>
      <c r="E196" s="6" t="n">
        <v>15.7</v>
      </c>
      <c r="F196" s="6" t="s">
        <v>2562</v>
      </c>
    </row>
    <row r="197" customFormat="false" ht="46.25" hidden="false" customHeight="false" outlineLevel="0" collapsed="false">
      <c r="A197" s="6" t="s">
        <v>2553</v>
      </c>
      <c r="B197" s="6" t="s">
        <v>2563</v>
      </c>
      <c r="C197" s="6" t="s">
        <v>2161</v>
      </c>
      <c r="D197" s="6" t="s">
        <v>2207</v>
      </c>
      <c r="E197" s="6" t="n">
        <v>68.9</v>
      </c>
      <c r="F197" s="6" t="s">
        <v>2564</v>
      </c>
    </row>
    <row r="198" customFormat="false" ht="57.45" hidden="false" customHeight="false" outlineLevel="0" collapsed="false">
      <c r="A198" s="6" t="s">
        <v>2565</v>
      </c>
      <c r="B198" s="6" t="s">
        <v>859</v>
      </c>
      <c r="C198" s="6" t="s">
        <v>1089</v>
      </c>
      <c r="D198" s="6" t="s">
        <v>2207</v>
      </c>
      <c r="E198" s="6" t="n">
        <v>24.2</v>
      </c>
      <c r="F198" s="6" t="s">
        <v>2566</v>
      </c>
    </row>
    <row r="199" customFormat="false" ht="35.05" hidden="false" customHeight="false" outlineLevel="0" collapsed="false">
      <c r="A199" s="6" t="s">
        <v>2567</v>
      </c>
      <c r="B199" s="6" t="s">
        <v>2201</v>
      </c>
      <c r="C199" s="6" t="s">
        <v>2202</v>
      </c>
      <c r="D199" s="6" t="s">
        <v>2207</v>
      </c>
      <c r="E199" s="6" t="n">
        <v>68.7</v>
      </c>
      <c r="F199" s="6" t="s">
        <v>2568</v>
      </c>
    </row>
    <row r="200" customFormat="false" ht="57.45" hidden="false" customHeight="false" outlineLevel="0" collapsed="false">
      <c r="A200" s="6" t="s">
        <v>2569</v>
      </c>
      <c r="B200" s="6" t="s">
        <v>2213</v>
      </c>
      <c r="C200" s="6" t="s">
        <v>2157</v>
      </c>
      <c r="D200" s="6" t="s">
        <v>2207</v>
      </c>
      <c r="E200" s="6" t="n">
        <v>58.9</v>
      </c>
      <c r="F200" s="6" t="s">
        <v>2570</v>
      </c>
    </row>
    <row r="201" customFormat="false" ht="57.45" hidden="false" customHeight="false" outlineLevel="0" collapsed="false">
      <c r="A201" s="6" t="s">
        <v>2571</v>
      </c>
      <c r="B201" s="6" t="s">
        <v>2170</v>
      </c>
      <c r="C201" s="6" t="s">
        <v>2171</v>
      </c>
      <c r="D201" s="6" t="s">
        <v>2207</v>
      </c>
      <c r="E201" s="6" t="n">
        <v>73.8</v>
      </c>
      <c r="F201" s="6" t="s">
        <v>2572</v>
      </c>
    </row>
    <row r="202" customFormat="false" ht="57.45" hidden="false" customHeight="false" outlineLevel="0" collapsed="false">
      <c r="A202" s="6" t="s">
        <v>2571</v>
      </c>
      <c r="B202" s="6" t="s">
        <v>2217</v>
      </c>
      <c r="C202" s="6" t="s">
        <v>2218</v>
      </c>
      <c r="D202" s="6" t="s">
        <v>2207</v>
      </c>
      <c r="E202" s="6" t="n">
        <v>57.7</v>
      </c>
      <c r="F202" s="6" t="s">
        <v>2573</v>
      </c>
    </row>
    <row r="203" customFormat="false" ht="57.45" hidden="false" customHeight="false" outlineLevel="0" collapsed="false">
      <c r="A203" s="6" t="s">
        <v>2571</v>
      </c>
      <c r="B203" s="6" t="s">
        <v>2213</v>
      </c>
      <c r="C203" s="6" t="s">
        <v>2157</v>
      </c>
      <c r="D203" s="6" t="s">
        <v>2207</v>
      </c>
      <c r="E203" s="6" t="n">
        <v>58.9</v>
      </c>
      <c r="F203" s="6" t="s">
        <v>2574</v>
      </c>
    </row>
    <row r="204" customFormat="false" ht="35.05" hidden="false" customHeight="false" outlineLevel="0" collapsed="false">
      <c r="A204" s="6" t="s">
        <v>2571</v>
      </c>
      <c r="B204" s="6" t="s">
        <v>310</v>
      </c>
      <c r="C204" s="6" t="s">
        <v>2575</v>
      </c>
      <c r="D204" s="6" t="s">
        <v>2207</v>
      </c>
      <c r="E204" s="6" t="n">
        <v>14.6</v>
      </c>
      <c r="F204" s="6" t="s">
        <v>2576</v>
      </c>
    </row>
    <row r="205" customFormat="false" ht="35.05" hidden="false" customHeight="false" outlineLevel="0" collapsed="false">
      <c r="A205" s="6" t="s">
        <v>2571</v>
      </c>
      <c r="B205" s="6" t="s">
        <v>2145</v>
      </c>
      <c r="C205" s="6" t="s">
        <v>2146</v>
      </c>
      <c r="D205" s="6" t="s">
        <v>2207</v>
      </c>
      <c r="E205" s="6" t="n">
        <v>44.7</v>
      </c>
      <c r="F205" s="6" t="s">
        <v>2577</v>
      </c>
    </row>
    <row r="206" customFormat="false" ht="46.25" hidden="false" customHeight="false" outlineLevel="0" collapsed="false">
      <c r="A206" s="6" t="s">
        <v>2578</v>
      </c>
      <c r="B206" s="6" t="s">
        <v>2579</v>
      </c>
      <c r="C206" s="6" t="s">
        <v>2580</v>
      </c>
      <c r="D206" s="6" t="s">
        <v>2207</v>
      </c>
      <c r="E206" s="6" t="n">
        <v>60</v>
      </c>
      <c r="F206" s="6" t="s">
        <v>2581</v>
      </c>
    </row>
    <row r="207" customFormat="false" ht="46.25" hidden="false" customHeight="false" outlineLevel="0" collapsed="false">
      <c r="A207" s="6" t="s">
        <v>2578</v>
      </c>
      <c r="B207" s="6" t="s">
        <v>2582</v>
      </c>
      <c r="C207" s="6" t="s">
        <v>2123</v>
      </c>
      <c r="D207" s="6" t="s">
        <v>2207</v>
      </c>
      <c r="E207" s="6" t="n">
        <v>61.2</v>
      </c>
      <c r="F207" s="6" t="s">
        <v>2583</v>
      </c>
    </row>
    <row r="208" customFormat="false" ht="46.25" hidden="false" customHeight="false" outlineLevel="0" collapsed="false">
      <c r="A208" s="6" t="s">
        <v>2578</v>
      </c>
      <c r="B208" s="6" t="s">
        <v>2518</v>
      </c>
      <c r="C208" s="6" t="s">
        <v>2519</v>
      </c>
      <c r="D208" s="6" t="s">
        <v>2207</v>
      </c>
      <c r="E208" s="6" t="n">
        <v>48.1</v>
      </c>
      <c r="F208" s="6" t="s">
        <v>2584</v>
      </c>
    </row>
    <row r="209" customFormat="false" ht="35.05" hidden="false" customHeight="false" outlineLevel="0" collapsed="false">
      <c r="A209" s="6" t="s">
        <v>2578</v>
      </c>
      <c r="B209" s="6" t="s">
        <v>859</v>
      </c>
      <c r="C209" s="6" t="s">
        <v>1089</v>
      </c>
      <c r="D209" s="6" t="s">
        <v>2207</v>
      </c>
      <c r="E209" s="6" t="n">
        <v>24.2</v>
      </c>
      <c r="F209" s="6" t="s">
        <v>2585</v>
      </c>
    </row>
    <row r="210" customFormat="false" ht="46.25" hidden="false" customHeight="false" outlineLevel="0" collapsed="false">
      <c r="A210" s="6" t="s">
        <v>2578</v>
      </c>
      <c r="B210" s="6" t="s">
        <v>2358</v>
      </c>
      <c r="C210" s="6" t="s">
        <v>2383</v>
      </c>
      <c r="D210" s="6" t="s">
        <v>2207</v>
      </c>
      <c r="E210" s="6" t="n">
        <v>21.9</v>
      </c>
      <c r="F210" s="6" t="s">
        <v>2586</v>
      </c>
    </row>
    <row r="211" customFormat="false" ht="35.05" hidden="false" customHeight="false" outlineLevel="0" collapsed="false">
      <c r="A211" s="6" t="s">
        <v>2578</v>
      </c>
      <c r="B211" s="6" t="s">
        <v>2587</v>
      </c>
      <c r="C211" s="6" t="s">
        <v>2588</v>
      </c>
      <c r="D211" s="6" t="s">
        <v>2207</v>
      </c>
      <c r="E211" s="6" t="n">
        <v>22.7</v>
      </c>
      <c r="F211" s="6" t="s">
        <v>2589</v>
      </c>
    </row>
    <row r="212" customFormat="false" ht="35.05" hidden="false" customHeight="false" outlineLevel="0" collapsed="false">
      <c r="A212" s="6" t="s">
        <v>2578</v>
      </c>
      <c r="B212" s="6" t="s">
        <v>2527</v>
      </c>
      <c r="C212" s="6" t="s">
        <v>2528</v>
      </c>
      <c r="D212" s="6" t="s">
        <v>2207</v>
      </c>
      <c r="E212" s="6" t="n">
        <v>39.8</v>
      </c>
      <c r="F212" s="6" t="s">
        <v>2590</v>
      </c>
    </row>
    <row r="213" customFormat="false" ht="46.25" hidden="false" customHeight="false" outlineLevel="0" collapsed="false">
      <c r="A213" s="6" t="s">
        <v>2578</v>
      </c>
      <c r="B213" s="6" t="s">
        <v>2591</v>
      </c>
      <c r="C213" s="6" t="s">
        <v>2592</v>
      </c>
      <c r="D213" s="6" t="s">
        <v>2207</v>
      </c>
      <c r="E213" s="6" t="n">
        <v>32.8</v>
      </c>
      <c r="F213" s="6" t="s">
        <v>2593</v>
      </c>
    </row>
    <row r="214" customFormat="false" ht="46.25" hidden="false" customHeight="false" outlineLevel="0" collapsed="false">
      <c r="A214" s="6" t="s">
        <v>2578</v>
      </c>
      <c r="B214" s="6" t="s">
        <v>2548</v>
      </c>
      <c r="C214" s="6" t="s">
        <v>2549</v>
      </c>
      <c r="D214" s="6" t="s">
        <v>2207</v>
      </c>
      <c r="E214" s="6" t="n">
        <v>65.5</v>
      </c>
      <c r="F214" s="6" t="s">
        <v>2594</v>
      </c>
    </row>
    <row r="215" customFormat="false" ht="46.25" hidden="false" customHeight="false" outlineLevel="0" collapsed="false">
      <c r="A215" s="6" t="s">
        <v>2595</v>
      </c>
      <c r="B215" s="6" t="s">
        <v>2591</v>
      </c>
      <c r="C215" s="6" t="s">
        <v>2592</v>
      </c>
      <c r="D215" s="6" t="s">
        <v>2207</v>
      </c>
      <c r="E215" s="6" t="n">
        <v>32.8</v>
      </c>
      <c r="F215" s="6" t="s">
        <v>2596</v>
      </c>
    </row>
    <row r="216" customFormat="false" ht="46.25" hidden="false" customHeight="false" outlineLevel="0" collapsed="false">
      <c r="A216" s="6" t="s">
        <v>2595</v>
      </c>
      <c r="B216" s="6" t="s">
        <v>2555</v>
      </c>
      <c r="C216" s="6" t="s">
        <v>2144</v>
      </c>
      <c r="D216" s="6" t="s">
        <v>2207</v>
      </c>
      <c r="E216" s="6" t="n">
        <v>61</v>
      </c>
      <c r="F216" s="6" t="s">
        <v>2597</v>
      </c>
    </row>
    <row r="217" customFormat="false" ht="57.45" hidden="false" customHeight="false" outlineLevel="0" collapsed="false">
      <c r="A217" s="6" t="s">
        <v>2595</v>
      </c>
      <c r="B217" s="6" t="s">
        <v>2217</v>
      </c>
      <c r="C217" s="6" t="s">
        <v>2218</v>
      </c>
      <c r="D217" s="6" t="s">
        <v>2207</v>
      </c>
      <c r="E217" s="6" t="n">
        <v>57.7</v>
      </c>
      <c r="F217" s="6" t="s">
        <v>2598</v>
      </c>
    </row>
    <row r="218" customFormat="false" ht="35.05" hidden="false" customHeight="false" outlineLevel="0" collapsed="false">
      <c r="A218" s="6" t="s">
        <v>2595</v>
      </c>
      <c r="B218" s="6" t="s">
        <v>2358</v>
      </c>
      <c r="C218" s="6" t="s">
        <v>2383</v>
      </c>
      <c r="D218" s="6" t="s">
        <v>2207</v>
      </c>
      <c r="E218" s="6" t="n">
        <v>21.9</v>
      </c>
      <c r="F218" s="6" t="s">
        <v>2599</v>
      </c>
    </row>
    <row r="219" customFormat="false" ht="46.25" hidden="false" customHeight="false" outlineLevel="0" collapsed="false">
      <c r="A219" s="6" t="s">
        <v>2595</v>
      </c>
      <c r="B219" s="6" t="s">
        <v>2587</v>
      </c>
      <c r="C219" s="6" t="s">
        <v>2588</v>
      </c>
      <c r="D219" s="6" t="s">
        <v>2207</v>
      </c>
      <c r="E219" s="6" t="n">
        <v>22.7</v>
      </c>
      <c r="F219" s="6" t="s">
        <v>2600</v>
      </c>
    </row>
    <row r="220" customFormat="false" ht="35.05" hidden="false" customHeight="false" outlineLevel="0" collapsed="false">
      <c r="A220" s="6" t="s">
        <v>2595</v>
      </c>
      <c r="B220" s="6" t="s">
        <v>2527</v>
      </c>
      <c r="C220" s="6" t="s">
        <v>2528</v>
      </c>
      <c r="D220" s="6" t="s">
        <v>2207</v>
      </c>
      <c r="E220" s="6" t="n">
        <v>39.8</v>
      </c>
      <c r="F220" s="6" t="s">
        <v>2601</v>
      </c>
    </row>
    <row r="221" customFormat="false" ht="35.05" hidden="false" customHeight="false" outlineLevel="0" collapsed="false">
      <c r="A221" s="6" t="s">
        <v>2595</v>
      </c>
      <c r="B221" s="6" t="s">
        <v>2145</v>
      </c>
      <c r="C221" s="6" t="s">
        <v>2146</v>
      </c>
      <c r="D221" s="6" t="s">
        <v>2207</v>
      </c>
      <c r="E221" s="6" t="n">
        <v>44.7</v>
      </c>
      <c r="F221" s="6" t="s">
        <v>2602</v>
      </c>
    </row>
    <row r="222" customFormat="false" ht="35.05" hidden="false" customHeight="false" outlineLevel="0" collapsed="false">
      <c r="A222" s="6" t="s">
        <v>2603</v>
      </c>
      <c r="B222" s="6" t="s">
        <v>2358</v>
      </c>
      <c r="C222" s="6" t="s">
        <v>2383</v>
      </c>
      <c r="D222" s="6" t="s">
        <v>2124</v>
      </c>
      <c r="E222" s="6" t="n">
        <v>21.9</v>
      </c>
      <c r="F222" s="6" t="s">
        <v>2604</v>
      </c>
    </row>
    <row r="223" customFormat="false" ht="35.05" hidden="false" customHeight="false" outlineLevel="0" collapsed="false">
      <c r="A223" s="6" t="s">
        <v>2603</v>
      </c>
      <c r="B223" s="6" t="s">
        <v>2358</v>
      </c>
      <c r="C223" s="6" t="s">
        <v>2383</v>
      </c>
      <c r="D223" s="6" t="s">
        <v>2124</v>
      </c>
      <c r="E223" s="6" t="n">
        <v>21.9</v>
      </c>
      <c r="F223" s="6" t="s">
        <v>2605</v>
      </c>
    </row>
    <row r="224" customFormat="false" ht="46.25" hidden="false" customHeight="false" outlineLevel="0" collapsed="false">
      <c r="A224" s="6" t="s">
        <v>2606</v>
      </c>
      <c r="B224" s="6" t="s">
        <v>2607</v>
      </c>
      <c r="C224" s="6" t="s">
        <v>2138</v>
      </c>
      <c r="D224" s="6" t="s">
        <v>2207</v>
      </c>
      <c r="E224" s="6" t="n">
        <v>36.7</v>
      </c>
      <c r="F224" s="6" t="s">
        <v>2608</v>
      </c>
    </row>
    <row r="225" customFormat="false" ht="102.2" hidden="false" customHeight="false" outlineLevel="0" collapsed="false">
      <c r="A225" s="6" t="s">
        <v>2609</v>
      </c>
      <c r="B225" s="6" t="s">
        <v>859</v>
      </c>
      <c r="C225" s="6" t="s">
        <v>1089</v>
      </c>
      <c r="D225" s="6" t="s">
        <v>2207</v>
      </c>
      <c r="E225" s="6" t="n">
        <v>24.1</v>
      </c>
      <c r="F225" s="6" t="s">
        <v>2610</v>
      </c>
    </row>
    <row r="226" customFormat="false" ht="35.05" hidden="false" customHeight="false" outlineLevel="0" collapsed="false">
      <c r="A226" s="6" t="s">
        <v>2609</v>
      </c>
      <c r="B226" s="6" t="s">
        <v>2266</v>
      </c>
      <c r="C226" s="6" t="s">
        <v>2187</v>
      </c>
      <c r="D226" s="6" t="s">
        <v>2207</v>
      </c>
      <c r="E226" s="6" t="n">
        <v>41</v>
      </c>
      <c r="F226" s="6" t="s">
        <v>2611</v>
      </c>
    </row>
    <row r="227" customFormat="false" ht="35.05" hidden="false" customHeight="false" outlineLevel="0" collapsed="false">
      <c r="A227" s="6" t="s">
        <v>2609</v>
      </c>
      <c r="B227" s="6" t="s">
        <v>2612</v>
      </c>
      <c r="C227" s="6" t="s">
        <v>2535</v>
      </c>
      <c r="D227" s="6" t="s">
        <v>2207</v>
      </c>
      <c r="E227" s="6" t="n">
        <v>65.7</v>
      </c>
      <c r="F227" s="6" t="s">
        <v>2613</v>
      </c>
    </row>
    <row r="228" customFormat="false" ht="46.25" hidden="false" customHeight="false" outlineLevel="0" collapsed="false">
      <c r="A228" s="6" t="s">
        <v>2614</v>
      </c>
      <c r="B228" s="6" t="s">
        <v>2560</v>
      </c>
      <c r="C228" s="6" t="s">
        <v>2561</v>
      </c>
      <c r="D228" s="6" t="s">
        <v>2207</v>
      </c>
      <c r="E228" s="6" t="n">
        <v>15.7</v>
      </c>
      <c r="F228" s="6" t="s">
        <v>2615</v>
      </c>
    </row>
    <row r="229" customFormat="false" ht="91" hidden="false" customHeight="false" outlineLevel="0" collapsed="false">
      <c r="A229" s="6" t="s">
        <v>2616</v>
      </c>
      <c r="B229" s="6" t="s">
        <v>2217</v>
      </c>
      <c r="C229" s="6" t="s">
        <v>2218</v>
      </c>
      <c r="D229" s="6" t="s">
        <v>2207</v>
      </c>
      <c r="E229" s="6" t="n">
        <v>57.7</v>
      </c>
      <c r="F229" s="6" t="s">
        <v>2617</v>
      </c>
    </row>
    <row r="230" customFormat="false" ht="68.65" hidden="false" customHeight="false" outlineLevel="0" collapsed="false">
      <c r="A230" s="6" t="s">
        <v>2618</v>
      </c>
      <c r="B230" s="6" t="s">
        <v>2560</v>
      </c>
      <c r="C230" s="6" t="s">
        <v>2561</v>
      </c>
      <c r="D230" s="6" t="s">
        <v>2207</v>
      </c>
      <c r="E230" s="6" t="n">
        <v>15.7</v>
      </c>
      <c r="F230" s="6" t="s">
        <v>2619</v>
      </c>
    </row>
    <row r="231" customFormat="false" ht="102.2" hidden="false" customHeight="false" outlineLevel="0" collapsed="false">
      <c r="A231" s="6" t="s">
        <v>2620</v>
      </c>
      <c r="B231" s="6" t="s">
        <v>2217</v>
      </c>
      <c r="C231" s="6" t="s">
        <v>2218</v>
      </c>
      <c r="D231" s="6" t="s">
        <v>2207</v>
      </c>
      <c r="E231" s="6" t="n">
        <v>57.7</v>
      </c>
      <c r="F231" s="6" t="s">
        <v>2621</v>
      </c>
    </row>
    <row r="232" customFormat="false" ht="68.65" hidden="false" customHeight="false" outlineLevel="0" collapsed="false">
      <c r="A232" s="6" t="s">
        <v>2622</v>
      </c>
      <c r="B232" s="6" t="s">
        <v>2560</v>
      </c>
      <c r="C232" s="6" t="s">
        <v>2561</v>
      </c>
      <c r="D232" s="6" t="s">
        <v>2207</v>
      </c>
      <c r="E232" s="6" t="n">
        <v>15.7</v>
      </c>
      <c r="F232" s="6" t="s">
        <v>2623</v>
      </c>
    </row>
    <row r="233" customFormat="false" ht="46.25" hidden="false" customHeight="false" outlineLevel="0" collapsed="false">
      <c r="A233" s="6" t="s">
        <v>2624</v>
      </c>
      <c r="B233" s="6" t="s">
        <v>2563</v>
      </c>
      <c r="C233" s="6" t="s">
        <v>2161</v>
      </c>
      <c r="D233" s="6" t="s">
        <v>2207</v>
      </c>
      <c r="E233" s="6" t="n">
        <v>68.9</v>
      </c>
      <c r="F233" s="6" t="s">
        <v>2625</v>
      </c>
    </row>
    <row r="234" customFormat="false" ht="35.05" hidden="false" customHeight="false" outlineLevel="0" collapsed="false">
      <c r="A234" s="6" t="s">
        <v>2624</v>
      </c>
      <c r="B234" s="6" t="s">
        <v>2587</v>
      </c>
      <c r="C234" s="6" t="s">
        <v>2626</v>
      </c>
      <c r="D234" s="6" t="s">
        <v>2207</v>
      </c>
      <c r="E234" s="6" t="n">
        <v>21.4</v>
      </c>
      <c r="F234" s="6" t="s">
        <v>2627</v>
      </c>
    </row>
    <row r="235" customFormat="false" ht="57.45" hidden="false" customHeight="false" outlineLevel="0" collapsed="false">
      <c r="A235" s="6" t="s">
        <v>2624</v>
      </c>
      <c r="B235" s="6" t="s">
        <v>2145</v>
      </c>
      <c r="C235" s="6" t="s">
        <v>2146</v>
      </c>
      <c r="D235" s="6" t="s">
        <v>2207</v>
      </c>
      <c r="E235" s="6" t="n">
        <v>44.7</v>
      </c>
      <c r="F235" s="6" t="s">
        <v>2628</v>
      </c>
    </row>
    <row r="236" customFormat="false" ht="91" hidden="false" customHeight="false" outlineLevel="0" collapsed="false">
      <c r="A236" s="6" t="s">
        <v>2629</v>
      </c>
      <c r="B236" s="6" t="s">
        <v>859</v>
      </c>
      <c r="C236" s="6" t="s">
        <v>1089</v>
      </c>
      <c r="D236" s="6" t="s">
        <v>2207</v>
      </c>
      <c r="E236" s="6" t="n">
        <v>24.1</v>
      </c>
      <c r="F236" s="6" t="s">
        <v>2630</v>
      </c>
    </row>
    <row r="237" customFormat="false" ht="35.05" hidden="false" customHeight="false" outlineLevel="0" collapsed="false">
      <c r="A237" s="6" t="s">
        <v>2629</v>
      </c>
      <c r="B237" s="6" t="s">
        <v>2518</v>
      </c>
      <c r="C237" s="6" t="s">
        <v>2519</v>
      </c>
      <c r="D237" s="6" t="s">
        <v>2207</v>
      </c>
      <c r="E237" s="6" t="n">
        <v>48.1</v>
      </c>
      <c r="F237" s="6" t="s">
        <v>2631</v>
      </c>
    </row>
    <row r="238" customFormat="false" ht="91" hidden="false" customHeight="false" outlineLevel="0" collapsed="false">
      <c r="A238" s="6" t="s">
        <v>2632</v>
      </c>
      <c r="B238" s="6" t="s">
        <v>2217</v>
      </c>
      <c r="C238" s="6" t="s">
        <v>2218</v>
      </c>
      <c r="D238" s="6" t="s">
        <v>2207</v>
      </c>
      <c r="E238" s="6" t="n">
        <v>57.7</v>
      </c>
      <c r="F238" s="6" t="s">
        <v>2633</v>
      </c>
    </row>
    <row r="239" customFormat="false" ht="57.45" hidden="false" customHeight="false" outlineLevel="0" collapsed="false">
      <c r="A239" s="6" t="s">
        <v>2634</v>
      </c>
      <c r="B239" s="6" t="s">
        <v>2145</v>
      </c>
      <c r="C239" s="6" t="s">
        <v>2146</v>
      </c>
      <c r="D239" s="6" t="s">
        <v>2207</v>
      </c>
      <c r="E239" s="6" t="n">
        <v>44.7</v>
      </c>
      <c r="F239" s="6" t="s">
        <v>2635</v>
      </c>
    </row>
    <row r="240" customFormat="false" ht="35.05" hidden="false" customHeight="false" outlineLevel="0" collapsed="false">
      <c r="A240" s="6" t="s">
        <v>2636</v>
      </c>
      <c r="B240" s="6" t="s">
        <v>2170</v>
      </c>
      <c r="C240" s="6" t="s">
        <v>2171</v>
      </c>
      <c r="D240" s="6" t="s">
        <v>2207</v>
      </c>
      <c r="E240" s="6" t="n">
        <v>73.9</v>
      </c>
      <c r="F240" s="6" t="s">
        <v>2637</v>
      </c>
    </row>
    <row r="241" customFormat="false" ht="68.65" hidden="false" customHeight="false" outlineLevel="0" collapsed="false">
      <c r="A241" s="6" t="s">
        <v>2638</v>
      </c>
      <c r="B241" s="6" t="s">
        <v>2560</v>
      </c>
      <c r="C241" s="6" t="s">
        <v>2561</v>
      </c>
      <c r="D241" s="6" t="s">
        <v>2207</v>
      </c>
      <c r="E241" s="6" t="n">
        <v>15.7</v>
      </c>
      <c r="F241" s="6" t="s">
        <v>2639</v>
      </c>
    </row>
    <row r="242" customFormat="false" ht="79.85" hidden="false" customHeight="false" outlineLevel="0" collapsed="false">
      <c r="A242" s="6" t="s">
        <v>2640</v>
      </c>
      <c r="B242" s="6" t="s">
        <v>2358</v>
      </c>
      <c r="C242" s="6" t="s">
        <v>2383</v>
      </c>
      <c r="D242" s="6" t="s">
        <v>2207</v>
      </c>
      <c r="E242" s="6" t="n">
        <v>21.7</v>
      </c>
      <c r="F242" s="6" t="s">
        <v>2641</v>
      </c>
    </row>
    <row r="243" customFormat="false" ht="35.05" hidden="false" customHeight="false" outlineLevel="0" collapsed="false">
      <c r="A243" s="6" t="s">
        <v>2642</v>
      </c>
      <c r="B243" s="6" t="s">
        <v>2643</v>
      </c>
      <c r="C243" s="6" t="s">
        <v>2644</v>
      </c>
      <c r="D243" s="6" t="s">
        <v>2207</v>
      </c>
      <c r="E243" s="6" t="n">
        <v>52.9</v>
      </c>
      <c r="F243" s="6" t="s">
        <v>2645</v>
      </c>
    </row>
    <row r="244" customFormat="false" ht="79.85" hidden="false" customHeight="false" outlineLevel="0" collapsed="false">
      <c r="A244" s="6" t="s">
        <v>2646</v>
      </c>
      <c r="B244" s="6" t="s">
        <v>859</v>
      </c>
      <c r="C244" s="6" t="s">
        <v>1089</v>
      </c>
      <c r="D244" s="6" t="s">
        <v>2207</v>
      </c>
      <c r="E244" s="6" t="n">
        <v>24.1</v>
      </c>
      <c r="F244" s="6" t="s">
        <v>2647</v>
      </c>
    </row>
    <row r="245" customFormat="false" ht="35.05" hidden="false" customHeight="false" outlineLevel="0" collapsed="false">
      <c r="A245" s="6" t="s">
        <v>2646</v>
      </c>
      <c r="B245" s="6" t="s">
        <v>2266</v>
      </c>
      <c r="C245" s="6" t="s">
        <v>2187</v>
      </c>
      <c r="D245" s="6" t="s">
        <v>2207</v>
      </c>
      <c r="E245" s="6" t="n">
        <v>41</v>
      </c>
      <c r="F245" s="6" t="s">
        <v>2648</v>
      </c>
    </row>
    <row r="246" customFormat="false" ht="46.25" hidden="false" customHeight="false" outlineLevel="0" collapsed="false">
      <c r="A246" s="6" t="s">
        <v>2649</v>
      </c>
      <c r="B246" s="6" t="s">
        <v>2217</v>
      </c>
      <c r="C246" s="6" t="s">
        <v>2218</v>
      </c>
      <c r="D246" s="6" t="s">
        <v>2207</v>
      </c>
      <c r="E246" s="6" t="n">
        <v>57.7</v>
      </c>
      <c r="F246" s="6" t="s">
        <v>2650</v>
      </c>
    </row>
    <row r="247" customFormat="false" ht="35.05" hidden="false" customHeight="false" outlineLevel="0" collapsed="false">
      <c r="A247" s="6" t="s">
        <v>2651</v>
      </c>
      <c r="B247" s="6" t="s">
        <v>2534</v>
      </c>
      <c r="C247" s="6" t="s">
        <v>2535</v>
      </c>
      <c r="D247" s="6" t="s">
        <v>2207</v>
      </c>
      <c r="E247" s="6" t="n">
        <v>45.1</v>
      </c>
      <c r="F247" s="6" t="s">
        <v>2652</v>
      </c>
    </row>
    <row r="248" customFormat="false" ht="35.05" hidden="false" customHeight="false" outlineLevel="0" collapsed="false">
      <c r="A248" s="6" t="s">
        <v>2653</v>
      </c>
      <c r="B248" s="6" t="s">
        <v>2358</v>
      </c>
      <c r="C248" s="6" t="s">
        <v>2383</v>
      </c>
      <c r="D248" s="6" t="s">
        <v>2207</v>
      </c>
      <c r="E248" s="6" t="n">
        <v>21.7</v>
      </c>
      <c r="F248" s="6" t="s">
        <v>2654</v>
      </c>
    </row>
    <row r="249" customFormat="false" ht="35.05" hidden="false" customHeight="false" outlineLevel="0" collapsed="false">
      <c r="A249" s="6" t="s">
        <v>2655</v>
      </c>
      <c r="B249" s="6" t="s">
        <v>2534</v>
      </c>
      <c r="C249" s="6" t="s">
        <v>2535</v>
      </c>
      <c r="D249" s="6" t="s">
        <v>2207</v>
      </c>
      <c r="E249" s="6" t="n">
        <v>45.1</v>
      </c>
      <c r="F249" s="6" t="s">
        <v>2656</v>
      </c>
    </row>
    <row r="250" customFormat="false" ht="35.05" hidden="false" customHeight="false" outlineLevel="0" collapsed="false">
      <c r="A250" s="6" t="s">
        <v>2655</v>
      </c>
      <c r="B250" s="6" t="s">
        <v>2587</v>
      </c>
      <c r="C250" s="6" t="s">
        <v>2626</v>
      </c>
      <c r="D250" s="6" t="s">
        <v>2207</v>
      </c>
      <c r="E250" s="6" t="n">
        <v>21.4</v>
      </c>
      <c r="F250" s="6" t="s">
        <v>2657</v>
      </c>
    </row>
    <row r="251" customFormat="false" ht="35.05" hidden="false" customHeight="false" outlineLevel="0" collapsed="false">
      <c r="A251" s="6" t="s">
        <v>2658</v>
      </c>
      <c r="B251" s="6" t="s">
        <v>2170</v>
      </c>
      <c r="C251" s="6" t="s">
        <v>2659</v>
      </c>
      <c r="D251" s="6" t="s">
        <v>2207</v>
      </c>
      <c r="E251" s="6" t="n">
        <v>73.3</v>
      </c>
      <c r="F251" s="6" t="s">
        <v>2660</v>
      </c>
    </row>
    <row r="252" customFormat="false" ht="35.05" hidden="false" customHeight="false" outlineLevel="0" collapsed="false">
      <c r="A252" s="6" t="s">
        <v>2658</v>
      </c>
      <c r="B252" s="6" t="s">
        <v>2217</v>
      </c>
      <c r="C252" s="6" t="s">
        <v>2218</v>
      </c>
      <c r="D252" s="6" t="s">
        <v>2207</v>
      </c>
      <c r="E252" s="6" t="n">
        <v>57.7</v>
      </c>
      <c r="F252" s="6" t="s">
        <v>2661</v>
      </c>
    </row>
    <row r="253" customFormat="false" ht="91" hidden="false" customHeight="false" outlineLevel="0" collapsed="false">
      <c r="A253" s="6" t="s">
        <v>2658</v>
      </c>
      <c r="B253" s="6" t="s">
        <v>859</v>
      </c>
      <c r="C253" s="6" t="s">
        <v>1089</v>
      </c>
      <c r="D253" s="6" t="s">
        <v>2124</v>
      </c>
      <c r="E253" s="6" t="n">
        <v>24.5</v>
      </c>
      <c r="F253" s="6" t="s">
        <v>2662</v>
      </c>
    </row>
    <row r="254" customFormat="false" ht="35.05" hidden="false" customHeight="false" outlineLevel="0" collapsed="false">
      <c r="A254" s="6" t="s">
        <v>2658</v>
      </c>
      <c r="B254" s="6" t="s">
        <v>2358</v>
      </c>
      <c r="C254" s="6" t="s">
        <v>2383</v>
      </c>
      <c r="D254" s="6" t="s">
        <v>2207</v>
      </c>
      <c r="E254" s="6" t="n">
        <v>21.7</v>
      </c>
      <c r="F254" s="6" t="s">
        <v>2663</v>
      </c>
    </row>
    <row r="255" customFormat="false" ht="46.25" hidden="false" customHeight="false" outlineLevel="0" collapsed="false">
      <c r="A255" s="6" t="s">
        <v>2658</v>
      </c>
      <c r="B255" s="6" t="s">
        <v>2560</v>
      </c>
      <c r="C255" s="6" t="s">
        <v>2561</v>
      </c>
      <c r="D255" s="6" t="s">
        <v>2207</v>
      </c>
      <c r="E255" s="6" t="n">
        <v>15.7</v>
      </c>
      <c r="F255" s="6" t="s">
        <v>2664</v>
      </c>
    </row>
    <row r="256" customFormat="false" ht="35.05" hidden="false" customHeight="false" outlineLevel="0" collapsed="false">
      <c r="A256" s="6" t="s">
        <v>2658</v>
      </c>
      <c r="B256" s="6" t="s">
        <v>2534</v>
      </c>
      <c r="C256" s="6" t="s">
        <v>2535</v>
      </c>
      <c r="D256" s="6" t="s">
        <v>2207</v>
      </c>
      <c r="E256" s="6" t="n">
        <v>45.1</v>
      </c>
      <c r="F256" s="6" t="s">
        <v>2665</v>
      </c>
    </row>
    <row r="257" customFormat="false" ht="46.25" hidden="false" customHeight="false" outlineLevel="0" collapsed="false">
      <c r="A257" s="6" t="s">
        <v>2666</v>
      </c>
      <c r="B257" s="6" t="s">
        <v>2667</v>
      </c>
      <c r="C257" s="6" t="s">
        <v>2115</v>
      </c>
      <c r="D257" s="6" t="s">
        <v>2207</v>
      </c>
      <c r="E257" s="6" t="n">
        <v>56.7</v>
      </c>
      <c r="F257" s="6" t="s">
        <v>2668</v>
      </c>
    </row>
    <row r="258" customFormat="false" ht="35.05" hidden="false" customHeight="false" outlineLevel="0" collapsed="false">
      <c r="A258" s="6" t="s">
        <v>2669</v>
      </c>
      <c r="B258" s="6" t="s">
        <v>2170</v>
      </c>
      <c r="C258" s="6" t="s">
        <v>2659</v>
      </c>
      <c r="D258" s="6" t="s">
        <v>2207</v>
      </c>
      <c r="E258" s="6" t="n">
        <v>73.3</v>
      </c>
      <c r="F258" s="6" t="s">
        <v>2670</v>
      </c>
    </row>
    <row r="259" customFormat="false" ht="35.05" hidden="false" customHeight="false" outlineLevel="0" collapsed="false">
      <c r="A259" s="6" t="s">
        <v>2669</v>
      </c>
      <c r="B259" s="6" t="s">
        <v>2145</v>
      </c>
      <c r="C259" s="6" t="s">
        <v>2146</v>
      </c>
      <c r="D259" s="6" t="s">
        <v>2207</v>
      </c>
      <c r="E259" s="6" t="n">
        <v>44.7</v>
      </c>
      <c r="F259" s="6" t="s">
        <v>2671</v>
      </c>
    </row>
    <row r="260" customFormat="false" ht="46.25" hidden="false" customHeight="false" outlineLevel="0" collapsed="false">
      <c r="A260" s="6" t="s">
        <v>2672</v>
      </c>
      <c r="B260" s="6" t="s">
        <v>859</v>
      </c>
      <c r="C260" s="6" t="s">
        <v>1089</v>
      </c>
      <c r="D260" s="6" t="s">
        <v>2207</v>
      </c>
      <c r="E260" s="6" t="n">
        <v>24.1</v>
      </c>
      <c r="F260" s="6" t="s">
        <v>2673</v>
      </c>
    </row>
    <row r="261" customFormat="false" ht="35.05" hidden="false" customHeight="false" outlineLevel="0" collapsed="false">
      <c r="A261" s="6" t="s">
        <v>2674</v>
      </c>
      <c r="B261" s="6" t="s">
        <v>2560</v>
      </c>
      <c r="C261" s="6" t="s">
        <v>2561</v>
      </c>
      <c r="D261" s="6" t="s">
        <v>2207</v>
      </c>
      <c r="E261" s="6" t="n">
        <v>15.7</v>
      </c>
      <c r="F261" s="6" t="s">
        <v>2675</v>
      </c>
    </row>
    <row r="262" customFormat="false" ht="35.05" hidden="false" customHeight="false" outlineLevel="0" collapsed="false">
      <c r="A262" s="6" t="s">
        <v>2676</v>
      </c>
      <c r="B262" s="6" t="s">
        <v>2518</v>
      </c>
      <c r="C262" s="6" t="s">
        <v>2519</v>
      </c>
      <c r="D262" s="6" t="s">
        <v>2207</v>
      </c>
      <c r="E262" s="6" t="n">
        <v>48.1</v>
      </c>
      <c r="F262" s="6" t="s">
        <v>2677</v>
      </c>
    </row>
    <row r="263" customFormat="false" ht="46.25" hidden="false" customHeight="false" outlineLevel="0" collapsed="false">
      <c r="A263" s="6" t="s">
        <v>983</v>
      </c>
      <c r="B263" s="6" t="s">
        <v>2404</v>
      </c>
      <c r="C263" s="6" t="s">
        <v>2119</v>
      </c>
      <c r="D263" s="6" t="s">
        <v>2128</v>
      </c>
      <c r="E263" s="6" t="n">
        <v>25.2</v>
      </c>
      <c r="F263" s="6" t="s">
        <v>2678</v>
      </c>
    </row>
    <row r="264" customFormat="false" ht="46.25" hidden="false" customHeight="false" outlineLevel="0" collapsed="false">
      <c r="A264" s="6" t="s">
        <v>983</v>
      </c>
      <c r="B264" s="6" t="s">
        <v>2404</v>
      </c>
      <c r="C264" s="6" t="s">
        <v>2119</v>
      </c>
      <c r="D264" s="6" t="s">
        <v>2207</v>
      </c>
      <c r="E264" s="6" t="n">
        <v>25.2</v>
      </c>
      <c r="F264" s="6" t="s">
        <v>2679</v>
      </c>
    </row>
    <row r="265" customFormat="false" ht="46.25" hidden="false" customHeight="false" outlineLevel="0" collapsed="false">
      <c r="A265" s="6" t="s">
        <v>2680</v>
      </c>
      <c r="B265" s="6" t="s">
        <v>2579</v>
      </c>
      <c r="C265" s="6" t="s">
        <v>2580</v>
      </c>
      <c r="D265" s="6" t="s">
        <v>2207</v>
      </c>
      <c r="E265" s="6" t="n">
        <v>60</v>
      </c>
      <c r="F265" s="6" t="s">
        <v>2681</v>
      </c>
    </row>
    <row r="266" customFormat="false" ht="57.45" hidden="false" customHeight="false" outlineLevel="0" collapsed="false">
      <c r="A266" s="6" t="s">
        <v>2682</v>
      </c>
      <c r="B266" s="6" t="s">
        <v>2217</v>
      </c>
      <c r="C266" s="6" t="s">
        <v>2218</v>
      </c>
      <c r="D266" s="6" t="s">
        <v>2207</v>
      </c>
      <c r="E266" s="6" t="n">
        <v>57.7</v>
      </c>
      <c r="F266" s="6" t="s">
        <v>2683</v>
      </c>
    </row>
    <row r="267" customFormat="false" ht="46.25" hidden="false" customHeight="false" outlineLevel="0" collapsed="false">
      <c r="A267" s="6" t="s">
        <v>2684</v>
      </c>
      <c r="B267" s="6" t="s">
        <v>2685</v>
      </c>
      <c r="C267" s="6" t="s">
        <v>2686</v>
      </c>
      <c r="D267" s="6" t="s">
        <v>2207</v>
      </c>
      <c r="E267" s="6" t="n">
        <v>57.1</v>
      </c>
      <c r="F267" s="6" t="s">
        <v>2687</v>
      </c>
    </row>
    <row r="268" customFormat="false" ht="46.25" hidden="false" customHeight="false" outlineLevel="0" collapsed="false">
      <c r="A268" s="6" t="s">
        <v>2684</v>
      </c>
      <c r="B268" s="6" t="s">
        <v>2688</v>
      </c>
      <c r="C268" s="6" t="s">
        <v>2689</v>
      </c>
      <c r="D268" s="6" t="s">
        <v>2207</v>
      </c>
      <c r="E268" s="6" t="n">
        <v>63.4</v>
      </c>
      <c r="F268" s="6" t="s">
        <v>2690</v>
      </c>
    </row>
    <row r="269" customFormat="false" ht="46.25" hidden="false" customHeight="false" outlineLevel="0" collapsed="false">
      <c r="A269" s="6" t="s">
        <v>2684</v>
      </c>
      <c r="B269" s="6" t="s">
        <v>859</v>
      </c>
      <c r="C269" s="6" t="s">
        <v>1089</v>
      </c>
      <c r="D269" s="6" t="s">
        <v>2207</v>
      </c>
      <c r="E269" s="6" t="n">
        <v>24.2</v>
      </c>
      <c r="F269" s="6" t="s">
        <v>2691</v>
      </c>
    </row>
    <row r="270" customFormat="false" ht="35.05" hidden="false" customHeight="false" outlineLevel="0" collapsed="false">
      <c r="A270" s="6" t="s">
        <v>2684</v>
      </c>
      <c r="B270" s="6" t="s">
        <v>634</v>
      </c>
      <c r="C270" s="6" t="s">
        <v>2692</v>
      </c>
      <c r="D270" s="6" t="s">
        <v>2207</v>
      </c>
      <c r="E270" s="6" t="n">
        <v>25.7</v>
      </c>
      <c r="F270" s="6" t="s">
        <v>2693</v>
      </c>
    </row>
    <row r="271" customFormat="false" ht="46.25" hidden="false" customHeight="false" outlineLevel="0" collapsed="false">
      <c r="A271" s="6" t="s">
        <v>2684</v>
      </c>
      <c r="B271" s="6" t="s">
        <v>2694</v>
      </c>
      <c r="C271" s="6" t="s">
        <v>2161</v>
      </c>
      <c r="D271" s="6" t="s">
        <v>2207</v>
      </c>
      <c r="E271" s="6" t="n">
        <v>64.7</v>
      </c>
      <c r="F271" s="6" t="s">
        <v>2695</v>
      </c>
    </row>
    <row r="272" customFormat="false" ht="46.25" hidden="false" customHeight="false" outlineLevel="0" collapsed="false">
      <c r="A272" s="6" t="s">
        <v>2684</v>
      </c>
      <c r="B272" s="6" t="s">
        <v>2170</v>
      </c>
      <c r="C272" s="6" t="s">
        <v>2659</v>
      </c>
      <c r="D272" s="6" t="s">
        <v>2207</v>
      </c>
      <c r="E272" s="6" t="n">
        <v>73.3</v>
      </c>
      <c r="F272" s="6" t="s">
        <v>2696</v>
      </c>
    </row>
    <row r="273" customFormat="false" ht="46.25" hidden="false" customHeight="false" outlineLevel="0" collapsed="false">
      <c r="A273" s="6" t="s">
        <v>2697</v>
      </c>
      <c r="B273" s="6" t="s">
        <v>2489</v>
      </c>
      <c r="C273" s="6" t="s">
        <v>2490</v>
      </c>
      <c r="D273" s="6" t="s">
        <v>2207</v>
      </c>
      <c r="E273" s="6" t="n">
        <v>66.4</v>
      </c>
      <c r="F273" s="6" t="s">
        <v>2698</v>
      </c>
    </row>
    <row r="274" customFormat="false" ht="46.25" hidden="false" customHeight="false" outlineLevel="0" collapsed="false">
      <c r="A274" s="6" t="s">
        <v>978</v>
      </c>
      <c r="B274" s="6" t="s">
        <v>2699</v>
      </c>
      <c r="C274" s="6" t="s">
        <v>2700</v>
      </c>
      <c r="D274" s="6" t="s">
        <v>2207</v>
      </c>
      <c r="E274" s="6" t="n">
        <v>57.8</v>
      </c>
      <c r="F274" s="6" t="s">
        <v>2701</v>
      </c>
    </row>
    <row r="275" customFormat="false" ht="46.25" hidden="false" customHeight="false" outlineLevel="0" collapsed="false">
      <c r="A275" s="6" t="s">
        <v>2702</v>
      </c>
      <c r="B275" s="6" t="s">
        <v>2311</v>
      </c>
      <c r="C275" s="6" t="s">
        <v>1089</v>
      </c>
      <c r="D275" s="6" t="s">
        <v>2207</v>
      </c>
      <c r="E275" s="6" t="n">
        <v>22.5</v>
      </c>
      <c r="F275" s="6" t="s">
        <v>2703</v>
      </c>
    </row>
    <row r="276" customFormat="false" ht="46.25" hidden="false" customHeight="false" outlineLevel="0" collapsed="false">
      <c r="A276" s="6" t="s">
        <v>2702</v>
      </c>
      <c r="B276" s="6" t="s">
        <v>2266</v>
      </c>
      <c r="C276" s="6" t="s">
        <v>2187</v>
      </c>
      <c r="D276" s="6" t="s">
        <v>2207</v>
      </c>
      <c r="E276" s="6" t="n">
        <v>41</v>
      </c>
      <c r="F276" s="6" t="s">
        <v>2704</v>
      </c>
    </row>
    <row r="277" customFormat="false" ht="46.25" hidden="false" customHeight="false" outlineLevel="0" collapsed="false">
      <c r="A277" s="6" t="s">
        <v>2705</v>
      </c>
      <c r="B277" s="6" t="s">
        <v>2217</v>
      </c>
      <c r="C277" s="6" t="s">
        <v>2218</v>
      </c>
      <c r="D277" s="6" t="s">
        <v>2207</v>
      </c>
      <c r="E277" s="6" t="n">
        <v>57.7</v>
      </c>
      <c r="F277" s="6" t="s">
        <v>2706</v>
      </c>
    </row>
    <row r="278" customFormat="false" ht="46.25" hidden="false" customHeight="false" outlineLevel="0" collapsed="false">
      <c r="A278" s="6" t="s">
        <v>2705</v>
      </c>
      <c r="B278" s="6" t="s">
        <v>2688</v>
      </c>
      <c r="C278" s="6" t="s">
        <v>2689</v>
      </c>
      <c r="D278" s="6" t="s">
        <v>2207</v>
      </c>
      <c r="E278" s="6" t="n">
        <v>63.4</v>
      </c>
      <c r="F278" s="6" t="s">
        <v>2707</v>
      </c>
    </row>
    <row r="279" customFormat="false" ht="35.05" hidden="false" customHeight="false" outlineLevel="0" collapsed="false">
      <c r="A279" s="6" t="s">
        <v>2708</v>
      </c>
      <c r="B279" s="6" t="s">
        <v>2217</v>
      </c>
      <c r="C279" s="6" t="s">
        <v>2218</v>
      </c>
      <c r="D279" s="6" t="s">
        <v>2207</v>
      </c>
      <c r="E279" s="6" t="n">
        <v>57.7</v>
      </c>
      <c r="F279" s="6" t="s">
        <v>2709</v>
      </c>
    </row>
    <row r="280" customFormat="false" ht="35.05" hidden="false" customHeight="false" outlineLevel="0" collapsed="false">
      <c r="A280" s="6" t="s">
        <v>2708</v>
      </c>
      <c r="B280" s="6" t="s">
        <v>2363</v>
      </c>
      <c r="C280" s="6" t="s">
        <v>2364</v>
      </c>
      <c r="D280" s="6" t="s">
        <v>2207</v>
      </c>
      <c r="E280" s="6" t="n">
        <v>46.6</v>
      </c>
      <c r="F280" s="6" t="s">
        <v>2710</v>
      </c>
    </row>
    <row r="281" customFormat="false" ht="35.05" hidden="false" customHeight="false" outlineLevel="0" collapsed="false">
      <c r="A281" s="6" t="s">
        <v>2708</v>
      </c>
      <c r="B281" s="6" t="s">
        <v>2711</v>
      </c>
      <c r="C281" s="6" t="s">
        <v>2387</v>
      </c>
      <c r="D281" s="6" t="s">
        <v>2207</v>
      </c>
      <c r="E281" s="6" t="n">
        <v>59.7</v>
      </c>
      <c r="F281" s="6" t="s">
        <v>2712</v>
      </c>
    </row>
    <row r="282" customFormat="false" ht="57.45" hidden="false" customHeight="false" outlineLevel="0" collapsed="false">
      <c r="A282" s="6" t="s">
        <v>2713</v>
      </c>
      <c r="B282" s="6" t="s">
        <v>2217</v>
      </c>
      <c r="C282" s="6" t="s">
        <v>2218</v>
      </c>
      <c r="D282" s="6" t="s">
        <v>2207</v>
      </c>
      <c r="E282" s="6" t="n">
        <v>57.4</v>
      </c>
      <c r="F282" s="6" t="s">
        <v>2714</v>
      </c>
    </row>
    <row r="283" customFormat="false" ht="35.05" hidden="false" customHeight="false" outlineLevel="0" collapsed="false">
      <c r="A283" s="6" t="s">
        <v>2715</v>
      </c>
      <c r="B283" s="6" t="s">
        <v>2379</v>
      </c>
      <c r="C283" s="6" t="s">
        <v>2380</v>
      </c>
      <c r="D283" s="6" t="s">
        <v>2207</v>
      </c>
      <c r="E283" s="6" t="n">
        <v>51</v>
      </c>
      <c r="F283" s="6" t="s">
        <v>2716</v>
      </c>
    </row>
    <row r="284" customFormat="false" ht="46.25" hidden="false" customHeight="false" outlineLevel="0" collapsed="false">
      <c r="A284" s="6" t="s">
        <v>2715</v>
      </c>
      <c r="B284" s="6" t="s">
        <v>2582</v>
      </c>
      <c r="C284" s="6" t="s">
        <v>2123</v>
      </c>
      <c r="D284" s="6" t="s">
        <v>2207</v>
      </c>
      <c r="E284" s="6" t="n">
        <v>61.6</v>
      </c>
      <c r="F284" s="6" t="s">
        <v>2717</v>
      </c>
    </row>
    <row r="285" customFormat="false" ht="46.25" hidden="false" customHeight="false" outlineLevel="0" collapsed="false">
      <c r="A285" s="6" t="s">
        <v>2715</v>
      </c>
      <c r="B285" s="6" t="s">
        <v>2688</v>
      </c>
      <c r="C285" s="6" t="s">
        <v>2689</v>
      </c>
      <c r="D285" s="6" t="s">
        <v>2207</v>
      </c>
      <c r="E285" s="6" t="n">
        <v>63.4</v>
      </c>
      <c r="F285" s="6" t="s">
        <v>2718</v>
      </c>
    </row>
    <row r="286" customFormat="false" ht="35.05" hidden="false" customHeight="false" outlineLevel="0" collapsed="false">
      <c r="A286" s="6" t="s">
        <v>2715</v>
      </c>
      <c r="B286" s="6" t="s">
        <v>2213</v>
      </c>
      <c r="C286" s="6" t="s">
        <v>2157</v>
      </c>
      <c r="D286" s="6" t="s">
        <v>2207</v>
      </c>
      <c r="E286" s="6" t="n">
        <v>58.9</v>
      </c>
      <c r="F286" s="6" t="s">
        <v>2719</v>
      </c>
    </row>
    <row r="287" customFormat="false" ht="35.05" hidden="false" customHeight="false" outlineLevel="0" collapsed="false">
      <c r="A287" s="6" t="s">
        <v>2715</v>
      </c>
      <c r="B287" s="6" t="s">
        <v>2720</v>
      </c>
      <c r="C287" s="6" t="s">
        <v>2448</v>
      </c>
      <c r="D287" s="6" t="s">
        <v>2207</v>
      </c>
      <c r="E287" s="6" t="n">
        <v>20</v>
      </c>
      <c r="F287" s="6" t="s">
        <v>2721</v>
      </c>
    </row>
    <row r="288" customFormat="false" ht="35.05" hidden="false" customHeight="false" outlineLevel="0" collapsed="false">
      <c r="A288" s="6" t="s">
        <v>2722</v>
      </c>
      <c r="B288" s="6" t="s">
        <v>2534</v>
      </c>
      <c r="C288" s="6" t="s">
        <v>2723</v>
      </c>
      <c r="D288" s="6" t="s">
        <v>2207</v>
      </c>
      <c r="E288" s="6" t="n">
        <v>42.2</v>
      </c>
      <c r="F288" s="6" t="s">
        <v>2724</v>
      </c>
    </row>
    <row r="289" customFormat="false" ht="35.05" hidden="false" customHeight="false" outlineLevel="0" collapsed="false">
      <c r="A289" s="6" t="s">
        <v>2722</v>
      </c>
      <c r="B289" s="6" t="s">
        <v>2527</v>
      </c>
      <c r="C289" s="6" t="s">
        <v>2528</v>
      </c>
      <c r="D289" s="6" t="s">
        <v>2207</v>
      </c>
      <c r="E289" s="6" t="n">
        <v>40</v>
      </c>
      <c r="F289" s="6" t="s">
        <v>2725</v>
      </c>
    </row>
    <row r="290" customFormat="false" ht="35.05" hidden="false" customHeight="false" outlineLevel="0" collapsed="false">
      <c r="A290" s="6" t="s">
        <v>2726</v>
      </c>
      <c r="B290" s="6" t="s">
        <v>2727</v>
      </c>
      <c r="C290" s="6" t="s">
        <v>2535</v>
      </c>
      <c r="D290" s="6" t="s">
        <v>2207</v>
      </c>
      <c r="E290" s="6" t="n">
        <v>44.9</v>
      </c>
      <c r="F290" s="6" t="s">
        <v>2728</v>
      </c>
    </row>
    <row r="291" customFormat="false" ht="46.25" hidden="false" customHeight="false" outlineLevel="0" collapsed="false">
      <c r="A291" s="6" t="s">
        <v>2729</v>
      </c>
      <c r="B291" s="6" t="s">
        <v>859</v>
      </c>
      <c r="C291" s="6" t="s">
        <v>1089</v>
      </c>
      <c r="D291" s="6" t="s">
        <v>2207</v>
      </c>
      <c r="E291" s="6" t="n">
        <v>24.5</v>
      </c>
      <c r="F291" s="6" t="s">
        <v>2730</v>
      </c>
    </row>
    <row r="292" customFormat="false" ht="35.05" hidden="false" customHeight="false" outlineLevel="0" collapsed="false">
      <c r="A292" s="6" t="s">
        <v>2729</v>
      </c>
      <c r="B292" s="6" t="s">
        <v>2266</v>
      </c>
      <c r="C292" s="6" t="s">
        <v>2187</v>
      </c>
      <c r="D292" s="6" t="s">
        <v>2207</v>
      </c>
      <c r="E292" s="6" t="n">
        <v>41.1</v>
      </c>
      <c r="F292" s="6" t="s">
        <v>2731</v>
      </c>
    </row>
    <row r="293" customFormat="false" ht="46.25" hidden="false" customHeight="false" outlineLevel="0" collapsed="false">
      <c r="A293" s="6" t="s">
        <v>2732</v>
      </c>
      <c r="B293" s="6" t="s">
        <v>2311</v>
      </c>
      <c r="C293" s="6" t="s">
        <v>1089</v>
      </c>
      <c r="D293" s="6" t="s">
        <v>2207</v>
      </c>
      <c r="E293" s="6" t="n">
        <v>22.5</v>
      </c>
      <c r="F293" s="6" t="s">
        <v>2733</v>
      </c>
    </row>
    <row r="294" customFormat="false" ht="46.25" hidden="false" customHeight="false" outlineLevel="0" collapsed="false">
      <c r="A294" s="6" t="s">
        <v>2734</v>
      </c>
      <c r="B294" s="6" t="s">
        <v>2735</v>
      </c>
      <c r="C294" s="6" t="s">
        <v>2736</v>
      </c>
      <c r="D294" s="6" t="s">
        <v>2207</v>
      </c>
      <c r="E294" s="6" t="n">
        <v>66.7</v>
      </c>
      <c r="F294" s="6" t="s">
        <v>2737</v>
      </c>
    </row>
    <row r="295" customFormat="false" ht="35.05" hidden="false" customHeight="false" outlineLevel="0" collapsed="false">
      <c r="A295" s="6" t="s">
        <v>2738</v>
      </c>
      <c r="B295" s="6" t="s">
        <v>2579</v>
      </c>
      <c r="C295" s="6" t="s">
        <v>2580</v>
      </c>
      <c r="D295" s="6" t="s">
        <v>2207</v>
      </c>
      <c r="E295" s="6" t="n">
        <v>60.3</v>
      </c>
      <c r="F295" s="6" t="s">
        <v>2739</v>
      </c>
    </row>
    <row r="296" customFormat="false" ht="35.05" hidden="false" customHeight="false" outlineLevel="0" collapsed="false">
      <c r="A296" s="6" t="s">
        <v>2740</v>
      </c>
      <c r="B296" s="6" t="s">
        <v>2741</v>
      </c>
      <c r="C296" s="6" t="s">
        <v>2742</v>
      </c>
      <c r="D296" s="6" t="s">
        <v>2207</v>
      </c>
      <c r="E296" s="6" t="n">
        <v>58.2</v>
      </c>
      <c r="F296" s="6" t="s">
        <v>2743</v>
      </c>
    </row>
    <row r="297" customFormat="false" ht="35.05" hidden="false" customHeight="false" outlineLevel="0" collapsed="false">
      <c r="A297" s="6" t="s">
        <v>2744</v>
      </c>
      <c r="B297" s="6" t="s">
        <v>634</v>
      </c>
      <c r="C297" s="6" t="s">
        <v>2692</v>
      </c>
      <c r="D297" s="6" t="s">
        <v>2207</v>
      </c>
      <c r="E297" s="6" t="n">
        <v>25.2</v>
      </c>
      <c r="F297" s="6" t="s">
        <v>2745</v>
      </c>
    </row>
    <row r="298" customFormat="false" ht="35.05" hidden="false" customHeight="false" outlineLevel="0" collapsed="false">
      <c r="A298" s="6" t="s">
        <v>2746</v>
      </c>
      <c r="B298" s="6" t="s">
        <v>2727</v>
      </c>
      <c r="C298" s="6" t="s">
        <v>2535</v>
      </c>
      <c r="D298" s="6" t="s">
        <v>2207</v>
      </c>
      <c r="E298" s="6" t="n">
        <v>44.9</v>
      </c>
      <c r="F298" s="6" t="s">
        <v>2747</v>
      </c>
    </row>
    <row r="299" customFormat="false" ht="46.25" hidden="false" customHeight="false" outlineLevel="0" collapsed="false">
      <c r="A299" s="6" t="s">
        <v>2746</v>
      </c>
      <c r="B299" s="6" t="s">
        <v>2217</v>
      </c>
      <c r="C299" s="6" t="s">
        <v>2218</v>
      </c>
      <c r="D299" s="6" t="s">
        <v>2207</v>
      </c>
      <c r="E299" s="6" t="n">
        <v>57.4</v>
      </c>
      <c r="F299" s="6" t="s">
        <v>2748</v>
      </c>
    </row>
    <row r="300" customFormat="false" ht="35.05" hidden="false" customHeight="false" outlineLevel="0" collapsed="false">
      <c r="A300" s="6" t="s">
        <v>2749</v>
      </c>
      <c r="B300" s="6" t="s">
        <v>2699</v>
      </c>
      <c r="C300" s="6" t="s">
        <v>2700</v>
      </c>
      <c r="D300" s="6" t="s">
        <v>2207</v>
      </c>
      <c r="E300" s="6" t="n">
        <v>57.8</v>
      </c>
      <c r="F300" s="6" t="s">
        <v>2750</v>
      </c>
    </row>
    <row r="301" customFormat="false" ht="35.05" hidden="false" customHeight="false" outlineLevel="0" collapsed="false">
      <c r="A301" s="6" t="s">
        <v>2749</v>
      </c>
      <c r="B301" s="6" t="s">
        <v>2751</v>
      </c>
      <c r="C301" s="6" t="s">
        <v>2152</v>
      </c>
      <c r="D301" s="6" t="s">
        <v>2207</v>
      </c>
      <c r="E301" s="6" t="n">
        <v>66.9</v>
      </c>
      <c r="F301" s="6" t="s">
        <v>2752</v>
      </c>
    </row>
    <row r="302" customFormat="false" ht="35.05" hidden="false" customHeight="false" outlineLevel="0" collapsed="false">
      <c r="A302" s="6" t="s">
        <v>2749</v>
      </c>
      <c r="B302" s="6" t="s">
        <v>2688</v>
      </c>
      <c r="C302" s="6" t="s">
        <v>2689</v>
      </c>
      <c r="D302" s="6" t="s">
        <v>2207</v>
      </c>
      <c r="E302" s="6" t="n">
        <v>63.4</v>
      </c>
      <c r="F302" s="6" t="s">
        <v>2753</v>
      </c>
    </row>
    <row r="303" customFormat="false" ht="35.05" hidden="false" customHeight="false" outlineLevel="0" collapsed="false">
      <c r="A303" s="6" t="s">
        <v>2749</v>
      </c>
      <c r="B303" s="6" t="s">
        <v>2213</v>
      </c>
      <c r="C303" s="6" t="s">
        <v>2157</v>
      </c>
      <c r="D303" s="6" t="s">
        <v>2207</v>
      </c>
      <c r="E303" s="6" t="n">
        <v>58.9</v>
      </c>
      <c r="F303" s="6" t="s">
        <v>2754</v>
      </c>
    </row>
    <row r="304" customFormat="false" ht="46.25" hidden="false" customHeight="false" outlineLevel="0" collapsed="false">
      <c r="A304" s="6" t="s">
        <v>2749</v>
      </c>
      <c r="B304" s="6" t="s">
        <v>2363</v>
      </c>
      <c r="C304" s="6" t="s">
        <v>2364</v>
      </c>
      <c r="D304" s="6" t="s">
        <v>2207</v>
      </c>
      <c r="E304" s="6" t="n">
        <v>46.6</v>
      </c>
      <c r="F304" s="6" t="s">
        <v>2755</v>
      </c>
    </row>
    <row r="305" customFormat="false" ht="35.05" hidden="false" customHeight="false" outlineLevel="0" collapsed="false">
      <c r="A305" s="6" t="s">
        <v>2749</v>
      </c>
      <c r="B305" s="6" t="s">
        <v>2756</v>
      </c>
      <c r="C305" s="6" t="s">
        <v>2757</v>
      </c>
      <c r="D305" s="6" t="s">
        <v>2207</v>
      </c>
      <c r="E305" s="6" t="n">
        <v>55.3</v>
      </c>
      <c r="F305" s="6" t="s">
        <v>2758</v>
      </c>
    </row>
    <row r="306" customFormat="false" ht="35.05" hidden="false" customHeight="false" outlineLevel="0" collapsed="false">
      <c r="A306" s="6" t="s">
        <v>2749</v>
      </c>
      <c r="B306" s="6" t="s">
        <v>2759</v>
      </c>
      <c r="C306" s="6" t="s">
        <v>2760</v>
      </c>
      <c r="D306" s="6" t="s">
        <v>2207</v>
      </c>
      <c r="E306" s="6" t="n">
        <v>51.4</v>
      </c>
      <c r="F306" s="6" t="s">
        <v>2761</v>
      </c>
    </row>
    <row r="307" customFormat="false" ht="35.05" hidden="false" customHeight="false" outlineLevel="0" collapsed="false">
      <c r="A307" s="6" t="s">
        <v>2749</v>
      </c>
      <c r="B307" s="6" t="s">
        <v>2685</v>
      </c>
      <c r="C307" s="6" t="s">
        <v>2686</v>
      </c>
      <c r="D307" s="6" t="s">
        <v>2207</v>
      </c>
      <c r="E307" s="6" t="n">
        <v>57.1</v>
      </c>
      <c r="F307" s="6" t="s">
        <v>2762</v>
      </c>
    </row>
    <row r="308" customFormat="false" ht="35.05" hidden="false" customHeight="false" outlineLevel="0" collapsed="false">
      <c r="A308" s="6" t="s">
        <v>2749</v>
      </c>
      <c r="B308" s="6" t="s">
        <v>2763</v>
      </c>
      <c r="C308" s="6" t="s">
        <v>2686</v>
      </c>
      <c r="D308" s="6" t="s">
        <v>2207</v>
      </c>
      <c r="E308" s="6" t="n">
        <v>48.2</v>
      </c>
      <c r="F308" s="6" t="s">
        <v>2764</v>
      </c>
    </row>
    <row r="309" customFormat="false" ht="46.25" hidden="false" customHeight="false" outlineLevel="0" collapsed="false">
      <c r="A309" s="6" t="s">
        <v>2749</v>
      </c>
      <c r="B309" s="6" t="s">
        <v>2379</v>
      </c>
      <c r="C309" s="6" t="s">
        <v>2380</v>
      </c>
      <c r="D309" s="6" t="s">
        <v>2207</v>
      </c>
      <c r="E309" s="6" t="n">
        <v>51</v>
      </c>
      <c r="F309" s="6" t="s">
        <v>2765</v>
      </c>
    </row>
    <row r="310" customFormat="false" ht="35.05" hidden="false" customHeight="false" outlineLevel="0" collapsed="false">
      <c r="A310" s="6" t="s">
        <v>2766</v>
      </c>
      <c r="B310" s="6" t="s">
        <v>2767</v>
      </c>
      <c r="C310" s="6" t="s">
        <v>2768</v>
      </c>
      <c r="D310" s="6" t="s">
        <v>2207</v>
      </c>
      <c r="E310" s="6" t="n">
        <v>62.5</v>
      </c>
      <c r="F310" s="6" t="s">
        <v>2769</v>
      </c>
    </row>
    <row r="311" customFormat="false" ht="35.05" hidden="false" customHeight="false" outlineLevel="0" collapsed="false">
      <c r="A311" s="6" t="s">
        <v>2766</v>
      </c>
      <c r="B311" s="6" t="s">
        <v>2699</v>
      </c>
      <c r="C311" s="6" t="s">
        <v>2770</v>
      </c>
      <c r="D311" s="6" t="s">
        <v>2207</v>
      </c>
      <c r="E311" s="6" t="n">
        <v>58.8</v>
      </c>
      <c r="F311" s="6" t="s">
        <v>2771</v>
      </c>
    </row>
    <row r="312" customFormat="false" ht="35.05" hidden="false" customHeight="false" outlineLevel="0" collapsed="false">
      <c r="A312" s="6" t="s">
        <v>2766</v>
      </c>
      <c r="B312" s="6" t="s">
        <v>2720</v>
      </c>
      <c r="C312" s="6" t="s">
        <v>2448</v>
      </c>
      <c r="D312" s="6" t="s">
        <v>2207</v>
      </c>
      <c r="E312" s="6" t="n">
        <v>20</v>
      </c>
      <c r="F312" s="6" t="s">
        <v>2772</v>
      </c>
    </row>
    <row r="313" customFormat="false" ht="46.25" hidden="false" customHeight="false" outlineLevel="0" collapsed="false">
      <c r="A313" s="6" t="s">
        <v>2766</v>
      </c>
      <c r="B313" s="6" t="s">
        <v>2145</v>
      </c>
      <c r="C313" s="6" t="s">
        <v>2146</v>
      </c>
      <c r="D313" s="6" t="s">
        <v>2207</v>
      </c>
      <c r="E313" s="6" t="n">
        <v>44.9</v>
      </c>
      <c r="F313" s="6" t="s">
        <v>2773</v>
      </c>
    </row>
    <row r="314" customFormat="false" ht="35.05" hidden="false" customHeight="false" outlineLevel="0" collapsed="false">
      <c r="A314" s="6" t="s">
        <v>2774</v>
      </c>
      <c r="B314" s="6" t="s">
        <v>2582</v>
      </c>
      <c r="C314" s="6" t="s">
        <v>2123</v>
      </c>
      <c r="D314" s="6" t="s">
        <v>2207</v>
      </c>
      <c r="E314" s="6" t="n">
        <v>61.6</v>
      </c>
      <c r="F314" s="6" t="s">
        <v>2775</v>
      </c>
    </row>
    <row r="315" customFormat="false" ht="35.05" hidden="false" customHeight="false" outlineLevel="0" collapsed="false">
      <c r="A315" s="6" t="s">
        <v>2776</v>
      </c>
      <c r="B315" s="6" t="s">
        <v>2607</v>
      </c>
      <c r="C315" s="6" t="s">
        <v>2138</v>
      </c>
      <c r="D315" s="6" t="s">
        <v>2207</v>
      </c>
      <c r="E315" s="6" t="n">
        <v>36.6</v>
      </c>
      <c r="F315" s="6" t="s">
        <v>2777</v>
      </c>
    </row>
    <row r="316" customFormat="false" ht="57.45" hidden="false" customHeight="false" outlineLevel="0" collapsed="false">
      <c r="A316" s="6" t="s">
        <v>2778</v>
      </c>
      <c r="B316" s="6" t="s">
        <v>2217</v>
      </c>
      <c r="C316" s="6" t="s">
        <v>2218</v>
      </c>
      <c r="D316" s="6" t="s">
        <v>2207</v>
      </c>
      <c r="E316" s="6" t="n">
        <v>57.4</v>
      </c>
      <c r="F316" s="6" t="s">
        <v>2779</v>
      </c>
    </row>
    <row r="317" customFormat="false" ht="35.05" hidden="false" customHeight="false" outlineLevel="0" collapsed="false">
      <c r="A317" s="6" t="s">
        <v>2780</v>
      </c>
      <c r="B317" s="6" t="s">
        <v>2741</v>
      </c>
      <c r="C317" s="6" t="s">
        <v>2742</v>
      </c>
      <c r="D317" s="6" t="s">
        <v>2207</v>
      </c>
      <c r="E317" s="6" t="n">
        <v>58.2</v>
      </c>
      <c r="F317" s="6" t="s">
        <v>2781</v>
      </c>
    </row>
    <row r="318" customFormat="false" ht="35.05" hidden="false" customHeight="false" outlineLevel="0" collapsed="false">
      <c r="A318" s="6" t="s">
        <v>2782</v>
      </c>
      <c r="B318" s="6" t="s">
        <v>2266</v>
      </c>
      <c r="C318" s="6" t="s">
        <v>2187</v>
      </c>
      <c r="D318" s="6" t="s">
        <v>2207</v>
      </c>
      <c r="E318" s="6" t="n">
        <v>41.1</v>
      </c>
      <c r="F318" s="6" t="s">
        <v>2783</v>
      </c>
    </row>
    <row r="319" customFormat="false" ht="35.05" hidden="false" customHeight="false" outlineLevel="0" collapsed="false">
      <c r="A319" s="6" t="s">
        <v>2784</v>
      </c>
      <c r="B319" s="6" t="s">
        <v>2699</v>
      </c>
      <c r="C319" s="6" t="s">
        <v>2700</v>
      </c>
      <c r="D319" s="6" t="s">
        <v>2207</v>
      </c>
      <c r="E319" s="6" t="n">
        <v>57.8</v>
      </c>
      <c r="F319" s="6" t="s">
        <v>2785</v>
      </c>
    </row>
    <row r="320" customFormat="false" ht="35.05" hidden="false" customHeight="false" outlineLevel="0" collapsed="false">
      <c r="A320" s="6" t="s">
        <v>2784</v>
      </c>
      <c r="B320" s="6" t="s">
        <v>2217</v>
      </c>
      <c r="C320" s="6" t="s">
        <v>2218</v>
      </c>
      <c r="D320" s="6" t="s">
        <v>2207</v>
      </c>
      <c r="E320" s="6" t="n">
        <v>57.4</v>
      </c>
      <c r="F320" s="6" t="s">
        <v>2786</v>
      </c>
    </row>
    <row r="321" customFormat="false" ht="35.05" hidden="false" customHeight="false" outlineLevel="0" collapsed="false">
      <c r="A321" s="6" t="s">
        <v>2784</v>
      </c>
      <c r="B321" s="6" t="s">
        <v>2787</v>
      </c>
      <c r="C321" s="6" t="s">
        <v>2788</v>
      </c>
      <c r="D321" s="6" t="s">
        <v>2207</v>
      </c>
      <c r="E321" s="6" t="n">
        <v>70.3</v>
      </c>
      <c r="F321" s="6" t="s">
        <v>2789</v>
      </c>
    </row>
    <row r="322" customFormat="false" ht="46.25" hidden="false" customHeight="false" outlineLevel="0" collapsed="false">
      <c r="A322" s="6" t="s">
        <v>2784</v>
      </c>
      <c r="B322" s="6" t="s">
        <v>2311</v>
      </c>
      <c r="C322" s="6" t="s">
        <v>1089</v>
      </c>
      <c r="D322" s="6" t="s">
        <v>2207</v>
      </c>
      <c r="E322" s="6" t="n">
        <v>22.5</v>
      </c>
      <c r="F322" s="6" t="s">
        <v>2790</v>
      </c>
    </row>
    <row r="323" customFormat="false" ht="46.25" hidden="false" customHeight="false" outlineLevel="0" collapsed="false">
      <c r="A323" s="6" t="s">
        <v>2784</v>
      </c>
      <c r="B323" s="6" t="s">
        <v>859</v>
      </c>
      <c r="C323" s="6" t="s">
        <v>1089</v>
      </c>
      <c r="D323" s="6" t="s">
        <v>2207</v>
      </c>
      <c r="E323" s="6" t="n">
        <v>24.5</v>
      </c>
      <c r="F323" s="6" t="s">
        <v>2791</v>
      </c>
    </row>
    <row r="324" customFormat="false" ht="35.05" hidden="false" customHeight="false" outlineLevel="0" collapsed="false">
      <c r="A324" s="6" t="s">
        <v>2784</v>
      </c>
      <c r="B324" s="6" t="s">
        <v>2213</v>
      </c>
      <c r="C324" s="6" t="s">
        <v>2157</v>
      </c>
      <c r="D324" s="6" t="s">
        <v>2207</v>
      </c>
      <c r="E324" s="6" t="n">
        <v>58.9</v>
      </c>
      <c r="F324" s="6" t="s">
        <v>2792</v>
      </c>
    </row>
    <row r="325" customFormat="false" ht="35.05" hidden="false" customHeight="false" outlineLevel="0" collapsed="false">
      <c r="A325" s="6" t="s">
        <v>2784</v>
      </c>
      <c r="B325" s="6" t="s">
        <v>2793</v>
      </c>
      <c r="C325" s="6" t="s">
        <v>2794</v>
      </c>
      <c r="D325" s="6" t="s">
        <v>2207</v>
      </c>
      <c r="E325" s="6" t="n">
        <v>47.8</v>
      </c>
      <c r="F325" s="6" t="s">
        <v>2795</v>
      </c>
    </row>
    <row r="326" customFormat="false" ht="35.05" hidden="false" customHeight="false" outlineLevel="0" collapsed="false">
      <c r="A326" s="6" t="s">
        <v>2784</v>
      </c>
      <c r="B326" s="6" t="s">
        <v>2319</v>
      </c>
      <c r="C326" s="6" t="s">
        <v>2119</v>
      </c>
      <c r="D326" s="6" t="s">
        <v>2207</v>
      </c>
      <c r="E326" s="6" t="n">
        <v>50.6</v>
      </c>
      <c r="F326" s="6" t="s">
        <v>2796</v>
      </c>
    </row>
    <row r="327" customFormat="false" ht="35.05" hidden="false" customHeight="false" outlineLevel="0" collapsed="false">
      <c r="A327" s="6" t="s">
        <v>2784</v>
      </c>
      <c r="B327" s="6" t="s">
        <v>2607</v>
      </c>
      <c r="C327" s="6" t="s">
        <v>2138</v>
      </c>
      <c r="D327" s="6" t="s">
        <v>2207</v>
      </c>
      <c r="E327" s="6" t="n">
        <v>36.6</v>
      </c>
      <c r="F327" s="6" t="s">
        <v>2797</v>
      </c>
    </row>
    <row r="328" customFormat="false" ht="46.25" hidden="false" customHeight="false" outlineLevel="0" collapsed="false">
      <c r="A328" s="6" t="s">
        <v>2784</v>
      </c>
      <c r="B328" s="6" t="s">
        <v>2145</v>
      </c>
      <c r="C328" s="6" t="s">
        <v>2146</v>
      </c>
      <c r="D328" s="6" t="s">
        <v>2207</v>
      </c>
      <c r="E328" s="6" t="n">
        <v>44.9</v>
      </c>
      <c r="F328" s="6" t="s">
        <v>2798</v>
      </c>
    </row>
    <row r="329" customFormat="false" ht="35.05" hidden="false" customHeight="false" outlineLevel="0" collapsed="false">
      <c r="A329" s="6" t="s">
        <v>2784</v>
      </c>
      <c r="B329" s="6" t="s">
        <v>2735</v>
      </c>
      <c r="C329" s="6" t="s">
        <v>2736</v>
      </c>
      <c r="D329" s="6" t="s">
        <v>2207</v>
      </c>
      <c r="E329" s="6" t="n">
        <v>66.7</v>
      </c>
      <c r="F329" s="6" t="s">
        <v>2799</v>
      </c>
    </row>
    <row r="330" customFormat="false" ht="35.05" hidden="false" customHeight="false" outlineLevel="0" collapsed="false">
      <c r="A330" s="6" t="s">
        <v>2784</v>
      </c>
      <c r="B330" s="6" t="s">
        <v>2800</v>
      </c>
      <c r="C330" s="6" t="s">
        <v>2686</v>
      </c>
      <c r="D330" s="6" t="s">
        <v>2207</v>
      </c>
      <c r="E330" s="6" t="n">
        <v>62</v>
      </c>
      <c r="F330" s="6" t="s">
        <v>2801</v>
      </c>
    </row>
    <row r="331" customFormat="false" ht="35.05" hidden="false" customHeight="false" outlineLevel="0" collapsed="false">
      <c r="A331" s="6" t="s">
        <v>2784</v>
      </c>
      <c r="B331" s="6" t="s">
        <v>2685</v>
      </c>
      <c r="C331" s="6" t="s">
        <v>2686</v>
      </c>
      <c r="D331" s="6" t="s">
        <v>2207</v>
      </c>
      <c r="E331" s="6" t="n">
        <v>57.1</v>
      </c>
      <c r="F331" s="6" t="s">
        <v>2802</v>
      </c>
    </row>
    <row r="332" customFormat="false" ht="35.05" hidden="false" customHeight="false" outlineLevel="0" collapsed="false">
      <c r="A332" s="6" t="s">
        <v>2784</v>
      </c>
      <c r="B332" s="6" t="s">
        <v>2763</v>
      </c>
      <c r="C332" s="6" t="s">
        <v>2686</v>
      </c>
      <c r="D332" s="6" t="s">
        <v>2207</v>
      </c>
      <c r="E332" s="6" t="n">
        <v>48.2</v>
      </c>
      <c r="F332" s="6" t="s">
        <v>2803</v>
      </c>
    </row>
    <row r="333" customFormat="false" ht="57.45" hidden="false" customHeight="false" outlineLevel="0" collapsed="false">
      <c r="A333" s="6" t="s">
        <v>2784</v>
      </c>
      <c r="B333" s="6" t="s">
        <v>2379</v>
      </c>
      <c r="C333" s="6" t="s">
        <v>2380</v>
      </c>
      <c r="D333" s="6" t="s">
        <v>2207</v>
      </c>
      <c r="E333" s="6" t="n">
        <v>51</v>
      </c>
      <c r="F333" s="6" t="s">
        <v>2804</v>
      </c>
    </row>
    <row r="334" customFormat="false" ht="35.05" hidden="false" customHeight="false" outlineLevel="0" collapsed="false">
      <c r="A334" s="6" t="s">
        <v>2805</v>
      </c>
      <c r="B334" s="6" t="s">
        <v>2534</v>
      </c>
      <c r="C334" s="6" t="s">
        <v>2723</v>
      </c>
      <c r="D334" s="6" t="s">
        <v>2207</v>
      </c>
      <c r="E334" s="6" t="n">
        <v>42.2</v>
      </c>
      <c r="F334" s="6" t="s">
        <v>2806</v>
      </c>
    </row>
    <row r="335" customFormat="false" ht="35.05" hidden="false" customHeight="false" outlineLevel="0" collapsed="false">
      <c r="A335" s="6" t="s">
        <v>2807</v>
      </c>
      <c r="B335" s="6" t="s">
        <v>2808</v>
      </c>
      <c r="C335" s="6" t="s">
        <v>2809</v>
      </c>
      <c r="D335" s="6" t="s">
        <v>2207</v>
      </c>
      <c r="E335" s="6" t="n">
        <v>67.2</v>
      </c>
      <c r="F335" s="6" t="s">
        <v>2810</v>
      </c>
    </row>
    <row r="336" customFormat="false" ht="35.05" hidden="false" customHeight="false" outlineLevel="0" collapsed="false">
      <c r="A336" s="6" t="s">
        <v>2811</v>
      </c>
      <c r="B336" s="6" t="s">
        <v>2379</v>
      </c>
      <c r="C336" s="6" t="s">
        <v>2380</v>
      </c>
      <c r="D336" s="6" t="s">
        <v>2207</v>
      </c>
      <c r="E336" s="6" t="n">
        <v>51</v>
      </c>
      <c r="F336" s="6" t="s">
        <v>2812</v>
      </c>
    </row>
    <row r="337" customFormat="false" ht="35.05" hidden="false" customHeight="false" outlineLevel="0" collapsed="false">
      <c r="A337" s="6" t="s">
        <v>2813</v>
      </c>
      <c r="B337" s="6" t="s">
        <v>2607</v>
      </c>
      <c r="C337" s="6" t="s">
        <v>2814</v>
      </c>
      <c r="D337" s="6" t="s">
        <v>2207</v>
      </c>
      <c r="E337" s="6" t="n">
        <v>35.9</v>
      </c>
      <c r="F337" s="6" t="s">
        <v>2815</v>
      </c>
    </row>
    <row r="338" customFormat="false" ht="57.45" hidden="false" customHeight="false" outlineLevel="0" collapsed="false">
      <c r="A338" s="6" t="s">
        <v>2816</v>
      </c>
      <c r="B338" s="6" t="s">
        <v>2213</v>
      </c>
      <c r="C338" s="6" t="s">
        <v>2157</v>
      </c>
      <c r="D338" s="6" t="s">
        <v>2207</v>
      </c>
      <c r="E338" s="6" t="n">
        <v>58.9</v>
      </c>
      <c r="F338" s="6" t="s">
        <v>2817</v>
      </c>
    </row>
    <row r="339" customFormat="false" ht="35.05" hidden="false" customHeight="false" outlineLevel="0" collapsed="false">
      <c r="A339" s="6" t="s">
        <v>2816</v>
      </c>
      <c r="B339" s="6" t="s">
        <v>2607</v>
      </c>
      <c r="C339" s="6" t="s">
        <v>2138</v>
      </c>
      <c r="D339" s="6" t="s">
        <v>2207</v>
      </c>
      <c r="E339" s="6" t="n">
        <v>36.6</v>
      </c>
      <c r="F339" s="6" t="s">
        <v>2818</v>
      </c>
    </row>
    <row r="340" customFormat="false" ht="35.05" hidden="false" customHeight="false" outlineLevel="0" collapsed="false">
      <c r="A340" s="6" t="s">
        <v>2819</v>
      </c>
      <c r="B340" s="6" t="s">
        <v>2379</v>
      </c>
      <c r="C340" s="6" t="s">
        <v>2380</v>
      </c>
      <c r="D340" s="6" t="s">
        <v>2207</v>
      </c>
      <c r="E340" s="6" t="n">
        <v>51</v>
      </c>
      <c r="F340" s="6" t="s">
        <v>2820</v>
      </c>
    </row>
    <row r="341" customFormat="false" ht="57.45" hidden="false" customHeight="false" outlineLevel="0" collapsed="false">
      <c r="A341" s="6" t="s">
        <v>2819</v>
      </c>
      <c r="B341" s="6" t="s">
        <v>2266</v>
      </c>
      <c r="C341" s="6" t="s">
        <v>2187</v>
      </c>
      <c r="D341" s="6" t="s">
        <v>2207</v>
      </c>
      <c r="E341" s="6" t="n">
        <v>41.1</v>
      </c>
      <c r="F341" s="6" t="s">
        <v>2821</v>
      </c>
    </row>
    <row r="342" customFormat="false" ht="35.05" hidden="false" customHeight="false" outlineLevel="0" collapsed="false">
      <c r="A342" s="6" t="s">
        <v>2822</v>
      </c>
      <c r="B342" s="6" t="s">
        <v>2823</v>
      </c>
      <c r="C342" s="6" t="s">
        <v>2809</v>
      </c>
      <c r="D342" s="6" t="s">
        <v>2207</v>
      </c>
      <c r="E342" s="6" t="n">
        <v>71.9</v>
      </c>
      <c r="F342" s="6" t="s">
        <v>2824</v>
      </c>
    </row>
    <row r="343" customFormat="false" ht="46.25" hidden="false" customHeight="false" outlineLevel="0" collapsed="false">
      <c r="A343" s="6" t="s">
        <v>2825</v>
      </c>
      <c r="B343" s="6" t="s">
        <v>2145</v>
      </c>
      <c r="C343" s="6" t="s">
        <v>2146</v>
      </c>
      <c r="D343" s="6" t="s">
        <v>2207</v>
      </c>
      <c r="E343" s="6" t="n">
        <v>44.9</v>
      </c>
      <c r="F343" s="6" t="s">
        <v>2826</v>
      </c>
    </row>
    <row r="344" customFormat="false" ht="35.05" hidden="false" customHeight="false" outlineLevel="0" collapsed="false">
      <c r="A344" s="6" t="s">
        <v>2825</v>
      </c>
      <c r="B344" s="6" t="s">
        <v>2527</v>
      </c>
      <c r="C344" s="6" t="s">
        <v>2528</v>
      </c>
      <c r="D344" s="6" t="s">
        <v>2207</v>
      </c>
      <c r="E344" s="6" t="n">
        <v>40</v>
      </c>
      <c r="F344" s="6" t="s">
        <v>2827</v>
      </c>
    </row>
    <row r="345" customFormat="false" ht="35.05" hidden="false" customHeight="false" outlineLevel="0" collapsed="false">
      <c r="A345" s="6" t="s">
        <v>2828</v>
      </c>
      <c r="B345" s="6" t="s">
        <v>2607</v>
      </c>
      <c r="C345" s="6" t="s">
        <v>2138</v>
      </c>
      <c r="D345" s="6" t="s">
        <v>2207</v>
      </c>
      <c r="E345" s="6" t="n">
        <v>36.6</v>
      </c>
      <c r="F345" s="6" t="s">
        <v>2829</v>
      </c>
    </row>
    <row r="346" customFormat="false" ht="35.05" hidden="false" customHeight="false" outlineLevel="0" collapsed="false">
      <c r="A346" s="6" t="s">
        <v>2830</v>
      </c>
      <c r="B346" s="6" t="s">
        <v>2379</v>
      </c>
      <c r="C346" s="6" t="s">
        <v>2380</v>
      </c>
      <c r="D346" s="6" t="s">
        <v>2207</v>
      </c>
      <c r="E346" s="6" t="n">
        <v>51</v>
      </c>
      <c r="F346" s="6" t="s">
        <v>2831</v>
      </c>
    </row>
    <row r="347" customFormat="false" ht="35.05" hidden="false" customHeight="false" outlineLevel="0" collapsed="false">
      <c r="A347" s="6" t="s">
        <v>2830</v>
      </c>
      <c r="B347" s="6" t="s">
        <v>2213</v>
      </c>
      <c r="C347" s="6" t="s">
        <v>2157</v>
      </c>
      <c r="D347" s="6" t="s">
        <v>2207</v>
      </c>
      <c r="E347" s="6" t="n">
        <v>58.9</v>
      </c>
      <c r="F347" s="6" t="s">
        <v>2832</v>
      </c>
    </row>
    <row r="348" customFormat="false" ht="35.05" hidden="false" customHeight="false" outlineLevel="0" collapsed="false">
      <c r="A348" s="6" t="s">
        <v>2830</v>
      </c>
      <c r="B348" s="6" t="s">
        <v>2793</v>
      </c>
      <c r="C348" s="6" t="s">
        <v>2794</v>
      </c>
      <c r="D348" s="6" t="s">
        <v>2207</v>
      </c>
      <c r="E348" s="6" t="n">
        <v>47.8</v>
      </c>
      <c r="F348" s="6" t="s">
        <v>2833</v>
      </c>
    </row>
    <row r="349" customFormat="false" ht="35.05" hidden="false" customHeight="false" outlineLevel="0" collapsed="false">
      <c r="A349" s="6" t="s">
        <v>2830</v>
      </c>
      <c r="B349" s="6" t="s">
        <v>2579</v>
      </c>
      <c r="C349" s="6" t="s">
        <v>2580</v>
      </c>
      <c r="D349" s="6" t="s">
        <v>2207</v>
      </c>
      <c r="E349" s="6" t="n">
        <v>60.3</v>
      </c>
      <c r="F349" s="6" t="s">
        <v>2834</v>
      </c>
    </row>
    <row r="350" customFormat="false" ht="35.05" hidden="false" customHeight="false" outlineLevel="0" collapsed="false">
      <c r="A350" s="6" t="s">
        <v>2835</v>
      </c>
      <c r="B350" s="6" t="s">
        <v>2800</v>
      </c>
      <c r="C350" s="6" t="s">
        <v>2686</v>
      </c>
      <c r="D350" s="6" t="s">
        <v>2207</v>
      </c>
      <c r="E350" s="6" t="n">
        <v>62</v>
      </c>
      <c r="F350" s="6" t="s">
        <v>2836</v>
      </c>
    </row>
    <row r="351" customFormat="false" ht="35.05" hidden="false" customHeight="false" outlineLevel="0" collapsed="false">
      <c r="A351" s="6" t="s">
        <v>2835</v>
      </c>
      <c r="B351" s="6" t="s">
        <v>2699</v>
      </c>
      <c r="C351" s="6" t="s">
        <v>2700</v>
      </c>
      <c r="D351" s="6" t="s">
        <v>2207</v>
      </c>
      <c r="E351" s="6" t="n">
        <v>57.8</v>
      </c>
      <c r="F351" s="6" t="s">
        <v>2837</v>
      </c>
    </row>
    <row r="352" customFormat="false" ht="35.05" hidden="false" customHeight="false" outlineLevel="0" collapsed="false">
      <c r="A352" s="6" t="s">
        <v>2835</v>
      </c>
      <c r="B352" s="6" t="s">
        <v>2170</v>
      </c>
      <c r="C352" s="6" t="s">
        <v>2659</v>
      </c>
      <c r="D352" s="6" t="s">
        <v>2207</v>
      </c>
      <c r="E352" s="6" t="n">
        <v>73</v>
      </c>
      <c r="F352" s="6" t="s">
        <v>2838</v>
      </c>
    </row>
    <row r="353" customFormat="false" ht="46.25" hidden="false" customHeight="false" outlineLevel="0" collapsed="false">
      <c r="A353" s="6" t="s">
        <v>2839</v>
      </c>
      <c r="B353" s="6" t="s">
        <v>2311</v>
      </c>
      <c r="C353" s="6" t="s">
        <v>1089</v>
      </c>
      <c r="D353" s="6" t="s">
        <v>2207</v>
      </c>
      <c r="E353" s="6" t="n">
        <v>22.5</v>
      </c>
      <c r="F353" s="6" t="s">
        <v>2840</v>
      </c>
    </row>
    <row r="354" customFormat="false" ht="57.45" hidden="false" customHeight="false" outlineLevel="0" collapsed="false">
      <c r="A354" s="6" t="s">
        <v>2841</v>
      </c>
      <c r="B354" s="6" t="s">
        <v>2266</v>
      </c>
      <c r="C354" s="6" t="s">
        <v>2187</v>
      </c>
      <c r="D354" s="6" t="s">
        <v>2207</v>
      </c>
      <c r="E354" s="6" t="n">
        <v>41.1</v>
      </c>
      <c r="F354" s="6" t="s">
        <v>2842</v>
      </c>
    </row>
    <row r="355" customFormat="false" ht="35.05" hidden="false" customHeight="false" outlineLevel="0" collapsed="false">
      <c r="A355" s="6" t="s">
        <v>2843</v>
      </c>
      <c r="B355" s="6" t="s">
        <v>2699</v>
      </c>
      <c r="C355" s="6" t="s">
        <v>2770</v>
      </c>
      <c r="D355" s="6" t="s">
        <v>2207</v>
      </c>
      <c r="E355" s="6" t="n">
        <v>58.8</v>
      </c>
      <c r="F355" s="6" t="s">
        <v>2844</v>
      </c>
    </row>
    <row r="356" customFormat="false" ht="35.05" hidden="false" customHeight="false" outlineLevel="0" collapsed="false">
      <c r="A356" s="6" t="s">
        <v>2845</v>
      </c>
      <c r="B356" s="6" t="s">
        <v>2379</v>
      </c>
      <c r="C356" s="6" t="s">
        <v>2380</v>
      </c>
      <c r="D356" s="6" t="s">
        <v>2207</v>
      </c>
      <c r="E356" s="6" t="n">
        <v>51</v>
      </c>
      <c r="F356" s="6" t="s">
        <v>2846</v>
      </c>
    </row>
    <row r="357" customFormat="false" ht="46.25" hidden="false" customHeight="false" outlineLevel="0" collapsed="false">
      <c r="A357" s="6" t="s">
        <v>2847</v>
      </c>
      <c r="B357" s="6" t="s">
        <v>859</v>
      </c>
      <c r="C357" s="6" t="s">
        <v>1089</v>
      </c>
      <c r="D357" s="6" t="s">
        <v>2207</v>
      </c>
      <c r="E357" s="6" t="n">
        <v>24.5</v>
      </c>
      <c r="F357" s="6" t="s">
        <v>2848</v>
      </c>
    </row>
    <row r="358" customFormat="false" ht="35.05" hidden="false" customHeight="false" outlineLevel="0" collapsed="false">
      <c r="A358" s="6" t="s">
        <v>2849</v>
      </c>
      <c r="B358" s="6" t="s">
        <v>2579</v>
      </c>
      <c r="C358" s="6" t="s">
        <v>2580</v>
      </c>
      <c r="D358" s="6" t="s">
        <v>2207</v>
      </c>
      <c r="E358" s="6" t="n">
        <v>60.3</v>
      </c>
      <c r="F358" s="6" t="s">
        <v>2850</v>
      </c>
    </row>
    <row r="359" customFormat="false" ht="35.05" hidden="false" customHeight="false" outlineLevel="0" collapsed="false">
      <c r="A359" s="6" t="s">
        <v>2851</v>
      </c>
      <c r="B359" s="6" t="s">
        <v>859</v>
      </c>
      <c r="C359" s="6" t="s">
        <v>1089</v>
      </c>
      <c r="D359" s="6" t="s">
        <v>2207</v>
      </c>
      <c r="E359" s="6" t="n">
        <v>24.5</v>
      </c>
      <c r="F359" s="6" t="s">
        <v>2852</v>
      </c>
    </row>
    <row r="360" customFormat="false" ht="35.05" hidden="false" customHeight="false" outlineLevel="0" collapsed="false">
      <c r="A360" s="6" t="s">
        <v>2853</v>
      </c>
      <c r="B360" s="6" t="s">
        <v>2217</v>
      </c>
      <c r="C360" s="6" t="s">
        <v>2218</v>
      </c>
      <c r="D360" s="6" t="s">
        <v>2207</v>
      </c>
      <c r="E360" s="6" t="n">
        <v>57.4</v>
      </c>
      <c r="F360" s="6" t="s">
        <v>2854</v>
      </c>
    </row>
    <row r="361" customFormat="false" ht="46.25" hidden="false" customHeight="false" outlineLevel="0" collapsed="false">
      <c r="A361" s="6" t="s">
        <v>2855</v>
      </c>
      <c r="B361" s="6" t="s">
        <v>2311</v>
      </c>
      <c r="C361" s="6" t="s">
        <v>1089</v>
      </c>
      <c r="D361" s="6" t="s">
        <v>2207</v>
      </c>
      <c r="E361" s="6" t="n">
        <v>22.5</v>
      </c>
      <c r="F361" s="6" t="s">
        <v>2856</v>
      </c>
    </row>
    <row r="362" customFormat="false" ht="35.05" hidden="false" customHeight="false" outlineLevel="0" collapsed="false">
      <c r="A362" s="6" t="s">
        <v>2857</v>
      </c>
      <c r="B362" s="6" t="s">
        <v>2143</v>
      </c>
      <c r="C362" s="6" t="s">
        <v>2144</v>
      </c>
      <c r="D362" s="6" t="s">
        <v>2207</v>
      </c>
      <c r="E362" s="6" t="n">
        <v>48.3</v>
      </c>
      <c r="F362" s="6" t="s">
        <v>2858</v>
      </c>
    </row>
    <row r="363" customFormat="false" ht="35.05" hidden="false" customHeight="false" outlineLevel="0" collapsed="false">
      <c r="A363" s="6" t="s">
        <v>2857</v>
      </c>
      <c r="B363" s="6" t="s">
        <v>2217</v>
      </c>
      <c r="C363" s="6" t="s">
        <v>2218</v>
      </c>
      <c r="D363" s="6" t="s">
        <v>2207</v>
      </c>
      <c r="E363" s="6" t="n">
        <v>57.4</v>
      </c>
      <c r="F363" s="6" t="s">
        <v>2859</v>
      </c>
    </row>
    <row r="364" customFormat="false" ht="35.05" hidden="false" customHeight="false" outlineLevel="0" collapsed="false">
      <c r="A364" s="6" t="s">
        <v>2857</v>
      </c>
      <c r="B364" s="6" t="s">
        <v>2694</v>
      </c>
      <c r="C364" s="6" t="s">
        <v>2161</v>
      </c>
      <c r="D364" s="6" t="s">
        <v>2207</v>
      </c>
      <c r="E364" s="6" t="n">
        <v>65</v>
      </c>
      <c r="F364" s="6" t="s">
        <v>2860</v>
      </c>
    </row>
    <row r="365" customFormat="false" ht="35.05" hidden="false" customHeight="false" outlineLevel="0" collapsed="false">
      <c r="A365" s="6" t="s">
        <v>2861</v>
      </c>
      <c r="B365" s="6" t="s">
        <v>634</v>
      </c>
      <c r="C365" s="6" t="s">
        <v>2692</v>
      </c>
      <c r="D365" s="6" t="s">
        <v>2207</v>
      </c>
      <c r="E365" s="6" t="n">
        <v>25.2</v>
      </c>
      <c r="F365" s="6" t="s">
        <v>2862</v>
      </c>
    </row>
    <row r="366" customFormat="false" ht="35.05" hidden="false" customHeight="false" outlineLevel="0" collapsed="false">
      <c r="A366" s="6" t="s">
        <v>2861</v>
      </c>
      <c r="B366" s="6" t="s">
        <v>2534</v>
      </c>
      <c r="C366" s="6" t="s">
        <v>2723</v>
      </c>
      <c r="D366" s="6" t="s">
        <v>2207</v>
      </c>
      <c r="E366" s="6" t="n">
        <v>42.2</v>
      </c>
      <c r="F366" s="6" t="s">
        <v>2863</v>
      </c>
    </row>
    <row r="367" customFormat="false" ht="35.05" hidden="false" customHeight="false" outlineLevel="0" collapsed="false">
      <c r="A367" s="6" t="s">
        <v>2861</v>
      </c>
      <c r="B367" s="6" t="s">
        <v>2727</v>
      </c>
      <c r="C367" s="6" t="s">
        <v>2535</v>
      </c>
      <c r="D367" s="6" t="s">
        <v>2207</v>
      </c>
      <c r="E367" s="6" t="n">
        <v>44.9</v>
      </c>
      <c r="F367" s="6" t="s">
        <v>2864</v>
      </c>
    </row>
    <row r="368" customFormat="false" ht="35.05" hidden="false" customHeight="false" outlineLevel="0" collapsed="false">
      <c r="A368" s="6" t="s">
        <v>2865</v>
      </c>
      <c r="B368" s="6" t="s">
        <v>2607</v>
      </c>
      <c r="C368" s="6" t="s">
        <v>2814</v>
      </c>
      <c r="D368" s="6" t="s">
        <v>2207</v>
      </c>
      <c r="E368" s="6" t="n">
        <v>35.9</v>
      </c>
      <c r="F368" s="6" t="s">
        <v>2866</v>
      </c>
    </row>
    <row r="369" customFormat="false" ht="35.05" hidden="false" customHeight="false" outlineLevel="0" collapsed="false">
      <c r="A369" s="6" t="s">
        <v>2867</v>
      </c>
      <c r="B369" s="6" t="s">
        <v>2327</v>
      </c>
      <c r="C369" s="6" t="s">
        <v>2115</v>
      </c>
      <c r="D369" s="6" t="s">
        <v>2207</v>
      </c>
      <c r="E369" s="6" t="n">
        <v>56.4</v>
      </c>
      <c r="F369" s="6" t="s">
        <v>2868</v>
      </c>
    </row>
    <row r="370" customFormat="false" ht="35.05" hidden="false" customHeight="false" outlineLevel="0" collapsed="false">
      <c r="A370" s="6" t="s">
        <v>902</v>
      </c>
      <c r="B370" s="6" t="s">
        <v>2217</v>
      </c>
      <c r="C370" s="6" t="s">
        <v>2218</v>
      </c>
      <c r="D370" s="6" t="s">
        <v>2207</v>
      </c>
      <c r="E370" s="6" t="n">
        <v>57.4</v>
      </c>
      <c r="F370" s="6" t="s">
        <v>2869</v>
      </c>
    </row>
    <row r="371" customFormat="false" ht="35.05" hidden="false" customHeight="false" outlineLevel="0" collapsed="false">
      <c r="A371" s="6" t="s">
        <v>902</v>
      </c>
      <c r="B371" s="6" t="s">
        <v>2720</v>
      </c>
      <c r="C371" s="6" t="s">
        <v>2448</v>
      </c>
      <c r="D371" s="6" t="s">
        <v>2207</v>
      </c>
      <c r="E371" s="6" t="n">
        <v>20</v>
      </c>
      <c r="F371" s="6" t="s">
        <v>2870</v>
      </c>
    </row>
    <row r="372" customFormat="false" ht="35.05" hidden="false" customHeight="false" outlineLevel="0" collapsed="false">
      <c r="A372" s="6" t="s">
        <v>2871</v>
      </c>
      <c r="B372" s="6" t="s">
        <v>2685</v>
      </c>
      <c r="C372" s="6" t="s">
        <v>2686</v>
      </c>
      <c r="D372" s="6" t="s">
        <v>2207</v>
      </c>
      <c r="E372" s="6" t="n">
        <v>57.1</v>
      </c>
      <c r="F372" s="6" t="s">
        <v>2872</v>
      </c>
    </row>
    <row r="373" customFormat="false" ht="46.25" hidden="false" customHeight="false" outlineLevel="0" collapsed="false">
      <c r="A373" s="6" t="s">
        <v>2871</v>
      </c>
      <c r="B373" s="6" t="s">
        <v>2311</v>
      </c>
      <c r="C373" s="6" t="s">
        <v>1089</v>
      </c>
      <c r="D373" s="6" t="s">
        <v>2207</v>
      </c>
      <c r="E373" s="6" t="n">
        <v>22.5</v>
      </c>
      <c r="F373" s="6" t="s">
        <v>2873</v>
      </c>
    </row>
    <row r="374" customFormat="false" ht="46.25" hidden="false" customHeight="false" outlineLevel="0" collapsed="false">
      <c r="A374" s="6" t="s">
        <v>2871</v>
      </c>
      <c r="B374" s="6" t="s">
        <v>2363</v>
      </c>
      <c r="C374" s="6" t="s">
        <v>2364</v>
      </c>
      <c r="D374" s="6" t="s">
        <v>2207</v>
      </c>
      <c r="E374" s="6" t="n">
        <v>46.6</v>
      </c>
      <c r="F374" s="6" t="s">
        <v>2874</v>
      </c>
    </row>
    <row r="375" customFormat="false" ht="35.05" hidden="false" customHeight="false" outlineLevel="0" collapsed="false">
      <c r="A375" s="6" t="s">
        <v>2871</v>
      </c>
      <c r="B375" s="6" t="s">
        <v>2534</v>
      </c>
      <c r="C375" s="6" t="s">
        <v>2723</v>
      </c>
      <c r="D375" s="6" t="s">
        <v>2207</v>
      </c>
      <c r="E375" s="6" t="n">
        <v>42.2</v>
      </c>
      <c r="F375" s="6" t="s">
        <v>2875</v>
      </c>
    </row>
    <row r="376" customFormat="false" ht="35.05" hidden="false" customHeight="false" outlineLevel="0" collapsed="false">
      <c r="A376" s="6" t="s">
        <v>2876</v>
      </c>
      <c r="B376" s="6" t="s">
        <v>2694</v>
      </c>
      <c r="C376" s="6" t="s">
        <v>2161</v>
      </c>
      <c r="D376" s="6" t="s">
        <v>2207</v>
      </c>
      <c r="E376" s="6" t="n">
        <v>65</v>
      </c>
      <c r="F376" s="6" t="s">
        <v>2877</v>
      </c>
    </row>
    <row r="377" customFormat="false" ht="35.05" hidden="false" customHeight="false" outlineLevel="0" collapsed="false">
      <c r="A377" s="6" t="s">
        <v>2878</v>
      </c>
      <c r="B377" s="6" t="s">
        <v>2643</v>
      </c>
      <c r="C377" s="6" t="s">
        <v>2644</v>
      </c>
      <c r="D377" s="6" t="s">
        <v>2207</v>
      </c>
      <c r="E377" s="6" t="n">
        <v>52.9</v>
      </c>
      <c r="F377" s="6" t="s">
        <v>2879</v>
      </c>
    </row>
    <row r="378" customFormat="false" ht="46.25" hidden="false" customHeight="false" outlineLevel="0" collapsed="false">
      <c r="A378" s="6" t="s">
        <v>2878</v>
      </c>
      <c r="B378" s="6" t="s">
        <v>859</v>
      </c>
      <c r="C378" s="6" t="s">
        <v>1089</v>
      </c>
      <c r="D378" s="6" t="s">
        <v>2207</v>
      </c>
      <c r="E378" s="6" t="n">
        <v>24.5</v>
      </c>
      <c r="F378" s="6" t="s">
        <v>2880</v>
      </c>
    </row>
    <row r="379" customFormat="false" ht="35.05" hidden="false" customHeight="false" outlineLevel="0" collapsed="false">
      <c r="A379" s="6" t="s">
        <v>2878</v>
      </c>
      <c r="B379" s="6" t="s">
        <v>2881</v>
      </c>
      <c r="C379" s="6" t="s">
        <v>2387</v>
      </c>
      <c r="D379" s="6" t="s">
        <v>2207</v>
      </c>
      <c r="E379" s="6" t="n">
        <v>52.7</v>
      </c>
      <c r="F379" s="6" t="s">
        <v>2882</v>
      </c>
    </row>
    <row r="380" customFormat="false" ht="35.05" hidden="false" customHeight="false" outlineLevel="0" collapsed="false">
      <c r="A380" s="6" t="s">
        <v>2878</v>
      </c>
      <c r="B380" s="6" t="s">
        <v>2883</v>
      </c>
      <c r="C380" s="6" t="s">
        <v>2884</v>
      </c>
      <c r="D380" s="6" t="s">
        <v>2207</v>
      </c>
      <c r="E380" s="6" t="n">
        <v>52.6</v>
      </c>
      <c r="F380" s="6" t="s">
        <v>2885</v>
      </c>
    </row>
    <row r="381" customFormat="false" ht="35.05" hidden="false" customHeight="false" outlineLevel="0" collapsed="false">
      <c r="A381" s="6" t="s">
        <v>2886</v>
      </c>
      <c r="B381" s="6" t="s">
        <v>2694</v>
      </c>
      <c r="C381" s="6" t="s">
        <v>2161</v>
      </c>
      <c r="D381" s="6" t="s">
        <v>2207</v>
      </c>
      <c r="E381" s="6" t="n">
        <v>65</v>
      </c>
      <c r="F381" s="6" t="s">
        <v>2887</v>
      </c>
    </row>
    <row r="382" customFormat="false" ht="46.25" hidden="false" customHeight="false" outlineLevel="0" collapsed="false">
      <c r="A382" s="6" t="s">
        <v>2886</v>
      </c>
      <c r="B382" s="6" t="s">
        <v>859</v>
      </c>
      <c r="C382" s="6" t="s">
        <v>1089</v>
      </c>
      <c r="D382" s="6" t="s">
        <v>2207</v>
      </c>
      <c r="E382" s="6" t="n">
        <v>24.5</v>
      </c>
      <c r="F382" s="6" t="s">
        <v>2888</v>
      </c>
    </row>
    <row r="383" customFormat="false" ht="35.05" hidden="false" customHeight="false" outlineLevel="0" collapsed="false">
      <c r="A383" s="6" t="s">
        <v>2886</v>
      </c>
      <c r="B383" s="6" t="s">
        <v>2534</v>
      </c>
      <c r="C383" s="6" t="s">
        <v>2723</v>
      </c>
      <c r="D383" s="6" t="s">
        <v>2207</v>
      </c>
      <c r="E383" s="6" t="n">
        <v>42.2</v>
      </c>
      <c r="F383" s="6" t="s">
        <v>2889</v>
      </c>
    </row>
    <row r="384" customFormat="false" ht="35.05" hidden="false" customHeight="false" outlineLevel="0" collapsed="false">
      <c r="A384" s="6" t="s">
        <v>2886</v>
      </c>
      <c r="B384" s="6" t="s">
        <v>2143</v>
      </c>
      <c r="C384" s="6" t="s">
        <v>2228</v>
      </c>
      <c r="D384" s="6" t="s">
        <v>2207</v>
      </c>
      <c r="E384" s="6" t="n">
        <v>47.8</v>
      </c>
      <c r="F384" s="6" t="s">
        <v>2890</v>
      </c>
    </row>
    <row r="385" customFormat="false" ht="35.05" hidden="false" customHeight="false" outlineLevel="0" collapsed="false">
      <c r="A385" s="6" t="s">
        <v>2891</v>
      </c>
      <c r="B385" s="6" t="s">
        <v>634</v>
      </c>
      <c r="C385" s="6" t="s">
        <v>2692</v>
      </c>
      <c r="D385" s="6" t="s">
        <v>2207</v>
      </c>
      <c r="E385" s="6" t="n">
        <v>25.2</v>
      </c>
      <c r="F385" s="6" t="s">
        <v>2892</v>
      </c>
    </row>
    <row r="386" customFormat="false" ht="35.05" hidden="false" customHeight="false" outlineLevel="0" collapsed="false">
      <c r="A386" s="6" t="s">
        <v>2893</v>
      </c>
      <c r="B386" s="6" t="s">
        <v>2787</v>
      </c>
      <c r="C386" s="6" t="s">
        <v>2788</v>
      </c>
      <c r="D386" s="6" t="s">
        <v>2207</v>
      </c>
      <c r="E386" s="6" t="n">
        <v>70.1</v>
      </c>
      <c r="F386" s="6" t="s">
        <v>2894</v>
      </c>
    </row>
    <row r="387" customFormat="false" ht="68.65" hidden="false" customHeight="false" outlineLevel="0" collapsed="false">
      <c r="A387" s="6" t="s">
        <v>2895</v>
      </c>
      <c r="B387" s="6" t="s">
        <v>2492</v>
      </c>
      <c r="C387" s="6" t="s">
        <v>2152</v>
      </c>
      <c r="D387" s="6" t="s">
        <v>2207</v>
      </c>
      <c r="E387" s="6" t="n">
        <v>74.9</v>
      </c>
      <c r="F387" s="6" t="s">
        <v>2896</v>
      </c>
    </row>
    <row r="388" customFormat="false" ht="35.05" hidden="false" customHeight="false" outlineLevel="0" collapsed="false">
      <c r="A388" s="6" t="s">
        <v>2897</v>
      </c>
      <c r="B388" s="6" t="s">
        <v>2898</v>
      </c>
      <c r="C388" s="6" t="s">
        <v>2899</v>
      </c>
      <c r="D388" s="6" t="s">
        <v>2207</v>
      </c>
      <c r="E388" s="6" t="n">
        <v>38.4</v>
      </c>
      <c r="F388" s="6" t="s">
        <v>2900</v>
      </c>
    </row>
    <row r="389" customFormat="false" ht="35.05" hidden="false" customHeight="false" outlineLevel="0" collapsed="false">
      <c r="A389" s="6" t="s">
        <v>2901</v>
      </c>
      <c r="B389" s="6" t="s">
        <v>634</v>
      </c>
      <c r="C389" s="6" t="s">
        <v>2692</v>
      </c>
      <c r="D389" s="6" t="s">
        <v>2207</v>
      </c>
      <c r="E389" s="6" t="n">
        <v>25.2</v>
      </c>
      <c r="F389" s="6" t="s">
        <v>2902</v>
      </c>
    </row>
    <row r="390" customFormat="false" ht="35.05" hidden="false" customHeight="false" outlineLevel="0" collapsed="false">
      <c r="A390" s="6" t="s">
        <v>2901</v>
      </c>
      <c r="B390" s="6" t="s">
        <v>2213</v>
      </c>
      <c r="C390" s="6" t="s">
        <v>2157</v>
      </c>
      <c r="D390" s="6" t="s">
        <v>2207</v>
      </c>
      <c r="E390" s="6" t="n">
        <v>58.9</v>
      </c>
      <c r="F390" s="6" t="s">
        <v>2903</v>
      </c>
    </row>
    <row r="391" customFormat="false" ht="57.45" hidden="false" customHeight="false" outlineLevel="0" collapsed="false">
      <c r="A391" s="6" t="s">
        <v>2904</v>
      </c>
      <c r="B391" s="6" t="s">
        <v>2492</v>
      </c>
      <c r="C391" s="6" t="s">
        <v>2152</v>
      </c>
      <c r="D391" s="6" t="s">
        <v>2207</v>
      </c>
      <c r="E391" s="6" t="n">
        <v>74.9</v>
      </c>
      <c r="F391" s="6" t="s">
        <v>2905</v>
      </c>
    </row>
    <row r="392" customFormat="false" ht="35.05" hidden="false" customHeight="false" outlineLevel="0" collapsed="false">
      <c r="A392" s="6" t="s">
        <v>2906</v>
      </c>
      <c r="B392" s="6" t="s">
        <v>2883</v>
      </c>
      <c r="C392" s="6" t="s">
        <v>2884</v>
      </c>
      <c r="D392" s="6" t="s">
        <v>2207</v>
      </c>
      <c r="E392" s="6" t="n">
        <v>52.6</v>
      </c>
      <c r="F392" s="6" t="s">
        <v>2907</v>
      </c>
    </row>
    <row r="393" customFormat="false" ht="35.05" hidden="false" customHeight="false" outlineLevel="0" collapsed="false">
      <c r="A393" s="6" t="s">
        <v>2906</v>
      </c>
      <c r="B393" s="6" t="s">
        <v>2823</v>
      </c>
      <c r="C393" s="6" t="s">
        <v>2809</v>
      </c>
      <c r="D393" s="6" t="s">
        <v>2207</v>
      </c>
      <c r="E393" s="6" t="n">
        <v>71.9</v>
      </c>
      <c r="F393" s="6" t="s">
        <v>2908</v>
      </c>
    </row>
    <row r="394" customFormat="false" ht="35.05" hidden="false" customHeight="false" outlineLevel="0" collapsed="false">
      <c r="A394" s="6" t="s">
        <v>2909</v>
      </c>
      <c r="B394" s="6" t="s">
        <v>2883</v>
      </c>
      <c r="C394" s="6" t="s">
        <v>2910</v>
      </c>
      <c r="D394" s="6" t="s">
        <v>2207</v>
      </c>
      <c r="E394" s="6" t="n">
        <v>51.7</v>
      </c>
      <c r="F394" s="6" t="s">
        <v>2911</v>
      </c>
    </row>
    <row r="395" customFormat="false" ht="35.05" hidden="false" customHeight="false" outlineLevel="0" collapsed="false">
      <c r="A395" s="6" t="s">
        <v>2912</v>
      </c>
      <c r="B395" s="6" t="s">
        <v>2170</v>
      </c>
      <c r="C395" s="6" t="s">
        <v>2659</v>
      </c>
      <c r="D395" s="6" t="s">
        <v>2207</v>
      </c>
      <c r="E395" s="6" t="n">
        <v>73</v>
      </c>
      <c r="F395" s="6" t="s">
        <v>2913</v>
      </c>
    </row>
    <row r="396" customFormat="false" ht="46.25" hidden="false" customHeight="false" outlineLevel="0" collapsed="false">
      <c r="A396" s="6" t="s">
        <v>2914</v>
      </c>
      <c r="B396" s="6" t="s">
        <v>859</v>
      </c>
      <c r="C396" s="6" t="s">
        <v>1089</v>
      </c>
      <c r="D396" s="6" t="s">
        <v>2207</v>
      </c>
      <c r="E396" s="6" t="n">
        <v>24.5</v>
      </c>
      <c r="F396" s="6" t="s">
        <v>2915</v>
      </c>
    </row>
    <row r="397" customFormat="false" ht="46.25" hidden="false" customHeight="false" outlineLevel="0" collapsed="false">
      <c r="A397" s="6" t="s">
        <v>2914</v>
      </c>
      <c r="B397" s="6" t="s">
        <v>2694</v>
      </c>
      <c r="C397" s="6" t="s">
        <v>2161</v>
      </c>
      <c r="D397" s="6" t="s">
        <v>2207</v>
      </c>
      <c r="E397" s="6" t="n">
        <v>65</v>
      </c>
      <c r="F397" s="6" t="s">
        <v>2916</v>
      </c>
    </row>
    <row r="398" customFormat="false" ht="35.05" hidden="false" customHeight="false" outlineLevel="0" collapsed="false">
      <c r="A398" s="6" t="s">
        <v>2917</v>
      </c>
      <c r="B398" s="6" t="s">
        <v>2751</v>
      </c>
      <c r="C398" s="6" t="s">
        <v>2152</v>
      </c>
      <c r="D398" s="6" t="s">
        <v>2207</v>
      </c>
      <c r="E398" s="6" t="n">
        <v>66.9</v>
      </c>
      <c r="F398" s="6" t="s">
        <v>2918</v>
      </c>
    </row>
    <row r="399" customFormat="false" ht="35.05" hidden="false" customHeight="false" outlineLevel="0" collapsed="false">
      <c r="A399" s="6" t="s">
        <v>2919</v>
      </c>
      <c r="B399" s="6" t="s">
        <v>2563</v>
      </c>
      <c r="C399" s="6" t="s">
        <v>2161</v>
      </c>
      <c r="D399" s="6" t="s">
        <v>2207</v>
      </c>
      <c r="E399" s="6" t="n">
        <v>68.6</v>
      </c>
      <c r="F399" s="6" t="s">
        <v>2920</v>
      </c>
    </row>
    <row r="400" customFormat="false" ht="46.25" hidden="false" customHeight="false" outlineLevel="0" collapsed="false">
      <c r="A400" s="6" t="s">
        <v>2919</v>
      </c>
      <c r="B400" s="6" t="s">
        <v>2217</v>
      </c>
      <c r="C400" s="6" t="s">
        <v>2218</v>
      </c>
      <c r="D400" s="6" t="s">
        <v>2207</v>
      </c>
      <c r="E400" s="6" t="n">
        <v>57.4</v>
      </c>
      <c r="F400" s="6" t="s">
        <v>2921</v>
      </c>
    </row>
    <row r="401" customFormat="false" ht="35.05" hidden="false" customHeight="false" outlineLevel="0" collapsed="false">
      <c r="A401" s="6" t="s">
        <v>2922</v>
      </c>
      <c r="B401" s="6" t="s">
        <v>2217</v>
      </c>
      <c r="C401" s="6" t="s">
        <v>2218</v>
      </c>
      <c r="D401" s="6" t="s">
        <v>2207</v>
      </c>
      <c r="E401" s="6" t="n">
        <v>57.4</v>
      </c>
      <c r="F401" s="6" t="s">
        <v>2923</v>
      </c>
    </row>
    <row r="402" customFormat="false" ht="35.05" hidden="false" customHeight="false" outlineLevel="0" collapsed="false">
      <c r="A402" s="6" t="s">
        <v>2924</v>
      </c>
      <c r="B402" s="6" t="s">
        <v>2363</v>
      </c>
      <c r="C402" s="6" t="s">
        <v>2364</v>
      </c>
      <c r="D402" s="6" t="s">
        <v>2207</v>
      </c>
      <c r="E402" s="6" t="n">
        <v>46.6</v>
      </c>
      <c r="F402" s="6" t="s">
        <v>2925</v>
      </c>
    </row>
    <row r="403" customFormat="false" ht="35.05" hidden="false" customHeight="false" outlineLevel="0" collapsed="false">
      <c r="A403" s="6" t="s">
        <v>2926</v>
      </c>
      <c r="B403" s="6" t="s">
        <v>2379</v>
      </c>
      <c r="C403" s="6" t="s">
        <v>2380</v>
      </c>
      <c r="D403" s="6" t="s">
        <v>2207</v>
      </c>
      <c r="E403" s="6" t="n">
        <v>51</v>
      </c>
      <c r="F403" s="6" t="s">
        <v>2927</v>
      </c>
    </row>
    <row r="404" customFormat="false" ht="46.25" hidden="false" customHeight="false" outlineLevel="0" collapsed="false">
      <c r="A404" s="6" t="s">
        <v>2928</v>
      </c>
      <c r="B404" s="6" t="s">
        <v>2694</v>
      </c>
      <c r="C404" s="6" t="s">
        <v>2161</v>
      </c>
      <c r="D404" s="6" t="s">
        <v>2207</v>
      </c>
      <c r="E404" s="6" t="n">
        <v>65</v>
      </c>
      <c r="F404" s="6" t="s">
        <v>2929</v>
      </c>
    </row>
    <row r="405" customFormat="false" ht="46.25" hidden="false" customHeight="false" outlineLevel="0" collapsed="false">
      <c r="A405" s="6" t="s">
        <v>2928</v>
      </c>
      <c r="B405" s="6" t="s">
        <v>2311</v>
      </c>
      <c r="C405" s="6" t="s">
        <v>1089</v>
      </c>
      <c r="D405" s="6" t="s">
        <v>2207</v>
      </c>
      <c r="E405" s="6" t="n">
        <v>22.5</v>
      </c>
      <c r="F405" s="6" t="s">
        <v>2930</v>
      </c>
    </row>
    <row r="406" customFormat="false" ht="35.05" hidden="false" customHeight="false" outlineLevel="0" collapsed="false">
      <c r="A406" s="6" t="s">
        <v>2931</v>
      </c>
      <c r="B406" s="6" t="s">
        <v>2898</v>
      </c>
      <c r="C406" s="6" t="s">
        <v>2899</v>
      </c>
      <c r="D406" s="6" t="s">
        <v>2207</v>
      </c>
      <c r="E406" s="6" t="n">
        <v>38.4</v>
      </c>
      <c r="F406" s="6" t="s">
        <v>2932</v>
      </c>
    </row>
    <row r="407" customFormat="false" ht="46.25" hidden="false" customHeight="false" outlineLevel="0" collapsed="false">
      <c r="A407" s="6" t="s">
        <v>2933</v>
      </c>
      <c r="B407" s="6" t="s">
        <v>2534</v>
      </c>
      <c r="C407" s="6" t="s">
        <v>2723</v>
      </c>
      <c r="D407" s="6" t="s">
        <v>2207</v>
      </c>
      <c r="E407" s="6" t="n">
        <v>42.2</v>
      </c>
      <c r="F407" s="6" t="s">
        <v>2934</v>
      </c>
    </row>
    <row r="408" customFormat="false" ht="35.05" hidden="false" customHeight="false" outlineLevel="0" collapsed="false">
      <c r="A408" s="6" t="s">
        <v>2933</v>
      </c>
      <c r="B408" s="6" t="s">
        <v>2143</v>
      </c>
      <c r="C408" s="6" t="s">
        <v>2228</v>
      </c>
      <c r="D408" s="6" t="s">
        <v>2207</v>
      </c>
      <c r="E408" s="6" t="n">
        <v>47.8</v>
      </c>
      <c r="F408" s="6" t="s">
        <v>2935</v>
      </c>
    </row>
    <row r="409" customFormat="false" ht="46.25" hidden="false" customHeight="false" outlineLevel="0" collapsed="false">
      <c r="A409" s="6" t="s">
        <v>2936</v>
      </c>
      <c r="B409" s="6" t="s">
        <v>2492</v>
      </c>
      <c r="C409" s="6" t="s">
        <v>2152</v>
      </c>
      <c r="D409" s="6" t="s">
        <v>2207</v>
      </c>
      <c r="E409" s="6" t="n">
        <v>74.9</v>
      </c>
      <c r="F409" s="6" t="s">
        <v>2937</v>
      </c>
    </row>
    <row r="410" customFormat="false" ht="35.05" hidden="false" customHeight="false" outlineLevel="0" collapsed="false">
      <c r="A410" s="6" t="s">
        <v>2938</v>
      </c>
      <c r="B410" s="6" t="s">
        <v>2727</v>
      </c>
      <c r="C410" s="6" t="s">
        <v>2535</v>
      </c>
      <c r="D410" s="6" t="s">
        <v>2207</v>
      </c>
      <c r="E410" s="6" t="n">
        <v>44.9</v>
      </c>
      <c r="F410" s="6" t="s">
        <v>2939</v>
      </c>
    </row>
    <row r="411" customFormat="false" ht="35.05" hidden="false" customHeight="false" outlineLevel="0" collapsed="false">
      <c r="A411" s="6" t="s">
        <v>2938</v>
      </c>
      <c r="B411" s="6" t="s">
        <v>2940</v>
      </c>
      <c r="C411" s="6" t="s">
        <v>2519</v>
      </c>
      <c r="D411" s="6" t="s">
        <v>2207</v>
      </c>
      <c r="E411" s="6" t="n">
        <v>48.7</v>
      </c>
      <c r="F411" s="6" t="s">
        <v>2941</v>
      </c>
    </row>
    <row r="412" customFormat="false" ht="46.25" hidden="false" customHeight="false" outlineLevel="0" collapsed="false">
      <c r="A412" s="6" t="s">
        <v>2938</v>
      </c>
      <c r="B412" s="6" t="s">
        <v>859</v>
      </c>
      <c r="C412" s="6" t="s">
        <v>1089</v>
      </c>
      <c r="D412" s="6" t="s">
        <v>2207</v>
      </c>
      <c r="E412" s="6" t="n">
        <v>24.5</v>
      </c>
      <c r="F412" s="6" t="s">
        <v>2942</v>
      </c>
    </row>
    <row r="413" customFormat="false" ht="35.05" hidden="false" customHeight="false" outlineLevel="0" collapsed="false">
      <c r="A413" s="6" t="s">
        <v>2943</v>
      </c>
      <c r="B413" s="6" t="s">
        <v>2213</v>
      </c>
      <c r="C413" s="6" t="s">
        <v>2157</v>
      </c>
      <c r="D413" s="6" t="s">
        <v>2207</v>
      </c>
      <c r="E413" s="6" t="n">
        <v>58.9</v>
      </c>
      <c r="F413" s="6" t="s">
        <v>2944</v>
      </c>
    </row>
    <row r="414" customFormat="false" ht="35.05" hidden="false" customHeight="false" outlineLevel="0" collapsed="false">
      <c r="A414" s="6" t="s">
        <v>2945</v>
      </c>
      <c r="B414" s="6" t="s">
        <v>2800</v>
      </c>
      <c r="C414" s="6" t="s">
        <v>2686</v>
      </c>
      <c r="D414" s="6" t="s">
        <v>2207</v>
      </c>
      <c r="E414" s="6" t="n">
        <v>62</v>
      </c>
      <c r="F414" s="6" t="s">
        <v>2946</v>
      </c>
    </row>
    <row r="415" customFormat="false" ht="35.05" hidden="false" customHeight="false" outlineLevel="0" collapsed="false">
      <c r="A415" s="6" t="s">
        <v>2945</v>
      </c>
      <c r="B415" s="6" t="s">
        <v>2582</v>
      </c>
      <c r="C415" s="6" t="s">
        <v>2123</v>
      </c>
      <c r="D415" s="6" t="s">
        <v>2207</v>
      </c>
      <c r="E415" s="6" t="n">
        <v>61.6</v>
      </c>
      <c r="F415" s="6" t="s">
        <v>2947</v>
      </c>
    </row>
    <row r="416" customFormat="false" ht="35.05" hidden="false" customHeight="false" outlineLevel="0" collapsed="false">
      <c r="A416" s="6" t="s">
        <v>2945</v>
      </c>
      <c r="B416" s="6" t="s">
        <v>2756</v>
      </c>
      <c r="C416" s="6" t="s">
        <v>2757</v>
      </c>
      <c r="D416" s="6" t="s">
        <v>2207</v>
      </c>
      <c r="E416" s="6" t="n">
        <v>55.3</v>
      </c>
      <c r="F416" s="6" t="s">
        <v>2948</v>
      </c>
    </row>
    <row r="417" customFormat="false" ht="35.05" hidden="false" customHeight="false" outlineLevel="0" collapsed="false">
      <c r="A417" s="6" t="s">
        <v>2945</v>
      </c>
      <c r="B417" s="6" t="s">
        <v>2694</v>
      </c>
      <c r="C417" s="6" t="s">
        <v>2161</v>
      </c>
      <c r="D417" s="6" t="s">
        <v>2207</v>
      </c>
      <c r="E417" s="6" t="n">
        <v>65</v>
      </c>
      <c r="F417" s="6" t="s">
        <v>2949</v>
      </c>
    </row>
    <row r="418" customFormat="false" ht="35.05" hidden="false" customHeight="false" outlineLevel="0" collapsed="false">
      <c r="A418" s="6" t="s">
        <v>2950</v>
      </c>
      <c r="B418" s="6" t="s">
        <v>2492</v>
      </c>
      <c r="C418" s="6" t="s">
        <v>2152</v>
      </c>
      <c r="D418" s="6" t="s">
        <v>2207</v>
      </c>
      <c r="E418" s="6" t="n">
        <v>74.9</v>
      </c>
      <c r="F418" s="6" t="s">
        <v>2951</v>
      </c>
    </row>
    <row r="419" customFormat="false" ht="35.05" hidden="false" customHeight="false" outlineLevel="0" collapsed="false">
      <c r="A419" s="6" t="s">
        <v>2950</v>
      </c>
      <c r="B419" s="6" t="s">
        <v>2143</v>
      </c>
      <c r="C419" s="6" t="s">
        <v>2228</v>
      </c>
      <c r="D419" s="6" t="s">
        <v>2207</v>
      </c>
      <c r="E419" s="6" t="n">
        <v>47.8</v>
      </c>
      <c r="F419" s="6" t="s">
        <v>2952</v>
      </c>
    </row>
    <row r="420" customFormat="false" ht="35.05" hidden="false" customHeight="false" outlineLevel="0" collapsed="false">
      <c r="A420" s="6" t="s">
        <v>2953</v>
      </c>
      <c r="B420" s="6" t="s">
        <v>2534</v>
      </c>
      <c r="C420" s="6" t="s">
        <v>2723</v>
      </c>
      <c r="D420" s="6" t="s">
        <v>2207</v>
      </c>
      <c r="E420" s="6" t="n">
        <v>42.2</v>
      </c>
      <c r="F420" s="6" t="s">
        <v>2954</v>
      </c>
    </row>
    <row r="421" customFormat="false" ht="35.05" hidden="false" customHeight="false" outlineLevel="0" collapsed="false">
      <c r="A421" s="6" t="s">
        <v>2955</v>
      </c>
      <c r="B421" s="6" t="s">
        <v>2379</v>
      </c>
      <c r="C421" s="6" t="s">
        <v>2380</v>
      </c>
      <c r="D421" s="6" t="s">
        <v>2207</v>
      </c>
      <c r="E421" s="6" t="n">
        <v>51</v>
      </c>
      <c r="F421" s="6" t="s">
        <v>2956</v>
      </c>
    </row>
    <row r="422" customFormat="false" ht="35.05" hidden="false" customHeight="false" outlineLevel="0" collapsed="false">
      <c r="A422" s="6" t="s">
        <v>2957</v>
      </c>
      <c r="B422" s="6" t="s">
        <v>2170</v>
      </c>
      <c r="C422" s="6" t="s">
        <v>2659</v>
      </c>
      <c r="D422" s="6" t="s">
        <v>2207</v>
      </c>
      <c r="E422" s="6" t="n">
        <v>73</v>
      </c>
      <c r="F422" s="6" t="s">
        <v>2958</v>
      </c>
    </row>
    <row r="423" customFormat="false" ht="35.05" hidden="false" customHeight="false" outlineLevel="0" collapsed="false">
      <c r="A423" s="6" t="s">
        <v>2959</v>
      </c>
      <c r="B423" s="6" t="s">
        <v>2823</v>
      </c>
      <c r="C423" s="6" t="s">
        <v>2809</v>
      </c>
      <c r="D423" s="6" t="s">
        <v>2207</v>
      </c>
      <c r="E423" s="6" t="n">
        <v>71.9</v>
      </c>
      <c r="F423" s="6" t="s">
        <v>2960</v>
      </c>
    </row>
    <row r="424" customFormat="false" ht="35.05" hidden="false" customHeight="false" outlineLevel="0" collapsed="false">
      <c r="A424" s="6" t="s">
        <v>2961</v>
      </c>
      <c r="B424" s="6" t="s">
        <v>2898</v>
      </c>
      <c r="C424" s="6" t="s">
        <v>2899</v>
      </c>
      <c r="D424" s="6" t="s">
        <v>2207</v>
      </c>
      <c r="E424" s="6" t="n">
        <v>38.4</v>
      </c>
      <c r="F424" s="6" t="s">
        <v>2962</v>
      </c>
    </row>
    <row r="425" customFormat="false" ht="35.05" hidden="false" customHeight="false" outlineLevel="0" collapsed="false">
      <c r="A425" s="6" t="s">
        <v>2963</v>
      </c>
      <c r="B425" s="6" t="s">
        <v>2131</v>
      </c>
      <c r="C425" s="6" t="s">
        <v>2132</v>
      </c>
      <c r="D425" s="6" t="s">
        <v>2207</v>
      </c>
      <c r="E425" s="6" t="n">
        <v>54.8</v>
      </c>
      <c r="F425" s="6" t="s">
        <v>2964</v>
      </c>
    </row>
    <row r="426" customFormat="false" ht="35.05" hidden="false" customHeight="false" outlineLevel="0" collapsed="false">
      <c r="A426" s="6" t="s">
        <v>2965</v>
      </c>
      <c r="B426" s="6" t="s">
        <v>2217</v>
      </c>
      <c r="C426" s="6" t="s">
        <v>2218</v>
      </c>
      <c r="D426" s="6" t="s">
        <v>2207</v>
      </c>
      <c r="E426" s="6" t="n">
        <v>57.4</v>
      </c>
      <c r="F426" s="6" t="s">
        <v>2966</v>
      </c>
    </row>
    <row r="427" customFormat="false" ht="35.05" hidden="false" customHeight="false" outlineLevel="0" collapsed="false">
      <c r="A427" s="6" t="s">
        <v>2967</v>
      </c>
      <c r="B427" s="6" t="s">
        <v>2213</v>
      </c>
      <c r="C427" s="6" t="s">
        <v>2157</v>
      </c>
      <c r="D427" s="6" t="s">
        <v>2207</v>
      </c>
      <c r="E427" s="6" t="n">
        <v>58.9</v>
      </c>
      <c r="F427" s="6" t="s">
        <v>2968</v>
      </c>
    </row>
    <row r="428" customFormat="false" ht="35.05" hidden="false" customHeight="false" outlineLevel="0" collapsed="false">
      <c r="A428" s="6" t="s">
        <v>2969</v>
      </c>
      <c r="B428" s="6" t="s">
        <v>2379</v>
      </c>
      <c r="C428" s="6" t="s">
        <v>2380</v>
      </c>
      <c r="D428" s="6" t="s">
        <v>2207</v>
      </c>
      <c r="E428" s="6" t="n">
        <v>51</v>
      </c>
      <c r="F428" s="6" t="s">
        <v>2970</v>
      </c>
    </row>
    <row r="429" customFormat="false" ht="35.05" hidden="false" customHeight="false" outlineLevel="0" collapsed="false">
      <c r="A429" s="6" t="s">
        <v>2969</v>
      </c>
      <c r="B429" s="6" t="s">
        <v>2492</v>
      </c>
      <c r="C429" s="6" t="s">
        <v>2152</v>
      </c>
      <c r="D429" s="6" t="s">
        <v>2207</v>
      </c>
      <c r="E429" s="6" t="n">
        <v>74.9</v>
      </c>
      <c r="F429" s="6" t="s">
        <v>2971</v>
      </c>
    </row>
    <row r="430" customFormat="false" ht="35.05" hidden="false" customHeight="false" outlineLevel="0" collapsed="false">
      <c r="A430" s="6" t="s">
        <v>2969</v>
      </c>
      <c r="B430" s="6" t="s">
        <v>634</v>
      </c>
      <c r="C430" s="6" t="s">
        <v>2692</v>
      </c>
      <c r="D430" s="6" t="s">
        <v>2207</v>
      </c>
      <c r="E430" s="6" t="n">
        <v>25.2</v>
      </c>
      <c r="F430" s="6" t="s">
        <v>2972</v>
      </c>
    </row>
    <row r="431" customFormat="false" ht="35.05" hidden="false" customHeight="false" outlineLevel="0" collapsed="false">
      <c r="A431" s="6" t="s">
        <v>2973</v>
      </c>
      <c r="B431" s="6" t="s">
        <v>2563</v>
      </c>
      <c r="C431" s="6" t="s">
        <v>2161</v>
      </c>
      <c r="D431" s="6" t="s">
        <v>2207</v>
      </c>
      <c r="E431" s="6" t="n">
        <v>68.6</v>
      </c>
      <c r="F431" s="6" t="s">
        <v>2974</v>
      </c>
    </row>
    <row r="432" customFormat="false" ht="35.05" hidden="false" customHeight="false" outlineLevel="0" collapsed="false">
      <c r="A432" s="6" t="s">
        <v>2973</v>
      </c>
      <c r="B432" s="6" t="s">
        <v>2143</v>
      </c>
      <c r="C432" s="6" t="s">
        <v>2228</v>
      </c>
      <c r="D432" s="6" t="s">
        <v>2207</v>
      </c>
      <c r="E432" s="6" t="n">
        <v>47.8</v>
      </c>
      <c r="F432" s="6" t="s">
        <v>2975</v>
      </c>
    </row>
    <row r="433" customFormat="false" ht="46.25" hidden="false" customHeight="false" outlineLevel="0" collapsed="false">
      <c r="A433" s="6" t="s">
        <v>2976</v>
      </c>
      <c r="B433" s="6" t="s">
        <v>2311</v>
      </c>
      <c r="C433" s="6" t="s">
        <v>1089</v>
      </c>
      <c r="D433" s="6" t="s">
        <v>2207</v>
      </c>
      <c r="E433" s="6" t="n">
        <v>22.5</v>
      </c>
      <c r="F433" s="6" t="s">
        <v>2977</v>
      </c>
    </row>
    <row r="434" customFormat="false" ht="57.45" hidden="false" customHeight="false" outlineLevel="0" collapsed="false">
      <c r="A434" s="6" t="s">
        <v>2978</v>
      </c>
      <c r="B434" s="6" t="s">
        <v>2582</v>
      </c>
      <c r="C434" s="6" t="s">
        <v>2123</v>
      </c>
      <c r="D434" s="6" t="s">
        <v>2207</v>
      </c>
      <c r="E434" s="6" t="n">
        <v>61.6</v>
      </c>
      <c r="F434" s="6" t="s">
        <v>2979</v>
      </c>
    </row>
    <row r="435" customFormat="false" ht="68.65" hidden="false" customHeight="false" outlineLevel="0" collapsed="false">
      <c r="A435" s="6" t="s">
        <v>874</v>
      </c>
      <c r="B435" s="6" t="s">
        <v>859</v>
      </c>
      <c r="C435" s="6" t="s">
        <v>1089</v>
      </c>
      <c r="D435" s="6" t="s">
        <v>2207</v>
      </c>
      <c r="E435" s="6" t="n">
        <v>24.5</v>
      </c>
      <c r="F435" s="6" t="s">
        <v>2980</v>
      </c>
    </row>
    <row r="436" customFormat="false" ht="35.05" hidden="false" customHeight="false" outlineLevel="0" collapsed="false">
      <c r="A436" s="6" t="s">
        <v>874</v>
      </c>
      <c r="B436" s="6" t="s">
        <v>2793</v>
      </c>
      <c r="C436" s="6" t="s">
        <v>2794</v>
      </c>
      <c r="D436" s="6" t="s">
        <v>2207</v>
      </c>
      <c r="E436" s="6" t="n">
        <v>47.8</v>
      </c>
      <c r="F436" s="6" t="s">
        <v>2981</v>
      </c>
    </row>
    <row r="437" customFormat="false" ht="35.05" hidden="false" customHeight="false" outlineLevel="0" collapsed="false">
      <c r="A437" s="6" t="s">
        <v>874</v>
      </c>
      <c r="B437" s="6" t="s">
        <v>2607</v>
      </c>
      <c r="C437" s="6" t="s">
        <v>2138</v>
      </c>
      <c r="D437" s="6" t="s">
        <v>2207</v>
      </c>
      <c r="E437" s="6" t="n">
        <v>36.6</v>
      </c>
      <c r="F437" s="6" t="s">
        <v>2982</v>
      </c>
    </row>
    <row r="438" customFormat="false" ht="46.25" hidden="false" customHeight="false" outlineLevel="0" collapsed="false">
      <c r="A438" s="6" t="s">
        <v>2983</v>
      </c>
      <c r="B438" s="6" t="s">
        <v>2311</v>
      </c>
      <c r="C438" s="6" t="s">
        <v>1089</v>
      </c>
      <c r="D438" s="6" t="s">
        <v>2207</v>
      </c>
      <c r="E438" s="6" t="n">
        <v>22.5</v>
      </c>
      <c r="F438" s="6" t="s">
        <v>2984</v>
      </c>
    </row>
    <row r="439" customFormat="false" ht="46.25" hidden="false" customHeight="false" outlineLevel="0" collapsed="false">
      <c r="A439" s="6" t="s">
        <v>2983</v>
      </c>
      <c r="B439" s="6" t="s">
        <v>859</v>
      </c>
      <c r="C439" s="6" t="s">
        <v>1089</v>
      </c>
      <c r="D439" s="6" t="s">
        <v>2207</v>
      </c>
      <c r="E439" s="6" t="n">
        <v>24.5</v>
      </c>
      <c r="F439" s="6" t="s">
        <v>2985</v>
      </c>
    </row>
    <row r="440" customFormat="false" ht="35.05" hidden="false" customHeight="false" outlineLevel="0" collapsed="false">
      <c r="A440" s="6" t="s">
        <v>2983</v>
      </c>
      <c r="B440" s="6" t="s">
        <v>2143</v>
      </c>
      <c r="C440" s="6" t="s">
        <v>2228</v>
      </c>
      <c r="D440" s="6" t="s">
        <v>2207</v>
      </c>
      <c r="E440" s="6" t="n">
        <v>47.8</v>
      </c>
      <c r="F440" s="6" t="s">
        <v>2986</v>
      </c>
    </row>
    <row r="441" customFormat="false" ht="35.05" hidden="false" customHeight="false" outlineLevel="0" collapsed="false">
      <c r="A441" s="6" t="s">
        <v>2987</v>
      </c>
      <c r="B441" s="6" t="s">
        <v>2170</v>
      </c>
      <c r="C441" s="6" t="s">
        <v>2659</v>
      </c>
      <c r="D441" s="6" t="s">
        <v>2207</v>
      </c>
      <c r="E441" s="6" t="n">
        <v>73</v>
      </c>
      <c r="F441" s="6" t="s">
        <v>2988</v>
      </c>
    </row>
    <row r="442" customFormat="false" ht="46.25" hidden="false" customHeight="false" outlineLevel="0" collapsed="false">
      <c r="A442" s="6" t="s">
        <v>2989</v>
      </c>
      <c r="B442" s="6" t="s">
        <v>2990</v>
      </c>
      <c r="C442" s="6" t="s">
        <v>2991</v>
      </c>
      <c r="D442" s="6" t="s">
        <v>2116</v>
      </c>
      <c r="E442" s="6" t="n">
        <v>74.9</v>
      </c>
      <c r="F442" s="6" t="s">
        <v>2992</v>
      </c>
    </row>
    <row r="443" customFormat="false" ht="35.05" hidden="false" customHeight="false" outlineLevel="0" collapsed="false">
      <c r="A443" s="6" t="s">
        <v>2993</v>
      </c>
      <c r="B443" s="6" t="s">
        <v>2143</v>
      </c>
      <c r="C443" s="6" t="s">
        <v>2228</v>
      </c>
      <c r="D443" s="6" t="s">
        <v>2207</v>
      </c>
      <c r="E443" s="6" t="n">
        <v>47.8</v>
      </c>
      <c r="F443" s="6" t="s">
        <v>2994</v>
      </c>
    </row>
    <row r="444" customFormat="false" ht="35.05" hidden="false" customHeight="false" outlineLevel="0" collapsed="false">
      <c r="A444" s="6" t="s">
        <v>2995</v>
      </c>
      <c r="B444" s="6" t="s">
        <v>2727</v>
      </c>
      <c r="C444" s="6" t="s">
        <v>2535</v>
      </c>
      <c r="D444" s="6" t="s">
        <v>2207</v>
      </c>
      <c r="E444" s="6" t="n">
        <v>44.9</v>
      </c>
      <c r="F444" s="6" t="s">
        <v>2996</v>
      </c>
    </row>
    <row r="445" customFormat="false" ht="35.05" hidden="false" customHeight="false" outlineLevel="0" collapsed="false">
      <c r="A445" s="6" t="s">
        <v>2997</v>
      </c>
      <c r="B445" s="6" t="s">
        <v>2170</v>
      </c>
      <c r="C445" s="6" t="s">
        <v>2659</v>
      </c>
      <c r="D445" s="6" t="s">
        <v>2207</v>
      </c>
      <c r="E445" s="6" t="n">
        <v>73</v>
      </c>
      <c r="F445" s="6" t="s">
        <v>2998</v>
      </c>
    </row>
    <row r="446" customFormat="false" ht="35.05" hidden="false" customHeight="false" outlineLevel="0" collapsed="false">
      <c r="A446" s="6" t="s">
        <v>2997</v>
      </c>
      <c r="B446" s="6" t="s">
        <v>2217</v>
      </c>
      <c r="C446" s="6" t="s">
        <v>2218</v>
      </c>
      <c r="D446" s="6" t="s">
        <v>2207</v>
      </c>
      <c r="E446" s="6" t="n">
        <v>57.4</v>
      </c>
      <c r="F446" s="6" t="s">
        <v>2999</v>
      </c>
    </row>
    <row r="447" customFormat="false" ht="46.25" hidden="false" customHeight="false" outlineLevel="0" collapsed="false">
      <c r="A447" s="6" t="s">
        <v>2997</v>
      </c>
      <c r="B447" s="6" t="s">
        <v>2311</v>
      </c>
      <c r="C447" s="6" t="s">
        <v>1089</v>
      </c>
      <c r="D447" s="6" t="s">
        <v>2207</v>
      </c>
      <c r="E447" s="6" t="n">
        <v>22.5</v>
      </c>
      <c r="F447" s="6" t="s">
        <v>3000</v>
      </c>
    </row>
    <row r="448" customFormat="false" ht="46.25" hidden="false" customHeight="false" outlineLevel="0" collapsed="false">
      <c r="A448" s="6" t="s">
        <v>2997</v>
      </c>
      <c r="B448" s="6" t="s">
        <v>859</v>
      </c>
      <c r="C448" s="6" t="s">
        <v>1089</v>
      </c>
      <c r="D448" s="6" t="s">
        <v>2207</v>
      </c>
      <c r="E448" s="6" t="n">
        <v>24.5</v>
      </c>
      <c r="F448" s="6" t="s">
        <v>3001</v>
      </c>
    </row>
    <row r="449" customFormat="false" ht="46.25" hidden="false" customHeight="false" outlineLevel="0" collapsed="false">
      <c r="A449" s="6" t="s">
        <v>2997</v>
      </c>
      <c r="B449" s="6" t="s">
        <v>2363</v>
      </c>
      <c r="C449" s="6" t="s">
        <v>2364</v>
      </c>
      <c r="D449" s="6" t="s">
        <v>2207</v>
      </c>
      <c r="E449" s="6" t="n">
        <v>46.6</v>
      </c>
      <c r="F449" s="6" t="s">
        <v>3002</v>
      </c>
    </row>
    <row r="450" customFormat="false" ht="35.05" hidden="false" customHeight="false" outlineLevel="0" collapsed="false">
      <c r="A450" s="6" t="s">
        <v>2997</v>
      </c>
      <c r="B450" s="6" t="s">
        <v>634</v>
      </c>
      <c r="C450" s="6" t="s">
        <v>2692</v>
      </c>
      <c r="D450" s="6" t="s">
        <v>2207</v>
      </c>
      <c r="E450" s="6" t="n">
        <v>25.2</v>
      </c>
      <c r="F450" s="6" t="s">
        <v>3003</v>
      </c>
    </row>
    <row r="451" customFormat="false" ht="35.05" hidden="false" customHeight="false" outlineLevel="0" collapsed="false">
      <c r="A451" s="6" t="s">
        <v>3004</v>
      </c>
      <c r="B451" s="6" t="s">
        <v>2898</v>
      </c>
      <c r="C451" s="6" t="s">
        <v>2899</v>
      </c>
      <c r="D451" s="6" t="s">
        <v>2207</v>
      </c>
      <c r="E451" s="6" t="n">
        <v>38.4</v>
      </c>
      <c r="F451" s="6" t="s">
        <v>3005</v>
      </c>
    </row>
    <row r="452" customFormat="false" ht="35.05" hidden="false" customHeight="false" outlineLevel="0" collapsed="false">
      <c r="A452" s="6" t="s">
        <v>3006</v>
      </c>
      <c r="B452" s="6" t="s">
        <v>2898</v>
      </c>
      <c r="C452" s="6" t="s">
        <v>2899</v>
      </c>
      <c r="D452" s="6" t="s">
        <v>2207</v>
      </c>
      <c r="E452" s="6" t="n">
        <v>38.4</v>
      </c>
      <c r="F452" s="6" t="s">
        <v>3007</v>
      </c>
    </row>
    <row r="453" customFormat="false" ht="35.05" hidden="false" customHeight="false" outlineLevel="0" collapsed="false">
      <c r="A453" s="6" t="s">
        <v>3008</v>
      </c>
      <c r="B453" s="6" t="s">
        <v>2213</v>
      </c>
      <c r="C453" s="6" t="s">
        <v>2157</v>
      </c>
      <c r="D453" s="6" t="s">
        <v>2207</v>
      </c>
      <c r="E453" s="6" t="n">
        <v>58.9</v>
      </c>
      <c r="F453" s="6" t="s">
        <v>3009</v>
      </c>
    </row>
    <row r="454" customFormat="false" ht="35.05" hidden="false" customHeight="false" outlineLevel="0" collapsed="false">
      <c r="A454" s="6" t="s">
        <v>3010</v>
      </c>
      <c r="B454" s="6" t="s">
        <v>2727</v>
      </c>
      <c r="C454" s="6" t="s">
        <v>2535</v>
      </c>
      <c r="D454" s="6" t="s">
        <v>2207</v>
      </c>
      <c r="E454" s="6" t="n">
        <v>44.9</v>
      </c>
      <c r="F454" s="6" t="s">
        <v>3011</v>
      </c>
    </row>
    <row r="455" customFormat="false" ht="57.45" hidden="false" customHeight="false" outlineLevel="0" collapsed="false">
      <c r="A455" s="6" t="s">
        <v>3010</v>
      </c>
      <c r="B455" s="6" t="s">
        <v>2217</v>
      </c>
      <c r="C455" s="6" t="s">
        <v>2218</v>
      </c>
      <c r="D455" s="6" t="s">
        <v>2207</v>
      </c>
      <c r="E455" s="6" t="n">
        <v>57.4</v>
      </c>
      <c r="F455" s="6" t="s">
        <v>3012</v>
      </c>
    </row>
    <row r="456" customFormat="false" ht="46.25" hidden="false" customHeight="false" outlineLevel="0" collapsed="false">
      <c r="A456" s="6" t="s">
        <v>3010</v>
      </c>
      <c r="B456" s="6" t="s">
        <v>2363</v>
      </c>
      <c r="C456" s="6" t="s">
        <v>2364</v>
      </c>
      <c r="D456" s="6" t="s">
        <v>2207</v>
      </c>
      <c r="E456" s="6" t="n">
        <v>46.6</v>
      </c>
      <c r="F456" s="6" t="s">
        <v>3013</v>
      </c>
    </row>
    <row r="457" customFormat="false" ht="35.05" hidden="false" customHeight="false" outlineLevel="0" collapsed="false">
      <c r="A457" s="6" t="s">
        <v>3014</v>
      </c>
      <c r="B457" s="6" t="s">
        <v>2213</v>
      </c>
      <c r="C457" s="6" t="s">
        <v>2157</v>
      </c>
      <c r="D457" s="6" t="s">
        <v>2207</v>
      </c>
      <c r="E457" s="6" t="n">
        <v>58.9</v>
      </c>
      <c r="F457" s="6" t="s">
        <v>3015</v>
      </c>
    </row>
    <row r="458" customFormat="false" ht="46.25" hidden="false" customHeight="false" outlineLevel="0" collapsed="false">
      <c r="A458" s="6" t="s">
        <v>857</v>
      </c>
      <c r="B458" s="6" t="s">
        <v>859</v>
      </c>
      <c r="C458" s="6" t="s">
        <v>1089</v>
      </c>
      <c r="D458" s="6" t="s">
        <v>2207</v>
      </c>
      <c r="E458" s="6" t="n">
        <v>24.5</v>
      </c>
      <c r="F458" s="6" t="s">
        <v>3016</v>
      </c>
    </row>
    <row r="459" customFormat="false" ht="35.05" hidden="false" customHeight="false" outlineLevel="0" collapsed="false">
      <c r="A459" s="6" t="s">
        <v>3017</v>
      </c>
      <c r="B459" s="6" t="s">
        <v>2217</v>
      </c>
      <c r="C459" s="6" t="s">
        <v>2218</v>
      </c>
      <c r="D459" s="6" t="s">
        <v>2207</v>
      </c>
      <c r="E459" s="6" t="n">
        <v>57.4</v>
      </c>
      <c r="F459" s="6" t="s">
        <v>3018</v>
      </c>
    </row>
    <row r="460" customFormat="false" ht="35.05" hidden="false" customHeight="false" outlineLevel="0" collapsed="false">
      <c r="A460" s="6" t="s">
        <v>3019</v>
      </c>
      <c r="B460" s="6" t="s">
        <v>2379</v>
      </c>
      <c r="C460" s="6" t="s">
        <v>2380</v>
      </c>
      <c r="D460" s="6" t="s">
        <v>2207</v>
      </c>
      <c r="E460" s="6" t="n">
        <v>51</v>
      </c>
      <c r="F460" s="6" t="s">
        <v>3020</v>
      </c>
    </row>
    <row r="461" customFormat="false" ht="46.25" hidden="false" customHeight="false" outlineLevel="0" collapsed="false">
      <c r="A461" s="6" t="s">
        <v>3019</v>
      </c>
      <c r="B461" s="6" t="s">
        <v>2145</v>
      </c>
      <c r="C461" s="6" t="s">
        <v>2146</v>
      </c>
      <c r="D461" s="6" t="s">
        <v>2207</v>
      </c>
      <c r="E461" s="6" t="n">
        <v>44.9</v>
      </c>
      <c r="F461" s="6" t="s">
        <v>3021</v>
      </c>
    </row>
    <row r="462" customFormat="false" ht="35.05" hidden="false" customHeight="false" outlineLevel="0" collapsed="false">
      <c r="A462" s="6" t="s">
        <v>3019</v>
      </c>
      <c r="B462" s="6" t="s">
        <v>2563</v>
      </c>
      <c r="C462" s="6" t="s">
        <v>2161</v>
      </c>
      <c r="D462" s="6" t="s">
        <v>2207</v>
      </c>
      <c r="E462" s="6" t="n">
        <v>68.6</v>
      </c>
      <c r="F462" s="6" t="s">
        <v>3022</v>
      </c>
    </row>
    <row r="463" customFormat="false" ht="35.05" hidden="false" customHeight="false" outlineLevel="0" collapsed="false">
      <c r="A463" s="6" t="s">
        <v>3019</v>
      </c>
      <c r="B463" s="6" t="s">
        <v>2694</v>
      </c>
      <c r="C463" s="6" t="s">
        <v>2161</v>
      </c>
      <c r="D463" s="6" t="s">
        <v>2207</v>
      </c>
      <c r="E463" s="6" t="n">
        <v>65</v>
      </c>
      <c r="F463" s="6" t="s">
        <v>3023</v>
      </c>
    </row>
    <row r="464" customFormat="false" ht="35.05" hidden="false" customHeight="false" outlineLevel="0" collapsed="false">
      <c r="A464" s="6" t="s">
        <v>3024</v>
      </c>
      <c r="B464" s="6" t="s">
        <v>2787</v>
      </c>
      <c r="C464" s="6" t="s">
        <v>2788</v>
      </c>
      <c r="D464" s="6" t="s">
        <v>2207</v>
      </c>
      <c r="E464" s="6" t="n">
        <v>70.3</v>
      </c>
      <c r="F464" s="6" t="s">
        <v>3025</v>
      </c>
    </row>
    <row r="465" customFormat="false" ht="35.05" hidden="false" customHeight="false" outlineLevel="0" collapsed="false">
      <c r="A465" s="6" t="s">
        <v>3026</v>
      </c>
      <c r="B465" s="6" t="s">
        <v>2940</v>
      </c>
      <c r="C465" s="6" t="s">
        <v>2519</v>
      </c>
      <c r="D465" s="6" t="s">
        <v>2207</v>
      </c>
      <c r="E465" s="6" t="n">
        <v>48.7</v>
      </c>
      <c r="F465" s="6" t="s">
        <v>3027</v>
      </c>
    </row>
    <row r="466" customFormat="false" ht="35.05" hidden="false" customHeight="false" outlineLevel="0" collapsed="false">
      <c r="A466" s="6" t="s">
        <v>3026</v>
      </c>
      <c r="B466" s="6" t="s">
        <v>3028</v>
      </c>
      <c r="C466" s="6" t="s">
        <v>3029</v>
      </c>
      <c r="D466" s="6" t="s">
        <v>2207</v>
      </c>
      <c r="E466" s="6" t="n">
        <v>70.6</v>
      </c>
      <c r="F466" s="6" t="s">
        <v>3030</v>
      </c>
    </row>
    <row r="467" customFormat="false" ht="79.85" hidden="false" customHeight="false" outlineLevel="0" collapsed="false">
      <c r="A467" s="6" t="s">
        <v>3031</v>
      </c>
      <c r="B467" s="6" t="s">
        <v>3032</v>
      </c>
      <c r="C467" s="6" t="s">
        <v>2115</v>
      </c>
      <c r="D467" s="6" t="s">
        <v>2116</v>
      </c>
      <c r="E467" s="6" t="n">
        <v>14.3</v>
      </c>
      <c r="F467" s="6" t="s">
        <v>3033</v>
      </c>
    </row>
    <row r="468" customFormat="false" ht="46.25" hidden="false" customHeight="false" outlineLevel="0" collapsed="false">
      <c r="A468" s="6" t="s">
        <v>3034</v>
      </c>
      <c r="B468" s="6" t="s">
        <v>2582</v>
      </c>
      <c r="C468" s="6" t="s">
        <v>2123</v>
      </c>
      <c r="D468" s="6" t="s">
        <v>2207</v>
      </c>
      <c r="E468" s="6" t="n">
        <v>61.3</v>
      </c>
      <c r="F468" s="6" t="s">
        <v>3035</v>
      </c>
    </row>
    <row r="469" customFormat="false" ht="35.05" hidden="false" customHeight="false" outlineLevel="0" collapsed="false">
      <c r="A469" s="6" t="s">
        <v>3034</v>
      </c>
      <c r="B469" s="6" t="s">
        <v>2582</v>
      </c>
      <c r="C469" s="6" t="s">
        <v>2123</v>
      </c>
      <c r="D469" s="6" t="s">
        <v>2207</v>
      </c>
      <c r="E469" s="6" t="n">
        <v>61.6</v>
      </c>
      <c r="F469" s="6" t="s">
        <v>3036</v>
      </c>
    </row>
    <row r="470" customFormat="false" ht="135.8" hidden="false" customHeight="false" outlineLevel="0" collapsed="false">
      <c r="A470" s="6" t="s">
        <v>3037</v>
      </c>
      <c r="B470" s="6" t="s">
        <v>310</v>
      </c>
      <c r="C470" s="6" t="s">
        <v>2115</v>
      </c>
      <c r="D470" s="6" t="s">
        <v>2207</v>
      </c>
      <c r="E470" s="6" t="n">
        <v>17.4</v>
      </c>
      <c r="F470" s="6" t="s">
        <v>3038</v>
      </c>
    </row>
    <row r="471" customFormat="false" ht="35.05" hidden="false" customHeight="false" outlineLevel="0" collapsed="false">
      <c r="A471" s="6" t="s">
        <v>835</v>
      </c>
      <c r="B471" s="6" t="s">
        <v>2156</v>
      </c>
      <c r="C471" s="6" t="s">
        <v>3039</v>
      </c>
      <c r="D471" s="6" t="s">
        <v>2207</v>
      </c>
      <c r="E471" s="6" t="n">
        <v>51.7</v>
      </c>
      <c r="F471" s="6" t="s">
        <v>3040</v>
      </c>
    </row>
    <row r="472" customFormat="false" ht="35.05" hidden="false" customHeight="false" outlineLevel="0" collapsed="false">
      <c r="A472" s="6" t="s">
        <v>835</v>
      </c>
      <c r="B472" s="6" t="s">
        <v>2217</v>
      </c>
      <c r="C472" s="6" t="s">
        <v>2218</v>
      </c>
      <c r="D472" s="6" t="s">
        <v>2207</v>
      </c>
      <c r="E472" s="6" t="n">
        <v>57.7</v>
      </c>
      <c r="F472" s="6" t="s">
        <v>3041</v>
      </c>
    </row>
    <row r="473" customFormat="false" ht="35.05" hidden="false" customHeight="false" outlineLevel="0" collapsed="false">
      <c r="A473" s="6" t="s">
        <v>835</v>
      </c>
      <c r="B473" s="6" t="s">
        <v>2217</v>
      </c>
      <c r="C473" s="6" t="s">
        <v>2218</v>
      </c>
      <c r="D473" s="6" t="s">
        <v>2207</v>
      </c>
      <c r="E473" s="6" t="n">
        <v>57.4</v>
      </c>
      <c r="F473" s="6" t="s">
        <v>3042</v>
      </c>
    </row>
    <row r="474" customFormat="false" ht="57.45" hidden="false" customHeight="false" outlineLevel="0" collapsed="false">
      <c r="A474" s="6" t="s">
        <v>835</v>
      </c>
      <c r="B474" s="6" t="s">
        <v>2213</v>
      </c>
      <c r="C474" s="6" t="s">
        <v>2157</v>
      </c>
      <c r="D474" s="6" t="s">
        <v>2207</v>
      </c>
      <c r="E474" s="6" t="n">
        <v>58.9</v>
      </c>
      <c r="F474" s="6" t="s">
        <v>3043</v>
      </c>
    </row>
    <row r="475" customFormat="false" ht="35.05" hidden="false" customHeight="false" outlineLevel="0" collapsed="false">
      <c r="A475" s="6" t="s">
        <v>835</v>
      </c>
      <c r="B475" s="6" t="s">
        <v>2213</v>
      </c>
      <c r="C475" s="6" t="s">
        <v>2157</v>
      </c>
      <c r="D475" s="6" t="s">
        <v>2207</v>
      </c>
      <c r="E475" s="6" t="n">
        <v>58.9</v>
      </c>
      <c r="F475" s="6" t="s">
        <v>3044</v>
      </c>
    </row>
    <row r="476" customFormat="false" ht="135.8" hidden="false" customHeight="false" outlineLevel="0" collapsed="false">
      <c r="A476" s="6" t="s">
        <v>835</v>
      </c>
      <c r="B476" s="6" t="s">
        <v>3045</v>
      </c>
      <c r="C476" s="6" t="s">
        <v>2364</v>
      </c>
      <c r="D476" s="6" t="s">
        <v>2207</v>
      </c>
      <c r="E476" s="6" t="n">
        <v>55.3</v>
      </c>
      <c r="F476" s="6" t="s">
        <v>3046</v>
      </c>
    </row>
    <row r="477" customFormat="false" ht="35.05" hidden="false" customHeight="false" outlineLevel="0" collapsed="false">
      <c r="A477" s="6" t="s">
        <v>835</v>
      </c>
      <c r="B477" s="6" t="s">
        <v>2404</v>
      </c>
      <c r="C477" s="6" t="s">
        <v>2119</v>
      </c>
      <c r="D477" s="6" t="s">
        <v>2207</v>
      </c>
      <c r="E477" s="6" t="n">
        <v>25.2</v>
      </c>
      <c r="F477" s="6" t="s">
        <v>3047</v>
      </c>
    </row>
    <row r="478" customFormat="false" ht="169.4" hidden="false" customHeight="false" outlineLevel="0" collapsed="false">
      <c r="A478" s="6" t="s">
        <v>835</v>
      </c>
      <c r="B478" s="6" t="s">
        <v>2131</v>
      </c>
      <c r="C478" s="6" t="s">
        <v>2132</v>
      </c>
      <c r="D478" s="6" t="s">
        <v>2207</v>
      </c>
      <c r="E478" s="6" t="n">
        <v>54.6</v>
      </c>
      <c r="F478" s="6" t="s">
        <v>3048</v>
      </c>
    </row>
    <row r="479" customFormat="false" ht="35.05" hidden="false" customHeight="false" outlineLevel="0" collapsed="false">
      <c r="A479" s="6" t="s">
        <v>835</v>
      </c>
      <c r="B479" s="6" t="s">
        <v>2131</v>
      </c>
      <c r="C479" s="6" t="s">
        <v>2132</v>
      </c>
      <c r="D479" s="6" t="s">
        <v>2207</v>
      </c>
      <c r="E479" s="6" t="n">
        <v>54.8</v>
      </c>
      <c r="F479" s="6" t="s">
        <v>3049</v>
      </c>
    </row>
    <row r="480" customFormat="false" ht="35.05" hidden="false" customHeight="false" outlineLevel="0" collapsed="false">
      <c r="A480" s="6" t="s">
        <v>3050</v>
      </c>
      <c r="B480" s="6" t="s">
        <v>2379</v>
      </c>
      <c r="C480" s="6" t="s">
        <v>2380</v>
      </c>
      <c r="D480" s="6" t="s">
        <v>2207</v>
      </c>
      <c r="E480" s="6" t="n">
        <v>51</v>
      </c>
      <c r="F480" s="6" t="s">
        <v>3051</v>
      </c>
    </row>
    <row r="481" customFormat="false" ht="35.05" hidden="false" customHeight="false" outlineLevel="0" collapsed="false">
      <c r="A481" s="6" t="s">
        <v>3052</v>
      </c>
      <c r="B481" s="6" t="s">
        <v>2156</v>
      </c>
      <c r="C481" s="6" t="s">
        <v>3039</v>
      </c>
      <c r="D481" s="6" t="s">
        <v>2207</v>
      </c>
      <c r="E481" s="6" t="n">
        <v>51.7</v>
      </c>
      <c r="F481" s="6" t="s">
        <v>3053</v>
      </c>
    </row>
    <row r="482" customFormat="false" ht="35.05" hidden="false" customHeight="false" outlineLevel="0" collapsed="false">
      <c r="A482" s="6" t="s">
        <v>3054</v>
      </c>
      <c r="B482" s="6" t="s">
        <v>2217</v>
      </c>
      <c r="C482" s="6" t="s">
        <v>2218</v>
      </c>
      <c r="D482" s="6" t="s">
        <v>2207</v>
      </c>
      <c r="E482" s="6" t="n">
        <v>57.4</v>
      </c>
      <c r="F482" s="6" t="s">
        <v>3055</v>
      </c>
    </row>
    <row r="483" customFormat="false" ht="35.05" hidden="false" customHeight="false" outlineLevel="0" collapsed="false">
      <c r="A483" s="6" t="s">
        <v>3056</v>
      </c>
      <c r="B483" s="6" t="s">
        <v>2694</v>
      </c>
      <c r="C483" s="6" t="s">
        <v>2161</v>
      </c>
      <c r="D483" s="6" t="s">
        <v>2207</v>
      </c>
      <c r="E483" s="6" t="n">
        <v>65</v>
      </c>
      <c r="F483" s="6" t="s">
        <v>3057</v>
      </c>
    </row>
    <row r="484" customFormat="false" ht="35.05" hidden="false" customHeight="false" outlineLevel="0" collapsed="false">
      <c r="A484" s="6" t="s">
        <v>3056</v>
      </c>
      <c r="B484" s="6" t="s">
        <v>2563</v>
      </c>
      <c r="C484" s="6" t="s">
        <v>2161</v>
      </c>
      <c r="D484" s="6" t="s">
        <v>2207</v>
      </c>
      <c r="E484" s="6" t="n">
        <v>68.6</v>
      </c>
      <c r="F484" s="6" t="s">
        <v>3058</v>
      </c>
    </row>
    <row r="485" customFormat="false" ht="35.05" hidden="false" customHeight="false" outlineLevel="0" collapsed="false">
      <c r="A485" s="6" t="s">
        <v>3056</v>
      </c>
      <c r="B485" s="6" t="s">
        <v>2694</v>
      </c>
      <c r="C485" s="6" t="s">
        <v>2161</v>
      </c>
      <c r="D485" s="6" t="s">
        <v>2207</v>
      </c>
      <c r="E485" s="6" t="n">
        <v>64.7</v>
      </c>
      <c r="F485" s="6" t="s">
        <v>3059</v>
      </c>
    </row>
    <row r="486" customFormat="false" ht="35.05" hidden="false" customHeight="false" outlineLevel="0" collapsed="false">
      <c r="A486" s="6" t="s">
        <v>3060</v>
      </c>
      <c r="B486" s="6" t="s">
        <v>2131</v>
      </c>
      <c r="C486" s="6" t="s">
        <v>2132</v>
      </c>
      <c r="D486" s="6" t="s">
        <v>2207</v>
      </c>
      <c r="E486" s="6" t="n">
        <v>54.8</v>
      </c>
      <c r="F486" s="6" t="s">
        <v>3061</v>
      </c>
    </row>
    <row r="487" customFormat="false" ht="46.25" hidden="false" customHeight="false" outlineLevel="0" collapsed="false">
      <c r="A487" s="6" t="s">
        <v>3060</v>
      </c>
      <c r="B487" s="6" t="s">
        <v>2404</v>
      </c>
      <c r="C487" s="6" t="s">
        <v>2119</v>
      </c>
      <c r="D487" s="6" t="s">
        <v>2207</v>
      </c>
      <c r="E487" s="6" t="n">
        <v>25.3</v>
      </c>
      <c r="F487" s="6" t="s">
        <v>3062</v>
      </c>
    </row>
    <row r="488" customFormat="false" ht="35.05" hidden="false" customHeight="false" outlineLevel="0" collapsed="false">
      <c r="A488" s="6" t="s">
        <v>3060</v>
      </c>
      <c r="B488" s="6" t="s">
        <v>2607</v>
      </c>
      <c r="C488" s="6" t="s">
        <v>2138</v>
      </c>
      <c r="D488" s="6" t="s">
        <v>2207</v>
      </c>
      <c r="E488" s="6" t="n">
        <v>36.6</v>
      </c>
      <c r="F488" s="6" t="s">
        <v>3063</v>
      </c>
    </row>
    <row r="489" customFormat="false" ht="35.05" hidden="false" customHeight="false" outlineLevel="0" collapsed="false">
      <c r="A489" s="6" t="s">
        <v>3060</v>
      </c>
      <c r="B489" s="6" t="s">
        <v>2156</v>
      </c>
      <c r="C489" s="6" t="s">
        <v>3064</v>
      </c>
      <c r="D489" s="6" t="s">
        <v>2207</v>
      </c>
      <c r="E489" s="6" t="n">
        <v>54.4</v>
      </c>
      <c r="F489" s="6" t="s">
        <v>3065</v>
      </c>
    </row>
    <row r="490" customFormat="false" ht="35.05" hidden="false" customHeight="false" outlineLevel="0" collapsed="false">
      <c r="A490" s="6" t="s">
        <v>3066</v>
      </c>
      <c r="B490" s="6" t="s">
        <v>2582</v>
      </c>
      <c r="C490" s="6" t="s">
        <v>2123</v>
      </c>
      <c r="D490" s="6" t="s">
        <v>2207</v>
      </c>
      <c r="E490" s="6" t="n">
        <v>61.6</v>
      </c>
      <c r="F490" s="6" t="s">
        <v>3067</v>
      </c>
    </row>
    <row r="491" customFormat="false" ht="35.05" hidden="false" customHeight="false" outlineLevel="0" collapsed="false">
      <c r="A491" s="6" t="s">
        <v>3066</v>
      </c>
      <c r="B491" s="6" t="s">
        <v>2213</v>
      </c>
      <c r="C491" s="6" t="s">
        <v>2157</v>
      </c>
      <c r="D491" s="6" t="s">
        <v>2207</v>
      </c>
      <c r="E491" s="6" t="n">
        <v>58.9</v>
      </c>
      <c r="F491" s="6" t="s">
        <v>3068</v>
      </c>
    </row>
    <row r="492" customFormat="false" ht="35.05" hidden="false" customHeight="false" outlineLevel="0" collapsed="false">
      <c r="A492" s="6" t="s">
        <v>3069</v>
      </c>
      <c r="B492" s="6" t="s">
        <v>2131</v>
      </c>
      <c r="C492" s="6" t="s">
        <v>2132</v>
      </c>
      <c r="D492" s="6" t="s">
        <v>2207</v>
      </c>
      <c r="E492" s="6" t="n">
        <v>54.8</v>
      </c>
      <c r="F492" s="6" t="s">
        <v>3070</v>
      </c>
    </row>
    <row r="493" customFormat="false" ht="35.05" hidden="false" customHeight="false" outlineLevel="0" collapsed="false">
      <c r="A493" s="6" t="s">
        <v>3071</v>
      </c>
      <c r="B493" s="6" t="s">
        <v>2800</v>
      </c>
      <c r="C493" s="6" t="s">
        <v>2686</v>
      </c>
      <c r="D493" s="6" t="s">
        <v>2207</v>
      </c>
      <c r="E493" s="6" t="n">
        <v>62</v>
      </c>
      <c r="F493" s="6" t="s">
        <v>3072</v>
      </c>
    </row>
    <row r="494" customFormat="false" ht="35.05" hidden="false" customHeight="false" outlineLevel="0" collapsed="false">
      <c r="A494" s="6" t="s">
        <v>3071</v>
      </c>
      <c r="B494" s="6" t="s">
        <v>3073</v>
      </c>
      <c r="C494" s="6" t="s">
        <v>3074</v>
      </c>
      <c r="D494" s="6" t="s">
        <v>2207</v>
      </c>
      <c r="E494" s="6" t="n">
        <v>60.3</v>
      </c>
      <c r="F494" s="6" t="s">
        <v>3075</v>
      </c>
    </row>
    <row r="495" customFormat="false" ht="35.05" hidden="false" customHeight="false" outlineLevel="0" collapsed="false">
      <c r="A495" s="6" t="s">
        <v>3071</v>
      </c>
      <c r="B495" s="6" t="s">
        <v>2217</v>
      </c>
      <c r="C495" s="6" t="s">
        <v>2218</v>
      </c>
      <c r="D495" s="6" t="s">
        <v>2207</v>
      </c>
      <c r="E495" s="6" t="n">
        <v>57.4</v>
      </c>
      <c r="F495" s="6" t="s">
        <v>3076</v>
      </c>
    </row>
    <row r="496" customFormat="false" ht="35.05" hidden="false" customHeight="false" outlineLevel="0" collapsed="false">
      <c r="A496" s="6" t="s">
        <v>3071</v>
      </c>
      <c r="B496" s="6" t="s">
        <v>2607</v>
      </c>
      <c r="C496" s="6" t="s">
        <v>2138</v>
      </c>
      <c r="D496" s="6" t="s">
        <v>2207</v>
      </c>
      <c r="E496" s="6" t="n">
        <v>36.6</v>
      </c>
      <c r="F496" s="6" t="s">
        <v>3077</v>
      </c>
    </row>
    <row r="497" customFormat="false" ht="35.05" hidden="false" customHeight="false" outlineLevel="0" collapsed="false">
      <c r="A497" s="6" t="s">
        <v>3078</v>
      </c>
      <c r="B497" s="6" t="s">
        <v>2363</v>
      </c>
      <c r="C497" s="6" t="s">
        <v>2364</v>
      </c>
      <c r="D497" s="6" t="s">
        <v>2207</v>
      </c>
      <c r="E497" s="6" t="n">
        <v>46.6</v>
      </c>
      <c r="F497" s="6" t="s">
        <v>3079</v>
      </c>
    </row>
    <row r="498" customFormat="false" ht="35.05" hidden="false" customHeight="false" outlineLevel="0" collapsed="false">
      <c r="A498" s="6" t="s">
        <v>3078</v>
      </c>
      <c r="B498" s="6" t="s">
        <v>2563</v>
      </c>
      <c r="C498" s="6" t="s">
        <v>2161</v>
      </c>
      <c r="D498" s="6" t="s">
        <v>2207</v>
      </c>
      <c r="E498" s="6" t="n">
        <v>68.6</v>
      </c>
      <c r="F498" s="6" t="s">
        <v>3080</v>
      </c>
    </row>
    <row r="499" customFormat="false" ht="35.05" hidden="false" customHeight="false" outlineLevel="0" collapsed="false">
      <c r="A499" s="6" t="s">
        <v>3081</v>
      </c>
      <c r="B499" s="6" t="s">
        <v>634</v>
      </c>
      <c r="C499" s="6" t="s">
        <v>2692</v>
      </c>
      <c r="D499" s="6" t="s">
        <v>2207</v>
      </c>
      <c r="E499" s="6" t="n">
        <v>25.2</v>
      </c>
      <c r="F499" s="6" t="s">
        <v>3082</v>
      </c>
    </row>
    <row r="500" customFormat="false" ht="35.05" hidden="false" customHeight="false" outlineLevel="0" collapsed="false">
      <c r="A500" s="6" t="s">
        <v>3081</v>
      </c>
      <c r="B500" s="6" t="s">
        <v>2582</v>
      </c>
      <c r="C500" s="6" t="s">
        <v>2123</v>
      </c>
      <c r="D500" s="6" t="s">
        <v>2207</v>
      </c>
      <c r="E500" s="6" t="n">
        <v>61.6</v>
      </c>
      <c r="F500" s="6" t="s">
        <v>3083</v>
      </c>
    </row>
    <row r="501" customFormat="false" ht="35.05" hidden="false" customHeight="false" outlineLevel="0" collapsed="false">
      <c r="A501" s="6" t="s">
        <v>3084</v>
      </c>
      <c r="B501" s="6" t="s">
        <v>2217</v>
      </c>
      <c r="C501" s="6" t="s">
        <v>2218</v>
      </c>
      <c r="D501" s="6" t="s">
        <v>2207</v>
      </c>
      <c r="E501" s="6" t="n">
        <v>57.4</v>
      </c>
      <c r="F501" s="6" t="s">
        <v>3085</v>
      </c>
    </row>
    <row r="502" customFormat="false" ht="35.05" hidden="false" customHeight="false" outlineLevel="0" collapsed="false">
      <c r="A502" s="6" t="s">
        <v>3086</v>
      </c>
      <c r="B502" s="6" t="s">
        <v>2563</v>
      </c>
      <c r="C502" s="6" t="s">
        <v>2161</v>
      </c>
      <c r="D502" s="6" t="s">
        <v>2207</v>
      </c>
      <c r="E502" s="6" t="n">
        <v>68.6</v>
      </c>
      <c r="F502" s="6" t="s">
        <v>3087</v>
      </c>
    </row>
    <row r="503" customFormat="false" ht="35.05" hidden="false" customHeight="false" outlineLevel="0" collapsed="false">
      <c r="A503" s="6" t="s">
        <v>3086</v>
      </c>
      <c r="B503" s="6" t="s">
        <v>2217</v>
      </c>
      <c r="C503" s="6" t="s">
        <v>2218</v>
      </c>
      <c r="D503" s="6" t="s">
        <v>2207</v>
      </c>
      <c r="E503" s="6" t="n">
        <v>57.4</v>
      </c>
      <c r="F503" s="6" t="s">
        <v>3088</v>
      </c>
    </row>
    <row r="504" customFormat="false" ht="46.25" hidden="false" customHeight="false" outlineLevel="0" collapsed="false">
      <c r="A504" s="6" t="s">
        <v>3089</v>
      </c>
      <c r="B504" s="6" t="s">
        <v>3073</v>
      </c>
      <c r="C504" s="6" t="s">
        <v>3074</v>
      </c>
      <c r="D504" s="6" t="s">
        <v>2207</v>
      </c>
      <c r="E504" s="6" t="n">
        <v>60.3</v>
      </c>
      <c r="F504" s="6" t="s">
        <v>3090</v>
      </c>
    </row>
    <row r="505" customFormat="false" ht="46.25" hidden="false" customHeight="false" outlineLevel="0" collapsed="false">
      <c r="A505" s="6" t="s">
        <v>3091</v>
      </c>
      <c r="B505" s="6" t="s">
        <v>2363</v>
      </c>
      <c r="C505" s="6" t="s">
        <v>2364</v>
      </c>
      <c r="D505" s="6" t="s">
        <v>2207</v>
      </c>
      <c r="E505" s="6" t="n">
        <v>46.6</v>
      </c>
      <c r="F505" s="6" t="s">
        <v>3092</v>
      </c>
    </row>
    <row r="506" customFormat="false" ht="35.05" hidden="false" customHeight="false" outlineLevel="0" collapsed="false">
      <c r="A506" s="6" t="s">
        <v>3093</v>
      </c>
      <c r="B506" s="6" t="s">
        <v>2217</v>
      </c>
      <c r="C506" s="6" t="s">
        <v>2218</v>
      </c>
      <c r="D506" s="6" t="s">
        <v>2207</v>
      </c>
      <c r="E506" s="6" t="n">
        <v>57.4</v>
      </c>
      <c r="F506" s="6" t="s">
        <v>3094</v>
      </c>
    </row>
    <row r="507" customFormat="false" ht="35.05" hidden="false" customHeight="false" outlineLevel="0" collapsed="false">
      <c r="A507" s="6" t="s">
        <v>795</v>
      </c>
      <c r="B507" s="6" t="s">
        <v>2255</v>
      </c>
      <c r="C507" s="6" t="s">
        <v>3095</v>
      </c>
      <c r="D507" s="6" t="s">
        <v>2207</v>
      </c>
      <c r="E507" s="6" t="n">
        <v>32.7</v>
      </c>
      <c r="F507" s="6" t="s">
        <v>3096</v>
      </c>
    </row>
    <row r="508" customFormat="false" ht="35.05" hidden="false" customHeight="false" outlineLevel="0" collapsed="false">
      <c r="A508" s="6" t="s">
        <v>3097</v>
      </c>
      <c r="B508" s="6" t="s">
        <v>2327</v>
      </c>
      <c r="C508" s="6" t="s">
        <v>2115</v>
      </c>
      <c r="D508" s="6" t="s">
        <v>2207</v>
      </c>
      <c r="E508" s="6" t="n">
        <v>56.4</v>
      </c>
      <c r="F508" s="6" t="s">
        <v>3098</v>
      </c>
    </row>
    <row r="509" customFormat="false" ht="46.25" hidden="false" customHeight="false" outlineLevel="0" collapsed="false">
      <c r="A509" s="6" t="s">
        <v>3099</v>
      </c>
      <c r="B509" s="6" t="s">
        <v>2363</v>
      </c>
      <c r="C509" s="6" t="s">
        <v>2364</v>
      </c>
      <c r="D509" s="6" t="s">
        <v>2207</v>
      </c>
      <c r="E509" s="6" t="n">
        <v>46.6</v>
      </c>
      <c r="F509" s="6" t="s">
        <v>3100</v>
      </c>
    </row>
    <row r="510" customFormat="false" ht="35.05" hidden="false" customHeight="false" outlineLevel="0" collapsed="false">
      <c r="A510" s="6" t="s">
        <v>3101</v>
      </c>
      <c r="B510" s="6" t="s">
        <v>634</v>
      </c>
      <c r="C510" s="6" t="s">
        <v>2692</v>
      </c>
      <c r="D510" s="6" t="s">
        <v>2207</v>
      </c>
      <c r="E510" s="6" t="n">
        <v>25.2</v>
      </c>
      <c r="F510" s="6" t="s">
        <v>3102</v>
      </c>
    </row>
    <row r="511" customFormat="false" ht="46.25" hidden="false" customHeight="false" outlineLevel="0" collapsed="false">
      <c r="A511" s="6" t="s">
        <v>3103</v>
      </c>
      <c r="B511" s="6" t="s">
        <v>2217</v>
      </c>
      <c r="C511" s="6" t="s">
        <v>2218</v>
      </c>
      <c r="D511" s="6" t="s">
        <v>2207</v>
      </c>
      <c r="E511" s="6" t="n">
        <v>57.4</v>
      </c>
      <c r="F511" s="6" t="s">
        <v>3104</v>
      </c>
    </row>
    <row r="512" customFormat="false" ht="35.05" hidden="false" customHeight="false" outlineLevel="0" collapsed="false">
      <c r="A512" s="6" t="s">
        <v>3105</v>
      </c>
      <c r="B512" s="6" t="s">
        <v>2379</v>
      </c>
      <c r="C512" s="6" t="s">
        <v>2380</v>
      </c>
      <c r="D512" s="6" t="s">
        <v>2207</v>
      </c>
      <c r="E512" s="6" t="n">
        <v>51</v>
      </c>
      <c r="F512" s="6" t="s">
        <v>3106</v>
      </c>
    </row>
    <row r="513" customFormat="false" ht="46.25" hidden="false" customHeight="false" outlineLevel="0" collapsed="false">
      <c r="A513" s="6" t="s">
        <v>3107</v>
      </c>
      <c r="B513" s="6" t="s">
        <v>2217</v>
      </c>
      <c r="C513" s="6" t="s">
        <v>2218</v>
      </c>
      <c r="D513" s="6" t="s">
        <v>2207</v>
      </c>
      <c r="E513" s="6" t="n">
        <v>57.4</v>
      </c>
      <c r="F513" s="6" t="s">
        <v>3108</v>
      </c>
    </row>
    <row r="514" customFormat="false" ht="35.05" hidden="false" customHeight="false" outlineLevel="0" collapsed="false">
      <c r="A514" s="6" t="s">
        <v>3109</v>
      </c>
      <c r="B514" s="6" t="s">
        <v>2379</v>
      </c>
      <c r="C514" s="6" t="s">
        <v>2380</v>
      </c>
      <c r="D514" s="6" t="s">
        <v>2207</v>
      </c>
      <c r="E514" s="6" t="n">
        <v>51</v>
      </c>
      <c r="F514" s="6" t="s">
        <v>3110</v>
      </c>
    </row>
    <row r="515" customFormat="false" ht="46.25" hidden="false" customHeight="false" outlineLevel="0" collapsed="false">
      <c r="A515" s="6" t="s">
        <v>3109</v>
      </c>
      <c r="B515" s="6" t="s">
        <v>2145</v>
      </c>
      <c r="C515" s="6" t="s">
        <v>2146</v>
      </c>
      <c r="D515" s="6" t="s">
        <v>2207</v>
      </c>
      <c r="E515" s="6" t="n">
        <v>44.9</v>
      </c>
      <c r="F515" s="6" t="s">
        <v>3111</v>
      </c>
    </row>
    <row r="516" customFormat="false" ht="35.05" hidden="false" customHeight="false" outlineLevel="0" collapsed="false">
      <c r="A516" s="6" t="s">
        <v>3112</v>
      </c>
      <c r="B516" s="6" t="s">
        <v>2379</v>
      </c>
      <c r="C516" s="6" t="s">
        <v>2380</v>
      </c>
      <c r="D516" s="6" t="s">
        <v>2207</v>
      </c>
      <c r="E516" s="6" t="n">
        <v>51</v>
      </c>
      <c r="F516" s="6" t="s">
        <v>3113</v>
      </c>
    </row>
    <row r="517" customFormat="false" ht="35.05" hidden="false" customHeight="false" outlineLevel="0" collapsed="false">
      <c r="A517" s="6" t="s">
        <v>3114</v>
      </c>
      <c r="B517" s="6" t="s">
        <v>2213</v>
      </c>
      <c r="C517" s="6" t="s">
        <v>2157</v>
      </c>
      <c r="D517" s="6" t="s">
        <v>2207</v>
      </c>
      <c r="E517" s="6" t="n">
        <v>58.9</v>
      </c>
      <c r="F517" s="6" t="s">
        <v>3115</v>
      </c>
    </row>
    <row r="518" customFormat="false" ht="46.25" hidden="false" customHeight="false" outlineLevel="0" collapsed="false">
      <c r="A518" s="6" t="s">
        <v>3116</v>
      </c>
      <c r="B518" s="6" t="s">
        <v>2145</v>
      </c>
      <c r="C518" s="6" t="s">
        <v>2146</v>
      </c>
      <c r="D518" s="6" t="s">
        <v>2207</v>
      </c>
      <c r="E518" s="6" t="n">
        <v>44.9</v>
      </c>
      <c r="F518" s="6" t="s">
        <v>3117</v>
      </c>
    </row>
    <row r="519" customFormat="false" ht="113.4" hidden="false" customHeight="false" outlineLevel="0" collapsed="false">
      <c r="A519" s="6" t="s">
        <v>765</v>
      </c>
      <c r="B519" s="6" t="s">
        <v>1874</v>
      </c>
      <c r="C519" s="6" t="s">
        <v>2119</v>
      </c>
      <c r="D519" s="6" t="s">
        <v>2207</v>
      </c>
      <c r="E519" s="6" t="n">
        <v>22.5</v>
      </c>
      <c r="F519" s="6" t="s">
        <v>3118</v>
      </c>
    </row>
    <row r="520" customFormat="false" ht="35.05" hidden="false" customHeight="false" outlineLevel="0" collapsed="false">
      <c r="A520" s="6" t="s">
        <v>3119</v>
      </c>
      <c r="B520" s="6" t="s">
        <v>2180</v>
      </c>
      <c r="C520" s="6" t="s">
        <v>2115</v>
      </c>
      <c r="D520" s="6" t="s">
        <v>2207</v>
      </c>
      <c r="E520" s="6" t="n">
        <v>67.4</v>
      </c>
      <c r="F520" s="6" t="s">
        <v>3120</v>
      </c>
    </row>
    <row r="521" customFormat="false" ht="35.05" hidden="false" customHeight="false" outlineLevel="0" collapsed="false">
      <c r="A521" s="6" t="s">
        <v>3121</v>
      </c>
      <c r="B521" s="6" t="s">
        <v>2153</v>
      </c>
      <c r="C521" s="6" t="s">
        <v>2146</v>
      </c>
      <c r="D521" s="6" t="s">
        <v>2207</v>
      </c>
      <c r="E521" s="6" t="n">
        <v>43.2</v>
      </c>
      <c r="F521" s="6" t="s">
        <v>3122</v>
      </c>
    </row>
    <row r="522" customFormat="false" ht="35.05" hidden="false" customHeight="false" outlineLevel="0" collapsed="false">
      <c r="A522" s="6" t="s">
        <v>3123</v>
      </c>
      <c r="B522" s="6" t="s">
        <v>2153</v>
      </c>
      <c r="C522" s="6" t="s">
        <v>2146</v>
      </c>
      <c r="D522" s="6" t="s">
        <v>2207</v>
      </c>
      <c r="E522" s="6" t="n">
        <v>43.2</v>
      </c>
      <c r="F522" s="6" t="s">
        <v>3124</v>
      </c>
    </row>
    <row r="523" customFormat="false" ht="35.05" hidden="false" customHeight="false" outlineLevel="0" collapsed="false">
      <c r="A523" s="6" t="s">
        <v>3125</v>
      </c>
      <c r="B523" s="6" t="s">
        <v>310</v>
      </c>
      <c r="C523" s="6" t="s">
        <v>2115</v>
      </c>
      <c r="D523" s="6" t="s">
        <v>2128</v>
      </c>
      <c r="E523" s="6" t="n">
        <v>17.5</v>
      </c>
      <c r="F523" s="6" t="s">
        <v>3126</v>
      </c>
    </row>
    <row r="525" customFormat="false" ht="15" hidden="false" customHeight="false" outlineLevel="0" collapsed="false">
      <c r="A525" s="7" t="s">
        <v>3127</v>
      </c>
    </row>
    <row r="526" customFormat="false" ht="15" hidden="false" customHeight="false" outlineLevel="0" collapsed="false">
      <c r="A526" s="10" t="s">
        <v>3128</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2026-09-20T18:07:38Z</dcterms:created>
  <dc:creator>openpyxl</dc:creator>
  <dc:description/>
  <dc:language>en-US</dc:language>
  <cp:lastModifiedBy/>
  <dcterms:modified xsi:type="dcterms:W3CDTF">2026-09-20T18:07:38Z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